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F00"/>
      </patternFill>
    </fill>
    <fill>
      <patternFill patternType="solid">
        <fgColor rgb="00FFC00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4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generar_reporte_pairings.py</author>
  </authors>
  <commentList>
    <comment ref="Q4" authorId="0" shapeId="0">
      <text>
        <t>Tipo de actividad (escribir a mano, ej. LCK B767, Reentrenamiento B767, CHEQUEO BI ANUAL INST B767, etc.)</t>
      </text>
    </comment>
    <comment ref="O5" authorId="0" shapeId="0">
      <text>
        <t>Escribir aquí el nombre del instructor</t>
      </text>
    </comment>
    <comment ref="Q11" authorId="0" shapeId="0">
      <text>
        <t>Tipo de actividad (escribir a mano, ej. LCK B767, Reentrenamiento B767, CHEQUEO BI ANUAL INST B767, etc.)</t>
      </text>
    </comment>
    <comment ref="O12" authorId="0" shapeId="0">
      <text>
        <t>Escribir aquí el nombre del instructor</t>
      </text>
    </comment>
    <comment ref="Q18" authorId="0" shapeId="0">
      <text>
        <t>Tipo de actividad (escribir a mano, ej. LCK B767, Reentrenamiento B767, CHEQUEO BI ANUAL INST B767, etc.)</t>
      </text>
    </comment>
    <comment ref="O19" authorId="0" shapeId="0">
      <text>
        <t>Escribir aquí el nombre del instructor</t>
      </text>
    </comment>
    <comment ref="Q25" authorId="0" shapeId="0">
      <text>
        <t>Tipo de actividad (escribir a mano, ej. LCK B767, Reentrenamiento B767, CHEQUEO BI ANUAL INST B767, etc.)</t>
      </text>
    </comment>
    <comment ref="O26" authorId="0" shapeId="0">
      <text>
        <t>Escribir aquí el nombre del instructor</t>
      </text>
    </comment>
    <comment ref="Q32" authorId="0" shapeId="0">
      <text>
        <t>Tipo de actividad (escribir a mano, ej. LCK B767, Reentrenamiento B767, CHEQUEO BI ANUAL INST B767, etc.)</t>
      </text>
    </comment>
    <comment ref="O33" authorId="0" shapeId="0">
      <text>
        <t>Escribir aquí el nombre del instructor</t>
      </text>
    </comment>
    <comment ref="Q39" authorId="0" shapeId="0">
      <text>
        <t>Tipo de actividad (escribir a mano, ej. LCK B767, Reentrenamiento B767, CHEQUEO BI ANUAL INST B767, etc.)</t>
      </text>
    </comment>
    <comment ref="O40" authorId="0" shapeId="0">
      <text>
        <t>Escribir aquí el nombre del instructor</t>
      </text>
    </comment>
    <comment ref="Q46" authorId="0" shapeId="0">
      <text>
        <t>Tipo de actividad (escribir a mano, ej. LCK B767, Reentrenamiento B767, CHEQUEO BI ANUAL INST B767, etc.)</t>
      </text>
    </comment>
    <comment ref="O47" authorId="0" shapeId="0">
      <text>
        <t>Escribir aquí el nombre del instructor</t>
      </text>
    </comment>
    <comment ref="Q53" authorId="0" shapeId="0">
      <text>
        <t>Tipo de actividad (escribir a mano, ej. LCK B767, Reentrenamiento B767, CHEQUEO BI ANUAL INST B767, etc.)</t>
      </text>
    </comment>
    <comment ref="O54" authorId="0" shapeId="0">
      <text>
        <t>Escribir aquí el nombre del instructor</t>
      </text>
    </comment>
    <comment ref="Q60" authorId="0" shapeId="0">
      <text>
        <t>Tipo de actividad (escribir a mano, ej. LCK B767, Reentrenamiento B767, CHEQUEO BI ANUAL INST B767, etc.)</t>
      </text>
    </comment>
    <comment ref="O61" authorId="0" shapeId="0">
      <text>
        <t>Escribir aquí el nombre del instructor</t>
      </text>
    </comment>
    <comment ref="Q67" authorId="0" shapeId="0">
      <text>
        <t>Tipo de actividad (escribir a mano, ej. LCK B767, Reentrenamiento B767, CHEQUEO BI ANUAL INST B767, etc.)</t>
      </text>
    </comment>
    <comment ref="O68" authorId="0" shapeId="0">
      <text>
        <t>Escribir aquí el nombre del instructor</t>
      </text>
    </comment>
    <comment ref="Q74" authorId="0" shapeId="0">
      <text>
        <t>Tipo de actividad (escribir a mano, ej. LCK B767, Reentrenamiento B767, CHEQUEO BI ANUAL INST B767, etc.)</t>
      </text>
    </comment>
    <comment ref="O75" authorId="0" shapeId="0">
      <text>
        <t>Escribir aquí el nombre del instructor</t>
      </text>
    </comment>
    <comment ref="Q81" authorId="0" shapeId="0">
      <text>
        <t>Tipo de actividad (escribir a mano, ej. LCK B767, Reentrenamiento B767, CHEQUEO BI ANUAL INST B767, etc.)</t>
      </text>
    </comment>
    <comment ref="O82" authorId="0" shapeId="0">
      <text>
        <t>Escribir aquí el nombre del instructor</t>
      </text>
    </comment>
    <comment ref="Q88" authorId="0" shapeId="0">
      <text>
        <t>Tipo de actividad (escribir a mano, ej. LCK B767, Reentrenamiento B767, CHEQUEO BI ANUAL INST B767, etc.)</t>
      </text>
    </comment>
    <comment ref="O89" authorId="0" shapeId="0">
      <text>
        <t>Escribir aquí el nombre del instructor</t>
      </text>
    </comment>
    <comment ref="Q95" authorId="0" shapeId="0">
      <text>
        <t>Tipo de actividad (escribir a mano, ej. LCK B767, Reentrenamiento B767, CHEQUEO BI ANUAL INST B767, etc.)</t>
      </text>
    </comment>
    <comment ref="O96" authorId="0" shapeId="0">
      <text>
        <t>Escribir aquí el nombre del instructor</t>
      </text>
    </comment>
    <comment ref="Q102" authorId="0" shapeId="0">
      <text>
        <t>Tipo de actividad (escribir a mano, ej. LCK B767, Reentrenamiento B767, CHEQUEO BI ANUAL INST B767, etc.)</t>
      </text>
    </comment>
    <comment ref="O103" authorId="0" shapeId="0">
      <text>
        <t>Escribir aquí el nombre del instructor</t>
      </text>
    </comment>
    <comment ref="Q109" authorId="0" shapeId="0">
      <text>
        <t>Tipo de actividad (escribir a mano, ej. LCK B767, Reentrenamiento B767, CHEQUEO BI ANUAL INST B767, etc.)</t>
      </text>
    </comment>
    <comment ref="O110" authorId="0" shapeId="0">
      <text>
        <t>Escribir aquí el nombre del instructor</t>
      </text>
    </comment>
    <comment ref="Q116" authorId="0" shapeId="0">
      <text>
        <t>Tipo de actividad (escribir a mano, ej. LCK B767, Reentrenamiento B767, CHEQUEO BI ANUAL INST B767, etc.)</t>
      </text>
    </comment>
    <comment ref="O117" authorId="0" shapeId="0">
      <text>
        <t>Escribir aquí el nombre del instructor</t>
      </text>
    </comment>
    <comment ref="Q123" authorId="0" shapeId="0">
      <text>
        <t>Tipo de actividad (escribir a mano, ej. LCK B767, Reentrenamiento B767, CHEQUEO BI ANUAL INST B767, etc.)</t>
      </text>
    </comment>
    <comment ref="O124" authorId="0" shapeId="0">
      <text>
        <t>Escribir aquí el nombre del instructor</t>
      </text>
    </comment>
    <comment ref="Q130" authorId="0" shapeId="0">
      <text>
        <t>Tipo de actividad (escribir a mano, ej. LCK B767, Reentrenamiento B767, CHEQUEO BI ANUAL INST B767, etc.)</t>
      </text>
    </comment>
    <comment ref="O131" authorId="0" shapeId="0">
      <text>
        <t>Escribir aquí el nombre del instructor</t>
      </text>
    </comment>
    <comment ref="Q137" authorId="0" shapeId="0">
      <text>
        <t>Tipo de actividad (escribir a mano, ej. LCK B767, Reentrenamiento B767, CHEQUEO BI ANUAL INST B767, etc.)</t>
      </text>
    </comment>
    <comment ref="O138" authorId="0" shapeId="0">
      <text>
        <t>Escribir aquí el nombre del instructor</t>
      </text>
    </comment>
    <comment ref="Q144" authorId="0" shapeId="0">
      <text>
        <t>Tipo de actividad (escribir a mano, ej. LCK B767, Reentrenamiento B767, CHEQUEO BI ANUAL INST B767, etc.)</t>
      </text>
    </comment>
    <comment ref="O145" authorId="0" shapeId="0">
      <text>
        <t>Escribir aquí el nombre del instructor</t>
      </text>
    </comment>
    <comment ref="Q151" authorId="0" shapeId="0">
      <text>
        <t>Tipo de actividad (escribir a mano, ej. LCK B767, Reentrenamiento B767, CHEQUEO BI ANUAL INST B767, etc.)</t>
      </text>
    </comment>
    <comment ref="O152" authorId="0" shapeId="0">
      <text>
        <t>Escribir aquí el nombre del instructor</t>
      </text>
    </comment>
    <comment ref="Q158" authorId="0" shapeId="0">
      <text>
        <t>Tipo de actividad (escribir a mano, ej. LCK B767, Reentrenamiento B767, CHEQUEO BI ANUAL INST B767, etc.)</t>
      </text>
    </comment>
    <comment ref="O159" authorId="0" shapeId="0">
      <text>
        <t>Escribir aquí el nombre del instructor</t>
      </text>
    </comment>
    <comment ref="Q165" authorId="0" shapeId="0">
      <text>
        <t>Tipo de actividad (escribir a mano, ej. LCK B767, Reentrenamiento B767, CHEQUEO BI ANUAL INST B767, etc.)</t>
      </text>
    </comment>
    <comment ref="O166" authorId="0" shapeId="0">
      <text>
        <t>Escribir aquí el nombre del instructor</t>
      </text>
    </comment>
    <comment ref="Q172" authorId="0" shapeId="0">
      <text>
        <t>Tipo de actividad (escribir a mano, ej. LCK B767, Reentrenamiento B767, CHEQUEO BI ANUAL INST B767, etc.)</t>
      </text>
    </comment>
    <comment ref="O173" authorId="0" shapeId="0">
      <text>
        <t>Escribir aquí el nombre del instructor</t>
      </text>
    </comment>
    <comment ref="Q179" authorId="0" shapeId="0">
      <text>
        <t>Tipo de actividad (escribir a mano, ej. LCK B767, Reentrenamiento B767, CHEQUEO BI ANUAL INST B767, etc.)</t>
      </text>
    </comment>
    <comment ref="O180" authorId="0" shapeId="0">
      <text>
        <t>Escribir aquí el nombre del instructor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Z18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12" customWidth="1" min="3" max="3"/>
    <col width="10" customWidth="1" min="4" max="4"/>
    <col width="12" customWidth="1" min="5" max="5"/>
    <col width="10" customWidth="1" min="6" max="6"/>
    <col width="9" customWidth="1" min="7" max="7"/>
    <col width="9" customWidth="1" min="8" max="8"/>
    <col width="10" customWidth="1" min="9" max="9"/>
    <col width="10" customWidth="1" min="10" max="10"/>
    <col width="6" customWidth="1" min="11" max="11"/>
    <col width="9" customWidth="1" min="12" max="12"/>
    <col width="9" customWidth="1" min="13" max="13"/>
    <col width="10" customWidth="1" min="14" max="14"/>
    <col width="18" customWidth="1" min="15" max="15"/>
    <col width="3" customWidth="1" min="16" max="16"/>
    <col width="30" customWidth="1" min="17" max="17"/>
    <col width="10" customWidth="1" min="18" max="18"/>
    <col width="12" customWidth="1" min="19" max="19"/>
    <col width="10" customWidth="1" min="20" max="20"/>
    <col width="12" customWidth="1" min="21" max="21"/>
    <col width="16" customWidth="1" min="22" max="22"/>
    <col width="20" customWidth="1" min="23" max="23"/>
    <col width="26" customWidth="1" min="24" max="24"/>
    <col width="12" customWidth="1" min="25" max="25"/>
    <col width="12" customWidth="1" min="26" max="26"/>
  </cols>
  <sheetData>
    <row r="1">
      <c r="B1" s="1" t="inlineStr">
        <is>
          <t>Comenzar asignando vuelos los Jueves y Viernes (porque el SAB es DO)</t>
        </is>
      </c>
    </row>
    <row r="2">
      <c r="B2" s="1" t="inlineStr">
        <is>
          <t>LCK de ida (porque va OP) y de retorno DGAC o RECA</t>
        </is>
      </c>
    </row>
    <row r="3">
      <c r="R3" s="2" t="inlineStr">
        <is>
          <t>Pairing ID</t>
        </is>
      </c>
      <c r="S3" s="2" t="inlineStr">
        <is>
          <t>Fecha</t>
        </is>
      </c>
      <c r="T3" s="2" t="inlineStr">
        <is>
          <t>Día Sem</t>
        </is>
      </c>
      <c r="U3" s="2" t="inlineStr">
        <is>
          <t>Vuelo</t>
        </is>
      </c>
      <c r="V3" s="2" t="inlineStr">
        <is>
          <t>Ruta</t>
        </is>
      </c>
      <c r="W3" s="2" t="inlineStr">
        <is>
          <t>Instructor</t>
        </is>
      </c>
      <c r="X3" s="2" t="inlineStr">
        <is>
          <t>Actividad</t>
        </is>
      </c>
      <c r="Y3" s="2" t="inlineStr">
        <is>
          <t>Inicio</t>
        </is>
      </c>
      <c r="Z3" s="2" t="inlineStr">
        <is>
          <t>Fin</t>
        </is>
      </c>
    </row>
    <row r="4">
      <c r="Q4" s="3" t="n"/>
    </row>
    <row r="5">
      <c r="B5" s="4" t="inlineStr">
        <is>
          <t>Pairing ID</t>
        </is>
      </c>
      <c r="C5" s="4" t="inlineStr">
        <is>
          <t>FECHA REAL</t>
        </is>
      </c>
      <c r="D5" s="5" t="inlineStr">
        <is>
          <t>MES</t>
        </is>
      </c>
      <c r="E5" s="4" t="inlineStr">
        <is>
          <t>Day of Week</t>
        </is>
      </c>
      <c r="F5" s="4" t="inlineStr">
        <is>
          <t>Flight No</t>
        </is>
      </c>
      <c r="G5" s="4" t="inlineStr">
        <is>
          <t>Dep Stn</t>
        </is>
      </c>
      <c r="H5" s="4" t="inlineStr">
        <is>
          <t>Arr Stn</t>
        </is>
      </c>
      <c r="I5" s="4" t="inlineStr">
        <is>
          <t>STD</t>
        </is>
      </c>
      <c r="J5" s="4" t="inlineStr">
        <is>
          <t>STA</t>
        </is>
      </c>
      <c r="K5" s="4" t="inlineStr">
        <is>
          <t>DAY</t>
        </is>
      </c>
      <c r="L5" s="4" t="inlineStr">
        <is>
          <t>AC Type</t>
        </is>
      </c>
      <c r="M5" s="4" t="inlineStr">
        <is>
          <t>HBT</t>
        </is>
      </c>
      <c r="N5" s="6" t="inlineStr">
        <is>
          <t>DIA_DUTY</t>
        </is>
      </c>
      <c r="O5" s="3" t="n"/>
      <c r="Q5">
        <f>"- "&amp;G6&amp;"-"&amp;H6</f>
        <v/>
      </c>
      <c r="R5" s="7">
        <f>B6</f>
        <v/>
      </c>
      <c r="S5" s="7">
        <f>C6</f>
        <v/>
      </c>
      <c r="T5" s="7">
        <f>E6</f>
        <v/>
      </c>
      <c r="U5" s="7">
        <f>F6&amp;"/"&amp;F7</f>
        <v/>
      </c>
      <c r="V5" s="7">
        <f>G6&amp;"-"&amp;H6&amp;"-"&amp;G6</f>
        <v/>
      </c>
      <c r="W5" s="7">
        <f>IF(O5="","",O5)</f>
        <v/>
      </c>
      <c r="X5" s="7">
        <f>IF(Q4="","",Q4)</f>
        <v/>
      </c>
      <c r="Y5" s="7">
        <f>C6</f>
        <v/>
      </c>
      <c r="Z5" s="7">
        <f>C7</f>
        <v/>
      </c>
    </row>
    <row r="6">
      <c r="B6" s="7" t="n">
        <v>20</v>
      </c>
      <c r="C6" s="7" t="inlineStr">
        <is>
          <t>01/09/2026</t>
        </is>
      </c>
      <c r="D6" s="7" t="inlineStr">
        <is>
          <t>Sep-2026</t>
        </is>
      </c>
      <c r="E6" s="7" t="inlineStr">
        <is>
          <t>martes</t>
        </is>
      </c>
      <c r="F6" s="7" t="n">
        <v>2480</v>
      </c>
      <c r="G6" s="7" t="inlineStr">
        <is>
          <t>LIM</t>
        </is>
      </c>
      <c r="H6" s="7" t="inlineStr">
        <is>
          <t>MIA</t>
        </is>
      </c>
      <c r="I6" s="7" t="inlineStr">
        <is>
          <t>00:15:00</t>
        </is>
      </c>
      <c r="J6" s="7" t="inlineStr">
        <is>
          <t>06:20:00</t>
        </is>
      </c>
      <c r="K6" s="7" t="inlineStr">
        <is>
          <t>NO</t>
        </is>
      </c>
      <c r="L6" s="7" t="n">
        <v>763</v>
      </c>
      <c r="M6" s="7" t="inlineStr">
        <is>
          <t>06:05:00</t>
        </is>
      </c>
      <c r="N6" s="7" t="n">
        <v>2</v>
      </c>
      <c r="Q6">
        <f>"- LA "&amp;F6&amp;" ("&amp;LEFT(I6,5)&amp;"-"&amp;LEFT(J6,5)&amp;" hrs)"</f>
        <v/>
      </c>
    </row>
    <row r="7">
      <c r="B7" s="7" t="n">
        <v>20</v>
      </c>
      <c r="C7" s="7" t="inlineStr">
        <is>
          <t>02/09/2026</t>
        </is>
      </c>
      <c r="D7" s="7" t="inlineStr">
        <is>
          <t>Sep-2026</t>
        </is>
      </c>
      <c r="E7" s="7" t="inlineStr">
        <is>
          <t>miércoles</t>
        </is>
      </c>
      <c r="F7" s="7" t="n">
        <v>2481</v>
      </c>
      <c r="G7" s="7" t="inlineStr">
        <is>
          <t>MIA</t>
        </is>
      </c>
      <c r="H7" s="7" t="inlineStr">
        <is>
          <t>LIM</t>
        </is>
      </c>
      <c r="I7" s="7" t="inlineStr">
        <is>
          <t>15:55:00</t>
        </is>
      </c>
      <c r="J7" s="7" t="inlineStr">
        <is>
          <t>21:40:00</t>
        </is>
      </c>
      <c r="K7" s="7" t="inlineStr">
        <is>
          <t>NO</t>
        </is>
      </c>
      <c r="L7" s="7" t="n">
        <v>763</v>
      </c>
      <c r="M7" s="7" t="inlineStr">
        <is>
          <t>05:45:00</t>
        </is>
      </c>
      <c r="N7" s="7" t="n">
        <v>3</v>
      </c>
      <c r="O7">
        <f>IF(O5="","",O5)</f>
        <v/>
      </c>
      <c r="Q7">
        <f>IF(Q4="","",Q4)</f>
        <v/>
      </c>
    </row>
    <row r="8">
      <c r="Q8">
        <f>"- "&amp;G7&amp;"-"&amp;H7</f>
        <v/>
      </c>
    </row>
    <row r="9">
      <c r="Q9">
        <f>"- LA "&amp;F7&amp;" ("&amp;LEFT(I7,5)&amp;"-"&amp;LEFT(J7,5)&amp;" hrs)"</f>
        <v/>
      </c>
    </row>
    <row r="11">
      <c r="Q11" s="3" t="n"/>
    </row>
    <row r="12">
      <c r="B12" s="4" t="inlineStr">
        <is>
          <t>Pairing ID</t>
        </is>
      </c>
      <c r="C12" s="4" t="inlineStr">
        <is>
          <t>FECHA REAL</t>
        </is>
      </c>
      <c r="D12" s="5" t="inlineStr">
        <is>
          <t>MES</t>
        </is>
      </c>
      <c r="E12" s="4" t="inlineStr">
        <is>
          <t>Day of Week</t>
        </is>
      </c>
      <c r="F12" s="4" t="inlineStr">
        <is>
          <t>Flight No</t>
        </is>
      </c>
      <c r="G12" s="4" t="inlineStr">
        <is>
          <t>Dep Stn</t>
        </is>
      </c>
      <c r="H12" s="4" t="inlineStr">
        <is>
          <t>Arr Stn</t>
        </is>
      </c>
      <c r="I12" s="4" t="inlineStr">
        <is>
          <t>STD</t>
        </is>
      </c>
      <c r="J12" s="4" t="inlineStr">
        <is>
          <t>STA</t>
        </is>
      </c>
      <c r="K12" s="4" t="inlineStr">
        <is>
          <t>DAY</t>
        </is>
      </c>
      <c r="L12" s="4" t="inlineStr">
        <is>
          <t>AC Type</t>
        </is>
      </c>
      <c r="M12" s="4" t="inlineStr">
        <is>
          <t>HBT</t>
        </is>
      </c>
      <c r="N12" s="6" t="inlineStr">
        <is>
          <t>DIA_DUTY</t>
        </is>
      </c>
      <c r="O12" s="3" t="n"/>
      <c r="Q12">
        <f>"- "&amp;G13&amp;"-"&amp;H13</f>
        <v/>
      </c>
      <c r="R12" s="7">
        <f>B13</f>
        <v/>
      </c>
      <c r="S12" s="7">
        <f>C13</f>
        <v/>
      </c>
      <c r="T12" s="7">
        <f>E13</f>
        <v/>
      </c>
      <c r="U12" s="7">
        <f>F13&amp;"/"&amp;F14</f>
        <v/>
      </c>
      <c r="V12" s="7">
        <f>G13&amp;"-"&amp;H13&amp;"-"&amp;G13</f>
        <v/>
      </c>
      <c r="W12" s="7">
        <f>IF(O12="","",O12)</f>
        <v/>
      </c>
      <c r="X12" s="7">
        <f>IF(Q11="","",Q11)</f>
        <v/>
      </c>
      <c r="Y12" s="7">
        <f>C13</f>
        <v/>
      </c>
      <c r="Z12" s="7">
        <f>C14</f>
        <v/>
      </c>
    </row>
    <row r="13">
      <c r="B13" s="7" t="n">
        <v>29</v>
      </c>
      <c r="C13" s="7" t="inlineStr">
        <is>
          <t>02/09/2026</t>
        </is>
      </c>
      <c r="D13" s="7" t="inlineStr">
        <is>
          <t>Sep-2026</t>
        </is>
      </c>
      <c r="E13" s="7" t="inlineStr">
        <is>
          <t>miércoles</t>
        </is>
      </c>
      <c r="F13" s="7" t="n">
        <v>2480</v>
      </c>
      <c r="G13" s="7" t="inlineStr">
        <is>
          <t>LIM</t>
        </is>
      </c>
      <c r="H13" s="7" t="inlineStr">
        <is>
          <t>MIA</t>
        </is>
      </c>
      <c r="I13" s="7" t="inlineStr">
        <is>
          <t>00:15:00</t>
        </is>
      </c>
      <c r="J13" s="7" t="inlineStr">
        <is>
          <t>06:20:00</t>
        </is>
      </c>
      <c r="K13" s="7" t="inlineStr">
        <is>
          <t>NO</t>
        </is>
      </c>
      <c r="L13" s="7" t="n">
        <v>763</v>
      </c>
      <c r="M13" s="7" t="inlineStr">
        <is>
          <t>06:05:00</t>
        </is>
      </c>
      <c r="N13" s="7" t="n">
        <v>2</v>
      </c>
      <c r="Q13">
        <f>"- LA "&amp;F13&amp;" ("&amp;LEFT(I13,5)&amp;"-"&amp;LEFT(J13,5)&amp;" hrs)"</f>
        <v/>
      </c>
    </row>
    <row r="14">
      <c r="B14" s="7" t="n">
        <v>29</v>
      </c>
      <c r="C14" s="7" t="inlineStr">
        <is>
          <t>03/09/2026</t>
        </is>
      </c>
      <c r="D14" s="7" t="inlineStr">
        <is>
          <t>Sep-2026</t>
        </is>
      </c>
      <c r="E14" s="7" t="inlineStr">
        <is>
          <t>jueves</t>
        </is>
      </c>
      <c r="F14" s="7" t="n">
        <v>2695</v>
      </c>
      <c r="G14" s="7" t="inlineStr">
        <is>
          <t>MIA</t>
        </is>
      </c>
      <c r="H14" s="7" t="inlineStr">
        <is>
          <t>LIM</t>
        </is>
      </c>
      <c r="I14" s="7" t="inlineStr">
        <is>
          <t>16:10:00</t>
        </is>
      </c>
      <c r="J14" s="7" t="inlineStr">
        <is>
          <t>22:00:00</t>
        </is>
      </c>
      <c r="K14" s="7" t="inlineStr">
        <is>
          <t>NO</t>
        </is>
      </c>
      <c r="L14" s="7" t="n">
        <v>763</v>
      </c>
      <c r="M14" s="7" t="inlineStr">
        <is>
          <t>05:50:00</t>
        </is>
      </c>
      <c r="N14" s="7" t="n">
        <v>3</v>
      </c>
      <c r="O14">
        <f>IF(O12="","",O12)</f>
        <v/>
      </c>
      <c r="Q14">
        <f>IF(Q11="","",Q11)</f>
        <v/>
      </c>
    </row>
    <row r="15">
      <c r="Q15">
        <f>"- "&amp;G14&amp;"-"&amp;H14</f>
        <v/>
      </c>
    </row>
    <row r="16">
      <c r="Q16">
        <f>"- LA "&amp;F14&amp;" ("&amp;LEFT(I14,5)&amp;"-"&amp;LEFT(J14,5)&amp;" hrs)"</f>
        <v/>
      </c>
    </row>
    <row r="18">
      <c r="Q18" s="3" t="n"/>
    </row>
    <row r="19">
      <c r="B19" s="4" t="inlineStr">
        <is>
          <t>Pairing ID</t>
        </is>
      </c>
      <c r="C19" s="4" t="inlineStr">
        <is>
          <t>FECHA REAL</t>
        </is>
      </c>
      <c r="D19" s="5" t="inlineStr">
        <is>
          <t>MES</t>
        </is>
      </c>
      <c r="E19" s="4" t="inlineStr">
        <is>
          <t>Day of Week</t>
        </is>
      </c>
      <c r="F19" s="4" t="inlineStr">
        <is>
          <t>Flight No</t>
        </is>
      </c>
      <c r="G19" s="4" t="inlineStr">
        <is>
          <t>Dep Stn</t>
        </is>
      </c>
      <c r="H19" s="4" t="inlineStr">
        <is>
          <t>Arr Stn</t>
        </is>
      </c>
      <c r="I19" s="4" t="inlineStr">
        <is>
          <t>STD</t>
        </is>
      </c>
      <c r="J19" s="4" t="inlineStr">
        <is>
          <t>STA</t>
        </is>
      </c>
      <c r="K19" s="4" t="inlineStr">
        <is>
          <t>DAY</t>
        </is>
      </c>
      <c r="L19" s="4" t="inlineStr">
        <is>
          <t>AC Type</t>
        </is>
      </c>
      <c r="M19" s="4" t="inlineStr">
        <is>
          <t>HBT</t>
        </is>
      </c>
      <c r="N19" s="6" t="inlineStr">
        <is>
          <t>DIA_DUTY</t>
        </is>
      </c>
      <c r="O19" s="3" t="n"/>
      <c r="Q19">
        <f>"- "&amp;G20&amp;"-"&amp;H20</f>
        <v/>
      </c>
      <c r="R19" s="7">
        <f>B20</f>
        <v/>
      </c>
      <c r="S19" s="7">
        <f>C20</f>
        <v/>
      </c>
      <c r="T19" s="7">
        <f>E20</f>
        <v/>
      </c>
      <c r="U19" s="7">
        <f>F20&amp;"/"&amp;F21</f>
        <v/>
      </c>
      <c r="V19" s="7">
        <f>G20&amp;"-"&amp;H20&amp;"-"&amp;G20</f>
        <v/>
      </c>
      <c r="W19" s="7">
        <f>IF(O19="","",O19)</f>
        <v/>
      </c>
      <c r="X19" s="7">
        <f>IF(Q18="","",Q18)</f>
        <v/>
      </c>
      <c r="Y19" s="7">
        <f>C20</f>
        <v/>
      </c>
      <c r="Z19" s="7">
        <f>C21</f>
        <v/>
      </c>
    </row>
    <row r="20">
      <c r="B20" s="7" t="n">
        <v>39</v>
      </c>
      <c r="C20" s="7" t="inlineStr">
        <is>
          <t>03/09/2026</t>
        </is>
      </c>
      <c r="D20" s="7" t="inlineStr">
        <is>
          <t>Sep-2026</t>
        </is>
      </c>
      <c r="E20" s="7" t="inlineStr">
        <is>
          <t>jueves</t>
        </is>
      </c>
      <c r="F20" s="7" t="n">
        <v>2480</v>
      </c>
      <c r="G20" s="7" t="inlineStr">
        <is>
          <t>LIM</t>
        </is>
      </c>
      <c r="H20" s="7" t="inlineStr">
        <is>
          <t>MIA</t>
        </is>
      </c>
      <c r="I20" s="7" t="inlineStr">
        <is>
          <t>00:15:00</t>
        </is>
      </c>
      <c r="J20" s="7" t="inlineStr">
        <is>
          <t>06:20:00</t>
        </is>
      </c>
      <c r="K20" s="7" t="inlineStr">
        <is>
          <t>NO</t>
        </is>
      </c>
      <c r="L20" s="7" t="n">
        <v>763</v>
      </c>
      <c r="M20" s="7" t="inlineStr">
        <is>
          <t>06:05:00</t>
        </is>
      </c>
      <c r="N20" s="7" t="n">
        <v>2</v>
      </c>
      <c r="Q20">
        <f>"- LA "&amp;F20&amp;" ("&amp;LEFT(I20,5)&amp;"-"&amp;LEFT(J20,5)&amp;" hrs)"</f>
        <v/>
      </c>
    </row>
    <row r="21">
      <c r="B21" s="7" t="n">
        <v>39</v>
      </c>
      <c r="C21" s="7" t="inlineStr">
        <is>
          <t>04/09/2026</t>
        </is>
      </c>
      <c r="D21" s="7" t="inlineStr">
        <is>
          <t>Sep-2026</t>
        </is>
      </c>
      <c r="E21" s="7" t="inlineStr">
        <is>
          <t>viernes</t>
        </is>
      </c>
      <c r="F21" s="7" t="n">
        <v>2481</v>
      </c>
      <c r="G21" s="7" t="inlineStr">
        <is>
          <t>MIA</t>
        </is>
      </c>
      <c r="H21" s="7" t="inlineStr">
        <is>
          <t>LIM</t>
        </is>
      </c>
      <c r="I21" s="7" t="inlineStr">
        <is>
          <t>15:55:00</t>
        </is>
      </c>
      <c r="J21" s="7" t="inlineStr">
        <is>
          <t>21:40:00</t>
        </is>
      </c>
      <c r="K21" s="7" t="inlineStr">
        <is>
          <t>NO</t>
        </is>
      </c>
      <c r="L21" s="7" t="n">
        <v>763</v>
      </c>
      <c r="M21" s="7" t="inlineStr">
        <is>
          <t>05:45:00</t>
        </is>
      </c>
      <c r="N21" s="7" t="n">
        <v>3</v>
      </c>
      <c r="O21">
        <f>IF(O19="","",O19)</f>
        <v/>
      </c>
      <c r="Q21">
        <f>IF(Q18="","",Q18)</f>
        <v/>
      </c>
    </row>
    <row r="22">
      <c r="Q22">
        <f>"- "&amp;G21&amp;"-"&amp;H21</f>
        <v/>
      </c>
    </row>
    <row r="23">
      <c r="Q23">
        <f>"- LA "&amp;F21&amp;" ("&amp;LEFT(I21,5)&amp;"-"&amp;LEFT(J21,5)&amp;" hrs)"</f>
        <v/>
      </c>
    </row>
    <row r="25">
      <c r="Q25" s="3" t="n"/>
    </row>
    <row r="26">
      <c r="B26" s="4" t="inlineStr">
        <is>
          <t>Pairing ID</t>
        </is>
      </c>
      <c r="C26" s="4" t="inlineStr">
        <is>
          <t>FECHA REAL</t>
        </is>
      </c>
      <c r="D26" s="5" t="inlineStr">
        <is>
          <t>MES</t>
        </is>
      </c>
      <c r="E26" s="4" t="inlineStr">
        <is>
          <t>Day of Week</t>
        </is>
      </c>
      <c r="F26" s="4" t="inlineStr">
        <is>
          <t>Flight No</t>
        </is>
      </c>
      <c r="G26" s="4" t="inlineStr">
        <is>
          <t>Dep Stn</t>
        </is>
      </c>
      <c r="H26" s="4" t="inlineStr">
        <is>
          <t>Arr Stn</t>
        </is>
      </c>
      <c r="I26" s="4" t="inlineStr">
        <is>
          <t>STD</t>
        </is>
      </c>
      <c r="J26" s="4" t="inlineStr">
        <is>
          <t>STA</t>
        </is>
      </c>
      <c r="K26" s="4" t="inlineStr">
        <is>
          <t>DAY</t>
        </is>
      </c>
      <c r="L26" s="4" t="inlineStr">
        <is>
          <t>AC Type</t>
        </is>
      </c>
      <c r="M26" s="4" t="inlineStr">
        <is>
          <t>HBT</t>
        </is>
      </c>
      <c r="N26" s="6" t="inlineStr">
        <is>
          <t>DIA_DUTY</t>
        </is>
      </c>
      <c r="O26" s="3" t="n"/>
      <c r="Q26">
        <f>"- "&amp;G27&amp;"-"&amp;H27</f>
        <v/>
      </c>
      <c r="R26" s="7">
        <f>B27</f>
        <v/>
      </c>
      <c r="S26" s="7">
        <f>C27</f>
        <v/>
      </c>
      <c r="T26" s="7">
        <f>E27</f>
        <v/>
      </c>
      <c r="U26" s="7">
        <f>F27&amp;"/"&amp;F28</f>
        <v/>
      </c>
      <c r="V26" s="7">
        <f>G27&amp;"-"&amp;H27&amp;"-"&amp;G27</f>
        <v/>
      </c>
      <c r="W26" s="7">
        <f>IF(O26="","",O26)</f>
        <v/>
      </c>
      <c r="X26" s="7">
        <f>IF(Q25="","",Q25)</f>
        <v/>
      </c>
      <c r="Y26" s="7">
        <f>C27</f>
        <v/>
      </c>
      <c r="Z26" s="7">
        <f>C28</f>
        <v/>
      </c>
    </row>
    <row r="27">
      <c r="B27" s="7" t="n">
        <v>44</v>
      </c>
      <c r="C27" s="7" t="inlineStr">
        <is>
          <t>03/09/2026</t>
        </is>
      </c>
      <c r="D27" s="7" t="inlineStr">
        <is>
          <t>Sep-2026</t>
        </is>
      </c>
      <c r="E27" s="7" t="inlineStr">
        <is>
          <t>jueves</t>
        </is>
      </c>
      <c r="F27" s="7" t="n">
        <v>2413</v>
      </c>
      <c r="G27" s="7" t="inlineStr">
        <is>
          <t>LIM</t>
        </is>
      </c>
      <c r="H27" s="7" t="inlineStr">
        <is>
          <t>SCL</t>
        </is>
      </c>
      <c r="I27" s="7" t="inlineStr">
        <is>
          <t>12:05:00</t>
        </is>
      </c>
      <c r="J27" s="7" t="inlineStr">
        <is>
          <t>15:45:00</t>
        </is>
      </c>
      <c r="K27" s="7" t="inlineStr">
        <is>
          <t>NO</t>
        </is>
      </c>
      <c r="L27" s="7" t="n">
        <v>763</v>
      </c>
      <c r="M27" s="7" t="inlineStr">
        <is>
          <t>03:40:00</t>
        </is>
      </c>
      <c r="N27" s="7" t="n">
        <v>1</v>
      </c>
      <c r="Q27">
        <f>"- LA "&amp;F27&amp;" ("&amp;LEFT(I27,5)&amp;"-"&amp;LEFT(J27,5)&amp;" hrs)"</f>
        <v/>
      </c>
    </row>
    <row r="28">
      <c r="B28" s="7" t="n">
        <v>44</v>
      </c>
      <c r="C28" s="7" t="inlineStr">
        <is>
          <t>03/09/2026</t>
        </is>
      </c>
      <c r="D28" s="7" t="inlineStr">
        <is>
          <t>Sep-2026</t>
        </is>
      </c>
      <c r="E28" s="7" t="inlineStr">
        <is>
          <t>jueves</t>
        </is>
      </c>
      <c r="F28" s="7" t="n">
        <v>2412</v>
      </c>
      <c r="G28" s="7" t="inlineStr">
        <is>
          <t>SCL</t>
        </is>
      </c>
      <c r="H28" s="7" t="inlineStr">
        <is>
          <t>LIM</t>
        </is>
      </c>
      <c r="I28" s="7" t="inlineStr">
        <is>
          <t>17:10:00</t>
        </is>
      </c>
      <c r="J28" s="7" t="inlineStr">
        <is>
          <t>21:00:00</t>
        </is>
      </c>
      <c r="K28" s="7" t="inlineStr">
        <is>
          <t>NO</t>
        </is>
      </c>
      <c r="L28" s="7" t="n">
        <v>763</v>
      </c>
      <c r="M28" s="7" t="inlineStr">
        <is>
          <t>03:50:00</t>
        </is>
      </c>
      <c r="N28" s="7" t="n">
        <v>1</v>
      </c>
      <c r="O28">
        <f>IF(O26="","",O26)</f>
        <v/>
      </c>
      <c r="Q28">
        <f>IF(Q25="","",Q25)</f>
        <v/>
      </c>
    </row>
    <row r="29">
      <c r="Q29">
        <f>"- "&amp;G28&amp;"-"&amp;H28</f>
        <v/>
      </c>
    </row>
    <row r="30">
      <c r="Q30">
        <f>"- LA "&amp;F28&amp;" ("&amp;LEFT(I28,5)&amp;"-"&amp;LEFT(J28,5)&amp;" hrs)"</f>
        <v/>
      </c>
    </row>
    <row r="32">
      <c r="Q32" s="3" t="n"/>
    </row>
    <row r="33">
      <c r="B33" s="4" t="inlineStr">
        <is>
          <t>Pairing ID</t>
        </is>
      </c>
      <c r="C33" s="4" t="inlineStr">
        <is>
          <t>FECHA REAL</t>
        </is>
      </c>
      <c r="D33" s="5" t="inlineStr">
        <is>
          <t>MES</t>
        </is>
      </c>
      <c r="E33" s="4" t="inlineStr">
        <is>
          <t>Day of Week</t>
        </is>
      </c>
      <c r="F33" s="4" t="inlineStr">
        <is>
          <t>Flight No</t>
        </is>
      </c>
      <c r="G33" s="4" t="inlineStr">
        <is>
          <t>Dep Stn</t>
        </is>
      </c>
      <c r="H33" s="4" t="inlineStr">
        <is>
          <t>Arr Stn</t>
        </is>
      </c>
      <c r="I33" s="4" t="inlineStr">
        <is>
          <t>STD</t>
        </is>
      </c>
      <c r="J33" s="4" t="inlineStr">
        <is>
          <t>STA</t>
        </is>
      </c>
      <c r="K33" s="4" t="inlineStr">
        <is>
          <t>DAY</t>
        </is>
      </c>
      <c r="L33" s="4" t="inlineStr">
        <is>
          <t>AC Type</t>
        </is>
      </c>
      <c r="M33" s="4" t="inlineStr">
        <is>
          <t>HBT</t>
        </is>
      </c>
      <c r="N33" s="6" t="inlineStr">
        <is>
          <t>DIA_DUTY</t>
        </is>
      </c>
      <c r="O33" s="3" t="n"/>
      <c r="Q33">
        <f>"- "&amp;G34&amp;"-"&amp;H34</f>
        <v/>
      </c>
      <c r="R33" s="7">
        <f>B34</f>
        <v/>
      </c>
      <c r="S33" s="7">
        <f>C34</f>
        <v/>
      </c>
      <c r="T33" s="7">
        <f>E34</f>
        <v/>
      </c>
      <c r="U33" s="7">
        <f>F34&amp;"/"&amp;F35</f>
        <v/>
      </c>
      <c r="V33" s="7">
        <f>G34&amp;"-"&amp;H34&amp;"-"&amp;G34</f>
        <v/>
      </c>
      <c r="W33" s="7">
        <f>IF(O33="","",O33)</f>
        <v/>
      </c>
      <c r="X33" s="7">
        <f>IF(Q32="","",Q32)</f>
        <v/>
      </c>
      <c r="Y33" s="7">
        <f>C34</f>
        <v/>
      </c>
      <c r="Z33" s="7">
        <f>C35</f>
        <v/>
      </c>
    </row>
    <row r="34">
      <c r="B34" s="7" t="n">
        <v>54</v>
      </c>
      <c r="C34" s="7" t="inlineStr">
        <is>
          <t>04/09/2026</t>
        </is>
      </c>
      <c r="D34" s="7" t="inlineStr">
        <is>
          <t>Sep-2026</t>
        </is>
      </c>
      <c r="E34" s="7" t="inlineStr">
        <is>
          <t>viernes</t>
        </is>
      </c>
      <c r="F34" s="7" t="n">
        <v>2413</v>
      </c>
      <c r="G34" s="7" t="inlineStr">
        <is>
          <t>LIM</t>
        </is>
      </c>
      <c r="H34" s="7" t="inlineStr">
        <is>
          <t>SCL</t>
        </is>
      </c>
      <c r="I34" s="7" t="inlineStr">
        <is>
          <t>12:05:00</t>
        </is>
      </c>
      <c r="J34" s="7" t="inlineStr">
        <is>
          <t>15:45:00</t>
        </is>
      </c>
      <c r="K34" s="7" t="inlineStr">
        <is>
          <t>NO</t>
        </is>
      </c>
      <c r="L34" s="7" t="n">
        <v>763</v>
      </c>
      <c r="M34" s="7" t="inlineStr">
        <is>
          <t>03:40:00</t>
        </is>
      </c>
      <c r="N34" s="7" t="n">
        <v>1</v>
      </c>
      <c r="Q34">
        <f>"- LA "&amp;F34&amp;" ("&amp;LEFT(I34,5)&amp;"-"&amp;LEFT(J34,5)&amp;" hrs)"</f>
        <v/>
      </c>
    </row>
    <row r="35">
      <c r="B35" s="7" t="n">
        <v>54</v>
      </c>
      <c r="C35" s="7" t="inlineStr">
        <is>
          <t>04/09/2026</t>
        </is>
      </c>
      <c r="D35" s="7" t="inlineStr">
        <is>
          <t>Sep-2026</t>
        </is>
      </c>
      <c r="E35" s="7" t="inlineStr">
        <is>
          <t>viernes</t>
        </is>
      </c>
      <c r="F35" s="7" t="n">
        <v>2412</v>
      </c>
      <c r="G35" s="7" t="inlineStr">
        <is>
          <t>SCL</t>
        </is>
      </c>
      <c r="H35" s="7" t="inlineStr">
        <is>
          <t>LIM</t>
        </is>
      </c>
      <c r="I35" s="7" t="inlineStr">
        <is>
          <t>17:10:00</t>
        </is>
      </c>
      <c r="J35" s="7" t="inlineStr">
        <is>
          <t>21:00:00</t>
        </is>
      </c>
      <c r="K35" s="7" t="inlineStr">
        <is>
          <t>NO</t>
        </is>
      </c>
      <c r="L35" s="7" t="n">
        <v>763</v>
      </c>
      <c r="M35" s="7" t="inlineStr">
        <is>
          <t>03:50:00</t>
        </is>
      </c>
      <c r="N35" s="7" t="n">
        <v>1</v>
      </c>
      <c r="O35">
        <f>IF(O33="","",O33)</f>
        <v/>
      </c>
      <c r="Q35">
        <f>IF(Q32="","",Q32)</f>
        <v/>
      </c>
    </row>
    <row r="36">
      <c r="Q36">
        <f>"- "&amp;G35&amp;"-"&amp;H35</f>
        <v/>
      </c>
    </row>
    <row r="37">
      <c r="Q37">
        <f>"- LA "&amp;F35&amp;" ("&amp;LEFT(I35,5)&amp;"-"&amp;LEFT(J35,5)&amp;" hrs)"</f>
        <v/>
      </c>
    </row>
    <row r="39">
      <c r="Q39" s="3" t="n"/>
    </row>
    <row r="40">
      <c r="B40" s="4" t="inlineStr">
        <is>
          <t>Pairing ID</t>
        </is>
      </c>
      <c r="C40" s="4" t="inlineStr">
        <is>
          <t>FECHA REAL</t>
        </is>
      </c>
      <c r="D40" s="5" t="inlineStr">
        <is>
          <t>MES</t>
        </is>
      </c>
      <c r="E40" s="4" t="inlineStr">
        <is>
          <t>Day of Week</t>
        </is>
      </c>
      <c r="F40" s="4" t="inlineStr">
        <is>
          <t>Flight No</t>
        </is>
      </c>
      <c r="G40" s="4" t="inlineStr">
        <is>
          <t>Dep Stn</t>
        </is>
      </c>
      <c r="H40" s="4" t="inlineStr">
        <is>
          <t>Arr Stn</t>
        </is>
      </c>
      <c r="I40" s="4" t="inlineStr">
        <is>
          <t>STD</t>
        </is>
      </c>
      <c r="J40" s="4" t="inlineStr">
        <is>
          <t>STA</t>
        </is>
      </c>
      <c r="K40" s="4" t="inlineStr">
        <is>
          <t>DAY</t>
        </is>
      </c>
      <c r="L40" s="4" t="inlineStr">
        <is>
          <t>AC Type</t>
        </is>
      </c>
      <c r="M40" s="4" t="inlineStr">
        <is>
          <t>HBT</t>
        </is>
      </c>
      <c r="N40" s="6" t="inlineStr">
        <is>
          <t>DIA_DUTY</t>
        </is>
      </c>
      <c r="O40" s="3" t="n"/>
      <c r="Q40">
        <f>"- "&amp;G41&amp;"-"&amp;H41</f>
        <v/>
      </c>
      <c r="R40" s="7">
        <f>B41</f>
        <v/>
      </c>
      <c r="S40" s="7">
        <f>C41</f>
        <v/>
      </c>
      <c r="T40" s="7">
        <f>E41</f>
        <v/>
      </c>
      <c r="U40" s="7">
        <f>F41&amp;"/"&amp;F42</f>
        <v/>
      </c>
      <c r="V40" s="7">
        <f>G41&amp;"-"&amp;H41&amp;"-"&amp;G41</f>
        <v/>
      </c>
      <c r="W40" s="7">
        <f>IF(O40="","",O40)</f>
        <v/>
      </c>
      <c r="X40" s="7">
        <f>IF(Q39="","",Q39)</f>
        <v/>
      </c>
      <c r="Y40" s="7">
        <f>C41</f>
        <v/>
      </c>
      <c r="Z40" s="7">
        <f>C42</f>
        <v/>
      </c>
    </row>
    <row r="41">
      <c r="B41" s="7" t="n">
        <v>88</v>
      </c>
      <c r="C41" s="7" t="inlineStr">
        <is>
          <t>07/09/2026</t>
        </is>
      </c>
      <c r="D41" s="7" t="inlineStr">
        <is>
          <t>Sep-2026</t>
        </is>
      </c>
      <c r="E41" s="7" t="inlineStr">
        <is>
          <t>lunes</t>
        </is>
      </c>
      <c r="F41" s="7" t="n">
        <v>2694</v>
      </c>
      <c r="G41" s="7" t="inlineStr">
        <is>
          <t>LIM</t>
        </is>
      </c>
      <c r="H41" s="7" t="inlineStr">
        <is>
          <t>MIA</t>
        </is>
      </c>
      <c r="I41" s="7" t="inlineStr">
        <is>
          <t>13:30:00</t>
        </is>
      </c>
      <c r="J41" s="7" t="inlineStr">
        <is>
          <t>19:35:00</t>
        </is>
      </c>
      <c r="K41" s="7" t="inlineStr">
        <is>
          <t>NO</t>
        </is>
      </c>
      <c r="L41" s="7" t="n">
        <v>763</v>
      </c>
      <c r="M41" s="7" t="inlineStr">
        <is>
          <t>06:05:00</t>
        </is>
      </c>
      <c r="N41" s="7" t="n">
        <v>1</v>
      </c>
      <c r="Q41">
        <f>"- LA "&amp;F41&amp;" ("&amp;LEFT(I41,5)&amp;"-"&amp;LEFT(J41,5)&amp;" hrs)"</f>
        <v/>
      </c>
    </row>
    <row r="42">
      <c r="B42" s="7" t="n">
        <v>88</v>
      </c>
      <c r="C42" s="7" t="inlineStr">
        <is>
          <t>09/09/2026</t>
        </is>
      </c>
      <c r="D42" s="7" t="inlineStr">
        <is>
          <t>Sep-2026</t>
        </is>
      </c>
      <c r="E42" s="7" t="inlineStr">
        <is>
          <t>miércoles</t>
        </is>
      </c>
      <c r="F42" s="7" t="n">
        <v>2699</v>
      </c>
      <c r="G42" s="7" t="inlineStr">
        <is>
          <t>MIA</t>
        </is>
      </c>
      <c r="H42" s="7" t="inlineStr">
        <is>
          <t>LIM</t>
        </is>
      </c>
      <c r="I42" s="7" t="inlineStr">
        <is>
          <t>23:15:00</t>
        </is>
      </c>
      <c r="J42" s="7" t="inlineStr">
        <is>
          <t>05:00:00</t>
        </is>
      </c>
      <c r="K42" s="7" t="inlineStr">
        <is>
          <t>NO</t>
        </is>
      </c>
      <c r="L42" s="7" t="n">
        <v>763</v>
      </c>
      <c r="M42" s="7" t="inlineStr">
        <is>
          <t>05:45:00</t>
        </is>
      </c>
      <c r="N42" s="7" t="n">
        <v>2</v>
      </c>
      <c r="O42">
        <f>IF(O40="","",O40)</f>
        <v/>
      </c>
      <c r="Q42">
        <f>IF(Q39="","",Q39)</f>
        <v/>
      </c>
    </row>
    <row r="43">
      <c r="Q43">
        <f>"- "&amp;G42&amp;"-"&amp;H42</f>
        <v/>
      </c>
    </row>
    <row r="44">
      <c r="Q44">
        <f>"- LA "&amp;F42&amp;" ("&amp;LEFT(I42,5)&amp;"-"&amp;LEFT(J42,5)&amp;" hrs)"</f>
        <v/>
      </c>
    </row>
    <row r="46">
      <c r="Q46" s="3" t="n"/>
    </row>
    <row r="47">
      <c r="B47" s="4" t="inlineStr">
        <is>
          <t>Pairing ID</t>
        </is>
      </c>
      <c r="C47" s="4" t="inlineStr">
        <is>
          <t>FECHA REAL</t>
        </is>
      </c>
      <c r="D47" s="5" t="inlineStr">
        <is>
          <t>MES</t>
        </is>
      </c>
      <c r="E47" s="4" t="inlineStr">
        <is>
          <t>Day of Week</t>
        </is>
      </c>
      <c r="F47" s="4" t="inlineStr">
        <is>
          <t>Flight No</t>
        </is>
      </c>
      <c r="G47" s="4" t="inlineStr">
        <is>
          <t>Dep Stn</t>
        </is>
      </c>
      <c r="H47" s="4" t="inlineStr">
        <is>
          <t>Arr Stn</t>
        </is>
      </c>
      <c r="I47" s="4" t="inlineStr">
        <is>
          <t>STD</t>
        </is>
      </c>
      <c r="J47" s="4" t="inlineStr">
        <is>
          <t>STA</t>
        </is>
      </c>
      <c r="K47" s="4" t="inlineStr">
        <is>
          <t>DAY</t>
        </is>
      </c>
      <c r="L47" s="4" t="inlineStr">
        <is>
          <t>AC Type</t>
        </is>
      </c>
      <c r="M47" s="4" t="inlineStr">
        <is>
          <t>HBT</t>
        </is>
      </c>
      <c r="N47" s="6" t="inlineStr">
        <is>
          <t>DIA_DUTY</t>
        </is>
      </c>
      <c r="O47" s="3" t="n"/>
      <c r="Q47">
        <f>"- "&amp;G48&amp;"-"&amp;H48</f>
        <v/>
      </c>
      <c r="R47" s="7">
        <f>B48</f>
        <v/>
      </c>
      <c r="S47" s="7">
        <f>C48</f>
        <v/>
      </c>
      <c r="T47" s="7">
        <f>E48</f>
        <v/>
      </c>
      <c r="U47" s="7">
        <f>F48&amp;"/"&amp;F49</f>
        <v/>
      </c>
      <c r="V47" s="7">
        <f>G48&amp;"-"&amp;H48&amp;"-"&amp;G48</f>
        <v/>
      </c>
      <c r="W47" s="7">
        <f>IF(O47="","",O47)</f>
        <v/>
      </c>
      <c r="X47" s="7">
        <f>IF(Q46="","",Q46)</f>
        <v/>
      </c>
      <c r="Y47" s="7">
        <f>C48</f>
        <v/>
      </c>
      <c r="Z47" s="7">
        <f>C49</f>
        <v/>
      </c>
    </row>
    <row r="48">
      <c r="B48" s="7" t="n">
        <v>91</v>
      </c>
      <c r="C48" s="7" t="inlineStr">
        <is>
          <t>08/09/2026</t>
        </is>
      </c>
      <c r="D48" s="7" t="inlineStr">
        <is>
          <t>Sep-2026</t>
        </is>
      </c>
      <c r="E48" s="7" t="inlineStr">
        <is>
          <t>martes</t>
        </is>
      </c>
      <c r="F48" s="7" t="n">
        <v>2480</v>
      </c>
      <c r="G48" s="7" t="inlineStr">
        <is>
          <t>LIM</t>
        </is>
      </c>
      <c r="H48" s="7" t="inlineStr">
        <is>
          <t>MIA</t>
        </is>
      </c>
      <c r="I48" s="7" t="inlineStr">
        <is>
          <t>00:15:00</t>
        </is>
      </c>
      <c r="J48" s="7" t="inlineStr">
        <is>
          <t>06:20:00</t>
        </is>
      </c>
      <c r="K48" s="7" t="inlineStr">
        <is>
          <t>NO</t>
        </is>
      </c>
      <c r="L48" s="7" t="n">
        <v>763</v>
      </c>
      <c r="M48" s="7" t="inlineStr">
        <is>
          <t>06:05:00</t>
        </is>
      </c>
      <c r="N48" s="7" t="n">
        <v>2</v>
      </c>
      <c r="Q48">
        <f>"- LA "&amp;F48&amp;" ("&amp;LEFT(I48,5)&amp;"-"&amp;LEFT(J48,5)&amp;" hrs)"</f>
        <v/>
      </c>
    </row>
    <row r="49">
      <c r="B49" s="7" t="n">
        <v>91</v>
      </c>
      <c r="C49" s="7" t="inlineStr">
        <is>
          <t>09/09/2026</t>
        </is>
      </c>
      <c r="D49" s="7" t="inlineStr">
        <is>
          <t>Sep-2026</t>
        </is>
      </c>
      <c r="E49" s="7" t="inlineStr">
        <is>
          <t>miércoles</t>
        </is>
      </c>
      <c r="F49" s="7" t="n">
        <v>2481</v>
      </c>
      <c r="G49" s="7" t="inlineStr">
        <is>
          <t>MIA</t>
        </is>
      </c>
      <c r="H49" s="7" t="inlineStr">
        <is>
          <t>LIM</t>
        </is>
      </c>
      <c r="I49" s="7" t="inlineStr">
        <is>
          <t>15:55:00</t>
        </is>
      </c>
      <c r="J49" s="7" t="inlineStr">
        <is>
          <t>21:40:00</t>
        </is>
      </c>
      <c r="K49" s="7" t="inlineStr">
        <is>
          <t>NO</t>
        </is>
      </c>
      <c r="L49" s="7" t="n">
        <v>763</v>
      </c>
      <c r="M49" s="7" t="inlineStr">
        <is>
          <t>05:45:00</t>
        </is>
      </c>
      <c r="N49" s="7" t="n">
        <v>3</v>
      </c>
      <c r="O49">
        <f>IF(O47="","",O47)</f>
        <v/>
      </c>
      <c r="Q49">
        <f>IF(Q46="","",Q46)</f>
        <v/>
      </c>
    </row>
    <row r="50">
      <c r="Q50">
        <f>"- "&amp;G49&amp;"-"&amp;H49</f>
        <v/>
      </c>
    </row>
    <row r="51">
      <c r="Q51">
        <f>"- LA "&amp;F49&amp;" ("&amp;LEFT(I49,5)&amp;"-"&amp;LEFT(J49,5)&amp;" hrs)"</f>
        <v/>
      </c>
    </row>
    <row r="53">
      <c r="Q53" s="3" t="n"/>
    </row>
    <row r="54">
      <c r="B54" s="4" t="inlineStr">
        <is>
          <t>Pairing ID</t>
        </is>
      </c>
      <c r="C54" s="4" t="inlineStr">
        <is>
          <t>FECHA REAL</t>
        </is>
      </c>
      <c r="D54" s="5" t="inlineStr">
        <is>
          <t>MES</t>
        </is>
      </c>
      <c r="E54" s="4" t="inlineStr">
        <is>
          <t>Day of Week</t>
        </is>
      </c>
      <c r="F54" s="4" t="inlineStr">
        <is>
          <t>Flight No</t>
        </is>
      </c>
      <c r="G54" s="4" t="inlineStr">
        <is>
          <t>Dep Stn</t>
        </is>
      </c>
      <c r="H54" s="4" t="inlineStr">
        <is>
          <t>Arr Stn</t>
        </is>
      </c>
      <c r="I54" s="4" t="inlineStr">
        <is>
          <t>STD</t>
        </is>
      </c>
      <c r="J54" s="4" t="inlineStr">
        <is>
          <t>STA</t>
        </is>
      </c>
      <c r="K54" s="4" t="inlineStr">
        <is>
          <t>DAY</t>
        </is>
      </c>
      <c r="L54" s="4" t="inlineStr">
        <is>
          <t>AC Type</t>
        </is>
      </c>
      <c r="M54" s="4" t="inlineStr">
        <is>
          <t>HBT</t>
        </is>
      </c>
      <c r="N54" s="6" t="inlineStr">
        <is>
          <t>DIA_DUTY</t>
        </is>
      </c>
      <c r="O54" s="3" t="n"/>
      <c r="Q54">
        <f>"- "&amp;G55&amp;"-"&amp;H55</f>
        <v/>
      </c>
      <c r="R54" s="7">
        <f>B55</f>
        <v/>
      </c>
      <c r="S54" s="7">
        <f>C55</f>
        <v/>
      </c>
      <c r="T54" s="7">
        <f>E55</f>
        <v/>
      </c>
      <c r="U54" s="7">
        <f>F55&amp;"/"&amp;F56</f>
        <v/>
      </c>
      <c r="V54" s="7">
        <f>G55&amp;"-"&amp;H55&amp;"-"&amp;G55</f>
        <v/>
      </c>
      <c r="W54" s="7">
        <f>IF(O54="","",O54)</f>
        <v/>
      </c>
      <c r="X54" s="7">
        <f>IF(Q53="","",Q53)</f>
        <v/>
      </c>
      <c r="Y54" s="7">
        <f>C55</f>
        <v/>
      </c>
      <c r="Z54" s="7">
        <f>C56</f>
        <v/>
      </c>
    </row>
    <row r="55">
      <c r="B55" s="7" t="n">
        <v>100</v>
      </c>
      <c r="C55" s="7" t="inlineStr">
        <is>
          <t>09/09/2026</t>
        </is>
      </c>
      <c r="D55" s="7" t="inlineStr">
        <is>
          <t>Sep-2026</t>
        </is>
      </c>
      <c r="E55" s="7" t="inlineStr">
        <is>
          <t>miércoles</t>
        </is>
      </c>
      <c r="F55" s="7" t="n">
        <v>2480</v>
      </c>
      <c r="G55" s="7" t="inlineStr">
        <is>
          <t>LIM</t>
        </is>
      </c>
      <c r="H55" s="7" t="inlineStr">
        <is>
          <t>MIA</t>
        </is>
      </c>
      <c r="I55" s="7" t="inlineStr">
        <is>
          <t>00:15:00</t>
        </is>
      </c>
      <c r="J55" s="7" t="inlineStr">
        <is>
          <t>06:20:00</t>
        </is>
      </c>
      <c r="K55" s="7" t="inlineStr">
        <is>
          <t>NO</t>
        </is>
      </c>
      <c r="L55" s="7" t="n">
        <v>763</v>
      </c>
      <c r="M55" s="7" t="inlineStr">
        <is>
          <t>06:05:00</t>
        </is>
      </c>
      <c r="N55" s="7" t="n">
        <v>2</v>
      </c>
      <c r="Q55">
        <f>"- LA "&amp;F55&amp;" ("&amp;LEFT(I55,5)&amp;"-"&amp;LEFT(J55,5)&amp;" hrs)"</f>
        <v/>
      </c>
    </row>
    <row r="56">
      <c r="B56" s="7" t="n">
        <v>100</v>
      </c>
      <c r="C56" s="7" t="inlineStr">
        <is>
          <t>10/09/2026</t>
        </is>
      </c>
      <c r="D56" s="7" t="inlineStr">
        <is>
          <t>Sep-2026</t>
        </is>
      </c>
      <c r="E56" s="7" t="inlineStr">
        <is>
          <t>jueves</t>
        </is>
      </c>
      <c r="F56" s="7" t="n">
        <v>2695</v>
      </c>
      <c r="G56" s="7" t="inlineStr">
        <is>
          <t>MIA</t>
        </is>
      </c>
      <c r="H56" s="7" t="inlineStr">
        <is>
          <t>LIM</t>
        </is>
      </c>
      <c r="I56" s="7" t="inlineStr">
        <is>
          <t>16:10:00</t>
        </is>
      </c>
      <c r="J56" s="7" t="inlineStr">
        <is>
          <t>22:00:00</t>
        </is>
      </c>
      <c r="K56" s="7" t="inlineStr">
        <is>
          <t>NO</t>
        </is>
      </c>
      <c r="L56" s="7" t="n">
        <v>763</v>
      </c>
      <c r="M56" s="7" t="inlineStr">
        <is>
          <t>05:50:00</t>
        </is>
      </c>
      <c r="N56" s="7" t="n">
        <v>3</v>
      </c>
      <c r="O56">
        <f>IF(O54="","",O54)</f>
        <v/>
      </c>
      <c r="Q56">
        <f>IF(Q53="","",Q53)</f>
        <v/>
      </c>
    </row>
    <row r="57">
      <c r="Q57">
        <f>"- "&amp;G56&amp;"-"&amp;H56</f>
        <v/>
      </c>
    </row>
    <row r="58">
      <c r="Q58">
        <f>"- LA "&amp;F56&amp;" ("&amp;LEFT(I56,5)&amp;"-"&amp;LEFT(J56,5)&amp;" hrs)"</f>
        <v/>
      </c>
    </row>
    <row r="60">
      <c r="Q60" s="3" t="n"/>
    </row>
    <row r="61">
      <c r="B61" s="4" t="inlineStr">
        <is>
          <t>Pairing ID</t>
        </is>
      </c>
      <c r="C61" s="4" t="inlineStr">
        <is>
          <t>FECHA REAL</t>
        </is>
      </c>
      <c r="D61" s="5" t="inlineStr">
        <is>
          <t>MES</t>
        </is>
      </c>
      <c r="E61" s="4" t="inlineStr">
        <is>
          <t>Day of Week</t>
        </is>
      </c>
      <c r="F61" s="4" t="inlineStr">
        <is>
          <t>Flight No</t>
        </is>
      </c>
      <c r="G61" s="4" t="inlineStr">
        <is>
          <t>Dep Stn</t>
        </is>
      </c>
      <c r="H61" s="4" t="inlineStr">
        <is>
          <t>Arr Stn</t>
        </is>
      </c>
      <c r="I61" s="4" t="inlineStr">
        <is>
          <t>STD</t>
        </is>
      </c>
      <c r="J61" s="4" t="inlineStr">
        <is>
          <t>STA</t>
        </is>
      </c>
      <c r="K61" s="4" t="inlineStr">
        <is>
          <t>DAY</t>
        </is>
      </c>
      <c r="L61" s="4" t="inlineStr">
        <is>
          <t>AC Type</t>
        </is>
      </c>
      <c r="M61" s="4" t="inlineStr">
        <is>
          <t>HBT</t>
        </is>
      </c>
      <c r="N61" s="6" t="inlineStr">
        <is>
          <t>DIA_DUTY</t>
        </is>
      </c>
      <c r="O61" s="3" t="n"/>
      <c r="Q61">
        <f>"- "&amp;G62&amp;"-"&amp;H62</f>
        <v/>
      </c>
      <c r="R61" s="7">
        <f>B62</f>
        <v/>
      </c>
      <c r="S61" s="7">
        <f>C62</f>
        <v/>
      </c>
      <c r="T61" s="7">
        <f>E62</f>
        <v/>
      </c>
      <c r="U61" s="7">
        <f>F62&amp;"/"&amp;F63</f>
        <v/>
      </c>
      <c r="V61" s="7">
        <f>G62&amp;"-"&amp;H62&amp;"-"&amp;G62</f>
        <v/>
      </c>
      <c r="W61" s="7">
        <f>IF(O61="","",O61)</f>
        <v/>
      </c>
      <c r="X61" s="7">
        <f>IF(Q60="","",Q60)</f>
        <v/>
      </c>
      <c r="Y61" s="7">
        <f>C62</f>
        <v/>
      </c>
      <c r="Z61" s="7">
        <f>C63</f>
        <v/>
      </c>
    </row>
    <row r="62">
      <c r="B62" s="7" t="n">
        <v>110</v>
      </c>
      <c r="C62" s="7" t="inlineStr">
        <is>
          <t>10/09/2026</t>
        </is>
      </c>
      <c r="D62" s="7" t="inlineStr">
        <is>
          <t>Sep-2026</t>
        </is>
      </c>
      <c r="E62" s="7" t="inlineStr">
        <is>
          <t>jueves</t>
        </is>
      </c>
      <c r="F62" s="7" t="n">
        <v>2480</v>
      </c>
      <c r="G62" s="7" t="inlineStr">
        <is>
          <t>LIM</t>
        </is>
      </c>
      <c r="H62" s="7" t="inlineStr">
        <is>
          <t>MIA</t>
        </is>
      </c>
      <c r="I62" s="7" t="inlineStr">
        <is>
          <t>00:15:00</t>
        </is>
      </c>
      <c r="J62" s="7" t="inlineStr">
        <is>
          <t>06:20:00</t>
        </is>
      </c>
      <c r="K62" s="7" t="inlineStr">
        <is>
          <t>NO</t>
        </is>
      </c>
      <c r="L62" s="7" t="n">
        <v>763</v>
      </c>
      <c r="M62" s="7" t="inlineStr">
        <is>
          <t>06:05:00</t>
        </is>
      </c>
      <c r="N62" s="7" t="n">
        <v>2</v>
      </c>
      <c r="Q62">
        <f>"- LA "&amp;F62&amp;" ("&amp;LEFT(I62,5)&amp;"-"&amp;LEFT(J62,5)&amp;" hrs)"</f>
        <v/>
      </c>
    </row>
    <row r="63">
      <c r="B63" s="7" t="n">
        <v>110</v>
      </c>
      <c r="C63" s="7" t="inlineStr">
        <is>
          <t>11/09/2026</t>
        </is>
      </c>
      <c r="D63" s="7" t="inlineStr">
        <is>
          <t>Sep-2026</t>
        </is>
      </c>
      <c r="E63" s="7" t="inlineStr">
        <is>
          <t>viernes</t>
        </is>
      </c>
      <c r="F63" s="7" t="n">
        <v>2481</v>
      </c>
      <c r="G63" s="7" t="inlineStr">
        <is>
          <t>MIA</t>
        </is>
      </c>
      <c r="H63" s="7" t="inlineStr">
        <is>
          <t>LIM</t>
        </is>
      </c>
      <c r="I63" s="7" t="inlineStr">
        <is>
          <t>15:55:00</t>
        </is>
      </c>
      <c r="J63" s="7" t="inlineStr">
        <is>
          <t>21:40:00</t>
        </is>
      </c>
      <c r="K63" s="7" t="inlineStr">
        <is>
          <t>NO</t>
        </is>
      </c>
      <c r="L63" s="7" t="n">
        <v>763</v>
      </c>
      <c r="M63" s="7" t="inlineStr">
        <is>
          <t>05:45:00</t>
        </is>
      </c>
      <c r="N63" s="7" t="n">
        <v>3</v>
      </c>
      <c r="O63">
        <f>IF(O61="","",O61)</f>
        <v/>
      </c>
      <c r="Q63">
        <f>IF(Q60="","",Q60)</f>
        <v/>
      </c>
    </row>
    <row r="64">
      <c r="Q64">
        <f>"- "&amp;G63&amp;"-"&amp;H63</f>
        <v/>
      </c>
    </row>
    <row r="65">
      <c r="Q65">
        <f>"- LA "&amp;F63&amp;" ("&amp;LEFT(I63,5)&amp;"-"&amp;LEFT(J63,5)&amp;" hrs)"</f>
        <v/>
      </c>
    </row>
    <row r="67">
      <c r="Q67" s="3" t="n"/>
    </row>
    <row r="68">
      <c r="B68" s="4" t="inlineStr">
        <is>
          <t>Pairing ID</t>
        </is>
      </c>
      <c r="C68" s="4" t="inlineStr">
        <is>
          <t>FECHA REAL</t>
        </is>
      </c>
      <c r="D68" s="5" t="inlineStr">
        <is>
          <t>MES</t>
        </is>
      </c>
      <c r="E68" s="4" t="inlineStr">
        <is>
          <t>Day of Week</t>
        </is>
      </c>
      <c r="F68" s="4" t="inlineStr">
        <is>
          <t>Flight No</t>
        </is>
      </c>
      <c r="G68" s="4" t="inlineStr">
        <is>
          <t>Dep Stn</t>
        </is>
      </c>
      <c r="H68" s="4" t="inlineStr">
        <is>
          <t>Arr Stn</t>
        </is>
      </c>
      <c r="I68" s="4" t="inlineStr">
        <is>
          <t>STD</t>
        </is>
      </c>
      <c r="J68" s="4" t="inlineStr">
        <is>
          <t>STA</t>
        </is>
      </c>
      <c r="K68" s="4" t="inlineStr">
        <is>
          <t>DAY</t>
        </is>
      </c>
      <c r="L68" s="4" t="inlineStr">
        <is>
          <t>AC Type</t>
        </is>
      </c>
      <c r="M68" s="4" t="inlineStr">
        <is>
          <t>HBT</t>
        </is>
      </c>
      <c r="N68" s="6" t="inlineStr">
        <is>
          <t>DIA_DUTY</t>
        </is>
      </c>
      <c r="O68" s="3" t="n"/>
      <c r="Q68">
        <f>"- "&amp;G69&amp;"-"&amp;H69</f>
        <v/>
      </c>
      <c r="R68" s="7">
        <f>B69</f>
        <v/>
      </c>
      <c r="S68" s="7">
        <f>C69</f>
        <v/>
      </c>
      <c r="T68" s="7">
        <f>E69</f>
        <v/>
      </c>
      <c r="U68" s="7">
        <f>F69&amp;"/"&amp;F70</f>
        <v/>
      </c>
      <c r="V68" s="7">
        <f>G69&amp;"-"&amp;H69&amp;"-"&amp;G69</f>
        <v/>
      </c>
      <c r="W68" s="7">
        <f>IF(O68="","",O68)</f>
        <v/>
      </c>
      <c r="X68" s="7">
        <f>IF(Q67="","",Q67)</f>
        <v/>
      </c>
      <c r="Y68" s="7">
        <f>C69</f>
        <v/>
      </c>
      <c r="Z68" s="7">
        <f>C70</f>
        <v/>
      </c>
    </row>
    <row r="69">
      <c r="B69" s="7" t="n">
        <v>115</v>
      </c>
      <c r="C69" s="7" t="inlineStr">
        <is>
          <t>10/09/2026</t>
        </is>
      </c>
      <c r="D69" s="7" t="inlineStr">
        <is>
          <t>Sep-2026</t>
        </is>
      </c>
      <c r="E69" s="7" t="inlineStr">
        <is>
          <t>jueves</t>
        </is>
      </c>
      <c r="F69" s="7" t="n">
        <v>2413</v>
      </c>
      <c r="G69" s="7" t="inlineStr">
        <is>
          <t>LIM</t>
        </is>
      </c>
      <c r="H69" s="7" t="inlineStr">
        <is>
          <t>SCL</t>
        </is>
      </c>
      <c r="I69" s="7" t="inlineStr">
        <is>
          <t>12:05:00</t>
        </is>
      </c>
      <c r="J69" s="7" t="inlineStr">
        <is>
          <t>15:45:00</t>
        </is>
      </c>
      <c r="K69" s="7" t="inlineStr">
        <is>
          <t>NO</t>
        </is>
      </c>
      <c r="L69" s="7" t="n">
        <v>763</v>
      </c>
      <c r="M69" s="7" t="inlineStr">
        <is>
          <t>03:40:00</t>
        </is>
      </c>
      <c r="N69" s="7" t="n">
        <v>1</v>
      </c>
      <c r="Q69">
        <f>"- LA "&amp;F69&amp;" ("&amp;LEFT(I69,5)&amp;"-"&amp;LEFT(J69,5)&amp;" hrs)"</f>
        <v/>
      </c>
    </row>
    <row r="70">
      <c r="B70" s="7" t="n">
        <v>115</v>
      </c>
      <c r="C70" s="7" t="inlineStr">
        <is>
          <t>10/09/2026</t>
        </is>
      </c>
      <c r="D70" s="7" t="inlineStr">
        <is>
          <t>Sep-2026</t>
        </is>
      </c>
      <c r="E70" s="7" t="inlineStr">
        <is>
          <t>jueves</t>
        </is>
      </c>
      <c r="F70" s="7" t="n">
        <v>2412</v>
      </c>
      <c r="G70" s="7" t="inlineStr">
        <is>
          <t>SCL</t>
        </is>
      </c>
      <c r="H70" s="7" t="inlineStr">
        <is>
          <t>LIM</t>
        </is>
      </c>
      <c r="I70" s="7" t="inlineStr">
        <is>
          <t>17:10:00</t>
        </is>
      </c>
      <c r="J70" s="7" t="inlineStr">
        <is>
          <t>21:00:00</t>
        </is>
      </c>
      <c r="K70" s="7" t="inlineStr">
        <is>
          <t>NO</t>
        </is>
      </c>
      <c r="L70" s="7" t="n">
        <v>763</v>
      </c>
      <c r="M70" s="7" t="inlineStr">
        <is>
          <t>03:50:00</t>
        </is>
      </c>
      <c r="N70" s="7" t="n">
        <v>1</v>
      </c>
      <c r="O70">
        <f>IF(O68="","",O68)</f>
        <v/>
      </c>
      <c r="Q70">
        <f>IF(Q67="","",Q67)</f>
        <v/>
      </c>
    </row>
    <row r="71">
      <c r="Q71">
        <f>"- "&amp;G70&amp;"-"&amp;H70</f>
        <v/>
      </c>
    </row>
    <row r="72">
      <c r="Q72">
        <f>"- LA "&amp;F70&amp;" ("&amp;LEFT(I70,5)&amp;"-"&amp;LEFT(J70,5)&amp;" hrs)"</f>
        <v/>
      </c>
    </row>
    <row r="74">
      <c r="Q74" s="3" t="n"/>
    </row>
    <row r="75">
      <c r="B75" s="4" t="inlineStr">
        <is>
          <t>Pairing ID</t>
        </is>
      </c>
      <c r="C75" s="4" t="inlineStr">
        <is>
          <t>FECHA REAL</t>
        </is>
      </c>
      <c r="D75" s="5" t="inlineStr">
        <is>
          <t>MES</t>
        </is>
      </c>
      <c r="E75" s="4" t="inlineStr">
        <is>
          <t>Day of Week</t>
        </is>
      </c>
      <c r="F75" s="4" t="inlineStr">
        <is>
          <t>Flight No</t>
        </is>
      </c>
      <c r="G75" s="4" t="inlineStr">
        <is>
          <t>Dep Stn</t>
        </is>
      </c>
      <c r="H75" s="4" t="inlineStr">
        <is>
          <t>Arr Stn</t>
        </is>
      </c>
      <c r="I75" s="4" t="inlineStr">
        <is>
          <t>STD</t>
        </is>
      </c>
      <c r="J75" s="4" t="inlineStr">
        <is>
          <t>STA</t>
        </is>
      </c>
      <c r="K75" s="4" t="inlineStr">
        <is>
          <t>DAY</t>
        </is>
      </c>
      <c r="L75" s="4" t="inlineStr">
        <is>
          <t>AC Type</t>
        </is>
      </c>
      <c r="M75" s="4" t="inlineStr">
        <is>
          <t>HBT</t>
        </is>
      </c>
      <c r="N75" s="6" t="inlineStr">
        <is>
          <t>DIA_DUTY</t>
        </is>
      </c>
      <c r="O75" s="3" t="n"/>
      <c r="Q75">
        <f>"- "&amp;G76&amp;"-"&amp;H76</f>
        <v/>
      </c>
      <c r="R75" s="7">
        <f>B76</f>
        <v/>
      </c>
      <c r="S75" s="7">
        <f>C76</f>
        <v/>
      </c>
      <c r="T75" s="7">
        <f>E76</f>
        <v/>
      </c>
      <c r="U75" s="7">
        <f>F76&amp;"/"&amp;F77</f>
        <v/>
      </c>
      <c r="V75" s="7">
        <f>G76&amp;"-"&amp;H76&amp;"-"&amp;G76</f>
        <v/>
      </c>
      <c r="W75" s="7">
        <f>IF(O75="","",O75)</f>
        <v/>
      </c>
      <c r="X75" s="7">
        <f>IF(Q74="","",Q74)</f>
        <v/>
      </c>
      <c r="Y75" s="7">
        <f>C76</f>
        <v/>
      </c>
      <c r="Z75" s="7">
        <f>C77</f>
        <v/>
      </c>
    </row>
    <row r="76">
      <c r="B76" s="7" t="n">
        <v>125</v>
      </c>
      <c r="C76" s="7" t="inlineStr">
        <is>
          <t>11/09/2026</t>
        </is>
      </c>
      <c r="D76" s="7" t="inlineStr">
        <is>
          <t>Sep-2026</t>
        </is>
      </c>
      <c r="E76" s="7" t="inlineStr">
        <is>
          <t>viernes</t>
        </is>
      </c>
      <c r="F76" s="7" t="n">
        <v>2413</v>
      </c>
      <c r="G76" s="7" t="inlineStr">
        <is>
          <t>LIM</t>
        </is>
      </c>
      <c r="H76" s="7" t="inlineStr">
        <is>
          <t>SCL</t>
        </is>
      </c>
      <c r="I76" s="7" t="inlineStr">
        <is>
          <t>12:05:00</t>
        </is>
      </c>
      <c r="J76" s="7" t="inlineStr">
        <is>
          <t>15:45:00</t>
        </is>
      </c>
      <c r="K76" s="7" t="inlineStr">
        <is>
          <t>NO</t>
        </is>
      </c>
      <c r="L76" s="7" t="n">
        <v>763</v>
      </c>
      <c r="M76" s="7" t="inlineStr">
        <is>
          <t>03:40:00</t>
        </is>
      </c>
      <c r="N76" s="7" t="n">
        <v>1</v>
      </c>
      <c r="Q76">
        <f>"- LA "&amp;F76&amp;" ("&amp;LEFT(I76,5)&amp;"-"&amp;LEFT(J76,5)&amp;" hrs)"</f>
        <v/>
      </c>
    </row>
    <row r="77">
      <c r="B77" s="7" t="n">
        <v>125</v>
      </c>
      <c r="C77" s="7" t="inlineStr">
        <is>
          <t>11/09/2026</t>
        </is>
      </c>
      <c r="D77" s="7" t="inlineStr">
        <is>
          <t>Sep-2026</t>
        </is>
      </c>
      <c r="E77" s="7" t="inlineStr">
        <is>
          <t>viernes</t>
        </is>
      </c>
      <c r="F77" s="7" t="n">
        <v>2412</v>
      </c>
      <c r="G77" s="7" t="inlineStr">
        <is>
          <t>SCL</t>
        </is>
      </c>
      <c r="H77" s="7" t="inlineStr">
        <is>
          <t>LIM</t>
        </is>
      </c>
      <c r="I77" s="7" t="inlineStr">
        <is>
          <t>17:10:00</t>
        </is>
      </c>
      <c r="J77" s="7" t="inlineStr">
        <is>
          <t>21:00:00</t>
        </is>
      </c>
      <c r="K77" s="7" t="inlineStr">
        <is>
          <t>NO</t>
        </is>
      </c>
      <c r="L77" s="7" t="n">
        <v>763</v>
      </c>
      <c r="M77" s="7" t="inlineStr">
        <is>
          <t>03:50:00</t>
        </is>
      </c>
      <c r="N77" s="7" t="n">
        <v>1</v>
      </c>
      <c r="O77">
        <f>IF(O75="","",O75)</f>
        <v/>
      </c>
      <c r="Q77">
        <f>IF(Q74="","",Q74)</f>
        <v/>
      </c>
    </row>
    <row r="78">
      <c r="Q78">
        <f>"- "&amp;G77&amp;"-"&amp;H77</f>
        <v/>
      </c>
    </row>
    <row r="79">
      <c r="Q79">
        <f>"- LA "&amp;F77&amp;" ("&amp;LEFT(I77,5)&amp;"-"&amp;LEFT(J77,5)&amp;" hrs)"</f>
        <v/>
      </c>
    </row>
    <row r="81">
      <c r="Q81" s="3" t="n"/>
    </row>
    <row r="82">
      <c r="B82" s="4" t="inlineStr">
        <is>
          <t>Pairing ID</t>
        </is>
      </c>
      <c r="C82" s="4" t="inlineStr">
        <is>
          <t>FECHA REAL</t>
        </is>
      </c>
      <c r="D82" s="5" t="inlineStr">
        <is>
          <t>MES</t>
        </is>
      </c>
      <c r="E82" s="4" t="inlineStr">
        <is>
          <t>Day of Week</t>
        </is>
      </c>
      <c r="F82" s="4" t="inlineStr">
        <is>
          <t>Flight No</t>
        </is>
      </c>
      <c r="G82" s="4" t="inlineStr">
        <is>
          <t>Dep Stn</t>
        </is>
      </c>
      <c r="H82" s="4" t="inlineStr">
        <is>
          <t>Arr Stn</t>
        </is>
      </c>
      <c r="I82" s="4" t="inlineStr">
        <is>
          <t>STD</t>
        </is>
      </c>
      <c r="J82" s="4" t="inlineStr">
        <is>
          <t>STA</t>
        </is>
      </c>
      <c r="K82" s="4" t="inlineStr">
        <is>
          <t>DAY</t>
        </is>
      </c>
      <c r="L82" s="4" t="inlineStr">
        <is>
          <t>AC Type</t>
        </is>
      </c>
      <c r="M82" s="4" t="inlineStr">
        <is>
          <t>HBT</t>
        </is>
      </c>
      <c r="N82" s="6" t="inlineStr">
        <is>
          <t>DIA_DUTY</t>
        </is>
      </c>
      <c r="O82" s="3" t="n"/>
      <c r="Q82">
        <f>"- "&amp;G83&amp;"-"&amp;H83</f>
        <v/>
      </c>
      <c r="R82" s="7">
        <f>B83</f>
        <v/>
      </c>
      <c r="S82" s="7">
        <f>C83</f>
        <v/>
      </c>
      <c r="T82" s="7">
        <f>E83</f>
        <v/>
      </c>
      <c r="U82" s="7">
        <f>F83&amp;"/"&amp;F84</f>
        <v/>
      </c>
      <c r="V82" s="7">
        <f>G83&amp;"-"&amp;H83&amp;"-"&amp;G83</f>
        <v/>
      </c>
      <c r="W82" s="7">
        <f>IF(O82="","",O82)</f>
        <v/>
      </c>
      <c r="X82" s="7">
        <f>IF(Q81="","",Q81)</f>
        <v/>
      </c>
      <c r="Y82" s="7">
        <f>C83</f>
        <v/>
      </c>
      <c r="Z82" s="7">
        <f>C84</f>
        <v/>
      </c>
    </row>
    <row r="83">
      <c r="B83" s="7" t="n">
        <v>159</v>
      </c>
      <c r="C83" s="7" t="inlineStr">
        <is>
          <t>14/09/2026</t>
        </is>
      </c>
      <c r="D83" s="7" t="inlineStr">
        <is>
          <t>Sep-2026</t>
        </is>
      </c>
      <c r="E83" s="7" t="inlineStr">
        <is>
          <t>lunes</t>
        </is>
      </c>
      <c r="F83" s="7" t="n">
        <v>2694</v>
      </c>
      <c r="G83" s="7" t="inlineStr">
        <is>
          <t>LIM</t>
        </is>
      </c>
      <c r="H83" s="7" t="inlineStr">
        <is>
          <t>MIA</t>
        </is>
      </c>
      <c r="I83" s="7" t="inlineStr">
        <is>
          <t>13:30:00</t>
        </is>
      </c>
      <c r="J83" s="7" t="inlineStr">
        <is>
          <t>19:35:00</t>
        </is>
      </c>
      <c r="K83" s="7" t="inlineStr">
        <is>
          <t>NO</t>
        </is>
      </c>
      <c r="L83" s="7" t="n">
        <v>763</v>
      </c>
      <c r="M83" s="7" t="inlineStr">
        <is>
          <t>06:05:00</t>
        </is>
      </c>
      <c r="N83" s="7" t="n">
        <v>1</v>
      </c>
      <c r="Q83">
        <f>"- LA "&amp;F83&amp;" ("&amp;LEFT(I83,5)&amp;"-"&amp;LEFT(J83,5)&amp;" hrs)"</f>
        <v/>
      </c>
    </row>
    <row r="84">
      <c r="B84" s="7" t="n">
        <v>159</v>
      </c>
      <c r="C84" s="7" t="inlineStr">
        <is>
          <t>16/09/2026</t>
        </is>
      </c>
      <c r="D84" s="7" t="inlineStr">
        <is>
          <t>Sep-2026</t>
        </is>
      </c>
      <c r="E84" s="7" t="inlineStr">
        <is>
          <t>miércoles</t>
        </is>
      </c>
      <c r="F84" s="7" t="n">
        <v>2699</v>
      </c>
      <c r="G84" s="7" t="inlineStr">
        <is>
          <t>MIA</t>
        </is>
      </c>
      <c r="H84" s="7" t="inlineStr">
        <is>
          <t>LIM</t>
        </is>
      </c>
      <c r="I84" s="7" t="inlineStr">
        <is>
          <t>23:15:00</t>
        </is>
      </c>
      <c r="J84" s="7" t="inlineStr">
        <is>
          <t>05:00:00</t>
        </is>
      </c>
      <c r="K84" s="7" t="inlineStr">
        <is>
          <t>NO</t>
        </is>
      </c>
      <c r="L84" s="7" t="n">
        <v>763</v>
      </c>
      <c r="M84" s="7" t="inlineStr">
        <is>
          <t>05:45:00</t>
        </is>
      </c>
      <c r="N84" s="7" t="n">
        <v>2</v>
      </c>
      <c r="O84">
        <f>IF(O82="","",O82)</f>
        <v/>
      </c>
      <c r="Q84">
        <f>IF(Q81="","",Q81)</f>
        <v/>
      </c>
    </row>
    <row r="85">
      <c r="Q85">
        <f>"- "&amp;G84&amp;"-"&amp;H84</f>
        <v/>
      </c>
    </row>
    <row r="86">
      <c r="Q86">
        <f>"- LA "&amp;F84&amp;" ("&amp;LEFT(I84,5)&amp;"-"&amp;LEFT(J84,5)&amp;" hrs)"</f>
        <v/>
      </c>
    </row>
    <row r="88">
      <c r="Q88" s="3" t="n"/>
    </row>
    <row r="89">
      <c r="B89" s="4" t="inlineStr">
        <is>
          <t>Pairing ID</t>
        </is>
      </c>
      <c r="C89" s="4" t="inlineStr">
        <is>
          <t>FECHA REAL</t>
        </is>
      </c>
      <c r="D89" s="5" t="inlineStr">
        <is>
          <t>MES</t>
        </is>
      </c>
      <c r="E89" s="4" t="inlineStr">
        <is>
          <t>Day of Week</t>
        </is>
      </c>
      <c r="F89" s="4" t="inlineStr">
        <is>
          <t>Flight No</t>
        </is>
      </c>
      <c r="G89" s="4" t="inlineStr">
        <is>
          <t>Dep Stn</t>
        </is>
      </c>
      <c r="H89" s="4" t="inlineStr">
        <is>
          <t>Arr Stn</t>
        </is>
      </c>
      <c r="I89" s="4" t="inlineStr">
        <is>
          <t>STD</t>
        </is>
      </c>
      <c r="J89" s="4" t="inlineStr">
        <is>
          <t>STA</t>
        </is>
      </c>
      <c r="K89" s="4" t="inlineStr">
        <is>
          <t>DAY</t>
        </is>
      </c>
      <c r="L89" s="4" t="inlineStr">
        <is>
          <t>AC Type</t>
        </is>
      </c>
      <c r="M89" s="4" t="inlineStr">
        <is>
          <t>HBT</t>
        </is>
      </c>
      <c r="N89" s="6" t="inlineStr">
        <is>
          <t>DIA_DUTY</t>
        </is>
      </c>
      <c r="O89" s="3" t="n"/>
      <c r="Q89">
        <f>"- "&amp;G90&amp;"-"&amp;H90</f>
        <v/>
      </c>
      <c r="R89" s="7">
        <f>B90</f>
        <v/>
      </c>
      <c r="S89" s="7">
        <f>C90</f>
        <v/>
      </c>
      <c r="T89" s="7">
        <f>E90</f>
        <v/>
      </c>
      <c r="U89" s="7">
        <f>F90&amp;"/"&amp;F91</f>
        <v/>
      </c>
      <c r="V89" s="7">
        <f>G90&amp;"-"&amp;H90&amp;"-"&amp;G90</f>
        <v/>
      </c>
      <c r="W89" s="7">
        <f>IF(O89="","",O89)</f>
        <v/>
      </c>
      <c r="X89" s="7">
        <f>IF(Q88="","",Q88)</f>
        <v/>
      </c>
      <c r="Y89" s="7">
        <f>C90</f>
        <v/>
      </c>
      <c r="Z89" s="7">
        <f>C91</f>
        <v/>
      </c>
    </row>
    <row r="90">
      <c r="B90" s="7" t="n">
        <v>162</v>
      </c>
      <c r="C90" s="7" t="inlineStr">
        <is>
          <t>15/09/2026</t>
        </is>
      </c>
      <c r="D90" s="7" t="inlineStr">
        <is>
          <t>Sep-2026</t>
        </is>
      </c>
      <c r="E90" s="7" t="inlineStr">
        <is>
          <t>martes</t>
        </is>
      </c>
      <c r="F90" s="7" t="n">
        <v>2480</v>
      </c>
      <c r="G90" s="7" t="inlineStr">
        <is>
          <t>LIM</t>
        </is>
      </c>
      <c r="H90" s="7" t="inlineStr">
        <is>
          <t>MIA</t>
        </is>
      </c>
      <c r="I90" s="7" t="inlineStr">
        <is>
          <t>00:15:00</t>
        </is>
      </c>
      <c r="J90" s="7" t="inlineStr">
        <is>
          <t>06:20:00</t>
        </is>
      </c>
      <c r="K90" s="7" t="inlineStr">
        <is>
          <t>NO</t>
        </is>
      </c>
      <c r="L90" s="7" t="n">
        <v>763</v>
      </c>
      <c r="M90" s="7" t="inlineStr">
        <is>
          <t>06:05:00</t>
        </is>
      </c>
      <c r="N90" s="7" t="n">
        <v>2</v>
      </c>
      <c r="Q90">
        <f>"- LA "&amp;F90&amp;" ("&amp;LEFT(I90,5)&amp;"-"&amp;LEFT(J90,5)&amp;" hrs)"</f>
        <v/>
      </c>
    </row>
    <row r="91">
      <c r="B91" s="7" t="n">
        <v>162</v>
      </c>
      <c r="C91" s="7" t="inlineStr">
        <is>
          <t>16/09/2026</t>
        </is>
      </c>
      <c r="D91" s="7" t="inlineStr">
        <is>
          <t>Sep-2026</t>
        </is>
      </c>
      <c r="E91" s="7" t="inlineStr">
        <is>
          <t>miércoles</t>
        </is>
      </c>
      <c r="F91" s="7" t="n">
        <v>2481</v>
      </c>
      <c r="G91" s="7" t="inlineStr">
        <is>
          <t>MIA</t>
        </is>
      </c>
      <c r="H91" s="7" t="inlineStr">
        <is>
          <t>LIM</t>
        </is>
      </c>
      <c r="I91" s="7" t="inlineStr">
        <is>
          <t>15:55:00</t>
        </is>
      </c>
      <c r="J91" s="7" t="inlineStr">
        <is>
          <t>21:40:00</t>
        </is>
      </c>
      <c r="K91" s="7" t="inlineStr">
        <is>
          <t>NO</t>
        </is>
      </c>
      <c r="L91" s="7" t="n">
        <v>763</v>
      </c>
      <c r="M91" s="7" t="inlineStr">
        <is>
          <t>05:45:00</t>
        </is>
      </c>
      <c r="N91" s="7" t="n">
        <v>3</v>
      </c>
      <c r="O91">
        <f>IF(O89="","",O89)</f>
        <v/>
      </c>
      <c r="Q91">
        <f>IF(Q88="","",Q88)</f>
        <v/>
      </c>
    </row>
    <row r="92">
      <c r="Q92">
        <f>"- "&amp;G91&amp;"-"&amp;H91</f>
        <v/>
      </c>
    </row>
    <row r="93">
      <c r="Q93">
        <f>"- LA "&amp;F91&amp;" ("&amp;LEFT(I91,5)&amp;"-"&amp;LEFT(J91,5)&amp;" hrs)"</f>
        <v/>
      </c>
    </row>
    <row r="95">
      <c r="Q95" s="3" t="n"/>
    </row>
    <row r="96">
      <c r="B96" s="4" t="inlineStr">
        <is>
          <t>Pairing ID</t>
        </is>
      </c>
      <c r="C96" s="4" t="inlineStr">
        <is>
          <t>FECHA REAL</t>
        </is>
      </c>
      <c r="D96" s="5" t="inlineStr">
        <is>
          <t>MES</t>
        </is>
      </c>
      <c r="E96" s="4" t="inlineStr">
        <is>
          <t>Day of Week</t>
        </is>
      </c>
      <c r="F96" s="4" t="inlineStr">
        <is>
          <t>Flight No</t>
        </is>
      </c>
      <c r="G96" s="4" t="inlineStr">
        <is>
          <t>Dep Stn</t>
        </is>
      </c>
      <c r="H96" s="4" t="inlineStr">
        <is>
          <t>Arr Stn</t>
        </is>
      </c>
      <c r="I96" s="4" t="inlineStr">
        <is>
          <t>STD</t>
        </is>
      </c>
      <c r="J96" s="4" t="inlineStr">
        <is>
          <t>STA</t>
        </is>
      </c>
      <c r="K96" s="4" t="inlineStr">
        <is>
          <t>DAY</t>
        </is>
      </c>
      <c r="L96" s="4" t="inlineStr">
        <is>
          <t>AC Type</t>
        </is>
      </c>
      <c r="M96" s="4" t="inlineStr">
        <is>
          <t>HBT</t>
        </is>
      </c>
      <c r="N96" s="6" t="inlineStr">
        <is>
          <t>DIA_DUTY</t>
        </is>
      </c>
      <c r="O96" s="3" t="n"/>
      <c r="Q96">
        <f>"- "&amp;G97&amp;"-"&amp;H97</f>
        <v/>
      </c>
      <c r="R96" s="7">
        <f>B97</f>
        <v/>
      </c>
      <c r="S96" s="7">
        <f>C97</f>
        <v/>
      </c>
      <c r="T96" s="7">
        <f>E97</f>
        <v/>
      </c>
      <c r="U96" s="7">
        <f>F97&amp;"/"&amp;F98</f>
        <v/>
      </c>
      <c r="V96" s="7">
        <f>G97&amp;"-"&amp;H97&amp;"-"&amp;G97</f>
        <v/>
      </c>
      <c r="W96" s="7">
        <f>IF(O96="","",O96)</f>
        <v/>
      </c>
      <c r="X96" s="7">
        <f>IF(Q95="","",Q95)</f>
        <v/>
      </c>
      <c r="Y96" s="7">
        <f>C97</f>
        <v/>
      </c>
      <c r="Z96" s="7">
        <f>C98</f>
        <v/>
      </c>
    </row>
    <row r="97">
      <c r="B97" s="7" t="n">
        <v>171</v>
      </c>
      <c r="C97" s="7" t="inlineStr">
        <is>
          <t>16/09/2026</t>
        </is>
      </c>
      <c r="D97" s="7" t="inlineStr">
        <is>
          <t>Sep-2026</t>
        </is>
      </c>
      <c r="E97" s="7" t="inlineStr">
        <is>
          <t>miércoles</t>
        </is>
      </c>
      <c r="F97" s="7" t="n">
        <v>2480</v>
      </c>
      <c r="G97" s="7" t="inlineStr">
        <is>
          <t>LIM</t>
        </is>
      </c>
      <c r="H97" s="7" t="inlineStr">
        <is>
          <t>MIA</t>
        </is>
      </c>
      <c r="I97" s="7" t="inlineStr">
        <is>
          <t>00:15:00</t>
        </is>
      </c>
      <c r="J97" s="7" t="inlineStr">
        <is>
          <t>06:20:00</t>
        </is>
      </c>
      <c r="K97" s="7" t="inlineStr">
        <is>
          <t>NO</t>
        </is>
      </c>
      <c r="L97" s="7" t="n">
        <v>763</v>
      </c>
      <c r="M97" s="7" t="inlineStr">
        <is>
          <t>06:05:00</t>
        </is>
      </c>
      <c r="N97" s="7" t="n">
        <v>2</v>
      </c>
      <c r="Q97">
        <f>"- LA "&amp;F97&amp;" ("&amp;LEFT(I97,5)&amp;"-"&amp;LEFT(J97,5)&amp;" hrs)"</f>
        <v/>
      </c>
    </row>
    <row r="98">
      <c r="B98" s="7" t="n">
        <v>171</v>
      </c>
      <c r="C98" s="7" t="inlineStr">
        <is>
          <t>17/09/2026</t>
        </is>
      </c>
      <c r="D98" s="7" t="inlineStr">
        <is>
          <t>Sep-2026</t>
        </is>
      </c>
      <c r="E98" s="7" t="inlineStr">
        <is>
          <t>jueves</t>
        </is>
      </c>
      <c r="F98" s="7" t="n">
        <v>2695</v>
      </c>
      <c r="G98" s="7" t="inlineStr">
        <is>
          <t>MIA</t>
        </is>
      </c>
      <c r="H98" s="7" t="inlineStr">
        <is>
          <t>LIM</t>
        </is>
      </c>
      <c r="I98" s="7" t="inlineStr">
        <is>
          <t>16:10:00</t>
        </is>
      </c>
      <c r="J98" s="7" t="inlineStr">
        <is>
          <t>22:00:00</t>
        </is>
      </c>
      <c r="K98" s="7" t="inlineStr">
        <is>
          <t>NO</t>
        </is>
      </c>
      <c r="L98" s="7" t="n">
        <v>763</v>
      </c>
      <c r="M98" s="7" t="inlineStr">
        <is>
          <t>05:50:00</t>
        </is>
      </c>
      <c r="N98" s="7" t="n">
        <v>3</v>
      </c>
      <c r="O98">
        <f>IF(O96="","",O96)</f>
        <v/>
      </c>
      <c r="Q98">
        <f>IF(Q95="","",Q95)</f>
        <v/>
      </c>
    </row>
    <row r="99">
      <c r="Q99">
        <f>"- "&amp;G98&amp;"-"&amp;H98</f>
        <v/>
      </c>
    </row>
    <row r="100">
      <c r="Q100">
        <f>"- LA "&amp;F98&amp;" ("&amp;LEFT(I98,5)&amp;"-"&amp;LEFT(J98,5)&amp;" hrs)"</f>
        <v/>
      </c>
    </row>
    <row r="102">
      <c r="Q102" s="3" t="n"/>
    </row>
    <row r="103">
      <c r="B103" s="4" t="inlineStr">
        <is>
          <t>Pairing ID</t>
        </is>
      </c>
      <c r="C103" s="4" t="inlineStr">
        <is>
          <t>FECHA REAL</t>
        </is>
      </c>
      <c r="D103" s="5" t="inlineStr">
        <is>
          <t>MES</t>
        </is>
      </c>
      <c r="E103" s="4" t="inlineStr">
        <is>
          <t>Day of Week</t>
        </is>
      </c>
      <c r="F103" s="4" t="inlineStr">
        <is>
          <t>Flight No</t>
        </is>
      </c>
      <c r="G103" s="4" t="inlineStr">
        <is>
          <t>Dep Stn</t>
        </is>
      </c>
      <c r="H103" s="4" t="inlineStr">
        <is>
          <t>Arr Stn</t>
        </is>
      </c>
      <c r="I103" s="4" t="inlineStr">
        <is>
          <t>STD</t>
        </is>
      </c>
      <c r="J103" s="4" t="inlineStr">
        <is>
          <t>STA</t>
        </is>
      </c>
      <c r="K103" s="4" t="inlineStr">
        <is>
          <t>DAY</t>
        </is>
      </c>
      <c r="L103" s="4" t="inlineStr">
        <is>
          <t>AC Type</t>
        </is>
      </c>
      <c r="M103" s="4" t="inlineStr">
        <is>
          <t>HBT</t>
        </is>
      </c>
      <c r="N103" s="6" t="inlineStr">
        <is>
          <t>DIA_DUTY</t>
        </is>
      </c>
      <c r="O103" s="3" t="n"/>
      <c r="Q103">
        <f>"- "&amp;G104&amp;"-"&amp;H104</f>
        <v/>
      </c>
      <c r="R103" s="7">
        <f>B104</f>
        <v/>
      </c>
      <c r="S103" s="7">
        <f>C104</f>
        <v/>
      </c>
      <c r="T103" s="7">
        <f>E104</f>
        <v/>
      </c>
      <c r="U103" s="7">
        <f>F104&amp;"/"&amp;F105</f>
        <v/>
      </c>
      <c r="V103" s="7">
        <f>G104&amp;"-"&amp;H104&amp;"-"&amp;G104</f>
        <v/>
      </c>
      <c r="W103" s="7">
        <f>IF(O103="","",O103)</f>
        <v/>
      </c>
      <c r="X103" s="7">
        <f>IF(Q102="","",Q102)</f>
        <v/>
      </c>
      <c r="Y103" s="7">
        <f>C104</f>
        <v/>
      </c>
      <c r="Z103" s="7">
        <f>C105</f>
        <v/>
      </c>
    </row>
    <row r="104">
      <c r="B104" s="7" t="n">
        <v>181</v>
      </c>
      <c r="C104" s="7" t="inlineStr">
        <is>
          <t>17/09/2026</t>
        </is>
      </c>
      <c r="D104" s="7" t="inlineStr">
        <is>
          <t>Sep-2026</t>
        </is>
      </c>
      <c r="E104" s="7" t="inlineStr">
        <is>
          <t>jueves</t>
        </is>
      </c>
      <c r="F104" s="7" t="n">
        <v>2480</v>
      </c>
      <c r="G104" s="7" t="inlineStr">
        <is>
          <t>LIM</t>
        </is>
      </c>
      <c r="H104" s="7" t="inlineStr">
        <is>
          <t>MIA</t>
        </is>
      </c>
      <c r="I104" s="7" t="inlineStr">
        <is>
          <t>00:15:00</t>
        </is>
      </c>
      <c r="J104" s="7" t="inlineStr">
        <is>
          <t>06:20:00</t>
        </is>
      </c>
      <c r="K104" s="7" t="inlineStr">
        <is>
          <t>NO</t>
        </is>
      </c>
      <c r="L104" s="7" t="n">
        <v>763</v>
      </c>
      <c r="M104" s="7" t="inlineStr">
        <is>
          <t>06:05:00</t>
        </is>
      </c>
      <c r="N104" s="7" t="n">
        <v>2</v>
      </c>
      <c r="Q104">
        <f>"- LA "&amp;F104&amp;" ("&amp;LEFT(I104,5)&amp;"-"&amp;LEFT(J104,5)&amp;" hrs)"</f>
        <v/>
      </c>
    </row>
    <row r="105">
      <c r="B105" s="7" t="n">
        <v>181</v>
      </c>
      <c r="C105" s="7" t="inlineStr">
        <is>
          <t>18/09/2026</t>
        </is>
      </c>
      <c r="D105" s="7" t="inlineStr">
        <is>
          <t>Sep-2026</t>
        </is>
      </c>
      <c r="E105" s="7" t="inlineStr">
        <is>
          <t>viernes</t>
        </is>
      </c>
      <c r="F105" s="7" t="n">
        <v>2481</v>
      </c>
      <c r="G105" s="7" t="inlineStr">
        <is>
          <t>MIA</t>
        </is>
      </c>
      <c r="H105" s="7" t="inlineStr">
        <is>
          <t>LIM</t>
        </is>
      </c>
      <c r="I105" s="7" t="inlineStr">
        <is>
          <t>15:55:00</t>
        </is>
      </c>
      <c r="J105" s="7" t="inlineStr">
        <is>
          <t>21:40:00</t>
        </is>
      </c>
      <c r="K105" s="7" t="inlineStr">
        <is>
          <t>NO</t>
        </is>
      </c>
      <c r="L105" s="7" t="n">
        <v>763</v>
      </c>
      <c r="M105" s="7" t="inlineStr">
        <is>
          <t>05:45:00</t>
        </is>
      </c>
      <c r="N105" s="7" t="n">
        <v>3</v>
      </c>
      <c r="O105">
        <f>IF(O103="","",O103)</f>
        <v/>
      </c>
      <c r="Q105">
        <f>IF(Q102="","",Q102)</f>
        <v/>
      </c>
    </row>
    <row r="106">
      <c r="Q106">
        <f>"- "&amp;G105&amp;"-"&amp;H105</f>
        <v/>
      </c>
    </row>
    <row r="107">
      <c r="Q107">
        <f>"- LA "&amp;F105&amp;" ("&amp;LEFT(I105,5)&amp;"-"&amp;LEFT(J105,5)&amp;" hrs)"</f>
        <v/>
      </c>
    </row>
    <row r="109">
      <c r="Q109" s="3" t="n"/>
    </row>
    <row r="110">
      <c r="B110" s="4" t="inlineStr">
        <is>
          <t>Pairing ID</t>
        </is>
      </c>
      <c r="C110" s="4" t="inlineStr">
        <is>
          <t>FECHA REAL</t>
        </is>
      </c>
      <c r="D110" s="5" t="inlineStr">
        <is>
          <t>MES</t>
        </is>
      </c>
      <c r="E110" s="4" t="inlineStr">
        <is>
          <t>Day of Week</t>
        </is>
      </c>
      <c r="F110" s="4" t="inlineStr">
        <is>
          <t>Flight No</t>
        </is>
      </c>
      <c r="G110" s="4" t="inlineStr">
        <is>
          <t>Dep Stn</t>
        </is>
      </c>
      <c r="H110" s="4" t="inlineStr">
        <is>
          <t>Arr Stn</t>
        </is>
      </c>
      <c r="I110" s="4" t="inlineStr">
        <is>
          <t>STD</t>
        </is>
      </c>
      <c r="J110" s="4" t="inlineStr">
        <is>
          <t>STA</t>
        </is>
      </c>
      <c r="K110" s="4" t="inlineStr">
        <is>
          <t>DAY</t>
        </is>
      </c>
      <c r="L110" s="4" t="inlineStr">
        <is>
          <t>AC Type</t>
        </is>
      </c>
      <c r="M110" s="4" t="inlineStr">
        <is>
          <t>HBT</t>
        </is>
      </c>
      <c r="N110" s="6" t="inlineStr">
        <is>
          <t>DIA_DUTY</t>
        </is>
      </c>
      <c r="O110" s="3" t="n"/>
      <c r="Q110">
        <f>"- "&amp;G111&amp;"-"&amp;H111</f>
        <v/>
      </c>
      <c r="R110" s="7">
        <f>B111</f>
        <v/>
      </c>
      <c r="S110" s="7">
        <f>C111</f>
        <v/>
      </c>
      <c r="T110" s="7">
        <f>E111</f>
        <v/>
      </c>
      <c r="U110" s="7">
        <f>F111&amp;"/"&amp;F112</f>
        <v/>
      </c>
      <c r="V110" s="7">
        <f>G111&amp;"-"&amp;H111&amp;"-"&amp;G111</f>
        <v/>
      </c>
      <c r="W110" s="7">
        <f>IF(O110="","",O110)</f>
        <v/>
      </c>
      <c r="X110" s="7">
        <f>IF(Q109="","",Q109)</f>
        <v/>
      </c>
      <c r="Y110" s="7">
        <f>C111</f>
        <v/>
      </c>
      <c r="Z110" s="7">
        <f>C112</f>
        <v/>
      </c>
    </row>
    <row r="111">
      <c r="B111" s="7" t="n">
        <v>186</v>
      </c>
      <c r="C111" s="7" t="inlineStr">
        <is>
          <t>17/09/2026</t>
        </is>
      </c>
      <c r="D111" s="7" t="inlineStr">
        <is>
          <t>Sep-2026</t>
        </is>
      </c>
      <c r="E111" s="7" t="inlineStr">
        <is>
          <t>jueves</t>
        </is>
      </c>
      <c r="F111" s="7" t="n">
        <v>2413</v>
      </c>
      <c r="G111" s="7" t="inlineStr">
        <is>
          <t>LIM</t>
        </is>
      </c>
      <c r="H111" s="7" t="inlineStr">
        <is>
          <t>SCL</t>
        </is>
      </c>
      <c r="I111" s="7" t="inlineStr">
        <is>
          <t>12:05:00</t>
        </is>
      </c>
      <c r="J111" s="7" t="inlineStr">
        <is>
          <t>15:45:00</t>
        </is>
      </c>
      <c r="K111" s="7" t="inlineStr">
        <is>
          <t>NO</t>
        </is>
      </c>
      <c r="L111" s="7" t="n">
        <v>763</v>
      </c>
      <c r="M111" s="7" t="inlineStr">
        <is>
          <t>03:40:00</t>
        </is>
      </c>
      <c r="N111" s="7" t="n">
        <v>1</v>
      </c>
      <c r="Q111">
        <f>"- LA "&amp;F111&amp;" ("&amp;LEFT(I111,5)&amp;"-"&amp;LEFT(J111,5)&amp;" hrs)"</f>
        <v/>
      </c>
    </row>
    <row r="112">
      <c r="B112" s="7" t="n">
        <v>186</v>
      </c>
      <c r="C112" s="7" t="inlineStr">
        <is>
          <t>17/09/2026</t>
        </is>
      </c>
      <c r="D112" s="7" t="inlineStr">
        <is>
          <t>Sep-2026</t>
        </is>
      </c>
      <c r="E112" s="7" t="inlineStr">
        <is>
          <t>jueves</t>
        </is>
      </c>
      <c r="F112" s="7" t="n">
        <v>2412</v>
      </c>
      <c r="G112" s="7" t="inlineStr">
        <is>
          <t>SCL</t>
        </is>
      </c>
      <c r="H112" s="7" t="inlineStr">
        <is>
          <t>LIM</t>
        </is>
      </c>
      <c r="I112" s="7" t="inlineStr">
        <is>
          <t>17:10:00</t>
        </is>
      </c>
      <c r="J112" s="7" t="inlineStr">
        <is>
          <t>21:00:00</t>
        </is>
      </c>
      <c r="K112" s="7" t="inlineStr">
        <is>
          <t>NO</t>
        </is>
      </c>
      <c r="L112" s="7" t="n">
        <v>763</v>
      </c>
      <c r="M112" s="7" t="inlineStr">
        <is>
          <t>03:50:00</t>
        </is>
      </c>
      <c r="N112" s="7" t="n">
        <v>1</v>
      </c>
      <c r="O112">
        <f>IF(O110="","",O110)</f>
        <v/>
      </c>
      <c r="Q112">
        <f>IF(Q109="","",Q109)</f>
        <v/>
      </c>
    </row>
    <row r="113">
      <c r="Q113">
        <f>"- "&amp;G112&amp;"-"&amp;H112</f>
        <v/>
      </c>
    </row>
    <row r="114">
      <c r="Q114">
        <f>"- LA "&amp;F112&amp;" ("&amp;LEFT(I112,5)&amp;"-"&amp;LEFT(J112,5)&amp;" hrs)"</f>
        <v/>
      </c>
    </row>
    <row r="116">
      <c r="Q116" s="3" t="n"/>
    </row>
    <row r="117">
      <c r="B117" s="4" t="inlineStr">
        <is>
          <t>Pairing ID</t>
        </is>
      </c>
      <c r="C117" s="4" t="inlineStr">
        <is>
          <t>FECHA REAL</t>
        </is>
      </c>
      <c r="D117" s="5" t="inlineStr">
        <is>
          <t>MES</t>
        </is>
      </c>
      <c r="E117" s="4" t="inlineStr">
        <is>
          <t>Day of Week</t>
        </is>
      </c>
      <c r="F117" s="4" t="inlineStr">
        <is>
          <t>Flight No</t>
        </is>
      </c>
      <c r="G117" s="4" t="inlineStr">
        <is>
          <t>Dep Stn</t>
        </is>
      </c>
      <c r="H117" s="4" t="inlineStr">
        <is>
          <t>Arr Stn</t>
        </is>
      </c>
      <c r="I117" s="4" t="inlineStr">
        <is>
          <t>STD</t>
        </is>
      </c>
      <c r="J117" s="4" t="inlineStr">
        <is>
          <t>STA</t>
        </is>
      </c>
      <c r="K117" s="4" t="inlineStr">
        <is>
          <t>DAY</t>
        </is>
      </c>
      <c r="L117" s="4" t="inlineStr">
        <is>
          <t>AC Type</t>
        </is>
      </c>
      <c r="M117" s="4" t="inlineStr">
        <is>
          <t>HBT</t>
        </is>
      </c>
      <c r="N117" s="6" t="inlineStr">
        <is>
          <t>DIA_DUTY</t>
        </is>
      </c>
      <c r="O117" s="3" t="n"/>
      <c r="Q117">
        <f>"- "&amp;G118&amp;"-"&amp;H118</f>
        <v/>
      </c>
      <c r="R117" s="7">
        <f>B118</f>
        <v/>
      </c>
      <c r="S117" s="7">
        <f>C118</f>
        <v/>
      </c>
      <c r="T117" s="7">
        <f>E118</f>
        <v/>
      </c>
      <c r="U117" s="7">
        <f>F118&amp;"/"&amp;F119</f>
        <v/>
      </c>
      <c r="V117" s="7">
        <f>G118&amp;"-"&amp;H118&amp;"-"&amp;G118</f>
        <v/>
      </c>
      <c r="W117" s="7">
        <f>IF(O117="","",O117)</f>
        <v/>
      </c>
      <c r="X117" s="7">
        <f>IF(Q116="","",Q116)</f>
        <v/>
      </c>
      <c r="Y117" s="7">
        <f>C118</f>
        <v/>
      </c>
      <c r="Z117" s="7">
        <f>C119</f>
        <v/>
      </c>
    </row>
    <row r="118">
      <c r="B118" s="7" t="n">
        <v>196</v>
      </c>
      <c r="C118" s="7" t="inlineStr">
        <is>
          <t>18/09/2026</t>
        </is>
      </c>
      <c r="D118" s="7" t="inlineStr">
        <is>
          <t>Sep-2026</t>
        </is>
      </c>
      <c r="E118" s="7" t="inlineStr">
        <is>
          <t>viernes</t>
        </is>
      </c>
      <c r="F118" s="7" t="n">
        <v>2413</v>
      </c>
      <c r="G118" s="7" t="inlineStr">
        <is>
          <t>LIM</t>
        </is>
      </c>
      <c r="H118" s="7" t="inlineStr">
        <is>
          <t>SCL</t>
        </is>
      </c>
      <c r="I118" s="7" t="inlineStr">
        <is>
          <t>12:05:00</t>
        </is>
      </c>
      <c r="J118" s="7" t="inlineStr">
        <is>
          <t>15:45:00</t>
        </is>
      </c>
      <c r="K118" s="7" t="inlineStr">
        <is>
          <t>NO</t>
        </is>
      </c>
      <c r="L118" s="7" t="n">
        <v>763</v>
      </c>
      <c r="M118" s="7" t="inlineStr">
        <is>
          <t>03:40:00</t>
        </is>
      </c>
      <c r="N118" s="7" t="n">
        <v>1</v>
      </c>
      <c r="Q118">
        <f>"- LA "&amp;F118&amp;" ("&amp;LEFT(I118,5)&amp;"-"&amp;LEFT(J118,5)&amp;" hrs)"</f>
        <v/>
      </c>
    </row>
    <row r="119">
      <c r="B119" s="7" t="n">
        <v>196</v>
      </c>
      <c r="C119" s="7" t="inlineStr">
        <is>
          <t>18/09/2026</t>
        </is>
      </c>
      <c r="D119" s="7" t="inlineStr">
        <is>
          <t>Sep-2026</t>
        </is>
      </c>
      <c r="E119" s="7" t="inlineStr">
        <is>
          <t>viernes</t>
        </is>
      </c>
      <c r="F119" s="7" t="n">
        <v>2412</v>
      </c>
      <c r="G119" s="7" t="inlineStr">
        <is>
          <t>SCL</t>
        </is>
      </c>
      <c r="H119" s="7" t="inlineStr">
        <is>
          <t>LIM</t>
        </is>
      </c>
      <c r="I119" s="7" t="inlineStr">
        <is>
          <t>17:10:00</t>
        </is>
      </c>
      <c r="J119" s="7" t="inlineStr">
        <is>
          <t>21:00:00</t>
        </is>
      </c>
      <c r="K119" s="7" t="inlineStr">
        <is>
          <t>NO</t>
        </is>
      </c>
      <c r="L119" s="7" t="n">
        <v>763</v>
      </c>
      <c r="M119" s="7" t="inlineStr">
        <is>
          <t>03:50:00</t>
        </is>
      </c>
      <c r="N119" s="7" t="n">
        <v>1</v>
      </c>
      <c r="O119">
        <f>IF(O117="","",O117)</f>
        <v/>
      </c>
      <c r="Q119">
        <f>IF(Q116="","",Q116)</f>
        <v/>
      </c>
    </row>
    <row r="120">
      <c r="Q120">
        <f>"- "&amp;G119&amp;"-"&amp;H119</f>
        <v/>
      </c>
    </row>
    <row r="121">
      <c r="Q121">
        <f>"- LA "&amp;F119&amp;" ("&amp;LEFT(I119,5)&amp;"-"&amp;LEFT(J119,5)&amp;" hrs)"</f>
        <v/>
      </c>
    </row>
    <row r="123">
      <c r="Q123" s="3" t="n"/>
    </row>
    <row r="124">
      <c r="B124" s="4" t="inlineStr">
        <is>
          <t>Pairing ID</t>
        </is>
      </c>
      <c r="C124" s="4" t="inlineStr">
        <is>
          <t>FECHA REAL</t>
        </is>
      </c>
      <c r="D124" s="5" t="inlineStr">
        <is>
          <t>MES</t>
        </is>
      </c>
      <c r="E124" s="4" t="inlineStr">
        <is>
          <t>Day of Week</t>
        </is>
      </c>
      <c r="F124" s="4" t="inlineStr">
        <is>
          <t>Flight No</t>
        </is>
      </c>
      <c r="G124" s="4" t="inlineStr">
        <is>
          <t>Dep Stn</t>
        </is>
      </c>
      <c r="H124" s="4" t="inlineStr">
        <is>
          <t>Arr Stn</t>
        </is>
      </c>
      <c r="I124" s="4" t="inlineStr">
        <is>
          <t>STD</t>
        </is>
      </c>
      <c r="J124" s="4" t="inlineStr">
        <is>
          <t>STA</t>
        </is>
      </c>
      <c r="K124" s="4" t="inlineStr">
        <is>
          <t>DAY</t>
        </is>
      </c>
      <c r="L124" s="4" t="inlineStr">
        <is>
          <t>AC Type</t>
        </is>
      </c>
      <c r="M124" s="4" t="inlineStr">
        <is>
          <t>HBT</t>
        </is>
      </c>
      <c r="N124" s="6" t="inlineStr">
        <is>
          <t>DIA_DUTY</t>
        </is>
      </c>
      <c r="O124" s="3" t="n"/>
      <c r="Q124">
        <f>"- "&amp;G125&amp;"-"&amp;H125</f>
        <v/>
      </c>
      <c r="R124" s="7">
        <f>B125</f>
        <v/>
      </c>
      <c r="S124" s="7">
        <f>C125</f>
        <v/>
      </c>
      <c r="T124" s="7">
        <f>E125</f>
        <v/>
      </c>
      <c r="U124" s="7">
        <f>F125&amp;"/"&amp;F126</f>
        <v/>
      </c>
      <c r="V124" s="7">
        <f>G125&amp;"-"&amp;H125&amp;"-"&amp;G125</f>
        <v/>
      </c>
      <c r="W124" s="7">
        <f>IF(O124="","",O124)</f>
        <v/>
      </c>
      <c r="X124" s="7">
        <f>IF(Q123="","",Q123)</f>
        <v/>
      </c>
      <c r="Y124" s="7">
        <f>C125</f>
        <v/>
      </c>
      <c r="Z124" s="7">
        <f>C126</f>
        <v/>
      </c>
    </row>
    <row r="125">
      <c r="B125" s="7" t="n">
        <v>230</v>
      </c>
      <c r="C125" s="7" t="inlineStr">
        <is>
          <t>21/09/2026</t>
        </is>
      </c>
      <c r="D125" s="7" t="inlineStr">
        <is>
          <t>Sep-2026</t>
        </is>
      </c>
      <c r="E125" s="7" t="inlineStr">
        <is>
          <t>lunes</t>
        </is>
      </c>
      <c r="F125" s="7" t="n">
        <v>2694</v>
      </c>
      <c r="G125" s="7" t="inlineStr">
        <is>
          <t>LIM</t>
        </is>
      </c>
      <c r="H125" s="7" t="inlineStr">
        <is>
          <t>MIA</t>
        </is>
      </c>
      <c r="I125" s="7" t="inlineStr">
        <is>
          <t>13:30:00</t>
        </is>
      </c>
      <c r="J125" s="7" t="inlineStr">
        <is>
          <t>19:35:00</t>
        </is>
      </c>
      <c r="K125" s="7" t="inlineStr">
        <is>
          <t>NO</t>
        </is>
      </c>
      <c r="L125" s="7" t="n">
        <v>763</v>
      </c>
      <c r="M125" s="7" t="inlineStr">
        <is>
          <t>06:05:00</t>
        </is>
      </c>
      <c r="N125" s="7" t="n">
        <v>1</v>
      </c>
      <c r="Q125">
        <f>"- LA "&amp;F125&amp;" ("&amp;LEFT(I125,5)&amp;"-"&amp;LEFT(J125,5)&amp;" hrs)"</f>
        <v/>
      </c>
    </row>
    <row r="126">
      <c r="B126" s="7" t="n">
        <v>230</v>
      </c>
      <c r="C126" s="7" t="inlineStr">
        <is>
          <t>23/09/2026</t>
        </is>
      </c>
      <c r="D126" s="7" t="inlineStr">
        <is>
          <t>Sep-2026</t>
        </is>
      </c>
      <c r="E126" s="7" t="inlineStr">
        <is>
          <t>miércoles</t>
        </is>
      </c>
      <c r="F126" s="7" t="n">
        <v>2699</v>
      </c>
      <c r="G126" s="7" t="inlineStr">
        <is>
          <t>MIA</t>
        </is>
      </c>
      <c r="H126" s="7" t="inlineStr">
        <is>
          <t>LIM</t>
        </is>
      </c>
      <c r="I126" s="7" t="inlineStr">
        <is>
          <t>23:15:00</t>
        </is>
      </c>
      <c r="J126" s="7" t="inlineStr">
        <is>
          <t>05:00:00</t>
        </is>
      </c>
      <c r="K126" s="7" t="inlineStr">
        <is>
          <t>NO</t>
        </is>
      </c>
      <c r="L126" s="7" t="n">
        <v>763</v>
      </c>
      <c r="M126" s="7" t="inlineStr">
        <is>
          <t>05:45:00</t>
        </is>
      </c>
      <c r="N126" s="7" t="n">
        <v>2</v>
      </c>
      <c r="O126">
        <f>IF(O124="","",O124)</f>
        <v/>
      </c>
      <c r="Q126">
        <f>IF(Q123="","",Q123)</f>
        <v/>
      </c>
    </row>
    <row r="127">
      <c r="Q127">
        <f>"- "&amp;G126&amp;"-"&amp;H126</f>
        <v/>
      </c>
    </row>
    <row r="128">
      <c r="Q128">
        <f>"- LA "&amp;F126&amp;" ("&amp;LEFT(I126,5)&amp;"-"&amp;LEFT(J126,5)&amp;" hrs)"</f>
        <v/>
      </c>
    </row>
    <row r="130">
      <c r="Q130" s="3" t="n"/>
    </row>
    <row r="131">
      <c r="B131" s="4" t="inlineStr">
        <is>
          <t>Pairing ID</t>
        </is>
      </c>
      <c r="C131" s="4" t="inlineStr">
        <is>
          <t>FECHA REAL</t>
        </is>
      </c>
      <c r="D131" s="5" t="inlineStr">
        <is>
          <t>MES</t>
        </is>
      </c>
      <c r="E131" s="4" t="inlineStr">
        <is>
          <t>Day of Week</t>
        </is>
      </c>
      <c r="F131" s="4" t="inlineStr">
        <is>
          <t>Flight No</t>
        </is>
      </c>
      <c r="G131" s="4" t="inlineStr">
        <is>
          <t>Dep Stn</t>
        </is>
      </c>
      <c r="H131" s="4" t="inlineStr">
        <is>
          <t>Arr Stn</t>
        </is>
      </c>
      <c r="I131" s="4" t="inlineStr">
        <is>
          <t>STD</t>
        </is>
      </c>
      <c r="J131" s="4" t="inlineStr">
        <is>
          <t>STA</t>
        </is>
      </c>
      <c r="K131" s="4" t="inlineStr">
        <is>
          <t>DAY</t>
        </is>
      </c>
      <c r="L131" s="4" t="inlineStr">
        <is>
          <t>AC Type</t>
        </is>
      </c>
      <c r="M131" s="4" t="inlineStr">
        <is>
          <t>HBT</t>
        </is>
      </c>
      <c r="N131" s="6" t="inlineStr">
        <is>
          <t>DIA_DUTY</t>
        </is>
      </c>
      <c r="O131" s="3" t="n"/>
      <c r="Q131">
        <f>"- "&amp;G132&amp;"-"&amp;H132</f>
        <v/>
      </c>
      <c r="R131" s="7">
        <f>B132</f>
        <v/>
      </c>
      <c r="S131" s="7">
        <f>C132</f>
        <v/>
      </c>
      <c r="T131" s="7">
        <f>E132</f>
        <v/>
      </c>
      <c r="U131" s="7">
        <f>F132&amp;"/"&amp;F133</f>
        <v/>
      </c>
      <c r="V131" s="7">
        <f>G132&amp;"-"&amp;H132&amp;"-"&amp;G132</f>
        <v/>
      </c>
      <c r="W131" s="7">
        <f>IF(O131="","",O131)</f>
        <v/>
      </c>
      <c r="X131" s="7">
        <f>IF(Q130="","",Q130)</f>
        <v/>
      </c>
      <c r="Y131" s="7">
        <f>C132</f>
        <v/>
      </c>
      <c r="Z131" s="7">
        <f>C133</f>
        <v/>
      </c>
    </row>
    <row r="132">
      <c r="B132" s="7" t="n">
        <v>233</v>
      </c>
      <c r="C132" s="7" t="inlineStr">
        <is>
          <t>22/09/2026</t>
        </is>
      </c>
      <c r="D132" s="7" t="inlineStr">
        <is>
          <t>Sep-2026</t>
        </is>
      </c>
      <c r="E132" s="7" t="inlineStr">
        <is>
          <t>martes</t>
        </is>
      </c>
      <c r="F132" s="7" t="n">
        <v>2480</v>
      </c>
      <c r="G132" s="7" t="inlineStr">
        <is>
          <t>LIM</t>
        </is>
      </c>
      <c r="H132" s="7" t="inlineStr">
        <is>
          <t>MIA</t>
        </is>
      </c>
      <c r="I132" s="7" t="inlineStr">
        <is>
          <t>00:15:00</t>
        </is>
      </c>
      <c r="J132" s="7" t="inlineStr">
        <is>
          <t>06:20:00</t>
        </is>
      </c>
      <c r="K132" s="7" t="inlineStr">
        <is>
          <t>NO</t>
        </is>
      </c>
      <c r="L132" s="7" t="n">
        <v>763</v>
      </c>
      <c r="M132" s="7" t="inlineStr">
        <is>
          <t>06:05:00</t>
        </is>
      </c>
      <c r="N132" s="7" t="n">
        <v>2</v>
      </c>
      <c r="Q132">
        <f>"- LA "&amp;F132&amp;" ("&amp;LEFT(I132,5)&amp;"-"&amp;LEFT(J132,5)&amp;" hrs)"</f>
        <v/>
      </c>
    </row>
    <row r="133">
      <c r="B133" s="7" t="n">
        <v>233</v>
      </c>
      <c r="C133" s="7" t="inlineStr">
        <is>
          <t>23/09/2026</t>
        </is>
      </c>
      <c r="D133" s="7" t="inlineStr">
        <is>
          <t>Sep-2026</t>
        </is>
      </c>
      <c r="E133" s="7" t="inlineStr">
        <is>
          <t>miércoles</t>
        </is>
      </c>
      <c r="F133" s="7" t="n">
        <v>2481</v>
      </c>
      <c r="G133" s="7" t="inlineStr">
        <is>
          <t>MIA</t>
        </is>
      </c>
      <c r="H133" s="7" t="inlineStr">
        <is>
          <t>LIM</t>
        </is>
      </c>
      <c r="I133" s="7" t="inlineStr">
        <is>
          <t>15:55:00</t>
        </is>
      </c>
      <c r="J133" s="7" t="inlineStr">
        <is>
          <t>21:40:00</t>
        </is>
      </c>
      <c r="K133" s="7" t="inlineStr">
        <is>
          <t>NO</t>
        </is>
      </c>
      <c r="L133" s="7" t="n">
        <v>763</v>
      </c>
      <c r="M133" s="7" t="inlineStr">
        <is>
          <t>05:45:00</t>
        </is>
      </c>
      <c r="N133" s="7" t="n">
        <v>3</v>
      </c>
      <c r="O133">
        <f>IF(O131="","",O131)</f>
        <v/>
      </c>
      <c r="Q133">
        <f>IF(Q130="","",Q130)</f>
        <v/>
      </c>
    </row>
    <row r="134">
      <c r="Q134">
        <f>"- "&amp;G133&amp;"-"&amp;H133</f>
        <v/>
      </c>
    </row>
    <row r="135">
      <c r="Q135">
        <f>"- LA "&amp;F133&amp;" ("&amp;LEFT(I133,5)&amp;"-"&amp;LEFT(J133,5)&amp;" hrs)"</f>
        <v/>
      </c>
    </row>
    <row r="137">
      <c r="Q137" s="3" t="n"/>
    </row>
    <row r="138">
      <c r="B138" s="4" t="inlineStr">
        <is>
          <t>Pairing ID</t>
        </is>
      </c>
      <c r="C138" s="4" t="inlineStr">
        <is>
          <t>FECHA REAL</t>
        </is>
      </c>
      <c r="D138" s="5" t="inlineStr">
        <is>
          <t>MES</t>
        </is>
      </c>
      <c r="E138" s="4" t="inlineStr">
        <is>
          <t>Day of Week</t>
        </is>
      </c>
      <c r="F138" s="4" t="inlineStr">
        <is>
          <t>Flight No</t>
        </is>
      </c>
      <c r="G138" s="4" t="inlineStr">
        <is>
          <t>Dep Stn</t>
        </is>
      </c>
      <c r="H138" s="4" t="inlineStr">
        <is>
          <t>Arr Stn</t>
        </is>
      </c>
      <c r="I138" s="4" t="inlineStr">
        <is>
          <t>STD</t>
        </is>
      </c>
      <c r="J138" s="4" t="inlineStr">
        <is>
          <t>STA</t>
        </is>
      </c>
      <c r="K138" s="4" t="inlineStr">
        <is>
          <t>DAY</t>
        </is>
      </c>
      <c r="L138" s="4" t="inlineStr">
        <is>
          <t>AC Type</t>
        </is>
      </c>
      <c r="M138" s="4" t="inlineStr">
        <is>
          <t>HBT</t>
        </is>
      </c>
      <c r="N138" s="6" t="inlineStr">
        <is>
          <t>DIA_DUTY</t>
        </is>
      </c>
      <c r="O138" s="3" t="n"/>
      <c r="Q138">
        <f>"- "&amp;G139&amp;"-"&amp;H139</f>
        <v/>
      </c>
      <c r="R138" s="7">
        <f>B139</f>
        <v/>
      </c>
      <c r="S138" s="7">
        <f>C139</f>
        <v/>
      </c>
      <c r="T138" s="7">
        <f>E139</f>
        <v/>
      </c>
      <c r="U138" s="7">
        <f>F139&amp;"/"&amp;F140</f>
        <v/>
      </c>
      <c r="V138" s="7">
        <f>G139&amp;"-"&amp;H139&amp;"-"&amp;G139</f>
        <v/>
      </c>
      <c r="W138" s="7">
        <f>IF(O138="","",O138)</f>
        <v/>
      </c>
      <c r="X138" s="7">
        <f>IF(Q137="","",Q137)</f>
        <v/>
      </c>
      <c r="Y138" s="7">
        <f>C139</f>
        <v/>
      </c>
      <c r="Z138" s="7">
        <f>C140</f>
        <v/>
      </c>
    </row>
    <row r="139">
      <c r="B139" s="7" t="n">
        <v>242</v>
      </c>
      <c r="C139" s="7" t="inlineStr">
        <is>
          <t>23/09/2026</t>
        </is>
      </c>
      <c r="D139" s="7" t="inlineStr">
        <is>
          <t>Sep-2026</t>
        </is>
      </c>
      <c r="E139" s="7" t="inlineStr">
        <is>
          <t>miércoles</t>
        </is>
      </c>
      <c r="F139" s="7" t="n">
        <v>2480</v>
      </c>
      <c r="G139" s="7" t="inlineStr">
        <is>
          <t>LIM</t>
        </is>
      </c>
      <c r="H139" s="7" t="inlineStr">
        <is>
          <t>MIA</t>
        </is>
      </c>
      <c r="I139" s="7" t="inlineStr">
        <is>
          <t>00:15:00</t>
        </is>
      </c>
      <c r="J139" s="7" t="inlineStr">
        <is>
          <t>06:20:00</t>
        </is>
      </c>
      <c r="K139" s="7" t="inlineStr">
        <is>
          <t>NO</t>
        </is>
      </c>
      <c r="L139" s="7" t="n">
        <v>763</v>
      </c>
      <c r="M139" s="7" t="inlineStr">
        <is>
          <t>06:05:00</t>
        </is>
      </c>
      <c r="N139" s="7" t="n">
        <v>2</v>
      </c>
      <c r="Q139">
        <f>"- LA "&amp;F139&amp;" ("&amp;LEFT(I139,5)&amp;"-"&amp;LEFT(J139,5)&amp;" hrs)"</f>
        <v/>
      </c>
    </row>
    <row r="140">
      <c r="B140" s="7" t="n">
        <v>242</v>
      </c>
      <c r="C140" s="7" t="inlineStr">
        <is>
          <t>24/09/2026</t>
        </is>
      </c>
      <c r="D140" s="7" t="inlineStr">
        <is>
          <t>Sep-2026</t>
        </is>
      </c>
      <c r="E140" s="7" t="inlineStr">
        <is>
          <t>jueves</t>
        </is>
      </c>
      <c r="F140" s="7" t="n">
        <v>2695</v>
      </c>
      <c r="G140" s="7" t="inlineStr">
        <is>
          <t>MIA</t>
        </is>
      </c>
      <c r="H140" s="7" t="inlineStr">
        <is>
          <t>LIM</t>
        </is>
      </c>
      <c r="I140" s="7" t="inlineStr">
        <is>
          <t>16:10:00</t>
        </is>
      </c>
      <c r="J140" s="7" t="inlineStr">
        <is>
          <t>22:00:00</t>
        </is>
      </c>
      <c r="K140" s="7" t="inlineStr">
        <is>
          <t>NO</t>
        </is>
      </c>
      <c r="L140" s="7" t="n">
        <v>763</v>
      </c>
      <c r="M140" s="7" t="inlineStr">
        <is>
          <t>05:50:00</t>
        </is>
      </c>
      <c r="N140" s="7" t="n">
        <v>3</v>
      </c>
      <c r="O140">
        <f>IF(O138="","",O138)</f>
        <v/>
      </c>
      <c r="Q140">
        <f>IF(Q137="","",Q137)</f>
        <v/>
      </c>
    </row>
    <row r="141">
      <c r="Q141">
        <f>"- "&amp;G140&amp;"-"&amp;H140</f>
        <v/>
      </c>
    </row>
    <row r="142">
      <c r="Q142">
        <f>"- LA "&amp;F140&amp;" ("&amp;LEFT(I140,5)&amp;"-"&amp;LEFT(J140,5)&amp;" hrs)"</f>
        <v/>
      </c>
    </row>
    <row r="144">
      <c r="Q144" s="3" t="n"/>
    </row>
    <row r="145">
      <c r="B145" s="4" t="inlineStr">
        <is>
          <t>Pairing ID</t>
        </is>
      </c>
      <c r="C145" s="4" t="inlineStr">
        <is>
          <t>FECHA REAL</t>
        </is>
      </c>
      <c r="D145" s="5" t="inlineStr">
        <is>
          <t>MES</t>
        </is>
      </c>
      <c r="E145" s="4" t="inlineStr">
        <is>
          <t>Day of Week</t>
        </is>
      </c>
      <c r="F145" s="4" t="inlineStr">
        <is>
          <t>Flight No</t>
        </is>
      </c>
      <c r="G145" s="4" t="inlineStr">
        <is>
          <t>Dep Stn</t>
        </is>
      </c>
      <c r="H145" s="4" t="inlineStr">
        <is>
          <t>Arr Stn</t>
        </is>
      </c>
      <c r="I145" s="4" t="inlineStr">
        <is>
          <t>STD</t>
        </is>
      </c>
      <c r="J145" s="4" t="inlineStr">
        <is>
          <t>STA</t>
        </is>
      </c>
      <c r="K145" s="4" t="inlineStr">
        <is>
          <t>DAY</t>
        </is>
      </c>
      <c r="L145" s="4" t="inlineStr">
        <is>
          <t>AC Type</t>
        </is>
      </c>
      <c r="M145" s="4" t="inlineStr">
        <is>
          <t>HBT</t>
        </is>
      </c>
      <c r="N145" s="6" t="inlineStr">
        <is>
          <t>DIA_DUTY</t>
        </is>
      </c>
      <c r="O145" s="3" t="n"/>
      <c r="Q145">
        <f>"- "&amp;G146&amp;"-"&amp;H146</f>
        <v/>
      </c>
      <c r="R145" s="7">
        <f>B146</f>
        <v/>
      </c>
      <c r="S145" s="7">
        <f>C146</f>
        <v/>
      </c>
      <c r="T145" s="7">
        <f>E146</f>
        <v/>
      </c>
      <c r="U145" s="7">
        <f>F146&amp;"/"&amp;F147</f>
        <v/>
      </c>
      <c r="V145" s="7">
        <f>G146&amp;"-"&amp;H146&amp;"-"&amp;G146</f>
        <v/>
      </c>
      <c r="W145" s="7">
        <f>IF(O145="","",O145)</f>
        <v/>
      </c>
      <c r="X145" s="7">
        <f>IF(Q144="","",Q144)</f>
        <v/>
      </c>
      <c r="Y145" s="7">
        <f>C146</f>
        <v/>
      </c>
      <c r="Z145" s="7">
        <f>C147</f>
        <v/>
      </c>
    </row>
    <row r="146">
      <c r="B146" s="7" t="n">
        <v>252</v>
      </c>
      <c r="C146" s="7" t="inlineStr">
        <is>
          <t>24/09/2026</t>
        </is>
      </c>
      <c r="D146" s="7" t="inlineStr">
        <is>
          <t>Sep-2026</t>
        </is>
      </c>
      <c r="E146" s="7" t="inlineStr">
        <is>
          <t>jueves</t>
        </is>
      </c>
      <c r="F146" s="7" t="n">
        <v>2480</v>
      </c>
      <c r="G146" s="7" t="inlineStr">
        <is>
          <t>LIM</t>
        </is>
      </c>
      <c r="H146" s="7" t="inlineStr">
        <is>
          <t>MIA</t>
        </is>
      </c>
      <c r="I146" s="7" t="inlineStr">
        <is>
          <t>00:15:00</t>
        </is>
      </c>
      <c r="J146" s="7" t="inlineStr">
        <is>
          <t>06:20:00</t>
        </is>
      </c>
      <c r="K146" s="7" t="inlineStr">
        <is>
          <t>NO</t>
        </is>
      </c>
      <c r="L146" s="7" t="n">
        <v>763</v>
      </c>
      <c r="M146" s="7" t="inlineStr">
        <is>
          <t>06:05:00</t>
        </is>
      </c>
      <c r="N146" s="7" t="n">
        <v>2</v>
      </c>
      <c r="Q146">
        <f>"- LA "&amp;F146&amp;" ("&amp;LEFT(I146,5)&amp;"-"&amp;LEFT(J146,5)&amp;" hrs)"</f>
        <v/>
      </c>
    </row>
    <row r="147">
      <c r="B147" s="7" t="n">
        <v>252</v>
      </c>
      <c r="C147" s="7" t="inlineStr">
        <is>
          <t>25/09/2026</t>
        </is>
      </c>
      <c r="D147" s="7" t="inlineStr">
        <is>
          <t>Sep-2026</t>
        </is>
      </c>
      <c r="E147" s="7" t="inlineStr">
        <is>
          <t>viernes</t>
        </is>
      </c>
      <c r="F147" s="7" t="n">
        <v>2481</v>
      </c>
      <c r="G147" s="7" t="inlineStr">
        <is>
          <t>MIA</t>
        </is>
      </c>
      <c r="H147" s="7" t="inlineStr">
        <is>
          <t>LIM</t>
        </is>
      </c>
      <c r="I147" s="7" t="inlineStr">
        <is>
          <t>15:55:00</t>
        </is>
      </c>
      <c r="J147" s="7" t="inlineStr">
        <is>
          <t>21:40:00</t>
        </is>
      </c>
      <c r="K147" s="7" t="inlineStr">
        <is>
          <t>NO</t>
        </is>
      </c>
      <c r="L147" s="7" t="n">
        <v>763</v>
      </c>
      <c r="M147" s="7" t="inlineStr">
        <is>
          <t>05:45:00</t>
        </is>
      </c>
      <c r="N147" s="7" t="n">
        <v>3</v>
      </c>
      <c r="O147">
        <f>IF(O145="","",O145)</f>
        <v/>
      </c>
      <c r="Q147">
        <f>IF(Q144="","",Q144)</f>
        <v/>
      </c>
    </row>
    <row r="148">
      <c r="Q148">
        <f>"- "&amp;G147&amp;"-"&amp;H147</f>
        <v/>
      </c>
    </row>
    <row r="149">
      <c r="Q149">
        <f>"- LA "&amp;F147&amp;" ("&amp;LEFT(I147,5)&amp;"-"&amp;LEFT(J147,5)&amp;" hrs)"</f>
        <v/>
      </c>
    </row>
    <row r="151">
      <c r="Q151" s="3" t="n"/>
    </row>
    <row r="152">
      <c r="B152" s="4" t="inlineStr">
        <is>
          <t>Pairing ID</t>
        </is>
      </c>
      <c r="C152" s="4" t="inlineStr">
        <is>
          <t>FECHA REAL</t>
        </is>
      </c>
      <c r="D152" s="5" t="inlineStr">
        <is>
          <t>MES</t>
        </is>
      </c>
      <c r="E152" s="4" t="inlineStr">
        <is>
          <t>Day of Week</t>
        </is>
      </c>
      <c r="F152" s="4" t="inlineStr">
        <is>
          <t>Flight No</t>
        </is>
      </c>
      <c r="G152" s="4" t="inlineStr">
        <is>
          <t>Dep Stn</t>
        </is>
      </c>
      <c r="H152" s="4" t="inlineStr">
        <is>
          <t>Arr Stn</t>
        </is>
      </c>
      <c r="I152" s="4" t="inlineStr">
        <is>
          <t>STD</t>
        </is>
      </c>
      <c r="J152" s="4" t="inlineStr">
        <is>
          <t>STA</t>
        </is>
      </c>
      <c r="K152" s="4" t="inlineStr">
        <is>
          <t>DAY</t>
        </is>
      </c>
      <c r="L152" s="4" t="inlineStr">
        <is>
          <t>AC Type</t>
        </is>
      </c>
      <c r="M152" s="4" t="inlineStr">
        <is>
          <t>HBT</t>
        </is>
      </c>
      <c r="N152" s="6" t="inlineStr">
        <is>
          <t>DIA_DUTY</t>
        </is>
      </c>
      <c r="O152" s="3" t="n"/>
      <c r="Q152">
        <f>"- "&amp;G153&amp;"-"&amp;H153</f>
        <v/>
      </c>
      <c r="R152" s="7">
        <f>B153</f>
        <v/>
      </c>
      <c r="S152" s="7">
        <f>C153</f>
        <v/>
      </c>
      <c r="T152" s="7">
        <f>E153</f>
        <v/>
      </c>
      <c r="U152" s="7">
        <f>F153&amp;"/"&amp;F154</f>
        <v/>
      </c>
      <c r="V152" s="7">
        <f>G153&amp;"-"&amp;H153&amp;"-"&amp;G153</f>
        <v/>
      </c>
      <c r="W152" s="7">
        <f>IF(O152="","",O152)</f>
        <v/>
      </c>
      <c r="X152" s="7">
        <f>IF(Q151="","",Q151)</f>
        <v/>
      </c>
      <c r="Y152" s="7">
        <f>C153</f>
        <v/>
      </c>
      <c r="Z152" s="7">
        <f>C154</f>
        <v/>
      </c>
    </row>
    <row r="153">
      <c r="B153" s="7" t="n">
        <v>257</v>
      </c>
      <c r="C153" s="7" t="inlineStr">
        <is>
          <t>24/09/2026</t>
        </is>
      </c>
      <c r="D153" s="7" t="inlineStr">
        <is>
          <t>Sep-2026</t>
        </is>
      </c>
      <c r="E153" s="7" t="inlineStr">
        <is>
          <t>jueves</t>
        </is>
      </c>
      <c r="F153" s="7" t="n">
        <v>2413</v>
      </c>
      <c r="G153" s="7" t="inlineStr">
        <is>
          <t>LIM</t>
        </is>
      </c>
      <c r="H153" s="7" t="inlineStr">
        <is>
          <t>SCL</t>
        </is>
      </c>
      <c r="I153" s="7" t="inlineStr">
        <is>
          <t>12:05:00</t>
        </is>
      </c>
      <c r="J153" s="7" t="inlineStr">
        <is>
          <t>15:45:00</t>
        </is>
      </c>
      <c r="K153" s="7" t="inlineStr">
        <is>
          <t>NO</t>
        </is>
      </c>
      <c r="L153" s="7" t="n">
        <v>763</v>
      </c>
      <c r="M153" s="7" t="inlineStr">
        <is>
          <t>03:40:00</t>
        </is>
      </c>
      <c r="N153" s="7" t="n">
        <v>1</v>
      </c>
      <c r="Q153">
        <f>"- LA "&amp;F153&amp;" ("&amp;LEFT(I153,5)&amp;"-"&amp;LEFT(J153,5)&amp;" hrs)"</f>
        <v/>
      </c>
    </row>
    <row r="154">
      <c r="B154" s="7" t="n">
        <v>257</v>
      </c>
      <c r="C154" s="7" t="inlineStr">
        <is>
          <t>24/09/2026</t>
        </is>
      </c>
      <c r="D154" s="7" t="inlineStr">
        <is>
          <t>Sep-2026</t>
        </is>
      </c>
      <c r="E154" s="7" t="inlineStr">
        <is>
          <t>jueves</t>
        </is>
      </c>
      <c r="F154" s="7" t="n">
        <v>2412</v>
      </c>
      <c r="G154" s="7" t="inlineStr">
        <is>
          <t>SCL</t>
        </is>
      </c>
      <c r="H154" s="7" t="inlineStr">
        <is>
          <t>LIM</t>
        </is>
      </c>
      <c r="I154" s="7" t="inlineStr">
        <is>
          <t>17:10:00</t>
        </is>
      </c>
      <c r="J154" s="7" t="inlineStr">
        <is>
          <t>21:00:00</t>
        </is>
      </c>
      <c r="K154" s="7" t="inlineStr">
        <is>
          <t>NO</t>
        </is>
      </c>
      <c r="L154" s="7" t="n">
        <v>763</v>
      </c>
      <c r="M154" s="7" t="inlineStr">
        <is>
          <t>03:50:00</t>
        </is>
      </c>
      <c r="N154" s="7" t="n">
        <v>1</v>
      </c>
      <c r="O154">
        <f>IF(O152="","",O152)</f>
        <v/>
      </c>
      <c r="Q154">
        <f>IF(Q151="","",Q151)</f>
        <v/>
      </c>
    </row>
    <row r="155">
      <c r="Q155">
        <f>"- "&amp;G154&amp;"-"&amp;H154</f>
        <v/>
      </c>
    </row>
    <row r="156">
      <c r="Q156">
        <f>"- LA "&amp;F154&amp;" ("&amp;LEFT(I154,5)&amp;"-"&amp;LEFT(J154,5)&amp;" hrs)"</f>
        <v/>
      </c>
    </row>
    <row r="158">
      <c r="Q158" s="3" t="n"/>
    </row>
    <row r="159">
      <c r="B159" s="4" t="inlineStr">
        <is>
          <t>Pairing ID</t>
        </is>
      </c>
      <c r="C159" s="4" t="inlineStr">
        <is>
          <t>FECHA REAL</t>
        </is>
      </c>
      <c r="D159" s="5" t="inlineStr">
        <is>
          <t>MES</t>
        </is>
      </c>
      <c r="E159" s="4" t="inlineStr">
        <is>
          <t>Day of Week</t>
        </is>
      </c>
      <c r="F159" s="4" t="inlineStr">
        <is>
          <t>Flight No</t>
        </is>
      </c>
      <c r="G159" s="4" t="inlineStr">
        <is>
          <t>Dep Stn</t>
        </is>
      </c>
      <c r="H159" s="4" t="inlineStr">
        <is>
          <t>Arr Stn</t>
        </is>
      </c>
      <c r="I159" s="4" t="inlineStr">
        <is>
          <t>STD</t>
        </is>
      </c>
      <c r="J159" s="4" t="inlineStr">
        <is>
          <t>STA</t>
        </is>
      </c>
      <c r="K159" s="4" t="inlineStr">
        <is>
          <t>DAY</t>
        </is>
      </c>
      <c r="L159" s="4" t="inlineStr">
        <is>
          <t>AC Type</t>
        </is>
      </c>
      <c r="M159" s="4" t="inlineStr">
        <is>
          <t>HBT</t>
        </is>
      </c>
      <c r="N159" s="6" t="inlineStr">
        <is>
          <t>DIA_DUTY</t>
        </is>
      </c>
      <c r="O159" s="3" t="n"/>
      <c r="Q159">
        <f>"- "&amp;G160&amp;"-"&amp;H160</f>
        <v/>
      </c>
      <c r="R159" s="7">
        <f>B160</f>
        <v/>
      </c>
      <c r="S159" s="7">
        <f>C160</f>
        <v/>
      </c>
      <c r="T159" s="7">
        <f>E160</f>
        <v/>
      </c>
      <c r="U159" s="7">
        <f>F160&amp;"/"&amp;F161</f>
        <v/>
      </c>
      <c r="V159" s="7">
        <f>G160&amp;"-"&amp;H160&amp;"-"&amp;G160</f>
        <v/>
      </c>
      <c r="W159" s="7">
        <f>IF(O159="","",O159)</f>
        <v/>
      </c>
      <c r="X159" s="7">
        <f>IF(Q158="","",Q158)</f>
        <v/>
      </c>
      <c r="Y159" s="7">
        <f>C160</f>
        <v/>
      </c>
      <c r="Z159" s="7">
        <f>C161</f>
        <v/>
      </c>
    </row>
    <row r="160">
      <c r="B160" s="7" t="n">
        <v>267</v>
      </c>
      <c r="C160" s="7" t="inlineStr">
        <is>
          <t>25/09/2026</t>
        </is>
      </c>
      <c r="D160" s="7" t="inlineStr">
        <is>
          <t>Sep-2026</t>
        </is>
      </c>
      <c r="E160" s="7" t="inlineStr">
        <is>
          <t>viernes</t>
        </is>
      </c>
      <c r="F160" s="7" t="n">
        <v>2413</v>
      </c>
      <c r="G160" s="7" t="inlineStr">
        <is>
          <t>LIM</t>
        </is>
      </c>
      <c r="H160" s="7" t="inlineStr">
        <is>
          <t>SCL</t>
        </is>
      </c>
      <c r="I160" s="7" t="inlineStr">
        <is>
          <t>12:05:00</t>
        </is>
      </c>
      <c r="J160" s="7" t="inlineStr">
        <is>
          <t>15:45:00</t>
        </is>
      </c>
      <c r="K160" s="7" t="inlineStr">
        <is>
          <t>NO</t>
        </is>
      </c>
      <c r="L160" s="7" t="n">
        <v>763</v>
      </c>
      <c r="M160" s="7" t="inlineStr">
        <is>
          <t>03:40:00</t>
        </is>
      </c>
      <c r="N160" s="7" t="n">
        <v>1</v>
      </c>
      <c r="Q160">
        <f>"- LA "&amp;F160&amp;" ("&amp;LEFT(I160,5)&amp;"-"&amp;LEFT(J160,5)&amp;" hrs)"</f>
        <v/>
      </c>
    </row>
    <row r="161">
      <c r="B161" s="7" t="n">
        <v>267</v>
      </c>
      <c r="C161" s="7" t="inlineStr">
        <is>
          <t>25/09/2026</t>
        </is>
      </c>
      <c r="D161" s="7" t="inlineStr">
        <is>
          <t>Sep-2026</t>
        </is>
      </c>
      <c r="E161" s="7" t="inlineStr">
        <is>
          <t>viernes</t>
        </is>
      </c>
      <c r="F161" s="7" t="n">
        <v>2412</v>
      </c>
      <c r="G161" s="7" t="inlineStr">
        <is>
          <t>SCL</t>
        </is>
      </c>
      <c r="H161" s="7" t="inlineStr">
        <is>
          <t>LIM</t>
        </is>
      </c>
      <c r="I161" s="7" t="inlineStr">
        <is>
          <t>17:10:00</t>
        </is>
      </c>
      <c r="J161" s="7" t="inlineStr">
        <is>
          <t>21:00:00</t>
        </is>
      </c>
      <c r="K161" s="7" t="inlineStr">
        <is>
          <t>NO</t>
        </is>
      </c>
      <c r="L161" s="7" t="n">
        <v>763</v>
      </c>
      <c r="M161" s="7" t="inlineStr">
        <is>
          <t>03:50:00</t>
        </is>
      </c>
      <c r="N161" s="7" t="n">
        <v>1</v>
      </c>
      <c r="O161">
        <f>IF(O159="","",O159)</f>
        <v/>
      </c>
      <c r="Q161">
        <f>IF(Q158="","",Q158)</f>
        <v/>
      </c>
    </row>
    <row r="162">
      <c r="Q162">
        <f>"- "&amp;G161&amp;"-"&amp;H161</f>
        <v/>
      </c>
    </row>
    <row r="163">
      <c r="Q163">
        <f>"- LA "&amp;F161&amp;" ("&amp;LEFT(I161,5)&amp;"-"&amp;LEFT(J161,5)&amp;" hrs)"</f>
        <v/>
      </c>
    </row>
    <row r="165">
      <c r="Q165" s="3" t="n"/>
    </row>
    <row r="166">
      <c r="B166" s="4" t="inlineStr">
        <is>
          <t>Pairing ID</t>
        </is>
      </c>
      <c r="C166" s="4" t="inlineStr">
        <is>
          <t>FECHA REAL</t>
        </is>
      </c>
      <c r="D166" s="5" t="inlineStr">
        <is>
          <t>MES</t>
        </is>
      </c>
      <c r="E166" s="4" t="inlineStr">
        <is>
          <t>Day of Week</t>
        </is>
      </c>
      <c r="F166" s="4" t="inlineStr">
        <is>
          <t>Flight No</t>
        </is>
      </c>
      <c r="G166" s="4" t="inlineStr">
        <is>
          <t>Dep Stn</t>
        </is>
      </c>
      <c r="H166" s="4" t="inlineStr">
        <is>
          <t>Arr Stn</t>
        </is>
      </c>
      <c r="I166" s="4" t="inlineStr">
        <is>
          <t>STD</t>
        </is>
      </c>
      <c r="J166" s="4" t="inlineStr">
        <is>
          <t>STA</t>
        </is>
      </c>
      <c r="K166" s="4" t="inlineStr">
        <is>
          <t>DAY</t>
        </is>
      </c>
      <c r="L166" s="4" t="inlineStr">
        <is>
          <t>AC Type</t>
        </is>
      </c>
      <c r="M166" s="4" t="inlineStr">
        <is>
          <t>HBT</t>
        </is>
      </c>
      <c r="N166" s="6" t="inlineStr">
        <is>
          <t>DIA_DUTY</t>
        </is>
      </c>
      <c r="O166" s="3" t="n"/>
      <c r="Q166">
        <f>"- "&amp;G167&amp;"-"&amp;H167</f>
        <v/>
      </c>
      <c r="R166" s="7">
        <f>B167</f>
        <v/>
      </c>
      <c r="S166" s="7">
        <f>C167</f>
        <v/>
      </c>
      <c r="T166" s="7">
        <f>E167</f>
        <v/>
      </c>
      <c r="U166" s="7">
        <f>F167&amp;"/"&amp;F168</f>
        <v/>
      </c>
      <c r="V166" s="7">
        <f>G167&amp;"-"&amp;H167&amp;"-"&amp;G167</f>
        <v/>
      </c>
      <c r="W166" s="7">
        <f>IF(O166="","",O166)</f>
        <v/>
      </c>
      <c r="X166" s="7">
        <f>IF(Q165="","",Q165)</f>
        <v/>
      </c>
      <c r="Y166" s="7">
        <f>C167</f>
        <v/>
      </c>
      <c r="Z166" s="7">
        <f>C168</f>
        <v/>
      </c>
    </row>
    <row r="167">
      <c r="B167" s="7" t="n">
        <v>297</v>
      </c>
      <c r="C167" s="7" t="inlineStr">
        <is>
          <t>28/09/2026</t>
        </is>
      </c>
      <c r="D167" s="7" t="inlineStr">
        <is>
          <t>Sep-2026</t>
        </is>
      </c>
      <c r="E167" s="7" t="inlineStr">
        <is>
          <t>lunes</t>
        </is>
      </c>
      <c r="F167" s="7" t="n">
        <v>2698</v>
      </c>
      <c r="G167" s="7" t="inlineStr">
        <is>
          <t>LIM</t>
        </is>
      </c>
      <c r="H167" s="7" t="inlineStr">
        <is>
          <t>MIA</t>
        </is>
      </c>
      <c r="I167" s="7" t="inlineStr">
        <is>
          <t>08:15:00</t>
        </is>
      </c>
      <c r="J167" s="7" t="inlineStr">
        <is>
          <t>14:20:00</t>
        </is>
      </c>
      <c r="K167" s="7" t="inlineStr">
        <is>
          <t>NO</t>
        </is>
      </c>
      <c r="L167" s="7" t="n">
        <v>763</v>
      </c>
      <c r="M167" s="7" t="inlineStr">
        <is>
          <t>06:05:00</t>
        </is>
      </c>
      <c r="N167" s="7" t="n">
        <v>1</v>
      </c>
      <c r="Q167">
        <f>"- LA "&amp;F167&amp;" ("&amp;LEFT(I167,5)&amp;"-"&amp;LEFT(J167,5)&amp;" hrs)"</f>
        <v/>
      </c>
    </row>
    <row r="168">
      <c r="B168" s="7" t="n">
        <v>297</v>
      </c>
      <c r="C168" s="7" t="inlineStr">
        <is>
          <t>30/09/2026</t>
        </is>
      </c>
      <c r="D168" s="7" t="inlineStr">
        <is>
          <t>Sep-2026</t>
        </is>
      </c>
      <c r="E168" s="7" t="inlineStr">
        <is>
          <t>miércoles</t>
        </is>
      </c>
      <c r="F168" s="7" t="n">
        <v>2699</v>
      </c>
      <c r="G168" s="7" t="inlineStr">
        <is>
          <t>MIA</t>
        </is>
      </c>
      <c r="H168" s="7" t="inlineStr">
        <is>
          <t>LIM</t>
        </is>
      </c>
      <c r="I168" s="7" t="inlineStr">
        <is>
          <t>23:15:00</t>
        </is>
      </c>
      <c r="J168" s="7" t="inlineStr">
        <is>
          <t>05:00:00</t>
        </is>
      </c>
      <c r="K168" s="7" t="inlineStr">
        <is>
          <t>NO</t>
        </is>
      </c>
      <c r="L168" s="7" t="n">
        <v>763</v>
      </c>
      <c r="M168" s="7" t="inlineStr">
        <is>
          <t>05:45:00</t>
        </is>
      </c>
      <c r="N168" s="7" t="n">
        <v>2</v>
      </c>
      <c r="O168">
        <f>IF(O166="","",O166)</f>
        <v/>
      </c>
      <c r="Q168">
        <f>IF(Q165="","",Q165)</f>
        <v/>
      </c>
    </row>
    <row r="169">
      <c r="Q169">
        <f>"- "&amp;G168&amp;"-"&amp;H168</f>
        <v/>
      </c>
    </row>
    <row r="170">
      <c r="Q170">
        <f>"- LA "&amp;F168&amp;" ("&amp;LEFT(I168,5)&amp;"-"&amp;LEFT(J168,5)&amp;" hrs)"</f>
        <v/>
      </c>
    </row>
    <row r="172">
      <c r="Q172" s="3" t="n"/>
    </row>
    <row r="173">
      <c r="B173" s="4" t="inlineStr">
        <is>
          <t>Pairing ID</t>
        </is>
      </c>
      <c r="C173" s="4" t="inlineStr">
        <is>
          <t>FECHA REAL</t>
        </is>
      </c>
      <c r="D173" s="5" t="inlineStr">
        <is>
          <t>MES</t>
        </is>
      </c>
      <c r="E173" s="4" t="inlineStr">
        <is>
          <t>Day of Week</t>
        </is>
      </c>
      <c r="F173" s="4" t="inlineStr">
        <is>
          <t>Flight No</t>
        </is>
      </c>
      <c r="G173" s="4" t="inlineStr">
        <is>
          <t>Dep Stn</t>
        </is>
      </c>
      <c r="H173" s="4" t="inlineStr">
        <is>
          <t>Arr Stn</t>
        </is>
      </c>
      <c r="I173" s="4" t="inlineStr">
        <is>
          <t>STD</t>
        </is>
      </c>
      <c r="J173" s="4" t="inlineStr">
        <is>
          <t>STA</t>
        </is>
      </c>
      <c r="K173" s="4" t="inlineStr">
        <is>
          <t>DAY</t>
        </is>
      </c>
      <c r="L173" s="4" t="inlineStr">
        <is>
          <t>AC Type</t>
        </is>
      </c>
      <c r="M173" s="4" t="inlineStr">
        <is>
          <t>HBT</t>
        </is>
      </c>
      <c r="N173" s="6" t="inlineStr">
        <is>
          <t>DIA_DUTY</t>
        </is>
      </c>
      <c r="O173" s="3" t="n"/>
      <c r="Q173">
        <f>"- "&amp;G174&amp;"-"&amp;H174</f>
        <v/>
      </c>
      <c r="R173" s="7">
        <f>B174</f>
        <v/>
      </c>
      <c r="S173" s="7">
        <f>C174</f>
        <v/>
      </c>
      <c r="T173" s="7">
        <f>E174</f>
        <v/>
      </c>
      <c r="U173" s="7">
        <f>F174&amp;"/"&amp;F175</f>
        <v/>
      </c>
      <c r="V173" s="7">
        <f>G174&amp;"-"&amp;H174&amp;"-"&amp;G174</f>
        <v/>
      </c>
      <c r="W173" s="7">
        <f>IF(O173="","",O173)</f>
        <v/>
      </c>
      <c r="X173" s="7">
        <f>IF(Q172="","",Q172)</f>
        <v/>
      </c>
      <c r="Y173" s="7">
        <f>C174</f>
        <v/>
      </c>
      <c r="Z173" s="7">
        <f>C175</f>
        <v/>
      </c>
    </row>
    <row r="174">
      <c r="B174" s="7" t="n">
        <v>304</v>
      </c>
      <c r="C174" s="7" t="inlineStr">
        <is>
          <t>29/09/2026</t>
        </is>
      </c>
      <c r="D174" s="7" t="inlineStr">
        <is>
          <t>Sep-2026</t>
        </is>
      </c>
      <c r="E174" s="7" t="inlineStr">
        <is>
          <t>martes</t>
        </is>
      </c>
      <c r="F174" s="7" t="n">
        <v>2480</v>
      </c>
      <c r="G174" s="7" t="inlineStr">
        <is>
          <t>LIM</t>
        </is>
      </c>
      <c r="H174" s="7" t="inlineStr">
        <is>
          <t>MIA</t>
        </is>
      </c>
      <c r="I174" s="7" t="inlineStr">
        <is>
          <t>00:15:00</t>
        </is>
      </c>
      <c r="J174" s="7" t="inlineStr">
        <is>
          <t>06:20:00</t>
        </is>
      </c>
      <c r="K174" s="7" t="inlineStr">
        <is>
          <t>NO</t>
        </is>
      </c>
      <c r="L174" s="7" t="n">
        <v>763</v>
      </c>
      <c r="M174" s="7" t="inlineStr">
        <is>
          <t>06:05:00</t>
        </is>
      </c>
      <c r="N174" s="7" t="n">
        <v>2</v>
      </c>
      <c r="Q174">
        <f>"- LA "&amp;F174&amp;" ("&amp;LEFT(I174,5)&amp;"-"&amp;LEFT(J174,5)&amp;" hrs)"</f>
        <v/>
      </c>
    </row>
    <row r="175">
      <c r="B175" s="7" t="n">
        <v>304</v>
      </c>
      <c r="C175" s="7" t="inlineStr">
        <is>
          <t>30/09/2026</t>
        </is>
      </c>
      <c r="D175" s="7" t="inlineStr">
        <is>
          <t>Sep-2026</t>
        </is>
      </c>
      <c r="E175" s="7" t="inlineStr">
        <is>
          <t>miércoles</t>
        </is>
      </c>
      <c r="F175" s="7" t="n">
        <v>2481</v>
      </c>
      <c r="G175" s="7" t="inlineStr">
        <is>
          <t>MIA</t>
        </is>
      </c>
      <c r="H175" s="7" t="inlineStr">
        <is>
          <t>LIM</t>
        </is>
      </c>
      <c r="I175" s="7" t="inlineStr">
        <is>
          <t>15:55:00</t>
        </is>
      </c>
      <c r="J175" s="7" t="inlineStr">
        <is>
          <t>21:40:00</t>
        </is>
      </c>
      <c r="K175" s="7" t="inlineStr">
        <is>
          <t>NO</t>
        </is>
      </c>
      <c r="L175" s="7" t="n">
        <v>763</v>
      </c>
      <c r="M175" s="7" t="inlineStr">
        <is>
          <t>05:45:00</t>
        </is>
      </c>
      <c r="N175" s="7" t="n">
        <v>3</v>
      </c>
      <c r="O175">
        <f>IF(O173="","",O173)</f>
        <v/>
      </c>
      <c r="Q175">
        <f>IF(Q172="","",Q172)</f>
        <v/>
      </c>
    </row>
    <row r="176">
      <c r="Q176">
        <f>"- "&amp;G175&amp;"-"&amp;H175</f>
        <v/>
      </c>
    </row>
    <row r="177">
      <c r="Q177">
        <f>"- LA "&amp;F175&amp;" ("&amp;LEFT(I175,5)&amp;"-"&amp;LEFT(J175,5)&amp;" hrs)"</f>
        <v/>
      </c>
    </row>
    <row r="179">
      <c r="Q179" s="3" t="n"/>
    </row>
    <row r="180">
      <c r="B180" s="4" t="inlineStr">
        <is>
          <t>Pairing ID</t>
        </is>
      </c>
      <c r="C180" s="4" t="inlineStr">
        <is>
          <t>FECHA REAL</t>
        </is>
      </c>
      <c r="D180" s="5" t="inlineStr">
        <is>
          <t>MES</t>
        </is>
      </c>
      <c r="E180" s="4" t="inlineStr">
        <is>
          <t>Day of Week</t>
        </is>
      </c>
      <c r="F180" s="4" t="inlineStr">
        <is>
          <t>Flight No</t>
        </is>
      </c>
      <c r="G180" s="4" t="inlineStr">
        <is>
          <t>Dep Stn</t>
        </is>
      </c>
      <c r="H180" s="4" t="inlineStr">
        <is>
          <t>Arr Stn</t>
        </is>
      </c>
      <c r="I180" s="4" t="inlineStr">
        <is>
          <t>STD</t>
        </is>
      </c>
      <c r="J180" s="4" t="inlineStr">
        <is>
          <t>STA</t>
        </is>
      </c>
      <c r="K180" s="4" t="inlineStr">
        <is>
          <t>DAY</t>
        </is>
      </c>
      <c r="L180" s="4" t="inlineStr">
        <is>
          <t>AC Type</t>
        </is>
      </c>
      <c r="M180" s="4" t="inlineStr">
        <is>
          <t>HBT</t>
        </is>
      </c>
      <c r="N180" s="6" t="inlineStr">
        <is>
          <t>DIA_DUTY</t>
        </is>
      </c>
      <c r="O180" s="3" t="n"/>
      <c r="Q180">
        <f>"- "&amp;G181&amp;"-"&amp;H181</f>
        <v/>
      </c>
      <c r="R180" s="7">
        <f>B181</f>
        <v/>
      </c>
      <c r="S180" s="7">
        <f>C181</f>
        <v/>
      </c>
      <c r="T180" s="7">
        <f>E181</f>
        <v/>
      </c>
      <c r="U180" s="7">
        <f>F181&amp;"/"&amp;F182</f>
        <v/>
      </c>
      <c r="V180" s="7">
        <f>G181&amp;"-"&amp;H181&amp;"-"&amp;G181</f>
        <v/>
      </c>
      <c r="W180" s="7">
        <f>IF(O180="","",O180)</f>
        <v/>
      </c>
      <c r="X180" s="7">
        <f>IF(Q179="","",Q179)</f>
        <v/>
      </c>
      <c r="Y180" s="7">
        <f>C181</f>
        <v/>
      </c>
      <c r="Z180" s="7">
        <f>C182</f>
        <v/>
      </c>
    </row>
    <row r="181">
      <c r="B181" s="7" t="n">
        <v>313</v>
      </c>
      <c r="C181" s="7" t="inlineStr">
        <is>
          <t>30/09/2026</t>
        </is>
      </c>
      <c r="D181" s="7" t="inlineStr">
        <is>
          <t>Sep-2026</t>
        </is>
      </c>
      <c r="E181" s="7" t="inlineStr">
        <is>
          <t>miércoles</t>
        </is>
      </c>
      <c r="F181" s="7" t="n">
        <v>2480</v>
      </c>
      <c r="G181" s="7" t="inlineStr">
        <is>
          <t>LIM</t>
        </is>
      </c>
      <c r="H181" s="7" t="inlineStr">
        <is>
          <t>MIA</t>
        </is>
      </c>
      <c r="I181" s="7" t="inlineStr">
        <is>
          <t>00:15:00</t>
        </is>
      </c>
      <c r="J181" s="7" t="inlineStr">
        <is>
          <t>06:20:00</t>
        </is>
      </c>
      <c r="K181" s="7" t="inlineStr">
        <is>
          <t>NO</t>
        </is>
      </c>
      <c r="L181" s="7" t="n">
        <v>763</v>
      </c>
      <c r="M181" s="7" t="inlineStr">
        <is>
          <t>06:05:00</t>
        </is>
      </c>
      <c r="N181" s="7" t="n">
        <v>2</v>
      </c>
      <c r="Q181">
        <f>"- LA "&amp;F181&amp;" ("&amp;LEFT(I181,5)&amp;"-"&amp;LEFT(J181,5)&amp;" hrs)"</f>
        <v/>
      </c>
    </row>
    <row r="182">
      <c r="B182" s="7" t="n">
        <v>313</v>
      </c>
      <c r="C182" s="7" t="inlineStr">
        <is>
          <t>01/10/2026</t>
        </is>
      </c>
      <c r="D182" s="7" t="inlineStr">
        <is>
          <t>Oct-2026</t>
        </is>
      </c>
      <c r="E182" s="7" t="inlineStr">
        <is>
          <t>jueves</t>
        </is>
      </c>
      <c r="F182" s="7" t="n">
        <v>2695</v>
      </c>
      <c r="G182" s="7" t="inlineStr">
        <is>
          <t>MIA</t>
        </is>
      </c>
      <c r="H182" s="7" t="inlineStr">
        <is>
          <t>LIM</t>
        </is>
      </c>
      <c r="I182" s="7" t="inlineStr">
        <is>
          <t>16:10:00</t>
        </is>
      </c>
      <c r="J182" s="7" t="inlineStr">
        <is>
          <t>22:00:00</t>
        </is>
      </c>
      <c r="K182" s="7" t="inlineStr">
        <is>
          <t>NO</t>
        </is>
      </c>
      <c r="L182" s="7" t="n">
        <v>763</v>
      </c>
      <c r="M182" s="7" t="inlineStr">
        <is>
          <t>05:50:00</t>
        </is>
      </c>
      <c r="N182" s="7" t="n">
        <v>3</v>
      </c>
      <c r="O182">
        <f>IF(O180="","",O180)</f>
        <v/>
      </c>
      <c r="Q182">
        <f>IF(Q179="","",Q179)</f>
        <v/>
      </c>
    </row>
    <row r="183">
      <c r="Q183">
        <f>"- "&amp;G182&amp;"-"&amp;H182</f>
        <v/>
      </c>
    </row>
    <row r="184">
      <c r="Q184">
        <f>"- LA "&amp;F182&amp;" ("&amp;LEFT(I182,5)&amp;"-"&amp;LEFT(J182,5)&amp;" hrs)"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2026-09-03T01:30:21Z</dcterms:created>
  <dcterms:modified xsi:type="dcterms:W3CDTF">2026-09-03T01:30:21Z</dcterms:modified>
</cp:coreProperties>
</file>