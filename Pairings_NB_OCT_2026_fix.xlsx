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ernando\Documents\002.CHAMBA\LATAM\parings\"/>
    </mc:Choice>
  </mc:AlternateContent>
  <xr:revisionPtr revIDLastSave="0" documentId="13_ncr:1_{8F5AEAE7-49F0-42AD-8405-C3DEAF82BE98}" xr6:coauthVersionLast="47" xr6:coauthVersionMax="47" xr10:uidLastSave="{00000000-0000-0000-0000-000000000000}"/>
  <bookViews>
    <workbookView xWindow="-28920" yWindow="-120" windowWidth="29040" windowHeight="15720" xr2:uid="{00000000-000D-0000-FFFF-FFFF00000000}"/>
  </bookViews>
  <sheets>
    <sheet name="Pairings NB" sheetId="1" r:id="rId1"/>
    <sheet name="Instructores" sheetId="2" r:id="rId2"/>
    <sheet name="Resumen Final" sheetId="3" r:id="rId3"/>
  </sheets>
  <definedNames>
    <definedName name="_xlnm._FilterDatabase" localSheetId="2" hidden="1">'Resumen Final'!$A$1:$K$647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47" i="3" l="1"/>
  <c r="J647" i="3"/>
  <c r="I647" i="3"/>
  <c r="H647" i="3"/>
  <c r="G647" i="3"/>
  <c r="F647" i="3"/>
  <c r="E647" i="3"/>
  <c r="D647" i="3"/>
  <c r="C647" i="3"/>
  <c r="B647" i="3"/>
  <c r="A647" i="3"/>
  <c r="K646" i="3"/>
  <c r="J646" i="3"/>
  <c r="I646" i="3"/>
  <c r="H646" i="3"/>
  <c r="G646" i="3"/>
  <c r="F646" i="3"/>
  <c r="E646" i="3"/>
  <c r="D646" i="3"/>
  <c r="C646" i="3"/>
  <c r="B646" i="3"/>
  <c r="A646" i="3"/>
  <c r="K645" i="3"/>
  <c r="J645" i="3"/>
  <c r="I645" i="3"/>
  <c r="H645" i="3"/>
  <c r="G645" i="3"/>
  <c r="F645" i="3"/>
  <c r="E645" i="3"/>
  <c r="D645" i="3"/>
  <c r="C645" i="3"/>
  <c r="B645" i="3"/>
  <c r="A645" i="3"/>
  <c r="K644" i="3"/>
  <c r="J644" i="3"/>
  <c r="I644" i="3"/>
  <c r="H644" i="3"/>
  <c r="G644" i="3"/>
  <c r="F644" i="3"/>
  <c r="E644" i="3"/>
  <c r="D644" i="3"/>
  <c r="C644" i="3"/>
  <c r="B644" i="3"/>
  <c r="A644" i="3"/>
  <c r="K643" i="3"/>
  <c r="J643" i="3"/>
  <c r="I643" i="3"/>
  <c r="H643" i="3"/>
  <c r="G643" i="3"/>
  <c r="F643" i="3"/>
  <c r="E643" i="3"/>
  <c r="D643" i="3"/>
  <c r="C643" i="3"/>
  <c r="B643" i="3"/>
  <c r="A643" i="3"/>
  <c r="K642" i="3"/>
  <c r="J642" i="3"/>
  <c r="I642" i="3"/>
  <c r="H642" i="3"/>
  <c r="G642" i="3"/>
  <c r="F642" i="3"/>
  <c r="E642" i="3"/>
  <c r="D642" i="3"/>
  <c r="C642" i="3"/>
  <c r="B642" i="3"/>
  <c r="A642" i="3"/>
  <c r="K641" i="3"/>
  <c r="J641" i="3"/>
  <c r="I641" i="3"/>
  <c r="H641" i="3"/>
  <c r="G641" i="3"/>
  <c r="F641" i="3"/>
  <c r="E641" i="3"/>
  <c r="D641" i="3"/>
  <c r="C641" i="3"/>
  <c r="B641" i="3"/>
  <c r="A641" i="3"/>
  <c r="K640" i="3"/>
  <c r="J640" i="3"/>
  <c r="I640" i="3"/>
  <c r="H640" i="3"/>
  <c r="G640" i="3"/>
  <c r="F640" i="3"/>
  <c r="E640" i="3"/>
  <c r="D640" i="3"/>
  <c r="C640" i="3"/>
  <c r="B640" i="3"/>
  <c r="A640" i="3"/>
  <c r="K639" i="3"/>
  <c r="J639" i="3"/>
  <c r="I639" i="3"/>
  <c r="H639" i="3"/>
  <c r="G639" i="3"/>
  <c r="F639" i="3"/>
  <c r="E639" i="3"/>
  <c r="D639" i="3"/>
  <c r="C639" i="3"/>
  <c r="B639" i="3"/>
  <c r="A639" i="3"/>
  <c r="K638" i="3"/>
  <c r="J638" i="3"/>
  <c r="I638" i="3"/>
  <c r="H638" i="3"/>
  <c r="G638" i="3"/>
  <c r="F638" i="3"/>
  <c r="E638" i="3"/>
  <c r="D638" i="3"/>
  <c r="C638" i="3"/>
  <c r="B638" i="3"/>
  <c r="A638" i="3"/>
  <c r="K637" i="3"/>
  <c r="J637" i="3"/>
  <c r="I637" i="3"/>
  <c r="H637" i="3"/>
  <c r="G637" i="3"/>
  <c r="F637" i="3"/>
  <c r="E637" i="3"/>
  <c r="D637" i="3"/>
  <c r="C637" i="3"/>
  <c r="B637" i="3"/>
  <c r="A637" i="3"/>
  <c r="K636" i="3"/>
  <c r="J636" i="3"/>
  <c r="I636" i="3"/>
  <c r="H636" i="3"/>
  <c r="G636" i="3"/>
  <c r="F636" i="3"/>
  <c r="E636" i="3"/>
  <c r="D636" i="3"/>
  <c r="C636" i="3"/>
  <c r="B636" i="3"/>
  <c r="A636" i="3"/>
  <c r="K635" i="3"/>
  <c r="J635" i="3"/>
  <c r="I635" i="3"/>
  <c r="H635" i="3"/>
  <c r="G635" i="3"/>
  <c r="F635" i="3"/>
  <c r="E635" i="3"/>
  <c r="D635" i="3"/>
  <c r="C635" i="3"/>
  <c r="B635" i="3"/>
  <c r="A635" i="3"/>
  <c r="K634" i="3"/>
  <c r="J634" i="3"/>
  <c r="I634" i="3"/>
  <c r="H634" i="3"/>
  <c r="G634" i="3"/>
  <c r="F634" i="3"/>
  <c r="E634" i="3"/>
  <c r="D634" i="3"/>
  <c r="C634" i="3"/>
  <c r="B634" i="3"/>
  <c r="A634" i="3"/>
  <c r="K633" i="3"/>
  <c r="J633" i="3"/>
  <c r="I633" i="3"/>
  <c r="H633" i="3"/>
  <c r="G633" i="3"/>
  <c r="F633" i="3"/>
  <c r="E633" i="3"/>
  <c r="D633" i="3"/>
  <c r="C633" i="3"/>
  <c r="B633" i="3"/>
  <c r="A633" i="3"/>
  <c r="K632" i="3"/>
  <c r="J632" i="3"/>
  <c r="I632" i="3"/>
  <c r="H632" i="3"/>
  <c r="G632" i="3"/>
  <c r="F632" i="3"/>
  <c r="E632" i="3"/>
  <c r="D632" i="3"/>
  <c r="C632" i="3"/>
  <c r="B632" i="3"/>
  <c r="A632" i="3"/>
  <c r="K631" i="3"/>
  <c r="J631" i="3"/>
  <c r="I631" i="3"/>
  <c r="H631" i="3"/>
  <c r="G631" i="3"/>
  <c r="F631" i="3"/>
  <c r="E631" i="3"/>
  <c r="D631" i="3"/>
  <c r="C631" i="3"/>
  <c r="B631" i="3"/>
  <c r="A631" i="3"/>
  <c r="K630" i="3"/>
  <c r="J630" i="3"/>
  <c r="I630" i="3"/>
  <c r="H630" i="3"/>
  <c r="G630" i="3"/>
  <c r="F630" i="3"/>
  <c r="E630" i="3"/>
  <c r="D630" i="3"/>
  <c r="C630" i="3"/>
  <c r="B630" i="3"/>
  <c r="A630" i="3"/>
  <c r="K629" i="3"/>
  <c r="J629" i="3"/>
  <c r="I629" i="3"/>
  <c r="H629" i="3"/>
  <c r="G629" i="3"/>
  <c r="F629" i="3"/>
  <c r="E629" i="3"/>
  <c r="D629" i="3"/>
  <c r="C629" i="3"/>
  <c r="B629" i="3"/>
  <c r="A629" i="3"/>
  <c r="K628" i="3"/>
  <c r="J628" i="3"/>
  <c r="I628" i="3"/>
  <c r="H628" i="3"/>
  <c r="G628" i="3"/>
  <c r="F628" i="3"/>
  <c r="E628" i="3"/>
  <c r="D628" i="3"/>
  <c r="C628" i="3"/>
  <c r="B628" i="3"/>
  <c r="A628" i="3"/>
  <c r="K627" i="3"/>
  <c r="J627" i="3"/>
  <c r="I627" i="3"/>
  <c r="H627" i="3"/>
  <c r="G627" i="3"/>
  <c r="F627" i="3"/>
  <c r="E627" i="3"/>
  <c r="D627" i="3"/>
  <c r="C627" i="3"/>
  <c r="B627" i="3"/>
  <c r="A627" i="3"/>
  <c r="K626" i="3"/>
  <c r="J626" i="3"/>
  <c r="I626" i="3"/>
  <c r="H626" i="3"/>
  <c r="G626" i="3"/>
  <c r="F626" i="3"/>
  <c r="E626" i="3"/>
  <c r="D626" i="3"/>
  <c r="C626" i="3"/>
  <c r="B626" i="3"/>
  <c r="A626" i="3"/>
  <c r="K625" i="3"/>
  <c r="J625" i="3"/>
  <c r="I625" i="3"/>
  <c r="H625" i="3"/>
  <c r="G625" i="3"/>
  <c r="F625" i="3"/>
  <c r="E625" i="3"/>
  <c r="D625" i="3"/>
  <c r="C625" i="3"/>
  <c r="B625" i="3"/>
  <c r="A625" i="3"/>
  <c r="K624" i="3"/>
  <c r="J624" i="3"/>
  <c r="I624" i="3"/>
  <c r="H624" i="3"/>
  <c r="G624" i="3"/>
  <c r="F624" i="3"/>
  <c r="E624" i="3"/>
  <c r="D624" i="3"/>
  <c r="C624" i="3"/>
  <c r="B624" i="3"/>
  <c r="A624" i="3"/>
  <c r="K623" i="3"/>
  <c r="J623" i="3"/>
  <c r="I623" i="3"/>
  <c r="H623" i="3"/>
  <c r="G623" i="3"/>
  <c r="F623" i="3"/>
  <c r="E623" i="3"/>
  <c r="D623" i="3"/>
  <c r="C623" i="3"/>
  <c r="B623" i="3"/>
  <c r="A623" i="3"/>
  <c r="K622" i="3"/>
  <c r="J622" i="3"/>
  <c r="I622" i="3"/>
  <c r="H622" i="3"/>
  <c r="G622" i="3"/>
  <c r="F622" i="3"/>
  <c r="E622" i="3"/>
  <c r="D622" i="3"/>
  <c r="C622" i="3"/>
  <c r="B622" i="3"/>
  <c r="A622" i="3"/>
  <c r="K621" i="3"/>
  <c r="J621" i="3"/>
  <c r="I621" i="3"/>
  <c r="H621" i="3"/>
  <c r="G621" i="3"/>
  <c r="F621" i="3"/>
  <c r="E621" i="3"/>
  <c r="D621" i="3"/>
  <c r="C621" i="3"/>
  <c r="B621" i="3"/>
  <c r="A621" i="3"/>
  <c r="K620" i="3"/>
  <c r="J620" i="3"/>
  <c r="I620" i="3"/>
  <c r="H620" i="3"/>
  <c r="G620" i="3"/>
  <c r="F620" i="3"/>
  <c r="E620" i="3"/>
  <c r="D620" i="3"/>
  <c r="C620" i="3"/>
  <c r="B620" i="3"/>
  <c r="A620" i="3"/>
  <c r="K619" i="3"/>
  <c r="J619" i="3"/>
  <c r="I619" i="3"/>
  <c r="H619" i="3"/>
  <c r="G619" i="3"/>
  <c r="F619" i="3"/>
  <c r="E619" i="3"/>
  <c r="D619" i="3"/>
  <c r="C619" i="3"/>
  <c r="B619" i="3"/>
  <c r="A619" i="3"/>
  <c r="K618" i="3"/>
  <c r="J618" i="3"/>
  <c r="I618" i="3"/>
  <c r="H618" i="3"/>
  <c r="G618" i="3"/>
  <c r="F618" i="3"/>
  <c r="E618" i="3"/>
  <c r="D618" i="3"/>
  <c r="C618" i="3"/>
  <c r="B618" i="3"/>
  <c r="A618" i="3"/>
  <c r="K617" i="3"/>
  <c r="J617" i="3"/>
  <c r="I617" i="3"/>
  <c r="H617" i="3"/>
  <c r="G617" i="3"/>
  <c r="F617" i="3"/>
  <c r="E617" i="3"/>
  <c r="D617" i="3"/>
  <c r="C617" i="3"/>
  <c r="B617" i="3"/>
  <c r="A617" i="3"/>
  <c r="K616" i="3"/>
  <c r="J616" i="3"/>
  <c r="I616" i="3"/>
  <c r="H616" i="3"/>
  <c r="G616" i="3"/>
  <c r="F616" i="3"/>
  <c r="E616" i="3"/>
  <c r="D616" i="3"/>
  <c r="C616" i="3"/>
  <c r="B616" i="3"/>
  <c r="A616" i="3"/>
  <c r="K615" i="3"/>
  <c r="J615" i="3"/>
  <c r="I615" i="3"/>
  <c r="H615" i="3"/>
  <c r="G615" i="3"/>
  <c r="F615" i="3"/>
  <c r="E615" i="3"/>
  <c r="D615" i="3"/>
  <c r="C615" i="3"/>
  <c r="B615" i="3"/>
  <c r="A615" i="3"/>
  <c r="K614" i="3"/>
  <c r="J614" i="3"/>
  <c r="I614" i="3"/>
  <c r="H614" i="3"/>
  <c r="G614" i="3"/>
  <c r="F614" i="3"/>
  <c r="E614" i="3"/>
  <c r="D614" i="3"/>
  <c r="C614" i="3"/>
  <c r="B614" i="3"/>
  <c r="A614" i="3"/>
  <c r="K613" i="3"/>
  <c r="J613" i="3"/>
  <c r="I613" i="3"/>
  <c r="H613" i="3"/>
  <c r="G613" i="3"/>
  <c r="F613" i="3"/>
  <c r="E613" i="3"/>
  <c r="D613" i="3"/>
  <c r="C613" i="3"/>
  <c r="B613" i="3"/>
  <c r="A613" i="3"/>
  <c r="K612" i="3"/>
  <c r="J612" i="3"/>
  <c r="I612" i="3"/>
  <c r="H612" i="3"/>
  <c r="G612" i="3"/>
  <c r="F612" i="3"/>
  <c r="E612" i="3"/>
  <c r="D612" i="3"/>
  <c r="C612" i="3"/>
  <c r="B612" i="3"/>
  <c r="A612" i="3"/>
  <c r="K611" i="3"/>
  <c r="J611" i="3"/>
  <c r="I611" i="3"/>
  <c r="H611" i="3"/>
  <c r="G611" i="3"/>
  <c r="F611" i="3"/>
  <c r="E611" i="3"/>
  <c r="D611" i="3"/>
  <c r="C611" i="3"/>
  <c r="B611" i="3"/>
  <c r="A611" i="3"/>
  <c r="K610" i="3"/>
  <c r="J610" i="3"/>
  <c r="I610" i="3"/>
  <c r="H610" i="3"/>
  <c r="G610" i="3"/>
  <c r="F610" i="3"/>
  <c r="E610" i="3"/>
  <c r="D610" i="3"/>
  <c r="C610" i="3"/>
  <c r="B610" i="3"/>
  <c r="A610" i="3"/>
  <c r="K609" i="3"/>
  <c r="J609" i="3"/>
  <c r="I609" i="3"/>
  <c r="H609" i="3"/>
  <c r="G609" i="3"/>
  <c r="F609" i="3"/>
  <c r="E609" i="3"/>
  <c r="D609" i="3"/>
  <c r="C609" i="3"/>
  <c r="B609" i="3"/>
  <c r="A609" i="3"/>
  <c r="K608" i="3"/>
  <c r="J608" i="3"/>
  <c r="I608" i="3"/>
  <c r="H608" i="3"/>
  <c r="G608" i="3"/>
  <c r="F608" i="3"/>
  <c r="E608" i="3"/>
  <c r="D608" i="3"/>
  <c r="C608" i="3"/>
  <c r="B608" i="3"/>
  <c r="A608" i="3"/>
  <c r="K607" i="3"/>
  <c r="J607" i="3"/>
  <c r="I607" i="3"/>
  <c r="H607" i="3"/>
  <c r="G607" i="3"/>
  <c r="F607" i="3"/>
  <c r="E607" i="3"/>
  <c r="D607" i="3"/>
  <c r="C607" i="3"/>
  <c r="B607" i="3"/>
  <c r="A607" i="3"/>
  <c r="K606" i="3"/>
  <c r="J606" i="3"/>
  <c r="I606" i="3"/>
  <c r="H606" i="3"/>
  <c r="G606" i="3"/>
  <c r="F606" i="3"/>
  <c r="E606" i="3"/>
  <c r="D606" i="3"/>
  <c r="C606" i="3"/>
  <c r="B606" i="3"/>
  <c r="A606" i="3"/>
  <c r="K605" i="3"/>
  <c r="J605" i="3"/>
  <c r="I605" i="3"/>
  <c r="H605" i="3"/>
  <c r="G605" i="3"/>
  <c r="F605" i="3"/>
  <c r="E605" i="3"/>
  <c r="D605" i="3"/>
  <c r="C605" i="3"/>
  <c r="B605" i="3"/>
  <c r="A605" i="3"/>
  <c r="K604" i="3"/>
  <c r="J604" i="3"/>
  <c r="I604" i="3"/>
  <c r="H604" i="3"/>
  <c r="G604" i="3"/>
  <c r="F604" i="3"/>
  <c r="E604" i="3"/>
  <c r="D604" i="3"/>
  <c r="C604" i="3"/>
  <c r="B604" i="3"/>
  <c r="A604" i="3"/>
  <c r="K603" i="3"/>
  <c r="J603" i="3"/>
  <c r="I603" i="3"/>
  <c r="H603" i="3"/>
  <c r="G603" i="3"/>
  <c r="F603" i="3"/>
  <c r="E603" i="3"/>
  <c r="D603" i="3"/>
  <c r="C603" i="3"/>
  <c r="B603" i="3"/>
  <c r="A603" i="3"/>
  <c r="K602" i="3"/>
  <c r="J602" i="3"/>
  <c r="I602" i="3"/>
  <c r="H602" i="3"/>
  <c r="G602" i="3"/>
  <c r="F602" i="3"/>
  <c r="E602" i="3"/>
  <c r="D602" i="3"/>
  <c r="C602" i="3"/>
  <c r="B602" i="3"/>
  <c r="A602" i="3"/>
  <c r="K601" i="3"/>
  <c r="J601" i="3"/>
  <c r="I601" i="3"/>
  <c r="H601" i="3"/>
  <c r="G601" i="3"/>
  <c r="F601" i="3"/>
  <c r="E601" i="3"/>
  <c r="D601" i="3"/>
  <c r="C601" i="3"/>
  <c r="B601" i="3"/>
  <c r="A601" i="3"/>
  <c r="K600" i="3"/>
  <c r="J600" i="3"/>
  <c r="I600" i="3"/>
  <c r="H600" i="3"/>
  <c r="G600" i="3"/>
  <c r="F600" i="3"/>
  <c r="E600" i="3"/>
  <c r="D600" i="3"/>
  <c r="C600" i="3"/>
  <c r="B600" i="3"/>
  <c r="A600" i="3"/>
  <c r="K599" i="3"/>
  <c r="J599" i="3"/>
  <c r="I599" i="3"/>
  <c r="H599" i="3"/>
  <c r="G599" i="3"/>
  <c r="F599" i="3"/>
  <c r="E599" i="3"/>
  <c r="D599" i="3"/>
  <c r="C599" i="3"/>
  <c r="B599" i="3"/>
  <c r="A599" i="3"/>
  <c r="K598" i="3"/>
  <c r="J598" i="3"/>
  <c r="I598" i="3"/>
  <c r="H598" i="3"/>
  <c r="G598" i="3"/>
  <c r="F598" i="3"/>
  <c r="E598" i="3"/>
  <c r="D598" i="3"/>
  <c r="C598" i="3"/>
  <c r="B598" i="3"/>
  <c r="A598" i="3"/>
  <c r="K597" i="3"/>
  <c r="J597" i="3"/>
  <c r="I597" i="3"/>
  <c r="H597" i="3"/>
  <c r="G597" i="3"/>
  <c r="F597" i="3"/>
  <c r="E597" i="3"/>
  <c r="D597" i="3"/>
  <c r="C597" i="3"/>
  <c r="B597" i="3"/>
  <c r="A597" i="3"/>
  <c r="K596" i="3"/>
  <c r="J596" i="3"/>
  <c r="I596" i="3"/>
  <c r="H596" i="3"/>
  <c r="G596" i="3"/>
  <c r="F596" i="3"/>
  <c r="E596" i="3"/>
  <c r="D596" i="3"/>
  <c r="C596" i="3"/>
  <c r="B596" i="3"/>
  <c r="A596" i="3"/>
  <c r="K595" i="3"/>
  <c r="J595" i="3"/>
  <c r="I595" i="3"/>
  <c r="H595" i="3"/>
  <c r="G595" i="3"/>
  <c r="F595" i="3"/>
  <c r="E595" i="3"/>
  <c r="D595" i="3"/>
  <c r="C595" i="3"/>
  <c r="B595" i="3"/>
  <c r="A595" i="3"/>
  <c r="K594" i="3"/>
  <c r="J594" i="3"/>
  <c r="I594" i="3"/>
  <c r="H594" i="3"/>
  <c r="G594" i="3"/>
  <c r="F594" i="3"/>
  <c r="E594" i="3"/>
  <c r="D594" i="3"/>
  <c r="C594" i="3"/>
  <c r="B594" i="3"/>
  <c r="A594" i="3"/>
  <c r="K593" i="3"/>
  <c r="J593" i="3"/>
  <c r="I593" i="3"/>
  <c r="H593" i="3"/>
  <c r="G593" i="3"/>
  <c r="F593" i="3"/>
  <c r="E593" i="3"/>
  <c r="D593" i="3"/>
  <c r="C593" i="3"/>
  <c r="B593" i="3"/>
  <c r="A593" i="3"/>
  <c r="K592" i="3"/>
  <c r="J592" i="3"/>
  <c r="I592" i="3"/>
  <c r="H592" i="3"/>
  <c r="G592" i="3"/>
  <c r="F592" i="3"/>
  <c r="E592" i="3"/>
  <c r="D592" i="3"/>
  <c r="C592" i="3"/>
  <c r="B592" i="3"/>
  <c r="A592" i="3"/>
  <c r="K591" i="3"/>
  <c r="J591" i="3"/>
  <c r="I591" i="3"/>
  <c r="H591" i="3"/>
  <c r="G591" i="3"/>
  <c r="F591" i="3"/>
  <c r="E591" i="3"/>
  <c r="D591" i="3"/>
  <c r="C591" i="3"/>
  <c r="B591" i="3"/>
  <c r="A591" i="3"/>
  <c r="K590" i="3"/>
  <c r="J590" i="3"/>
  <c r="I590" i="3"/>
  <c r="H590" i="3"/>
  <c r="G590" i="3"/>
  <c r="F590" i="3"/>
  <c r="E590" i="3"/>
  <c r="D590" i="3"/>
  <c r="C590" i="3"/>
  <c r="B590" i="3"/>
  <c r="A590" i="3"/>
  <c r="K589" i="3"/>
  <c r="J589" i="3"/>
  <c r="I589" i="3"/>
  <c r="H589" i="3"/>
  <c r="G589" i="3"/>
  <c r="F589" i="3"/>
  <c r="E589" i="3"/>
  <c r="D589" i="3"/>
  <c r="C589" i="3"/>
  <c r="B589" i="3"/>
  <c r="A589" i="3"/>
  <c r="K588" i="3"/>
  <c r="J588" i="3"/>
  <c r="I588" i="3"/>
  <c r="H588" i="3"/>
  <c r="G588" i="3"/>
  <c r="F588" i="3"/>
  <c r="E588" i="3"/>
  <c r="D588" i="3"/>
  <c r="C588" i="3"/>
  <c r="B588" i="3"/>
  <c r="A588" i="3"/>
  <c r="K587" i="3"/>
  <c r="J587" i="3"/>
  <c r="I587" i="3"/>
  <c r="H587" i="3"/>
  <c r="G587" i="3"/>
  <c r="F587" i="3"/>
  <c r="E587" i="3"/>
  <c r="D587" i="3"/>
  <c r="C587" i="3"/>
  <c r="B587" i="3"/>
  <c r="A587" i="3"/>
  <c r="K586" i="3"/>
  <c r="J586" i="3"/>
  <c r="I586" i="3"/>
  <c r="H586" i="3"/>
  <c r="G586" i="3"/>
  <c r="F586" i="3"/>
  <c r="E586" i="3"/>
  <c r="D586" i="3"/>
  <c r="C586" i="3"/>
  <c r="B586" i="3"/>
  <c r="A586" i="3"/>
  <c r="K585" i="3"/>
  <c r="J585" i="3"/>
  <c r="I585" i="3"/>
  <c r="H585" i="3"/>
  <c r="G585" i="3"/>
  <c r="F585" i="3"/>
  <c r="E585" i="3"/>
  <c r="D585" i="3"/>
  <c r="C585" i="3"/>
  <c r="B585" i="3"/>
  <c r="A585" i="3"/>
  <c r="K584" i="3"/>
  <c r="J584" i="3"/>
  <c r="I584" i="3"/>
  <c r="H584" i="3"/>
  <c r="G584" i="3"/>
  <c r="F584" i="3"/>
  <c r="E584" i="3"/>
  <c r="D584" i="3"/>
  <c r="C584" i="3"/>
  <c r="B584" i="3"/>
  <c r="A584" i="3"/>
  <c r="K583" i="3"/>
  <c r="J583" i="3"/>
  <c r="I583" i="3"/>
  <c r="H583" i="3"/>
  <c r="G583" i="3"/>
  <c r="F583" i="3"/>
  <c r="E583" i="3"/>
  <c r="D583" i="3"/>
  <c r="C583" i="3"/>
  <c r="B583" i="3"/>
  <c r="A583" i="3"/>
  <c r="K582" i="3"/>
  <c r="J582" i="3"/>
  <c r="I582" i="3"/>
  <c r="H582" i="3"/>
  <c r="G582" i="3"/>
  <c r="F582" i="3"/>
  <c r="E582" i="3"/>
  <c r="D582" i="3"/>
  <c r="C582" i="3"/>
  <c r="B582" i="3"/>
  <c r="A582" i="3"/>
  <c r="K581" i="3"/>
  <c r="J581" i="3"/>
  <c r="I581" i="3"/>
  <c r="H581" i="3"/>
  <c r="G581" i="3"/>
  <c r="F581" i="3"/>
  <c r="E581" i="3"/>
  <c r="D581" i="3"/>
  <c r="C581" i="3"/>
  <c r="B581" i="3"/>
  <c r="A581" i="3"/>
  <c r="K580" i="3"/>
  <c r="J580" i="3"/>
  <c r="I580" i="3"/>
  <c r="H580" i="3"/>
  <c r="G580" i="3"/>
  <c r="F580" i="3"/>
  <c r="E580" i="3"/>
  <c r="D580" i="3"/>
  <c r="C580" i="3"/>
  <c r="B580" i="3"/>
  <c r="A580" i="3"/>
  <c r="K579" i="3"/>
  <c r="J579" i="3"/>
  <c r="I579" i="3"/>
  <c r="H579" i="3"/>
  <c r="G579" i="3"/>
  <c r="F579" i="3"/>
  <c r="E579" i="3"/>
  <c r="D579" i="3"/>
  <c r="C579" i="3"/>
  <c r="B579" i="3"/>
  <c r="A579" i="3"/>
  <c r="K578" i="3"/>
  <c r="J578" i="3"/>
  <c r="I578" i="3"/>
  <c r="H578" i="3"/>
  <c r="G578" i="3"/>
  <c r="F578" i="3"/>
  <c r="E578" i="3"/>
  <c r="D578" i="3"/>
  <c r="C578" i="3"/>
  <c r="B578" i="3"/>
  <c r="A578" i="3"/>
  <c r="K577" i="3"/>
  <c r="J577" i="3"/>
  <c r="I577" i="3"/>
  <c r="H577" i="3"/>
  <c r="G577" i="3"/>
  <c r="F577" i="3"/>
  <c r="E577" i="3"/>
  <c r="D577" i="3"/>
  <c r="C577" i="3"/>
  <c r="B577" i="3"/>
  <c r="A577" i="3"/>
  <c r="K576" i="3"/>
  <c r="J576" i="3"/>
  <c r="I576" i="3"/>
  <c r="H576" i="3"/>
  <c r="G576" i="3"/>
  <c r="F576" i="3"/>
  <c r="E576" i="3"/>
  <c r="D576" i="3"/>
  <c r="C576" i="3"/>
  <c r="B576" i="3"/>
  <c r="A576" i="3"/>
  <c r="K575" i="3"/>
  <c r="J575" i="3"/>
  <c r="I575" i="3"/>
  <c r="H575" i="3"/>
  <c r="G575" i="3"/>
  <c r="F575" i="3"/>
  <c r="E575" i="3"/>
  <c r="D575" i="3"/>
  <c r="C575" i="3"/>
  <c r="B575" i="3"/>
  <c r="A575" i="3"/>
  <c r="K574" i="3"/>
  <c r="J574" i="3"/>
  <c r="I574" i="3"/>
  <c r="H574" i="3"/>
  <c r="G574" i="3"/>
  <c r="F574" i="3"/>
  <c r="E574" i="3"/>
  <c r="D574" i="3"/>
  <c r="C574" i="3"/>
  <c r="B574" i="3"/>
  <c r="A574" i="3"/>
  <c r="K573" i="3"/>
  <c r="J573" i="3"/>
  <c r="I573" i="3"/>
  <c r="H573" i="3"/>
  <c r="G573" i="3"/>
  <c r="F573" i="3"/>
  <c r="E573" i="3"/>
  <c r="D573" i="3"/>
  <c r="C573" i="3"/>
  <c r="B573" i="3"/>
  <c r="A573" i="3"/>
  <c r="K572" i="3"/>
  <c r="J572" i="3"/>
  <c r="I572" i="3"/>
  <c r="H572" i="3"/>
  <c r="G572" i="3"/>
  <c r="F572" i="3"/>
  <c r="E572" i="3"/>
  <c r="D572" i="3"/>
  <c r="C572" i="3"/>
  <c r="B572" i="3"/>
  <c r="A572" i="3"/>
  <c r="K571" i="3"/>
  <c r="J571" i="3"/>
  <c r="I571" i="3"/>
  <c r="H571" i="3"/>
  <c r="G571" i="3"/>
  <c r="F571" i="3"/>
  <c r="E571" i="3"/>
  <c r="D571" i="3"/>
  <c r="C571" i="3"/>
  <c r="B571" i="3"/>
  <c r="A571" i="3"/>
  <c r="K570" i="3"/>
  <c r="J570" i="3"/>
  <c r="I570" i="3"/>
  <c r="H570" i="3"/>
  <c r="G570" i="3"/>
  <c r="F570" i="3"/>
  <c r="E570" i="3"/>
  <c r="D570" i="3"/>
  <c r="C570" i="3"/>
  <c r="B570" i="3"/>
  <c r="A570" i="3"/>
  <c r="K569" i="3"/>
  <c r="J569" i="3"/>
  <c r="I569" i="3"/>
  <c r="H569" i="3"/>
  <c r="G569" i="3"/>
  <c r="F569" i="3"/>
  <c r="E569" i="3"/>
  <c r="D569" i="3"/>
  <c r="C569" i="3"/>
  <c r="B569" i="3"/>
  <c r="A569" i="3"/>
  <c r="K568" i="3"/>
  <c r="J568" i="3"/>
  <c r="I568" i="3"/>
  <c r="H568" i="3"/>
  <c r="G568" i="3"/>
  <c r="F568" i="3"/>
  <c r="E568" i="3"/>
  <c r="D568" i="3"/>
  <c r="C568" i="3"/>
  <c r="B568" i="3"/>
  <c r="A568" i="3"/>
  <c r="K567" i="3"/>
  <c r="J567" i="3"/>
  <c r="I567" i="3"/>
  <c r="H567" i="3"/>
  <c r="G567" i="3"/>
  <c r="F567" i="3"/>
  <c r="E567" i="3"/>
  <c r="D567" i="3"/>
  <c r="C567" i="3"/>
  <c r="B567" i="3"/>
  <c r="A567" i="3"/>
  <c r="K566" i="3"/>
  <c r="J566" i="3"/>
  <c r="I566" i="3"/>
  <c r="H566" i="3"/>
  <c r="G566" i="3"/>
  <c r="F566" i="3"/>
  <c r="E566" i="3"/>
  <c r="D566" i="3"/>
  <c r="C566" i="3"/>
  <c r="B566" i="3"/>
  <c r="A566" i="3"/>
  <c r="K565" i="3"/>
  <c r="J565" i="3"/>
  <c r="I565" i="3"/>
  <c r="H565" i="3"/>
  <c r="G565" i="3"/>
  <c r="F565" i="3"/>
  <c r="E565" i="3"/>
  <c r="D565" i="3"/>
  <c r="C565" i="3"/>
  <c r="B565" i="3"/>
  <c r="A565" i="3"/>
  <c r="K564" i="3"/>
  <c r="J564" i="3"/>
  <c r="I564" i="3"/>
  <c r="H564" i="3"/>
  <c r="G564" i="3"/>
  <c r="F564" i="3"/>
  <c r="E564" i="3"/>
  <c r="D564" i="3"/>
  <c r="C564" i="3"/>
  <c r="B564" i="3"/>
  <c r="A564" i="3"/>
  <c r="K563" i="3"/>
  <c r="J563" i="3"/>
  <c r="I563" i="3"/>
  <c r="H563" i="3"/>
  <c r="G563" i="3"/>
  <c r="F563" i="3"/>
  <c r="E563" i="3"/>
  <c r="D563" i="3"/>
  <c r="C563" i="3"/>
  <c r="B563" i="3"/>
  <c r="A563" i="3"/>
  <c r="K562" i="3"/>
  <c r="J562" i="3"/>
  <c r="I562" i="3"/>
  <c r="H562" i="3"/>
  <c r="G562" i="3"/>
  <c r="F562" i="3"/>
  <c r="E562" i="3"/>
  <c r="D562" i="3"/>
  <c r="C562" i="3"/>
  <c r="B562" i="3"/>
  <c r="A562" i="3"/>
  <c r="K561" i="3"/>
  <c r="J561" i="3"/>
  <c r="I561" i="3"/>
  <c r="H561" i="3"/>
  <c r="G561" i="3"/>
  <c r="F561" i="3"/>
  <c r="E561" i="3"/>
  <c r="D561" i="3"/>
  <c r="C561" i="3"/>
  <c r="B561" i="3"/>
  <c r="A561" i="3"/>
  <c r="K560" i="3"/>
  <c r="J560" i="3"/>
  <c r="I560" i="3"/>
  <c r="H560" i="3"/>
  <c r="G560" i="3"/>
  <c r="F560" i="3"/>
  <c r="E560" i="3"/>
  <c r="D560" i="3"/>
  <c r="C560" i="3"/>
  <c r="B560" i="3"/>
  <c r="A560" i="3"/>
  <c r="K559" i="3"/>
  <c r="J559" i="3"/>
  <c r="I559" i="3"/>
  <c r="H559" i="3"/>
  <c r="G559" i="3"/>
  <c r="F559" i="3"/>
  <c r="E559" i="3"/>
  <c r="D559" i="3"/>
  <c r="C559" i="3"/>
  <c r="B559" i="3"/>
  <c r="A559" i="3"/>
  <c r="K558" i="3"/>
  <c r="J558" i="3"/>
  <c r="I558" i="3"/>
  <c r="H558" i="3"/>
  <c r="G558" i="3"/>
  <c r="F558" i="3"/>
  <c r="E558" i="3"/>
  <c r="D558" i="3"/>
  <c r="C558" i="3"/>
  <c r="B558" i="3"/>
  <c r="A558" i="3"/>
  <c r="K557" i="3"/>
  <c r="J557" i="3"/>
  <c r="I557" i="3"/>
  <c r="H557" i="3"/>
  <c r="G557" i="3"/>
  <c r="F557" i="3"/>
  <c r="E557" i="3"/>
  <c r="D557" i="3"/>
  <c r="C557" i="3"/>
  <c r="B557" i="3"/>
  <c r="A557" i="3"/>
  <c r="K556" i="3"/>
  <c r="J556" i="3"/>
  <c r="I556" i="3"/>
  <c r="H556" i="3"/>
  <c r="G556" i="3"/>
  <c r="F556" i="3"/>
  <c r="E556" i="3"/>
  <c r="D556" i="3"/>
  <c r="C556" i="3"/>
  <c r="B556" i="3"/>
  <c r="A556" i="3"/>
  <c r="K555" i="3"/>
  <c r="J555" i="3"/>
  <c r="I555" i="3"/>
  <c r="H555" i="3"/>
  <c r="G555" i="3"/>
  <c r="F555" i="3"/>
  <c r="E555" i="3"/>
  <c r="D555" i="3"/>
  <c r="C555" i="3"/>
  <c r="B555" i="3"/>
  <c r="A555" i="3"/>
  <c r="K554" i="3"/>
  <c r="J554" i="3"/>
  <c r="I554" i="3"/>
  <c r="H554" i="3"/>
  <c r="G554" i="3"/>
  <c r="F554" i="3"/>
  <c r="E554" i="3"/>
  <c r="D554" i="3"/>
  <c r="C554" i="3"/>
  <c r="B554" i="3"/>
  <c r="A554" i="3"/>
  <c r="K553" i="3"/>
  <c r="J553" i="3"/>
  <c r="I553" i="3"/>
  <c r="H553" i="3"/>
  <c r="G553" i="3"/>
  <c r="F553" i="3"/>
  <c r="E553" i="3"/>
  <c r="D553" i="3"/>
  <c r="C553" i="3"/>
  <c r="B553" i="3"/>
  <c r="A553" i="3"/>
  <c r="K552" i="3"/>
  <c r="J552" i="3"/>
  <c r="I552" i="3"/>
  <c r="H552" i="3"/>
  <c r="G552" i="3"/>
  <c r="F552" i="3"/>
  <c r="E552" i="3"/>
  <c r="D552" i="3"/>
  <c r="C552" i="3"/>
  <c r="B552" i="3"/>
  <c r="A552" i="3"/>
  <c r="K551" i="3"/>
  <c r="J551" i="3"/>
  <c r="I551" i="3"/>
  <c r="H551" i="3"/>
  <c r="G551" i="3"/>
  <c r="F551" i="3"/>
  <c r="E551" i="3"/>
  <c r="D551" i="3"/>
  <c r="C551" i="3"/>
  <c r="B551" i="3"/>
  <c r="A551" i="3"/>
  <c r="K550" i="3"/>
  <c r="J550" i="3"/>
  <c r="I550" i="3"/>
  <c r="H550" i="3"/>
  <c r="G550" i="3"/>
  <c r="F550" i="3"/>
  <c r="E550" i="3"/>
  <c r="D550" i="3"/>
  <c r="C550" i="3"/>
  <c r="B550" i="3"/>
  <c r="A550" i="3"/>
  <c r="K549" i="3"/>
  <c r="J549" i="3"/>
  <c r="I549" i="3"/>
  <c r="H549" i="3"/>
  <c r="G549" i="3"/>
  <c r="F549" i="3"/>
  <c r="E549" i="3"/>
  <c r="D549" i="3"/>
  <c r="C549" i="3"/>
  <c r="B549" i="3"/>
  <c r="A549" i="3"/>
  <c r="K548" i="3"/>
  <c r="J548" i="3"/>
  <c r="I548" i="3"/>
  <c r="H548" i="3"/>
  <c r="G548" i="3"/>
  <c r="F548" i="3"/>
  <c r="E548" i="3"/>
  <c r="D548" i="3"/>
  <c r="C548" i="3"/>
  <c r="B548" i="3"/>
  <c r="A548" i="3"/>
  <c r="K547" i="3"/>
  <c r="J547" i="3"/>
  <c r="I547" i="3"/>
  <c r="H547" i="3"/>
  <c r="G547" i="3"/>
  <c r="F547" i="3"/>
  <c r="E547" i="3"/>
  <c r="D547" i="3"/>
  <c r="C547" i="3"/>
  <c r="B547" i="3"/>
  <c r="A547" i="3"/>
  <c r="K546" i="3"/>
  <c r="J546" i="3"/>
  <c r="I546" i="3"/>
  <c r="H546" i="3"/>
  <c r="G546" i="3"/>
  <c r="F546" i="3"/>
  <c r="E546" i="3"/>
  <c r="D546" i="3"/>
  <c r="C546" i="3"/>
  <c r="B546" i="3"/>
  <c r="A546" i="3"/>
  <c r="K545" i="3"/>
  <c r="J545" i="3"/>
  <c r="I545" i="3"/>
  <c r="H545" i="3"/>
  <c r="G545" i="3"/>
  <c r="F545" i="3"/>
  <c r="E545" i="3"/>
  <c r="D545" i="3"/>
  <c r="C545" i="3"/>
  <c r="B545" i="3"/>
  <c r="A545" i="3"/>
  <c r="K544" i="3"/>
  <c r="J544" i="3"/>
  <c r="I544" i="3"/>
  <c r="H544" i="3"/>
  <c r="G544" i="3"/>
  <c r="F544" i="3"/>
  <c r="E544" i="3"/>
  <c r="D544" i="3"/>
  <c r="C544" i="3"/>
  <c r="B544" i="3"/>
  <c r="A544" i="3"/>
  <c r="K543" i="3"/>
  <c r="J543" i="3"/>
  <c r="I543" i="3"/>
  <c r="H543" i="3"/>
  <c r="G543" i="3"/>
  <c r="F543" i="3"/>
  <c r="E543" i="3"/>
  <c r="D543" i="3"/>
  <c r="C543" i="3"/>
  <c r="B543" i="3"/>
  <c r="A543" i="3"/>
  <c r="K542" i="3"/>
  <c r="J542" i="3"/>
  <c r="I542" i="3"/>
  <c r="H542" i="3"/>
  <c r="G542" i="3"/>
  <c r="F542" i="3"/>
  <c r="E542" i="3"/>
  <c r="D542" i="3"/>
  <c r="C542" i="3"/>
  <c r="B542" i="3"/>
  <c r="A542" i="3"/>
  <c r="K541" i="3"/>
  <c r="J541" i="3"/>
  <c r="I541" i="3"/>
  <c r="H541" i="3"/>
  <c r="G541" i="3"/>
  <c r="F541" i="3"/>
  <c r="E541" i="3"/>
  <c r="D541" i="3"/>
  <c r="C541" i="3"/>
  <c r="B541" i="3"/>
  <c r="A541" i="3"/>
  <c r="K540" i="3"/>
  <c r="J540" i="3"/>
  <c r="I540" i="3"/>
  <c r="H540" i="3"/>
  <c r="G540" i="3"/>
  <c r="F540" i="3"/>
  <c r="E540" i="3"/>
  <c r="D540" i="3"/>
  <c r="C540" i="3"/>
  <c r="B540" i="3"/>
  <c r="A540" i="3"/>
  <c r="K539" i="3"/>
  <c r="J539" i="3"/>
  <c r="I539" i="3"/>
  <c r="H539" i="3"/>
  <c r="G539" i="3"/>
  <c r="F539" i="3"/>
  <c r="E539" i="3"/>
  <c r="D539" i="3"/>
  <c r="C539" i="3"/>
  <c r="B539" i="3"/>
  <c r="A539" i="3"/>
  <c r="K538" i="3"/>
  <c r="J538" i="3"/>
  <c r="I538" i="3"/>
  <c r="H538" i="3"/>
  <c r="G538" i="3"/>
  <c r="F538" i="3"/>
  <c r="E538" i="3"/>
  <c r="D538" i="3"/>
  <c r="C538" i="3"/>
  <c r="B538" i="3"/>
  <c r="A538" i="3"/>
  <c r="K537" i="3"/>
  <c r="J537" i="3"/>
  <c r="I537" i="3"/>
  <c r="H537" i="3"/>
  <c r="G537" i="3"/>
  <c r="F537" i="3"/>
  <c r="E537" i="3"/>
  <c r="D537" i="3"/>
  <c r="C537" i="3"/>
  <c r="B537" i="3"/>
  <c r="A537" i="3"/>
  <c r="K536" i="3"/>
  <c r="J536" i="3"/>
  <c r="I536" i="3"/>
  <c r="H536" i="3"/>
  <c r="G536" i="3"/>
  <c r="F536" i="3"/>
  <c r="E536" i="3"/>
  <c r="D536" i="3"/>
  <c r="C536" i="3"/>
  <c r="B536" i="3"/>
  <c r="A536" i="3"/>
  <c r="K535" i="3"/>
  <c r="J535" i="3"/>
  <c r="I535" i="3"/>
  <c r="H535" i="3"/>
  <c r="G535" i="3"/>
  <c r="F535" i="3"/>
  <c r="E535" i="3"/>
  <c r="D535" i="3"/>
  <c r="C535" i="3"/>
  <c r="B535" i="3"/>
  <c r="A535" i="3"/>
  <c r="K534" i="3"/>
  <c r="J534" i="3"/>
  <c r="I534" i="3"/>
  <c r="H534" i="3"/>
  <c r="G534" i="3"/>
  <c r="F534" i="3"/>
  <c r="E534" i="3"/>
  <c r="D534" i="3"/>
  <c r="C534" i="3"/>
  <c r="B534" i="3"/>
  <c r="A534" i="3"/>
  <c r="K533" i="3"/>
  <c r="J533" i="3"/>
  <c r="I533" i="3"/>
  <c r="H533" i="3"/>
  <c r="G533" i="3"/>
  <c r="F533" i="3"/>
  <c r="E533" i="3"/>
  <c r="D533" i="3"/>
  <c r="C533" i="3"/>
  <c r="B533" i="3"/>
  <c r="A533" i="3"/>
  <c r="K532" i="3"/>
  <c r="J532" i="3"/>
  <c r="I532" i="3"/>
  <c r="H532" i="3"/>
  <c r="G532" i="3"/>
  <c r="F532" i="3"/>
  <c r="E532" i="3"/>
  <c r="D532" i="3"/>
  <c r="C532" i="3"/>
  <c r="B532" i="3"/>
  <c r="A532" i="3"/>
  <c r="K531" i="3"/>
  <c r="J531" i="3"/>
  <c r="I531" i="3"/>
  <c r="H531" i="3"/>
  <c r="G531" i="3"/>
  <c r="F531" i="3"/>
  <c r="E531" i="3"/>
  <c r="D531" i="3"/>
  <c r="C531" i="3"/>
  <c r="B531" i="3"/>
  <c r="A531" i="3"/>
  <c r="K530" i="3"/>
  <c r="J530" i="3"/>
  <c r="I530" i="3"/>
  <c r="H530" i="3"/>
  <c r="G530" i="3"/>
  <c r="F530" i="3"/>
  <c r="E530" i="3"/>
  <c r="D530" i="3"/>
  <c r="C530" i="3"/>
  <c r="B530" i="3"/>
  <c r="A530" i="3"/>
  <c r="K529" i="3"/>
  <c r="J529" i="3"/>
  <c r="I529" i="3"/>
  <c r="H529" i="3"/>
  <c r="G529" i="3"/>
  <c r="F529" i="3"/>
  <c r="E529" i="3"/>
  <c r="D529" i="3"/>
  <c r="C529" i="3"/>
  <c r="B529" i="3"/>
  <c r="A529" i="3"/>
  <c r="K528" i="3"/>
  <c r="J528" i="3"/>
  <c r="I528" i="3"/>
  <c r="H528" i="3"/>
  <c r="G528" i="3"/>
  <c r="F528" i="3"/>
  <c r="E528" i="3"/>
  <c r="D528" i="3"/>
  <c r="C528" i="3"/>
  <c r="B528" i="3"/>
  <c r="A528" i="3"/>
  <c r="K527" i="3"/>
  <c r="J527" i="3"/>
  <c r="I527" i="3"/>
  <c r="H527" i="3"/>
  <c r="G527" i="3"/>
  <c r="F527" i="3"/>
  <c r="E527" i="3"/>
  <c r="D527" i="3"/>
  <c r="C527" i="3"/>
  <c r="B527" i="3"/>
  <c r="A527" i="3"/>
  <c r="K526" i="3"/>
  <c r="J526" i="3"/>
  <c r="I526" i="3"/>
  <c r="H526" i="3"/>
  <c r="G526" i="3"/>
  <c r="F526" i="3"/>
  <c r="E526" i="3"/>
  <c r="D526" i="3"/>
  <c r="C526" i="3"/>
  <c r="B526" i="3"/>
  <c r="A526" i="3"/>
  <c r="K525" i="3"/>
  <c r="J525" i="3"/>
  <c r="I525" i="3"/>
  <c r="H525" i="3"/>
  <c r="G525" i="3"/>
  <c r="F525" i="3"/>
  <c r="E525" i="3"/>
  <c r="D525" i="3"/>
  <c r="C525" i="3"/>
  <c r="B525" i="3"/>
  <c r="A525" i="3"/>
  <c r="K524" i="3"/>
  <c r="J524" i="3"/>
  <c r="I524" i="3"/>
  <c r="H524" i="3"/>
  <c r="G524" i="3"/>
  <c r="F524" i="3"/>
  <c r="E524" i="3"/>
  <c r="D524" i="3"/>
  <c r="C524" i="3"/>
  <c r="B524" i="3"/>
  <c r="A524" i="3"/>
  <c r="K523" i="3"/>
  <c r="J523" i="3"/>
  <c r="I523" i="3"/>
  <c r="H523" i="3"/>
  <c r="G523" i="3"/>
  <c r="F523" i="3"/>
  <c r="E523" i="3"/>
  <c r="D523" i="3"/>
  <c r="C523" i="3"/>
  <c r="B523" i="3"/>
  <c r="A523" i="3"/>
  <c r="K522" i="3"/>
  <c r="J522" i="3"/>
  <c r="I522" i="3"/>
  <c r="H522" i="3"/>
  <c r="G522" i="3"/>
  <c r="F522" i="3"/>
  <c r="E522" i="3"/>
  <c r="D522" i="3"/>
  <c r="C522" i="3"/>
  <c r="B522" i="3"/>
  <c r="A522" i="3"/>
  <c r="K521" i="3"/>
  <c r="J521" i="3"/>
  <c r="I521" i="3"/>
  <c r="H521" i="3"/>
  <c r="G521" i="3"/>
  <c r="F521" i="3"/>
  <c r="E521" i="3"/>
  <c r="D521" i="3"/>
  <c r="C521" i="3"/>
  <c r="B521" i="3"/>
  <c r="A521" i="3"/>
  <c r="K520" i="3"/>
  <c r="J520" i="3"/>
  <c r="I520" i="3"/>
  <c r="H520" i="3"/>
  <c r="G520" i="3"/>
  <c r="F520" i="3"/>
  <c r="E520" i="3"/>
  <c r="D520" i="3"/>
  <c r="C520" i="3"/>
  <c r="B520" i="3"/>
  <c r="A520" i="3"/>
  <c r="K519" i="3"/>
  <c r="J519" i="3"/>
  <c r="I519" i="3"/>
  <c r="H519" i="3"/>
  <c r="G519" i="3"/>
  <c r="F519" i="3"/>
  <c r="E519" i="3"/>
  <c r="D519" i="3"/>
  <c r="C519" i="3"/>
  <c r="B519" i="3"/>
  <c r="A519" i="3"/>
  <c r="K518" i="3"/>
  <c r="J518" i="3"/>
  <c r="I518" i="3"/>
  <c r="H518" i="3"/>
  <c r="G518" i="3"/>
  <c r="F518" i="3"/>
  <c r="E518" i="3"/>
  <c r="D518" i="3"/>
  <c r="C518" i="3"/>
  <c r="B518" i="3"/>
  <c r="A518" i="3"/>
  <c r="K517" i="3"/>
  <c r="J517" i="3"/>
  <c r="I517" i="3"/>
  <c r="H517" i="3"/>
  <c r="G517" i="3"/>
  <c r="F517" i="3"/>
  <c r="E517" i="3"/>
  <c r="D517" i="3"/>
  <c r="C517" i="3"/>
  <c r="B517" i="3"/>
  <c r="A517" i="3"/>
  <c r="K516" i="3"/>
  <c r="J516" i="3"/>
  <c r="I516" i="3"/>
  <c r="H516" i="3"/>
  <c r="G516" i="3"/>
  <c r="F516" i="3"/>
  <c r="E516" i="3"/>
  <c r="D516" i="3"/>
  <c r="C516" i="3"/>
  <c r="B516" i="3"/>
  <c r="A516" i="3"/>
  <c r="K515" i="3"/>
  <c r="J515" i="3"/>
  <c r="I515" i="3"/>
  <c r="H515" i="3"/>
  <c r="G515" i="3"/>
  <c r="F515" i="3"/>
  <c r="E515" i="3"/>
  <c r="D515" i="3"/>
  <c r="C515" i="3"/>
  <c r="B515" i="3"/>
  <c r="A515" i="3"/>
  <c r="K514" i="3"/>
  <c r="J514" i="3"/>
  <c r="I514" i="3"/>
  <c r="H514" i="3"/>
  <c r="G514" i="3"/>
  <c r="F514" i="3"/>
  <c r="E514" i="3"/>
  <c r="D514" i="3"/>
  <c r="C514" i="3"/>
  <c r="B514" i="3"/>
  <c r="A514" i="3"/>
  <c r="K513" i="3"/>
  <c r="J513" i="3"/>
  <c r="I513" i="3"/>
  <c r="H513" i="3"/>
  <c r="G513" i="3"/>
  <c r="F513" i="3"/>
  <c r="E513" i="3"/>
  <c r="D513" i="3"/>
  <c r="C513" i="3"/>
  <c r="B513" i="3"/>
  <c r="A513" i="3"/>
  <c r="K512" i="3"/>
  <c r="J512" i="3"/>
  <c r="I512" i="3"/>
  <c r="H512" i="3"/>
  <c r="G512" i="3"/>
  <c r="F512" i="3"/>
  <c r="E512" i="3"/>
  <c r="D512" i="3"/>
  <c r="C512" i="3"/>
  <c r="B512" i="3"/>
  <c r="A512" i="3"/>
  <c r="K511" i="3"/>
  <c r="J511" i="3"/>
  <c r="I511" i="3"/>
  <c r="H511" i="3"/>
  <c r="G511" i="3"/>
  <c r="F511" i="3"/>
  <c r="E511" i="3"/>
  <c r="D511" i="3"/>
  <c r="C511" i="3"/>
  <c r="B511" i="3"/>
  <c r="A511" i="3"/>
  <c r="K510" i="3"/>
  <c r="J510" i="3"/>
  <c r="I510" i="3"/>
  <c r="H510" i="3"/>
  <c r="G510" i="3"/>
  <c r="F510" i="3"/>
  <c r="E510" i="3"/>
  <c r="D510" i="3"/>
  <c r="C510" i="3"/>
  <c r="B510" i="3"/>
  <c r="A510" i="3"/>
  <c r="K509" i="3"/>
  <c r="J509" i="3"/>
  <c r="I509" i="3"/>
  <c r="H509" i="3"/>
  <c r="G509" i="3"/>
  <c r="F509" i="3"/>
  <c r="E509" i="3"/>
  <c r="D509" i="3"/>
  <c r="C509" i="3"/>
  <c r="B509" i="3"/>
  <c r="A509" i="3"/>
  <c r="K508" i="3"/>
  <c r="J508" i="3"/>
  <c r="I508" i="3"/>
  <c r="H508" i="3"/>
  <c r="G508" i="3"/>
  <c r="F508" i="3"/>
  <c r="E508" i="3"/>
  <c r="D508" i="3"/>
  <c r="C508" i="3"/>
  <c r="B508" i="3"/>
  <c r="A508" i="3"/>
  <c r="K507" i="3"/>
  <c r="J507" i="3"/>
  <c r="I507" i="3"/>
  <c r="H507" i="3"/>
  <c r="G507" i="3"/>
  <c r="F507" i="3"/>
  <c r="E507" i="3"/>
  <c r="D507" i="3"/>
  <c r="C507" i="3"/>
  <c r="B507" i="3"/>
  <c r="A507" i="3"/>
  <c r="K506" i="3"/>
  <c r="J506" i="3"/>
  <c r="I506" i="3"/>
  <c r="H506" i="3"/>
  <c r="G506" i="3"/>
  <c r="F506" i="3"/>
  <c r="E506" i="3"/>
  <c r="D506" i="3"/>
  <c r="C506" i="3"/>
  <c r="B506" i="3"/>
  <c r="A506" i="3"/>
  <c r="K505" i="3"/>
  <c r="J505" i="3"/>
  <c r="I505" i="3"/>
  <c r="H505" i="3"/>
  <c r="G505" i="3"/>
  <c r="F505" i="3"/>
  <c r="E505" i="3"/>
  <c r="D505" i="3"/>
  <c r="C505" i="3"/>
  <c r="B505" i="3"/>
  <c r="A505" i="3"/>
  <c r="K504" i="3"/>
  <c r="J504" i="3"/>
  <c r="I504" i="3"/>
  <c r="H504" i="3"/>
  <c r="G504" i="3"/>
  <c r="F504" i="3"/>
  <c r="E504" i="3"/>
  <c r="D504" i="3"/>
  <c r="C504" i="3"/>
  <c r="B504" i="3"/>
  <c r="A504" i="3"/>
  <c r="K503" i="3"/>
  <c r="J503" i="3"/>
  <c r="I503" i="3"/>
  <c r="H503" i="3"/>
  <c r="G503" i="3"/>
  <c r="F503" i="3"/>
  <c r="E503" i="3"/>
  <c r="D503" i="3"/>
  <c r="C503" i="3"/>
  <c r="B503" i="3"/>
  <c r="A503" i="3"/>
  <c r="K502" i="3"/>
  <c r="J502" i="3"/>
  <c r="I502" i="3"/>
  <c r="H502" i="3"/>
  <c r="G502" i="3"/>
  <c r="F502" i="3"/>
  <c r="E502" i="3"/>
  <c r="D502" i="3"/>
  <c r="C502" i="3"/>
  <c r="B502" i="3"/>
  <c r="A502" i="3"/>
  <c r="K501" i="3"/>
  <c r="J501" i="3"/>
  <c r="I501" i="3"/>
  <c r="H501" i="3"/>
  <c r="G501" i="3"/>
  <c r="F501" i="3"/>
  <c r="E501" i="3"/>
  <c r="D501" i="3"/>
  <c r="C501" i="3"/>
  <c r="B501" i="3"/>
  <c r="A501" i="3"/>
  <c r="K500" i="3"/>
  <c r="J500" i="3"/>
  <c r="I500" i="3"/>
  <c r="H500" i="3"/>
  <c r="G500" i="3"/>
  <c r="F500" i="3"/>
  <c r="E500" i="3"/>
  <c r="D500" i="3"/>
  <c r="C500" i="3"/>
  <c r="B500" i="3"/>
  <c r="A500" i="3"/>
  <c r="K499" i="3"/>
  <c r="J499" i="3"/>
  <c r="I499" i="3"/>
  <c r="H499" i="3"/>
  <c r="G499" i="3"/>
  <c r="F499" i="3"/>
  <c r="E499" i="3"/>
  <c r="D499" i="3"/>
  <c r="C499" i="3"/>
  <c r="B499" i="3"/>
  <c r="A499" i="3"/>
  <c r="K498" i="3"/>
  <c r="J498" i="3"/>
  <c r="I498" i="3"/>
  <c r="H498" i="3"/>
  <c r="G498" i="3"/>
  <c r="F498" i="3"/>
  <c r="E498" i="3"/>
  <c r="D498" i="3"/>
  <c r="C498" i="3"/>
  <c r="B498" i="3"/>
  <c r="A498" i="3"/>
  <c r="K497" i="3"/>
  <c r="J497" i="3"/>
  <c r="I497" i="3"/>
  <c r="H497" i="3"/>
  <c r="G497" i="3"/>
  <c r="F497" i="3"/>
  <c r="E497" i="3"/>
  <c r="D497" i="3"/>
  <c r="C497" i="3"/>
  <c r="B497" i="3"/>
  <c r="A497" i="3"/>
  <c r="K496" i="3"/>
  <c r="J496" i="3"/>
  <c r="I496" i="3"/>
  <c r="H496" i="3"/>
  <c r="G496" i="3"/>
  <c r="F496" i="3"/>
  <c r="E496" i="3"/>
  <c r="D496" i="3"/>
  <c r="C496" i="3"/>
  <c r="B496" i="3"/>
  <c r="A496" i="3"/>
  <c r="K495" i="3"/>
  <c r="J495" i="3"/>
  <c r="I495" i="3"/>
  <c r="H495" i="3"/>
  <c r="G495" i="3"/>
  <c r="F495" i="3"/>
  <c r="E495" i="3"/>
  <c r="D495" i="3"/>
  <c r="C495" i="3"/>
  <c r="B495" i="3"/>
  <c r="A495" i="3"/>
  <c r="K494" i="3"/>
  <c r="J494" i="3"/>
  <c r="I494" i="3"/>
  <c r="H494" i="3"/>
  <c r="G494" i="3"/>
  <c r="F494" i="3"/>
  <c r="E494" i="3"/>
  <c r="D494" i="3"/>
  <c r="C494" i="3"/>
  <c r="B494" i="3"/>
  <c r="A494" i="3"/>
  <c r="K493" i="3"/>
  <c r="J493" i="3"/>
  <c r="I493" i="3"/>
  <c r="H493" i="3"/>
  <c r="G493" i="3"/>
  <c r="F493" i="3"/>
  <c r="E493" i="3"/>
  <c r="D493" i="3"/>
  <c r="C493" i="3"/>
  <c r="B493" i="3"/>
  <c r="A493" i="3"/>
  <c r="K492" i="3"/>
  <c r="J492" i="3"/>
  <c r="I492" i="3"/>
  <c r="H492" i="3"/>
  <c r="G492" i="3"/>
  <c r="F492" i="3"/>
  <c r="E492" i="3"/>
  <c r="D492" i="3"/>
  <c r="C492" i="3"/>
  <c r="B492" i="3"/>
  <c r="A492" i="3"/>
  <c r="K491" i="3"/>
  <c r="J491" i="3"/>
  <c r="I491" i="3"/>
  <c r="H491" i="3"/>
  <c r="G491" i="3"/>
  <c r="F491" i="3"/>
  <c r="E491" i="3"/>
  <c r="D491" i="3"/>
  <c r="C491" i="3"/>
  <c r="B491" i="3"/>
  <c r="A491" i="3"/>
  <c r="K490" i="3"/>
  <c r="J490" i="3"/>
  <c r="I490" i="3"/>
  <c r="H490" i="3"/>
  <c r="G490" i="3"/>
  <c r="F490" i="3"/>
  <c r="E490" i="3"/>
  <c r="D490" i="3"/>
  <c r="C490" i="3"/>
  <c r="B490" i="3"/>
  <c r="A490" i="3"/>
  <c r="K489" i="3"/>
  <c r="J489" i="3"/>
  <c r="I489" i="3"/>
  <c r="H489" i="3"/>
  <c r="G489" i="3"/>
  <c r="F489" i="3"/>
  <c r="E489" i="3"/>
  <c r="D489" i="3"/>
  <c r="C489" i="3"/>
  <c r="B489" i="3"/>
  <c r="A489" i="3"/>
  <c r="K488" i="3"/>
  <c r="J488" i="3"/>
  <c r="I488" i="3"/>
  <c r="H488" i="3"/>
  <c r="G488" i="3"/>
  <c r="F488" i="3"/>
  <c r="E488" i="3"/>
  <c r="D488" i="3"/>
  <c r="C488" i="3"/>
  <c r="B488" i="3"/>
  <c r="A488" i="3"/>
  <c r="K487" i="3"/>
  <c r="J487" i="3"/>
  <c r="I487" i="3"/>
  <c r="H487" i="3"/>
  <c r="G487" i="3"/>
  <c r="F487" i="3"/>
  <c r="E487" i="3"/>
  <c r="D487" i="3"/>
  <c r="C487" i="3"/>
  <c r="B487" i="3"/>
  <c r="A487" i="3"/>
  <c r="K486" i="3"/>
  <c r="J486" i="3"/>
  <c r="I486" i="3"/>
  <c r="H486" i="3"/>
  <c r="G486" i="3"/>
  <c r="F486" i="3"/>
  <c r="E486" i="3"/>
  <c r="D486" i="3"/>
  <c r="C486" i="3"/>
  <c r="B486" i="3"/>
  <c r="A486" i="3"/>
  <c r="K485" i="3"/>
  <c r="J485" i="3"/>
  <c r="I485" i="3"/>
  <c r="H485" i="3"/>
  <c r="G485" i="3"/>
  <c r="F485" i="3"/>
  <c r="E485" i="3"/>
  <c r="D485" i="3"/>
  <c r="C485" i="3"/>
  <c r="B485" i="3"/>
  <c r="A485" i="3"/>
  <c r="K484" i="3"/>
  <c r="J484" i="3"/>
  <c r="I484" i="3"/>
  <c r="H484" i="3"/>
  <c r="G484" i="3"/>
  <c r="F484" i="3"/>
  <c r="E484" i="3"/>
  <c r="D484" i="3"/>
  <c r="C484" i="3"/>
  <c r="B484" i="3"/>
  <c r="A484" i="3"/>
  <c r="K483" i="3"/>
  <c r="J483" i="3"/>
  <c r="I483" i="3"/>
  <c r="H483" i="3"/>
  <c r="G483" i="3"/>
  <c r="F483" i="3"/>
  <c r="E483" i="3"/>
  <c r="D483" i="3"/>
  <c r="C483" i="3"/>
  <c r="B483" i="3"/>
  <c r="A483" i="3"/>
  <c r="K482" i="3"/>
  <c r="J482" i="3"/>
  <c r="I482" i="3"/>
  <c r="H482" i="3"/>
  <c r="G482" i="3"/>
  <c r="F482" i="3"/>
  <c r="E482" i="3"/>
  <c r="D482" i="3"/>
  <c r="C482" i="3"/>
  <c r="B482" i="3"/>
  <c r="A482" i="3"/>
  <c r="K481" i="3"/>
  <c r="J481" i="3"/>
  <c r="I481" i="3"/>
  <c r="H481" i="3"/>
  <c r="G481" i="3"/>
  <c r="F481" i="3"/>
  <c r="E481" i="3"/>
  <c r="D481" i="3"/>
  <c r="C481" i="3"/>
  <c r="B481" i="3"/>
  <c r="A481" i="3"/>
  <c r="K480" i="3"/>
  <c r="J480" i="3"/>
  <c r="I480" i="3"/>
  <c r="H480" i="3"/>
  <c r="G480" i="3"/>
  <c r="F480" i="3"/>
  <c r="E480" i="3"/>
  <c r="D480" i="3"/>
  <c r="C480" i="3"/>
  <c r="B480" i="3"/>
  <c r="A480" i="3"/>
  <c r="K479" i="3"/>
  <c r="J479" i="3"/>
  <c r="I479" i="3"/>
  <c r="H479" i="3"/>
  <c r="G479" i="3"/>
  <c r="F479" i="3"/>
  <c r="E479" i="3"/>
  <c r="D479" i="3"/>
  <c r="C479" i="3"/>
  <c r="B479" i="3"/>
  <c r="A479" i="3"/>
  <c r="K478" i="3"/>
  <c r="J478" i="3"/>
  <c r="I478" i="3"/>
  <c r="H478" i="3"/>
  <c r="G478" i="3"/>
  <c r="F478" i="3"/>
  <c r="E478" i="3"/>
  <c r="D478" i="3"/>
  <c r="C478" i="3"/>
  <c r="B478" i="3"/>
  <c r="A478" i="3"/>
  <c r="K477" i="3"/>
  <c r="J477" i="3"/>
  <c r="I477" i="3"/>
  <c r="H477" i="3"/>
  <c r="G477" i="3"/>
  <c r="F477" i="3"/>
  <c r="E477" i="3"/>
  <c r="D477" i="3"/>
  <c r="C477" i="3"/>
  <c r="B477" i="3"/>
  <c r="A477" i="3"/>
  <c r="K476" i="3"/>
  <c r="J476" i="3"/>
  <c r="I476" i="3"/>
  <c r="H476" i="3"/>
  <c r="G476" i="3"/>
  <c r="F476" i="3"/>
  <c r="E476" i="3"/>
  <c r="D476" i="3"/>
  <c r="C476" i="3"/>
  <c r="B476" i="3"/>
  <c r="A476" i="3"/>
  <c r="K475" i="3"/>
  <c r="J475" i="3"/>
  <c r="I475" i="3"/>
  <c r="H475" i="3"/>
  <c r="G475" i="3"/>
  <c r="F475" i="3"/>
  <c r="E475" i="3"/>
  <c r="D475" i="3"/>
  <c r="C475" i="3"/>
  <c r="B475" i="3"/>
  <c r="A475" i="3"/>
  <c r="K474" i="3"/>
  <c r="J474" i="3"/>
  <c r="I474" i="3"/>
  <c r="H474" i="3"/>
  <c r="G474" i="3"/>
  <c r="F474" i="3"/>
  <c r="E474" i="3"/>
  <c r="D474" i="3"/>
  <c r="C474" i="3"/>
  <c r="B474" i="3"/>
  <c r="A474" i="3"/>
  <c r="K473" i="3"/>
  <c r="J473" i="3"/>
  <c r="I473" i="3"/>
  <c r="H473" i="3"/>
  <c r="G473" i="3"/>
  <c r="F473" i="3"/>
  <c r="E473" i="3"/>
  <c r="D473" i="3"/>
  <c r="C473" i="3"/>
  <c r="B473" i="3"/>
  <c r="A473" i="3"/>
  <c r="K472" i="3"/>
  <c r="J472" i="3"/>
  <c r="I472" i="3"/>
  <c r="H472" i="3"/>
  <c r="G472" i="3"/>
  <c r="F472" i="3"/>
  <c r="E472" i="3"/>
  <c r="D472" i="3"/>
  <c r="C472" i="3"/>
  <c r="B472" i="3"/>
  <c r="A472" i="3"/>
  <c r="K471" i="3"/>
  <c r="J471" i="3"/>
  <c r="I471" i="3"/>
  <c r="H471" i="3"/>
  <c r="G471" i="3"/>
  <c r="F471" i="3"/>
  <c r="E471" i="3"/>
  <c r="D471" i="3"/>
  <c r="C471" i="3"/>
  <c r="B471" i="3"/>
  <c r="A471" i="3"/>
  <c r="K470" i="3"/>
  <c r="J470" i="3"/>
  <c r="I470" i="3"/>
  <c r="H470" i="3"/>
  <c r="G470" i="3"/>
  <c r="F470" i="3"/>
  <c r="E470" i="3"/>
  <c r="D470" i="3"/>
  <c r="C470" i="3"/>
  <c r="B470" i="3"/>
  <c r="A470" i="3"/>
  <c r="K469" i="3"/>
  <c r="J469" i="3"/>
  <c r="I469" i="3"/>
  <c r="H469" i="3"/>
  <c r="G469" i="3"/>
  <c r="F469" i="3"/>
  <c r="E469" i="3"/>
  <c r="D469" i="3"/>
  <c r="C469" i="3"/>
  <c r="B469" i="3"/>
  <c r="A469" i="3"/>
  <c r="K468" i="3"/>
  <c r="J468" i="3"/>
  <c r="I468" i="3"/>
  <c r="H468" i="3"/>
  <c r="G468" i="3"/>
  <c r="F468" i="3"/>
  <c r="E468" i="3"/>
  <c r="D468" i="3"/>
  <c r="C468" i="3"/>
  <c r="B468" i="3"/>
  <c r="A468" i="3"/>
  <c r="K467" i="3"/>
  <c r="J467" i="3"/>
  <c r="I467" i="3"/>
  <c r="H467" i="3"/>
  <c r="G467" i="3"/>
  <c r="F467" i="3"/>
  <c r="E467" i="3"/>
  <c r="D467" i="3"/>
  <c r="C467" i="3"/>
  <c r="B467" i="3"/>
  <c r="A467" i="3"/>
  <c r="K466" i="3"/>
  <c r="J466" i="3"/>
  <c r="I466" i="3"/>
  <c r="H466" i="3"/>
  <c r="G466" i="3"/>
  <c r="F466" i="3"/>
  <c r="E466" i="3"/>
  <c r="D466" i="3"/>
  <c r="C466" i="3"/>
  <c r="B466" i="3"/>
  <c r="A466" i="3"/>
  <c r="K465" i="3"/>
  <c r="J465" i="3"/>
  <c r="I465" i="3"/>
  <c r="H465" i="3"/>
  <c r="G465" i="3"/>
  <c r="F465" i="3"/>
  <c r="E465" i="3"/>
  <c r="D465" i="3"/>
  <c r="C465" i="3"/>
  <c r="B465" i="3"/>
  <c r="A465" i="3"/>
  <c r="K464" i="3"/>
  <c r="J464" i="3"/>
  <c r="I464" i="3"/>
  <c r="H464" i="3"/>
  <c r="G464" i="3"/>
  <c r="F464" i="3"/>
  <c r="E464" i="3"/>
  <c r="D464" i="3"/>
  <c r="C464" i="3"/>
  <c r="B464" i="3"/>
  <c r="A464" i="3"/>
  <c r="K463" i="3"/>
  <c r="J463" i="3"/>
  <c r="I463" i="3"/>
  <c r="H463" i="3"/>
  <c r="G463" i="3"/>
  <c r="F463" i="3"/>
  <c r="E463" i="3"/>
  <c r="D463" i="3"/>
  <c r="C463" i="3"/>
  <c r="B463" i="3"/>
  <c r="A463" i="3"/>
  <c r="K462" i="3"/>
  <c r="J462" i="3"/>
  <c r="I462" i="3"/>
  <c r="H462" i="3"/>
  <c r="G462" i="3"/>
  <c r="F462" i="3"/>
  <c r="E462" i="3"/>
  <c r="D462" i="3"/>
  <c r="C462" i="3"/>
  <c r="B462" i="3"/>
  <c r="A462" i="3"/>
  <c r="K461" i="3"/>
  <c r="J461" i="3"/>
  <c r="I461" i="3"/>
  <c r="H461" i="3"/>
  <c r="G461" i="3"/>
  <c r="F461" i="3"/>
  <c r="E461" i="3"/>
  <c r="D461" i="3"/>
  <c r="C461" i="3"/>
  <c r="B461" i="3"/>
  <c r="A461" i="3"/>
  <c r="K460" i="3"/>
  <c r="J460" i="3"/>
  <c r="I460" i="3"/>
  <c r="H460" i="3"/>
  <c r="G460" i="3"/>
  <c r="F460" i="3"/>
  <c r="E460" i="3"/>
  <c r="D460" i="3"/>
  <c r="C460" i="3"/>
  <c r="B460" i="3"/>
  <c r="A460" i="3"/>
  <c r="K459" i="3"/>
  <c r="J459" i="3"/>
  <c r="I459" i="3"/>
  <c r="H459" i="3"/>
  <c r="G459" i="3"/>
  <c r="F459" i="3"/>
  <c r="E459" i="3"/>
  <c r="D459" i="3"/>
  <c r="C459" i="3"/>
  <c r="B459" i="3"/>
  <c r="A459" i="3"/>
  <c r="K458" i="3"/>
  <c r="J458" i="3"/>
  <c r="I458" i="3"/>
  <c r="H458" i="3"/>
  <c r="G458" i="3"/>
  <c r="F458" i="3"/>
  <c r="E458" i="3"/>
  <c r="D458" i="3"/>
  <c r="C458" i="3"/>
  <c r="B458" i="3"/>
  <c r="A458" i="3"/>
  <c r="K457" i="3"/>
  <c r="J457" i="3"/>
  <c r="I457" i="3"/>
  <c r="H457" i="3"/>
  <c r="G457" i="3"/>
  <c r="F457" i="3"/>
  <c r="E457" i="3"/>
  <c r="D457" i="3"/>
  <c r="C457" i="3"/>
  <c r="B457" i="3"/>
  <c r="A457" i="3"/>
  <c r="K456" i="3"/>
  <c r="J456" i="3"/>
  <c r="I456" i="3"/>
  <c r="H456" i="3"/>
  <c r="G456" i="3"/>
  <c r="F456" i="3"/>
  <c r="E456" i="3"/>
  <c r="D456" i="3"/>
  <c r="C456" i="3"/>
  <c r="B456" i="3"/>
  <c r="A456" i="3"/>
  <c r="K455" i="3"/>
  <c r="J455" i="3"/>
  <c r="I455" i="3"/>
  <c r="H455" i="3"/>
  <c r="G455" i="3"/>
  <c r="F455" i="3"/>
  <c r="E455" i="3"/>
  <c r="D455" i="3"/>
  <c r="C455" i="3"/>
  <c r="B455" i="3"/>
  <c r="A455" i="3"/>
  <c r="K454" i="3"/>
  <c r="J454" i="3"/>
  <c r="I454" i="3"/>
  <c r="H454" i="3"/>
  <c r="G454" i="3"/>
  <c r="F454" i="3"/>
  <c r="E454" i="3"/>
  <c r="D454" i="3"/>
  <c r="C454" i="3"/>
  <c r="B454" i="3"/>
  <c r="A454" i="3"/>
  <c r="K453" i="3"/>
  <c r="J453" i="3"/>
  <c r="I453" i="3"/>
  <c r="H453" i="3"/>
  <c r="G453" i="3"/>
  <c r="F453" i="3"/>
  <c r="E453" i="3"/>
  <c r="D453" i="3"/>
  <c r="C453" i="3"/>
  <c r="B453" i="3"/>
  <c r="A453" i="3"/>
  <c r="K452" i="3"/>
  <c r="J452" i="3"/>
  <c r="I452" i="3"/>
  <c r="H452" i="3"/>
  <c r="G452" i="3"/>
  <c r="F452" i="3"/>
  <c r="E452" i="3"/>
  <c r="D452" i="3"/>
  <c r="C452" i="3"/>
  <c r="B452" i="3"/>
  <c r="A452" i="3"/>
  <c r="K451" i="3"/>
  <c r="J451" i="3"/>
  <c r="I451" i="3"/>
  <c r="H451" i="3"/>
  <c r="G451" i="3"/>
  <c r="F451" i="3"/>
  <c r="E451" i="3"/>
  <c r="D451" i="3"/>
  <c r="C451" i="3"/>
  <c r="B451" i="3"/>
  <c r="A451" i="3"/>
  <c r="K450" i="3"/>
  <c r="J450" i="3"/>
  <c r="I450" i="3"/>
  <c r="H450" i="3"/>
  <c r="G450" i="3"/>
  <c r="F450" i="3"/>
  <c r="E450" i="3"/>
  <c r="D450" i="3"/>
  <c r="C450" i="3"/>
  <c r="B450" i="3"/>
  <c r="A450" i="3"/>
  <c r="K449" i="3"/>
  <c r="J449" i="3"/>
  <c r="I449" i="3"/>
  <c r="H449" i="3"/>
  <c r="G449" i="3"/>
  <c r="F449" i="3"/>
  <c r="E449" i="3"/>
  <c r="D449" i="3"/>
  <c r="C449" i="3"/>
  <c r="B449" i="3"/>
  <c r="A449" i="3"/>
  <c r="K448" i="3"/>
  <c r="J448" i="3"/>
  <c r="I448" i="3"/>
  <c r="H448" i="3"/>
  <c r="G448" i="3"/>
  <c r="F448" i="3"/>
  <c r="E448" i="3"/>
  <c r="D448" i="3"/>
  <c r="C448" i="3"/>
  <c r="B448" i="3"/>
  <c r="A448" i="3"/>
  <c r="K447" i="3"/>
  <c r="J447" i="3"/>
  <c r="I447" i="3"/>
  <c r="H447" i="3"/>
  <c r="G447" i="3"/>
  <c r="F447" i="3"/>
  <c r="E447" i="3"/>
  <c r="D447" i="3"/>
  <c r="C447" i="3"/>
  <c r="B447" i="3"/>
  <c r="A447" i="3"/>
  <c r="K446" i="3"/>
  <c r="J446" i="3"/>
  <c r="I446" i="3"/>
  <c r="H446" i="3"/>
  <c r="G446" i="3"/>
  <c r="F446" i="3"/>
  <c r="E446" i="3"/>
  <c r="D446" i="3"/>
  <c r="C446" i="3"/>
  <c r="B446" i="3"/>
  <c r="A446" i="3"/>
  <c r="K445" i="3"/>
  <c r="J445" i="3"/>
  <c r="I445" i="3"/>
  <c r="H445" i="3"/>
  <c r="G445" i="3"/>
  <c r="F445" i="3"/>
  <c r="E445" i="3"/>
  <c r="D445" i="3"/>
  <c r="C445" i="3"/>
  <c r="B445" i="3"/>
  <c r="A445" i="3"/>
  <c r="K444" i="3"/>
  <c r="J444" i="3"/>
  <c r="I444" i="3"/>
  <c r="H444" i="3"/>
  <c r="G444" i="3"/>
  <c r="F444" i="3"/>
  <c r="E444" i="3"/>
  <c r="D444" i="3"/>
  <c r="C444" i="3"/>
  <c r="B444" i="3"/>
  <c r="A444" i="3"/>
  <c r="K443" i="3"/>
  <c r="J443" i="3"/>
  <c r="I443" i="3"/>
  <c r="H443" i="3"/>
  <c r="G443" i="3"/>
  <c r="F443" i="3"/>
  <c r="E443" i="3"/>
  <c r="D443" i="3"/>
  <c r="C443" i="3"/>
  <c r="B443" i="3"/>
  <c r="A443" i="3"/>
  <c r="K442" i="3"/>
  <c r="J442" i="3"/>
  <c r="I442" i="3"/>
  <c r="H442" i="3"/>
  <c r="G442" i="3"/>
  <c r="F442" i="3"/>
  <c r="E442" i="3"/>
  <c r="D442" i="3"/>
  <c r="C442" i="3"/>
  <c r="B442" i="3"/>
  <c r="A442" i="3"/>
  <c r="K441" i="3"/>
  <c r="J441" i="3"/>
  <c r="I441" i="3"/>
  <c r="H441" i="3"/>
  <c r="G441" i="3"/>
  <c r="F441" i="3"/>
  <c r="E441" i="3"/>
  <c r="D441" i="3"/>
  <c r="C441" i="3"/>
  <c r="B441" i="3"/>
  <c r="A441" i="3"/>
  <c r="K440" i="3"/>
  <c r="J440" i="3"/>
  <c r="I440" i="3"/>
  <c r="H440" i="3"/>
  <c r="G440" i="3"/>
  <c r="F440" i="3"/>
  <c r="E440" i="3"/>
  <c r="D440" i="3"/>
  <c r="C440" i="3"/>
  <c r="B440" i="3"/>
  <c r="A440" i="3"/>
  <c r="K439" i="3"/>
  <c r="J439" i="3"/>
  <c r="I439" i="3"/>
  <c r="H439" i="3"/>
  <c r="G439" i="3"/>
  <c r="F439" i="3"/>
  <c r="E439" i="3"/>
  <c r="D439" i="3"/>
  <c r="C439" i="3"/>
  <c r="B439" i="3"/>
  <c r="A439" i="3"/>
  <c r="K438" i="3"/>
  <c r="J438" i="3"/>
  <c r="I438" i="3"/>
  <c r="H438" i="3"/>
  <c r="G438" i="3"/>
  <c r="F438" i="3"/>
  <c r="E438" i="3"/>
  <c r="D438" i="3"/>
  <c r="C438" i="3"/>
  <c r="B438" i="3"/>
  <c r="A438" i="3"/>
  <c r="K437" i="3"/>
  <c r="J437" i="3"/>
  <c r="I437" i="3"/>
  <c r="H437" i="3"/>
  <c r="G437" i="3"/>
  <c r="F437" i="3"/>
  <c r="E437" i="3"/>
  <c r="D437" i="3"/>
  <c r="C437" i="3"/>
  <c r="B437" i="3"/>
  <c r="A437" i="3"/>
  <c r="K436" i="3"/>
  <c r="J436" i="3"/>
  <c r="I436" i="3"/>
  <c r="H436" i="3"/>
  <c r="G436" i="3"/>
  <c r="F436" i="3"/>
  <c r="E436" i="3"/>
  <c r="D436" i="3"/>
  <c r="C436" i="3"/>
  <c r="B436" i="3"/>
  <c r="A436" i="3"/>
  <c r="K435" i="3"/>
  <c r="J435" i="3"/>
  <c r="I435" i="3"/>
  <c r="H435" i="3"/>
  <c r="G435" i="3"/>
  <c r="F435" i="3"/>
  <c r="E435" i="3"/>
  <c r="D435" i="3"/>
  <c r="C435" i="3"/>
  <c r="B435" i="3"/>
  <c r="A435" i="3"/>
  <c r="K434" i="3"/>
  <c r="J434" i="3"/>
  <c r="I434" i="3"/>
  <c r="H434" i="3"/>
  <c r="G434" i="3"/>
  <c r="F434" i="3"/>
  <c r="E434" i="3"/>
  <c r="D434" i="3"/>
  <c r="C434" i="3"/>
  <c r="B434" i="3"/>
  <c r="A434" i="3"/>
  <c r="K433" i="3"/>
  <c r="J433" i="3"/>
  <c r="I433" i="3"/>
  <c r="H433" i="3"/>
  <c r="G433" i="3"/>
  <c r="F433" i="3"/>
  <c r="E433" i="3"/>
  <c r="D433" i="3"/>
  <c r="C433" i="3"/>
  <c r="B433" i="3"/>
  <c r="A433" i="3"/>
  <c r="K432" i="3"/>
  <c r="J432" i="3"/>
  <c r="I432" i="3"/>
  <c r="H432" i="3"/>
  <c r="G432" i="3"/>
  <c r="F432" i="3"/>
  <c r="E432" i="3"/>
  <c r="D432" i="3"/>
  <c r="C432" i="3"/>
  <c r="B432" i="3"/>
  <c r="A432" i="3"/>
  <c r="K431" i="3"/>
  <c r="J431" i="3"/>
  <c r="I431" i="3"/>
  <c r="H431" i="3"/>
  <c r="G431" i="3"/>
  <c r="F431" i="3"/>
  <c r="E431" i="3"/>
  <c r="D431" i="3"/>
  <c r="C431" i="3"/>
  <c r="B431" i="3"/>
  <c r="A431" i="3"/>
  <c r="K430" i="3"/>
  <c r="J430" i="3"/>
  <c r="I430" i="3"/>
  <c r="H430" i="3"/>
  <c r="G430" i="3"/>
  <c r="F430" i="3"/>
  <c r="E430" i="3"/>
  <c r="D430" i="3"/>
  <c r="C430" i="3"/>
  <c r="B430" i="3"/>
  <c r="A430" i="3"/>
  <c r="K429" i="3"/>
  <c r="J429" i="3"/>
  <c r="I429" i="3"/>
  <c r="H429" i="3"/>
  <c r="G429" i="3"/>
  <c r="F429" i="3"/>
  <c r="E429" i="3"/>
  <c r="D429" i="3"/>
  <c r="C429" i="3"/>
  <c r="B429" i="3"/>
  <c r="A429" i="3"/>
  <c r="K428" i="3"/>
  <c r="J428" i="3"/>
  <c r="I428" i="3"/>
  <c r="H428" i="3"/>
  <c r="G428" i="3"/>
  <c r="F428" i="3"/>
  <c r="E428" i="3"/>
  <c r="D428" i="3"/>
  <c r="C428" i="3"/>
  <c r="B428" i="3"/>
  <c r="A428" i="3"/>
  <c r="K427" i="3"/>
  <c r="J427" i="3"/>
  <c r="I427" i="3"/>
  <c r="H427" i="3"/>
  <c r="G427" i="3"/>
  <c r="F427" i="3"/>
  <c r="E427" i="3"/>
  <c r="D427" i="3"/>
  <c r="C427" i="3"/>
  <c r="B427" i="3"/>
  <c r="A427" i="3"/>
  <c r="K426" i="3"/>
  <c r="J426" i="3"/>
  <c r="I426" i="3"/>
  <c r="H426" i="3"/>
  <c r="G426" i="3"/>
  <c r="F426" i="3"/>
  <c r="E426" i="3"/>
  <c r="D426" i="3"/>
  <c r="C426" i="3"/>
  <c r="B426" i="3"/>
  <c r="A426" i="3"/>
  <c r="K425" i="3"/>
  <c r="J425" i="3"/>
  <c r="I425" i="3"/>
  <c r="H425" i="3"/>
  <c r="G425" i="3"/>
  <c r="F425" i="3"/>
  <c r="E425" i="3"/>
  <c r="D425" i="3"/>
  <c r="C425" i="3"/>
  <c r="B425" i="3"/>
  <c r="A425" i="3"/>
  <c r="K424" i="3"/>
  <c r="J424" i="3"/>
  <c r="I424" i="3"/>
  <c r="H424" i="3"/>
  <c r="G424" i="3"/>
  <c r="F424" i="3"/>
  <c r="E424" i="3"/>
  <c r="D424" i="3"/>
  <c r="C424" i="3"/>
  <c r="B424" i="3"/>
  <c r="A424" i="3"/>
  <c r="K423" i="3"/>
  <c r="J423" i="3"/>
  <c r="I423" i="3"/>
  <c r="H423" i="3"/>
  <c r="G423" i="3"/>
  <c r="F423" i="3"/>
  <c r="E423" i="3"/>
  <c r="D423" i="3"/>
  <c r="C423" i="3"/>
  <c r="B423" i="3"/>
  <c r="A423" i="3"/>
  <c r="K422" i="3"/>
  <c r="J422" i="3"/>
  <c r="I422" i="3"/>
  <c r="H422" i="3"/>
  <c r="G422" i="3"/>
  <c r="F422" i="3"/>
  <c r="E422" i="3"/>
  <c r="D422" i="3"/>
  <c r="C422" i="3"/>
  <c r="B422" i="3"/>
  <c r="A422" i="3"/>
  <c r="K421" i="3"/>
  <c r="J421" i="3"/>
  <c r="I421" i="3"/>
  <c r="H421" i="3"/>
  <c r="G421" i="3"/>
  <c r="F421" i="3"/>
  <c r="E421" i="3"/>
  <c r="D421" i="3"/>
  <c r="C421" i="3"/>
  <c r="B421" i="3"/>
  <c r="A421" i="3"/>
  <c r="K420" i="3"/>
  <c r="J420" i="3"/>
  <c r="I420" i="3"/>
  <c r="H420" i="3"/>
  <c r="G420" i="3"/>
  <c r="F420" i="3"/>
  <c r="E420" i="3"/>
  <c r="D420" i="3"/>
  <c r="C420" i="3"/>
  <c r="B420" i="3"/>
  <c r="A420" i="3"/>
  <c r="K419" i="3"/>
  <c r="J419" i="3"/>
  <c r="I419" i="3"/>
  <c r="H419" i="3"/>
  <c r="G419" i="3"/>
  <c r="F419" i="3"/>
  <c r="E419" i="3"/>
  <c r="D419" i="3"/>
  <c r="C419" i="3"/>
  <c r="B419" i="3"/>
  <c r="A419" i="3"/>
  <c r="K418" i="3"/>
  <c r="J418" i="3"/>
  <c r="I418" i="3"/>
  <c r="H418" i="3"/>
  <c r="G418" i="3"/>
  <c r="F418" i="3"/>
  <c r="E418" i="3"/>
  <c r="D418" i="3"/>
  <c r="C418" i="3"/>
  <c r="B418" i="3"/>
  <c r="A418" i="3"/>
  <c r="K417" i="3"/>
  <c r="J417" i="3"/>
  <c r="I417" i="3"/>
  <c r="H417" i="3"/>
  <c r="G417" i="3"/>
  <c r="F417" i="3"/>
  <c r="E417" i="3"/>
  <c r="D417" i="3"/>
  <c r="C417" i="3"/>
  <c r="B417" i="3"/>
  <c r="A417" i="3"/>
  <c r="K416" i="3"/>
  <c r="J416" i="3"/>
  <c r="I416" i="3"/>
  <c r="H416" i="3"/>
  <c r="G416" i="3"/>
  <c r="F416" i="3"/>
  <c r="E416" i="3"/>
  <c r="D416" i="3"/>
  <c r="C416" i="3"/>
  <c r="B416" i="3"/>
  <c r="A416" i="3"/>
  <c r="K415" i="3"/>
  <c r="J415" i="3"/>
  <c r="I415" i="3"/>
  <c r="H415" i="3"/>
  <c r="G415" i="3"/>
  <c r="F415" i="3"/>
  <c r="E415" i="3"/>
  <c r="D415" i="3"/>
  <c r="C415" i="3"/>
  <c r="B415" i="3"/>
  <c r="A415" i="3"/>
  <c r="K414" i="3"/>
  <c r="J414" i="3"/>
  <c r="I414" i="3"/>
  <c r="H414" i="3"/>
  <c r="G414" i="3"/>
  <c r="F414" i="3"/>
  <c r="E414" i="3"/>
  <c r="D414" i="3"/>
  <c r="C414" i="3"/>
  <c r="B414" i="3"/>
  <c r="A414" i="3"/>
  <c r="K413" i="3"/>
  <c r="J413" i="3"/>
  <c r="I413" i="3"/>
  <c r="H413" i="3"/>
  <c r="G413" i="3"/>
  <c r="F413" i="3"/>
  <c r="E413" i="3"/>
  <c r="D413" i="3"/>
  <c r="C413" i="3"/>
  <c r="B413" i="3"/>
  <c r="A413" i="3"/>
  <c r="K412" i="3"/>
  <c r="J412" i="3"/>
  <c r="I412" i="3"/>
  <c r="H412" i="3"/>
  <c r="G412" i="3"/>
  <c r="F412" i="3"/>
  <c r="E412" i="3"/>
  <c r="D412" i="3"/>
  <c r="C412" i="3"/>
  <c r="B412" i="3"/>
  <c r="A412" i="3"/>
  <c r="K411" i="3"/>
  <c r="J411" i="3"/>
  <c r="I411" i="3"/>
  <c r="H411" i="3"/>
  <c r="G411" i="3"/>
  <c r="F411" i="3"/>
  <c r="E411" i="3"/>
  <c r="D411" i="3"/>
  <c r="C411" i="3"/>
  <c r="B411" i="3"/>
  <c r="A411" i="3"/>
  <c r="K410" i="3"/>
  <c r="J410" i="3"/>
  <c r="I410" i="3"/>
  <c r="H410" i="3"/>
  <c r="G410" i="3"/>
  <c r="F410" i="3"/>
  <c r="E410" i="3"/>
  <c r="D410" i="3"/>
  <c r="C410" i="3"/>
  <c r="B410" i="3"/>
  <c r="A410" i="3"/>
  <c r="K409" i="3"/>
  <c r="J409" i="3"/>
  <c r="I409" i="3"/>
  <c r="H409" i="3"/>
  <c r="G409" i="3"/>
  <c r="F409" i="3"/>
  <c r="E409" i="3"/>
  <c r="D409" i="3"/>
  <c r="C409" i="3"/>
  <c r="B409" i="3"/>
  <c r="A409" i="3"/>
  <c r="K408" i="3"/>
  <c r="J408" i="3"/>
  <c r="I408" i="3"/>
  <c r="H408" i="3"/>
  <c r="G408" i="3"/>
  <c r="F408" i="3"/>
  <c r="E408" i="3"/>
  <c r="D408" i="3"/>
  <c r="C408" i="3"/>
  <c r="B408" i="3"/>
  <c r="A408" i="3"/>
  <c r="K407" i="3"/>
  <c r="J407" i="3"/>
  <c r="I407" i="3"/>
  <c r="H407" i="3"/>
  <c r="G407" i="3"/>
  <c r="F407" i="3"/>
  <c r="E407" i="3"/>
  <c r="D407" i="3"/>
  <c r="C407" i="3"/>
  <c r="B407" i="3"/>
  <c r="A407" i="3"/>
  <c r="K406" i="3"/>
  <c r="J406" i="3"/>
  <c r="I406" i="3"/>
  <c r="H406" i="3"/>
  <c r="G406" i="3"/>
  <c r="F406" i="3"/>
  <c r="E406" i="3"/>
  <c r="D406" i="3"/>
  <c r="C406" i="3"/>
  <c r="B406" i="3"/>
  <c r="A406" i="3"/>
  <c r="K405" i="3"/>
  <c r="J405" i="3"/>
  <c r="I405" i="3"/>
  <c r="H405" i="3"/>
  <c r="G405" i="3"/>
  <c r="F405" i="3"/>
  <c r="E405" i="3"/>
  <c r="D405" i="3"/>
  <c r="C405" i="3"/>
  <c r="B405" i="3"/>
  <c r="A405" i="3"/>
  <c r="K404" i="3"/>
  <c r="J404" i="3"/>
  <c r="I404" i="3"/>
  <c r="H404" i="3"/>
  <c r="G404" i="3"/>
  <c r="F404" i="3"/>
  <c r="E404" i="3"/>
  <c r="D404" i="3"/>
  <c r="C404" i="3"/>
  <c r="B404" i="3"/>
  <c r="A404" i="3"/>
  <c r="K403" i="3"/>
  <c r="J403" i="3"/>
  <c r="I403" i="3"/>
  <c r="H403" i="3"/>
  <c r="G403" i="3"/>
  <c r="F403" i="3"/>
  <c r="E403" i="3"/>
  <c r="D403" i="3"/>
  <c r="C403" i="3"/>
  <c r="B403" i="3"/>
  <c r="A403" i="3"/>
  <c r="K402" i="3"/>
  <c r="J402" i="3"/>
  <c r="I402" i="3"/>
  <c r="H402" i="3"/>
  <c r="G402" i="3"/>
  <c r="F402" i="3"/>
  <c r="E402" i="3"/>
  <c r="D402" i="3"/>
  <c r="C402" i="3"/>
  <c r="B402" i="3"/>
  <c r="A402" i="3"/>
  <c r="K401" i="3"/>
  <c r="J401" i="3"/>
  <c r="I401" i="3"/>
  <c r="H401" i="3"/>
  <c r="G401" i="3"/>
  <c r="F401" i="3"/>
  <c r="E401" i="3"/>
  <c r="D401" i="3"/>
  <c r="C401" i="3"/>
  <c r="B401" i="3"/>
  <c r="A401" i="3"/>
  <c r="K400" i="3"/>
  <c r="J400" i="3"/>
  <c r="I400" i="3"/>
  <c r="H400" i="3"/>
  <c r="G400" i="3"/>
  <c r="F400" i="3"/>
  <c r="E400" i="3"/>
  <c r="D400" i="3"/>
  <c r="C400" i="3"/>
  <c r="B400" i="3"/>
  <c r="A400" i="3"/>
  <c r="K399" i="3"/>
  <c r="J399" i="3"/>
  <c r="I399" i="3"/>
  <c r="H399" i="3"/>
  <c r="G399" i="3"/>
  <c r="F399" i="3"/>
  <c r="E399" i="3"/>
  <c r="D399" i="3"/>
  <c r="C399" i="3"/>
  <c r="B399" i="3"/>
  <c r="A399" i="3"/>
  <c r="K398" i="3"/>
  <c r="J398" i="3"/>
  <c r="I398" i="3"/>
  <c r="H398" i="3"/>
  <c r="G398" i="3"/>
  <c r="F398" i="3"/>
  <c r="E398" i="3"/>
  <c r="D398" i="3"/>
  <c r="C398" i="3"/>
  <c r="B398" i="3"/>
  <c r="A398" i="3"/>
  <c r="K397" i="3"/>
  <c r="J397" i="3"/>
  <c r="I397" i="3"/>
  <c r="H397" i="3"/>
  <c r="G397" i="3"/>
  <c r="F397" i="3"/>
  <c r="E397" i="3"/>
  <c r="D397" i="3"/>
  <c r="C397" i="3"/>
  <c r="B397" i="3"/>
  <c r="A397" i="3"/>
  <c r="K396" i="3"/>
  <c r="J396" i="3"/>
  <c r="I396" i="3"/>
  <c r="H396" i="3"/>
  <c r="G396" i="3"/>
  <c r="F396" i="3"/>
  <c r="E396" i="3"/>
  <c r="D396" i="3"/>
  <c r="C396" i="3"/>
  <c r="B396" i="3"/>
  <c r="A396" i="3"/>
  <c r="K395" i="3"/>
  <c r="J395" i="3"/>
  <c r="I395" i="3"/>
  <c r="H395" i="3"/>
  <c r="G395" i="3"/>
  <c r="F395" i="3"/>
  <c r="E395" i="3"/>
  <c r="D395" i="3"/>
  <c r="C395" i="3"/>
  <c r="B395" i="3"/>
  <c r="A395" i="3"/>
  <c r="K394" i="3"/>
  <c r="J394" i="3"/>
  <c r="I394" i="3"/>
  <c r="H394" i="3"/>
  <c r="G394" i="3"/>
  <c r="F394" i="3"/>
  <c r="E394" i="3"/>
  <c r="D394" i="3"/>
  <c r="C394" i="3"/>
  <c r="B394" i="3"/>
  <c r="A394" i="3"/>
  <c r="K393" i="3"/>
  <c r="J393" i="3"/>
  <c r="I393" i="3"/>
  <c r="H393" i="3"/>
  <c r="G393" i="3"/>
  <c r="F393" i="3"/>
  <c r="E393" i="3"/>
  <c r="D393" i="3"/>
  <c r="C393" i="3"/>
  <c r="B393" i="3"/>
  <c r="A393" i="3"/>
  <c r="K392" i="3"/>
  <c r="J392" i="3"/>
  <c r="I392" i="3"/>
  <c r="H392" i="3"/>
  <c r="G392" i="3"/>
  <c r="F392" i="3"/>
  <c r="E392" i="3"/>
  <c r="D392" i="3"/>
  <c r="C392" i="3"/>
  <c r="B392" i="3"/>
  <c r="A392" i="3"/>
  <c r="K391" i="3"/>
  <c r="J391" i="3"/>
  <c r="I391" i="3"/>
  <c r="H391" i="3"/>
  <c r="G391" i="3"/>
  <c r="F391" i="3"/>
  <c r="E391" i="3"/>
  <c r="D391" i="3"/>
  <c r="C391" i="3"/>
  <c r="B391" i="3"/>
  <c r="A391" i="3"/>
  <c r="K390" i="3"/>
  <c r="J390" i="3"/>
  <c r="I390" i="3"/>
  <c r="H390" i="3"/>
  <c r="G390" i="3"/>
  <c r="F390" i="3"/>
  <c r="E390" i="3"/>
  <c r="D390" i="3"/>
  <c r="C390" i="3"/>
  <c r="B390" i="3"/>
  <c r="A390" i="3"/>
  <c r="K389" i="3"/>
  <c r="J389" i="3"/>
  <c r="I389" i="3"/>
  <c r="H389" i="3"/>
  <c r="G389" i="3"/>
  <c r="F389" i="3"/>
  <c r="E389" i="3"/>
  <c r="D389" i="3"/>
  <c r="C389" i="3"/>
  <c r="B389" i="3"/>
  <c r="A389" i="3"/>
  <c r="K388" i="3"/>
  <c r="J388" i="3"/>
  <c r="I388" i="3"/>
  <c r="H388" i="3"/>
  <c r="G388" i="3"/>
  <c r="F388" i="3"/>
  <c r="E388" i="3"/>
  <c r="D388" i="3"/>
  <c r="C388" i="3"/>
  <c r="B388" i="3"/>
  <c r="A388" i="3"/>
  <c r="K387" i="3"/>
  <c r="J387" i="3"/>
  <c r="I387" i="3"/>
  <c r="H387" i="3"/>
  <c r="G387" i="3"/>
  <c r="F387" i="3"/>
  <c r="E387" i="3"/>
  <c r="D387" i="3"/>
  <c r="C387" i="3"/>
  <c r="B387" i="3"/>
  <c r="A387" i="3"/>
  <c r="K386" i="3"/>
  <c r="J386" i="3"/>
  <c r="I386" i="3"/>
  <c r="H386" i="3"/>
  <c r="G386" i="3"/>
  <c r="F386" i="3"/>
  <c r="E386" i="3"/>
  <c r="D386" i="3"/>
  <c r="C386" i="3"/>
  <c r="B386" i="3"/>
  <c r="A386" i="3"/>
  <c r="K385" i="3"/>
  <c r="J385" i="3"/>
  <c r="I385" i="3"/>
  <c r="H385" i="3"/>
  <c r="G385" i="3"/>
  <c r="F385" i="3"/>
  <c r="E385" i="3"/>
  <c r="D385" i="3"/>
  <c r="C385" i="3"/>
  <c r="B385" i="3"/>
  <c r="A385" i="3"/>
  <c r="K384" i="3"/>
  <c r="J384" i="3"/>
  <c r="I384" i="3"/>
  <c r="H384" i="3"/>
  <c r="G384" i="3"/>
  <c r="F384" i="3"/>
  <c r="E384" i="3"/>
  <c r="D384" i="3"/>
  <c r="C384" i="3"/>
  <c r="B384" i="3"/>
  <c r="A384" i="3"/>
  <c r="K383" i="3"/>
  <c r="J383" i="3"/>
  <c r="I383" i="3"/>
  <c r="H383" i="3"/>
  <c r="G383" i="3"/>
  <c r="F383" i="3"/>
  <c r="E383" i="3"/>
  <c r="D383" i="3"/>
  <c r="C383" i="3"/>
  <c r="B383" i="3"/>
  <c r="A383" i="3"/>
  <c r="K382" i="3"/>
  <c r="J382" i="3"/>
  <c r="I382" i="3"/>
  <c r="H382" i="3"/>
  <c r="G382" i="3"/>
  <c r="F382" i="3"/>
  <c r="E382" i="3"/>
  <c r="D382" i="3"/>
  <c r="C382" i="3"/>
  <c r="B382" i="3"/>
  <c r="A382" i="3"/>
  <c r="K381" i="3"/>
  <c r="J381" i="3"/>
  <c r="I381" i="3"/>
  <c r="H381" i="3"/>
  <c r="G381" i="3"/>
  <c r="F381" i="3"/>
  <c r="E381" i="3"/>
  <c r="D381" i="3"/>
  <c r="C381" i="3"/>
  <c r="B381" i="3"/>
  <c r="A381" i="3"/>
  <c r="K380" i="3"/>
  <c r="J380" i="3"/>
  <c r="I380" i="3"/>
  <c r="H380" i="3"/>
  <c r="G380" i="3"/>
  <c r="F380" i="3"/>
  <c r="E380" i="3"/>
  <c r="D380" i="3"/>
  <c r="C380" i="3"/>
  <c r="B380" i="3"/>
  <c r="A380" i="3"/>
  <c r="K379" i="3"/>
  <c r="J379" i="3"/>
  <c r="I379" i="3"/>
  <c r="H379" i="3"/>
  <c r="G379" i="3"/>
  <c r="F379" i="3"/>
  <c r="E379" i="3"/>
  <c r="D379" i="3"/>
  <c r="C379" i="3"/>
  <c r="B379" i="3"/>
  <c r="A379" i="3"/>
  <c r="K378" i="3"/>
  <c r="J378" i="3"/>
  <c r="I378" i="3"/>
  <c r="H378" i="3"/>
  <c r="G378" i="3"/>
  <c r="F378" i="3"/>
  <c r="E378" i="3"/>
  <c r="D378" i="3"/>
  <c r="C378" i="3"/>
  <c r="B378" i="3"/>
  <c r="A378" i="3"/>
  <c r="K377" i="3"/>
  <c r="J377" i="3"/>
  <c r="I377" i="3"/>
  <c r="H377" i="3"/>
  <c r="G377" i="3"/>
  <c r="F377" i="3"/>
  <c r="E377" i="3"/>
  <c r="D377" i="3"/>
  <c r="C377" i="3"/>
  <c r="B377" i="3"/>
  <c r="A377" i="3"/>
  <c r="K376" i="3"/>
  <c r="J376" i="3"/>
  <c r="I376" i="3"/>
  <c r="H376" i="3"/>
  <c r="G376" i="3"/>
  <c r="F376" i="3"/>
  <c r="E376" i="3"/>
  <c r="D376" i="3"/>
  <c r="C376" i="3"/>
  <c r="B376" i="3"/>
  <c r="A376" i="3"/>
  <c r="K375" i="3"/>
  <c r="J375" i="3"/>
  <c r="I375" i="3"/>
  <c r="H375" i="3"/>
  <c r="G375" i="3"/>
  <c r="F375" i="3"/>
  <c r="E375" i="3"/>
  <c r="D375" i="3"/>
  <c r="C375" i="3"/>
  <c r="B375" i="3"/>
  <c r="A375" i="3"/>
  <c r="K374" i="3"/>
  <c r="J374" i="3"/>
  <c r="I374" i="3"/>
  <c r="H374" i="3"/>
  <c r="G374" i="3"/>
  <c r="F374" i="3"/>
  <c r="E374" i="3"/>
  <c r="D374" i="3"/>
  <c r="C374" i="3"/>
  <c r="B374" i="3"/>
  <c r="A374" i="3"/>
  <c r="K373" i="3"/>
  <c r="J373" i="3"/>
  <c r="I373" i="3"/>
  <c r="H373" i="3"/>
  <c r="G373" i="3"/>
  <c r="F373" i="3"/>
  <c r="E373" i="3"/>
  <c r="D373" i="3"/>
  <c r="C373" i="3"/>
  <c r="B373" i="3"/>
  <c r="A373" i="3"/>
  <c r="K372" i="3"/>
  <c r="J372" i="3"/>
  <c r="I372" i="3"/>
  <c r="H372" i="3"/>
  <c r="G372" i="3"/>
  <c r="F372" i="3"/>
  <c r="E372" i="3"/>
  <c r="D372" i="3"/>
  <c r="C372" i="3"/>
  <c r="B372" i="3"/>
  <c r="A372" i="3"/>
  <c r="K371" i="3"/>
  <c r="J371" i="3"/>
  <c r="I371" i="3"/>
  <c r="H371" i="3"/>
  <c r="G371" i="3"/>
  <c r="F371" i="3"/>
  <c r="E371" i="3"/>
  <c r="D371" i="3"/>
  <c r="C371" i="3"/>
  <c r="B371" i="3"/>
  <c r="A371" i="3"/>
  <c r="K370" i="3"/>
  <c r="J370" i="3"/>
  <c r="I370" i="3"/>
  <c r="H370" i="3"/>
  <c r="G370" i="3"/>
  <c r="F370" i="3"/>
  <c r="E370" i="3"/>
  <c r="D370" i="3"/>
  <c r="C370" i="3"/>
  <c r="B370" i="3"/>
  <c r="A370" i="3"/>
  <c r="K369" i="3"/>
  <c r="J369" i="3"/>
  <c r="I369" i="3"/>
  <c r="H369" i="3"/>
  <c r="G369" i="3"/>
  <c r="F369" i="3"/>
  <c r="E369" i="3"/>
  <c r="D369" i="3"/>
  <c r="C369" i="3"/>
  <c r="B369" i="3"/>
  <c r="A369" i="3"/>
  <c r="K368" i="3"/>
  <c r="J368" i="3"/>
  <c r="I368" i="3"/>
  <c r="H368" i="3"/>
  <c r="G368" i="3"/>
  <c r="F368" i="3"/>
  <c r="E368" i="3"/>
  <c r="D368" i="3"/>
  <c r="C368" i="3"/>
  <c r="B368" i="3"/>
  <c r="A368" i="3"/>
  <c r="K367" i="3"/>
  <c r="J367" i="3"/>
  <c r="I367" i="3"/>
  <c r="H367" i="3"/>
  <c r="G367" i="3"/>
  <c r="F367" i="3"/>
  <c r="E367" i="3"/>
  <c r="D367" i="3"/>
  <c r="C367" i="3"/>
  <c r="B367" i="3"/>
  <c r="A367" i="3"/>
  <c r="K366" i="3"/>
  <c r="J366" i="3"/>
  <c r="I366" i="3"/>
  <c r="H366" i="3"/>
  <c r="G366" i="3"/>
  <c r="F366" i="3"/>
  <c r="E366" i="3"/>
  <c r="D366" i="3"/>
  <c r="C366" i="3"/>
  <c r="B366" i="3"/>
  <c r="A366" i="3"/>
  <c r="K365" i="3"/>
  <c r="J365" i="3"/>
  <c r="I365" i="3"/>
  <c r="H365" i="3"/>
  <c r="G365" i="3"/>
  <c r="F365" i="3"/>
  <c r="E365" i="3"/>
  <c r="D365" i="3"/>
  <c r="C365" i="3"/>
  <c r="B365" i="3"/>
  <c r="A365" i="3"/>
  <c r="K364" i="3"/>
  <c r="J364" i="3"/>
  <c r="I364" i="3"/>
  <c r="H364" i="3"/>
  <c r="G364" i="3"/>
  <c r="F364" i="3"/>
  <c r="E364" i="3"/>
  <c r="D364" i="3"/>
  <c r="C364" i="3"/>
  <c r="B364" i="3"/>
  <c r="A364" i="3"/>
  <c r="K363" i="3"/>
  <c r="J363" i="3"/>
  <c r="I363" i="3"/>
  <c r="H363" i="3"/>
  <c r="G363" i="3"/>
  <c r="F363" i="3"/>
  <c r="E363" i="3"/>
  <c r="D363" i="3"/>
  <c r="C363" i="3"/>
  <c r="B363" i="3"/>
  <c r="A363" i="3"/>
  <c r="K362" i="3"/>
  <c r="J362" i="3"/>
  <c r="I362" i="3"/>
  <c r="H362" i="3"/>
  <c r="G362" i="3"/>
  <c r="F362" i="3"/>
  <c r="E362" i="3"/>
  <c r="D362" i="3"/>
  <c r="C362" i="3"/>
  <c r="B362" i="3"/>
  <c r="A362" i="3"/>
  <c r="K361" i="3"/>
  <c r="J361" i="3"/>
  <c r="I361" i="3"/>
  <c r="H361" i="3"/>
  <c r="G361" i="3"/>
  <c r="F361" i="3"/>
  <c r="E361" i="3"/>
  <c r="D361" i="3"/>
  <c r="C361" i="3"/>
  <c r="B361" i="3"/>
  <c r="A361" i="3"/>
  <c r="K360" i="3"/>
  <c r="J360" i="3"/>
  <c r="I360" i="3"/>
  <c r="H360" i="3"/>
  <c r="G360" i="3"/>
  <c r="F360" i="3"/>
  <c r="E360" i="3"/>
  <c r="D360" i="3"/>
  <c r="C360" i="3"/>
  <c r="B360" i="3"/>
  <c r="A360" i="3"/>
  <c r="K359" i="3"/>
  <c r="J359" i="3"/>
  <c r="I359" i="3"/>
  <c r="H359" i="3"/>
  <c r="G359" i="3"/>
  <c r="F359" i="3"/>
  <c r="E359" i="3"/>
  <c r="D359" i="3"/>
  <c r="C359" i="3"/>
  <c r="B359" i="3"/>
  <c r="A359" i="3"/>
  <c r="K358" i="3"/>
  <c r="J358" i="3"/>
  <c r="I358" i="3"/>
  <c r="H358" i="3"/>
  <c r="G358" i="3"/>
  <c r="F358" i="3"/>
  <c r="E358" i="3"/>
  <c r="D358" i="3"/>
  <c r="C358" i="3"/>
  <c r="B358" i="3"/>
  <c r="A358" i="3"/>
  <c r="K357" i="3"/>
  <c r="J357" i="3"/>
  <c r="I357" i="3"/>
  <c r="H357" i="3"/>
  <c r="G357" i="3"/>
  <c r="F357" i="3"/>
  <c r="E357" i="3"/>
  <c r="D357" i="3"/>
  <c r="C357" i="3"/>
  <c r="B357" i="3"/>
  <c r="A357" i="3"/>
  <c r="K356" i="3"/>
  <c r="J356" i="3"/>
  <c r="I356" i="3"/>
  <c r="H356" i="3"/>
  <c r="G356" i="3"/>
  <c r="F356" i="3"/>
  <c r="E356" i="3"/>
  <c r="D356" i="3"/>
  <c r="C356" i="3"/>
  <c r="B356" i="3"/>
  <c r="A356" i="3"/>
  <c r="K355" i="3"/>
  <c r="J355" i="3"/>
  <c r="I355" i="3"/>
  <c r="H355" i="3"/>
  <c r="G355" i="3"/>
  <c r="F355" i="3"/>
  <c r="E355" i="3"/>
  <c r="D355" i="3"/>
  <c r="C355" i="3"/>
  <c r="B355" i="3"/>
  <c r="A355" i="3"/>
  <c r="K354" i="3"/>
  <c r="J354" i="3"/>
  <c r="I354" i="3"/>
  <c r="H354" i="3"/>
  <c r="G354" i="3"/>
  <c r="F354" i="3"/>
  <c r="E354" i="3"/>
  <c r="D354" i="3"/>
  <c r="C354" i="3"/>
  <c r="B354" i="3"/>
  <c r="A354" i="3"/>
  <c r="K353" i="3"/>
  <c r="J353" i="3"/>
  <c r="I353" i="3"/>
  <c r="H353" i="3"/>
  <c r="G353" i="3"/>
  <c r="F353" i="3"/>
  <c r="E353" i="3"/>
  <c r="D353" i="3"/>
  <c r="C353" i="3"/>
  <c r="B353" i="3"/>
  <c r="A353" i="3"/>
  <c r="K352" i="3"/>
  <c r="J352" i="3"/>
  <c r="I352" i="3"/>
  <c r="H352" i="3"/>
  <c r="G352" i="3"/>
  <c r="F352" i="3"/>
  <c r="E352" i="3"/>
  <c r="D352" i="3"/>
  <c r="C352" i="3"/>
  <c r="B352" i="3"/>
  <c r="A352" i="3"/>
  <c r="K351" i="3"/>
  <c r="J351" i="3"/>
  <c r="I351" i="3"/>
  <c r="H351" i="3"/>
  <c r="G351" i="3"/>
  <c r="F351" i="3"/>
  <c r="E351" i="3"/>
  <c r="D351" i="3"/>
  <c r="C351" i="3"/>
  <c r="B351" i="3"/>
  <c r="A351" i="3"/>
  <c r="K350" i="3"/>
  <c r="J350" i="3"/>
  <c r="I350" i="3"/>
  <c r="H350" i="3"/>
  <c r="G350" i="3"/>
  <c r="F350" i="3"/>
  <c r="E350" i="3"/>
  <c r="D350" i="3"/>
  <c r="C350" i="3"/>
  <c r="B350" i="3"/>
  <c r="A350" i="3"/>
  <c r="K349" i="3"/>
  <c r="J349" i="3"/>
  <c r="I349" i="3"/>
  <c r="H349" i="3"/>
  <c r="G349" i="3"/>
  <c r="F349" i="3"/>
  <c r="E349" i="3"/>
  <c r="D349" i="3"/>
  <c r="C349" i="3"/>
  <c r="B349" i="3"/>
  <c r="A349" i="3"/>
  <c r="K348" i="3"/>
  <c r="J348" i="3"/>
  <c r="I348" i="3"/>
  <c r="H348" i="3"/>
  <c r="G348" i="3"/>
  <c r="F348" i="3"/>
  <c r="E348" i="3"/>
  <c r="D348" i="3"/>
  <c r="C348" i="3"/>
  <c r="B348" i="3"/>
  <c r="A348" i="3"/>
  <c r="K347" i="3"/>
  <c r="J347" i="3"/>
  <c r="I347" i="3"/>
  <c r="H347" i="3"/>
  <c r="G347" i="3"/>
  <c r="F347" i="3"/>
  <c r="E347" i="3"/>
  <c r="D347" i="3"/>
  <c r="C347" i="3"/>
  <c r="B347" i="3"/>
  <c r="A347" i="3"/>
  <c r="K346" i="3"/>
  <c r="J346" i="3"/>
  <c r="I346" i="3"/>
  <c r="H346" i="3"/>
  <c r="G346" i="3"/>
  <c r="F346" i="3"/>
  <c r="E346" i="3"/>
  <c r="D346" i="3"/>
  <c r="C346" i="3"/>
  <c r="B346" i="3"/>
  <c r="A346" i="3"/>
  <c r="K345" i="3"/>
  <c r="J345" i="3"/>
  <c r="I345" i="3"/>
  <c r="H345" i="3"/>
  <c r="G345" i="3"/>
  <c r="F345" i="3"/>
  <c r="E345" i="3"/>
  <c r="D345" i="3"/>
  <c r="C345" i="3"/>
  <c r="B345" i="3"/>
  <c r="A345" i="3"/>
  <c r="K344" i="3"/>
  <c r="J344" i="3"/>
  <c r="I344" i="3"/>
  <c r="H344" i="3"/>
  <c r="G344" i="3"/>
  <c r="F344" i="3"/>
  <c r="E344" i="3"/>
  <c r="D344" i="3"/>
  <c r="C344" i="3"/>
  <c r="B344" i="3"/>
  <c r="A344" i="3"/>
  <c r="K343" i="3"/>
  <c r="J343" i="3"/>
  <c r="I343" i="3"/>
  <c r="H343" i="3"/>
  <c r="G343" i="3"/>
  <c r="F343" i="3"/>
  <c r="E343" i="3"/>
  <c r="D343" i="3"/>
  <c r="C343" i="3"/>
  <c r="B343" i="3"/>
  <c r="A343" i="3"/>
  <c r="K342" i="3"/>
  <c r="J342" i="3"/>
  <c r="I342" i="3"/>
  <c r="H342" i="3"/>
  <c r="G342" i="3"/>
  <c r="F342" i="3"/>
  <c r="E342" i="3"/>
  <c r="D342" i="3"/>
  <c r="C342" i="3"/>
  <c r="B342" i="3"/>
  <c r="A342" i="3"/>
  <c r="K341" i="3"/>
  <c r="J341" i="3"/>
  <c r="I341" i="3"/>
  <c r="H341" i="3"/>
  <c r="G341" i="3"/>
  <c r="F341" i="3"/>
  <c r="E341" i="3"/>
  <c r="D341" i="3"/>
  <c r="C341" i="3"/>
  <c r="B341" i="3"/>
  <c r="A341" i="3"/>
  <c r="K340" i="3"/>
  <c r="J340" i="3"/>
  <c r="I340" i="3"/>
  <c r="H340" i="3"/>
  <c r="G340" i="3"/>
  <c r="F340" i="3"/>
  <c r="E340" i="3"/>
  <c r="D340" i="3"/>
  <c r="C340" i="3"/>
  <c r="B340" i="3"/>
  <c r="A340" i="3"/>
  <c r="K339" i="3"/>
  <c r="J339" i="3"/>
  <c r="I339" i="3"/>
  <c r="H339" i="3"/>
  <c r="G339" i="3"/>
  <c r="F339" i="3"/>
  <c r="E339" i="3"/>
  <c r="D339" i="3"/>
  <c r="C339" i="3"/>
  <c r="B339" i="3"/>
  <c r="A339" i="3"/>
  <c r="K338" i="3"/>
  <c r="J338" i="3"/>
  <c r="I338" i="3"/>
  <c r="H338" i="3"/>
  <c r="G338" i="3"/>
  <c r="F338" i="3"/>
  <c r="E338" i="3"/>
  <c r="D338" i="3"/>
  <c r="C338" i="3"/>
  <c r="B338" i="3"/>
  <c r="A338" i="3"/>
  <c r="K337" i="3"/>
  <c r="J337" i="3"/>
  <c r="I337" i="3"/>
  <c r="H337" i="3"/>
  <c r="G337" i="3"/>
  <c r="F337" i="3"/>
  <c r="E337" i="3"/>
  <c r="D337" i="3"/>
  <c r="C337" i="3"/>
  <c r="B337" i="3"/>
  <c r="A337" i="3"/>
  <c r="K336" i="3"/>
  <c r="J336" i="3"/>
  <c r="I336" i="3"/>
  <c r="H336" i="3"/>
  <c r="G336" i="3"/>
  <c r="F336" i="3"/>
  <c r="E336" i="3"/>
  <c r="D336" i="3"/>
  <c r="C336" i="3"/>
  <c r="B336" i="3"/>
  <c r="A336" i="3"/>
  <c r="K335" i="3"/>
  <c r="J335" i="3"/>
  <c r="I335" i="3"/>
  <c r="H335" i="3"/>
  <c r="G335" i="3"/>
  <c r="F335" i="3"/>
  <c r="E335" i="3"/>
  <c r="D335" i="3"/>
  <c r="C335" i="3"/>
  <c r="B335" i="3"/>
  <c r="A335" i="3"/>
  <c r="K334" i="3"/>
  <c r="J334" i="3"/>
  <c r="I334" i="3"/>
  <c r="H334" i="3"/>
  <c r="G334" i="3"/>
  <c r="F334" i="3"/>
  <c r="E334" i="3"/>
  <c r="D334" i="3"/>
  <c r="C334" i="3"/>
  <c r="B334" i="3"/>
  <c r="A334" i="3"/>
  <c r="K333" i="3"/>
  <c r="J333" i="3"/>
  <c r="I333" i="3"/>
  <c r="H333" i="3"/>
  <c r="G333" i="3"/>
  <c r="F333" i="3"/>
  <c r="E333" i="3"/>
  <c r="D333" i="3"/>
  <c r="C333" i="3"/>
  <c r="B333" i="3"/>
  <c r="A333" i="3"/>
  <c r="K332" i="3"/>
  <c r="J332" i="3"/>
  <c r="I332" i="3"/>
  <c r="H332" i="3"/>
  <c r="G332" i="3"/>
  <c r="F332" i="3"/>
  <c r="E332" i="3"/>
  <c r="D332" i="3"/>
  <c r="C332" i="3"/>
  <c r="B332" i="3"/>
  <c r="A332" i="3"/>
  <c r="K331" i="3"/>
  <c r="J331" i="3"/>
  <c r="I331" i="3"/>
  <c r="H331" i="3"/>
  <c r="G331" i="3"/>
  <c r="F331" i="3"/>
  <c r="E331" i="3"/>
  <c r="D331" i="3"/>
  <c r="C331" i="3"/>
  <c r="B331" i="3"/>
  <c r="A331" i="3"/>
  <c r="K330" i="3"/>
  <c r="J330" i="3"/>
  <c r="I330" i="3"/>
  <c r="H330" i="3"/>
  <c r="G330" i="3"/>
  <c r="F330" i="3"/>
  <c r="E330" i="3"/>
  <c r="D330" i="3"/>
  <c r="C330" i="3"/>
  <c r="B330" i="3"/>
  <c r="A330" i="3"/>
  <c r="K329" i="3"/>
  <c r="J329" i="3"/>
  <c r="I329" i="3"/>
  <c r="H329" i="3"/>
  <c r="G329" i="3"/>
  <c r="F329" i="3"/>
  <c r="E329" i="3"/>
  <c r="D329" i="3"/>
  <c r="C329" i="3"/>
  <c r="B329" i="3"/>
  <c r="A329" i="3"/>
  <c r="K328" i="3"/>
  <c r="J328" i="3"/>
  <c r="I328" i="3"/>
  <c r="H328" i="3"/>
  <c r="G328" i="3"/>
  <c r="F328" i="3"/>
  <c r="E328" i="3"/>
  <c r="D328" i="3"/>
  <c r="C328" i="3"/>
  <c r="B328" i="3"/>
  <c r="A328" i="3"/>
  <c r="K327" i="3"/>
  <c r="J327" i="3"/>
  <c r="I327" i="3"/>
  <c r="H327" i="3"/>
  <c r="G327" i="3"/>
  <c r="F327" i="3"/>
  <c r="E327" i="3"/>
  <c r="D327" i="3"/>
  <c r="C327" i="3"/>
  <c r="B327" i="3"/>
  <c r="A327" i="3"/>
  <c r="K326" i="3"/>
  <c r="J326" i="3"/>
  <c r="I326" i="3"/>
  <c r="H326" i="3"/>
  <c r="G326" i="3"/>
  <c r="F326" i="3"/>
  <c r="E326" i="3"/>
  <c r="D326" i="3"/>
  <c r="C326" i="3"/>
  <c r="B326" i="3"/>
  <c r="A326" i="3"/>
  <c r="K325" i="3"/>
  <c r="J325" i="3"/>
  <c r="I325" i="3"/>
  <c r="H325" i="3"/>
  <c r="G325" i="3"/>
  <c r="F325" i="3"/>
  <c r="E325" i="3"/>
  <c r="D325" i="3"/>
  <c r="C325" i="3"/>
  <c r="B325" i="3"/>
  <c r="A325" i="3"/>
  <c r="K324" i="3"/>
  <c r="J324" i="3"/>
  <c r="I324" i="3"/>
  <c r="H324" i="3"/>
  <c r="G324" i="3"/>
  <c r="F324" i="3"/>
  <c r="E324" i="3"/>
  <c r="D324" i="3"/>
  <c r="C324" i="3"/>
  <c r="B324" i="3"/>
  <c r="A324" i="3"/>
  <c r="K323" i="3"/>
  <c r="J323" i="3"/>
  <c r="I323" i="3"/>
  <c r="H323" i="3"/>
  <c r="G323" i="3"/>
  <c r="F323" i="3"/>
  <c r="E323" i="3"/>
  <c r="D323" i="3"/>
  <c r="C323" i="3"/>
  <c r="B323" i="3"/>
  <c r="A323" i="3"/>
  <c r="K322" i="3"/>
  <c r="J322" i="3"/>
  <c r="I322" i="3"/>
  <c r="H322" i="3"/>
  <c r="G322" i="3"/>
  <c r="F322" i="3"/>
  <c r="E322" i="3"/>
  <c r="D322" i="3"/>
  <c r="C322" i="3"/>
  <c r="B322" i="3"/>
  <c r="A322" i="3"/>
  <c r="K321" i="3"/>
  <c r="J321" i="3"/>
  <c r="I321" i="3"/>
  <c r="H321" i="3"/>
  <c r="G321" i="3"/>
  <c r="F321" i="3"/>
  <c r="E321" i="3"/>
  <c r="D321" i="3"/>
  <c r="C321" i="3"/>
  <c r="B321" i="3"/>
  <c r="A321" i="3"/>
  <c r="K320" i="3"/>
  <c r="J320" i="3"/>
  <c r="I320" i="3"/>
  <c r="H320" i="3"/>
  <c r="G320" i="3"/>
  <c r="F320" i="3"/>
  <c r="E320" i="3"/>
  <c r="D320" i="3"/>
  <c r="C320" i="3"/>
  <c r="B320" i="3"/>
  <c r="A320" i="3"/>
  <c r="K319" i="3"/>
  <c r="J319" i="3"/>
  <c r="I319" i="3"/>
  <c r="H319" i="3"/>
  <c r="G319" i="3"/>
  <c r="F319" i="3"/>
  <c r="E319" i="3"/>
  <c r="D319" i="3"/>
  <c r="C319" i="3"/>
  <c r="B319" i="3"/>
  <c r="A319" i="3"/>
  <c r="K318" i="3"/>
  <c r="J318" i="3"/>
  <c r="I318" i="3"/>
  <c r="H318" i="3"/>
  <c r="G318" i="3"/>
  <c r="F318" i="3"/>
  <c r="E318" i="3"/>
  <c r="D318" i="3"/>
  <c r="C318" i="3"/>
  <c r="B318" i="3"/>
  <c r="A318" i="3"/>
  <c r="K317" i="3"/>
  <c r="J317" i="3"/>
  <c r="I317" i="3"/>
  <c r="H317" i="3"/>
  <c r="G317" i="3"/>
  <c r="F317" i="3"/>
  <c r="E317" i="3"/>
  <c r="D317" i="3"/>
  <c r="C317" i="3"/>
  <c r="B317" i="3"/>
  <c r="A317" i="3"/>
  <c r="K316" i="3"/>
  <c r="J316" i="3"/>
  <c r="I316" i="3"/>
  <c r="H316" i="3"/>
  <c r="G316" i="3"/>
  <c r="F316" i="3"/>
  <c r="E316" i="3"/>
  <c r="D316" i="3"/>
  <c r="C316" i="3"/>
  <c r="B316" i="3"/>
  <c r="A316" i="3"/>
  <c r="K315" i="3"/>
  <c r="J315" i="3"/>
  <c r="I315" i="3"/>
  <c r="H315" i="3"/>
  <c r="G315" i="3"/>
  <c r="F315" i="3"/>
  <c r="E315" i="3"/>
  <c r="D315" i="3"/>
  <c r="C315" i="3"/>
  <c r="B315" i="3"/>
  <c r="A315" i="3"/>
  <c r="K314" i="3"/>
  <c r="J314" i="3"/>
  <c r="I314" i="3"/>
  <c r="H314" i="3"/>
  <c r="G314" i="3"/>
  <c r="F314" i="3"/>
  <c r="E314" i="3"/>
  <c r="D314" i="3"/>
  <c r="C314" i="3"/>
  <c r="B314" i="3"/>
  <c r="A314" i="3"/>
  <c r="K313" i="3"/>
  <c r="J313" i="3"/>
  <c r="I313" i="3"/>
  <c r="H313" i="3"/>
  <c r="G313" i="3"/>
  <c r="F313" i="3"/>
  <c r="E313" i="3"/>
  <c r="D313" i="3"/>
  <c r="C313" i="3"/>
  <c r="B313" i="3"/>
  <c r="A313" i="3"/>
  <c r="K312" i="3"/>
  <c r="J312" i="3"/>
  <c r="I312" i="3"/>
  <c r="H312" i="3"/>
  <c r="G312" i="3"/>
  <c r="F312" i="3"/>
  <c r="E312" i="3"/>
  <c r="D312" i="3"/>
  <c r="C312" i="3"/>
  <c r="B312" i="3"/>
  <c r="A312" i="3"/>
  <c r="K311" i="3"/>
  <c r="J311" i="3"/>
  <c r="I311" i="3"/>
  <c r="H311" i="3"/>
  <c r="G311" i="3"/>
  <c r="F311" i="3"/>
  <c r="E311" i="3"/>
  <c r="D311" i="3"/>
  <c r="C311" i="3"/>
  <c r="B311" i="3"/>
  <c r="A311" i="3"/>
  <c r="K310" i="3"/>
  <c r="J310" i="3"/>
  <c r="I310" i="3"/>
  <c r="H310" i="3"/>
  <c r="G310" i="3"/>
  <c r="F310" i="3"/>
  <c r="E310" i="3"/>
  <c r="D310" i="3"/>
  <c r="C310" i="3"/>
  <c r="B310" i="3"/>
  <c r="A310" i="3"/>
  <c r="K309" i="3"/>
  <c r="J309" i="3"/>
  <c r="I309" i="3"/>
  <c r="H309" i="3"/>
  <c r="G309" i="3"/>
  <c r="F309" i="3"/>
  <c r="E309" i="3"/>
  <c r="D309" i="3"/>
  <c r="C309" i="3"/>
  <c r="B309" i="3"/>
  <c r="A309" i="3"/>
  <c r="K308" i="3"/>
  <c r="J308" i="3"/>
  <c r="I308" i="3"/>
  <c r="H308" i="3"/>
  <c r="G308" i="3"/>
  <c r="F308" i="3"/>
  <c r="E308" i="3"/>
  <c r="D308" i="3"/>
  <c r="C308" i="3"/>
  <c r="B308" i="3"/>
  <c r="A308" i="3"/>
  <c r="K307" i="3"/>
  <c r="J307" i="3"/>
  <c r="I307" i="3"/>
  <c r="H307" i="3"/>
  <c r="G307" i="3"/>
  <c r="F307" i="3"/>
  <c r="E307" i="3"/>
  <c r="D307" i="3"/>
  <c r="C307" i="3"/>
  <c r="B307" i="3"/>
  <c r="A307" i="3"/>
  <c r="K306" i="3"/>
  <c r="J306" i="3"/>
  <c r="I306" i="3"/>
  <c r="H306" i="3"/>
  <c r="G306" i="3"/>
  <c r="F306" i="3"/>
  <c r="E306" i="3"/>
  <c r="D306" i="3"/>
  <c r="C306" i="3"/>
  <c r="B306" i="3"/>
  <c r="A306" i="3"/>
  <c r="K305" i="3"/>
  <c r="J305" i="3"/>
  <c r="I305" i="3"/>
  <c r="H305" i="3"/>
  <c r="G305" i="3"/>
  <c r="F305" i="3"/>
  <c r="E305" i="3"/>
  <c r="D305" i="3"/>
  <c r="C305" i="3"/>
  <c r="B305" i="3"/>
  <c r="A305" i="3"/>
  <c r="K304" i="3"/>
  <c r="J304" i="3"/>
  <c r="I304" i="3"/>
  <c r="H304" i="3"/>
  <c r="G304" i="3"/>
  <c r="F304" i="3"/>
  <c r="E304" i="3"/>
  <c r="D304" i="3"/>
  <c r="C304" i="3"/>
  <c r="B304" i="3"/>
  <c r="A304" i="3"/>
  <c r="K303" i="3"/>
  <c r="J303" i="3"/>
  <c r="I303" i="3"/>
  <c r="H303" i="3"/>
  <c r="G303" i="3"/>
  <c r="F303" i="3"/>
  <c r="E303" i="3"/>
  <c r="D303" i="3"/>
  <c r="C303" i="3"/>
  <c r="B303" i="3"/>
  <c r="A303" i="3"/>
  <c r="K302" i="3"/>
  <c r="J302" i="3"/>
  <c r="I302" i="3"/>
  <c r="H302" i="3"/>
  <c r="G302" i="3"/>
  <c r="F302" i="3"/>
  <c r="E302" i="3"/>
  <c r="D302" i="3"/>
  <c r="C302" i="3"/>
  <c r="B302" i="3"/>
  <c r="A302" i="3"/>
  <c r="K301" i="3"/>
  <c r="J301" i="3"/>
  <c r="I301" i="3"/>
  <c r="H301" i="3"/>
  <c r="G301" i="3"/>
  <c r="F301" i="3"/>
  <c r="E301" i="3"/>
  <c r="D301" i="3"/>
  <c r="C301" i="3"/>
  <c r="B301" i="3"/>
  <c r="A301" i="3"/>
  <c r="K300" i="3"/>
  <c r="J300" i="3"/>
  <c r="I300" i="3"/>
  <c r="H300" i="3"/>
  <c r="G300" i="3"/>
  <c r="F300" i="3"/>
  <c r="E300" i="3"/>
  <c r="D300" i="3"/>
  <c r="C300" i="3"/>
  <c r="B300" i="3"/>
  <c r="A300" i="3"/>
  <c r="K299" i="3"/>
  <c r="J299" i="3"/>
  <c r="I299" i="3"/>
  <c r="H299" i="3"/>
  <c r="G299" i="3"/>
  <c r="F299" i="3"/>
  <c r="E299" i="3"/>
  <c r="D299" i="3"/>
  <c r="C299" i="3"/>
  <c r="B299" i="3"/>
  <c r="A299" i="3"/>
  <c r="K298" i="3"/>
  <c r="J298" i="3"/>
  <c r="I298" i="3"/>
  <c r="H298" i="3"/>
  <c r="G298" i="3"/>
  <c r="F298" i="3"/>
  <c r="E298" i="3"/>
  <c r="D298" i="3"/>
  <c r="C298" i="3"/>
  <c r="B298" i="3"/>
  <c r="A298" i="3"/>
  <c r="K297" i="3"/>
  <c r="J297" i="3"/>
  <c r="I297" i="3"/>
  <c r="H297" i="3"/>
  <c r="G297" i="3"/>
  <c r="F297" i="3"/>
  <c r="E297" i="3"/>
  <c r="D297" i="3"/>
  <c r="C297" i="3"/>
  <c r="B297" i="3"/>
  <c r="A297" i="3"/>
  <c r="K296" i="3"/>
  <c r="J296" i="3"/>
  <c r="I296" i="3"/>
  <c r="H296" i="3"/>
  <c r="G296" i="3"/>
  <c r="F296" i="3"/>
  <c r="E296" i="3"/>
  <c r="D296" i="3"/>
  <c r="C296" i="3"/>
  <c r="B296" i="3"/>
  <c r="A296" i="3"/>
  <c r="K295" i="3"/>
  <c r="J295" i="3"/>
  <c r="I295" i="3"/>
  <c r="H295" i="3"/>
  <c r="G295" i="3"/>
  <c r="F295" i="3"/>
  <c r="E295" i="3"/>
  <c r="D295" i="3"/>
  <c r="C295" i="3"/>
  <c r="B295" i="3"/>
  <c r="A295" i="3"/>
  <c r="K294" i="3"/>
  <c r="J294" i="3"/>
  <c r="I294" i="3"/>
  <c r="H294" i="3"/>
  <c r="G294" i="3"/>
  <c r="F294" i="3"/>
  <c r="E294" i="3"/>
  <c r="D294" i="3"/>
  <c r="C294" i="3"/>
  <c r="B294" i="3"/>
  <c r="A294" i="3"/>
  <c r="K293" i="3"/>
  <c r="J293" i="3"/>
  <c r="I293" i="3"/>
  <c r="H293" i="3"/>
  <c r="G293" i="3"/>
  <c r="F293" i="3"/>
  <c r="E293" i="3"/>
  <c r="D293" i="3"/>
  <c r="C293" i="3"/>
  <c r="B293" i="3"/>
  <c r="A293" i="3"/>
  <c r="K292" i="3"/>
  <c r="J292" i="3"/>
  <c r="I292" i="3"/>
  <c r="H292" i="3"/>
  <c r="G292" i="3"/>
  <c r="F292" i="3"/>
  <c r="E292" i="3"/>
  <c r="D292" i="3"/>
  <c r="C292" i="3"/>
  <c r="B292" i="3"/>
  <c r="A292" i="3"/>
  <c r="K291" i="3"/>
  <c r="J291" i="3"/>
  <c r="I291" i="3"/>
  <c r="H291" i="3"/>
  <c r="G291" i="3"/>
  <c r="F291" i="3"/>
  <c r="E291" i="3"/>
  <c r="D291" i="3"/>
  <c r="C291" i="3"/>
  <c r="B291" i="3"/>
  <c r="A291" i="3"/>
  <c r="K290" i="3"/>
  <c r="J290" i="3"/>
  <c r="I290" i="3"/>
  <c r="H290" i="3"/>
  <c r="G290" i="3"/>
  <c r="F290" i="3"/>
  <c r="E290" i="3"/>
  <c r="D290" i="3"/>
  <c r="C290" i="3"/>
  <c r="B290" i="3"/>
  <c r="A290" i="3"/>
  <c r="K289" i="3"/>
  <c r="J289" i="3"/>
  <c r="I289" i="3"/>
  <c r="H289" i="3"/>
  <c r="G289" i="3"/>
  <c r="F289" i="3"/>
  <c r="E289" i="3"/>
  <c r="D289" i="3"/>
  <c r="C289" i="3"/>
  <c r="B289" i="3"/>
  <c r="A289" i="3"/>
  <c r="K288" i="3"/>
  <c r="J288" i="3"/>
  <c r="I288" i="3"/>
  <c r="H288" i="3"/>
  <c r="G288" i="3"/>
  <c r="F288" i="3"/>
  <c r="E288" i="3"/>
  <c r="D288" i="3"/>
  <c r="C288" i="3"/>
  <c r="B288" i="3"/>
  <c r="A288" i="3"/>
  <c r="K287" i="3"/>
  <c r="J287" i="3"/>
  <c r="I287" i="3"/>
  <c r="H287" i="3"/>
  <c r="G287" i="3"/>
  <c r="F287" i="3"/>
  <c r="E287" i="3"/>
  <c r="D287" i="3"/>
  <c r="C287" i="3"/>
  <c r="B287" i="3"/>
  <c r="A287" i="3"/>
  <c r="K286" i="3"/>
  <c r="J286" i="3"/>
  <c r="I286" i="3"/>
  <c r="H286" i="3"/>
  <c r="G286" i="3"/>
  <c r="F286" i="3"/>
  <c r="E286" i="3"/>
  <c r="D286" i="3"/>
  <c r="C286" i="3"/>
  <c r="B286" i="3"/>
  <c r="A286" i="3"/>
  <c r="K285" i="3"/>
  <c r="J285" i="3"/>
  <c r="I285" i="3"/>
  <c r="H285" i="3"/>
  <c r="G285" i="3"/>
  <c r="F285" i="3"/>
  <c r="E285" i="3"/>
  <c r="D285" i="3"/>
  <c r="C285" i="3"/>
  <c r="B285" i="3"/>
  <c r="A285" i="3"/>
  <c r="K284" i="3"/>
  <c r="J284" i="3"/>
  <c r="I284" i="3"/>
  <c r="H284" i="3"/>
  <c r="G284" i="3"/>
  <c r="F284" i="3"/>
  <c r="E284" i="3"/>
  <c r="D284" i="3"/>
  <c r="C284" i="3"/>
  <c r="B284" i="3"/>
  <c r="A284" i="3"/>
  <c r="K283" i="3"/>
  <c r="J283" i="3"/>
  <c r="I283" i="3"/>
  <c r="H283" i="3"/>
  <c r="G283" i="3"/>
  <c r="F283" i="3"/>
  <c r="E283" i="3"/>
  <c r="D283" i="3"/>
  <c r="C283" i="3"/>
  <c r="B283" i="3"/>
  <c r="A283" i="3"/>
  <c r="K282" i="3"/>
  <c r="J282" i="3"/>
  <c r="I282" i="3"/>
  <c r="H282" i="3"/>
  <c r="G282" i="3"/>
  <c r="F282" i="3"/>
  <c r="E282" i="3"/>
  <c r="D282" i="3"/>
  <c r="C282" i="3"/>
  <c r="B282" i="3"/>
  <c r="A282" i="3"/>
  <c r="K281" i="3"/>
  <c r="J281" i="3"/>
  <c r="I281" i="3"/>
  <c r="H281" i="3"/>
  <c r="G281" i="3"/>
  <c r="F281" i="3"/>
  <c r="E281" i="3"/>
  <c r="D281" i="3"/>
  <c r="C281" i="3"/>
  <c r="B281" i="3"/>
  <c r="A281" i="3"/>
  <c r="K280" i="3"/>
  <c r="J280" i="3"/>
  <c r="I280" i="3"/>
  <c r="H280" i="3"/>
  <c r="G280" i="3"/>
  <c r="F280" i="3"/>
  <c r="E280" i="3"/>
  <c r="D280" i="3"/>
  <c r="C280" i="3"/>
  <c r="B280" i="3"/>
  <c r="A280" i="3"/>
  <c r="K279" i="3"/>
  <c r="J279" i="3"/>
  <c r="I279" i="3"/>
  <c r="H279" i="3"/>
  <c r="G279" i="3"/>
  <c r="F279" i="3"/>
  <c r="E279" i="3"/>
  <c r="D279" i="3"/>
  <c r="C279" i="3"/>
  <c r="B279" i="3"/>
  <c r="A279" i="3"/>
  <c r="K278" i="3"/>
  <c r="J278" i="3"/>
  <c r="I278" i="3"/>
  <c r="H278" i="3"/>
  <c r="G278" i="3"/>
  <c r="F278" i="3"/>
  <c r="E278" i="3"/>
  <c r="D278" i="3"/>
  <c r="C278" i="3"/>
  <c r="B278" i="3"/>
  <c r="A278" i="3"/>
  <c r="K277" i="3"/>
  <c r="J277" i="3"/>
  <c r="I277" i="3"/>
  <c r="H277" i="3"/>
  <c r="G277" i="3"/>
  <c r="F277" i="3"/>
  <c r="E277" i="3"/>
  <c r="D277" i="3"/>
  <c r="C277" i="3"/>
  <c r="B277" i="3"/>
  <c r="A277" i="3"/>
  <c r="K276" i="3"/>
  <c r="J276" i="3"/>
  <c r="I276" i="3"/>
  <c r="H276" i="3"/>
  <c r="G276" i="3"/>
  <c r="F276" i="3"/>
  <c r="E276" i="3"/>
  <c r="D276" i="3"/>
  <c r="C276" i="3"/>
  <c r="B276" i="3"/>
  <c r="A276" i="3"/>
  <c r="K275" i="3"/>
  <c r="J275" i="3"/>
  <c r="I275" i="3"/>
  <c r="H275" i="3"/>
  <c r="G275" i="3"/>
  <c r="F275" i="3"/>
  <c r="E275" i="3"/>
  <c r="D275" i="3"/>
  <c r="C275" i="3"/>
  <c r="B275" i="3"/>
  <c r="A275" i="3"/>
  <c r="K274" i="3"/>
  <c r="J274" i="3"/>
  <c r="I274" i="3"/>
  <c r="H274" i="3"/>
  <c r="G274" i="3"/>
  <c r="F274" i="3"/>
  <c r="E274" i="3"/>
  <c r="D274" i="3"/>
  <c r="C274" i="3"/>
  <c r="B274" i="3"/>
  <c r="A274" i="3"/>
  <c r="K273" i="3"/>
  <c r="J273" i="3"/>
  <c r="I273" i="3"/>
  <c r="H273" i="3"/>
  <c r="G273" i="3"/>
  <c r="F273" i="3"/>
  <c r="E273" i="3"/>
  <c r="D273" i="3"/>
  <c r="C273" i="3"/>
  <c r="B273" i="3"/>
  <c r="A273" i="3"/>
  <c r="K272" i="3"/>
  <c r="J272" i="3"/>
  <c r="I272" i="3"/>
  <c r="H272" i="3"/>
  <c r="G272" i="3"/>
  <c r="F272" i="3"/>
  <c r="E272" i="3"/>
  <c r="D272" i="3"/>
  <c r="C272" i="3"/>
  <c r="B272" i="3"/>
  <c r="A272" i="3"/>
  <c r="K271" i="3"/>
  <c r="J271" i="3"/>
  <c r="I271" i="3"/>
  <c r="H271" i="3"/>
  <c r="G271" i="3"/>
  <c r="F271" i="3"/>
  <c r="E271" i="3"/>
  <c r="D271" i="3"/>
  <c r="C271" i="3"/>
  <c r="B271" i="3"/>
  <c r="A271" i="3"/>
  <c r="K270" i="3"/>
  <c r="J270" i="3"/>
  <c r="I270" i="3"/>
  <c r="H270" i="3"/>
  <c r="G270" i="3"/>
  <c r="F270" i="3"/>
  <c r="E270" i="3"/>
  <c r="D270" i="3"/>
  <c r="C270" i="3"/>
  <c r="B270" i="3"/>
  <c r="A270" i="3"/>
  <c r="K269" i="3"/>
  <c r="J269" i="3"/>
  <c r="I269" i="3"/>
  <c r="H269" i="3"/>
  <c r="G269" i="3"/>
  <c r="F269" i="3"/>
  <c r="E269" i="3"/>
  <c r="D269" i="3"/>
  <c r="C269" i="3"/>
  <c r="B269" i="3"/>
  <c r="A269" i="3"/>
  <c r="K268" i="3"/>
  <c r="J268" i="3"/>
  <c r="I268" i="3"/>
  <c r="H268" i="3"/>
  <c r="G268" i="3"/>
  <c r="F268" i="3"/>
  <c r="E268" i="3"/>
  <c r="D268" i="3"/>
  <c r="C268" i="3"/>
  <c r="B268" i="3"/>
  <c r="A268" i="3"/>
  <c r="K267" i="3"/>
  <c r="J267" i="3"/>
  <c r="I267" i="3"/>
  <c r="H267" i="3"/>
  <c r="G267" i="3"/>
  <c r="F267" i="3"/>
  <c r="E267" i="3"/>
  <c r="D267" i="3"/>
  <c r="C267" i="3"/>
  <c r="B267" i="3"/>
  <c r="A267" i="3"/>
  <c r="K266" i="3"/>
  <c r="J266" i="3"/>
  <c r="I266" i="3"/>
  <c r="H266" i="3"/>
  <c r="G266" i="3"/>
  <c r="F266" i="3"/>
  <c r="E266" i="3"/>
  <c r="D266" i="3"/>
  <c r="C266" i="3"/>
  <c r="B266" i="3"/>
  <c r="A266" i="3"/>
  <c r="K265" i="3"/>
  <c r="J265" i="3"/>
  <c r="I265" i="3"/>
  <c r="H265" i="3"/>
  <c r="G265" i="3"/>
  <c r="F265" i="3"/>
  <c r="E265" i="3"/>
  <c r="D265" i="3"/>
  <c r="C265" i="3"/>
  <c r="B265" i="3"/>
  <c r="A265" i="3"/>
  <c r="K264" i="3"/>
  <c r="J264" i="3"/>
  <c r="I264" i="3"/>
  <c r="H264" i="3"/>
  <c r="G264" i="3"/>
  <c r="F264" i="3"/>
  <c r="E264" i="3"/>
  <c r="D264" i="3"/>
  <c r="C264" i="3"/>
  <c r="B264" i="3"/>
  <c r="A264" i="3"/>
  <c r="K263" i="3"/>
  <c r="J263" i="3"/>
  <c r="I263" i="3"/>
  <c r="H263" i="3"/>
  <c r="G263" i="3"/>
  <c r="F263" i="3"/>
  <c r="E263" i="3"/>
  <c r="D263" i="3"/>
  <c r="C263" i="3"/>
  <c r="B263" i="3"/>
  <c r="A263" i="3"/>
  <c r="K262" i="3"/>
  <c r="J262" i="3"/>
  <c r="I262" i="3"/>
  <c r="H262" i="3"/>
  <c r="G262" i="3"/>
  <c r="F262" i="3"/>
  <c r="E262" i="3"/>
  <c r="D262" i="3"/>
  <c r="C262" i="3"/>
  <c r="B262" i="3"/>
  <c r="A262" i="3"/>
  <c r="K261" i="3"/>
  <c r="J261" i="3"/>
  <c r="I261" i="3"/>
  <c r="H261" i="3"/>
  <c r="G261" i="3"/>
  <c r="F261" i="3"/>
  <c r="E261" i="3"/>
  <c r="D261" i="3"/>
  <c r="C261" i="3"/>
  <c r="B261" i="3"/>
  <c r="A261" i="3"/>
  <c r="K260" i="3"/>
  <c r="J260" i="3"/>
  <c r="I260" i="3"/>
  <c r="H260" i="3"/>
  <c r="G260" i="3"/>
  <c r="F260" i="3"/>
  <c r="E260" i="3"/>
  <c r="D260" i="3"/>
  <c r="C260" i="3"/>
  <c r="B260" i="3"/>
  <c r="A260" i="3"/>
  <c r="K259" i="3"/>
  <c r="J259" i="3"/>
  <c r="I259" i="3"/>
  <c r="H259" i="3"/>
  <c r="G259" i="3"/>
  <c r="F259" i="3"/>
  <c r="E259" i="3"/>
  <c r="D259" i="3"/>
  <c r="C259" i="3"/>
  <c r="B259" i="3"/>
  <c r="A259" i="3"/>
  <c r="K258" i="3"/>
  <c r="J258" i="3"/>
  <c r="I258" i="3"/>
  <c r="H258" i="3"/>
  <c r="G258" i="3"/>
  <c r="F258" i="3"/>
  <c r="E258" i="3"/>
  <c r="D258" i="3"/>
  <c r="C258" i="3"/>
  <c r="B258" i="3"/>
  <c r="A258" i="3"/>
  <c r="K257" i="3"/>
  <c r="J257" i="3"/>
  <c r="I257" i="3"/>
  <c r="H257" i="3"/>
  <c r="G257" i="3"/>
  <c r="F257" i="3"/>
  <c r="E257" i="3"/>
  <c r="D257" i="3"/>
  <c r="C257" i="3"/>
  <c r="B257" i="3"/>
  <c r="A257" i="3"/>
  <c r="K256" i="3"/>
  <c r="J256" i="3"/>
  <c r="I256" i="3"/>
  <c r="H256" i="3"/>
  <c r="G256" i="3"/>
  <c r="F256" i="3"/>
  <c r="E256" i="3"/>
  <c r="D256" i="3"/>
  <c r="C256" i="3"/>
  <c r="B256" i="3"/>
  <c r="A256" i="3"/>
  <c r="K255" i="3"/>
  <c r="J255" i="3"/>
  <c r="I255" i="3"/>
  <c r="H255" i="3"/>
  <c r="G255" i="3"/>
  <c r="F255" i="3"/>
  <c r="E255" i="3"/>
  <c r="D255" i="3"/>
  <c r="C255" i="3"/>
  <c r="B255" i="3"/>
  <c r="A255" i="3"/>
  <c r="K254" i="3"/>
  <c r="J254" i="3"/>
  <c r="I254" i="3"/>
  <c r="H254" i="3"/>
  <c r="G254" i="3"/>
  <c r="F254" i="3"/>
  <c r="E254" i="3"/>
  <c r="D254" i="3"/>
  <c r="C254" i="3"/>
  <c r="B254" i="3"/>
  <c r="A254" i="3"/>
  <c r="K253" i="3"/>
  <c r="J253" i="3"/>
  <c r="I253" i="3"/>
  <c r="H253" i="3"/>
  <c r="G253" i="3"/>
  <c r="F253" i="3"/>
  <c r="E253" i="3"/>
  <c r="D253" i="3"/>
  <c r="C253" i="3"/>
  <c r="B253" i="3"/>
  <c r="A253" i="3"/>
  <c r="K252" i="3"/>
  <c r="J252" i="3"/>
  <c r="I252" i="3"/>
  <c r="H252" i="3"/>
  <c r="G252" i="3"/>
  <c r="F252" i="3"/>
  <c r="E252" i="3"/>
  <c r="D252" i="3"/>
  <c r="C252" i="3"/>
  <c r="B252" i="3"/>
  <c r="A252" i="3"/>
  <c r="K251" i="3"/>
  <c r="J251" i="3"/>
  <c r="I251" i="3"/>
  <c r="H251" i="3"/>
  <c r="G251" i="3"/>
  <c r="F251" i="3"/>
  <c r="E251" i="3"/>
  <c r="D251" i="3"/>
  <c r="C251" i="3"/>
  <c r="B251" i="3"/>
  <c r="A251" i="3"/>
  <c r="K250" i="3"/>
  <c r="J250" i="3"/>
  <c r="I250" i="3"/>
  <c r="H250" i="3"/>
  <c r="G250" i="3"/>
  <c r="F250" i="3"/>
  <c r="E250" i="3"/>
  <c r="D250" i="3"/>
  <c r="C250" i="3"/>
  <c r="B250" i="3"/>
  <c r="A250" i="3"/>
  <c r="K249" i="3"/>
  <c r="J249" i="3"/>
  <c r="I249" i="3"/>
  <c r="H249" i="3"/>
  <c r="G249" i="3"/>
  <c r="F249" i="3"/>
  <c r="E249" i="3"/>
  <c r="D249" i="3"/>
  <c r="C249" i="3"/>
  <c r="B249" i="3"/>
  <c r="A249" i="3"/>
  <c r="K248" i="3"/>
  <c r="J248" i="3"/>
  <c r="I248" i="3"/>
  <c r="H248" i="3"/>
  <c r="G248" i="3"/>
  <c r="F248" i="3"/>
  <c r="E248" i="3"/>
  <c r="D248" i="3"/>
  <c r="C248" i="3"/>
  <c r="B248" i="3"/>
  <c r="A248" i="3"/>
  <c r="K247" i="3"/>
  <c r="J247" i="3"/>
  <c r="I247" i="3"/>
  <c r="H247" i="3"/>
  <c r="G247" i="3"/>
  <c r="F247" i="3"/>
  <c r="E247" i="3"/>
  <c r="D247" i="3"/>
  <c r="C247" i="3"/>
  <c r="B247" i="3"/>
  <c r="A247" i="3"/>
  <c r="K246" i="3"/>
  <c r="J246" i="3"/>
  <c r="I246" i="3"/>
  <c r="H246" i="3"/>
  <c r="G246" i="3"/>
  <c r="F246" i="3"/>
  <c r="E246" i="3"/>
  <c r="D246" i="3"/>
  <c r="C246" i="3"/>
  <c r="B246" i="3"/>
  <c r="A246" i="3"/>
  <c r="K245" i="3"/>
  <c r="J245" i="3"/>
  <c r="I245" i="3"/>
  <c r="H245" i="3"/>
  <c r="G245" i="3"/>
  <c r="F245" i="3"/>
  <c r="E245" i="3"/>
  <c r="D245" i="3"/>
  <c r="C245" i="3"/>
  <c r="B245" i="3"/>
  <c r="A245" i="3"/>
  <c r="K244" i="3"/>
  <c r="J244" i="3"/>
  <c r="I244" i="3"/>
  <c r="H244" i="3"/>
  <c r="G244" i="3"/>
  <c r="F244" i="3"/>
  <c r="E244" i="3"/>
  <c r="D244" i="3"/>
  <c r="C244" i="3"/>
  <c r="B244" i="3"/>
  <c r="A244" i="3"/>
  <c r="K243" i="3"/>
  <c r="J243" i="3"/>
  <c r="I243" i="3"/>
  <c r="H243" i="3"/>
  <c r="G243" i="3"/>
  <c r="F243" i="3"/>
  <c r="E243" i="3"/>
  <c r="D243" i="3"/>
  <c r="C243" i="3"/>
  <c r="B243" i="3"/>
  <c r="A243" i="3"/>
  <c r="K242" i="3"/>
  <c r="J242" i="3"/>
  <c r="I242" i="3"/>
  <c r="H242" i="3"/>
  <c r="G242" i="3"/>
  <c r="F242" i="3"/>
  <c r="E242" i="3"/>
  <c r="D242" i="3"/>
  <c r="C242" i="3"/>
  <c r="B242" i="3"/>
  <c r="A242" i="3"/>
  <c r="K241" i="3"/>
  <c r="J241" i="3"/>
  <c r="I241" i="3"/>
  <c r="H241" i="3"/>
  <c r="G241" i="3"/>
  <c r="F241" i="3"/>
  <c r="E241" i="3"/>
  <c r="D241" i="3"/>
  <c r="C241" i="3"/>
  <c r="B241" i="3"/>
  <c r="A241" i="3"/>
  <c r="K240" i="3"/>
  <c r="J240" i="3"/>
  <c r="I240" i="3"/>
  <c r="H240" i="3"/>
  <c r="G240" i="3"/>
  <c r="F240" i="3"/>
  <c r="E240" i="3"/>
  <c r="D240" i="3"/>
  <c r="C240" i="3"/>
  <c r="B240" i="3"/>
  <c r="A240" i="3"/>
  <c r="K239" i="3"/>
  <c r="J239" i="3"/>
  <c r="I239" i="3"/>
  <c r="H239" i="3"/>
  <c r="G239" i="3"/>
  <c r="F239" i="3"/>
  <c r="E239" i="3"/>
  <c r="D239" i="3"/>
  <c r="C239" i="3"/>
  <c r="B239" i="3"/>
  <c r="A239" i="3"/>
  <c r="K238" i="3"/>
  <c r="J238" i="3"/>
  <c r="I238" i="3"/>
  <c r="H238" i="3"/>
  <c r="G238" i="3"/>
  <c r="F238" i="3"/>
  <c r="E238" i="3"/>
  <c r="D238" i="3"/>
  <c r="C238" i="3"/>
  <c r="B238" i="3"/>
  <c r="A238" i="3"/>
  <c r="K237" i="3"/>
  <c r="J237" i="3"/>
  <c r="I237" i="3"/>
  <c r="H237" i="3"/>
  <c r="G237" i="3"/>
  <c r="F237" i="3"/>
  <c r="E237" i="3"/>
  <c r="D237" i="3"/>
  <c r="C237" i="3"/>
  <c r="B237" i="3"/>
  <c r="A237" i="3"/>
  <c r="K236" i="3"/>
  <c r="J236" i="3"/>
  <c r="I236" i="3"/>
  <c r="H236" i="3"/>
  <c r="G236" i="3"/>
  <c r="F236" i="3"/>
  <c r="E236" i="3"/>
  <c r="D236" i="3"/>
  <c r="C236" i="3"/>
  <c r="B236" i="3"/>
  <c r="A236" i="3"/>
  <c r="K235" i="3"/>
  <c r="J235" i="3"/>
  <c r="I235" i="3"/>
  <c r="H235" i="3"/>
  <c r="G235" i="3"/>
  <c r="F235" i="3"/>
  <c r="E235" i="3"/>
  <c r="D235" i="3"/>
  <c r="C235" i="3"/>
  <c r="B235" i="3"/>
  <c r="A235" i="3"/>
  <c r="K234" i="3"/>
  <c r="J234" i="3"/>
  <c r="I234" i="3"/>
  <c r="H234" i="3"/>
  <c r="G234" i="3"/>
  <c r="F234" i="3"/>
  <c r="E234" i="3"/>
  <c r="D234" i="3"/>
  <c r="C234" i="3"/>
  <c r="B234" i="3"/>
  <c r="A234" i="3"/>
  <c r="K233" i="3"/>
  <c r="J233" i="3"/>
  <c r="I233" i="3"/>
  <c r="H233" i="3"/>
  <c r="G233" i="3"/>
  <c r="F233" i="3"/>
  <c r="E233" i="3"/>
  <c r="D233" i="3"/>
  <c r="C233" i="3"/>
  <c r="B233" i="3"/>
  <c r="A233" i="3"/>
  <c r="K232" i="3"/>
  <c r="J232" i="3"/>
  <c r="I232" i="3"/>
  <c r="H232" i="3"/>
  <c r="G232" i="3"/>
  <c r="F232" i="3"/>
  <c r="E232" i="3"/>
  <c r="D232" i="3"/>
  <c r="C232" i="3"/>
  <c r="B232" i="3"/>
  <c r="A232" i="3"/>
  <c r="K231" i="3"/>
  <c r="J231" i="3"/>
  <c r="I231" i="3"/>
  <c r="H231" i="3"/>
  <c r="G231" i="3"/>
  <c r="F231" i="3"/>
  <c r="E231" i="3"/>
  <c r="D231" i="3"/>
  <c r="C231" i="3"/>
  <c r="B231" i="3"/>
  <c r="A231" i="3"/>
  <c r="K230" i="3"/>
  <c r="J230" i="3"/>
  <c r="I230" i="3"/>
  <c r="H230" i="3"/>
  <c r="G230" i="3"/>
  <c r="F230" i="3"/>
  <c r="E230" i="3"/>
  <c r="D230" i="3"/>
  <c r="C230" i="3"/>
  <c r="B230" i="3"/>
  <c r="A230" i="3"/>
  <c r="K229" i="3"/>
  <c r="J229" i="3"/>
  <c r="I229" i="3"/>
  <c r="H229" i="3"/>
  <c r="G229" i="3"/>
  <c r="F229" i="3"/>
  <c r="E229" i="3"/>
  <c r="D229" i="3"/>
  <c r="C229" i="3"/>
  <c r="B229" i="3"/>
  <c r="A229" i="3"/>
  <c r="K228" i="3"/>
  <c r="J228" i="3"/>
  <c r="I228" i="3"/>
  <c r="H228" i="3"/>
  <c r="G228" i="3"/>
  <c r="F228" i="3"/>
  <c r="E228" i="3"/>
  <c r="D228" i="3"/>
  <c r="C228" i="3"/>
  <c r="B228" i="3"/>
  <c r="A228" i="3"/>
  <c r="K227" i="3"/>
  <c r="J227" i="3"/>
  <c r="I227" i="3"/>
  <c r="H227" i="3"/>
  <c r="G227" i="3"/>
  <c r="F227" i="3"/>
  <c r="E227" i="3"/>
  <c r="D227" i="3"/>
  <c r="C227" i="3"/>
  <c r="B227" i="3"/>
  <c r="A227" i="3"/>
  <c r="K226" i="3"/>
  <c r="J226" i="3"/>
  <c r="I226" i="3"/>
  <c r="H226" i="3"/>
  <c r="G226" i="3"/>
  <c r="F226" i="3"/>
  <c r="E226" i="3"/>
  <c r="D226" i="3"/>
  <c r="C226" i="3"/>
  <c r="B226" i="3"/>
  <c r="A226" i="3"/>
  <c r="K225" i="3"/>
  <c r="J225" i="3"/>
  <c r="I225" i="3"/>
  <c r="H225" i="3"/>
  <c r="G225" i="3"/>
  <c r="F225" i="3"/>
  <c r="E225" i="3"/>
  <c r="D225" i="3"/>
  <c r="C225" i="3"/>
  <c r="B225" i="3"/>
  <c r="A225" i="3"/>
  <c r="K224" i="3"/>
  <c r="J224" i="3"/>
  <c r="I224" i="3"/>
  <c r="H224" i="3"/>
  <c r="G224" i="3"/>
  <c r="F224" i="3"/>
  <c r="E224" i="3"/>
  <c r="D224" i="3"/>
  <c r="C224" i="3"/>
  <c r="B224" i="3"/>
  <c r="A224" i="3"/>
  <c r="K223" i="3"/>
  <c r="J223" i="3"/>
  <c r="I223" i="3"/>
  <c r="H223" i="3"/>
  <c r="G223" i="3"/>
  <c r="F223" i="3"/>
  <c r="E223" i="3"/>
  <c r="D223" i="3"/>
  <c r="C223" i="3"/>
  <c r="B223" i="3"/>
  <c r="A223" i="3"/>
  <c r="K222" i="3"/>
  <c r="J222" i="3"/>
  <c r="I222" i="3"/>
  <c r="H222" i="3"/>
  <c r="G222" i="3"/>
  <c r="F222" i="3"/>
  <c r="E222" i="3"/>
  <c r="D222" i="3"/>
  <c r="C222" i="3"/>
  <c r="B222" i="3"/>
  <c r="A222" i="3"/>
  <c r="K221" i="3"/>
  <c r="J221" i="3"/>
  <c r="I221" i="3"/>
  <c r="H221" i="3"/>
  <c r="G221" i="3"/>
  <c r="F221" i="3"/>
  <c r="E221" i="3"/>
  <c r="D221" i="3"/>
  <c r="C221" i="3"/>
  <c r="B221" i="3"/>
  <c r="A221" i="3"/>
  <c r="K220" i="3"/>
  <c r="J220" i="3"/>
  <c r="I220" i="3"/>
  <c r="H220" i="3"/>
  <c r="G220" i="3"/>
  <c r="F220" i="3"/>
  <c r="E220" i="3"/>
  <c r="D220" i="3"/>
  <c r="C220" i="3"/>
  <c r="B220" i="3"/>
  <c r="A220" i="3"/>
  <c r="K219" i="3"/>
  <c r="J219" i="3"/>
  <c r="I219" i="3"/>
  <c r="H219" i="3"/>
  <c r="G219" i="3"/>
  <c r="F219" i="3"/>
  <c r="E219" i="3"/>
  <c r="D219" i="3"/>
  <c r="C219" i="3"/>
  <c r="B219" i="3"/>
  <c r="A219" i="3"/>
  <c r="K218" i="3"/>
  <c r="J218" i="3"/>
  <c r="I218" i="3"/>
  <c r="H218" i="3"/>
  <c r="G218" i="3"/>
  <c r="F218" i="3"/>
  <c r="E218" i="3"/>
  <c r="D218" i="3"/>
  <c r="C218" i="3"/>
  <c r="B218" i="3"/>
  <c r="A218" i="3"/>
  <c r="K217" i="3"/>
  <c r="J217" i="3"/>
  <c r="I217" i="3"/>
  <c r="H217" i="3"/>
  <c r="G217" i="3"/>
  <c r="F217" i="3"/>
  <c r="E217" i="3"/>
  <c r="D217" i="3"/>
  <c r="C217" i="3"/>
  <c r="B217" i="3"/>
  <c r="A217" i="3"/>
  <c r="K216" i="3"/>
  <c r="J216" i="3"/>
  <c r="I216" i="3"/>
  <c r="H216" i="3"/>
  <c r="G216" i="3"/>
  <c r="F216" i="3"/>
  <c r="E216" i="3"/>
  <c r="D216" i="3"/>
  <c r="C216" i="3"/>
  <c r="B216" i="3"/>
  <c r="A216" i="3"/>
  <c r="K215" i="3"/>
  <c r="J215" i="3"/>
  <c r="I215" i="3"/>
  <c r="H215" i="3"/>
  <c r="G215" i="3"/>
  <c r="F215" i="3"/>
  <c r="E215" i="3"/>
  <c r="D215" i="3"/>
  <c r="C215" i="3"/>
  <c r="B215" i="3"/>
  <c r="A215" i="3"/>
  <c r="K214" i="3"/>
  <c r="J214" i="3"/>
  <c r="I214" i="3"/>
  <c r="H214" i="3"/>
  <c r="G214" i="3"/>
  <c r="F214" i="3"/>
  <c r="E214" i="3"/>
  <c r="D214" i="3"/>
  <c r="C214" i="3"/>
  <c r="B214" i="3"/>
  <c r="A214" i="3"/>
  <c r="K213" i="3"/>
  <c r="J213" i="3"/>
  <c r="I213" i="3"/>
  <c r="H213" i="3"/>
  <c r="G213" i="3"/>
  <c r="F213" i="3"/>
  <c r="E213" i="3"/>
  <c r="D213" i="3"/>
  <c r="C213" i="3"/>
  <c r="B213" i="3"/>
  <c r="A213" i="3"/>
  <c r="K212" i="3"/>
  <c r="J212" i="3"/>
  <c r="I212" i="3"/>
  <c r="H212" i="3"/>
  <c r="G212" i="3"/>
  <c r="F212" i="3"/>
  <c r="E212" i="3"/>
  <c r="D212" i="3"/>
  <c r="C212" i="3"/>
  <c r="B212" i="3"/>
  <c r="A212" i="3"/>
  <c r="K211" i="3"/>
  <c r="J211" i="3"/>
  <c r="I211" i="3"/>
  <c r="H211" i="3"/>
  <c r="G211" i="3"/>
  <c r="F211" i="3"/>
  <c r="E211" i="3"/>
  <c r="D211" i="3"/>
  <c r="C211" i="3"/>
  <c r="B211" i="3"/>
  <c r="A211" i="3"/>
  <c r="K210" i="3"/>
  <c r="J210" i="3"/>
  <c r="I210" i="3"/>
  <c r="H210" i="3"/>
  <c r="G210" i="3"/>
  <c r="F210" i="3"/>
  <c r="E210" i="3"/>
  <c r="D210" i="3"/>
  <c r="C210" i="3"/>
  <c r="B210" i="3"/>
  <c r="A210" i="3"/>
  <c r="K209" i="3"/>
  <c r="J209" i="3"/>
  <c r="I209" i="3"/>
  <c r="H209" i="3"/>
  <c r="G209" i="3"/>
  <c r="F209" i="3"/>
  <c r="E209" i="3"/>
  <c r="D209" i="3"/>
  <c r="C209" i="3"/>
  <c r="B209" i="3"/>
  <c r="A209" i="3"/>
  <c r="K208" i="3"/>
  <c r="J208" i="3"/>
  <c r="I208" i="3"/>
  <c r="H208" i="3"/>
  <c r="G208" i="3"/>
  <c r="F208" i="3"/>
  <c r="E208" i="3"/>
  <c r="D208" i="3"/>
  <c r="C208" i="3"/>
  <c r="B208" i="3"/>
  <c r="A208" i="3"/>
  <c r="K207" i="3"/>
  <c r="J207" i="3"/>
  <c r="I207" i="3"/>
  <c r="H207" i="3"/>
  <c r="G207" i="3"/>
  <c r="F207" i="3"/>
  <c r="E207" i="3"/>
  <c r="D207" i="3"/>
  <c r="C207" i="3"/>
  <c r="B207" i="3"/>
  <c r="A207" i="3"/>
  <c r="K206" i="3"/>
  <c r="J206" i="3"/>
  <c r="I206" i="3"/>
  <c r="H206" i="3"/>
  <c r="G206" i="3"/>
  <c r="F206" i="3"/>
  <c r="E206" i="3"/>
  <c r="D206" i="3"/>
  <c r="C206" i="3"/>
  <c r="B206" i="3"/>
  <c r="A206" i="3"/>
  <c r="K205" i="3"/>
  <c r="J205" i="3"/>
  <c r="I205" i="3"/>
  <c r="H205" i="3"/>
  <c r="G205" i="3"/>
  <c r="F205" i="3"/>
  <c r="E205" i="3"/>
  <c r="D205" i="3"/>
  <c r="C205" i="3"/>
  <c r="B205" i="3"/>
  <c r="A205" i="3"/>
  <c r="K204" i="3"/>
  <c r="J204" i="3"/>
  <c r="I204" i="3"/>
  <c r="H204" i="3"/>
  <c r="G204" i="3"/>
  <c r="F204" i="3"/>
  <c r="E204" i="3"/>
  <c r="D204" i="3"/>
  <c r="C204" i="3"/>
  <c r="B204" i="3"/>
  <c r="A204" i="3"/>
  <c r="K203" i="3"/>
  <c r="J203" i="3"/>
  <c r="I203" i="3"/>
  <c r="H203" i="3"/>
  <c r="G203" i="3"/>
  <c r="F203" i="3"/>
  <c r="E203" i="3"/>
  <c r="D203" i="3"/>
  <c r="C203" i="3"/>
  <c r="B203" i="3"/>
  <c r="A203" i="3"/>
  <c r="K202" i="3"/>
  <c r="J202" i="3"/>
  <c r="I202" i="3"/>
  <c r="H202" i="3"/>
  <c r="G202" i="3"/>
  <c r="F202" i="3"/>
  <c r="E202" i="3"/>
  <c r="D202" i="3"/>
  <c r="C202" i="3"/>
  <c r="B202" i="3"/>
  <c r="A202" i="3"/>
  <c r="K201" i="3"/>
  <c r="J201" i="3"/>
  <c r="I201" i="3"/>
  <c r="H201" i="3"/>
  <c r="G201" i="3"/>
  <c r="F201" i="3"/>
  <c r="E201" i="3"/>
  <c r="D201" i="3"/>
  <c r="C201" i="3"/>
  <c r="B201" i="3"/>
  <c r="A201" i="3"/>
  <c r="K200" i="3"/>
  <c r="J200" i="3"/>
  <c r="I200" i="3"/>
  <c r="H200" i="3"/>
  <c r="G200" i="3"/>
  <c r="F200" i="3"/>
  <c r="E200" i="3"/>
  <c r="D200" i="3"/>
  <c r="C200" i="3"/>
  <c r="B200" i="3"/>
  <c r="A200" i="3"/>
  <c r="K199" i="3"/>
  <c r="J199" i="3"/>
  <c r="I199" i="3"/>
  <c r="H199" i="3"/>
  <c r="G199" i="3"/>
  <c r="F199" i="3"/>
  <c r="E199" i="3"/>
  <c r="D199" i="3"/>
  <c r="C199" i="3"/>
  <c r="B199" i="3"/>
  <c r="A199" i="3"/>
  <c r="K198" i="3"/>
  <c r="J198" i="3"/>
  <c r="I198" i="3"/>
  <c r="H198" i="3"/>
  <c r="G198" i="3"/>
  <c r="F198" i="3"/>
  <c r="E198" i="3"/>
  <c r="D198" i="3"/>
  <c r="C198" i="3"/>
  <c r="B198" i="3"/>
  <c r="A198" i="3"/>
  <c r="K197" i="3"/>
  <c r="J197" i="3"/>
  <c r="I197" i="3"/>
  <c r="H197" i="3"/>
  <c r="G197" i="3"/>
  <c r="F197" i="3"/>
  <c r="E197" i="3"/>
  <c r="D197" i="3"/>
  <c r="C197" i="3"/>
  <c r="B197" i="3"/>
  <c r="A197" i="3"/>
  <c r="K196" i="3"/>
  <c r="J196" i="3"/>
  <c r="I196" i="3"/>
  <c r="H196" i="3"/>
  <c r="G196" i="3"/>
  <c r="F196" i="3"/>
  <c r="E196" i="3"/>
  <c r="D196" i="3"/>
  <c r="C196" i="3"/>
  <c r="B196" i="3"/>
  <c r="A196" i="3"/>
  <c r="K195" i="3"/>
  <c r="J195" i="3"/>
  <c r="I195" i="3"/>
  <c r="H195" i="3"/>
  <c r="G195" i="3"/>
  <c r="F195" i="3"/>
  <c r="E195" i="3"/>
  <c r="D195" i="3"/>
  <c r="C195" i="3"/>
  <c r="B195" i="3"/>
  <c r="A195" i="3"/>
  <c r="K194" i="3"/>
  <c r="J194" i="3"/>
  <c r="I194" i="3"/>
  <c r="H194" i="3"/>
  <c r="G194" i="3"/>
  <c r="F194" i="3"/>
  <c r="E194" i="3"/>
  <c r="D194" i="3"/>
  <c r="C194" i="3"/>
  <c r="B194" i="3"/>
  <c r="A194" i="3"/>
  <c r="K193" i="3"/>
  <c r="J193" i="3"/>
  <c r="I193" i="3"/>
  <c r="H193" i="3"/>
  <c r="G193" i="3"/>
  <c r="F193" i="3"/>
  <c r="E193" i="3"/>
  <c r="D193" i="3"/>
  <c r="C193" i="3"/>
  <c r="B193" i="3"/>
  <c r="A193" i="3"/>
  <c r="K192" i="3"/>
  <c r="J192" i="3"/>
  <c r="I192" i="3"/>
  <c r="H192" i="3"/>
  <c r="G192" i="3"/>
  <c r="F192" i="3"/>
  <c r="E192" i="3"/>
  <c r="D192" i="3"/>
  <c r="C192" i="3"/>
  <c r="B192" i="3"/>
  <c r="A192" i="3"/>
  <c r="K191" i="3"/>
  <c r="J191" i="3"/>
  <c r="I191" i="3"/>
  <c r="H191" i="3"/>
  <c r="G191" i="3"/>
  <c r="F191" i="3"/>
  <c r="E191" i="3"/>
  <c r="D191" i="3"/>
  <c r="C191" i="3"/>
  <c r="B191" i="3"/>
  <c r="A191" i="3"/>
  <c r="K190" i="3"/>
  <c r="J190" i="3"/>
  <c r="I190" i="3"/>
  <c r="H190" i="3"/>
  <c r="G190" i="3"/>
  <c r="F190" i="3"/>
  <c r="E190" i="3"/>
  <c r="D190" i="3"/>
  <c r="C190" i="3"/>
  <c r="B190" i="3"/>
  <c r="A190" i="3"/>
  <c r="K189" i="3"/>
  <c r="J189" i="3"/>
  <c r="I189" i="3"/>
  <c r="H189" i="3"/>
  <c r="G189" i="3"/>
  <c r="F189" i="3"/>
  <c r="E189" i="3"/>
  <c r="D189" i="3"/>
  <c r="C189" i="3"/>
  <c r="B189" i="3"/>
  <c r="A189" i="3"/>
  <c r="K188" i="3"/>
  <c r="J188" i="3"/>
  <c r="I188" i="3"/>
  <c r="H188" i="3"/>
  <c r="G188" i="3"/>
  <c r="F188" i="3"/>
  <c r="E188" i="3"/>
  <c r="D188" i="3"/>
  <c r="C188" i="3"/>
  <c r="B188" i="3"/>
  <c r="A188" i="3"/>
  <c r="K187" i="3"/>
  <c r="J187" i="3"/>
  <c r="I187" i="3"/>
  <c r="H187" i="3"/>
  <c r="G187" i="3"/>
  <c r="F187" i="3"/>
  <c r="E187" i="3"/>
  <c r="D187" i="3"/>
  <c r="C187" i="3"/>
  <c r="B187" i="3"/>
  <c r="A187" i="3"/>
  <c r="K186" i="3"/>
  <c r="J186" i="3"/>
  <c r="I186" i="3"/>
  <c r="H186" i="3"/>
  <c r="G186" i="3"/>
  <c r="F186" i="3"/>
  <c r="E186" i="3"/>
  <c r="D186" i="3"/>
  <c r="C186" i="3"/>
  <c r="B186" i="3"/>
  <c r="A186" i="3"/>
  <c r="K185" i="3"/>
  <c r="J185" i="3"/>
  <c r="I185" i="3"/>
  <c r="H185" i="3"/>
  <c r="G185" i="3"/>
  <c r="F185" i="3"/>
  <c r="E185" i="3"/>
  <c r="D185" i="3"/>
  <c r="C185" i="3"/>
  <c r="B185" i="3"/>
  <c r="A185" i="3"/>
  <c r="K184" i="3"/>
  <c r="J184" i="3"/>
  <c r="I184" i="3"/>
  <c r="H184" i="3"/>
  <c r="G184" i="3"/>
  <c r="F184" i="3"/>
  <c r="E184" i="3"/>
  <c r="D184" i="3"/>
  <c r="C184" i="3"/>
  <c r="B184" i="3"/>
  <c r="A184" i="3"/>
  <c r="K183" i="3"/>
  <c r="J183" i="3"/>
  <c r="I183" i="3"/>
  <c r="H183" i="3"/>
  <c r="G183" i="3"/>
  <c r="F183" i="3"/>
  <c r="E183" i="3"/>
  <c r="D183" i="3"/>
  <c r="C183" i="3"/>
  <c r="B183" i="3"/>
  <c r="A183" i="3"/>
  <c r="K182" i="3"/>
  <c r="J182" i="3"/>
  <c r="I182" i="3"/>
  <c r="H182" i="3"/>
  <c r="G182" i="3"/>
  <c r="F182" i="3"/>
  <c r="E182" i="3"/>
  <c r="D182" i="3"/>
  <c r="C182" i="3"/>
  <c r="B182" i="3"/>
  <c r="A182" i="3"/>
  <c r="K181" i="3"/>
  <c r="J181" i="3"/>
  <c r="I181" i="3"/>
  <c r="H181" i="3"/>
  <c r="G181" i="3"/>
  <c r="F181" i="3"/>
  <c r="E181" i="3"/>
  <c r="D181" i="3"/>
  <c r="C181" i="3"/>
  <c r="B181" i="3"/>
  <c r="A181" i="3"/>
  <c r="K180" i="3"/>
  <c r="J180" i="3"/>
  <c r="I180" i="3"/>
  <c r="H180" i="3"/>
  <c r="G180" i="3"/>
  <c r="F180" i="3"/>
  <c r="E180" i="3"/>
  <c r="D180" i="3"/>
  <c r="C180" i="3"/>
  <c r="B180" i="3"/>
  <c r="A180" i="3"/>
  <c r="K179" i="3"/>
  <c r="J179" i="3"/>
  <c r="I179" i="3"/>
  <c r="H179" i="3"/>
  <c r="G179" i="3"/>
  <c r="F179" i="3"/>
  <c r="E179" i="3"/>
  <c r="D179" i="3"/>
  <c r="C179" i="3"/>
  <c r="B179" i="3"/>
  <c r="A179" i="3"/>
  <c r="K178" i="3"/>
  <c r="J178" i="3"/>
  <c r="I178" i="3"/>
  <c r="H178" i="3"/>
  <c r="G178" i="3"/>
  <c r="F178" i="3"/>
  <c r="E178" i="3"/>
  <c r="D178" i="3"/>
  <c r="C178" i="3"/>
  <c r="B178" i="3"/>
  <c r="A178" i="3"/>
  <c r="K177" i="3"/>
  <c r="J177" i="3"/>
  <c r="I177" i="3"/>
  <c r="H177" i="3"/>
  <c r="G177" i="3"/>
  <c r="F177" i="3"/>
  <c r="E177" i="3"/>
  <c r="D177" i="3"/>
  <c r="C177" i="3"/>
  <c r="B177" i="3"/>
  <c r="A177" i="3"/>
  <c r="K176" i="3"/>
  <c r="J176" i="3"/>
  <c r="I176" i="3"/>
  <c r="H176" i="3"/>
  <c r="G176" i="3"/>
  <c r="F176" i="3"/>
  <c r="E176" i="3"/>
  <c r="D176" i="3"/>
  <c r="C176" i="3"/>
  <c r="B176" i="3"/>
  <c r="A176" i="3"/>
  <c r="K175" i="3"/>
  <c r="J175" i="3"/>
  <c r="I175" i="3"/>
  <c r="H175" i="3"/>
  <c r="G175" i="3"/>
  <c r="F175" i="3"/>
  <c r="E175" i="3"/>
  <c r="D175" i="3"/>
  <c r="C175" i="3"/>
  <c r="B175" i="3"/>
  <c r="A175" i="3"/>
  <c r="K174" i="3"/>
  <c r="J174" i="3"/>
  <c r="I174" i="3"/>
  <c r="H174" i="3"/>
  <c r="G174" i="3"/>
  <c r="F174" i="3"/>
  <c r="E174" i="3"/>
  <c r="D174" i="3"/>
  <c r="C174" i="3"/>
  <c r="B174" i="3"/>
  <c r="A174" i="3"/>
  <c r="K173" i="3"/>
  <c r="J173" i="3"/>
  <c r="I173" i="3"/>
  <c r="H173" i="3"/>
  <c r="G173" i="3"/>
  <c r="F173" i="3"/>
  <c r="E173" i="3"/>
  <c r="D173" i="3"/>
  <c r="C173" i="3"/>
  <c r="B173" i="3"/>
  <c r="A173" i="3"/>
  <c r="K172" i="3"/>
  <c r="J172" i="3"/>
  <c r="I172" i="3"/>
  <c r="H172" i="3"/>
  <c r="G172" i="3"/>
  <c r="F172" i="3"/>
  <c r="E172" i="3"/>
  <c r="D172" i="3"/>
  <c r="C172" i="3"/>
  <c r="B172" i="3"/>
  <c r="A172" i="3"/>
  <c r="K171" i="3"/>
  <c r="J171" i="3"/>
  <c r="I171" i="3"/>
  <c r="H171" i="3"/>
  <c r="G171" i="3"/>
  <c r="F171" i="3"/>
  <c r="E171" i="3"/>
  <c r="D171" i="3"/>
  <c r="C171" i="3"/>
  <c r="B171" i="3"/>
  <c r="A171" i="3"/>
  <c r="K170" i="3"/>
  <c r="J170" i="3"/>
  <c r="I170" i="3"/>
  <c r="H170" i="3"/>
  <c r="G170" i="3"/>
  <c r="F170" i="3"/>
  <c r="E170" i="3"/>
  <c r="D170" i="3"/>
  <c r="C170" i="3"/>
  <c r="B170" i="3"/>
  <c r="A170" i="3"/>
  <c r="K169" i="3"/>
  <c r="J169" i="3"/>
  <c r="I169" i="3"/>
  <c r="H169" i="3"/>
  <c r="G169" i="3"/>
  <c r="F169" i="3"/>
  <c r="E169" i="3"/>
  <c r="D169" i="3"/>
  <c r="C169" i="3"/>
  <c r="B169" i="3"/>
  <c r="A169" i="3"/>
  <c r="K168" i="3"/>
  <c r="J168" i="3"/>
  <c r="I168" i="3"/>
  <c r="H168" i="3"/>
  <c r="G168" i="3"/>
  <c r="F168" i="3"/>
  <c r="E168" i="3"/>
  <c r="D168" i="3"/>
  <c r="C168" i="3"/>
  <c r="B168" i="3"/>
  <c r="A168" i="3"/>
  <c r="K167" i="3"/>
  <c r="J167" i="3"/>
  <c r="I167" i="3"/>
  <c r="H167" i="3"/>
  <c r="G167" i="3"/>
  <c r="F167" i="3"/>
  <c r="E167" i="3"/>
  <c r="D167" i="3"/>
  <c r="C167" i="3"/>
  <c r="B167" i="3"/>
  <c r="A167" i="3"/>
  <c r="K166" i="3"/>
  <c r="J166" i="3"/>
  <c r="I166" i="3"/>
  <c r="H166" i="3"/>
  <c r="G166" i="3"/>
  <c r="F166" i="3"/>
  <c r="E166" i="3"/>
  <c r="D166" i="3"/>
  <c r="C166" i="3"/>
  <c r="B166" i="3"/>
  <c r="A166" i="3"/>
  <c r="K165" i="3"/>
  <c r="J165" i="3"/>
  <c r="I165" i="3"/>
  <c r="H165" i="3"/>
  <c r="G165" i="3"/>
  <c r="F165" i="3"/>
  <c r="E165" i="3"/>
  <c r="D165" i="3"/>
  <c r="C165" i="3"/>
  <c r="B165" i="3"/>
  <c r="A165" i="3"/>
  <c r="K164" i="3"/>
  <c r="J164" i="3"/>
  <c r="I164" i="3"/>
  <c r="H164" i="3"/>
  <c r="G164" i="3"/>
  <c r="F164" i="3"/>
  <c r="E164" i="3"/>
  <c r="D164" i="3"/>
  <c r="C164" i="3"/>
  <c r="B164" i="3"/>
  <c r="A164" i="3"/>
  <c r="K163" i="3"/>
  <c r="J163" i="3"/>
  <c r="I163" i="3"/>
  <c r="H163" i="3"/>
  <c r="G163" i="3"/>
  <c r="F163" i="3"/>
  <c r="E163" i="3"/>
  <c r="D163" i="3"/>
  <c r="C163" i="3"/>
  <c r="B163" i="3"/>
  <c r="A163" i="3"/>
  <c r="K162" i="3"/>
  <c r="J162" i="3"/>
  <c r="I162" i="3"/>
  <c r="H162" i="3"/>
  <c r="G162" i="3"/>
  <c r="F162" i="3"/>
  <c r="E162" i="3"/>
  <c r="D162" i="3"/>
  <c r="C162" i="3"/>
  <c r="B162" i="3"/>
  <c r="A162" i="3"/>
  <c r="K161" i="3"/>
  <c r="J161" i="3"/>
  <c r="I161" i="3"/>
  <c r="H161" i="3"/>
  <c r="G161" i="3"/>
  <c r="F161" i="3"/>
  <c r="E161" i="3"/>
  <c r="D161" i="3"/>
  <c r="C161" i="3"/>
  <c r="B161" i="3"/>
  <c r="A161" i="3"/>
  <c r="K160" i="3"/>
  <c r="J160" i="3"/>
  <c r="I160" i="3"/>
  <c r="H160" i="3"/>
  <c r="G160" i="3"/>
  <c r="F160" i="3"/>
  <c r="E160" i="3"/>
  <c r="D160" i="3"/>
  <c r="C160" i="3"/>
  <c r="B160" i="3"/>
  <c r="A160" i="3"/>
  <c r="K159" i="3"/>
  <c r="J159" i="3"/>
  <c r="I159" i="3"/>
  <c r="H159" i="3"/>
  <c r="G159" i="3"/>
  <c r="F159" i="3"/>
  <c r="E159" i="3"/>
  <c r="D159" i="3"/>
  <c r="C159" i="3"/>
  <c r="B159" i="3"/>
  <c r="A159" i="3"/>
  <c r="K158" i="3"/>
  <c r="J158" i="3"/>
  <c r="I158" i="3"/>
  <c r="H158" i="3"/>
  <c r="G158" i="3"/>
  <c r="F158" i="3"/>
  <c r="E158" i="3"/>
  <c r="D158" i="3"/>
  <c r="C158" i="3"/>
  <c r="B158" i="3"/>
  <c r="A158" i="3"/>
  <c r="K157" i="3"/>
  <c r="J157" i="3"/>
  <c r="I157" i="3"/>
  <c r="H157" i="3"/>
  <c r="G157" i="3"/>
  <c r="F157" i="3"/>
  <c r="E157" i="3"/>
  <c r="D157" i="3"/>
  <c r="C157" i="3"/>
  <c r="B157" i="3"/>
  <c r="A157" i="3"/>
  <c r="K156" i="3"/>
  <c r="J156" i="3"/>
  <c r="I156" i="3"/>
  <c r="H156" i="3"/>
  <c r="G156" i="3"/>
  <c r="F156" i="3"/>
  <c r="E156" i="3"/>
  <c r="D156" i="3"/>
  <c r="C156" i="3"/>
  <c r="B156" i="3"/>
  <c r="A156" i="3"/>
  <c r="K155" i="3"/>
  <c r="J155" i="3"/>
  <c r="I155" i="3"/>
  <c r="H155" i="3"/>
  <c r="G155" i="3"/>
  <c r="F155" i="3"/>
  <c r="E155" i="3"/>
  <c r="D155" i="3"/>
  <c r="C155" i="3"/>
  <c r="B155" i="3"/>
  <c r="A155" i="3"/>
  <c r="K154" i="3"/>
  <c r="J154" i="3"/>
  <c r="I154" i="3"/>
  <c r="H154" i="3"/>
  <c r="G154" i="3"/>
  <c r="F154" i="3"/>
  <c r="E154" i="3"/>
  <c r="D154" i="3"/>
  <c r="C154" i="3"/>
  <c r="B154" i="3"/>
  <c r="A154" i="3"/>
  <c r="K153" i="3"/>
  <c r="J153" i="3"/>
  <c r="I153" i="3"/>
  <c r="H153" i="3"/>
  <c r="G153" i="3"/>
  <c r="F153" i="3"/>
  <c r="E153" i="3"/>
  <c r="D153" i="3"/>
  <c r="C153" i="3"/>
  <c r="B153" i="3"/>
  <c r="A153" i="3"/>
  <c r="K152" i="3"/>
  <c r="J152" i="3"/>
  <c r="I152" i="3"/>
  <c r="H152" i="3"/>
  <c r="G152" i="3"/>
  <c r="F152" i="3"/>
  <c r="E152" i="3"/>
  <c r="D152" i="3"/>
  <c r="C152" i="3"/>
  <c r="B152" i="3"/>
  <c r="A152" i="3"/>
  <c r="K151" i="3"/>
  <c r="J151" i="3"/>
  <c r="I151" i="3"/>
  <c r="H151" i="3"/>
  <c r="G151" i="3"/>
  <c r="F151" i="3"/>
  <c r="E151" i="3"/>
  <c r="D151" i="3"/>
  <c r="C151" i="3"/>
  <c r="B151" i="3"/>
  <c r="A151" i="3"/>
  <c r="K150" i="3"/>
  <c r="J150" i="3"/>
  <c r="I150" i="3"/>
  <c r="H150" i="3"/>
  <c r="G150" i="3"/>
  <c r="F150" i="3"/>
  <c r="E150" i="3"/>
  <c r="D150" i="3"/>
  <c r="C150" i="3"/>
  <c r="B150" i="3"/>
  <c r="A150" i="3"/>
  <c r="K149" i="3"/>
  <c r="J149" i="3"/>
  <c r="I149" i="3"/>
  <c r="H149" i="3"/>
  <c r="G149" i="3"/>
  <c r="F149" i="3"/>
  <c r="E149" i="3"/>
  <c r="D149" i="3"/>
  <c r="C149" i="3"/>
  <c r="B149" i="3"/>
  <c r="A149" i="3"/>
  <c r="K148" i="3"/>
  <c r="J148" i="3"/>
  <c r="I148" i="3"/>
  <c r="H148" i="3"/>
  <c r="G148" i="3"/>
  <c r="F148" i="3"/>
  <c r="E148" i="3"/>
  <c r="D148" i="3"/>
  <c r="C148" i="3"/>
  <c r="B148" i="3"/>
  <c r="A148" i="3"/>
  <c r="K147" i="3"/>
  <c r="J147" i="3"/>
  <c r="I147" i="3"/>
  <c r="H147" i="3"/>
  <c r="G147" i="3"/>
  <c r="F147" i="3"/>
  <c r="E147" i="3"/>
  <c r="D147" i="3"/>
  <c r="C147" i="3"/>
  <c r="B147" i="3"/>
  <c r="A147" i="3"/>
  <c r="K146" i="3"/>
  <c r="J146" i="3"/>
  <c r="I146" i="3"/>
  <c r="H146" i="3"/>
  <c r="G146" i="3"/>
  <c r="F146" i="3"/>
  <c r="E146" i="3"/>
  <c r="D146" i="3"/>
  <c r="C146" i="3"/>
  <c r="B146" i="3"/>
  <c r="A146" i="3"/>
  <c r="K145" i="3"/>
  <c r="J145" i="3"/>
  <c r="I145" i="3"/>
  <c r="H145" i="3"/>
  <c r="G145" i="3"/>
  <c r="F145" i="3"/>
  <c r="E145" i="3"/>
  <c r="D145" i="3"/>
  <c r="C145" i="3"/>
  <c r="B145" i="3"/>
  <c r="A145" i="3"/>
  <c r="K144" i="3"/>
  <c r="J144" i="3"/>
  <c r="I144" i="3"/>
  <c r="H144" i="3"/>
  <c r="G144" i="3"/>
  <c r="F144" i="3"/>
  <c r="E144" i="3"/>
  <c r="D144" i="3"/>
  <c r="C144" i="3"/>
  <c r="B144" i="3"/>
  <c r="A144" i="3"/>
  <c r="K143" i="3"/>
  <c r="J143" i="3"/>
  <c r="I143" i="3"/>
  <c r="H143" i="3"/>
  <c r="G143" i="3"/>
  <c r="F143" i="3"/>
  <c r="E143" i="3"/>
  <c r="D143" i="3"/>
  <c r="C143" i="3"/>
  <c r="B143" i="3"/>
  <c r="A143" i="3"/>
  <c r="K142" i="3"/>
  <c r="J142" i="3"/>
  <c r="I142" i="3"/>
  <c r="H142" i="3"/>
  <c r="G142" i="3"/>
  <c r="F142" i="3"/>
  <c r="E142" i="3"/>
  <c r="D142" i="3"/>
  <c r="C142" i="3"/>
  <c r="B142" i="3"/>
  <c r="A142" i="3"/>
  <c r="K141" i="3"/>
  <c r="J141" i="3"/>
  <c r="I141" i="3"/>
  <c r="H141" i="3"/>
  <c r="G141" i="3"/>
  <c r="F141" i="3"/>
  <c r="E141" i="3"/>
  <c r="D141" i="3"/>
  <c r="C141" i="3"/>
  <c r="B141" i="3"/>
  <c r="A141" i="3"/>
  <c r="K140" i="3"/>
  <c r="J140" i="3"/>
  <c r="I140" i="3"/>
  <c r="H140" i="3"/>
  <c r="G140" i="3"/>
  <c r="F140" i="3"/>
  <c r="E140" i="3"/>
  <c r="D140" i="3"/>
  <c r="C140" i="3"/>
  <c r="B140" i="3"/>
  <c r="A140" i="3"/>
  <c r="K139" i="3"/>
  <c r="J139" i="3"/>
  <c r="I139" i="3"/>
  <c r="H139" i="3"/>
  <c r="G139" i="3"/>
  <c r="F139" i="3"/>
  <c r="E139" i="3"/>
  <c r="D139" i="3"/>
  <c r="C139" i="3"/>
  <c r="B139" i="3"/>
  <c r="A139" i="3"/>
  <c r="K138" i="3"/>
  <c r="J138" i="3"/>
  <c r="I138" i="3"/>
  <c r="H138" i="3"/>
  <c r="G138" i="3"/>
  <c r="F138" i="3"/>
  <c r="E138" i="3"/>
  <c r="D138" i="3"/>
  <c r="C138" i="3"/>
  <c r="B138" i="3"/>
  <c r="A138" i="3"/>
  <c r="K137" i="3"/>
  <c r="J137" i="3"/>
  <c r="I137" i="3"/>
  <c r="H137" i="3"/>
  <c r="G137" i="3"/>
  <c r="F137" i="3"/>
  <c r="E137" i="3"/>
  <c r="D137" i="3"/>
  <c r="C137" i="3"/>
  <c r="B137" i="3"/>
  <c r="A137" i="3"/>
  <c r="K136" i="3"/>
  <c r="J136" i="3"/>
  <c r="I136" i="3"/>
  <c r="H136" i="3"/>
  <c r="G136" i="3"/>
  <c r="F136" i="3"/>
  <c r="E136" i="3"/>
  <c r="D136" i="3"/>
  <c r="C136" i="3"/>
  <c r="B136" i="3"/>
  <c r="A136" i="3"/>
  <c r="K135" i="3"/>
  <c r="J135" i="3"/>
  <c r="I135" i="3"/>
  <c r="H135" i="3"/>
  <c r="G135" i="3"/>
  <c r="F135" i="3"/>
  <c r="E135" i="3"/>
  <c r="D135" i="3"/>
  <c r="C135" i="3"/>
  <c r="B135" i="3"/>
  <c r="A135" i="3"/>
  <c r="K134" i="3"/>
  <c r="J134" i="3"/>
  <c r="I134" i="3"/>
  <c r="H134" i="3"/>
  <c r="G134" i="3"/>
  <c r="F134" i="3"/>
  <c r="E134" i="3"/>
  <c r="D134" i="3"/>
  <c r="C134" i="3"/>
  <c r="B134" i="3"/>
  <c r="A134" i="3"/>
  <c r="K133" i="3"/>
  <c r="J133" i="3"/>
  <c r="I133" i="3"/>
  <c r="H133" i="3"/>
  <c r="G133" i="3"/>
  <c r="F133" i="3"/>
  <c r="E133" i="3"/>
  <c r="D133" i="3"/>
  <c r="C133" i="3"/>
  <c r="B133" i="3"/>
  <c r="A133" i="3"/>
  <c r="K132" i="3"/>
  <c r="J132" i="3"/>
  <c r="I132" i="3"/>
  <c r="H132" i="3"/>
  <c r="G132" i="3"/>
  <c r="F132" i="3"/>
  <c r="E132" i="3"/>
  <c r="D132" i="3"/>
  <c r="C132" i="3"/>
  <c r="B132" i="3"/>
  <c r="A132" i="3"/>
  <c r="K131" i="3"/>
  <c r="J131" i="3"/>
  <c r="I131" i="3"/>
  <c r="H131" i="3"/>
  <c r="G131" i="3"/>
  <c r="F131" i="3"/>
  <c r="E131" i="3"/>
  <c r="D131" i="3"/>
  <c r="C131" i="3"/>
  <c r="B131" i="3"/>
  <c r="A131" i="3"/>
  <c r="K130" i="3"/>
  <c r="J130" i="3"/>
  <c r="I130" i="3"/>
  <c r="H130" i="3"/>
  <c r="G130" i="3"/>
  <c r="F130" i="3"/>
  <c r="E130" i="3"/>
  <c r="D130" i="3"/>
  <c r="C130" i="3"/>
  <c r="B130" i="3"/>
  <c r="A130" i="3"/>
  <c r="K129" i="3"/>
  <c r="J129" i="3"/>
  <c r="I129" i="3"/>
  <c r="H129" i="3"/>
  <c r="G129" i="3"/>
  <c r="F129" i="3"/>
  <c r="E129" i="3"/>
  <c r="D129" i="3"/>
  <c r="C129" i="3"/>
  <c r="B129" i="3"/>
  <c r="A129" i="3"/>
  <c r="K128" i="3"/>
  <c r="J128" i="3"/>
  <c r="I128" i="3"/>
  <c r="H128" i="3"/>
  <c r="G128" i="3"/>
  <c r="F128" i="3"/>
  <c r="E128" i="3"/>
  <c r="D128" i="3"/>
  <c r="C128" i="3"/>
  <c r="B128" i="3"/>
  <c r="A128" i="3"/>
  <c r="K127" i="3"/>
  <c r="J127" i="3"/>
  <c r="I127" i="3"/>
  <c r="H127" i="3"/>
  <c r="G127" i="3"/>
  <c r="F127" i="3"/>
  <c r="E127" i="3"/>
  <c r="D127" i="3"/>
  <c r="C127" i="3"/>
  <c r="B127" i="3"/>
  <c r="A127" i="3"/>
  <c r="K126" i="3"/>
  <c r="J126" i="3"/>
  <c r="I126" i="3"/>
  <c r="H126" i="3"/>
  <c r="G126" i="3"/>
  <c r="F126" i="3"/>
  <c r="E126" i="3"/>
  <c r="D126" i="3"/>
  <c r="C126" i="3"/>
  <c r="B126" i="3"/>
  <c r="A126" i="3"/>
  <c r="K125" i="3"/>
  <c r="J125" i="3"/>
  <c r="I125" i="3"/>
  <c r="H125" i="3"/>
  <c r="G125" i="3"/>
  <c r="F125" i="3"/>
  <c r="E125" i="3"/>
  <c r="D125" i="3"/>
  <c r="C125" i="3"/>
  <c r="B125" i="3"/>
  <c r="A125" i="3"/>
  <c r="K124" i="3"/>
  <c r="J124" i="3"/>
  <c r="I124" i="3"/>
  <c r="H124" i="3"/>
  <c r="G124" i="3"/>
  <c r="F124" i="3"/>
  <c r="E124" i="3"/>
  <c r="D124" i="3"/>
  <c r="C124" i="3"/>
  <c r="B124" i="3"/>
  <c r="A124" i="3"/>
  <c r="K123" i="3"/>
  <c r="J123" i="3"/>
  <c r="I123" i="3"/>
  <c r="H123" i="3"/>
  <c r="G123" i="3"/>
  <c r="F123" i="3"/>
  <c r="E123" i="3"/>
  <c r="D123" i="3"/>
  <c r="C123" i="3"/>
  <c r="B123" i="3"/>
  <c r="A123" i="3"/>
  <c r="K122" i="3"/>
  <c r="J122" i="3"/>
  <c r="I122" i="3"/>
  <c r="H122" i="3"/>
  <c r="G122" i="3"/>
  <c r="F122" i="3"/>
  <c r="E122" i="3"/>
  <c r="D122" i="3"/>
  <c r="C122" i="3"/>
  <c r="B122" i="3"/>
  <c r="A122" i="3"/>
  <c r="K121" i="3"/>
  <c r="J121" i="3"/>
  <c r="I121" i="3"/>
  <c r="H121" i="3"/>
  <c r="G121" i="3"/>
  <c r="F121" i="3"/>
  <c r="E121" i="3"/>
  <c r="D121" i="3"/>
  <c r="C121" i="3"/>
  <c r="B121" i="3"/>
  <c r="A121" i="3"/>
  <c r="K120" i="3"/>
  <c r="J120" i="3"/>
  <c r="I120" i="3"/>
  <c r="H120" i="3"/>
  <c r="G120" i="3"/>
  <c r="F120" i="3"/>
  <c r="E120" i="3"/>
  <c r="D120" i="3"/>
  <c r="C120" i="3"/>
  <c r="B120" i="3"/>
  <c r="A120" i="3"/>
  <c r="K119" i="3"/>
  <c r="J119" i="3"/>
  <c r="I119" i="3"/>
  <c r="H119" i="3"/>
  <c r="G119" i="3"/>
  <c r="F119" i="3"/>
  <c r="E119" i="3"/>
  <c r="D119" i="3"/>
  <c r="C119" i="3"/>
  <c r="B119" i="3"/>
  <c r="A119" i="3"/>
  <c r="K118" i="3"/>
  <c r="J118" i="3"/>
  <c r="I118" i="3"/>
  <c r="H118" i="3"/>
  <c r="G118" i="3"/>
  <c r="F118" i="3"/>
  <c r="E118" i="3"/>
  <c r="D118" i="3"/>
  <c r="C118" i="3"/>
  <c r="B118" i="3"/>
  <c r="A118" i="3"/>
  <c r="K117" i="3"/>
  <c r="J117" i="3"/>
  <c r="I117" i="3"/>
  <c r="H117" i="3"/>
  <c r="G117" i="3"/>
  <c r="F117" i="3"/>
  <c r="E117" i="3"/>
  <c r="D117" i="3"/>
  <c r="C117" i="3"/>
  <c r="B117" i="3"/>
  <c r="A117" i="3"/>
  <c r="K116" i="3"/>
  <c r="J116" i="3"/>
  <c r="I116" i="3"/>
  <c r="H116" i="3"/>
  <c r="G116" i="3"/>
  <c r="F116" i="3"/>
  <c r="E116" i="3"/>
  <c r="D116" i="3"/>
  <c r="C116" i="3"/>
  <c r="B116" i="3"/>
  <c r="A116" i="3"/>
  <c r="K115" i="3"/>
  <c r="J115" i="3"/>
  <c r="I115" i="3"/>
  <c r="H115" i="3"/>
  <c r="G115" i="3"/>
  <c r="F115" i="3"/>
  <c r="E115" i="3"/>
  <c r="D115" i="3"/>
  <c r="C115" i="3"/>
  <c r="B115" i="3"/>
  <c r="A115" i="3"/>
  <c r="K114" i="3"/>
  <c r="J114" i="3"/>
  <c r="I114" i="3"/>
  <c r="H114" i="3"/>
  <c r="G114" i="3"/>
  <c r="F114" i="3"/>
  <c r="E114" i="3"/>
  <c r="D114" i="3"/>
  <c r="C114" i="3"/>
  <c r="B114" i="3"/>
  <c r="A114" i="3"/>
  <c r="K113" i="3"/>
  <c r="J113" i="3"/>
  <c r="I113" i="3"/>
  <c r="H113" i="3"/>
  <c r="G113" i="3"/>
  <c r="F113" i="3"/>
  <c r="E113" i="3"/>
  <c r="D113" i="3"/>
  <c r="C113" i="3"/>
  <c r="B113" i="3"/>
  <c r="A113" i="3"/>
  <c r="K112" i="3"/>
  <c r="J112" i="3"/>
  <c r="I112" i="3"/>
  <c r="H112" i="3"/>
  <c r="G112" i="3"/>
  <c r="F112" i="3"/>
  <c r="E112" i="3"/>
  <c r="D112" i="3"/>
  <c r="C112" i="3"/>
  <c r="B112" i="3"/>
  <c r="A112" i="3"/>
  <c r="K111" i="3"/>
  <c r="J111" i="3"/>
  <c r="I111" i="3"/>
  <c r="H111" i="3"/>
  <c r="G111" i="3"/>
  <c r="F111" i="3"/>
  <c r="E111" i="3"/>
  <c r="D111" i="3"/>
  <c r="C111" i="3"/>
  <c r="B111" i="3"/>
  <c r="A111" i="3"/>
  <c r="K110" i="3"/>
  <c r="J110" i="3"/>
  <c r="I110" i="3"/>
  <c r="H110" i="3"/>
  <c r="G110" i="3"/>
  <c r="F110" i="3"/>
  <c r="E110" i="3"/>
  <c r="D110" i="3"/>
  <c r="C110" i="3"/>
  <c r="B110" i="3"/>
  <c r="A110" i="3"/>
  <c r="K109" i="3"/>
  <c r="J109" i="3"/>
  <c r="I109" i="3"/>
  <c r="H109" i="3"/>
  <c r="G109" i="3"/>
  <c r="F109" i="3"/>
  <c r="E109" i="3"/>
  <c r="D109" i="3"/>
  <c r="C109" i="3"/>
  <c r="B109" i="3"/>
  <c r="A109" i="3"/>
  <c r="K108" i="3"/>
  <c r="J108" i="3"/>
  <c r="I108" i="3"/>
  <c r="H108" i="3"/>
  <c r="G108" i="3"/>
  <c r="F108" i="3"/>
  <c r="E108" i="3"/>
  <c r="D108" i="3"/>
  <c r="C108" i="3"/>
  <c r="B108" i="3"/>
  <c r="A108" i="3"/>
  <c r="K107" i="3"/>
  <c r="J107" i="3"/>
  <c r="I107" i="3"/>
  <c r="H107" i="3"/>
  <c r="G107" i="3"/>
  <c r="F107" i="3"/>
  <c r="E107" i="3"/>
  <c r="D107" i="3"/>
  <c r="C107" i="3"/>
  <c r="B107" i="3"/>
  <c r="A107" i="3"/>
  <c r="K106" i="3"/>
  <c r="J106" i="3"/>
  <c r="I106" i="3"/>
  <c r="H106" i="3"/>
  <c r="G106" i="3"/>
  <c r="F106" i="3"/>
  <c r="E106" i="3"/>
  <c r="D106" i="3"/>
  <c r="C106" i="3"/>
  <c r="B106" i="3"/>
  <c r="A106" i="3"/>
  <c r="K105" i="3"/>
  <c r="J105" i="3"/>
  <c r="I105" i="3"/>
  <c r="H105" i="3"/>
  <c r="G105" i="3"/>
  <c r="F105" i="3"/>
  <c r="E105" i="3"/>
  <c r="D105" i="3"/>
  <c r="C105" i="3"/>
  <c r="B105" i="3"/>
  <c r="A105" i="3"/>
  <c r="K104" i="3"/>
  <c r="J104" i="3"/>
  <c r="I104" i="3"/>
  <c r="H104" i="3"/>
  <c r="G104" i="3"/>
  <c r="F104" i="3"/>
  <c r="E104" i="3"/>
  <c r="D104" i="3"/>
  <c r="C104" i="3"/>
  <c r="B104" i="3"/>
  <c r="A104" i="3"/>
  <c r="K103" i="3"/>
  <c r="J103" i="3"/>
  <c r="I103" i="3"/>
  <c r="H103" i="3"/>
  <c r="G103" i="3"/>
  <c r="F103" i="3"/>
  <c r="E103" i="3"/>
  <c r="D103" i="3"/>
  <c r="C103" i="3"/>
  <c r="B103" i="3"/>
  <c r="A103" i="3"/>
  <c r="K102" i="3"/>
  <c r="J102" i="3"/>
  <c r="I102" i="3"/>
  <c r="H102" i="3"/>
  <c r="G102" i="3"/>
  <c r="F102" i="3"/>
  <c r="E102" i="3"/>
  <c r="D102" i="3"/>
  <c r="C102" i="3"/>
  <c r="B102" i="3"/>
  <c r="A102" i="3"/>
  <c r="K101" i="3"/>
  <c r="J101" i="3"/>
  <c r="I101" i="3"/>
  <c r="H101" i="3"/>
  <c r="G101" i="3"/>
  <c r="F101" i="3"/>
  <c r="E101" i="3"/>
  <c r="D101" i="3"/>
  <c r="C101" i="3"/>
  <c r="B101" i="3"/>
  <c r="A101" i="3"/>
  <c r="K100" i="3"/>
  <c r="J100" i="3"/>
  <c r="I100" i="3"/>
  <c r="H100" i="3"/>
  <c r="G100" i="3"/>
  <c r="F100" i="3"/>
  <c r="E100" i="3"/>
  <c r="D100" i="3"/>
  <c r="C100" i="3"/>
  <c r="B100" i="3"/>
  <c r="A100" i="3"/>
  <c r="K99" i="3"/>
  <c r="J99" i="3"/>
  <c r="I99" i="3"/>
  <c r="H99" i="3"/>
  <c r="G99" i="3"/>
  <c r="F99" i="3"/>
  <c r="E99" i="3"/>
  <c r="D99" i="3"/>
  <c r="C99" i="3"/>
  <c r="B99" i="3"/>
  <c r="A99" i="3"/>
  <c r="K98" i="3"/>
  <c r="J98" i="3"/>
  <c r="I98" i="3"/>
  <c r="H98" i="3"/>
  <c r="G98" i="3"/>
  <c r="F98" i="3"/>
  <c r="E98" i="3"/>
  <c r="D98" i="3"/>
  <c r="C98" i="3"/>
  <c r="B98" i="3"/>
  <c r="A98" i="3"/>
  <c r="K97" i="3"/>
  <c r="J97" i="3"/>
  <c r="I97" i="3"/>
  <c r="H97" i="3"/>
  <c r="G97" i="3"/>
  <c r="F97" i="3"/>
  <c r="E97" i="3"/>
  <c r="D97" i="3"/>
  <c r="C97" i="3"/>
  <c r="B97" i="3"/>
  <c r="A97" i="3"/>
  <c r="K96" i="3"/>
  <c r="J96" i="3"/>
  <c r="I96" i="3"/>
  <c r="H96" i="3"/>
  <c r="G96" i="3"/>
  <c r="F96" i="3"/>
  <c r="E96" i="3"/>
  <c r="D96" i="3"/>
  <c r="C96" i="3"/>
  <c r="B96" i="3"/>
  <c r="A96" i="3"/>
  <c r="K95" i="3"/>
  <c r="J95" i="3"/>
  <c r="I95" i="3"/>
  <c r="H95" i="3"/>
  <c r="G95" i="3"/>
  <c r="F95" i="3"/>
  <c r="E95" i="3"/>
  <c r="D95" i="3"/>
  <c r="C95" i="3"/>
  <c r="B95" i="3"/>
  <c r="A95" i="3"/>
  <c r="K94" i="3"/>
  <c r="J94" i="3"/>
  <c r="I94" i="3"/>
  <c r="H94" i="3"/>
  <c r="G94" i="3"/>
  <c r="F94" i="3"/>
  <c r="E94" i="3"/>
  <c r="D94" i="3"/>
  <c r="C94" i="3"/>
  <c r="B94" i="3"/>
  <c r="A94" i="3"/>
  <c r="K93" i="3"/>
  <c r="J93" i="3"/>
  <c r="I93" i="3"/>
  <c r="H93" i="3"/>
  <c r="G93" i="3"/>
  <c r="F93" i="3"/>
  <c r="E93" i="3"/>
  <c r="D93" i="3"/>
  <c r="C93" i="3"/>
  <c r="B93" i="3"/>
  <c r="A93" i="3"/>
  <c r="K92" i="3"/>
  <c r="J92" i="3"/>
  <c r="I92" i="3"/>
  <c r="H92" i="3"/>
  <c r="G92" i="3"/>
  <c r="F92" i="3"/>
  <c r="E92" i="3"/>
  <c r="D92" i="3"/>
  <c r="C92" i="3"/>
  <c r="B92" i="3"/>
  <c r="A92" i="3"/>
  <c r="K91" i="3"/>
  <c r="J91" i="3"/>
  <c r="I91" i="3"/>
  <c r="H91" i="3"/>
  <c r="G91" i="3"/>
  <c r="F91" i="3"/>
  <c r="E91" i="3"/>
  <c r="D91" i="3"/>
  <c r="C91" i="3"/>
  <c r="B91" i="3"/>
  <c r="A91" i="3"/>
  <c r="K90" i="3"/>
  <c r="J90" i="3"/>
  <c r="I90" i="3"/>
  <c r="H90" i="3"/>
  <c r="G90" i="3"/>
  <c r="F90" i="3"/>
  <c r="E90" i="3"/>
  <c r="D90" i="3"/>
  <c r="C90" i="3"/>
  <c r="B90" i="3"/>
  <c r="A90" i="3"/>
  <c r="K89" i="3"/>
  <c r="J89" i="3"/>
  <c r="I89" i="3"/>
  <c r="H89" i="3"/>
  <c r="G89" i="3"/>
  <c r="F89" i="3"/>
  <c r="E89" i="3"/>
  <c r="D89" i="3"/>
  <c r="C89" i="3"/>
  <c r="B89" i="3"/>
  <c r="A89" i="3"/>
  <c r="K88" i="3"/>
  <c r="J88" i="3"/>
  <c r="I88" i="3"/>
  <c r="H88" i="3"/>
  <c r="G88" i="3"/>
  <c r="F88" i="3"/>
  <c r="E88" i="3"/>
  <c r="D88" i="3"/>
  <c r="C88" i="3"/>
  <c r="B88" i="3"/>
  <c r="A88" i="3"/>
  <c r="K87" i="3"/>
  <c r="J87" i="3"/>
  <c r="I87" i="3"/>
  <c r="H87" i="3"/>
  <c r="G87" i="3"/>
  <c r="F87" i="3"/>
  <c r="E87" i="3"/>
  <c r="D87" i="3"/>
  <c r="C87" i="3"/>
  <c r="B87" i="3"/>
  <c r="A87" i="3"/>
  <c r="K86" i="3"/>
  <c r="J86" i="3"/>
  <c r="I86" i="3"/>
  <c r="H86" i="3"/>
  <c r="G86" i="3"/>
  <c r="F86" i="3"/>
  <c r="E86" i="3"/>
  <c r="D86" i="3"/>
  <c r="C86" i="3"/>
  <c r="B86" i="3"/>
  <c r="A86" i="3"/>
  <c r="K85" i="3"/>
  <c r="J85" i="3"/>
  <c r="I85" i="3"/>
  <c r="H85" i="3"/>
  <c r="G85" i="3"/>
  <c r="F85" i="3"/>
  <c r="E85" i="3"/>
  <c r="D85" i="3"/>
  <c r="C85" i="3"/>
  <c r="B85" i="3"/>
  <c r="A85" i="3"/>
  <c r="K84" i="3"/>
  <c r="J84" i="3"/>
  <c r="I84" i="3"/>
  <c r="H84" i="3"/>
  <c r="G84" i="3"/>
  <c r="F84" i="3"/>
  <c r="E84" i="3"/>
  <c r="D84" i="3"/>
  <c r="C84" i="3"/>
  <c r="B84" i="3"/>
  <c r="A84" i="3"/>
  <c r="K83" i="3"/>
  <c r="J83" i="3"/>
  <c r="I83" i="3"/>
  <c r="H83" i="3"/>
  <c r="G83" i="3"/>
  <c r="F83" i="3"/>
  <c r="E83" i="3"/>
  <c r="D83" i="3"/>
  <c r="C83" i="3"/>
  <c r="B83" i="3"/>
  <c r="A83" i="3"/>
  <c r="K82" i="3"/>
  <c r="J82" i="3"/>
  <c r="I82" i="3"/>
  <c r="H82" i="3"/>
  <c r="G82" i="3"/>
  <c r="F82" i="3"/>
  <c r="E82" i="3"/>
  <c r="D82" i="3"/>
  <c r="C82" i="3"/>
  <c r="B82" i="3"/>
  <c r="A82" i="3"/>
  <c r="K81" i="3"/>
  <c r="J81" i="3"/>
  <c r="I81" i="3"/>
  <c r="H81" i="3"/>
  <c r="G81" i="3"/>
  <c r="F81" i="3"/>
  <c r="E81" i="3"/>
  <c r="D81" i="3"/>
  <c r="C81" i="3"/>
  <c r="B81" i="3"/>
  <c r="A81" i="3"/>
  <c r="K80" i="3"/>
  <c r="J80" i="3"/>
  <c r="I80" i="3"/>
  <c r="H80" i="3"/>
  <c r="G80" i="3"/>
  <c r="F80" i="3"/>
  <c r="E80" i="3"/>
  <c r="D80" i="3"/>
  <c r="C80" i="3"/>
  <c r="B80" i="3"/>
  <c r="A80" i="3"/>
  <c r="K79" i="3"/>
  <c r="J79" i="3"/>
  <c r="I79" i="3"/>
  <c r="H79" i="3"/>
  <c r="G79" i="3"/>
  <c r="F79" i="3"/>
  <c r="E79" i="3"/>
  <c r="D79" i="3"/>
  <c r="C79" i="3"/>
  <c r="B79" i="3"/>
  <c r="A79" i="3"/>
  <c r="K78" i="3"/>
  <c r="J78" i="3"/>
  <c r="I78" i="3"/>
  <c r="H78" i="3"/>
  <c r="G78" i="3"/>
  <c r="F78" i="3"/>
  <c r="E78" i="3"/>
  <c r="D78" i="3"/>
  <c r="C78" i="3"/>
  <c r="B78" i="3"/>
  <c r="A78" i="3"/>
  <c r="K77" i="3"/>
  <c r="J77" i="3"/>
  <c r="I77" i="3"/>
  <c r="H77" i="3"/>
  <c r="G77" i="3"/>
  <c r="F77" i="3"/>
  <c r="E77" i="3"/>
  <c r="D77" i="3"/>
  <c r="C77" i="3"/>
  <c r="B77" i="3"/>
  <c r="A77" i="3"/>
  <c r="K76" i="3"/>
  <c r="J76" i="3"/>
  <c r="I76" i="3"/>
  <c r="H76" i="3"/>
  <c r="G76" i="3"/>
  <c r="F76" i="3"/>
  <c r="E76" i="3"/>
  <c r="D76" i="3"/>
  <c r="C76" i="3"/>
  <c r="B76" i="3"/>
  <c r="A76" i="3"/>
  <c r="K75" i="3"/>
  <c r="J75" i="3"/>
  <c r="I75" i="3"/>
  <c r="H75" i="3"/>
  <c r="G75" i="3"/>
  <c r="F75" i="3"/>
  <c r="E75" i="3"/>
  <c r="D75" i="3"/>
  <c r="C75" i="3"/>
  <c r="B75" i="3"/>
  <c r="A75" i="3"/>
  <c r="K74" i="3"/>
  <c r="J74" i="3"/>
  <c r="I74" i="3"/>
  <c r="H74" i="3"/>
  <c r="G74" i="3"/>
  <c r="F74" i="3"/>
  <c r="E74" i="3"/>
  <c r="D74" i="3"/>
  <c r="C74" i="3"/>
  <c r="B74" i="3"/>
  <c r="A74" i="3"/>
  <c r="K73" i="3"/>
  <c r="J73" i="3"/>
  <c r="I73" i="3"/>
  <c r="H73" i="3"/>
  <c r="G73" i="3"/>
  <c r="F73" i="3"/>
  <c r="E73" i="3"/>
  <c r="D73" i="3"/>
  <c r="C73" i="3"/>
  <c r="B73" i="3"/>
  <c r="A73" i="3"/>
  <c r="K72" i="3"/>
  <c r="J72" i="3"/>
  <c r="I72" i="3"/>
  <c r="H72" i="3"/>
  <c r="G72" i="3"/>
  <c r="F72" i="3"/>
  <c r="E72" i="3"/>
  <c r="D72" i="3"/>
  <c r="C72" i="3"/>
  <c r="B72" i="3"/>
  <c r="A72" i="3"/>
  <c r="K71" i="3"/>
  <c r="J71" i="3"/>
  <c r="I71" i="3"/>
  <c r="H71" i="3"/>
  <c r="G71" i="3"/>
  <c r="F71" i="3"/>
  <c r="E71" i="3"/>
  <c r="D71" i="3"/>
  <c r="C71" i="3"/>
  <c r="B71" i="3"/>
  <c r="A71" i="3"/>
  <c r="K70" i="3"/>
  <c r="J70" i="3"/>
  <c r="I70" i="3"/>
  <c r="H70" i="3"/>
  <c r="G70" i="3"/>
  <c r="F70" i="3"/>
  <c r="E70" i="3"/>
  <c r="D70" i="3"/>
  <c r="C70" i="3"/>
  <c r="B70" i="3"/>
  <c r="A70" i="3"/>
  <c r="K69" i="3"/>
  <c r="J69" i="3"/>
  <c r="I69" i="3"/>
  <c r="H69" i="3"/>
  <c r="G69" i="3"/>
  <c r="F69" i="3"/>
  <c r="E69" i="3"/>
  <c r="D69" i="3"/>
  <c r="C69" i="3"/>
  <c r="B69" i="3"/>
  <c r="A69" i="3"/>
  <c r="K68" i="3"/>
  <c r="J68" i="3"/>
  <c r="I68" i="3"/>
  <c r="H68" i="3"/>
  <c r="G68" i="3"/>
  <c r="F68" i="3"/>
  <c r="E68" i="3"/>
  <c r="D68" i="3"/>
  <c r="C68" i="3"/>
  <c r="B68" i="3"/>
  <c r="A68" i="3"/>
  <c r="K67" i="3"/>
  <c r="J67" i="3"/>
  <c r="I67" i="3"/>
  <c r="H67" i="3"/>
  <c r="G67" i="3"/>
  <c r="F67" i="3"/>
  <c r="E67" i="3"/>
  <c r="D67" i="3"/>
  <c r="C67" i="3"/>
  <c r="B67" i="3"/>
  <c r="A67" i="3"/>
  <c r="K66" i="3"/>
  <c r="J66" i="3"/>
  <c r="I66" i="3"/>
  <c r="H66" i="3"/>
  <c r="G66" i="3"/>
  <c r="F66" i="3"/>
  <c r="E66" i="3"/>
  <c r="D66" i="3"/>
  <c r="C66" i="3"/>
  <c r="B66" i="3"/>
  <c r="A66" i="3"/>
  <c r="K65" i="3"/>
  <c r="J65" i="3"/>
  <c r="I65" i="3"/>
  <c r="H65" i="3"/>
  <c r="G65" i="3"/>
  <c r="F65" i="3"/>
  <c r="E65" i="3"/>
  <c r="D65" i="3"/>
  <c r="C65" i="3"/>
  <c r="B65" i="3"/>
  <c r="A65" i="3"/>
  <c r="K64" i="3"/>
  <c r="J64" i="3"/>
  <c r="I64" i="3"/>
  <c r="H64" i="3"/>
  <c r="G64" i="3"/>
  <c r="F64" i="3"/>
  <c r="E64" i="3"/>
  <c r="D64" i="3"/>
  <c r="C64" i="3"/>
  <c r="B64" i="3"/>
  <c r="A64" i="3"/>
  <c r="K63" i="3"/>
  <c r="J63" i="3"/>
  <c r="I63" i="3"/>
  <c r="H63" i="3"/>
  <c r="G63" i="3"/>
  <c r="F63" i="3"/>
  <c r="E63" i="3"/>
  <c r="D63" i="3"/>
  <c r="C63" i="3"/>
  <c r="B63" i="3"/>
  <c r="A63" i="3"/>
  <c r="K62" i="3"/>
  <c r="J62" i="3"/>
  <c r="I62" i="3"/>
  <c r="H62" i="3"/>
  <c r="G62" i="3"/>
  <c r="F62" i="3"/>
  <c r="E62" i="3"/>
  <c r="D62" i="3"/>
  <c r="C62" i="3"/>
  <c r="B62" i="3"/>
  <c r="A62" i="3"/>
  <c r="K61" i="3"/>
  <c r="J61" i="3"/>
  <c r="I61" i="3"/>
  <c r="H61" i="3"/>
  <c r="G61" i="3"/>
  <c r="F61" i="3"/>
  <c r="E61" i="3"/>
  <c r="D61" i="3"/>
  <c r="C61" i="3"/>
  <c r="B61" i="3"/>
  <c r="A61" i="3"/>
  <c r="K60" i="3"/>
  <c r="J60" i="3"/>
  <c r="I60" i="3"/>
  <c r="H60" i="3"/>
  <c r="G60" i="3"/>
  <c r="F60" i="3"/>
  <c r="E60" i="3"/>
  <c r="D60" i="3"/>
  <c r="C60" i="3"/>
  <c r="B60" i="3"/>
  <c r="A60" i="3"/>
  <c r="K59" i="3"/>
  <c r="J59" i="3"/>
  <c r="I59" i="3"/>
  <c r="H59" i="3"/>
  <c r="G59" i="3"/>
  <c r="F59" i="3"/>
  <c r="E59" i="3"/>
  <c r="D59" i="3"/>
  <c r="C59" i="3"/>
  <c r="B59" i="3"/>
  <c r="A59" i="3"/>
  <c r="K58" i="3"/>
  <c r="J58" i="3"/>
  <c r="I58" i="3"/>
  <c r="H58" i="3"/>
  <c r="G58" i="3"/>
  <c r="F58" i="3"/>
  <c r="E58" i="3"/>
  <c r="D58" i="3"/>
  <c r="C58" i="3"/>
  <c r="B58" i="3"/>
  <c r="A58" i="3"/>
  <c r="K57" i="3"/>
  <c r="J57" i="3"/>
  <c r="I57" i="3"/>
  <c r="H57" i="3"/>
  <c r="G57" i="3"/>
  <c r="F57" i="3"/>
  <c r="E57" i="3"/>
  <c r="D57" i="3"/>
  <c r="C57" i="3"/>
  <c r="B57" i="3"/>
  <c r="A57" i="3"/>
  <c r="K56" i="3"/>
  <c r="J56" i="3"/>
  <c r="I56" i="3"/>
  <c r="H56" i="3"/>
  <c r="G56" i="3"/>
  <c r="F56" i="3"/>
  <c r="E56" i="3"/>
  <c r="D56" i="3"/>
  <c r="C56" i="3"/>
  <c r="B56" i="3"/>
  <c r="A56" i="3"/>
  <c r="K55" i="3"/>
  <c r="J55" i="3"/>
  <c r="I55" i="3"/>
  <c r="H55" i="3"/>
  <c r="G55" i="3"/>
  <c r="F55" i="3"/>
  <c r="E55" i="3"/>
  <c r="D55" i="3"/>
  <c r="C55" i="3"/>
  <c r="B55" i="3"/>
  <c r="A55" i="3"/>
  <c r="K54" i="3"/>
  <c r="J54" i="3"/>
  <c r="I54" i="3"/>
  <c r="H54" i="3"/>
  <c r="G54" i="3"/>
  <c r="F54" i="3"/>
  <c r="E54" i="3"/>
  <c r="D54" i="3"/>
  <c r="C54" i="3"/>
  <c r="B54" i="3"/>
  <c r="A54" i="3"/>
  <c r="K53" i="3"/>
  <c r="J53" i="3"/>
  <c r="I53" i="3"/>
  <c r="H53" i="3"/>
  <c r="G53" i="3"/>
  <c r="F53" i="3"/>
  <c r="E53" i="3"/>
  <c r="D53" i="3"/>
  <c r="C53" i="3"/>
  <c r="B53" i="3"/>
  <c r="A53" i="3"/>
  <c r="K52" i="3"/>
  <c r="J52" i="3"/>
  <c r="I52" i="3"/>
  <c r="H52" i="3"/>
  <c r="G52" i="3"/>
  <c r="F52" i="3"/>
  <c r="E52" i="3"/>
  <c r="D52" i="3"/>
  <c r="C52" i="3"/>
  <c r="B52" i="3"/>
  <c r="A52" i="3"/>
  <c r="K51" i="3"/>
  <c r="J51" i="3"/>
  <c r="I51" i="3"/>
  <c r="H51" i="3"/>
  <c r="G51" i="3"/>
  <c r="F51" i="3"/>
  <c r="E51" i="3"/>
  <c r="D51" i="3"/>
  <c r="C51" i="3"/>
  <c r="B51" i="3"/>
  <c r="A51" i="3"/>
  <c r="K50" i="3"/>
  <c r="J50" i="3"/>
  <c r="I50" i="3"/>
  <c r="H50" i="3"/>
  <c r="G50" i="3"/>
  <c r="F50" i="3"/>
  <c r="E50" i="3"/>
  <c r="D50" i="3"/>
  <c r="C50" i="3"/>
  <c r="B50" i="3"/>
  <c r="A50" i="3"/>
  <c r="K49" i="3"/>
  <c r="J49" i="3"/>
  <c r="I49" i="3"/>
  <c r="H49" i="3"/>
  <c r="G49" i="3"/>
  <c r="F49" i="3"/>
  <c r="E49" i="3"/>
  <c r="D49" i="3"/>
  <c r="C49" i="3"/>
  <c r="B49" i="3"/>
  <c r="A49" i="3"/>
  <c r="K48" i="3"/>
  <c r="J48" i="3"/>
  <c r="I48" i="3"/>
  <c r="H48" i="3"/>
  <c r="G48" i="3"/>
  <c r="F48" i="3"/>
  <c r="E48" i="3"/>
  <c r="D48" i="3"/>
  <c r="C48" i="3"/>
  <c r="B48" i="3"/>
  <c r="A48" i="3"/>
  <c r="K47" i="3"/>
  <c r="J47" i="3"/>
  <c r="I47" i="3"/>
  <c r="H47" i="3"/>
  <c r="G47" i="3"/>
  <c r="F47" i="3"/>
  <c r="E47" i="3"/>
  <c r="D47" i="3"/>
  <c r="C47" i="3"/>
  <c r="B47" i="3"/>
  <c r="A47" i="3"/>
  <c r="K46" i="3"/>
  <c r="J46" i="3"/>
  <c r="I46" i="3"/>
  <c r="H46" i="3"/>
  <c r="G46" i="3"/>
  <c r="F46" i="3"/>
  <c r="E46" i="3"/>
  <c r="D46" i="3"/>
  <c r="C46" i="3"/>
  <c r="B46" i="3"/>
  <c r="A46" i="3"/>
  <c r="K45" i="3"/>
  <c r="J45" i="3"/>
  <c r="I45" i="3"/>
  <c r="H45" i="3"/>
  <c r="G45" i="3"/>
  <c r="F45" i="3"/>
  <c r="E45" i="3"/>
  <c r="D45" i="3"/>
  <c r="C45" i="3"/>
  <c r="B45" i="3"/>
  <c r="A45" i="3"/>
  <c r="K44" i="3"/>
  <c r="J44" i="3"/>
  <c r="I44" i="3"/>
  <c r="H44" i="3"/>
  <c r="G44" i="3"/>
  <c r="F44" i="3"/>
  <c r="E44" i="3"/>
  <c r="D44" i="3"/>
  <c r="C44" i="3"/>
  <c r="B44" i="3"/>
  <c r="A44" i="3"/>
  <c r="K43" i="3"/>
  <c r="J43" i="3"/>
  <c r="I43" i="3"/>
  <c r="H43" i="3"/>
  <c r="G43" i="3"/>
  <c r="F43" i="3"/>
  <c r="E43" i="3"/>
  <c r="D43" i="3"/>
  <c r="C43" i="3"/>
  <c r="B43" i="3"/>
  <c r="A43" i="3"/>
  <c r="K42" i="3"/>
  <c r="J42" i="3"/>
  <c r="I42" i="3"/>
  <c r="H42" i="3"/>
  <c r="G42" i="3"/>
  <c r="F42" i="3"/>
  <c r="E42" i="3"/>
  <c r="D42" i="3"/>
  <c r="C42" i="3"/>
  <c r="B42" i="3"/>
  <c r="A42" i="3"/>
  <c r="K41" i="3"/>
  <c r="J41" i="3"/>
  <c r="I41" i="3"/>
  <c r="H41" i="3"/>
  <c r="G41" i="3"/>
  <c r="F41" i="3"/>
  <c r="E41" i="3"/>
  <c r="D41" i="3"/>
  <c r="C41" i="3"/>
  <c r="B41" i="3"/>
  <c r="A41" i="3"/>
  <c r="K40" i="3"/>
  <c r="J40" i="3"/>
  <c r="I40" i="3"/>
  <c r="H40" i="3"/>
  <c r="G40" i="3"/>
  <c r="F40" i="3"/>
  <c r="E40" i="3"/>
  <c r="D40" i="3"/>
  <c r="C40" i="3"/>
  <c r="B40" i="3"/>
  <c r="A40" i="3"/>
  <c r="K39" i="3"/>
  <c r="J39" i="3"/>
  <c r="I39" i="3"/>
  <c r="H39" i="3"/>
  <c r="G39" i="3"/>
  <c r="F39" i="3"/>
  <c r="E39" i="3"/>
  <c r="D39" i="3"/>
  <c r="C39" i="3"/>
  <c r="B39" i="3"/>
  <c r="A39" i="3"/>
  <c r="K38" i="3"/>
  <c r="J38" i="3"/>
  <c r="I38" i="3"/>
  <c r="H38" i="3"/>
  <c r="G38" i="3"/>
  <c r="F38" i="3"/>
  <c r="E38" i="3"/>
  <c r="D38" i="3"/>
  <c r="C38" i="3"/>
  <c r="B38" i="3"/>
  <c r="A38" i="3"/>
  <c r="K37" i="3"/>
  <c r="J37" i="3"/>
  <c r="I37" i="3"/>
  <c r="H37" i="3"/>
  <c r="G37" i="3"/>
  <c r="F37" i="3"/>
  <c r="E37" i="3"/>
  <c r="D37" i="3"/>
  <c r="C37" i="3"/>
  <c r="B37" i="3"/>
  <c r="A37" i="3"/>
  <c r="K36" i="3"/>
  <c r="J36" i="3"/>
  <c r="I36" i="3"/>
  <c r="H36" i="3"/>
  <c r="G36" i="3"/>
  <c r="F36" i="3"/>
  <c r="E36" i="3"/>
  <c r="D36" i="3"/>
  <c r="C36" i="3"/>
  <c r="B36" i="3"/>
  <c r="A36" i="3"/>
  <c r="K35" i="3"/>
  <c r="J35" i="3"/>
  <c r="I35" i="3"/>
  <c r="H35" i="3"/>
  <c r="G35" i="3"/>
  <c r="F35" i="3"/>
  <c r="E35" i="3"/>
  <c r="D35" i="3"/>
  <c r="C35" i="3"/>
  <c r="B35" i="3"/>
  <c r="A35" i="3"/>
  <c r="K34" i="3"/>
  <c r="J34" i="3"/>
  <c r="I34" i="3"/>
  <c r="H34" i="3"/>
  <c r="G34" i="3"/>
  <c r="F34" i="3"/>
  <c r="E34" i="3"/>
  <c r="D34" i="3"/>
  <c r="C34" i="3"/>
  <c r="B34" i="3"/>
  <c r="A34" i="3"/>
  <c r="K33" i="3"/>
  <c r="J33" i="3"/>
  <c r="I33" i="3"/>
  <c r="H33" i="3"/>
  <c r="G33" i="3"/>
  <c r="F33" i="3"/>
  <c r="E33" i="3"/>
  <c r="D33" i="3"/>
  <c r="C33" i="3"/>
  <c r="B33" i="3"/>
  <c r="A33" i="3"/>
  <c r="K32" i="3"/>
  <c r="J32" i="3"/>
  <c r="I32" i="3"/>
  <c r="H32" i="3"/>
  <c r="G32" i="3"/>
  <c r="F32" i="3"/>
  <c r="E32" i="3"/>
  <c r="D32" i="3"/>
  <c r="C32" i="3"/>
  <c r="B32" i="3"/>
  <c r="A32" i="3"/>
  <c r="K31" i="3"/>
  <c r="J31" i="3"/>
  <c r="I31" i="3"/>
  <c r="H31" i="3"/>
  <c r="G31" i="3"/>
  <c r="F31" i="3"/>
  <c r="E31" i="3"/>
  <c r="D31" i="3"/>
  <c r="C31" i="3"/>
  <c r="B31" i="3"/>
  <c r="A31" i="3"/>
  <c r="K30" i="3"/>
  <c r="J30" i="3"/>
  <c r="I30" i="3"/>
  <c r="H30" i="3"/>
  <c r="G30" i="3"/>
  <c r="F30" i="3"/>
  <c r="E30" i="3"/>
  <c r="D30" i="3"/>
  <c r="C30" i="3"/>
  <c r="B30" i="3"/>
  <c r="A30" i="3"/>
  <c r="K29" i="3"/>
  <c r="J29" i="3"/>
  <c r="I29" i="3"/>
  <c r="H29" i="3"/>
  <c r="G29" i="3"/>
  <c r="F29" i="3"/>
  <c r="E29" i="3"/>
  <c r="D29" i="3"/>
  <c r="C29" i="3"/>
  <c r="B29" i="3"/>
  <c r="A29" i="3"/>
  <c r="K28" i="3"/>
  <c r="J28" i="3"/>
  <c r="I28" i="3"/>
  <c r="H28" i="3"/>
  <c r="G28" i="3"/>
  <c r="F28" i="3"/>
  <c r="E28" i="3"/>
  <c r="D28" i="3"/>
  <c r="C28" i="3"/>
  <c r="B28" i="3"/>
  <c r="A28" i="3"/>
  <c r="K27" i="3"/>
  <c r="J27" i="3"/>
  <c r="I27" i="3"/>
  <c r="H27" i="3"/>
  <c r="G27" i="3"/>
  <c r="F27" i="3"/>
  <c r="E27" i="3"/>
  <c r="D27" i="3"/>
  <c r="C27" i="3"/>
  <c r="B27" i="3"/>
  <c r="A27" i="3"/>
  <c r="K26" i="3"/>
  <c r="J26" i="3"/>
  <c r="I26" i="3"/>
  <c r="H26" i="3"/>
  <c r="G26" i="3"/>
  <c r="F26" i="3"/>
  <c r="E26" i="3"/>
  <c r="D26" i="3"/>
  <c r="C26" i="3"/>
  <c r="B26" i="3"/>
  <c r="A26" i="3"/>
  <c r="K25" i="3"/>
  <c r="J25" i="3"/>
  <c r="I25" i="3"/>
  <c r="H25" i="3"/>
  <c r="G25" i="3"/>
  <c r="F25" i="3"/>
  <c r="E25" i="3"/>
  <c r="D25" i="3"/>
  <c r="C25" i="3"/>
  <c r="B25" i="3"/>
  <c r="A25" i="3"/>
  <c r="K24" i="3"/>
  <c r="J24" i="3"/>
  <c r="I24" i="3"/>
  <c r="H24" i="3"/>
  <c r="G24" i="3"/>
  <c r="F24" i="3"/>
  <c r="E24" i="3"/>
  <c r="D24" i="3"/>
  <c r="C24" i="3"/>
  <c r="B24" i="3"/>
  <c r="A24" i="3"/>
  <c r="K23" i="3"/>
  <c r="J23" i="3"/>
  <c r="I23" i="3"/>
  <c r="H23" i="3"/>
  <c r="G23" i="3"/>
  <c r="F23" i="3"/>
  <c r="E23" i="3"/>
  <c r="D23" i="3"/>
  <c r="C23" i="3"/>
  <c r="B23" i="3"/>
  <c r="A23" i="3"/>
  <c r="K22" i="3"/>
  <c r="J22" i="3"/>
  <c r="I22" i="3"/>
  <c r="H22" i="3"/>
  <c r="G22" i="3"/>
  <c r="F22" i="3"/>
  <c r="E22" i="3"/>
  <c r="D22" i="3"/>
  <c r="C22" i="3"/>
  <c r="B22" i="3"/>
  <c r="A22" i="3"/>
  <c r="K21" i="3"/>
  <c r="J21" i="3"/>
  <c r="I21" i="3"/>
  <c r="H21" i="3"/>
  <c r="G21" i="3"/>
  <c r="F21" i="3"/>
  <c r="E21" i="3"/>
  <c r="D21" i="3"/>
  <c r="C21" i="3"/>
  <c r="B21" i="3"/>
  <c r="A21" i="3"/>
  <c r="K20" i="3"/>
  <c r="J20" i="3"/>
  <c r="I20" i="3"/>
  <c r="H20" i="3"/>
  <c r="G20" i="3"/>
  <c r="F20" i="3"/>
  <c r="E20" i="3"/>
  <c r="D20" i="3"/>
  <c r="C20" i="3"/>
  <c r="B20" i="3"/>
  <c r="A20" i="3"/>
  <c r="K19" i="3"/>
  <c r="J19" i="3"/>
  <c r="I19" i="3"/>
  <c r="H19" i="3"/>
  <c r="G19" i="3"/>
  <c r="F19" i="3"/>
  <c r="E19" i="3"/>
  <c r="D19" i="3"/>
  <c r="C19" i="3"/>
  <c r="B19" i="3"/>
  <c r="A19" i="3"/>
  <c r="K18" i="3"/>
  <c r="J18" i="3"/>
  <c r="I18" i="3"/>
  <c r="H18" i="3"/>
  <c r="G18" i="3"/>
  <c r="F18" i="3"/>
  <c r="E18" i="3"/>
  <c r="D18" i="3"/>
  <c r="C18" i="3"/>
  <c r="B18" i="3"/>
  <c r="A18" i="3"/>
  <c r="K17" i="3"/>
  <c r="J17" i="3"/>
  <c r="I17" i="3"/>
  <c r="H17" i="3"/>
  <c r="G17" i="3"/>
  <c r="F17" i="3"/>
  <c r="E17" i="3"/>
  <c r="D17" i="3"/>
  <c r="C17" i="3"/>
  <c r="B17" i="3"/>
  <c r="A17" i="3"/>
  <c r="K16" i="3"/>
  <c r="J16" i="3"/>
  <c r="I16" i="3"/>
  <c r="H16" i="3"/>
  <c r="G16" i="3"/>
  <c r="F16" i="3"/>
  <c r="E16" i="3"/>
  <c r="D16" i="3"/>
  <c r="C16" i="3"/>
  <c r="B16" i="3"/>
  <c r="A16" i="3"/>
  <c r="K15" i="3"/>
  <c r="J15" i="3"/>
  <c r="I15" i="3"/>
  <c r="H15" i="3"/>
  <c r="G15" i="3"/>
  <c r="F15" i="3"/>
  <c r="E15" i="3"/>
  <c r="D15" i="3"/>
  <c r="C15" i="3"/>
  <c r="B15" i="3"/>
  <c r="A15" i="3"/>
  <c r="K14" i="3"/>
  <c r="J14" i="3"/>
  <c r="I14" i="3"/>
  <c r="H14" i="3"/>
  <c r="G14" i="3"/>
  <c r="F14" i="3"/>
  <c r="E14" i="3"/>
  <c r="D14" i="3"/>
  <c r="C14" i="3"/>
  <c r="B14" i="3"/>
  <c r="A14" i="3"/>
  <c r="K13" i="3"/>
  <c r="J13" i="3"/>
  <c r="I13" i="3"/>
  <c r="H13" i="3"/>
  <c r="G13" i="3"/>
  <c r="F13" i="3"/>
  <c r="E13" i="3"/>
  <c r="D13" i="3"/>
  <c r="C13" i="3"/>
  <c r="B13" i="3"/>
  <c r="A13" i="3"/>
  <c r="K12" i="3"/>
  <c r="J12" i="3"/>
  <c r="I12" i="3"/>
  <c r="H12" i="3"/>
  <c r="G12" i="3"/>
  <c r="F12" i="3"/>
  <c r="E12" i="3"/>
  <c r="D12" i="3"/>
  <c r="C12" i="3"/>
  <c r="B12" i="3"/>
  <c r="A12" i="3"/>
  <c r="K11" i="3"/>
  <c r="J11" i="3"/>
  <c r="I11" i="3"/>
  <c r="H11" i="3"/>
  <c r="G11" i="3"/>
  <c r="F11" i="3"/>
  <c r="E11" i="3"/>
  <c r="D11" i="3"/>
  <c r="C11" i="3"/>
  <c r="B11" i="3"/>
  <c r="A11" i="3"/>
  <c r="K10" i="3"/>
  <c r="J10" i="3"/>
  <c r="I10" i="3"/>
  <c r="H10" i="3"/>
  <c r="G10" i="3"/>
  <c r="F10" i="3"/>
  <c r="E10" i="3"/>
  <c r="D10" i="3"/>
  <c r="C10" i="3"/>
  <c r="B10" i="3"/>
  <c r="A10" i="3"/>
  <c r="K9" i="3"/>
  <c r="J9" i="3"/>
  <c r="I9" i="3"/>
  <c r="H9" i="3"/>
  <c r="G9" i="3"/>
  <c r="F9" i="3"/>
  <c r="E9" i="3"/>
  <c r="D9" i="3"/>
  <c r="C9" i="3"/>
  <c r="B9" i="3"/>
  <c r="A9" i="3"/>
  <c r="K8" i="3"/>
  <c r="J8" i="3"/>
  <c r="I8" i="3"/>
  <c r="H8" i="3"/>
  <c r="G8" i="3"/>
  <c r="F8" i="3"/>
  <c r="E8" i="3"/>
  <c r="D8" i="3"/>
  <c r="C8" i="3"/>
  <c r="B8" i="3"/>
  <c r="A8" i="3"/>
  <c r="K7" i="3"/>
  <c r="J7" i="3"/>
  <c r="I7" i="3"/>
  <c r="H7" i="3"/>
  <c r="G7" i="3"/>
  <c r="F7" i="3"/>
  <c r="E7" i="3"/>
  <c r="D7" i="3"/>
  <c r="C7" i="3"/>
  <c r="B7" i="3"/>
  <c r="A7" i="3"/>
  <c r="K6" i="3"/>
  <c r="J6" i="3"/>
  <c r="I6" i="3"/>
  <c r="H6" i="3"/>
  <c r="G6" i="3"/>
  <c r="F6" i="3"/>
  <c r="E6" i="3"/>
  <c r="D6" i="3"/>
  <c r="C6" i="3"/>
  <c r="B6" i="3"/>
  <c r="A6" i="3"/>
  <c r="K5" i="3"/>
  <c r="J5" i="3"/>
  <c r="I5" i="3"/>
  <c r="H5" i="3"/>
  <c r="G5" i="3"/>
  <c r="F5" i="3"/>
  <c r="E5" i="3"/>
  <c r="D5" i="3"/>
  <c r="C5" i="3"/>
  <c r="B5" i="3"/>
  <c r="A5" i="3"/>
  <c r="K4" i="3"/>
  <c r="J4" i="3"/>
  <c r="I4" i="3"/>
  <c r="H4" i="3"/>
  <c r="G4" i="3"/>
  <c r="F4" i="3"/>
  <c r="E4" i="3"/>
  <c r="D4" i="3"/>
  <c r="C4" i="3"/>
  <c r="B4" i="3"/>
  <c r="A4" i="3"/>
  <c r="K3" i="3"/>
  <c r="J3" i="3"/>
  <c r="I3" i="3"/>
  <c r="H3" i="3"/>
  <c r="G3" i="3"/>
  <c r="F3" i="3"/>
  <c r="E3" i="3"/>
  <c r="D3" i="3"/>
  <c r="C3" i="3"/>
  <c r="B3" i="3"/>
  <c r="A3" i="3"/>
  <c r="K2" i="3"/>
  <c r="J2" i="3"/>
  <c r="I2" i="3"/>
  <c r="H2" i="3"/>
  <c r="G2" i="3"/>
  <c r="F2" i="3"/>
  <c r="E2" i="3"/>
  <c r="D2" i="3"/>
  <c r="C2" i="3"/>
  <c r="B2" i="3"/>
  <c r="A2" i="3"/>
  <c r="K2882" i="1"/>
  <c r="O2881" i="1"/>
  <c r="K2881" i="1"/>
  <c r="X2880" i="1"/>
  <c r="W2880" i="1"/>
  <c r="V2880" i="1"/>
  <c r="U2880" i="1"/>
  <c r="T2880" i="1"/>
  <c r="S2880" i="1"/>
  <c r="R2880" i="1"/>
  <c r="Q2880" i="1"/>
  <c r="K2877" i="1"/>
  <c r="O2876" i="1"/>
  <c r="K2876" i="1"/>
  <c r="X2875" i="1"/>
  <c r="W2875" i="1"/>
  <c r="V2875" i="1"/>
  <c r="U2875" i="1"/>
  <c r="T2875" i="1"/>
  <c r="S2875" i="1"/>
  <c r="R2875" i="1"/>
  <c r="Q2875" i="1"/>
  <c r="K2872" i="1"/>
  <c r="O2871" i="1"/>
  <c r="K2871" i="1"/>
  <c r="X2870" i="1"/>
  <c r="W2870" i="1"/>
  <c r="V2870" i="1"/>
  <c r="U2870" i="1"/>
  <c r="T2870" i="1"/>
  <c r="S2870" i="1"/>
  <c r="R2870" i="1"/>
  <c r="Q2870" i="1"/>
  <c r="K2867" i="1"/>
  <c r="O2866" i="1"/>
  <c r="K2866" i="1"/>
  <c r="X2865" i="1"/>
  <c r="W2865" i="1"/>
  <c r="V2865" i="1"/>
  <c r="U2865" i="1"/>
  <c r="T2865" i="1"/>
  <c r="S2865" i="1"/>
  <c r="R2865" i="1"/>
  <c r="Q2865" i="1"/>
  <c r="K2862" i="1"/>
  <c r="O2861" i="1"/>
  <c r="K2861" i="1"/>
  <c r="X2860" i="1"/>
  <c r="W2860" i="1"/>
  <c r="V2860" i="1"/>
  <c r="U2860" i="1"/>
  <c r="T2860" i="1"/>
  <c r="S2860" i="1"/>
  <c r="R2860" i="1"/>
  <c r="Q2860" i="1"/>
  <c r="K2857" i="1"/>
  <c r="O2856" i="1"/>
  <c r="K2856" i="1"/>
  <c r="X2855" i="1"/>
  <c r="W2855" i="1"/>
  <c r="V2855" i="1"/>
  <c r="U2855" i="1"/>
  <c r="T2855" i="1"/>
  <c r="S2855" i="1"/>
  <c r="R2855" i="1"/>
  <c r="Q2855" i="1"/>
  <c r="K2852" i="1"/>
  <c r="O2851" i="1"/>
  <c r="K2851" i="1"/>
  <c r="X2850" i="1"/>
  <c r="W2850" i="1"/>
  <c r="V2850" i="1"/>
  <c r="U2850" i="1"/>
  <c r="T2850" i="1"/>
  <c r="S2850" i="1"/>
  <c r="R2850" i="1"/>
  <c r="Q2850" i="1"/>
  <c r="K2847" i="1"/>
  <c r="O2846" i="1"/>
  <c r="K2846" i="1"/>
  <c r="X2845" i="1"/>
  <c r="W2845" i="1"/>
  <c r="V2845" i="1"/>
  <c r="U2845" i="1"/>
  <c r="T2845" i="1"/>
  <c r="S2845" i="1"/>
  <c r="R2845" i="1"/>
  <c r="Q2845" i="1"/>
  <c r="O2845" i="1"/>
  <c r="M2845" i="1"/>
  <c r="K2845" i="1"/>
  <c r="O2844" i="1"/>
  <c r="K2844" i="1"/>
  <c r="X2843" i="1"/>
  <c r="W2843" i="1"/>
  <c r="V2843" i="1"/>
  <c r="U2843" i="1"/>
  <c r="T2843" i="1"/>
  <c r="S2843" i="1"/>
  <c r="R2843" i="1"/>
  <c r="Q2843" i="1"/>
  <c r="K2840" i="1"/>
  <c r="O2839" i="1"/>
  <c r="K2839" i="1"/>
  <c r="X2838" i="1"/>
  <c r="W2838" i="1"/>
  <c r="V2838" i="1"/>
  <c r="U2838" i="1"/>
  <c r="T2838" i="1"/>
  <c r="S2838" i="1"/>
  <c r="R2838" i="1"/>
  <c r="Q2838" i="1"/>
  <c r="K2835" i="1"/>
  <c r="O2834" i="1"/>
  <c r="K2834" i="1"/>
  <c r="X2833" i="1"/>
  <c r="W2833" i="1"/>
  <c r="V2833" i="1"/>
  <c r="U2833" i="1"/>
  <c r="T2833" i="1"/>
  <c r="S2833" i="1"/>
  <c r="R2833" i="1"/>
  <c r="Q2833" i="1"/>
  <c r="O2833" i="1"/>
  <c r="M2833" i="1"/>
  <c r="K2833" i="1"/>
  <c r="O2832" i="1"/>
  <c r="K2832" i="1"/>
  <c r="X2831" i="1"/>
  <c r="W2831" i="1"/>
  <c r="V2831" i="1"/>
  <c r="U2831" i="1"/>
  <c r="T2831" i="1"/>
  <c r="S2831" i="1"/>
  <c r="R2831" i="1"/>
  <c r="Q2831" i="1"/>
  <c r="K2828" i="1"/>
  <c r="O2827" i="1"/>
  <c r="K2827" i="1"/>
  <c r="X2826" i="1"/>
  <c r="W2826" i="1"/>
  <c r="V2826" i="1"/>
  <c r="U2826" i="1"/>
  <c r="T2826" i="1"/>
  <c r="S2826" i="1"/>
  <c r="R2826" i="1"/>
  <c r="Q2826" i="1"/>
  <c r="O2826" i="1"/>
  <c r="M2826" i="1"/>
  <c r="K2826" i="1"/>
  <c r="O2825" i="1"/>
  <c r="K2825" i="1"/>
  <c r="X2824" i="1"/>
  <c r="W2824" i="1"/>
  <c r="V2824" i="1"/>
  <c r="U2824" i="1"/>
  <c r="T2824" i="1"/>
  <c r="S2824" i="1"/>
  <c r="R2824" i="1"/>
  <c r="Q2824" i="1"/>
  <c r="K2821" i="1"/>
  <c r="O2820" i="1"/>
  <c r="K2820" i="1"/>
  <c r="X2819" i="1"/>
  <c r="W2819" i="1"/>
  <c r="V2819" i="1"/>
  <c r="U2819" i="1"/>
  <c r="T2819" i="1"/>
  <c r="S2819" i="1"/>
  <c r="R2819" i="1"/>
  <c r="Q2819" i="1"/>
  <c r="K2816" i="1"/>
  <c r="O2815" i="1"/>
  <c r="K2815" i="1"/>
  <c r="X2814" i="1"/>
  <c r="W2814" i="1"/>
  <c r="V2814" i="1"/>
  <c r="U2814" i="1"/>
  <c r="T2814" i="1"/>
  <c r="S2814" i="1"/>
  <c r="R2814" i="1"/>
  <c r="Q2814" i="1"/>
  <c r="K2811" i="1"/>
  <c r="O2810" i="1"/>
  <c r="K2810" i="1"/>
  <c r="X2809" i="1"/>
  <c r="W2809" i="1"/>
  <c r="V2809" i="1"/>
  <c r="U2809" i="1"/>
  <c r="T2809" i="1"/>
  <c r="S2809" i="1"/>
  <c r="R2809" i="1"/>
  <c r="Q2809" i="1"/>
  <c r="K2806" i="1"/>
  <c r="O2805" i="1"/>
  <c r="K2805" i="1"/>
  <c r="X2804" i="1"/>
  <c r="W2804" i="1"/>
  <c r="V2804" i="1"/>
  <c r="U2804" i="1"/>
  <c r="T2804" i="1"/>
  <c r="S2804" i="1"/>
  <c r="R2804" i="1"/>
  <c r="Q2804" i="1"/>
  <c r="K2801" i="1"/>
  <c r="O2800" i="1"/>
  <c r="K2800" i="1"/>
  <c r="X2799" i="1"/>
  <c r="W2799" i="1"/>
  <c r="V2799" i="1"/>
  <c r="U2799" i="1"/>
  <c r="T2799" i="1"/>
  <c r="S2799" i="1"/>
  <c r="R2799" i="1"/>
  <c r="Q2799" i="1"/>
  <c r="O2799" i="1"/>
  <c r="M2799" i="1"/>
  <c r="K2799" i="1"/>
  <c r="O2798" i="1"/>
  <c r="K2798" i="1"/>
  <c r="X2797" i="1"/>
  <c r="W2797" i="1"/>
  <c r="V2797" i="1"/>
  <c r="U2797" i="1"/>
  <c r="T2797" i="1"/>
  <c r="S2797" i="1"/>
  <c r="R2797" i="1"/>
  <c r="Q2797" i="1"/>
  <c r="K2794" i="1"/>
  <c r="O2793" i="1"/>
  <c r="K2793" i="1"/>
  <c r="X2792" i="1"/>
  <c r="W2792" i="1"/>
  <c r="V2792" i="1"/>
  <c r="U2792" i="1"/>
  <c r="T2792" i="1"/>
  <c r="S2792" i="1"/>
  <c r="R2792" i="1"/>
  <c r="Q2792" i="1"/>
  <c r="O2792" i="1"/>
  <c r="M2792" i="1"/>
  <c r="K2792" i="1"/>
  <c r="O2791" i="1"/>
  <c r="K2791" i="1"/>
  <c r="X2790" i="1"/>
  <c r="W2790" i="1"/>
  <c r="V2790" i="1"/>
  <c r="U2790" i="1"/>
  <c r="T2790" i="1"/>
  <c r="S2790" i="1"/>
  <c r="R2790" i="1"/>
  <c r="Q2790" i="1"/>
  <c r="K2787" i="1"/>
  <c r="O2786" i="1"/>
  <c r="K2786" i="1"/>
  <c r="X2785" i="1"/>
  <c r="W2785" i="1"/>
  <c r="V2785" i="1"/>
  <c r="U2785" i="1"/>
  <c r="T2785" i="1"/>
  <c r="S2785" i="1"/>
  <c r="R2785" i="1"/>
  <c r="Q2785" i="1"/>
  <c r="K2782" i="1"/>
  <c r="O2781" i="1"/>
  <c r="K2781" i="1"/>
  <c r="X2780" i="1"/>
  <c r="W2780" i="1"/>
  <c r="V2780" i="1"/>
  <c r="U2780" i="1"/>
  <c r="T2780" i="1"/>
  <c r="S2780" i="1"/>
  <c r="R2780" i="1"/>
  <c r="Q2780" i="1"/>
  <c r="K2777" i="1"/>
  <c r="O2776" i="1"/>
  <c r="K2776" i="1"/>
  <c r="X2775" i="1"/>
  <c r="W2775" i="1"/>
  <c r="V2775" i="1"/>
  <c r="U2775" i="1"/>
  <c r="T2775" i="1"/>
  <c r="S2775" i="1"/>
  <c r="R2775" i="1"/>
  <c r="Q2775" i="1"/>
  <c r="K2772" i="1"/>
  <c r="O2771" i="1"/>
  <c r="K2771" i="1"/>
  <c r="X2770" i="1"/>
  <c r="W2770" i="1"/>
  <c r="V2770" i="1"/>
  <c r="U2770" i="1"/>
  <c r="T2770" i="1"/>
  <c r="S2770" i="1"/>
  <c r="R2770" i="1"/>
  <c r="Q2770" i="1"/>
  <c r="K2767" i="1"/>
  <c r="O2766" i="1"/>
  <c r="K2766" i="1"/>
  <c r="X2765" i="1"/>
  <c r="W2765" i="1"/>
  <c r="V2765" i="1"/>
  <c r="U2765" i="1"/>
  <c r="T2765" i="1"/>
  <c r="S2765" i="1"/>
  <c r="R2765" i="1"/>
  <c r="Q2765" i="1"/>
  <c r="K2762" i="1"/>
  <c r="O2761" i="1"/>
  <c r="K2761" i="1"/>
  <c r="X2760" i="1"/>
  <c r="W2760" i="1"/>
  <c r="V2760" i="1"/>
  <c r="U2760" i="1"/>
  <c r="T2760" i="1"/>
  <c r="S2760" i="1"/>
  <c r="R2760" i="1"/>
  <c r="Q2760" i="1"/>
  <c r="K2757" i="1"/>
  <c r="O2756" i="1"/>
  <c r="K2756" i="1"/>
  <c r="X2755" i="1"/>
  <c r="W2755" i="1"/>
  <c r="V2755" i="1"/>
  <c r="U2755" i="1"/>
  <c r="T2755" i="1"/>
  <c r="S2755" i="1"/>
  <c r="R2755" i="1"/>
  <c r="Q2755" i="1"/>
  <c r="K2752" i="1"/>
  <c r="O2751" i="1"/>
  <c r="K2751" i="1"/>
  <c r="X2750" i="1"/>
  <c r="W2750" i="1"/>
  <c r="V2750" i="1"/>
  <c r="U2750" i="1"/>
  <c r="T2750" i="1"/>
  <c r="S2750" i="1"/>
  <c r="R2750" i="1"/>
  <c r="Q2750" i="1"/>
  <c r="K2747" i="1"/>
  <c r="O2746" i="1"/>
  <c r="K2746" i="1"/>
  <c r="X2745" i="1"/>
  <c r="W2745" i="1"/>
  <c r="V2745" i="1"/>
  <c r="U2745" i="1"/>
  <c r="T2745" i="1"/>
  <c r="S2745" i="1"/>
  <c r="R2745" i="1"/>
  <c r="Q2745" i="1"/>
  <c r="K2742" i="1"/>
  <c r="O2741" i="1"/>
  <c r="K2741" i="1"/>
  <c r="X2740" i="1"/>
  <c r="W2740" i="1"/>
  <c r="V2740" i="1"/>
  <c r="U2740" i="1"/>
  <c r="T2740" i="1"/>
  <c r="S2740" i="1"/>
  <c r="R2740" i="1"/>
  <c r="Q2740" i="1"/>
  <c r="K2737" i="1"/>
  <c r="O2736" i="1"/>
  <c r="K2736" i="1"/>
  <c r="X2735" i="1"/>
  <c r="W2735" i="1"/>
  <c r="V2735" i="1"/>
  <c r="U2735" i="1"/>
  <c r="T2735" i="1"/>
  <c r="S2735" i="1"/>
  <c r="R2735" i="1"/>
  <c r="Q2735" i="1"/>
  <c r="K2732" i="1"/>
  <c r="O2731" i="1"/>
  <c r="K2731" i="1"/>
  <c r="X2730" i="1"/>
  <c r="W2730" i="1"/>
  <c r="V2730" i="1"/>
  <c r="U2730" i="1"/>
  <c r="T2730" i="1"/>
  <c r="S2730" i="1"/>
  <c r="R2730" i="1"/>
  <c r="Q2730" i="1"/>
  <c r="K2727" i="1"/>
  <c r="O2726" i="1"/>
  <c r="K2726" i="1"/>
  <c r="X2725" i="1"/>
  <c r="W2725" i="1"/>
  <c r="V2725" i="1"/>
  <c r="U2725" i="1"/>
  <c r="T2725" i="1"/>
  <c r="S2725" i="1"/>
  <c r="R2725" i="1"/>
  <c r="Q2725" i="1"/>
  <c r="K2722" i="1"/>
  <c r="O2721" i="1"/>
  <c r="K2721" i="1"/>
  <c r="X2720" i="1"/>
  <c r="W2720" i="1"/>
  <c r="V2720" i="1"/>
  <c r="U2720" i="1"/>
  <c r="T2720" i="1"/>
  <c r="S2720" i="1"/>
  <c r="R2720" i="1"/>
  <c r="Q2720" i="1"/>
  <c r="O2720" i="1"/>
  <c r="M2720" i="1"/>
  <c r="K2720" i="1"/>
  <c r="O2719" i="1"/>
  <c r="K2719" i="1"/>
  <c r="X2718" i="1"/>
  <c r="W2718" i="1"/>
  <c r="V2718" i="1"/>
  <c r="U2718" i="1"/>
  <c r="T2718" i="1"/>
  <c r="S2718" i="1"/>
  <c r="R2718" i="1"/>
  <c r="Q2718" i="1"/>
  <c r="K2715" i="1"/>
  <c r="O2714" i="1"/>
  <c r="K2714" i="1"/>
  <c r="X2713" i="1"/>
  <c r="W2713" i="1"/>
  <c r="V2713" i="1"/>
  <c r="U2713" i="1"/>
  <c r="T2713" i="1"/>
  <c r="S2713" i="1"/>
  <c r="R2713" i="1"/>
  <c r="Q2713" i="1"/>
  <c r="O2713" i="1"/>
  <c r="M2713" i="1"/>
  <c r="K2713" i="1"/>
  <c r="O2712" i="1"/>
  <c r="K2712" i="1"/>
  <c r="X2711" i="1"/>
  <c r="W2711" i="1"/>
  <c r="V2711" i="1"/>
  <c r="U2711" i="1"/>
  <c r="T2711" i="1"/>
  <c r="S2711" i="1"/>
  <c r="R2711" i="1"/>
  <c r="Q2711" i="1"/>
  <c r="K2708" i="1"/>
  <c r="O2707" i="1"/>
  <c r="K2707" i="1"/>
  <c r="X2706" i="1"/>
  <c r="W2706" i="1"/>
  <c r="V2706" i="1"/>
  <c r="U2706" i="1"/>
  <c r="T2706" i="1"/>
  <c r="S2706" i="1"/>
  <c r="R2706" i="1"/>
  <c r="Q2706" i="1"/>
  <c r="K2703" i="1"/>
  <c r="O2702" i="1"/>
  <c r="K2702" i="1"/>
  <c r="X2701" i="1"/>
  <c r="W2701" i="1"/>
  <c r="V2701" i="1"/>
  <c r="U2701" i="1"/>
  <c r="T2701" i="1"/>
  <c r="S2701" i="1"/>
  <c r="R2701" i="1"/>
  <c r="Q2701" i="1"/>
  <c r="K2698" i="1"/>
  <c r="O2697" i="1"/>
  <c r="K2697" i="1"/>
  <c r="X2696" i="1"/>
  <c r="W2696" i="1"/>
  <c r="V2696" i="1"/>
  <c r="U2696" i="1"/>
  <c r="T2696" i="1"/>
  <c r="S2696" i="1"/>
  <c r="R2696" i="1"/>
  <c r="Q2696" i="1"/>
  <c r="K2693" i="1"/>
  <c r="O2692" i="1"/>
  <c r="K2692" i="1"/>
  <c r="X2691" i="1"/>
  <c r="W2691" i="1"/>
  <c r="V2691" i="1"/>
  <c r="U2691" i="1"/>
  <c r="T2691" i="1"/>
  <c r="S2691" i="1"/>
  <c r="R2691" i="1"/>
  <c r="Q2691" i="1"/>
  <c r="O2691" i="1"/>
  <c r="M2691" i="1"/>
  <c r="K2691" i="1"/>
  <c r="O2690" i="1"/>
  <c r="K2690" i="1"/>
  <c r="X2689" i="1"/>
  <c r="W2689" i="1"/>
  <c r="V2689" i="1"/>
  <c r="U2689" i="1"/>
  <c r="T2689" i="1"/>
  <c r="S2689" i="1"/>
  <c r="R2689" i="1"/>
  <c r="Q2689" i="1"/>
  <c r="K2686" i="1"/>
  <c r="O2685" i="1"/>
  <c r="K2685" i="1"/>
  <c r="X2684" i="1"/>
  <c r="W2684" i="1"/>
  <c r="V2684" i="1"/>
  <c r="U2684" i="1"/>
  <c r="T2684" i="1"/>
  <c r="S2684" i="1"/>
  <c r="R2684" i="1"/>
  <c r="Q2684" i="1"/>
  <c r="K2681" i="1"/>
  <c r="O2680" i="1"/>
  <c r="K2680" i="1"/>
  <c r="X2679" i="1"/>
  <c r="W2679" i="1"/>
  <c r="V2679" i="1"/>
  <c r="U2679" i="1"/>
  <c r="T2679" i="1"/>
  <c r="S2679" i="1"/>
  <c r="R2679" i="1"/>
  <c r="Q2679" i="1"/>
  <c r="K2676" i="1"/>
  <c r="O2675" i="1"/>
  <c r="K2675" i="1"/>
  <c r="X2674" i="1"/>
  <c r="W2674" i="1"/>
  <c r="V2674" i="1"/>
  <c r="U2674" i="1"/>
  <c r="T2674" i="1"/>
  <c r="S2674" i="1"/>
  <c r="R2674" i="1"/>
  <c r="Q2674" i="1"/>
  <c r="K2671" i="1"/>
  <c r="O2670" i="1"/>
  <c r="K2670" i="1"/>
  <c r="X2669" i="1"/>
  <c r="W2669" i="1"/>
  <c r="V2669" i="1"/>
  <c r="U2669" i="1"/>
  <c r="T2669" i="1"/>
  <c r="S2669" i="1"/>
  <c r="R2669" i="1"/>
  <c r="Q2669" i="1"/>
  <c r="K2666" i="1"/>
  <c r="O2665" i="1"/>
  <c r="K2665" i="1"/>
  <c r="X2664" i="1"/>
  <c r="W2664" i="1"/>
  <c r="V2664" i="1"/>
  <c r="U2664" i="1"/>
  <c r="T2664" i="1"/>
  <c r="S2664" i="1"/>
  <c r="R2664" i="1"/>
  <c r="Q2664" i="1"/>
  <c r="K2661" i="1"/>
  <c r="O2660" i="1"/>
  <c r="K2660" i="1"/>
  <c r="X2659" i="1"/>
  <c r="W2659" i="1"/>
  <c r="V2659" i="1"/>
  <c r="U2659" i="1"/>
  <c r="T2659" i="1"/>
  <c r="S2659" i="1"/>
  <c r="R2659" i="1"/>
  <c r="Q2659" i="1"/>
  <c r="K2656" i="1"/>
  <c r="O2655" i="1"/>
  <c r="K2655" i="1"/>
  <c r="X2654" i="1"/>
  <c r="W2654" i="1"/>
  <c r="V2654" i="1"/>
  <c r="U2654" i="1"/>
  <c r="T2654" i="1"/>
  <c r="S2654" i="1"/>
  <c r="R2654" i="1"/>
  <c r="Q2654" i="1"/>
  <c r="K2651" i="1"/>
  <c r="O2650" i="1"/>
  <c r="K2650" i="1"/>
  <c r="X2649" i="1"/>
  <c r="W2649" i="1"/>
  <c r="V2649" i="1"/>
  <c r="U2649" i="1"/>
  <c r="T2649" i="1"/>
  <c r="S2649" i="1"/>
  <c r="R2649" i="1"/>
  <c r="Q2649" i="1"/>
  <c r="O2649" i="1"/>
  <c r="M2649" i="1"/>
  <c r="K2649" i="1"/>
  <c r="O2648" i="1"/>
  <c r="K2648" i="1"/>
  <c r="X2647" i="1"/>
  <c r="W2647" i="1"/>
  <c r="V2647" i="1"/>
  <c r="U2647" i="1"/>
  <c r="T2647" i="1"/>
  <c r="S2647" i="1"/>
  <c r="R2647" i="1"/>
  <c r="Q2647" i="1"/>
  <c r="K2644" i="1"/>
  <c r="O2643" i="1"/>
  <c r="K2643" i="1"/>
  <c r="X2642" i="1"/>
  <c r="W2642" i="1"/>
  <c r="V2642" i="1"/>
  <c r="U2642" i="1"/>
  <c r="T2642" i="1"/>
  <c r="S2642" i="1"/>
  <c r="R2642" i="1"/>
  <c r="Q2642" i="1"/>
  <c r="K2639" i="1"/>
  <c r="O2638" i="1"/>
  <c r="K2638" i="1"/>
  <c r="X2637" i="1"/>
  <c r="W2637" i="1"/>
  <c r="V2637" i="1"/>
  <c r="U2637" i="1"/>
  <c r="T2637" i="1"/>
  <c r="S2637" i="1"/>
  <c r="R2637" i="1"/>
  <c r="Q2637" i="1"/>
  <c r="K2634" i="1"/>
  <c r="O2633" i="1"/>
  <c r="K2633" i="1"/>
  <c r="X2632" i="1"/>
  <c r="W2632" i="1"/>
  <c r="V2632" i="1"/>
  <c r="U2632" i="1"/>
  <c r="T2632" i="1"/>
  <c r="S2632" i="1"/>
  <c r="R2632" i="1"/>
  <c r="Q2632" i="1"/>
  <c r="O2632" i="1"/>
  <c r="M2632" i="1"/>
  <c r="K2632" i="1"/>
  <c r="O2631" i="1"/>
  <c r="K2631" i="1"/>
  <c r="X2630" i="1"/>
  <c r="W2630" i="1"/>
  <c r="V2630" i="1"/>
  <c r="U2630" i="1"/>
  <c r="T2630" i="1"/>
  <c r="S2630" i="1"/>
  <c r="R2630" i="1"/>
  <c r="Q2630" i="1"/>
  <c r="K2627" i="1"/>
  <c r="O2626" i="1"/>
  <c r="K2626" i="1"/>
  <c r="X2625" i="1"/>
  <c r="W2625" i="1"/>
  <c r="V2625" i="1"/>
  <c r="U2625" i="1"/>
  <c r="T2625" i="1"/>
  <c r="S2625" i="1"/>
  <c r="R2625" i="1"/>
  <c r="Q2625" i="1"/>
  <c r="O2625" i="1"/>
  <c r="M2625" i="1"/>
  <c r="K2625" i="1"/>
  <c r="O2624" i="1"/>
  <c r="K2624" i="1"/>
  <c r="X2623" i="1"/>
  <c r="W2623" i="1"/>
  <c r="V2623" i="1"/>
  <c r="U2623" i="1"/>
  <c r="T2623" i="1"/>
  <c r="S2623" i="1"/>
  <c r="R2623" i="1"/>
  <c r="Q2623" i="1"/>
  <c r="K2620" i="1"/>
  <c r="O2619" i="1"/>
  <c r="K2619" i="1"/>
  <c r="X2618" i="1"/>
  <c r="W2618" i="1"/>
  <c r="V2618" i="1"/>
  <c r="U2618" i="1"/>
  <c r="T2618" i="1"/>
  <c r="S2618" i="1"/>
  <c r="R2618" i="1"/>
  <c r="Q2618" i="1"/>
  <c r="K2615" i="1"/>
  <c r="O2614" i="1"/>
  <c r="K2614" i="1"/>
  <c r="X2613" i="1"/>
  <c r="W2613" i="1"/>
  <c r="V2613" i="1"/>
  <c r="U2613" i="1"/>
  <c r="T2613" i="1"/>
  <c r="S2613" i="1"/>
  <c r="R2613" i="1"/>
  <c r="Q2613" i="1"/>
  <c r="O2613" i="1"/>
  <c r="M2613" i="1"/>
  <c r="K2613" i="1"/>
  <c r="O2612" i="1"/>
  <c r="K2612" i="1"/>
  <c r="X2611" i="1"/>
  <c r="W2611" i="1"/>
  <c r="V2611" i="1"/>
  <c r="U2611" i="1"/>
  <c r="T2611" i="1"/>
  <c r="S2611" i="1"/>
  <c r="R2611" i="1"/>
  <c r="Q2611" i="1"/>
  <c r="K2608" i="1"/>
  <c r="O2607" i="1"/>
  <c r="K2607" i="1"/>
  <c r="X2606" i="1"/>
  <c r="W2606" i="1"/>
  <c r="V2606" i="1"/>
  <c r="U2606" i="1"/>
  <c r="T2606" i="1"/>
  <c r="S2606" i="1"/>
  <c r="R2606" i="1"/>
  <c r="Q2606" i="1"/>
  <c r="K2603" i="1"/>
  <c r="O2602" i="1"/>
  <c r="K2602" i="1"/>
  <c r="X2601" i="1"/>
  <c r="W2601" i="1"/>
  <c r="V2601" i="1"/>
  <c r="U2601" i="1"/>
  <c r="T2601" i="1"/>
  <c r="S2601" i="1"/>
  <c r="R2601" i="1"/>
  <c r="Q2601" i="1"/>
  <c r="K2598" i="1"/>
  <c r="O2597" i="1"/>
  <c r="K2597" i="1"/>
  <c r="X2596" i="1"/>
  <c r="W2596" i="1"/>
  <c r="V2596" i="1"/>
  <c r="U2596" i="1"/>
  <c r="T2596" i="1"/>
  <c r="S2596" i="1"/>
  <c r="R2596" i="1"/>
  <c r="Q2596" i="1"/>
  <c r="K2593" i="1"/>
  <c r="O2592" i="1"/>
  <c r="K2592" i="1"/>
  <c r="X2591" i="1"/>
  <c r="W2591" i="1"/>
  <c r="V2591" i="1"/>
  <c r="U2591" i="1"/>
  <c r="T2591" i="1"/>
  <c r="S2591" i="1"/>
  <c r="R2591" i="1"/>
  <c r="Q2591" i="1"/>
  <c r="K2588" i="1"/>
  <c r="O2587" i="1"/>
  <c r="K2587" i="1"/>
  <c r="X2586" i="1"/>
  <c r="W2586" i="1"/>
  <c r="V2586" i="1"/>
  <c r="U2586" i="1"/>
  <c r="T2586" i="1"/>
  <c r="S2586" i="1"/>
  <c r="R2586" i="1"/>
  <c r="Q2586" i="1"/>
  <c r="K2583" i="1"/>
  <c r="O2582" i="1"/>
  <c r="K2582" i="1"/>
  <c r="X2581" i="1"/>
  <c r="W2581" i="1"/>
  <c r="V2581" i="1"/>
  <c r="U2581" i="1"/>
  <c r="T2581" i="1"/>
  <c r="S2581" i="1"/>
  <c r="R2581" i="1"/>
  <c r="Q2581" i="1"/>
  <c r="K2578" i="1"/>
  <c r="O2577" i="1"/>
  <c r="K2577" i="1"/>
  <c r="X2576" i="1"/>
  <c r="W2576" i="1"/>
  <c r="V2576" i="1"/>
  <c r="U2576" i="1"/>
  <c r="T2576" i="1"/>
  <c r="S2576" i="1"/>
  <c r="R2576" i="1"/>
  <c r="Q2576" i="1"/>
  <c r="K2573" i="1"/>
  <c r="O2572" i="1"/>
  <c r="K2572" i="1"/>
  <c r="X2571" i="1"/>
  <c r="W2571" i="1"/>
  <c r="V2571" i="1"/>
  <c r="U2571" i="1"/>
  <c r="T2571" i="1"/>
  <c r="S2571" i="1"/>
  <c r="R2571" i="1"/>
  <c r="Q2571" i="1"/>
  <c r="K2568" i="1"/>
  <c r="O2567" i="1"/>
  <c r="K2567" i="1"/>
  <c r="X2566" i="1"/>
  <c r="W2566" i="1"/>
  <c r="V2566" i="1"/>
  <c r="U2566" i="1"/>
  <c r="T2566" i="1"/>
  <c r="S2566" i="1"/>
  <c r="R2566" i="1"/>
  <c r="Q2566" i="1"/>
  <c r="K2563" i="1"/>
  <c r="O2562" i="1"/>
  <c r="K2562" i="1"/>
  <c r="X2561" i="1"/>
  <c r="W2561" i="1"/>
  <c r="V2561" i="1"/>
  <c r="U2561" i="1"/>
  <c r="T2561" i="1"/>
  <c r="S2561" i="1"/>
  <c r="R2561" i="1"/>
  <c r="Q2561" i="1"/>
  <c r="K2558" i="1"/>
  <c r="O2557" i="1"/>
  <c r="K2557" i="1"/>
  <c r="X2556" i="1"/>
  <c r="W2556" i="1"/>
  <c r="V2556" i="1"/>
  <c r="U2556" i="1"/>
  <c r="T2556" i="1"/>
  <c r="S2556" i="1"/>
  <c r="R2556" i="1"/>
  <c r="Q2556" i="1"/>
  <c r="K2553" i="1"/>
  <c r="O2552" i="1"/>
  <c r="K2552" i="1"/>
  <c r="X2551" i="1"/>
  <c r="W2551" i="1"/>
  <c r="V2551" i="1"/>
  <c r="U2551" i="1"/>
  <c r="T2551" i="1"/>
  <c r="S2551" i="1"/>
  <c r="R2551" i="1"/>
  <c r="Q2551" i="1"/>
  <c r="K2548" i="1"/>
  <c r="O2547" i="1"/>
  <c r="K2547" i="1"/>
  <c r="X2546" i="1"/>
  <c r="W2546" i="1"/>
  <c r="V2546" i="1"/>
  <c r="U2546" i="1"/>
  <c r="T2546" i="1"/>
  <c r="S2546" i="1"/>
  <c r="R2546" i="1"/>
  <c r="Q2546" i="1"/>
  <c r="K2543" i="1"/>
  <c r="O2542" i="1"/>
  <c r="K2542" i="1"/>
  <c r="X2541" i="1"/>
  <c r="W2541" i="1"/>
  <c r="V2541" i="1"/>
  <c r="U2541" i="1"/>
  <c r="T2541" i="1"/>
  <c r="S2541" i="1"/>
  <c r="R2541" i="1"/>
  <c r="Q2541" i="1"/>
  <c r="O2541" i="1"/>
  <c r="M2541" i="1"/>
  <c r="K2541" i="1"/>
  <c r="O2540" i="1"/>
  <c r="K2540" i="1"/>
  <c r="X2539" i="1"/>
  <c r="W2539" i="1"/>
  <c r="V2539" i="1"/>
  <c r="U2539" i="1"/>
  <c r="T2539" i="1"/>
  <c r="S2539" i="1"/>
  <c r="R2539" i="1"/>
  <c r="Q2539" i="1"/>
  <c r="K2536" i="1"/>
  <c r="O2535" i="1"/>
  <c r="K2535" i="1"/>
  <c r="X2534" i="1"/>
  <c r="W2534" i="1"/>
  <c r="V2534" i="1"/>
  <c r="U2534" i="1"/>
  <c r="T2534" i="1"/>
  <c r="S2534" i="1"/>
  <c r="R2534" i="1"/>
  <c r="Q2534" i="1"/>
  <c r="O2534" i="1"/>
  <c r="M2534" i="1"/>
  <c r="K2534" i="1"/>
  <c r="O2533" i="1"/>
  <c r="K2533" i="1"/>
  <c r="X2532" i="1"/>
  <c r="W2532" i="1"/>
  <c r="V2532" i="1"/>
  <c r="U2532" i="1"/>
  <c r="T2532" i="1"/>
  <c r="S2532" i="1"/>
  <c r="R2532" i="1"/>
  <c r="Q2532" i="1"/>
  <c r="K2529" i="1"/>
  <c r="O2528" i="1"/>
  <c r="K2528" i="1"/>
  <c r="X2527" i="1"/>
  <c r="W2527" i="1"/>
  <c r="V2527" i="1"/>
  <c r="U2527" i="1"/>
  <c r="T2527" i="1"/>
  <c r="S2527" i="1"/>
  <c r="R2527" i="1"/>
  <c r="Q2527" i="1"/>
  <c r="K2524" i="1"/>
  <c r="O2523" i="1"/>
  <c r="K2523" i="1"/>
  <c r="X2522" i="1"/>
  <c r="W2522" i="1"/>
  <c r="V2522" i="1"/>
  <c r="U2522" i="1"/>
  <c r="T2522" i="1"/>
  <c r="S2522" i="1"/>
  <c r="R2522" i="1"/>
  <c r="Q2522" i="1"/>
  <c r="K2519" i="1"/>
  <c r="O2518" i="1"/>
  <c r="K2518" i="1"/>
  <c r="X2517" i="1"/>
  <c r="W2517" i="1"/>
  <c r="V2517" i="1"/>
  <c r="U2517" i="1"/>
  <c r="T2517" i="1"/>
  <c r="S2517" i="1"/>
  <c r="R2517" i="1"/>
  <c r="Q2517" i="1"/>
  <c r="K2514" i="1"/>
  <c r="O2513" i="1"/>
  <c r="K2513" i="1"/>
  <c r="X2512" i="1"/>
  <c r="W2512" i="1"/>
  <c r="V2512" i="1"/>
  <c r="U2512" i="1"/>
  <c r="T2512" i="1"/>
  <c r="S2512" i="1"/>
  <c r="R2512" i="1"/>
  <c r="Q2512" i="1"/>
  <c r="K2509" i="1"/>
  <c r="O2508" i="1"/>
  <c r="K2508" i="1"/>
  <c r="X2507" i="1"/>
  <c r="W2507" i="1"/>
  <c r="V2507" i="1"/>
  <c r="U2507" i="1"/>
  <c r="T2507" i="1"/>
  <c r="S2507" i="1"/>
  <c r="R2507" i="1"/>
  <c r="Q2507" i="1"/>
  <c r="K2504" i="1"/>
  <c r="O2503" i="1"/>
  <c r="K2503" i="1"/>
  <c r="X2502" i="1"/>
  <c r="W2502" i="1"/>
  <c r="V2502" i="1"/>
  <c r="U2502" i="1"/>
  <c r="T2502" i="1"/>
  <c r="S2502" i="1"/>
  <c r="R2502" i="1"/>
  <c r="Q2502" i="1"/>
  <c r="K2499" i="1"/>
  <c r="O2498" i="1"/>
  <c r="K2498" i="1"/>
  <c r="X2497" i="1"/>
  <c r="W2497" i="1"/>
  <c r="V2497" i="1"/>
  <c r="U2497" i="1"/>
  <c r="T2497" i="1"/>
  <c r="S2497" i="1"/>
  <c r="R2497" i="1"/>
  <c r="Q2497" i="1"/>
  <c r="K2494" i="1"/>
  <c r="O2493" i="1"/>
  <c r="K2493" i="1"/>
  <c r="X2492" i="1"/>
  <c r="W2492" i="1"/>
  <c r="V2492" i="1"/>
  <c r="U2492" i="1"/>
  <c r="T2492" i="1"/>
  <c r="S2492" i="1"/>
  <c r="R2492" i="1"/>
  <c r="Q2492" i="1"/>
  <c r="K2489" i="1"/>
  <c r="O2488" i="1"/>
  <c r="K2488" i="1"/>
  <c r="X2487" i="1"/>
  <c r="W2487" i="1"/>
  <c r="V2487" i="1"/>
  <c r="U2487" i="1"/>
  <c r="T2487" i="1"/>
  <c r="S2487" i="1"/>
  <c r="R2487" i="1"/>
  <c r="Q2487" i="1"/>
  <c r="K2484" i="1"/>
  <c r="O2483" i="1"/>
  <c r="K2483" i="1"/>
  <c r="X2482" i="1"/>
  <c r="W2482" i="1"/>
  <c r="V2482" i="1"/>
  <c r="U2482" i="1"/>
  <c r="T2482" i="1"/>
  <c r="S2482" i="1"/>
  <c r="R2482" i="1"/>
  <c r="Q2482" i="1"/>
  <c r="O2482" i="1"/>
  <c r="M2482" i="1"/>
  <c r="K2482" i="1"/>
  <c r="O2481" i="1"/>
  <c r="K2481" i="1"/>
  <c r="X2480" i="1"/>
  <c r="W2480" i="1"/>
  <c r="V2480" i="1"/>
  <c r="U2480" i="1"/>
  <c r="T2480" i="1"/>
  <c r="S2480" i="1"/>
  <c r="R2480" i="1"/>
  <c r="Q2480" i="1"/>
  <c r="K2477" i="1"/>
  <c r="O2476" i="1"/>
  <c r="K2476" i="1"/>
  <c r="X2475" i="1"/>
  <c r="W2475" i="1"/>
  <c r="V2475" i="1"/>
  <c r="U2475" i="1"/>
  <c r="T2475" i="1"/>
  <c r="S2475" i="1"/>
  <c r="R2475" i="1"/>
  <c r="Q2475" i="1"/>
  <c r="K2472" i="1"/>
  <c r="O2471" i="1"/>
  <c r="K2471" i="1"/>
  <c r="X2470" i="1"/>
  <c r="W2470" i="1"/>
  <c r="V2470" i="1"/>
  <c r="U2470" i="1"/>
  <c r="T2470" i="1"/>
  <c r="S2470" i="1"/>
  <c r="R2470" i="1"/>
  <c r="Q2470" i="1"/>
  <c r="K2467" i="1"/>
  <c r="O2466" i="1"/>
  <c r="K2466" i="1"/>
  <c r="X2465" i="1"/>
  <c r="W2465" i="1"/>
  <c r="V2465" i="1"/>
  <c r="U2465" i="1"/>
  <c r="T2465" i="1"/>
  <c r="S2465" i="1"/>
  <c r="R2465" i="1"/>
  <c r="Q2465" i="1"/>
  <c r="K2462" i="1"/>
  <c r="O2461" i="1"/>
  <c r="K2461" i="1"/>
  <c r="X2460" i="1"/>
  <c r="W2460" i="1"/>
  <c r="V2460" i="1"/>
  <c r="U2460" i="1"/>
  <c r="T2460" i="1"/>
  <c r="S2460" i="1"/>
  <c r="R2460" i="1"/>
  <c r="Q2460" i="1"/>
  <c r="O2460" i="1"/>
  <c r="M2460" i="1"/>
  <c r="K2460" i="1"/>
  <c r="O2459" i="1"/>
  <c r="K2459" i="1"/>
  <c r="X2458" i="1"/>
  <c r="W2458" i="1"/>
  <c r="V2458" i="1"/>
  <c r="U2458" i="1"/>
  <c r="T2458" i="1"/>
  <c r="S2458" i="1"/>
  <c r="R2458" i="1"/>
  <c r="Q2458" i="1"/>
  <c r="K2455" i="1"/>
  <c r="O2454" i="1"/>
  <c r="K2454" i="1"/>
  <c r="X2453" i="1"/>
  <c r="W2453" i="1"/>
  <c r="V2453" i="1"/>
  <c r="U2453" i="1"/>
  <c r="T2453" i="1"/>
  <c r="S2453" i="1"/>
  <c r="R2453" i="1"/>
  <c r="Q2453" i="1"/>
  <c r="O2453" i="1"/>
  <c r="M2453" i="1"/>
  <c r="K2453" i="1"/>
  <c r="O2452" i="1"/>
  <c r="K2452" i="1"/>
  <c r="X2451" i="1"/>
  <c r="W2451" i="1"/>
  <c r="V2451" i="1"/>
  <c r="U2451" i="1"/>
  <c r="T2451" i="1"/>
  <c r="S2451" i="1"/>
  <c r="R2451" i="1"/>
  <c r="Q2451" i="1"/>
  <c r="K2448" i="1"/>
  <c r="O2447" i="1"/>
  <c r="K2447" i="1"/>
  <c r="X2446" i="1"/>
  <c r="W2446" i="1"/>
  <c r="V2446" i="1"/>
  <c r="U2446" i="1"/>
  <c r="T2446" i="1"/>
  <c r="S2446" i="1"/>
  <c r="R2446" i="1"/>
  <c r="Q2446" i="1"/>
  <c r="O2446" i="1"/>
  <c r="M2446" i="1"/>
  <c r="K2446" i="1"/>
  <c r="O2445" i="1"/>
  <c r="K2445" i="1"/>
  <c r="X2444" i="1"/>
  <c r="W2444" i="1"/>
  <c r="V2444" i="1"/>
  <c r="U2444" i="1"/>
  <c r="T2444" i="1"/>
  <c r="S2444" i="1"/>
  <c r="R2444" i="1"/>
  <c r="Q2444" i="1"/>
  <c r="K2441" i="1"/>
  <c r="O2440" i="1"/>
  <c r="K2440" i="1"/>
  <c r="X2439" i="1"/>
  <c r="W2439" i="1"/>
  <c r="V2439" i="1"/>
  <c r="U2439" i="1"/>
  <c r="T2439" i="1"/>
  <c r="S2439" i="1"/>
  <c r="R2439" i="1"/>
  <c r="Q2439" i="1"/>
  <c r="K2436" i="1"/>
  <c r="O2435" i="1"/>
  <c r="K2435" i="1"/>
  <c r="X2434" i="1"/>
  <c r="W2434" i="1"/>
  <c r="V2434" i="1"/>
  <c r="U2434" i="1"/>
  <c r="T2434" i="1"/>
  <c r="S2434" i="1"/>
  <c r="R2434" i="1"/>
  <c r="Q2434" i="1"/>
  <c r="K2431" i="1"/>
  <c r="O2430" i="1"/>
  <c r="K2430" i="1"/>
  <c r="X2429" i="1"/>
  <c r="W2429" i="1"/>
  <c r="V2429" i="1"/>
  <c r="U2429" i="1"/>
  <c r="T2429" i="1"/>
  <c r="S2429" i="1"/>
  <c r="R2429" i="1"/>
  <c r="Q2429" i="1"/>
  <c r="K2426" i="1"/>
  <c r="O2425" i="1"/>
  <c r="K2425" i="1"/>
  <c r="X2424" i="1"/>
  <c r="W2424" i="1"/>
  <c r="V2424" i="1"/>
  <c r="U2424" i="1"/>
  <c r="T2424" i="1"/>
  <c r="S2424" i="1"/>
  <c r="R2424" i="1"/>
  <c r="Q2424" i="1"/>
  <c r="K2421" i="1"/>
  <c r="O2420" i="1"/>
  <c r="K2420" i="1"/>
  <c r="X2419" i="1"/>
  <c r="W2419" i="1"/>
  <c r="V2419" i="1"/>
  <c r="U2419" i="1"/>
  <c r="T2419" i="1"/>
  <c r="S2419" i="1"/>
  <c r="R2419" i="1"/>
  <c r="Q2419" i="1"/>
  <c r="K2416" i="1"/>
  <c r="O2415" i="1"/>
  <c r="K2415" i="1"/>
  <c r="X2414" i="1"/>
  <c r="W2414" i="1"/>
  <c r="V2414" i="1"/>
  <c r="U2414" i="1"/>
  <c r="T2414" i="1"/>
  <c r="S2414" i="1"/>
  <c r="R2414" i="1"/>
  <c r="Q2414" i="1"/>
  <c r="K2411" i="1"/>
  <c r="O2410" i="1"/>
  <c r="K2410" i="1"/>
  <c r="X2409" i="1"/>
  <c r="W2409" i="1"/>
  <c r="V2409" i="1"/>
  <c r="U2409" i="1"/>
  <c r="T2409" i="1"/>
  <c r="S2409" i="1"/>
  <c r="R2409" i="1"/>
  <c r="Q2409" i="1"/>
  <c r="K2406" i="1"/>
  <c r="O2405" i="1"/>
  <c r="K2405" i="1"/>
  <c r="X2404" i="1"/>
  <c r="W2404" i="1"/>
  <c r="V2404" i="1"/>
  <c r="U2404" i="1"/>
  <c r="T2404" i="1"/>
  <c r="S2404" i="1"/>
  <c r="R2404" i="1"/>
  <c r="Q2404" i="1"/>
  <c r="K2401" i="1"/>
  <c r="O2400" i="1"/>
  <c r="K2400" i="1"/>
  <c r="X2399" i="1"/>
  <c r="W2399" i="1"/>
  <c r="V2399" i="1"/>
  <c r="U2399" i="1"/>
  <c r="T2399" i="1"/>
  <c r="S2399" i="1"/>
  <c r="R2399" i="1"/>
  <c r="Q2399" i="1"/>
  <c r="K2396" i="1"/>
  <c r="O2395" i="1"/>
  <c r="K2395" i="1"/>
  <c r="X2394" i="1"/>
  <c r="W2394" i="1"/>
  <c r="V2394" i="1"/>
  <c r="U2394" i="1"/>
  <c r="T2394" i="1"/>
  <c r="S2394" i="1"/>
  <c r="R2394" i="1"/>
  <c r="Q2394" i="1"/>
  <c r="K2391" i="1"/>
  <c r="O2390" i="1"/>
  <c r="K2390" i="1"/>
  <c r="X2389" i="1"/>
  <c r="W2389" i="1"/>
  <c r="V2389" i="1"/>
  <c r="U2389" i="1"/>
  <c r="T2389" i="1"/>
  <c r="S2389" i="1"/>
  <c r="R2389" i="1"/>
  <c r="Q2389" i="1"/>
  <c r="K2386" i="1"/>
  <c r="O2385" i="1"/>
  <c r="K2385" i="1"/>
  <c r="X2384" i="1"/>
  <c r="W2384" i="1"/>
  <c r="V2384" i="1"/>
  <c r="U2384" i="1"/>
  <c r="T2384" i="1"/>
  <c r="S2384" i="1"/>
  <c r="R2384" i="1"/>
  <c r="Q2384" i="1"/>
  <c r="O2384" i="1"/>
  <c r="M2384" i="1"/>
  <c r="K2384" i="1"/>
  <c r="O2383" i="1"/>
  <c r="K2383" i="1"/>
  <c r="X2382" i="1"/>
  <c r="W2382" i="1"/>
  <c r="V2382" i="1"/>
  <c r="U2382" i="1"/>
  <c r="T2382" i="1"/>
  <c r="S2382" i="1"/>
  <c r="R2382" i="1"/>
  <c r="Q2382" i="1"/>
  <c r="K2379" i="1"/>
  <c r="O2378" i="1"/>
  <c r="K2378" i="1"/>
  <c r="X2377" i="1"/>
  <c r="W2377" i="1"/>
  <c r="V2377" i="1"/>
  <c r="U2377" i="1"/>
  <c r="T2377" i="1"/>
  <c r="S2377" i="1"/>
  <c r="R2377" i="1"/>
  <c r="Q2377" i="1"/>
  <c r="K2374" i="1"/>
  <c r="O2373" i="1"/>
  <c r="K2373" i="1"/>
  <c r="X2372" i="1"/>
  <c r="W2372" i="1"/>
  <c r="V2372" i="1"/>
  <c r="U2372" i="1"/>
  <c r="T2372" i="1"/>
  <c r="S2372" i="1"/>
  <c r="R2372" i="1"/>
  <c r="Q2372" i="1"/>
  <c r="K2369" i="1"/>
  <c r="O2368" i="1"/>
  <c r="K2368" i="1"/>
  <c r="X2367" i="1"/>
  <c r="W2367" i="1"/>
  <c r="V2367" i="1"/>
  <c r="U2367" i="1"/>
  <c r="T2367" i="1"/>
  <c r="S2367" i="1"/>
  <c r="R2367" i="1"/>
  <c r="Q2367" i="1"/>
  <c r="O2367" i="1"/>
  <c r="M2367" i="1"/>
  <c r="K2367" i="1"/>
  <c r="O2366" i="1"/>
  <c r="K2366" i="1"/>
  <c r="X2365" i="1"/>
  <c r="W2365" i="1"/>
  <c r="V2365" i="1"/>
  <c r="U2365" i="1"/>
  <c r="T2365" i="1"/>
  <c r="S2365" i="1"/>
  <c r="R2365" i="1"/>
  <c r="Q2365" i="1"/>
  <c r="K2362" i="1"/>
  <c r="O2361" i="1"/>
  <c r="K2361" i="1"/>
  <c r="X2360" i="1"/>
  <c r="W2360" i="1"/>
  <c r="V2360" i="1"/>
  <c r="U2360" i="1"/>
  <c r="T2360" i="1"/>
  <c r="S2360" i="1"/>
  <c r="R2360" i="1"/>
  <c r="Q2360" i="1"/>
  <c r="K2357" i="1"/>
  <c r="O2356" i="1"/>
  <c r="K2356" i="1"/>
  <c r="X2355" i="1"/>
  <c r="W2355" i="1"/>
  <c r="V2355" i="1"/>
  <c r="U2355" i="1"/>
  <c r="T2355" i="1"/>
  <c r="S2355" i="1"/>
  <c r="R2355" i="1"/>
  <c r="Q2355" i="1"/>
  <c r="K2352" i="1"/>
  <c r="O2351" i="1"/>
  <c r="K2351" i="1"/>
  <c r="X2350" i="1"/>
  <c r="W2350" i="1"/>
  <c r="V2350" i="1"/>
  <c r="U2350" i="1"/>
  <c r="T2350" i="1"/>
  <c r="S2350" i="1"/>
  <c r="R2350" i="1"/>
  <c r="Q2350" i="1"/>
  <c r="K2347" i="1"/>
  <c r="O2346" i="1"/>
  <c r="K2346" i="1"/>
  <c r="X2345" i="1"/>
  <c r="W2345" i="1"/>
  <c r="V2345" i="1"/>
  <c r="U2345" i="1"/>
  <c r="T2345" i="1"/>
  <c r="S2345" i="1"/>
  <c r="R2345" i="1"/>
  <c r="Q2345" i="1"/>
  <c r="K2342" i="1"/>
  <c r="O2341" i="1"/>
  <c r="K2341" i="1"/>
  <c r="X2340" i="1"/>
  <c r="W2340" i="1"/>
  <c r="V2340" i="1"/>
  <c r="U2340" i="1"/>
  <c r="T2340" i="1"/>
  <c r="S2340" i="1"/>
  <c r="R2340" i="1"/>
  <c r="Q2340" i="1"/>
  <c r="K2337" i="1"/>
  <c r="O2336" i="1"/>
  <c r="K2336" i="1"/>
  <c r="X2335" i="1"/>
  <c r="W2335" i="1"/>
  <c r="V2335" i="1"/>
  <c r="U2335" i="1"/>
  <c r="T2335" i="1"/>
  <c r="S2335" i="1"/>
  <c r="R2335" i="1"/>
  <c r="Q2335" i="1"/>
  <c r="K2332" i="1"/>
  <c r="O2331" i="1"/>
  <c r="K2331" i="1"/>
  <c r="X2330" i="1"/>
  <c r="W2330" i="1"/>
  <c r="V2330" i="1"/>
  <c r="U2330" i="1"/>
  <c r="T2330" i="1"/>
  <c r="S2330" i="1"/>
  <c r="R2330" i="1"/>
  <c r="Q2330" i="1"/>
  <c r="K2327" i="1"/>
  <c r="O2326" i="1"/>
  <c r="K2326" i="1"/>
  <c r="X2325" i="1"/>
  <c r="W2325" i="1"/>
  <c r="V2325" i="1"/>
  <c r="U2325" i="1"/>
  <c r="T2325" i="1"/>
  <c r="S2325" i="1"/>
  <c r="R2325" i="1"/>
  <c r="Q2325" i="1"/>
  <c r="K2322" i="1"/>
  <c r="O2321" i="1"/>
  <c r="K2321" i="1"/>
  <c r="X2320" i="1"/>
  <c r="W2320" i="1"/>
  <c r="V2320" i="1"/>
  <c r="U2320" i="1"/>
  <c r="T2320" i="1"/>
  <c r="S2320" i="1"/>
  <c r="R2320" i="1"/>
  <c r="Q2320" i="1"/>
  <c r="K2317" i="1"/>
  <c r="O2316" i="1"/>
  <c r="K2316" i="1"/>
  <c r="X2315" i="1"/>
  <c r="W2315" i="1"/>
  <c r="V2315" i="1"/>
  <c r="U2315" i="1"/>
  <c r="T2315" i="1"/>
  <c r="S2315" i="1"/>
  <c r="R2315" i="1"/>
  <c r="Q2315" i="1"/>
  <c r="K2312" i="1"/>
  <c r="O2311" i="1"/>
  <c r="K2311" i="1"/>
  <c r="X2310" i="1"/>
  <c r="W2310" i="1"/>
  <c r="V2310" i="1"/>
  <c r="U2310" i="1"/>
  <c r="T2310" i="1"/>
  <c r="S2310" i="1"/>
  <c r="R2310" i="1"/>
  <c r="Q2310" i="1"/>
  <c r="O2310" i="1"/>
  <c r="M2310" i="1"/>
  <c r="K2310" i="1"/>
  <c r="O2309" i="1"/>
  <c r="K2309" i="1"/>
  <c r="X2308" i="1"/>
  <c r="W2308" i="1"/>
  <c r="V2308" i="1"/>
  <c r="U2308" i="1"/>
  <c r="T2308" i="1"/>
  <c r="S2308" i="1"/>
  <c r="R2308" i="1"/>
  <c r="Q2308" i="1"/>
  <c r="K2305" i="1"/>
  <c r="O2304" i="1"/>
  <c r="K2304" i="1"/>
  <c r="X2303" i="1"/>
  <c r="W2303" i="1"/>
  <c r="V2303" i="1"/>
  <c r="U2303" i="1"/>
  <c r="T2303" i="1"/>
  <c r="S2303" i="1"/>
  <c r="R2303" i="1"/>
  <c r="Q2303" i="1"/>
  <c r="K2300" i="1"/>
  <c r="O2299" i="1"/>
  <c r="K2299" i="1"/>
  <c r="X2298" i="1"/>
  <c r="W2298" i="1"/>
  <c r="V2298" i="1"/>
  <c r="U2298" i="1"/>
  <c r="T2298" i="1"/>
  <c r="S2298" i="1"/>
  <c r="R2298" i="1"/>
  <c r="Q2298" i="1"/>
  <c r="K2295" i="1"/>
  <c r="O2294" i="1"/>
  <c r="K2294" i="1"/>
  <c r="X2293" i="1"/>
  <c r="W2293" i="1"/>
  <c r="V2293" i="1"/>
  <c r="U2293" i="1"/>
  <c r="T2293" i="1"/>
  <c r="S2293" i="1"/>
  <c r="R2293" i="1"/>
  <c r="Q2293" i="1"/>
  <c r="K2290" i="1"/>
  <c r="O2289" i="1"/>
  <c r="K2289" i="1"/>
  <c r="X2288" i="1"/>
  <c r="W2288" i="1"/>
  <c r="V2288" i="1"/>
  <c r="U2288" i="1"/>
  <c r="T2288" i="1"/>
  <c r="S2288" i="1"/>
  <c r="R2288" i="1"/>
  <c r="Q2288" i="1"/>
  <c r="K2285" i="1"/>
  <c r="O2284" i="1"/>
  <c r="K2284" i="1"/>
  <c r="X2283" i="1"/>
  <c r="W2283" i="1"/>
  <c r="V2283" i="1"/>
  <c r="U2283" i="1"/>
  <c r="T2283" i="1"/>
  <c r="S2283" i="1"/>
  <c r="R2283" i="1"/>
  <c r="Q2283" i="1"/>
  <c r="O2283" i="1"/>
  <c r="M2283" i="1"/>
  <c r="K2283" i="1"/>
  <c r="O2282" i="1"/>
  <c r="K2282" i="1"/>
  <c r="X2281" i="1"/>
  <c r="W2281" i="1"/>
  <c r="V2281" i="1"/>
  <c r="U2281" i="1"/>
  <c r="T2281" i="1"/>
  <c r="S2281" i="1"/>
  <c r="R2281" i="1"/>
  <c r="Q2281" i="1"/>
  <c r="K2278" i="1"/>
  <c r="O2277" i="1"/>
  <c r="K2277" i="1"/>
  <c r="X2276" i="1"/>
  <c r="W2276" i="1"/>
  <c r="V2276" i="1"/>
  <c r="U2276" i="1"/>
  <c r="T2276" i="1"/>
  <c r="S2276" i="1"/>
  <c r="R2276" i="1"/>
  <c r="Q2276" i="1"/>
  <c r="K2273" i="1"/>
  <c r="O2272" i="1"/>
  <c r="K2272" i="1"/>
  <c r="X2271" i="1"/>
  <c r="W2271" i="1"/>
  <c r="V2271" i="1"/>
  <c r="U2271" i="1"/>
  <c r="T2271" i="1"/>
  <c r="S2271" i="1"/>
  <c r="R2271" i="1"/>
  <c r="Q2271" i="1"/>
  <c r="K2268" i="1"/>
  <c r="O2267" i="1"/>
  <c r="K2267" i="1"/>
  <c r="X2266" i="1"/>
  <c r="W2266" i="1"/>
  <c r="V2266" i="1"/>
  <c r="U2266" i="1"/>
  <c r="T2266" i="1"/>
  <c r="S2266" i="1"/>
  <c r="R2266" i="1"/>
  <c r="Q2266" i="1"/>
  <c r="O2266" i="1"/>
  <c r="M2266" i="1"/>
  <c r="K2266" i="1"/>
  <c r="O2265" i="1"/>
  <c r="K2265" i="1"/>
  <c r="X2264" i="1"/>
  <c r="W2264" i="1"/>
  <c r="V2264" i="1"/>
  <c r="U2264" i="1"/>
  <c r="T2264" i="1"/>
  <c r="S2264" i="1"/>
  <c r="R2264" i="1"/>
  <c r="Q2264" i="1"/>
  <c r="K2261" i="1"/>
  <c r="O2260" i="1"/>
  <c r="K2260" i="1"/>
  <c r="X2259" i="1"/>
  <c r="W2259" i="1"/>
  <c r="V2259" i="1"/>
  <c r="U2259" i="1"/>
  <c r="T2259" i="1"/>
  <c r="S2259" i="1"/>
  <c r="R2259" i="1"/>
  <c r="Q2259" i="1"/>
  <c r="K2256" i="1"/>
  <c r="O2255" i="1"/>
  <c r="K2255" i="1"/>
  <c r="X2254" i="1"/>
  <c r="W2254" i="1"/>
  <c r="V2254" i="1"/>
  <c r="U2254" i="1"/>
  <c r="T2254" i="1"/>
  <c r="S2254" i="1"/>
  <c r="R2254" i="1"/>
  <c r="Q2254" i="1"/>
  <c r="O2254" i="1"/>
  <c r="M2254" i="1"/>
  <c r="K2254" i="1"/>
  <c r="O2253" i="1"/>
  <c r="K2253" i="1"/>
  <c r="X2252" i="1"/>
  <c r="W2252" i="1"/>
  <c r="V2252" i="1"/>
  <c r="U2252" i="1"/>
  <c r="T2252" i="1"/>
  <c r="S2252" i="1"/>
  <c r="R2252" i="1"/>
  <c r="Q2252" i="1"/>
  <c r="K2249" i="1"/>
  <c r="O2248" i="1"/>
  <c r="K2248" i="1"/>
  <c r="X2247" i="1"/>
  <c r="W2247" i="1"/>
  <c r="V2247" i="1"/>
  <c r="U2247" i="1"/>
  <c r="T2247" i="1"/>
  <c r="S2247" i="1"/>
  <c r="R2247" i="1"/>
  <c r="Q2247" i="1"/>
  <c r="K2244" i="1"/>
  <c r="O2243" i="1"/>
  <c r="K2243" i="1"/>
  <c r="X2242" i="1"/>
  <c r="W2242" i="1"/>
  <c r="V2242" i="1"/>
  <c r="U2242" i="1"/>
  <c r="T2242" i="1"/>
  <c r="S2242" i="1"/>
  <c r="R2242" i="1"/>
  <c r="Q2242" i="1"/>
  <c r="K2239" i="1"/>
  <c r="O2238" i="1"/>
  <c r="K2238" i="1"/>
  <c r="X2237" i="1"/>
  <c r="W2237" i="1"/>
  <c r="V2237" i="1"/>
  <c r="U2237" i="1"/>
  <c r="T2237" i="1"/>
  <c r="S2237" i="1"/>
  <c r="R2237" i="1"/>
  <c r="Q2237" i="1"/>
  <c r="K2234" i="1"/>
  <c r="O2233" i="1"/>
  <c r="K2233" i="1"/>
  <c r="X2232" i="1"/>
  <c r="W2232" i="1"/>
  <c r="V2232" i="1"/>
  <c r="U2232" i="1"/>
  <c r="T2232" i="1"/>
  <c r="S2232" i="1"/>
  <c r="R2232" i="1"/>
  <c r="Q2232" i="1"/>
  <c r="K2229" i="1"/>
  <c r="O2228" i="1"/>
  <c r="K2228" i="1"/>
  <c r="X2227" i="1"/>
  <c r="W2227" i="1"/>
  <c r="V2227" i="1"/>
  <c r="U2227" i="1"/>
  <c r="T2227" i="1"/>
  <c r="S2227" i="1"/>
  <c r="R2227" i="1"/>
  <c r="Q2227" i="1"/>
  <c r="K2224" i="1"/>
  <c r="O2223" i="1"/>
  <c r="K2223" i="1"/>
  <c r="X2222" i="1"/>
  <c r="W2222" i="1"/>
  <c r="V2222" i="1"/>
  <c r="U2222" i="1"/>
  <c r="T2222" i="1"/>
  <c r="S2222" i="1"/>
  <c r="R2222" i="1"/>
  <c r="Q2222" i="1"/>
  <c r="K2219" i="1"/>
  <c r="O2218" i="1"/>
  <c r="K2218" i="1"/>
  <c r="X2217" i="1"/>
  <c r="W2217" i="1"/>
  <c r="V2217" i="1"/>
  <c r="U2217" i="1"/>
  <c r="T2217" i="1"/>
  <c r="S2217" i="1"/>
  <c r="R2217" i="1"/>
  <c r="Q2217" i="1"/>
  <c r="K2214" i="1"/>
  <c r="O2213" i="1"/>
  <c r="K2213" i="1"/>
  <c r="X2212" i="1"/>
  <c r="W2212" i="1"/>
  <c r="V2212" i="1"/>
  <c r="U2212" i="1"/>
  <c r="T2212" i="1"/>
  <c r="S2212" i="1"/>
  <c r="R2212" i="1"/>
  <c r="Q2212" i="1"/>
  <c r="K2209" i="1"/>
  <c r="O2208" i="1"/>
  <c r="K2208" i="1"/>
  <c r="X2207" i="1"/>
  <c r="W2207" i="1"/>
  <c r="V2207" i="1"/>
  <c r="U2207" i="1"/>
  <c r="T2207" i="1"/>
  <c r="S2207" i="1"/>
  <c r="R2207" i="1"/>
  <c r="Q2207" i="1"/>
  <c r="K2204" i="1"/>
  <c r="O2203" i="1"/>
  <c r="K2203" i="1"/>
  <c r="X2202" i="1"/>
  <c r="W2202" i="1"/>
  <c r="V2202" i="1"/>
  <c r="U2202" i="1"/>
  <c r="T2202" i="1"/>
  <c r="S2202" i="1"/>
  <c r="R2202" i="1"/>
  <c r="Q2202" i="1"/>
  <c r="K2199" i="1"/>
  <c r="O2198" i="1"/>
  <c r="K2198" i="1"/>
  <c r="X2197" i="1"/>
  <c r="W2197" i="1"/>
  <c r="V2197" i="1"/>
  <c r="U2197" i="1"/>
  <c r="T2197" i="1"/>
  <c r="S2197" i="1"/>
  <c r="R2197" i="1"/>
  <c r="Q2197" i="1"/>
  <c r="O2197" i="1"/>
  <c r="M2197" i="1"/>
  <c r="K2197" i="1"/>
  <c r="O2196" i="1"/>
  <c r="K2196" i="1"/>
  <c r="X2195" i="1"/>
  <c r="W2195" i="1"/>
  <c r="V2195" i="1"/>
  <c r="U2195" i="1"/>
  <c r="T2195" i="1"/>
  <c r="S2195" i="1"/>
  <c r="R2195" i="1"/>
  <c r="Q2195" i="1"/>
  <c r="K2192" i="1"/>
  <c r="O2191" i="1"/>
  <c r="K2191" i="1"/>
  <c r="X2190" i="1"/>
  <c r="W2190" i="1"/>
  <c r="V2190" i="1"/>
  <c r="U2190" i="1"/>
  <c r="T2190" i="1"/>
  <c r="S2190" i="1"/>
  <c r="R2190" i="1"/>
  <c r="Q2190" i="1"/>
  <c r="K2187" i="1"/>
  <c r="O2186" i="1"/>
  <c r="K2186" i="1"/>
  <c r="X2185" i="1"/>
  <c r="W2185" i="1"/>
  <c r="V2185" i="1"/>
  <c r="U2185" i="1"/>
  <c r="T2185" i="1"/>
  <c r="S2185" i="1"/>
  <c r="R2185" i="1"/>
  <c r="Q2185" i="1"/>
  <c r="K2182" i="1"/>
  <c r="O2181" i="1"/>
  <c r="K2181" i="1"/>
  <c r="X2180" i="1"/>
  <c r="W2180" i="1"/>
  <c r="V2180" i="1"/>
  <c r="U2180" i="1"/>
  <c r="T2180" i="1"/>
  <c r="S2180" i="1"/>
  <c r="R2180" i="1"/>
  <c r="Q2180" i="1"/>
  <c r="K2177" i="1"/>
  <c r="O2176" i="1"/>
  <c r="K2176" i="1"/>
  <c r="X2175" i="1"/>
  <c r="W2175" i="1"/>
  <c r="V2175" i="1"/>
  <c r="U2175" i="1"/>
  <c r="T2175" i="1"/>
  <c r="S2175" i="1"/>
  <c r="R2175" i="1"/>
  <c r="Q2175" i="1"/>
  <c r="O2175" i="1"/>
  <c r="M2175" i="1"/>
  <c r="K2175" i="1"/>
  <c r="O2174" i="1"/>
  <c r="K2174" i="1"/>
  <c r="X2173" i="1"/>
  <c r="W2173" i="1"/>
  <c r="V2173" i="1"/>
  <c r="U2173" i="1"/>
  <c r="T2173" i="1"/>
  <c r="S2173" i="1"/>
  <c r="R2173" i="1"/>
  <c r="Q2173" i="1"/>
  <c r="K2170" i="1"/>
  <c r="O2169" i="1"/>
  <c r="K2169" i="1"/>
  <c r="X2168" i="1"/>
  <c r="W2168" i="1"/>
  <c r="V2168" i="1"/>
  <c r="U2168" i="1"/>
  <c r="T2168" i="1"/>
  <c r="S2168" i="1"/>
  <c r="R2168" i="1"/>
  <c r="Q2168" i="1"/>
  <c r="K2165" i="1"/>
  <c r="O2164" i="1"/>
  <c r="K2164" i="1"/>
  <c r="X2163" i="1"/>
  <c r="W2163" i="1"/>
  <c r="V2163" i="1"/>
  <c r="U2163" i="1"/>
  <c r="T2163" i="1"/>
  <c r="S2163" i="1"/>
  <c r="R2163" i="1"/>
  <c r="Q2163" i="1"/>
  <c r="K2160" i="1"/>
  <c r="O2159" i="1"/>
  <c r="K2159" i="1"/>
  <c r="X2158" i="1"/>
  <c r="W2158" i="1"/>
  <c r="V2158" i="1"/>
  <c r="U2158" i="1"/>
  <c r="T2158" i="1"/>
  <c r="S2158" i="1"/>
  <c r="R2158" i="1"/>
  <c r="Q2158" i="1"/>
  <c r="O2158" i="1"/>
  <c r="M2158" i="1"/>
  <c r="K2158" i="1"/>
  <c r="O2157" i="1"/>
  <c r="K2157" i="1"/>
  <c r="X2156" i="1"/>
  <c r="W2156" i="1"/>
  <c r="V2156" i="1"/>
  <c r="U2156" i="1"/>
  <c r="T2156" i="1"/>
  <c r="S2156" i="1"/>
  <c r="R2156" i="1"/>
  <c r="Q2156" i="1"/>
  <c r="K2153" i="1"/>
  <c r="O2152" i="1"/>
  <c r="K2152" i="1"/>
  <c r="X2151" i="1"/>
  <c r="W2151" i="1"/>
  <c r="V2151" i="1"/>
  <c r="U2151" i="1"/>
  <c r="T2151" i="1"/>
  <c r="S2151" i="1"/>
  <c r="R2151" i="1"/>
  <c r="Q2151" i="1"/>
  <c r="K2148" i="1"/>
  <c r="O2147" i="1"/>
  <c r="K2147" i="1"/>
  <c r="X2146" i="1"/>
  <c r="W2146" i="1"/>
  <c r="V2146" i="1"/>
  <c r="U2146" i="1"/>
  <c r="T2146" i="1"/>
  <c r="S2146" i="1"/>
  <c r="R2146" i="1"/>
  <c r="Q2146" i="1"/>
  <c r="O2146" i="1"/>
  <c r="M2146" i="1"/>
  <c r="K2146" i="1"/>
  <c r="O2145" i="1"/>
  <c r="K2145" i="1"/>
  <c r="X2144" i="1"/>
  <c r="W2144" i="1"/>
  <c r="V2144" i="1"/>
  <c r="U2144" i="1"/>
  <c r="T2144" i="1"/>
  <c r="S2144" i="1"/>
  <c r="R2144" i="1"/>
  <c r="Q2144" i="1"/>
  <c r="K2141" i="1"/>
  <c r="O2140" i="1"/>
  <c r="K2140" i="1"/>
  <c r="X2139" i="1"/>
  <c r="W2139" i="1"/>
  <c r="V2139" i="1"/>
  <c r="U2139" i="1"/>
  <c r="T2139" i="1"/>
  <c r="S2139" i="1"/>
  <c r="R2139" i="1"/>
  <c r="Q2139" i="1"/>
  <c r="K2136" i="1"/>
  <c r="O2135" i="1"/>
  <c r="K2135" i="1"/>
  <c r="X2134" i="1"/>
  <c r="W2134" i="1"/>
  <c r="V2134" i="1"/>
  <c r="U2134" i="1"/>
  <c r="T2134" i="1"/>
  <c r="S2134" i="1"/>
  <c r="R2134" i="1"/>
  <c r="Q2134" i="1"/>
  <c r="K2131" i="1"/>
  <c r="O2130" i="1"/>
  <c r="K2130" i="1"/>
  <c r="X2129" i="1"/>
  <c r="W2129" i="1"/>
  <c r="V2129" i="1"/>
  <c r="U2129" i="1"/>
  <c r="T2129" i="1"/>
  <c r="S2129" i="1"/>
  <c r="R2129" i="1"/>
  <c r="Q2129" i="1"/>
  <c r="K2126" i="1"/>
  <c r="O2125" i="1"/>
  <c r="K2125" i="1"/>
  <c r="X2124" i="1"/>
  <c r="W2124" i="1"/>
  <c r="V2124" i="1"/>
  <c r="U2124" i="1"/>
  <c r="T2124" i="1"/>
  <c r="S2124" i="1"/>
  <c r="R2124" i="1"/>
  <c r="Q2124" i="1"/>
  <c r="K2121" i="1"/>
  <c r="O2120" i="1"/>
  <c r="K2120" i="1"/>
  <c r="X2119" i="1"/>
  <c r="W2119" i="1"/>
  <c r="V2119" i="1"/>
  <c r="U2119" i="1"/>
  <c r="T2119" i="1"/>
  <c r="S2119" i="1"/>
  <c r="R2119" i="1"/>
  <c r="Q2119" i="1"/>
  <c r="K2116" i="1"/>
  <c r="O2115" i="1"/>
  <c r="K2115" i="1"/>
  <c r="X2114" i="1"/>
  <c r="W2114" i="1"/>
  <c r="V2114" i="1"/>
  <c r="U2114" i="1"/>
  <c r="T2114" i="1"/>
  <c r="S2114" i="1"/>
  <c r="R2114" i="1"/>
  <c r="Q2114" i="1"/>
  <c r="K2111" i="1"/>
  <c r="O2110" i="1"/>
  <c r="K2110" i="1"/>
  <c r="X2109" i="1"/>
  <c r="W2109" i="1"/>
  <c r="V2109" i="1"/>
  <c r="U2109" i="1"/>
  <c r="T2109" i="1"/>
  <c r="S2109" i="1"/>
  <c r="R2109" i="1"/>
  <c r="Q2109" i="1"/>
  <c r="K2106" i="1"/>
  <c r="O2105" i="1"/>
  <c r="K2105" i="1"/>
  <c r="X2104" i="1"/>
  <c r="W2104" i="1"/>
  <c r="V2104" i="1"/>
  <c r="U2104" i="1"/>
  <c r="T2104" i="1"/>
  <c r="S2104" i="1"/>
  <c r="R2104" i="1"/>
  <c r="Q2104" i="1"/>
  <c r="K2101" i="1"/>
  <c r="O2100" i="1"/>
  <c r="K2100" i="1"/>
  <c r="X2099" i="1"/>
  <c r="W2099" i="1"/>
  <c r="V2099" i="1"/>
  <c r="U2099" i="1"/>
  <c r="T2099" i="1"/>
  <c r="S2099" i="1"/>
  <c r="R2099" i="1"/>
  <c r="Q2099" i="1"/>
  <c r="K2096" i="1"/>
  <c r="O2095" i="1"/>
  <c r="K2095" i="1"/>
  <c r="X2094" i="1"/>
  <c r="W2094" i="1"/>
  <c r="V2094" i="1"/>
  <c r="U2094" i="1"/>
  <c r="T2094" i="1"/>
  <c r="S2094" i="1"/>
  <c r="R2094" i="1"/>
  <c r="Q2094" i="1"/>
  <c r="O2094" i="1"/>
  <c r="M2094" i="1"/>
  <c r="K2094" i="1"/>
  <c r="O2093" i="1"/>
  <c r="K2093" i="1"/>
  <c r="X2092" i="1"/>
  <c r="W2092" i="1"/>
  <c r="V2092" i="1"/>
  <c r="U2092" i="1"/>
  <c r="T2092" i="1"/>
  <c r="S2092" i="1"/>
  <c r="R2092" i="1"/>
  <c r="Q2092" i="1"/>
  <c r="K2089" i="1"/>
  <c r="O2088" i="1"/>
  <c r="K2088" i="1"/>
  <c r="X2087" i="1"/>
  <c r="W2087" i="1"/>
  <c r="V2087" i="1"/>
  <c r="U2087" i="1"/>
  <c r="T2087" i="1"/>
  <c r="S2087" i="1"/>
  <c r="R2087" i="1"/>
  <c r="Q2087" i="1"/>
  <c r="O2087" i="1"/>
  <c r="M2087" i="1"/>
  <c r="K2087" i="1"/>
  <c r="O2086" i="1"/>
  <c r="K2086" i="1"/>
  <c r="X2085" i="1"/>
  <c r="W2085" i="1"/>
  <c r="V2085" i="1"/>
  <c r="U2085" i="1"/>
  <c r="T2085" i="1"/>
  <c r="S2085" i="1"/>
  <c r="R2085" i="1"/>
  <c r="Q2085" i="1"/>
  <c r="K2082" i="1"/>
  <c r="O2081" i="1"/>
  <c r="K2081" i="1"/>
  <c r="X2080" i="1"/>
  <c r="W2080" i="1"/>
  <c r="V2080" i="1"/>
  <c r="U2080" i="1"/>
  <c r="T2080" i="1"/>
  <c r="S2080" i="1"/>
  <c r="R2080" i="1"/>
  <c r="Q2080" i="1"/>
  <c r="K2077" i="1"/>
  <c r="O2076" i="1"/>
  <c r="K2076" i="1"/>
  <c r="X2075" i="1"/>
  <c r="W2075" i="1"/>
  <c r="V2075" i="1"/>
  <c r="U2075" i="1"/>
  <c r="T2075" i="1"/>
  <c r="S2075" i="1"/>
  <c r="R2075" i="1"/>
  <c r="Q2075" i="1"/>
  <c r="K2072" i="1"/>
  <c r="O2071" i="1"/>
  <c r="K2071" i="1"/>
  <c r="X2070" i="1"/>
  <c r="W2070" i="1"/>
  <c r="V2070" i="1"/>
  <c r="U2070" i="1"/>
  <c r="T2070" i="1"/>
  <c r="S2070" i="1"/>
  <c r="R2070" i="1"/>
  <c r="Q2070" i="1"/>
  <c r="K2067" i="1"/>
  <c r="O2066" i="1"/>
  <c r="K2066" i="1"/>
  <c r="X2065" i="1"/>
  <c r="W2065" i="1"/>
  <c r="V2065" i="1"/>
  <c r="U2065" i="1"/>
  <c r="T2065" i="1"/>
  <c r="S2065" i="1"/>
  <c r="R2065" i="1"/>
  <c r="Q2065" i="1"/>
  <c r="K2062" i="1"/>
  <c r="O2061" i="1"/>
  <c r="K2061" i="1"/>
  <c r="X2060" i="1"/>
  <c r="W2060" i="1"/>
  <c r="V2060" i="1"/>
  <c r="U2060" i="1"/>
  <c r="T2060" i="1"/>
  <c r="S2060" i="1"/>
  <c r="R2060" i="1"/>
  <c r="Q2060" i="1"/>
  <c r="O2060" i="1"/>
  <c r="M2060" i="1"/>
  <c r="K2060" i="1"/>
  <c r="O2059" i="1"/>
  <c r="K2059" i="1"/>
  <c r="X2058" i="1"/>
  <c r="W2058" i="1"/>
  <c r="V2058" i="1"/>
  <c r="U2058" i="1"/>
  <c r="T2058" i="1"/>
  <c r="S2058" i="1"/>
  <c r="R2058" i="1"/>
  <c r="Q2058" i="1"/>
  <c r="K2055" i="1"/>
  <c r="O2054" i="1"/>
  <c r="K2054" i="1"/>
  <c r="X2053" i="1"/>
  <c r="W2053" i="1"/>
  <c r="V2053" i="1"/>
  <c r="U2053" i="1"/>
  <c r="T2053" i="1"/>
  <c r="S2053" i="1"/>
  <c r="R2053" i="1"/>
  <c r="Q2053" i="1"/>
  <c r="O2053" i="1"/>
  <c r="M2053" i="1"/>
  <c r="K2053" i="1"/>
  <c r="O2052" i="1"/>
  <c r="K2052" i="1"/>
  <c r="X2051" i="1"/>
  <c r="W2051" i="1"/>
  <c r="V2051" i="1"/>
  <c r="U2051" i="1"/>
  <c r="T2051" i="1"/>
  <c r="S2051" i="1"/>
  <c r="R2051" i="1"/>
  <c r="Q2051" i="1"/>
  <c r="K2048" i="1"/>
  <c r="O2047" i="1"/>
  <c r="K2047" i="1"/>
  <c r="X2046" i="1"/>
  <c r="W2046" i="1"/>
  <c r="V2046" i="1"/>
  <c r="U2046" i="1"/>
  <c r="T2046" i="1"/>
  <c r="S2046" i="1"/>
  <c r="R2046" i="1"/>
  <c r="Q2046" i="1"/>
  <c r="O2046" i="1"/>
  <c r="M2046" i="1"/>
  <c r="K2046" i="1"/>
  <c r="O2045" i="1"/>
  <c r="K2045" i="1"/>
  <c r="X2044" i="1"/>
  <c r="W2044" i="1"/>
  <c r="V2044" i="1"/>
  <c r="U2044" i="1"/>
  <c r="T2044" i="1"/>
  <c r="S2044" i="1"/>
  <c r="R2044" i="1"/>
  <c r="Q2044" i="1"/>
  <c r="K2041" i="1"/>
  <c r="O2040" i="1"/>
  <c r="K2040" i="1"/>
  <c r="X2039" i="1"/>
  <c r="W2039" i="1"/>
  <c r="V2039" i="1"/>
  <c r="U2039" i="1"/>
  <c r="T2039" i="1"/>
  <c r="S2039" i="1"/>
  <c r="R2039" i="1"/>
  <c r="Q2039" i="1"/>
  <c r="K2036" i="1"/>
  <c r="O2035" i="1"/>
  <c r="K2035" i="1"/>
  <c r="X2034" i="1"/>
  <c r="W2034" i="1"/>
  <c r="V2034" i="1"/>
  <c r="U2034" i="1"/>
  <c r="T2034" i="1"/>
  <c r="S2034" i="1"/>
  <c r="R2034" i="1"/>
  <c r="Q2034" i="1"/>
  <c r="K2031" i="1"/>
  <c r="O2030" i="1"/>
  <c r="K2030" i="1"/>
  <c r="X2029" i="1"/>
  <c r="W2029" i="1"/>
  <c r="V2029" i="1"/>
  <c r="U2029" i="1"/>
  <c r="T2029" i="1"/>
  <c r="S2029" i="1"/>
  <c r="R2029" i="1"/>
  <c r="Q2029" i="1"/>
  <c r="K2026" i="1"/>
  <c r="O2025" i="1"/>
  <c r="K2025" i="1"/>
  <c r="X2024" i="1"/>
  <c r="W2024" i="1"/>
  <c r="V2024" i="1"/>
  <c r="U2024" i="1"/>
  <c r="T2024" i="1"/>
  <c r="S2024" i="1"/>
  <c r="R2024" i="1"/>
  <c r="Q2024" i="1"/>
  <c r="K2021" i="1"/>
  <c r="O2020" i="1"/>
  <c r="K2020" i="1"/>
  <c r="X2019" i="1"/>
  <c r="W2019" i="1"/>
  <c r="V2019" i="1"/>
  <c r="U2019" i="1"/>
  <c r="T2019" i="1"/>
  <c r="S2019" i="1"/>
  <c r="R2019" i="1"/>
  <c r="Q2019" i="1"/>
  <c r="K2016" i="1"/>
  <c r="O2015" i="1"/>
  <c r="K2015" i="1"/>
  <c r="X2014" i="1"/>
  <c r="W2014" i="1"/>
  <c r="V2014" i="1"/>
  <c r="U2014" i="1"/>
  <c r="T2014" i="1"/>
  <c r="S2014" i="1"/>
  <c r="R2014" i="1"/>
  <c r="Q2014" i="1"/>
  <c r="K2011" i="1"/>
  <c r="O2010" i="1"/>
  <c r="K2010" i="1"/>
  <c r="X2009" i="1"/>
  <c r="W2009" i="1"/>
  <c r="V2009" i="1"/>
  <c r="U2009" i="1"/>
  <c r="T2009" i="1"/>
  <c r="S2009" i="1"/>
  <c r="R2009" i="1"/>
  <c r="Q2009" i="1"/>
  <c r="K2006" i="1"/>
  <c r="O2005" i="1"/>
  <c r="K2005" i="1"/>
  <c r="X2004" i="1"/>
  <c r="W2004" i="1"/>
  <c r="V2004" i="1"/>
  <c r="U2004" i="1"/>
  <c r="T2004" i="1"/>
  <c r="S2004" i="1"/>
  <c r="R2004" i="1"/>
  <c r="Q2004" i="1"/>
  <c r="K2001" i="1"/>
  <c r="O2000" i="1"/>
  <c r="K2000" i="1"/>
  <c r="X1999" i="1"/>
  <c r="W1999" i="1"/>
  <c r="V1999" i="1"/>
  <c r="U1999" i="1"/>
  <c r="T1999" i="1"/>
  <c r="S1999" i="1"/>
  <c r="R1999" i="1"/>
  <c r="Q1999" i="1"/>
  <c r="K1996" i="1"/>
  <c r="O1995" i="1"/>
  <c r="K1995" i="1"/>
  <c r="X1994" i="1"/>
  <c r="W1994" i="1"/>
  <c r="V1994" i="1"/>
  <c r="U1994" i="1"/>
  <c r="T1994" i="1"/>
  <c r="S1994" i="1"/>
  <c r="R1994" i="1"/>
  <c r="Q1994" i="1"/>
  <c r="K1991" i="1"/>
  <c r="O1990" i="1"/>
  <c r="K1990" i="1"/>
  <c r="X1989" i="1"/>
  <c r="W1989" i="1"/>
  <c r="V1989" i="1"/>
  <c r="U1989" i="1"/>
  <c r="T1989" i="1"/>
  <c r="S1989" i="1"/>
  <c r="R1989" i="1"/>
  <c r="Q1989" i="1"/>
  <c r="K1986" i="1"/>
  <c r="O1985" i="1"/>
  <c r="K1985" i="1"/>
  <c r="X1984" i="1"/>
  <c r="W1984" i="1"/>
  <c r="V1984" i="1"/>
  <c r="U1984" i="1"/>
  <c r="T1984" i="1"/>
  <c r="S1984" i="1"/>
  <c r="R1984" i="1"/>
  <c r="Q1984" i="1"/>
  <c r="O1984" i="1"/>
  <c r="M1984" i="1"/>
  <c r="K1984" i="1"/>
  <c r="O1983" i="1"/>
  <c r="K1983" i="1"/>
  <c r="X1982" i="1"/>
  <c r="W1982" i="1"/>
  <c r="V1982" i="1"/>
  <c r="U1982" i="1"/>
  <c r="T1982" i="1"/>
  <c r="S1982" i="1"/>
  <c r="R1982" i="1"/>
  <c r="Q1982" i="1"/>
  <c r="K1979" i="1"/>
  <c r="O1978" i="1"/>
  <c r="K1978" i="1"/>
  <c r="X1977" i="1"/>
  <c r="W1977" i="1"/>
  <c r="V1977" i="1"/>
  <c r="U1977" i="1"/>
  <c r="T1977" i="1"/>
  <c r="S1977" i="1"/>
  <c r="R1977" i="1"/>
  <c r="Q1977" i="1"/>
  <c r="K1974" i="1"/>
  <c r="O1973" i="1"/>
  <c r="K1973" i="1"/>
  <c r="X1972" i="1"/>
  <c r="W1972" i="1"/>
  <c r="V1972" i="1"/>
  <c r="U1972" i="1"/>
  <c r="T1972" i="1"/>
  <c r="S1972" i="1"/>
  <c r="R1972" i="1"/>
  <c r="Q1972" i="1"/>
  <c r="K1969" i="1"/>
  <c r="O1968" i="1"/>
  <c r="K1968" i="1"/>
  <c r="X1967" i="1"/>
  <c r="W1967" i="1"/>
  <c r="V1967" i="1"/>
  <c r="U1967" i="1"/>
  <c r="T1967" i="1"/>
  <c r="S1967" i="1"/>
  <c r="R1967" i="1"/>
  <c r="Q1967" i="1"/>
  <c r="K1964" i="1"/>
  <c r="O1963" i="1"/>
  <c r="K1963" i="1"/>
  <c r="X1962" i="1"/>
  <c r="W1962" i="1"/>
  <c r="V1962" i="1"/>
  <c r="U1962" i="1"/>
  <c r="T1962" i="1"/>
  <c r="S1962" i="1"/>
  <c r="R1962" i="1"/>
  <c r="Q1962" i="1"/>
  <c r="K1959" i="1"/>
  <c r="O1958" i="1"/>
  <c r="K1958" i="1"/>
  <c r="X1957" i="1"/>
  <c r="W1957" i="1"/>
  <c r="V1957" i="1"/>
  <c r="U1957" i="1"/>
  <c r="T1957" i="1"/>
  <c r="S1957" i="1"/>
  <c r="R1957" i="1"/>
  <c r="Q1957" i="1"/>
  <c r="O1957" i="1"/>
  <c r="M1957" i="1"/>
  <c r="K1957" i="1"/>
  <c r="O1956" i="1"/>
  <c r="K1956" i="1"/>
  <c r="X1955" i="1"/>
  <c r="W1955" i="1"/>
  <c r="V1955" i="1"/>
  <c r="U1955" i="1"/>
  <c r="T1955" i="1"/>
  <c r="S1955" i="1"/>
  <c r="R1955" i="1"/>
  <c r="Q1955" i="1"/>
  <c r="K1952" i="1"/>
  <c r="O1951" i="1"/>
  <c r="K1951" i="1"/>
  <c r="X1950" i="1"/>
  <c r="W1950" i="1"/>
  <c r="V1950" i="1"/>
  <c r="U1950" i="1"/>
  <c r="T1950" i="1"/>
  <c r="S1950" i="1"/>
  <c r="R1950" i="1"/>
  <c r="Q1950" i="1"/>
  <c r="O1950" i="1"/>
  <c r="M1950" i="1"/>
  <c r="K1950" i="1"/>
  <c r="O1949" i="1"/>
  <c r="K1949" i="1"/>
  <c r="X1948" i="1"/>
  <c r="W1948" i="1"/>
  <c r="V1948" i="1"/>
  <c r="U1948" i="1"/>
  <c r="T1948" i="1"/>
  <c r="S1948" i="1"/>
  <c r="R1948" i="1"/>
  <c r="Q1948" i="1"/>
  <c r="K1945" i="1"/>
  <c r="O1944" i="1"/>
  <c r="K1944" i="1"/>
  <c r="X1943" i="1"/>
  <c r="W1943" i="1"/>
  <c r="V1943" i="1"/>
  <c r="U1943" i="1"/>
  <c r="T1943" i="1"/>
  <c r="S1943" i="1"/>
  <c r="R1943" i="1"/>
  <c r="Q1943" i="1"/>
  <c r="K1940" i="1"/>
  <c r="O1939" i="1"/>
  <c r="K1939" i="1"/>
  <c r="X1938" i="1"/>
  <c r="W1938" i="1"/>
  <c r="V1938" i="1"/>
  <c r="U1938" i="1"/>
  <c r="T1938" i="1"/>
  <c r="S1938" i="1"/>
  <c r="R1938" i="1"/>
  <c r="Q1938" i="1"/>
  <c r="K1935" i="1"/>
  <c r="O1934" i="1"/>
  <c r="K1934" i="1"/>
  <c r="X1933" i="1"/>
  <c r="W1933" i="1"/>
  <c r="V1933" i="1"/>
  <c r="U1933" i="1"/>
  <c r="T1933" i="1"/>
  <c r="S1933" i="1"/>
  <c r="R1933" i="1"/>
  <c r="Q1933" i="1"/>
  <c r="K1930" i="1"/>
  <c r="O1929" i="1"/>
  <c r="K1929" i="1"/>
  <c r="X1928" i="1"/>
  <c r="W1928" i="1"/>
  <c r="V1928" i="1"/>
  <c r="U1928" i="1"/>
  <c r="T1928" i="1"/>
  <c r="S1928" i="1"/>
  <c r="R1928" i="1"/>
  <c r="Q1928" i="1"/>
  <c r="K1925" i="1"/>
  <c r="O1924" i="1"/>
  <c r="K1924" i="1"/>
  <c r="X1923" i="1"/>
  <c r="W1923" i="1"/>
  <c r="V1923" i="1"/>
  <c r="U1923" i="1"/>
  <c r="T1923" i="1"/>
  <c r="S1923" i="1"/>
  <c r="R1923" i="1"/>
  <c r="Q1923" i="1"/>
  <c r="K1920" i="1"/>
  <c r="O1919" i="1"/>
  <c r="K1919" i="1"/>
  <c r="X1918" i="1"/>
  <c r="W1918" i="1"/>
  <c r="V1918" i="1"/>
  <c r="U1918" i="1"/>
  <c r="T1918" i="1"/>
  <c r="S1918" i="1"/>
  <c r="R1918" i="1"/>
  <c r="Q1918" i="1"/>
  <c r="K1915" i="1"/>
  <c r="O1914" i="1"/>
  <c r="K1914" i="1"/>
  <c r="X1913" i="1"/>
  <c r="W1913" i="1"/>
  <c r="V1913" i="1"/>
  <c r="U1913" i="1"/>
  <c r="T1913" i="1"/>
  <c r="S1913" i="1"/>
  <c r="R1913" i="1"/>
  <c r="Q1913" i="1"/>
  <c r="K1910" i="1"/>
  <c r="O1909" i="1"/>
  <c r="K1909" i="1"/>
  <c r="X1908" i="1"/>
  <c r="W1908" i="1"/>
  <c r="V1908" i="1"/>
  <c r="U1908" i="1"/>
  <c r="T1908" i="1"/>
  <c r="S1908" i="1"/>
  <c r="R1908" i="1"/>
  <c r="Q1908" i="1"/>
  <c r="K1905" i="1"/>
  <c r="O1904" i="1"/>
  <c r="K1904" i="1"/>
  <c r="X1903" i="1"/>
  <c r="W1903" i="1"/>
  <c r="V1903" i="1"/>
  <c r="U1903" i="1"/>
  <c r="T1903" i="1"/>
  <c r="S1903" i="1"/>
  <c r="R1903" i="1"/>
  <c r="Q1903" i="1"/>
  <c r="K1900" i="1"/>
  <c r="O1899" i="1"/>
  <c r="K1899" i="1"/>
  <c r="X1898" i="1"/>
  <c r="W1898" i="1"/>
  <c r="V1898" i="1"/>
  <c r="U1898" i="1"/>
  <c r="T1898" i="1"/>
  <c r="S1898" i="1"/>
  <c r="R1898" i="1"/>
  <c r="Q1898" i="1"/>
  <c r="K1895" i="1"/>
  <c r="O1894" i="1"/>
  <c r="K1894" i="1"/>
  <c r="X1893" i="1"/>
  <c r="W1893" i="1"/>
  <c r="V1893" i="1"/>
  <c r="U1893" i="1"/>
  <c r="T1893" i="1"/>
  <c r="S1893" i="1"/>
  <c r="R1893" i="1"/>
  <c r="Q1893" i="1"/>
  <c r="K1890" i="1"/>
  <c r="O1889" i="1"/>
  <c r="K1889" i="1"/>
  <c r="X1888" i="1"/>
  <c r="W1888" i="1"/>
  <c r="V1888" i="1"/>
  <c r="U1888" i="1"/>
  <c r="T1888" i="1"/>
  <c r="S1888" i="1"/>
  <c r="R1888" i="1"/>
  <c r="Q1888" i="1"/>
  <c r="K1885" i="1"/>
  <c r="O1884" i="1"/>
  <c r="K1884" i="1"/>
  <c r="X1883" i="1"/>
  <c r="W1883" i="1"/>
  <c r="V1883" i="1"/>
  <c r="U1883" i="1"/>
  <c r="T1883" i="1"/>
  <c r="S1883" i="1"/>
  <c r="R1883" i="1"/>
  <c r="Q1883" i="1"/>
  <c r="O1883" i="1"/>
  <c r="M1883" i="1"/>
  <c r="K1883" i="1"/>
  <c r="O1882" i="1"/>
  <c r="K1882" i="1"/>
  <c r="X1881" i="1"/>
  <c r="W1881" i="1"/>
  <c r="V1881" i="1"/>
  <c r="U1881" i="1"/>
  <c r="T1881" i="1"/>
  <c r="S1881" i="1"/>
  <c r="R1881" i="1"/>
  <c r="Q1881" i="1"/>
  <c r="K1878" i="1"/>
  <c r="O1877" i="1"/>
  <c r="K1877" i="1"/>
  <c r="X1876" i="1"/>
  <c r="W1876" i="1"/>
  <c r="V1876" i="1"/>
  <c r="U1876" i="1"/>
  <c r="T1876" i="1"/>
  <c r="S1876" i="1"/>
  <c r="R1876" i="1"/>
  <c r="Q1876" i="1"/>
  <c r="O1876" i="1"/>
  <c r="M1876" i="1"/>
  <c r="K1876" i="1"/>
  <c r="O1875" i="1"/>
  <c r="K1875" i="1"/>
  <c r="X1874" i="1"/>
  <c r="W1874" i="1"/>
  <c r="V1874" i="1"/>
  <c r="U1874" i="1"/>
  <c r="T1874" i="1"/>
  <c r="S1874" i="1"/>
  <c r="R1874" i="1"/>
  <c r="Q1874" i="1"/>
  <c r="K1871" i="1"/>
  <c r="O1870" i="1"/>
  <c r="K1870" i="1"/>
  <c r="X1869" i="1"/>
  <c r="W1869" i="1"/>
  <c r="V1869" i="1"/>
  <c r="U1869" i="1"/>
  <c r="T1869" i="1"/>
  <c r="S1869" i="1"/>
  <c r="R1869" i="1"/>
  <c r="Q1869" i="1"/>
  <c r="O1869" i="1"/>
  <c r="M1869" i="1"/>
  <c r="K1869" i="1"/>
  <c r="O1868" i="1"/>
  <c r="K1868" i="1"/>
  <c r="X1867" i="1"/>
  <c r="W1867" i="1"/>
  <c r="V1867" i="1"/>
  <c r="U1867" i="1"/>
  <c r="T1867" i="1"/>
  <c r="S1867" i="1"/>
  <c r="R1867" i="1"/>
  <c r="Q1867" i="1"/>
  <c r="K1864" i="1"/>
  <c r="O1863" i="1"/>
  <c r="K1863" i="1"/>
  <c r="X1862" i="1"/>
  <c r="W1862" i="1"/>
  <c r="V1862" i="1"/>
  <c r="U1862" i="1"/>
  <c r="T1862" i="1"/>
  <c r="S1862" i="1"/>
  <c r="R1862" i="1"/>
  <c r="Q1862" i="1"/>
  <c r="O1862" i="1"/>
  <c r="M1862" i="1"/>
  <c r="K1862" i="1"/>
  <c r="O1861" i="1"/>
  <c r="K1861" i="1"/>
  <c r="X1860" i="1"/>
  <c r="W1860" i="1"/>
  <c r="V1860" i="1"/>
  <c r="U1860" i="1"/>
  <c r="T1860" i="1"/>
  <c r="S1860" i="1"/>
  <c r="R1860" i="1"/>
  <c r="Q1860" i="1"/>
  <c r="K1857" i="1"/>
  <c r="O1856" i="1"/>
  <c r="K1856" i="1"/>
  <c r="X1855" i="1"/>
  <c r="W1855" i="1"/>
  <c r="V1855" i="1"/>
  <c r="U1855" i="1"/>
  <c r="T1855" i="1"/>
  <c r="S1855" i="1"/>
  <c r="R1855" i="1"/>
  <c r="Q1855" i="1"/>
  <c r="K1852" i="1"/>
  <c r="O1851" i="1"/>
  <c r="K1851" i="1"/>
  <c r="X1850" i="1"/>
  <c r="W1850" i="1"/>
  <c r="V1850" i="1"/>
  <c r="U1850" i="1"/>
  <c r="T1850" i="1"/>
  <c r="S1850" i="1"/>
  <c r="R1850" i="1"/>
  <c r="Q1850" i="1"/>
  <c r="K1847" i="1"/>
  <c r="O1846" i="1"/>
  <c r="K1846" i="1"/>
  <c r="X1845" i="1"/>
  <c r="W1845" i="1"/>
  <c r="V1845" i="1"/>
  <c r="U1845" i="1"/>
  <c r="T1845" i="1"/>
  <c r="S1845" i="1"/>
  <c r="R1845" i="1"/>
  <c r="Q1845" i="1"/>
  <c r="K1842" i="1"/>
  <c r="O1841" i="1"/>
  <c r="K1841" i="1"/>
  <c r="X1840" i="1"/>
  <c r="W1840" i="1"/>
  <c r="V1840" i="1"/>
  <c r="U1840" i="1"/>
  <c r="T1840" i="1"/>
  <c r="S1840" i="1"/>
  <c r="R1840" i="1"/>
  <c r="Q1840" i="1"/>
  <c r="K1837" i="1"/>
  <c r="O1836" i="1"/>
  <c r="K1836" i="1"/>
  <c r="X1835" i="1"/>
  <c r="W1835" i="1"/>
  <c r="V1835" i="1"/>
  <c r="U1835" i="1"/>
  <c r="T1835" i="1"/>
  <c r="S1835" i="1"/>
  <c r="R1835" i="1"/>
  <c r="Q1835" i="1"/>
  <c r="K1832" i="1"/>
  <c r="O1831" i="1"/>
  <c r="K1831" i="1"/>
  <c r="X1830" i="1"/>
  <c r="W1830" i="1"/>
  <c r="V1830" i="1"/>
  <c r="U1830" i="1"/>
  <c r="T1830" i="1"/>
  <c r="S1830" i="1"/>
  <c r="R1830" i="1"/>
  <c r="Q1830" i="1"/>
  <c r="K1827" i="1"/>
  <c r="O1826" i="1"/>
  <c r="K1826" i="1"/>
  <c r="X1825" i="1"/>
  <c r="W1825" i="1"/>
  <c r="V1825" i="1"/>
  <c r="U1825" i="1"/>
  <c r="T1825" i="1"/>
  <c r="S1825" i="1"/>
  <c r="R1825" i="1"/>
  <c r="Q1825" i="1"/>
  <c r="K1822" i="1"/>
  <c r="O1821" i="1"/>
  <c r="K1821" i="1"/>
  <c r="X1820" i="1"/>
  <c r="W1820" i="1"/>
  <c r="V1820" i="1"/>
  <c r="U1820" i="1"/>
  <c r="T1820" i="1"/>
  <c r="S1820" i="1"/>
  <c r="R1820" i="1"/>
  <c r="Q1820" i="1"/>
  <c r="K1817" i="1"/>
  <c r="O1816" i="1"/>
  <c r="K1816" i="1"/>
  <c r="X1815" i="1"/>
  <c r="W1815" i="1"/>
  <c r="V1815" i="1"/>
  <c r="U1815" i="1"/>
  <c r="T1815" i="1"/>
  <c r="S1815" i="1"/>
  <c r="R1815" i="1"/>
  <c r="Q1815" i="1"/>
  <c r="K1812" i="1"/>
  <c r="O1811" i="1"/>
  <c r="K1811" i="1"/>
  <c r="X1810" i="1"/>
  <c r="W1810" i="1"/>
  <c r="V1810" i="1"/>
  <c r="U1810" i="1"/>
  <c r="T1810" i="1"/>
  <c r="S1810" i="1"/>
  <c r="R1810" i="1"/>
  <c r="Q1810" i="1"/>
  <c r="K1807" i="1"/>
  <c r="O1806" i="1"/>
  <c r="K1806" i="1"/>
  <c r="X1805" i="1"/>
  <c r="W1805" i="1"/>
  <c r="V1805" i="1"/>
  <c r="U1805" i="1"/>
  <c r="T1805" i="1"/>
  <c r="S1805" i="1"/>
  <c r="R1805" i="1"/>
  <c r="Q1805" i="1"/>
  <c r="K1802" i="1"/>
  <c r="O1801" i="1"/>
  <c r="K1801" i="1"/>
  <c r="X1800" i="1"/>
  <c r="W1800" i="1"/>
  <c r="V1800" i="1"/>
  <c r="U1800" i="1"/>
  <c r="T1800" i="1"/>
  <c r="S1800" i="1"/>
  <c r="R1800" i="1"/>
  <c r="Q1800" i="1"/>
  <c r="K1797" i="1"/>
  <c r="O1796" i="1"/>
  <c r="K1796" i="1"/>
  <c r="X1795" i="1"/>
  <c r="W1795" i="1"/>
  <c r="V1795" i="1"/>
  <c r="U1795" i="1"/>
  <c r="T1795" i="1"/>
  <c r="S1795" i="1"/>
  <c r="R1795" i="1"/>
  <c r="Q1795" i="1"/>
  <c r="K1792" i="1"/>
  <c r="O1791" i="1"/>
  <c r="K1791" i="1"/>
  <c r="X1790" i="1"/>
  <c r="W1790" i="1"/>
  <c r="V1790" i="1"/>
  <c r="U1790" i="1"/>
  <c r="T1790" i="1"/>
  <c r="S1790" i="1"/>
  <c r="R1790" i="1"/>
  <c r="Q1790" i="1"/>
  <c r="K1787" i="1"/>
  <c r="O1786" i="1"/>
  <c r="K1786" i="1"/>
  <c r="X1785" i="1"/>
  <c r="W1785" i="1"/>
  <c r="V1785" i="1"/>
  <c r="U1785" i="1"/>
  <c r="T1785" i="1"/>
  <c r="S1785" i="1"/>
  <c r="R1785" i="1"/>
  <c r="Q1785" i="1"/>
  <c r="O1785" i="1"/>
  <c r="M1785" i="1"/>
  <c r="K1785" i="1"/>
  <c r="O1784" i="1"/>
  <c r="K1784" i="1"/>
  <c r="X1783" i="1"/>
  <c r="W1783" i="1"/>
  <c r="V1783" i="1"/>
  <c r="U1783" i="1"/>
  <c r="T1783" i="1"/>
  <c r="S1783" i="1"/>
  <c r="R1783" i="1"/>
  <c r="Q1783" i="1"/>
  <c r="K1780" i="1"/>
  <c r="O1779" i="1"/>
  <c r="K1779" i="1"/>
  <c r="X1778" i="1"/>
  <c r="W1778" i="1"/>
  <c r="V1778" i="1"/>
  <c r="U1778" i="1"/>
  <c r="T1778" i="1"/>
  <c r="S1778" i="1"/>
  <c r="R1778" i="1"/>
  <c r="Q1778" i="1"/>
  <c r="O1778" i="1"/>
  <c r="M1778" i="1"/>
  <c r="K1778" i="1"/>
  <c r="O1777" i="1"/>
  <c r="K1777" i="1"/>
  <c r="X1776" i="1"/>
  <c r="W1776" i="1"/>
  <c r="V1776" i="1"/>
  <c r="U1776" i="1"/>
  <c r="T1776" i="1"/>
  <c r="S1776" i="1"/>
  <c r="R1776" i="1"/>
  <c r="Q1776" i="1"/>
  <c r="K1773" i="1"/>
  <c r="O1772" i="1"/>
  <c r="K1772" i="1"/>
  <c r="X1771" i="1"/>
  <c r="W1771" i="1"/>
  <c r="V1771" i="1"/>
  <c r="U1771" i="1"/>
  <c r="T1771" i="1"/>
  <c r="S1771" i="1"/>
  <c r="R1771" i="1"/>
  <c r="Q1771" i="1"/>
  <c r="O1771" i="1"/>
  <c r="M1771" i="1"/>
  <c r="K1771" i="1"/>
  <c r="O1770" i="1"/>
  <c r="K1770" i="1"/>
  <c r="X1769" i="1"/>
  <c r="W1769" i="1"/>
  <c r="V1769" i="1"/>
  <c r="U1769" i="1"/>
  <c r="T1769" i="1"/>
  <c r="S1769" i="1"/>
  <c r="R1769" i="1"/>
  <c r="Q1769" i="1"/>
  <c r="K1766" i="1"/>
  <c r="O1765" i="1"/>
  <c r="K1765" i="1"/>
  <c r="X1764" i="1"/>
  <c r="W1764" i="1"/>
  <c r="V1764" i="1"/>
  <c r="U1764" i="1"/>
  <c r="T1764" i="1"/>
  <c r="S1764" i="1"/>
  <c r="R1764" i="1"/>
  <c r="Q1764" i="1"/>
  <c r="O1764" i="1"/>
  <c r="M1764" i="1"/>
  <c r="K1764" i="1"/>
  <c r="O1763" i="1"/>
  <c r="K1763" i="1"/>
  <c r="X1762" i="1"/>
  <c r="W1762" i="1"/>
  <c r="V1762" i="1"/>
  <c r="U1762" i="1"/>
  <c r="T1762" i="1"/>
  <c r="S1762" i="1"/>
  <c r="R1762" i="1"/>
  <c r="Q1762" i="1"/>
  <c r="K1759" i="1"/>
  <c r="O1758" i="1"/>
  <c r="K1758" i="1"/>
  <c r="X1757" i="1"/>
  <c r="W1757" i="1"/>
  <c r="V1757" i="1"/>
  <c r="U1757" i="1"/>
  <c r="T1757" i="1"/>
  <c r="S1757" i="1"/>
  <c r="R1757" i="1"/>
  <c r="Q1757" i="1"/>
  <c r="O1757" i="1"/>
  <c r="M1757" i="1"/>
  <c r="K1757" i="1"/>
  <c r="O1756" i="1"/>
  <c r="K1756" i="1"/>
  <c r="X1755" i="1"/>
  <c r="W1755" i="1"/>
  <c r="V1755" i="1"/>
  <c r="U1755" i="1"/>
  <c r="T1755" i="1"/>
  <c r="S1755" i="1"/>
  <c r="R1755" i="1"/>
  <c r="Q1755" i="1"/>
  <c r="K1752" i="1"/>
  <c r="O1751" i="1"/>
  <c r="K1751" i="1"/>
  <c r="X1750" i="1"/>
  <c r="W1750" i="1"/>
  <c r="V1750" i="1"/>
  <c r="U1750" i="1"/>
  <c r="T1750" i="1"/>
  <c r="S1750" i="1"/>
  <c r="R1750" i="1"/>
  <c r="Q1750" i="1"/>
  <c r="O1750" i="1"/>
  <c r="M1750" i="1"/>
  <c r="K1750" i="1"/>
  <c r="O1749" i="1"/>
  <c r="K1749" i="1"/>
  <c r="X1748" i="1"/>
  <c r="W1748" i="1"/>
  <c r="V1748" i="1"/>
  <c r="U1748" i="1"/>
  <c r="T1748" i="1"/>
  <c r="S1748" i="1"/>
  <c r="R1748" i="1"/>
  <c r="Q1748" i="1"/>
  <c r="K1745" i="1"/>
  <c r="O1744" i="1"/>
  <c r="K1744" i="1"/>
  <c r="X1743" i="1"/>
  <c r="W1743" i="1"/>
  <c r="V1743" i="1"/>
  <c r="U1743" i="1"/>
  <c r="T1743" i="1"/>
  <c r="S1743" i="1"/>
  <c r="R1743" i="1"/>
  <c r="Q1743" i="1"/>
  <c r="O1743" i="1"/>
  <c r="M1743" i="1"/>
  <c r="K1743" i="1"/>
  <c r="O1742" i="1"/>
  <c r="K1742" i="1"/>
  <c r="X1741" i="1"/>
  <c r="W1741" i="1"/>
  <c r="V1741" i="1"/>
  <c r="U1741" i="1"/>
  <c r="T1741" i="1"/>
  <c r="S1741" i="1"/>
  <c r="R1741" i="1"/>
  <c r="Q1741" i="1"/>
  <c r="K1738" i="1"/>
  <c r="O1737" i="1"/>
  <c r="K1737" i="1"/>
  <c r="X1736" i="1"/>
  <c r="W1736" i="1"/>
  <c r="V1736" i="1"/>
  <c r="U1736" i="1"/>
  <c r="T1736" i="1"/>
  <c r="S1736" i="1"/>
  <c r="R1736" i="1"/>
  <c r="Q1736" i="1"/>
  <c r="K1733" i="1"/>
  <c r="O1732" i="1"/>
  <c r="K1732" i="1"/>
  <c r="X1731" i="1"/>
  <c r="W1731" i="1"/>
  <c r="V1731" i="1"/>
  <c r="U1731" i="1"/>
  <c r="T1731" i="1"/>
  <c r="S1731" i="1"/>
  <c r="R1731" i="1"/>
  <c r="Q1731" i="1"/>
  <c r="K1728" i="1"/>
  <c r="O1727" i="1"/>
  <c r="K1727" i="1"/>
  <c r="X1726" i="1"/>
  <c r="W1726" i="1"/>
  <c r="V1726" i="1"/>
  <c r="U1726" i="1"/>
  <c r="T1726" i="1"/>
  <c r="S1726" i="1"/>
  <c r="R1726" i="1"/>
  <c r="Q1726" i="1"/>
  <c r="K1723" i="1"/>
  <c r="O1722" i="1"/>
  <c r="K1722" i="1"/>
  <c r="X1721" i="1"/>
  <c r="W1721" i="1"/>
  <c r="V1721" i="1"/>
  <c r="U1721" i="1"/>
  <c r="T1721" i="1"/>
  <c r="S1721" i="1"/>
  <c r="R1721" i="1"/>
  <c r="Q1721" i="1"/>
  <c r="K1718" i="1"/>
  <c r="O1717" i="1"/>
  <c r="K1717" i="1"/>
  <c r="X1716" i="1"/>
  <c r="W1716" i="1"/>
  <c r="V1716" i="1"/>
  <c r="U1716" i="1"/>
  <c r="T1716" i="1"/>
  <c r="S1716" i="1"/>
  <c r="R1716" i="1"/>
  <c r="Q1716" i="1"/>
  <c r="K1713" i="1"/>
  <c r="O1712" i="1"/>
  <c r="K1712" i="1"/>
  <c r="X1711" i="1"/>
  <c r="W1711" i="1"/>
  <c r="V1711" i="1"/>
  <c r="U1711" i="1"/>
  <c r="T1711" i="1"/>
  <c r="S1711" i="1"/>
  <c r="R1711" i="1"/>
  <c r="Q1711" i="1"/>
  <c r="K1708" i="1"/>
  <c r="O1707" i="1"/>
  <c r="K1707" i="1"/>
  <c r="X1706" i="1"/>
  <c r="W1706" i="1"/>
  <c r="V1706" i="1"/>
  <c r="U1706" i="1"/>
  <c r="T1706" i="1"/>
  <c r="S1706" i="1"/>
  <c r="R1706" i="1"/>
  <c r="Q1706" i="1"/>
  <c r="K1703" i="1"/>
  <c r="O1702" i="1"/>
  <c r="K1702" i="1"/>
  <c r="X1701" i="1"/>
  <c r="W1701" i="1"/>
  <c r="V1701" i="1"/>
  <c r="U1701" i="1"/>
  <c r="T1701" i="1"/>
  <c r="S1701" i="1"/>
  <c r="R1701" i="1"/>
  <c r="Q1701" i="1"/>
  <c r="K1698" i="1"/>
  <c r="O1697" i="1"/>
  <c r="K1697" i="1"/>
  <c r="X1696" i="1"/>
  <c r="W1696" i="1"/>
  <c r="V1696" i="1"/>
  <c r="U1696" i="1"/>
  <c r="T1696" i="1"/>
  <c r="S1696" i="1"/>
  <c r="R1696" i="1"/>
  <c r="Q1696" i="1"/>
  <c r="K1693" i="1"/>
  <c r="O1692" i="1"/>
  <c r="K1692" i="1"/>
  <c r="X1691" i="1"/>
  <c r="W1691" i="1"/>
  <c r="V1691" i="1"/>
  <c r="U1691" i="1"/>
  <c r="T1691" i="1"/>
  <c r="S1691" i="1"/>
  <c r="R1691" i="1"/>
  <c r="Q1691" i="1"/>
  <c r="O1691" i="1"/>
  <c r="M1691" i="1"/>
  <c r="K1691" i="1"/>
  <c r="O1690" i="1"/>
  <c r="K1690" i="1"/>
  <c r="X1689" i="1"/>
  <c r="W1689" i="1"/>
  <c r="V1689" i="1"/>
  <c r="U1689" i="1"/>
  <c r="T1689" i="1"/>
  <c r="S1689" i="1"/>
  <c r="R1689" i="1"/>
  <c r="Q1689" i="1"/>
  <c r="K1686" i="1"/>
  <c r="O1685" i="1"/>
  <c r="K1685" i="1"/>
  <c r="X1684" i="1"/>
  <c r="W1684" i="1"/>
  <c r="V1684" i="1"/>
  <c r="U1684" i="1"/>
  <c r="T1684" i="1"/>
  <c r="S1684" i="1"/>
  <c r="R1684" i="1"/>
  <c r="Q1684" i="1"/>
  <c r="O1684" i="1"/>
  <c r="M1684" i="1"/>
  <c r="K1684" i="1"/>
  <c r="O1683" i="1"/>
  <c r="K1683" i="1"/>
  <c r="X1682" i="1"/>
  <c r="W1682" i="1"/>
  <c r="V1682" i="1"/>
  <c r="U1682" i="1"/>
  <c r="T1682" i="1"/>
  <c r="S1682" i="1"/>
  <c r="R1682" i="1"/>
  <c r="Q1682" i="1"/>
  <c r="K1679" i="1"/>
  <c r="O1678" i="1"/>
  <c r="K1678" i="1"/>
  <c r="X1677" i="1"/>
  <c r="W1677" i="1"/>
  <c r="V1677" i="1"/>
  <c r="U1677" i="1"/>
  <c r="T1677" i="1"/>
  <c r="S1677" i="1"/>
  <c r="R1677" i="1"/>
  <c r="Q1677" i="1"/>
  <c r="K1674" i="1"/>
  <c r="O1673" i="1"/>
  <c r="K1673" i="1"/>
  <c r="X1672" i="1"/>
  <c r="W1672" i="1"/>
  <c r="V1672" i="1"/>
  <c r="U1672" i="1"/>
  <c r="T1672" i="1"/>
  <c r="S1672" i="1"/>
  <c r="R1672" i="1"/>
  <c r="Q1672" i="1"/>
  <c r="K1669" i="1"/>
  <c r="O1668" i="1"/>
  <c r="K1668" i="1"/>
  <c r="X1667" i="1"/>
  <c r="W1667" i="1"/>
  <c r="V1667" i="1"/>
  <c r="U1667" i="1"/>
  <c r="T1667" i="1"/>
  <c r="S1667" i="1"/>
  <c r="R1667" i="1"/>
  <c r="Q1667" i="1"/>
  <c r="K1664" i="1"/>
  <c r="O1663" i="1"/>
  <c r="K1663" i="1"/>
  <c r="X1662" i="1"/>
  <c r="W1662" i="1"/>
  <c r="V1662" i="1"/>
  <c r="U1662" i="1"/>
  <c r="T1662" i="1"/>
  <c r="S1662" i="1"/>
  <c r="R1662" i="1"/>
  <c r="Q1662" i="1"/>
  <c r="K1659" i="1"/>
  <c r="O1658" i="1"/>
  <c r="K1658" i="1"/>
  <c r="X1657" i="1"/>
  <c r="W1657" i="1"/>
  <c r="V1657" i="1"/>
  <c r="U1657" i="1"/>
  <c r="T1657" i="1"/>
  <c r="S1657" i="1"/>
  <c r="R1657" i="1"/>
  <c r="Q1657" i="1"/>
  <c r="K1654" i="1"/>
  <c r="O1653" i="1"/>
  <c r="K1653" i="1"/>
  <c r="X1652" i="1"/>
  <c r="W1652" i="1"/>
  <c r="V1652" i="1"/>
  <c r="U1652" i="1"/>
  <c r="T1652" i="1"/>
  <c r="S1652" i="1"/>
  <c r="R1652" i="1"/>
  <c r="Q1652" i="1"/>
  <c r="O1652" i="1"/>
  <c r="M1652" i="1"/>
  <c r="K1652" i="1"/>
  <c r="O1651" i="1"/>
  <c r="K1651" i="1"/>
  <c r="X1650" i="1"/>
  <c r="W1650" i="1"/>
  <c r="V1650" i="1"/>
  <c r="U1650" i="1"/>
  <c r="T1650" i="1"/>
  <c r="S1650" i="1"/>
  <c r="R1650" i="1"/>
  <c r="Q1650" i="1"/>
  <c r="K1647" i="1"/>
  <c r="O1646" i="1"/>
  <c r="K1646" i="1"/>
  <c r="X1645" i="1"/>
  <c r="W1645" i="1"/>
  <c r="V1645" i="1"/>
  <c r="U1645" i="1"/>
  <c r="T1645" i="1"/>
  <c r="S1645" i="1"/>
  <c r="R1645" i="1"/>
  <c r="Q1645" i="1"/>
  <c r="K1642" i="1"/>
  <c r="O1641" i="1"/>
  <c r="K1641" i="1"/>
  <c r="X1640" i="1"/>
  <c r="W1640" i="1"/>
  <c r="V1640" i="1"/>
  <c r="U1640" i="1"/>
  <c r="T1640" i="1"/>
  <c r="S1640" i="1"/>
  <c r="R1640" i="1"/>
  <c r="Q1640" i="1"/>
  <c r="K1637" i="1"/>
  <c r="O1636" i="1"/>
  <c r="K1636" i="1"/>
  <c r="X1635" i="1"/>
  <c r="W1635" i="1"/>
  <c r="V1635" i="1"/>
  <c r="U1635" i="1"/>
  <c r="T1635" i="1"/>
  <c r="S1635" i="1"/>
  <c r="R1635" i="1"/>
  <c r="Q1635" i="1"/>
  <c r="K1632" i="1"/>
  <c r="O1631" i="1"/>
  <c r="K1631" i="1"/>
  <c r="X1630" i="1"/>
  <c r="W1630" i="1"/>
  <c r="V1630" i="1"/>
  <c r="U1630" i="1"/>
  <c r="T1630" i="1"/>
  <c r="S1630" i="1"/>
  <c r="R1630" i="1"/>
  <c r="Q1630" i="1"/>
  <c r="K1627" i="1"/>
  <c r="O1626" i="1"/>
  <c r="K1626" i="1"/>
  <c r="X1625" i="1"/>
  <c r="W1625" i="1"/>
  <c r="V1625" i="1"/>
  <c r="U1625" i="1"/>
  <c r="T1625" i="1"/>
  <c r="S1625" i="1"/>
  <c r="R1625" i="1"/>
  <c r="Q1625" i="1"/>
  <c r="K1622" i="1"/>
  <c r="O1621" i="1"/>
  <c r="K1621" i="1"/>
  <c r="X1620" i="1"/>
  <c r="W1620" i="1"/>
  <c r="V1620" i="1"/>
  <c r="U1620" i="1"/>
  <c r="T1620" i="1"/>
  <c r="S1620" i="1"/>
  <c r="R1620" i="1"/>
  <c r="Q1620" i="1"/>
  <c r="K1617" i="1"/>
  <c r="O1616" i="1"/>
  <c r="K1616" i="1"/>
  <c r="X1615" i="1"/>
  <c r="W1615" i="1"/>
  <c r="V1615" i="1"/>
  <c r="U1615" i="1"/>
  <c r="T1615" i="1"/>
  <c r="S1615" i="1"/>
  <c r="R1615" i="1"/>
  <c r="Q1615" i="1"/>
  <c r="K1612" i="1"/>
  <c r="O1611" i="1"/>
  <c r="K1611" i="1"/>
  <c r="X1610" i="1"/>
  <c r="W1610" i="1"/>
  <c r="V1610" i="1"/>
  <c r="U1610" i="1"/>
  <c r="T1610" i="1"/>
  <c r="S1610" i="1"/>
  <c r="R1610" i="1"/>
  <c r="Q1610" i="1"/>
  <c r="K1607" i="1"/>
  <c r="O1606" i="1"/>
  <c r="K1606" i="1"/>
  <c r="X1605" i="1"/>
  <c r="W1605" i="1"/>
  <c r="V1605" i="1"/>
  <c r="U1605" i="1"/>
  <c r="T1605" i="1"/>
  <c r="S1605" i="1"/>
  <c r="R1605" i="1"/>
  <c r="Q1605" i="1"/>
  <c r="K1602" i="1"/>
  <c r="O1601" i="1"/>
  <c r="K1601" i="1"/>
  <c r="X1600" i="1"/>
  <c r="W1600" i="1"/>
  <c r="V1600" i="1"/>
  <c r="U1600" i="1"/>
  <c r="T1600" i="1"/>
  <c r="S1600" i="1"/>
  <c r="R1600" i="1"/>
  <c r="Q1600" i="1"/>
  <c r="K1597" i="1"/>
  <c r="O1596" i="1"/>
  <c r="K1596" i="1"/>
  <c r="X1595" i="1"/>
  <c r="W1595" i="1"/>
  <c r="V1595" i="1"/>
  <c r="U1595" i="1"/>
  <c r="T1595" i="1"/>
  <c r="S1595" i="1"/>
  <c r="R1595" i="1"/>
  <c r="Q1595" i="1"/>
  <c r="K1592" i="1"/>
  <c r="O1591" i="1"/>
  <c r="K1591" i="1"/>
  <c r="X1590" i="1"/>
  <c r="W1590" i="1"/>
  <c r="V1590" i="1"/>
  <c r="U1590" i="1"/>
  <c r="T1590" i="1"/>
  <c r="S1590" i="1"/>
  <c r="R1590" i="1"/>
  <c r="Q1590" i="1"/>
  <c r="O1590" i="1"/>
  <c r="M1590" i="1"/>
  <c r="K1590" i="1"/>
  <c r="O1589" i="1"/>
  <c r="K1589" i="1"/>
  <c r="X1588" i="1"/>
  <c r="W1588" i="1"/>
  <c r="V1588" i="1"/>
  <c r="U1588" i="1"/>
  <c r="T1588" i="1"/>
  <c r="S1588" i="1"/>
  <c r="R1588" i="1"/>
  <c r="Q1588" i="1"/>
  <c r="K1585" i="1"/>
  <c r="O1584" i="1"/>
  <c r="K1584" i="1"/>
  <c r="X1583" i="1"/>
  <c r="W1583" i="1"/>
  <c r="V1583" i="1"/>
  <c r="U1583" i="1"/>
  <c r="T1583" i="1"/>
  <c r="S1583" i="1"/>
  <c r="R1583" i="1"/>
  <c r="Q1583" i="1"/>
  <c r="O1583" i="1"/>
  <c r="M1583" i="1"/>
  <c r="K1583" i="1"/>
  <c r="O1582" i="1"/>
  <c r="K1582" i="1"/>
  <c r="X1581" i="1"/>
  <c r="W1581" i="1"/>
  <c r="V1581" i="1"/>
  <c r="U1581" i="1"/>
  <c r="T1581" i="1"/>
  <c r="S1581" i="1"/>
  <c r="R1581" i="1"/>
  <c r="Q1581" i="1"/>
  <c r="K1578" i="1"/>
  <c r="O1577" i="1"/>
  <c r="K1577" i="1"/>
  <c r="X1576" i="1"/>
  <c r="W1576" i="1"/>
  <c r="V1576" i="1"/>
  <c r="U1576" i="1"/>
  <c r="T1576" i="1"/>
  <c r="S1576" i="1"/>
  <c r="R1576" i="1"/>
  <c r="Q1576" i="1"/>
  <c r="O1576" i="1"/>
  <c r="M1576" i="1"/>
  <c r="K1576" i="1"/>
  <c r="O1575" i="1"/>
  <c r="K1575" i="1"/>
  <c r="X1574" i="1"/>
  <c r="W1574" i="1"/>
  <c r="V1574" i="1"/>
  <c r="U1574" i="1"/>
  <c r="T1574" i="1"/>
  <c r="S1574" i="1"/>
  <c r="R1574" i="1"/>
  <c r="Q1574" i="1"/>
  <c r="K1571" i="1"/>
  <c r="O1570" i="1"/>
  <c r="K1570" i="1"/>
  <c r="X1569" i="1"/>
  <c r="W1569" i="1"/>
  <c r="V1569" i="1"/>
  <c r="U1569" i="1"/>
  <c r="T1569" i="1"/>
  <c r="S1569" i="1"/>
  <c r="R1569" i="1"/>
  <c r="Q1569" i="1"/>
  <c r="O1569" i="1"/>
  <c r="M1569" i="1"/>
  <c r="K1569" i="1"/>
  <c r="O1568" i="1"/>
  <c r="K1568" i="1"/>
  <c r="X1567" i="1"/>
  <c r="W1567" i="1"/>
  <c r="V1567" i="1"/>
  <c r="U1567" i="1"/>
  <c r="T1567" i="1"/>
  <c r="S1567" i="1"/>
  <c r="R1567" i="1"/>
  <c r="Q1567" i="1"/>
  <c r="K1564" i="1"/>
  <c r="O1563" i="1"/>
  <c r="K1563" i="1"/>
  <c r="X1562" i="1"/>
  <c r="W1562" i="1"/>
  <c r="V1562" i="1"/>
  <c r="U1562" i="1"/>
  <c r="T1562" i="1"/>
  <c r="S1562" i="1"/>
  <c r="R1562" i="1"/>
  <c r="Q1562" i="1"/>
  <c r="O1562" i="1"/>
  <c r="M1562" i="1"/>
  <c r="K1562" i="1"/>
  <c r="O1561" i="1"/>
  <c r="K1561" i="1"/>
  <c r="X1560" i="1"/>
  <c r="W1560" i="1"/>
  <c r="V1560" i="1"/>
  <c r="U1560" i="1"/>
  <c r="T1560" i="1"/>
  <c r="S1560" i="1"/>
  <c r="R1560" i="1"/>
  <c r="Q1560" i="1"/>
  <c r="K1557" i="1"/>
  <c r="O1556" i="1"/>
  <c r="K1556" i="1"/>
  <c r="X1555" i="1"/>
  <c r="W1555" i="1"/>
  <c r="V1555" i="1"/>
  <c r="U1555" i="1"/>
  <c r="T1555" i="1"/>
  <c r="S1555" i="1"/>
  <c r="R1555" i="1"/>
  <c r="Q1555" i="1"/>
  <c r="K1552" i="1"/>
  <c r="O1551" i="1"/>
  <c r="K1551" i="1"/>
  <c r="X1550" i="1"/>
  <c r="W1550" i="1"/>
  <c r="V1550" i="1"/>
  <c r="U1550" i="1"/>
  <c r="T1550" i="1"/>
  <c r="S1550" i="1"/>
  <c r="R1550" i="1"/>
  <c r="Q1550" i="1"/>
  <c r="K1547" i="1"/>
  <c r="O1546" i="1"/>
  <c r="K1546" i="1"/>
  <c r="X1545" i="1"/>
  <c r="W1545" i="1"/>
  <c r="V1545" i="1"/>
  <c r="U1545" i="1"/>
  <c r="T1545" i="1"/>
  <c r="S1545" i="1"/>
  <c r="R1545" i="1"/>
  <c r="Q1545" i="1"/>
  <c r="K1542" i="1"/>
  <c r="O1541" i="1"/>
  <c r="K1541" i="1"/>
  <c r="X1540" i="1"/>
  <c r="W1540" i="1"/>
  <c r="V1540" i="1"/>
  <c r="U1540" i="1"/>
  <c r="T1540" i="1"/>
  <c r="S1540" i="1"/>
  <c r="R1540" i="1"/>
  <c r="Q1540" i="1"/>
  <c r="K1537" i="1"/>
  <c r="O1536" i="1"/>
  <c r="K1536" i="1"/>
  <c r="X1535" i="1"/>
  <c r="W1535" i="1"/>
  <c r="V1535" i="1"/>
  <c r="U1535" i="1"/>
  <c r="T1535" i="1"/>
  <c r="S1535" i="1"/>
  <c r="R1535" i="1"/>
  <c r="Q1535" i="1"/>
  <c r="K1532" i="1"/>
  <c r="O1531" i="1"/>
  <c r="K1531" i="1"/>
  <c r="X1530" i="1"/>
  <c r="W1530" i="1"/>
  <c r="V1530" i="1"/>
  <c r="U1530" i="1"/>
  <c r="T1530" i="1"/>
  <c r="S1530" i="1"/>
  <c r="R1530" i="1"/>
  <c r="Q1530" i="1"/>
  <c r="K1527" i="1"/>
  <c r="O1526" i="1"/>
  <c r="K1526" i="1"/>
  <c r="X1525" i="1"/>
  <c r="W1525" i="1"/>
  <c r="V1525" i="1"/>
  <c r="U1525" i="1"/>
  <c r="T1525" i="1"/>
  <c r="S1525" i="1"/>
  <c r="R1525" i="1"/>
  <c r="Q1525" i="1"/>
  <c r="K1522" i="1"/>
  <c r="O1521" i="1"/>
  <c r="K1521" i="1"/>
  <c r="X1520" i="1"/>
  <c r="W1520" i="1"/>
  <c r="V1520" i="1"/>
  <c r="U1520" i="1"/>
  <c r="T1520" i="1"/>
  <c r="S1520" i="1"/>
  <c r="R1520" i="1"/>
  <c r="Q1520" i="1"/>
  <c r="O1520" i="1"/>
  <c r="M1520" i="1"/>
  <c r="K1520" i="1"/>
  <c r="O1519" i="1"/>
  <c r="K1519" i="1"/>
  <c r="X1518" i="1"/>
  <c r="W1518" i="1"/>
  <c r="V1518" i="1"/>
  <c r="U1518" i="1"/>
  <c r="T1518" i="1"/>
  <c r="S1518" i="1"/>
  <c r="R1518" i="1"/>
  <c r="Q1518" i="1"/>
  <c r="K1515" i="1"/>
  <c r="O1514" i="1"/>
  <c r="K1514" i="1"/>
  <c r="X1513" i="1"/>
  <c r="W1513" i="1"/>
  <c r="V1513" i="1"/>
  <c r="U1513" i="1"/>
  <c r="T1513" i="1"/>
  <c r="S1513" i="1"/>
  <c r="R1513" i="1"/>
  <c r="Q1513" i="1"/>
  <c r="K1510" i="1"/>
  <c r="O1509" i="1"/>
  <c r="K1509" i="1"/>
  <c r="X1508" i="1"/>
  <c r="W1508" i="1"/>
  <c r="V1508" i="1"/>
  <c r="U1508" i="1"/>
  <c r="T1508" i="1"/>
  <c r="S1508" i="1"/>
  <c r="R1508" i="1"/>
  <c r="Q1508" i="1"/>
  <c r="O1508" i="1"/>
  <c r="M1508" i="1"/>
  <c r="K1508" i="1"/>
  <c r="O1507" i="1"/>
  <c r="K1507" i="1"/>
  <c r="X1506" i="1"/>
  <c r="W1506" i="1"/>
  <c r="V1506" i="1"/>
  <c r="U1506" i="1"/>
  <c r="T1506" i="1"/>
  <c r="S1506" i="1"/>
  <c r="R1506" i="1"/>
  <c r="Q1506" i="1"/>
  <c r="K1503" i="1"/>
  <c r="O1502" i="1"/>
  <c r="K1502" i="1"/>
  <c r="X1501" i="1"/>
  <c r="W1501" i="1"/>
  <c r="V1501" i="1"/>
  <c r="U1501" i="1"/>
  <c r="T1501" i="1"/>
  <c r="S1501" i="1"/>
  <c r="R1501" i="1"/>
  <c r="Q1501" i="1"/>
  <c r="K1498" i="1"/>
  <c r="O1497" i="1"/>
  <c r="K1497" i="1"/>
  <c r="X1496" i="1"/>
  <c r="W1496" i="1"/>
  <c r="V1496" i="1"/>
  <c r="U1496" i="1"/>
  <c r="T1496" i="1"/>
  <c r="S1496" i="1"/>
  <c r="R1496" i="1"/>
  <c r="Q1496" i="1"/>
  <c r="O1496" i="1"/>
  <c r="M1496" i="1"/>
  <c r="K1496" i="1"/>
  <c r="O1495" i="1"/>
  <c r="K1495" i="1"/>
  <c r="X1494" i="1"/>
  <c r="W1494" i="1"/>
  <c r="V1494" i="1"/>
  <c r="U1494" i="1"/>
  <c r="T1494" i="1"/>
  <c r="S1494" i="1"/>
  <c r="R1494" i="1"/>
  <c r="Q1494" i="1"/>
  <c r="K1491" i="1"/>
  <c r="O1490" i="1"/>
  <c r="K1490" i="1"/>
  <c r="X1489" i="1"/>
  <c r="W1489" i="1"/>
  <c r="V1489" i="1"/>
  <c r="U1489" i="1"/>
  <c r="T1489" i="1"/>
  <c r="S1489" i="1"/>
  <c r="R1489" i="1"/>
  <c r="Q1489" i="1"/>
  <c r="K1486" i="1"/>
  <c r="O1485" i="1"/>
  <c r="K1485" i="1"/>
  <c r="X1484" i="1"/>
  <c r="W1484" i="1"/>
  <c r="V1484" i="1"/>
  <c r="U1484" i="1"/>
  <c r="T1484" i="1"/>
  <c r="S1484" i="1"/>
  <c r="R1484" i="1"/>
  <c r="Q1484" i="1"/>
  <c r="K1481" i="1"/>
  <c r="O1480" i="1"/>
  <c r="K1480" i="1"/>
  <c r="X1479" i="1"/>
  <c r="W1479" i="1"/>
  <c r="V1479" i="1"/>
  <c r="U1479" i="1"/>
  <c r="T1479" i="1"/>
  <c r="S1479" i="1"/>
  <c r="R1479" i="1"/>
  <c r="Q1479" i="1"/>
  <c r="K1476" i="1"/>
  <c r="O1475" i="1"/>
  <c r="K1475" i="1"/>
  <c r="X1474" i="1"/>
  <c r="W1474" i="1"/>
  <c r="V1474" i="1"/>
  <c r="U1474" i="1"/>
  <c r="T1474" i="1"/>
  <c r="S1474" i="1"/>
  <c r="R1474" i="1"/>
  <c r="Q1474" i="1"/>
  <c r="O1474" i="1"/>
  <c r="M1474" i="1"/>
  <c r="K1474" i="1"/>
  <c r="O1473" i="1"/>
  <c r="K1473" i="1"/>
  <c r="X1472" i="1"/>
  <c r="W1472" i="1"/>
  <c r="V1472" i="1"/>
  <c r="U1472" i="1"/>
  <c r="T1472" i="1"/>
  <c r="S1472" i="1"/>
  <c r="R1472" i="1"/>
  <c r="Q1472" i="1"/>
  <c r="K1469" i="1"/>
  <c r="O1468" i="1"/>
  <c r="K1468" i="1"/>
  <c r="X1467" i="1"/>
  <c r="W1467" i="1"/>
  <c r="V1467" i="1"/>
  <c r="U1467" i="1"/>
  <c r="T1467" i="1"/>
  <c r="S1467" i="1"/>
  <c r="R1467" i="1"/>
  <c r="Q1467" i="1"/>
  <c r="K1464" i="1"/>
  <c r="O1463" i="1"/>
  <c r="K1463" i="1"/>
  <c r="X1462" i="1"/>
  <c r="W1462" i="1"/>
  <c r="V1462" i="1"/>
  <c r="U1462" i="1"/>
  <c r="T1462" i="1"/>
  <c r="S1462" i="1"/>
  <c r="R1462" i="1"/>
  <c r="Q1462" i="1"/>
  <c r="K1459" i="1"/>
  <c r="O1458" i="1"/>
  <c r="K1458" i="1"/>
  <c r="X1457" i="1"/>
  <c r="W1457" i="1"/>
  <c r="V1457" i="1"/>
  <c r="U1457" i="1"/>
  <c r="T1457" i="1"/>
  <c r="S1457" i="1"/>
  <c r="R1457" i="1"/>
  <c r="Q1457" i="1"/>
  <c r="K1454" i="1"/>
  <c r="O1453" i="1"/>
  <c r="K1453" i="1"/>
  <c r="X1452" i="1"/>
  <c r="W1452" i="1"/>
  <c r="V1452" i="1"/>
  <c r="U1452" i="1"/>
  <c r="T1452" i="1"/>
  <c r="S1452" i="1"/>
  <c r="R1452" i="1"/>
  <c r="Q1452" i="1"/>
  <c r="K1449" i="1"/>
  <c r="O1448" i="1"/>
  <c r="K1448" i="1"/>
  <c r="X1447" i="1"/>
  <c r="W1447" i="1"/>
  <c r="V1447" i="1"/>
  <c r="U1447" i="1"/>
  <c r="T1447" i="1"/>
  <c r="S1447" i="1"/>
  <c r="R1447" i="1"/>
  <c r="Q1447" i="1"/>
  <c r="K1444" i="1"/>
  <c r="O1443" i="1"/>
  <c r="K1443" i="1"/>
  <c r="X1442" i="1"/>
  <c r="W1442" i="1"/>
  <c r="V1442" i="1"/>
  <c r="U1442" i="1"/>
  <c r="T1442" i="1"/>
  <c r="S1442" i="1"/>
  <c r="R1442" i="1"/>
  <c r="Q1442" i="1"/>
  <c r="K1439" i="1"/>
  <c r="O1438" i="1"/>
  <c r="K1438" i="1"/>
  <c r="X1437" i="1"/>
  <c r="W1437" i="1"/>
  <c r="V1437" i="1"/>
  <c r="U1437" i="1"/>
  <c r="T1437" i="1"/>
  <c r="S1437" i="1"/>
  <c r="R1437" i="1"/>
  <c r="Q1437" i="1"/>
  <c r="K1434" i="1"/>
  <c r="O1433" i="1"/>
  <c r="K1433" i="1"/>
  <c r="X1432" i="1"/>
  <c r="W1432" i="1"/>
  <c r="V1432" i="1"/>
  <c r="U1432" i="1"/>
  <c r="T1432" i="1"/>
  <c r="S1432" i="1"/>
  <c r="R1432" i="1"/>
  <c r="Q1432" i="1"/>
  <c r="K1429" i="1"/>
  <c r="O1428" i="1"/>
  <c r="K1428" i="1"/>
  <c r="X1427" i="1"/>
  <c r="W1427" i="1"/>
  <c r="V1427" i="1"/>
  <c r="U1427" i="1"/>
  <c r="T1427" i="1"/>
  <c r="S1427" i="1"/>
  <c r="R1427" i="1"/>
  <c r="Q1427" i="1"/>
  <c r="K1424" i="1"/>
  <c r="O1423" i="1"/>
  <c r="K1423" i="1"/>
  <c r="X1422" i="1"/>
  <c r="W1422" i="1"/>
  <c r="V1422" i="1"/>
  <c r="U1422" i="1"/>
  <c r="T1422" i="1"/>
  <c r="S1422" i="1"/>
  <c r="R1422" i="1"/>
  <c r="Q1422" i="1"/>
  <c r="K1419" i="1"/>
  <c r="O1418" i="1"/>
  <c r="K1418" i="1"/>
  <c r="X1417" i="1"/>
  <c r="W1417" i="1"/>
  <c r="V1417" i="1"/>
  <c r="U1417" i="1"/>
  <c r="T1417" i="1"/>
  <c r="S1417" i="1"/>
  <c r="R1417" i="1"/>
  <c r="Q1417" i="1"/>
  <c r="O1417" i="1"/>
  <c r="M1417" i="1"/>
  <c r="K1417" i="1"/>
  <c r="O1416" i="1"/>
  <c r="K1416" i="1"/>
  <c r="X1415" i="1"/>
  <c r="W1415" i="1"/>
  <c r="V1415" i="1"/>
  <c r="U1415" i="1"/>
  <c r="T1415" i="1"/>
  <c r="S1415" i="1"/>
  <c r="R1415" i="1"/>
  <c r="Q1415" i="1"/>
  <c r="K1412" i="1"/>
  <c r="O1411" i="1"/>
  <c r="K1411" i="1"/>
  <c r="X1410" i="1"/>
  <c r="W1410" i="1"/>
  <c r="V1410" i="1"/>
  <c r="U1410" i="1"/>
  <c r="T1410" i="1"/>
  <c r="S1410" i="1"/>
  <c r="R1410" i="1"/>
  <c r="Q1410" i="1"/>
  <c r="K1407" i="1"/>
  <c r="O1406" i="1"/>
  <c r="K1406" i="1"/>
  <c r="X1405" i="1"/>
  <c r="W1405" i="1"/>
  <c r="V1405" i="1"/>
  <c r="U1405" i="1"/>
  <c r="T1405" i="1"/>
  <c r="S1405" i="1"/>
  <c r="R1405" i="1"/>
  <c r="Q1405" i="1"/>
  <c r="O1405" i="1"/>
  <c r="M1405" i="1"/>
  <c r="K1405" i="1"/>
  <c r="O1404" i="1"/>
  <c r="K1404" i="1"/>
  <c r="X1403" i="1"/>
  <c r="W1403" i="1"/>
  <c r="V1403" i="1"/>
  <c r="U1403" i="1"/>
  <c r="T1403" i="1"/>
  <c r="S1403" i="1"/>
  <c r="R1403" i="1"/>
  <c r="Q1403" i="1"/>
  <c r="K1400" i="1"/>
  <c r="O1399" i="1"/>
  <c r="K1399" i="1"/>
  <c r="X1398" i="1"/>
  <c r="W1398" i="1"/>
  <c r="V1398" i="1"/>
  <c r="U1398" i="1"/>
  <c r="T1398" i="1"/>
  <c r="S1398" i="1"/>
  <c r="R1398" i="1"/>
  <c r="Q1398" i="1"/>
  <c r="K1395" i="1"/>
  <c r="O1394" i="1"/>
  <c r="K1394" i="1"/>
  <c r="X1393" i="1"/>
  <c r="W1393" i="1"/>
  <c r="V1393" i="1"/>
  <c r="U1393" i="1"/>
  <c r="T1393" i="1"/>
  <c r="S1393" i="1"/>
  <c r="R1393" i="1"/>
  <c r="Q1393" i="1"/>
  <c r="O1393" i="1"/>
  <c r="M1393" i="1"/>
  <c r="K1393" i="1"/>
  <c r="O1392" i="1"/>
  <c r="K1392" i="1"/>
  <c r="X1391" i="1"/>
  <c r="W1391" i="1"/>
  <c r="V1391" i="1"/>
  <c r="U1391" i="1"/>
  <c r="T1391" i="1"/>
  <c r="S1391" i="1"/>
  <c r="R1391" i="1"/>
  <c r="Q1391" i="1"/>
  <c r="K1388" i="1"/>
  <c r="O1387" i="1"/>
  <c r="K1387" i="1"/>
  <c r="X1386" i="1"/>
  <c r="W1386" i="1"/>
  <c r="V1386" i="1"/>
  <c r="U1386" i="1"/>
  <c r="T1386" i="1"/>
  <c r="S1386" i="1"/>
  <c r="R1386" i="1"/>
  <c r="Q1386" i="1"/>
  <c r="O1386" i="1"/>
  <c r="M1386" i="1"/>
  <c r="K1386" i="1"/>
  <c r="O1385" i="1"/>
  <c r="K1385" i="1"/>
  <c r="X1384" i="1"/>
  <c r="W1384" i="1"/>
  <c r="V1384" i="1"/>
  <c r="U1384" i="1"/>
  <c r="T1384" i="1"/>
  <c r="S1384" i="1"/>
  <c r="R1384" i="1"/>
  <c r="Q1384" i="1"/>
  <c r="K1381" i="1"/>
  <c r="O1380" i="1"/>
  <c r="K1380" i="1"/>
  <c r="X1379" i="1"/>
  <c r="W1379" i="1"/>
  <c r="V1379" i="1"/>
  <c r="U1379" i="1"/>
  <c r="T1379" i="1"/>
  <c r="S1379" i="1"/>
  <c r="R1379" i="1"/>
  <c r="Q1379" i="1"/>
  <c r="K1376" i="1"/>
  <c r="O1375" i="1"/>
  <c r="K1375" i="1"/>
  <c r="X1374" i="1"/>
  <c r="W1374" i="1"/>
  <c r="V1374" i="1"/>
  <c r="U1374" i="1"/>
  <c r="T1374" i="1"/>
  <c r="S1374" i="1"/>
  <c r="R1374" i="1"/>
  <c r="Q1374" i="1"/>
  <c r="O1374" i="1"/>
  <c r="M1374" i="1"/>
  <c r="K1374" i="1"/>
  <c r="O1373" i="1"/>
  <c r="K1373" i="1"/>
  <c r="X1372" i="1"/>
  <c r="W1372" i="1"/>
  <c r="V1372" i="1"/>
  <c r="U1372" i="1"/>
  <c r="T1372" i="1"/>
  <c r="S1372" i="1"/>
  <c r="R1372" i="1"/>
  <c r="Q1372" i="1"/>
  <c r="K1369" i="1"/>
  <c r="O1368" i="1"/>
  <c r="K1368" i="1"/>
  <c r="X1367" i="1"/>
  <c r="W1367" i="1"/>
  <c r="V1367" i="1"/>
  <c r="U1367" i="1"/>
  <c r="T1367" i="1"/>
  <c r="S1367" i="1"/>
  <c r="R1367" i="1"/>
  <c r="Q1367" i="1"/>
  <c r="O1367" i="1"/>
  <c r="M1367" i="1"/>
  <c r="K1367" i="1"/>
  <c r="O1366" i="1"/>
  <c r="K1366" i="1"/>
  <c r="X1365" i="1"/>
  <c r="W1365" i="1"/>
  <c r="V1365" i="1"/>
  <c r="U1365" i="1"/>
  <c r="T1365" i="1"/>
  <c r="S1365" i="1"/>
  <c r="R1365" i="1"/>
  <c r="Q1365" i="1"/>
  <c r="K1362" i="1"/>
  <c r="O1361" i="1"/>
  <c r="K1361" i="1"/>
  <c r="X1360" i="1"/>
  <c r="W1360" i="1"/>
  <c r="V1360" i="1"/>
  <c r="U1360" i="1"/>
  <c r="T1360" i="1"/>
  <c r="S1360" i="1"/>
  <c r="R1360" i="1"/>
  <c r="Q1360" i="1"/>
  <c r="K1357" i="1"/>
  <c r="O1356" i="1"/>
  <c r="K1356" i="1"/>
  <c r="X1355" i="1"/>
  <c r="W1355" i="1"/>
  <c r="V1355" i="1"/>
  <c r="U1355" i="1"/>
  <c r="T1355" i="1"/>
  <c r="S1355" i="1"/>
  <c r="R1355" i="1"/>
  <c r="Q1355" i="1"/>
  <c r="K1352" i="1"/>
  <c r="O1351" i="1"/>
  <c r="K1351" i="1"/>
  <c r="X1350" i="1"/>
  <c r="W1350" i="1"/>
  <c r="V1350" i="1"/>
  <c r="U1350" i="1"/>
  <c r="T1350" i="1"/>
  <c r="S1350" i="1"/>
  <c r="R1350" i="1"/>
  <c r="Q1350" i="1"/>
  <c r="K1347" i="1"/>
  <c r="O1346" i="1"/>
  <c r="K1346" i="1"/>
  <c r="X1345" i="1"/>
  <c r="W1345" i="1"/>
  <c r="V1345" i="1"/>
  <c r="U1345" i="1"/>
  <c r="T1345" i="1"/>
  <c r="S1345" i="1"/>
  <c r="R1345" i="1"/>
  <c r="Q1345" i="1"/>
  <c r="K1342" i="1"/>
  <c r="O1341" i="1"/>
  <c r="K1341" i="1"/>
  <c r="X1340" i="1"/>
  <c r="W1340" i="1"/>
  <c r="V1340" i="1"/>
  <c r="U1340" i="1"/>
  <c r="T1340" i="1"/>
  <c r="S1340" i="1"/>
  <c r="R1340" i="1"/>
  <c r="Q1340" i="1"/>
  <c r="K1337" i="1"/>
  <c r="O1336" i="1"/>
  <c r="K1336" i="1"/>
  <c r="X1335" i="1"/>
  <c r="W1335" i="1"/>
  <c r="V1335" i="1"/>
  <c r="U1335" i="1"/>
  <c r="T1335" i="1"/>
  <c r="S1335" i="1"/>
  <c r="R1335" i="1"/>
  <c r="Q1335" i="1"/>
  <c r="K1332" i="1"/>
  <c r="O1331" i="1"/>
  <c r="K1331" i="1"/>
  <c r="X1330" i="1"/>
  <c r="W1330" i="1"/>
  <c r="V1330" i="1"/>
  <c r="U1330" i="1"/>
  <c r="T1330" i="1"/>
  <c r="S1330" i="1"/>
  <c r="R1330" i="1"/>
  <c r="Q1330" i="1"/>
  <c r="K1327" i="1"/>
  <c r="O1326" i="1"/>
  <c r="K1326" i="1"/>
  <c r="X1325" i="1"/>
  <c r="W1325" i="1"/>
  <c r="V1325" i="1"/>
  <c r="U1325" i="1"/>
  <c r="T1325" i="1"/>
  <c r="S1325" i="1"/>
  <c r="R1325" i="1"/>
  <c r="Q1325" i="1"/>
  <c r="K1322" i="1"/>
  <c r="O1321" i="1"/>
  <c r="K1321" i="1"/>
  <c r="X1320" i="1"/>
  <c r="W1320" i="1"/>
  <c r="V1320" i="1"/>
  <c r="U1320" i="1"/>
  <c r="T1320" i="1"/>
  <c r="S1320" i="1"/>
  <c r="R1320" i="1"/>
  <c r="Q1320" i="1"/>
  <c r="K1317" i="1"/>
  <c r="O1316" i="1"/>
  <c r="K1316" i="1"/>
  <c r="X1315" i="1"/>
  <c r="W1315" i="1"/>
  <c r="V1315" i="1"/>
  <c r="U1315" i="1"/>
  <c r="T1315" i="1"/>
  <c r="S1315" i="1"/>
  <c r="R1315" i="1"/>
  <c r="Q1315" i="1"/>
  <c r="K1312" i="1"/>
  <c r="O1311" i="1"/>
  <c r="K1311" i="1"/>
  <c r="X1310" i="1"/>
  <c r="W1310" i="1"/>
  <c r="V1310" i="1"/>
  <c r="U1310" i="1"/>
  <c r="T1310" i="1"/>
  <c r="S1310" i="1"/>
  <c r="R1310" i="1"/>
  <c r="Q1310" i="1"/>
  <c r="K1307" i="1"/>
  <c r="O1306" i="1"/>
  <c r="K1306" i="1"/>
  <c r="X1305" i="1"/>
  <c r="W1305" i="1"/>
  <c r="V1305" i="1"/>
  <c r="U1305" i="1"/>
  <c r="T1305" i="1"/>
  <c r="S1305" i="1"/>
  <c r="R1305" i="1"/>
  <c r="Q1305" i="1"/>
  <c r="K1302" i="1"/>
  <c r="O1301" i="1"/>
  <c r="K1301" i="1"/>
  <c r="X1300" i="1"/>
  <c r="W1300" i="1"/>
  <c r="V1300" i="1"/>
  <c r="U1300" i="1"/>
  <c r="T1300" i="1"/>
  <c r="S1300" i="1"/>
  <c r="R1300" i="1"/>
  <c r="Q1300" i="1"/>
  <c r="O1300" i="1"/>
  <c r="M1300" i="1"/>
  <c r="K1300" i="1"/>
  <c r="O1299" i="1"/>
  <c r="K1299" i="1"/>
  <c r="X1298" i="1"/>
  <c r="W1298" i="1"/>
  <c r="V1298" i="1"/>
  <c r="U1298" i="1"/>
  <c r="T1298" i="1"/>
  <c r="S1298" i="1"/>
  <c r="R1298" i="1"/>
  <c r="Q1298" i="1"/>
  <c r="K1295" i="1"/>
  <c r="O1294" i="1"/>
  <c r="K1294" i="1"/>
  <c r="X1293" i="1"/>
  <c r="W1293" i="1"/>
  <c r="V1293" i="1"/>
  <c r="U1293" i="1"/>
  <c r="T1293" i="1"/>
  <c r="S1293" i="1"/>
  <c r="R1293" i="1"/>
  <c r="Q1293" i="1"/>
  <c r="K1290" i="1"/>
  <c r="O1289" i="1"/>
  <c r="K1289" i="1"/>
  <c r="X1288" i="1"/>
  <c r="W1288" i="1"/>
  <c r="V1288" i="1"/>
  <c r="U1288" i="1"/>
  <c r="T1288" i="1"/>
  <c r="S1288" i="1"/>
  <c r="R1288" i="1"/>
  <c r="Q1288" i="1"/>
  <c r="K1285" i="1"/>
  <c r="O1284" i="1"/>
  <c r="K1284" i="1"/>
  <c r="X1283" i="1"/>
  <c r="W1283" i="1"/>
  <c r="V1283" i="1"/>
  <c r="U1283" i="1"/>
  <c r="T1283" i="1"/>
  <c r="S1283" i="1"/>
  <c r="R1283" i="1"/>
  <c r="Q1283" i="1"/>
  <c r="K1280" i="1"/>
  <c r="O1279" i="1"/>
  <c r="K1279" i="1"/>
  <c r="X1278" i="1"/>
  <c r="W1278" i="1"/>
  <c r="V1278" i="1"/>
  <c r="U1278" i="1"/>
  <c r="T1278" i="1"/>
  <c r="S1278" i="1"/>
  <c r="R1278" i="1"/>
  <c r="Q1278" i="1"/>
  <c r="K1275" i="1"/>
  <c r="O1274" i="1"/>
  <c r="K1274" i="1"/>
  <c r="X1273" i="1"/>
  <c r="W1273" i="1"/>
  <c r="V1273" i="1"/>
  <c r="U1273" i="1"/>
  <c r="T1273" i="1"/>
  <c r="S1273" i="1"/>
  <c r="R1273" i="1"/>
  <c r="Q1273" i="1"/>
  <c r="K1270" i="1"/>
  <c r="O1269" i="1"/>
  <c r="K1269" i="1"/>
  <c r="X1268" i="1"/>
  <c r="W1268" i="1"/>
  <c r="V1268" i="1"/>
  <c r="U1268" i="1"/>
  <c r="T1268" i="1"/>
  <c r="S1268" i="1"/>
  <c r="R1268" i="1"/>
  <c r="Q1268" i="1"/>
  <c r="K1265" i="1"/>
  <c r="O1264" i="1"/>
  <c r="K1264" i="1"/>
  <c r="X1263" i="1"/>
  <c r="W1263" i="1"/>
  <c r="V1263" i="1"/>
  <c r="U1263" i="1"/>
  <c r="T1263" i="1"/>
  <c r="S1263" i="1"/>
  <c r="R1263" i="1"/>
  <c r="Q1263" i="1"/>
  <c r="K1260" i="1"/>
  <c r="O1259" i="1"/>
  <c r="K1259" i="1"/>
  <c r="X1258" i="1"/>
  <c r="W1258" i="1"/>
  <c r="V1258" i="1"/>
  <c r="U1258" i="1"/>
  <c r="T1258" i="1"/>
  <c r="S1258" i="1"/>
  <c r="R1258" i="1"/>
  <c r="Q1258" i="1"/>
  <c r="K1255" i="1"/>
  <c r="O1254" i="1"/>
  <c r="K1254" i="1"/>
  <c r="X1253" i="1"/>
  <c r="W1253" i="1"/>
  <c r="V1253" i="1"/>
  <c r="U1253" i="1"/>
  <c r="T1253" i="1"/>
  <c r="S1253" i="1"/>
  <c r="R1253" i="1"/>
  <c r="Q1253" i="1"/>
  <c r="K1250" i="1"/>
  <c r="O1249" i="1"/>
  <c r="K1249" i="1"/>
  <c r="X1248" i="1"/>
  <c r="W1248" i="1"/>
  <c r="V1248" i="1"/>
  <c r="U1248" i="1"/>
  <c r="T1248" i="1"/>
  <c r="S1248" i="1"/>
  <c r="R1248" i="1"/>
  <c r="Q1248" i="1"/>
  <c r="K1245" i="1"/>
  <c r="O1244" i="1"/>
  <c r="K1244" i="1"/>
  <c r="X1243" i="1"/>
  <c r="W1243" i="1"/>
  <c r="V1243" i="1"/>
  <c r="U1243" i="1"/>
  <c r="T1243" i="1"/>
  <c r="S1243" i="1"/>
  <c r="R1243" i="1"/>
  <c r="Q1243" i="1"/>
  <c r="K1240" i="1"/>
  <c r="O1239" i="1"/>
  <c r="K1239" i="1"/>
  <c r="X1238" i="1"/>
  <c r="W1238" i="1"/>
  <c r="V1238" i="1"/>
  <c r="U1238" i="1"/>
  <c r="T1238" i="1"/>
  <c r="S1238" i="1"/>
  <c r="R1238" i="1"/>
  <c r="Q1238" i="1"/>
  <c r="K1235" i="1"/>
  <c r="O1234" i="1"/>
  <c r="K1234" i="1"/>
  <c r="X1233" i="1"/>
  <c r="W1233" i="1"/>
  <c r="V1233" i="1"/>
  <c r="U1233" i="1"/>
  <c r="T1233" i="1"/>
  <c r="S1233" i="1"/>
  <c r="R1233" i="1"/>
  <c r="Q1233" i="1"/>
  <c r="K1230" i="1"/>
  <c r="O1229" i="1"/>
  <c r="K1229" i="1"/>
  <c r="X1228" i="1"/>
  <c r="W1228" i="1"/>
  <c r="V1228" i="1"/>
  <c r="U1228" i="1"/>
  <c r="T1228" i="1"/>
  <c r="S1228" i="1"/>
  <c r="R1228" i="1"/>
  <c r="Q1228" i="1"/>
  <c r="K1225" i="1"/>
  <c r="O1224" i="1"/>
  <c r="K1224" i="1"/>
  <c r="X1223" i="1"/>
  <c r="W1223" i="1"/>
  <c r="V1223" i="1"/>
  <c r="U1223" i="1"/>
  <c r="T1223" i="1"/>
  <c r="S1223" i="1"/>
  <c r="R1223" i="1"/>
  <c r="Q1223" i="1"/>
  <c r="K1220" i="1"/>
  <c r="O1219" i="1"/>
  <c r="K1219" i="1"/>
  <c r="X1218" i="1"/>
  <c r="W1218" i="1"/>
  <c r="V1218" i="1"/>
  <c r="U1218" i="1"/>
  <c r="T1218" i="1"/>
  <c r="S1218" i="1"/>
  <c r="R1218" i="1"/>
  <c r="Q1218" i="1"/>
  <c r="K1215" i="1"/>
  <c r="O1214" i="1"/>
  <c r="K1214" i="1"/>
  <c r="X1213" i="1"/>
  <c r="W1213" i="1"/>
  <c r="V1213" i="1"/>
  <c r="U1213" i="1"/>
  <c r="T1213" i="1"/>
  <c r="S1213" i="1"/>
  <c r="R1213" i="1"/>
  <c r="Q1213" i="1"/>
  <c r="K1210" i="1"/>
  <c r="O1209" i="1"/>
  <c r="K1209" i="1"/>
  <c r="X1208" i="1"/>
  <c r="W1208" i="1"/>
  <c r="V1208" i="1"/>
  <c r="U1208" i="1"/>
  <c r="T1208" i="1"/>
  <c r="S1208" i="1"/>
  <c r="R1208" i="1"/>
  <c r="Q1208" i="1"/>
  <c r="K1205" i="1"/>
  <c r="O1204" i="1"/>
  <c r="K1204" i="1"/>
  <c r="X1203" i="1"/>
  <c r="W1203" i="1"/>
  <c r="V1203" i="1"/>
  <c r="U1203" i="1"/>
  <c r="T1203" i="1"/>
  <c r="S1203" i="1"/>
  <c r="R1203" i="1"/>
  <c r="Q1203" i="1"/>
  <c r="K1200" i="1"/>
  <c r="O1199" i="1"/>
  <c r="K1199" i="1"/>
  <c r="X1198" i="1"/>
  <c r="W1198" i="1"/>
  <c r="V1198" i="1"/>
  <c r="U1198" i="1"/>
  <c r="T1198" i="1"/>
  <c r="S1198" i="1"/>
  <c r="R1198" i="1"/>
  <c r="Q1198" i="1"/>
  <c r="K1195" i="1"/>
  <c r="O1194" i="1"/>
  <c r="K1194" i="1"/>
  <c r="X1193" i="1"/>
  <c r="W1193" i="1"/>
  <c r="V1193" i="1"/>
  <c r="U1193" i="1"/>
  <c r="T1193" i="1"/>
  <c r="S1193" i="1"/>
  <c r="R1193" i="1"/>
  <c r="Q1193" i="1"/>
  <c r="O1193" i="1"/>
  <c r="M1193" i="1"/>
  <c r="K1193" i="1"/>
  <c r="O1192" i="1"/>
  <c r="K1192" i="1"/>
  <c r="X1191" i="1"/>
  <c r="W1191" i="1"/>
  <c r="V1191" i="1"/>
  <c r="U1191" i="1"/>
  <c r="T1191" i="1"/>
  <c r="S1191" i="1"/>
  <c r="R1191" i="1"/>
  <c r="Q1191" i="1"/>
  <c r="K1188" i="1"/>
  <c r="O1187" i="1"/>
  <c r="K1187" i="1"/>
  <c r="X1186" i="1"/>
  <c r="W1186" i="1"/>
  <c r="V1186" i="1"/>
  <c r="U1186" i="1"/>
  <c r="T1186" i="1"/>
  <c r="S1186" i="1"/>
  <c r="R1186" i="1"/>
  <c r="Q1186" i="1"/>
  <c r="O1186" i="1"/>
  <c r="M1186" i="1"/>
  <c r="K1186" i="1"/>
  <c r="O1185" i="1"/>
  <c r="K1185" i="1"/>
  <c r="X1184" i="1"/>
  <c r="W1184" i="1"/>
  <c r="V1184" i="1"/>
  <c r="U1184" i="1"/>
  <c r="T1184" i="1"/>
  <c r="S1184" i="1"/>
  <c r="R1184" i="1"/>
  <c r="Q1184" i="1"/>
  <c r="K1181" i="1"/>
  <c r="O1180" i="1"/>
  <c r="K1180" i="1"/>
  <c r="X1179" i="1"/>
  <c r="W1179" i="1"/>
  <c r="V1179" i="1"/>
  <c r="U1179" i="1"/>
  <c r="T1179" i="1"/>
  <c r="S1179" i="1"/>
  <c r="R1179" i="1"/>
  <c r="Q1179" i="1"/>
  <c r="K1176" i="1"/>
  <c r="O1175" i="1"/>
  <c r="K1175" i="1"/>
  <c r="X1174" i="1"/>
  <c r="W1174" i="1"/>
  <c r="V1174" i="1"/>
  <c r="U1174" i="1"/>
  <c r="T1174" i="1"/>
  <c r="S1174" i="1"/>
  <c r="R1174" i="1"/>
  <c r="Q1174" i="1"/>
  <c r="O1174" i="1"/>
  <c r="M1174" i="1"/>
  <c r="K1174" i="1"/>
  <c r="O1173" i="1"/>
  <c r="K1173" i="1"/>
  <c r="X1172" i="1"/>
  <c r="W1172" i="1"/>
  <c r="V1172" i="1"/>
  <c r="U1172" i="1"/>
  <c r="T1172" i="1"/>
  <c r="S1172" i="1"/>
  <c r="R1172" i="1"/>
  <c r="Q1172" i="1"/>
  <c r="K1169" i="1"/>
  <c r="O1168" i="1"/>
  <c r="K1168" i="1"/>
  <c r="X1167" i="1"/>
  <c r="W1167" i="1"/>
  <c r="V1167" i="1"/>
  <c r="U1167" i="1"/>
  <c r="T1167" i="1"/>
  <c r="S1167" i="1"/>
  <c r="R1167" i="1"/>
  <c r="Q1167" i="1"/>
  <c r="O1167" i="1"/>
  <c r="M1167" i="1"/>
  <c r="K1167" i="1"/>
  <c r="O1166" i="1"/>
  <c r="K1166" i="1"/>
  <c r="X1165" i="1"/>
  <c r="W1165" i="1"/>
  <c r="V1165" i="1"/>
  <c r="U1165" i="1"/>
  <c r="T1165" i="1"/>
  <c r="S1165" i="1"/>
  <c r="R1165" i="1"/>
  <c r="Q1165" i="1"/>
  <c r="K1162" i="1"/>
  <c r="O1161" i="1"/>
  <c r="K1161" i="1"/>
  <c r="X1160" i="1"/>
  <c r="W1160" i="1"/>
  <c r="V1160" i="1"/>
  <c r="U1160" i="1"/>
  <c r="T1160" i="1"/>
  <c r="S1160" i="1"/>
  <c r="R1160" i="1"/>
  <c r="Q1160" i="1"/>
  <c r="K1157" i="1"/>
  <c r="O1156" i="1"/>
  <c r="K1156" i="1"/>
  <c r="X1155" i="1"/>
  <c r="W1155" i="1"/>
  <c r="V1155" i="1"/>
  <c r="U1155" i="1"/>
  <c r="T1155" i="1"/>
  <c r="S1155" i="1"/>
  <c r="R1155" i="1"/>
  <c r="Q1155" i="1"/>
  <c r="K1152" i="1"/>
  <c r="O1151" i="1"/>
  <c r="K1151" i="1"/>
  <c r="X1150" i="1"/>
  <c r="W1150" i="1"/>
  <c r="V1150" i="1"/>
  <c r="U1150" i="1"/>
  <c r="T1150" i="1"/>
  <c r="S1150" i="1"/>
  <c r="R1150" i="1"/>
  <c r="Q1150" i="1"/>
  <c r="K1147" i="1"/>
  <c r="O1146" i="1"/>
  <c r="K1146" i="1"/>
  <c r="X1145" i="1"/>
  <c r="W1145" i="1"/>
  <c r="V1145" i="1"/>
  <c r="U1145" i="1"/>
  <c r="T1145" i="1"/>
  <c r="S1145" i="1"/>
  <c r="R1145" i="1"/>
  <c r="Q1145" i="1"/>
  <c r="K1142" i="1"/>
  <c r="O1141" i="1"/>
  <c r="K1141" i="1"/>
  <c r="X1140" i="1"/>
  <c r="W1140" i="1"/>
  <c r="V1140" i="1"/>
  <c r="U1140" i="1"/>
  <c r="T1140" i="1"/>
  <c r="S1140" i="1"/>
  <c r="R1140" i="1"/>
  <c r="Q1140" i="1"/>
  <c r="K1137" i="1"/>
  <c r="O1136" i="1"/>
  <c r="K1136" i="1"/>
  <c r="X1135" i="1"/>
  <c r="W1135" i="1"/>
  <c r="V1135" i="1"/>
  <c r="U1135" i="1"/>
  <c r="T1135" i="1"/>
  <c r="S1135" i="1"/>
  <c r="R1135" i="1"/>
  <c r="Q1135" i="1"/>
  <c r="K1132" i="1"/>
  <c r="O1131" i="1"/>
  <c r="K1131" i="1"/>
  <c r="X1130" i="1"/>
  <c r="W1130" i="1"/>
  <c r="V1130" i="1"/>
  <c r="U1130" i="1"/>
  <c r="T1130" i="1"/>
  <c r="S1130" i="1"/>
  <c r="R1130" i="1"/>
  <c r="Q1130" i="1"/>
  <c r="K1127" i="1"/>
  <c r="O1126" i="1"/>
  <c r="K1126" i="1"/>
  <c r="X1125" i="1"/>
  <c r="W1125" i="1"/>
  <c r="V1125" i="1"/>
  <c r="U1125" i="1"/>
  <c r="T1125" i="1"/>
  <c r="S1125" i="1"/>
  <c r="R1125" i="1"/>
  <c r="Q1125" i="1"/>
  <c r="K1122" i="1"/>
  <c r="O1121" i="1"/>
  <c r="K1121" i="1"/>
  <c r="X1120" i="1"/>
  <c r="W1120" i="1"/>
  <c r="V1120" i="1"/>
  <c r="U1120" i="1"/>
  <c r="T1120" i="1"/>
  <c r="S1120" i="1"/>
  <c r="R1120" i="1"/>
  <c r="Q1120" i="1"/>
  <c r="K1117" i="1"/>
  <c r="O1116" i="1"/>
  <c r="K1116" i="1"/>
  <c r="X1115" i="1"/>
  <c r="W1115" i="1"/>
  <c r="V1115" i="1"/>
  <c r="U1115" i="1"/>
  <c r="T1115" i="1"/>
  <c r="S1115" i="1"/>
  <c r="R1115" i="1"/>
  <c r="Q1115" i="1"/>
  <c r="K1112" i="1"/>
  <c r="O1111" i="1"/>
  <c r="K1111" i="1"/>
  <c r="X1110" i="1"/>
  <c r="W1110" i="1"/>
  <c r="V1110" i="1"/>
  <c r="U1110" i="1"/>
  <c r="T1110" i="1"/>
  <c r="S1110" i="1"/>
  <c r="R1110" i="1"/>
  <c r="Q1110" i="1"/>
  <c r="K1107" i="1"/>
  <c r="O1106" i="1"/>
  <c r="K1106" i="1"/>
  <c r="X1105" i="1"/>
  <c r="W1105" i="1"/>
  <c r="V1105" i="1"/>
  <c r="U1105" i="1"/>
  <c r="T1105" i="1"/>
  <c r="S1105" i="1"/>
  <c r="R1105" i="1"/>
  <c r="Q1105" i="1"/>
  <c r="K1102" i="1"/>
  <c r="O1101" i="1"/>
  <c r="K1101" i="1"/>
  <c r="X1100" i="1"/>
  <c r="W1100" i="1"/>
  <c r="V1100" i="1"/>
  <c r="U1100" i="1"/>
  <c r="T1100" i="1"/>
  <c r="S1100" i="1"/>
  <c r="R1100" i="1"/>
  <c r="Q1100" i="1"/>
  <c r="O1100" i="1"/>
  <c r="M1100" i="1"/>
  <c r="K1100" i="1"/>
  <c r="O1099" i="1"/>
  <c r="K1099" i="1"/>
  <c r="X1098" i="1"/>
  <c r="W1098" i="1"/>
  <c r="V1098" i="1"/>
  <c r="U1098" i="1"/>
  <c r="T1098" i="1"/>
  <c r="S1098" i="1"/>
  <c r="R1098" i="1"/>
  <c r="Q1098" i="1"/>
  <c r="K1095" i="1"/>
  <c r="O1094" i="1"/>
  <c r="K1094" i="1"/>
  <c r="X1093" i="1"/>
  <c r="W1093" i="1"/>
  <c r="V1093" i="1"/>
  <c r="U1093" i="1"/>
  <c r="T1093" i="1"/>
  <c r="S1093" i="1"/>
  <c r="R1093" i="1"/>
  <c r="Q1093" i="1"/>
  <c r="O1093" i="1"/>
  <c r="M1093" i="1"/>
  <c r="K1093" i="1"/>
  <c r="O1092" i="1"/>
  <c r="K1092" i="1"/>
  <c r="X1091" i="1"/>
  <c r="W1091" i="1"/>
  <c r="V1091" i="1"/>
  <c r="U1091" i="1"/>
  <c r="T1091" i="1"/>
  <c r="S1091" i="1"/>
  <c r="R1091" i="1"/>
  <c r="Q1091" i="1"/>
  <c r="K1088" i="1"/>
  <c r="O1087" i="1"/>
  <c r="K1087" i="1"/>
  <c r="X1086" i="1"/>
  <c r="W1086" i="1"/>
  <c r="V1086" i="1"/>
  <c r="U1086" i="1"/>
  <c r="T1086" i="1"/>
  <c r="S1086" i="1"/>
  <c r="R1086" i="1"/>
  <c r="Q1086" i="1"/>
  <c r="K1083" i="1"/>
  <c r="O1082" i="1"/>
  <c r="K1082" i="1"/>
  <c r="X1081" i="1"/>
  <c r="W1081" i="1"/>
  <c r="V1081" i="1"/>
  <c r="U1081" i="1"/>
  <c r="T1081" i="1"/>
  <c r="S1081" i="1"/>
  <c r="R1081" i="1"/>
  <c r="Q1081" i="1"/>
  <c r="K1078" i="1"/>
  <c r="O1077" i="1"/>
  <c r="K1077" i="1"/>
  <c r="X1076" i="1"/>
  <c r="W1076" i="1"/>
  <c r="V1076" i="1"/>
  <c r="U1076" i="1"/>
  <c r="T1076" i="1"/>
  <c r="S1076" i="1"/>
  <c r="R1076" i="1"/>
  <c r="Q1076" i="1"/>
  <c r="K1073" i="1"/>
  <c r="O1072" i="1"/>
  <c r="K1072" i="1"/>
  <c r="X1071" i="1"/>
  <c r="W1071" i="1"/>
  <c r="V1071" i="1"/>
  <c r="U1071" i="1"/>
  <c r="T1071" i="1"/>
  <c r="S1071" i="1"/>
  <c r="R1071" i="1"/>
  <c r="Q1071" i="1"/>
  <c r="K1068" i="1"/>
  <c r="O1067" i="1"/>
  <c r="K1067" i="1"/>
  <c r="X1066" i="1"/>
  <c r="W1066" i="1"/>
  <c r="V1066" i="1"/>
  <c r="U1066" i="1"/>
  <c r="T1066" i="1"/>
  <c r="S1066" i="1"/>
  <c r="R1066" i="1"/>
  <c r="Q1066" i="1"/>
  <c r="K1063" i="1"/>
  <c r="O1062" i="1"/>
  <c r="K1062" i="1"/>
  <c r="X1061" i="1"/>
  <c r="W1061" i="1"/>
  <c r="V1061" i="1"/>
  <c r="U1061" i="1"/>
  <c r="T1061" i="1"/>
  <c r="S1061" i="1"/>
  <c r="R1061" i="1"/>
  <c r="Q1061" i="1"/>
  <c r="K1058" i="1"/>
  <c r="O1057" i="1"/>
  <c r="K1057" i="1"/>
  <c r="X1056" i="1"/>
  <c r="W1056" i="1"/>
  <c r="V1056" i="1"/>
  <c r="U1056" i="1"/>
  <c r="T1056" i="1"/>
  <c r="S1056" i="1"/>
  <c r="R1056" i="1"/>
  <c r="Q1056" i="1"/>
  <c r="K1053" i="1"/>
  <c r="O1052" i="1"/>
  <c r="K1052" i="1"/>
  <c r="X1051" i="1"/>
  <c r="W1051" i="1"/>
  <c r="V1051" i="1"/>
  <c r="U1051" i="1"/>
  <c r="T1051" i="1"/>
  <c r="S1051" i="1"/>
  <c r="R1051" i="1"/>
  <c r="Q1051" i="1"/>
  <c r="K1048" i="1"/>
  <c r="O1047" i="1"/>
  <c r="K1047" i="1"/>
  <c r="X1046" i="1"/>
  <c r="W1046" i="1"/>
  <c r="V1046" i="1"/>
  <c r="U1046" i="1"/>
  <c r="T1046" i="1"/>
  <c r="S1046" i="1"/>
  <c r="R1046" i="1"/>
  <c r="Q1046" i="1"/>
  <c r="K1043" i="1"/>
  <c r="O1042" i="1"/>
  <c r="K1042" i="1"/>
  <c r="X1041" i="1"/>
  <c r="W1041" i="1"/>
  <c r="V1041" i="1"/>
  <c r="U1041" i="1"/>
  <c r="T1041" i="1"/>
  <c r="S1041" i="1"/>
  <c r="R1041" i="1"/>
  <c r="Q1041" i="1"/>
  <c r="K1038" i="1"/>
  <c r="O1037" i="1"/>
  <c r="K1037" i="1"/>
  <c r="X1036" i="1"/>
  <c r="W1036" i="1"/>
  <c r="V1036" i="1"/>
  <c r="U1036" i="1"/>
  <c r="T1036" i="1"/>
  <c r="S1036" i="1"/>
  <c r="R1036" i="1"/>
  <c r="Q1036" i="1"/>
  <c r="K1033" i="1"/>
  <c r="O1032" i="1"/>
  <c r="K1032" i="1"/>
  <c r="X1031" i="1"/>
  <c r="W1031" i="1"/>
  <c r="V1031" i="1"/>
  <c r="U1031" i="1"/>
  <c r="T1031" i="1"/>
  <c r="S1031" i="1"/>
  <c r="R1031" i="1"/>
  <c r="Q1031" i="1"/>
  <c r="K1028" i="1"/>
  <c r="O1027" i="1"/>
  <c r="K1027" i="1"/>
  <c r="X1026" i="1"/>
  <c r="W1026" i="1"/>
  <c r="V1026" i="1"/>
  <c r="U1026" i="1"/>
  <c r="T1026" i="1"/>
  <c r="S1026" i="1"/>
  <c r="R1026" i="1"/>
  <c r="Q1026" i="1"/>
  <c r="O1026" i="1"/>
  <c r="M1026" i="1"/>
  <c r="K1026" i="1"/>
  <c r="O1025" i="1"/>
  <c r="K1025" i="1"/>
  <c r="X1024" i="1"/>
  <c r="W1024" i="1"/>
  <c r="V1024" i="1"/>
  <c r="U1024" i="1"/>
  <c r="T1024" i="1"/>
  <c r="S1024" i="1"/>
  <c r="R1024" i="1"/>
  <c r="Q1024" i="1"/>
  <c r="K1021" i="1"/>
  <c r="O1020" i="1"/>
  <c r="K1020" i="1"/>
  <c r="X1019" i="1"/>
  <c r="W1019" i="1"/>
  <c r="V1019" i="1"/>
  <c r="U1019" i="1"/>
  <c r="T1019" i="1"/>
  <c r="S1019" i="1"/>
  <c r="R1019" i="1"/>
  <c r="Q1019" i="1"/>
  <c r="O1019" i="1"/>
  <c r="M1019" i="1"/>
  <c r="K1019" i="1"/>
  <c r="O1018" i="1"/>
  <c r="K1018" i="1"/>
  <c r="X1017" i="1"/>
  <c r="W1017" i="1"/>
  <c r="V1017" i="1"/>
  <c r="U1017" i="1"/>
  <c r="T1017" i="1"/>
  <c r="S1017" i="1"/>
  <c r="R1017" i="1"/>
  <c r="Q1017" i="1"/>
  <c r="K1014" i="1"/>
  <c r="O1013" i="1"/>
  <c r="K1013" i="1"/>
  <c r="X1012" i="1"/>
  <c r="W1012" i="1"/>
  <c r="V1012" i="1"/>
  <c r="U1012" i="1"/>
  <c r="T1012" i="1"/>
  <c r="S1012" i="1"/>
  <c r="R1012" i="1"/>
  <c r="Q1012" i="1"/>
  <c r="K1009" i="1"/>
  <c r="O1008" i="1"/>
  <c r="K1008" i="1"/>
  <c r="X1007" i="1"/>
  <c r="W1007" i="1"/>
  <c r="V1007" i="1"/>
  <c r="U1007" i="1"/>
  <c r="T1007" i="1"/>
  <c r="S1007" i="1"/>
  <c r="R1007" i="1"/>
  <c r="Q1007" i="1"/>
  <c r="O1007" i="1"/>
  <c r="M1007" i="1"/>
  <c r="K1007" i="1"/>
  <c r="O1006" i="1"/>
  <c r="K1006" i="1"/>
  <c r="X1005" i="1"/>
  <c r="W1005" i="1"/>
  <c r="V1005" i="1"/>
  <c r="U1005" i="1"/>
  <c r="T1005" i="1"/>
  <c r="S1005" i="1"/>
  <c r="R1005" i="1"/>
  <c r="Q1005" i="1"/>
  <c r="K1002" i="1"/>
  <c r="O1001" i="1"/>
  <c r="K1001" i="1"/>
  <c r="X1000" i="1"/>
  <c r="W1000" i="1"/>
  <c r="V1000" i="1"/>
  <c r="U1000" i="1"/>
  <c r="T1000" i="1"/>
  <c r="S1000" i="1"/>
  <c r="R1000" i="1"/>
  <c r="Q1000" i="1"/>
  <c r="K997" i="1"/>
  <c r="O996" i="1"/>
  <c r="K996" i="1"/>
  <c r="X995" i="1"/>
  <c r="W995" i="1"/>
  <c r="V995" i="1"/>
  <c r="U995" i="1"/>
  <c r="T995" i="1"/>
  <c r="S995" i="1"/>
  <c r="R995" i="1"/>
  <c r="Q995" i="1"/>
  <c r="K992" i="1"/>
  <c r="O991" i="1"/>
  <c r="K991" i="1"/>
  <c r="X990" i="1"/>
  <c r="W990" i="1"/>
  <c r="V990" i="1"/>
  <c r="U990" i="1"/>
  <c r="T990" i="1"/>
  <c r="S990" i="1"/>
  <c r="R990" i="1"/>
  <c r="Q990" i="1"/>
  <c r="O990" i="1"/>
  <c r="M990" i="1"/>
  <c r="K990" i="1"/>
  <c r="O989" i="1"/>
  <c r="K989" i="1"/>
  <c r="X988" i="1"/>
  <c r="W988" i="1"/>
  <c r="V988" i="1"/>
  <c r="U988" i="1"/>
  <c r="T988" i="1"/>
  <c r="S988" i="1"/>
  <c r="R988" i="1"/>
  <c r="Q988" i="1"/>
  <c r="K985" i="1"/>
  <c r="O984" i="1"/>
  <c r="K984" i="1"/>
  <c r="X983" i="1"/>
  <c r="W983" i="1"/>
  <c r="V983" i="1"/>
  <c r="U983" i="1"/>
  <c r="T983" i="1"/>
  <c r="S983" i="1"/>
  <c r="R983" i="1"/>
  <c r="Q983" i="1"/>
  <c r="O983" i="1"/>
  <c r="M983" i="1"/>
  <c r="K983" i="1"/>
  <c r="O982" i="1"/>
  <c r="K982" i="1"/>
  <c r="X981" i="1"/>
  <c r="W981" i="1"/>
  <c r="V981" i="1"/>
  <c r="U981" i="1"/>
  <c r="T981" i="1"/>
  <c r="S981" i="1"/>
  <c r="R981" i="1"/>
  <c r="Q981" i="1"/>
  <c r="K978" i="1"/>
  <c r="O977" i="1"/>
  <c r="K977" i="1"/>
  <c r="X976" i="1"/>
  <c r="W976" i="1"/>
  <c r="V976" i="1"/>
  <c r="U976" i="1"/>
  <c r="T976" i="1"/>
  <c r="S976" i="1"/>
  <c r="R976" i="1"/>
  <c r="Q976" i="1"/>
  <c r="O976" i="1"/>
  <c r="M976" i="1"/>
  <c r="K976" i="1"/>
  <c r="O975" i="1"/>
  <c r="K975" i="1"/>
  <c r="X974" i="1"/>
  <c r="W974" i="1"/>
  <c r="V974" i="1"/>
  <c r="U974" i="1"/>
  <c r="T974" i="1"/>
  <c r="S974" i="1"/>
  <c r="R974" i="1"/>
  <c r="Q974" i="1"/>
  <c r="K971" i="1"/>
  <c r="O970" i="1"/>
  <c r="K970" i="1"/>
  <c r="X969" i="1"/>
  <c r="W969" i="1"/>
  <c r="V969" i="1"/>
  <c r="U969" i="1"/>
  <c r="T969" i="1"/>
  <c r="S969" i="1"/>
  <c r="R969" i="1"/>
  <c r="Q969" i="1"/>
  <c r="K966" i="1"/>
  <c r="O965" i="1"/>
  <c r="K965" i="1"/>
  <c r="X964" i="1"/>
  <c r="W964" i="1"/>
  <c r="V964" i="1"/>
  <c r="U964" i="1"/>
  <c r="T964" i="1"/>
  <c r="S964" i="1"/>
  <c r="R964" i="1"/>
  <c r="Q964" i="1"/>
  <c r="K961" i="1"/>
  <c r="O960" i="1"/>
  <c r="K960" i="1"/>
  <c r="X959" i="1"/>
  <c r="W959" i="1"/>
  <c r="V959" i="1"/>
  <c r="U959" i="1"/>
  <c r="T959" i="1"/>
  <c r="S959" i="1"/>
  <c r="R959" i="1"/>
  <c r="Q959" i="1"/>
  <c r="K956" i="1"/>
  <c r="O955" i="1"/>
  <c r="K955" i="1"/>
  <c r="X954" i="1"/>
  <c r="W954" i="1"/>
  <c r="V954" i="1"/>
  <c r="U954" i="1"/>
  <c r="T954" i="1"/>
  <c r="S954" i="1"/>
  <c r="R954" i="1"/>
  <c r="Q954" i="1"/>
  <c r="K951" i="1"/>
  <c r="O950" i="1"/>
  <c r="K950" i="1"/>
  <c r="X949" i="1"/>
  <c r="W949" i="1"/>
  <c r="V949" i="1"/>
  <c r="U949" i="1"/>
  <c r="T949" i="1"/>
  <c r="S949" i="1"/>
  <c r="R949" i="1"/>
  <c r="Q949" i="1"/>
  <c r="K946" i="1"/>
  <c r="O945" i="1"/>
  <c r="K945" i="1"/>
  <c r="X944" i="1"/>
  <c r="W944" i="1"/>
  <c r="V944" i="1"/>
  <c r="U944" i="1"/>
  <c r="T944" i="1"/>
  <c r="S944" i="1"/>
  <c r="R944" i="1"/>
  <c r="Q944" i="1"/>
  <c r="K941" i="1"/>
  <c r="O940" i="1"/>
  <c r="K940" i="1"/>
  <c r="X939" i="1"/>
  <c r="W939" i="1"/>
  <c r="V939" i="1"/>
  <c r="U939" i="1"/>
  <c r="T939" i="1"/>
  <c r="S939" i="1"/>
  <c r="R939" i="1"/>
  <c r="Q939" i="1"/>
  <c r="K936" i="1"/>
  <c r="O935" i="1"/>
  <c r="K935" i="1"/>
  <c r="X934" i="1"/>
  <c r="W934" i="1"/>
  <c r="V934" i="1"/>
  <c r="U934" i="1"/>
  <c r="T934" i="1"/>
  <c r="S934" i="1"/>
  <c r="R934" i="1"/>
  <c r="Q934" i="1"/>
  <c r="K931" i="1"/>
  <c r="O930" i="1"/>
  <c r="K930" i="1"/>
  <c r="X929" i="1"/>
  <c r="W929" i="1"/>
  <c r="V929" i="1"/>
  <c r="U929" i="1"/>
  <c r="T929" i="1"/>
  <c r="S929" i="1"/>
  <c r="R929" i="1"/>
  <c r="Q929" i="1"/>
  <c r="K926" i="1"/>
  <c r="O925" i="1"/>
  <c r="K925" i="1"/>
  <c r="X924" i="1"/>
  <c r="W924" i="1"/>
  <c r="V924" i="1"/>
  <c r="U924" i="1"/>
  <c r="T924" i="1"/>
  <c r="S924" i="1"/>
  <c r="R924" i="1"/>
  <c r="Q924" i="1"/>
  <c r="K921" i="1"/>
  <c r="O920" i="1"/>
  <c r="K920" i="1"/>
  <c r="X919" i="1"/>
  <c r="W919" i="1"/>
  <c r="V919" i="1"/>
  <c r="U919" i="1"/>
  <c r="T919" i="1"/>
  <c r="S919" i="1"/>
  <c r="R919" i="1"/>
  <c r="Q919" i="1"/>
  <c r="O919" i="1"/>
  <c r="M919" i="1"/>
  <c r="K919" i="1"/>
  <c r="O918" i="1"/>
  <c r="K918" i="1"/>
  <c r="X917" i="1"/>
  <c r="W917" i="1"/>
  <c r="V917" i="1"/>
  <c r="U917" i="1"/>
  <c r="T917" i="1"/>
  <c r="S917" i="1"/>
  <c r="R917" i="1"/>
  <c r="Q917" i="1"/>
  <c r="K914" i="1"/>
  <c r="O913" i="1"/>
  <c r="K913" i="1"/>
  <c r="X912" i="1"/>
  <c r="W912" i="1"/>
  <c r="V912" i="1"/>
  <c r="U912" i="1"/>
  <c r="T912" i="1"/>
  <c r="S912" i="1"/>
  <c r="R912" i="1"/>
  <c r="Q912" i="1"/>
  <c r="O912" i="1"/>
  <c r="M912" i="1"/>
  <c r="K912" i="1"/>
  <c r="O911" i="1"/>
  <c r="K911" i="1"/>
  <c r="X910" i="1"/>
  <c r="W910" i="1"/>
  <c r="V910" i="1"/>
  <c r="U910" i="1"/>
  <c r="T910" i="1"/>
  <c r="S910" i="1"/>
  <c r="R910" i="1"/>
  <c r="Q910" i="1"/>
  <c r="K907" i="1"/>
  <c r="O906" i="1"/>
  <c r="K906" i="1"/>
  <c r="X905" i="1"/>
  <c r="W905" i="1"/>
  <c r="V905" i="1"/>
  <c r="U905" i="1"/>
  <c r="T905" i="1"/>
  <c r="S905" i="1"/>
  <c r="R905" i="1"/>
  <c r="Q905" i="1"/>
  <c r="K902" i="1"/>
  <c r="O901" i="1"/>
  <c r="K901" i="1"/>
  <c r="X900" i="1"/>
  <c r="W900" i="1"/>
  <c r="V900" i="1"/>
  <c r="U900" i="1"/>
  <c r="T900" i="1"/>
  <c r="S900" i="1"/>
  <c r="R900" i="1"/>
  <c r="Q900" i="1"/>
  <c r="O900" i="1"/>
  <c r="M900" i="1"/>
  <c r="K900" i="1"/>
  <c r="O899" i="1"/>
  <c r="K899" i="1"/>
  <c r="X898" i="1"/>
  <c r="W898" i="1"/>
  <c r="V898" i="1"/>
  <c r="U898" i="1"/>
  <c r="T898" i="1"/>
  <c r="S898" i="1"/>
  <c r="R898" i="1"/>
  <c r="Q898" i="1"/>
  <c r="K895" i="1"/>
  <c r="O894" i="1"/>
  <c r="K894" i="1"/>
  <c r="X893" i="1"/>
  <c r="W893" i="1"/>
  <c r="V893" i="1"/>
  <c r="U893" i="1"/>
  <c r="T893" i="1"/>
  <c r="S893" i="1"/>
  <c r="R893" i="1"/>
  <c r="Q893" i="1"/>
  <c r="K890" i="1"/>
  <c r="O889" i="1"/>
  <c r="K889" i="1"/>
  <c r="X888" i="1"/>
  <c r="W888" i="1"/>
  <c r="V888" i="1"/>
  <c r="U888" i="1"/>
  <c r="T888" i="1"/>
  <c r="S888" i="1"/>
  <c r="R888" i="1"/>
  <c r="Q888" i="1"/>
  <c r="K885" i="1"/>
  <c r="O884" i="1"/>
  <c r="K884" i="1"/>
  <c r="X883" i="1"/>
  <c r="W883" i="1"/>
  <c r="V883" i="1"/>
  <c r="U883" i="1"/>
  <c r="T883" i="1"/>
  <c r="S883" i="1"/>
  <c r="R883" i="1"/>
  <c r="Q883" i="1"/>
  <c r="K880" i="1"/>
  <c r="O879" i="1"/>
  <c r="K879" i="1"/>
  <c r="X878" i="1"/>
  <c r="W878" i="1"/>
  <c r="V878" i="1"/>
  <c r="U878" i="1"/>
  <c r="T878" i="1"/>
  <c r="S878" i="1"/>
  <c r="R878" i="1"/>
  <c r="Q878" i="1"/>
  <c r="K875" i="1"/>
  <c r="O874" i="1"/>
  <c r="K874" i="1"/>
  <c r="X873" i="1"/>
  <c r="W873" i="1"/>
  <c r="V873" i="1"/>
  <c r="U873" i="1"/>
  <c r="T873" i="1"/>
  <c r="S873" i="1"/>
  <c r="R873" i="1"/>
  <c r="Q873" i="1"/>
  <c r="K870" i="1"/>
  <c r="O869" i="1"/>
  <c r="K869" i="1"/>
  <c r="X868" i="1"/>
  <c r="W868" i="1"/>
  <c r="V868" i="1"/>
  <c r="U868" i="1"/>
  <c r="T868" i="1"/>
  <c r="S868" i="1"/>
  <c r="R868" i="1"/>
  <c r="Q868" i="1"/>
  <c r="K865" i="1"/>
  <c r="O864" i="1"/>
  <c r="K864" i="1"/>
  <c r="X863" i="1"/>
  <c r="W863" i="1"/>
  <c r="V863" i="1"/>
  <c r="U863" i="1"/>
  <c r="T863" i="1"/>
  <c r="S863" i="1"/>
  <c r="R863" i="1"/>
  <c r="Q863" i="1"/>
  <c r="K860" i="1"/>
  <c r="O859" i="1"/>
  <c r="K859" i="1"/>
  <c r="X858" i="1"/>
  <c r="W858" i="1"/>
  <c r="V858" i="1"/>
  <c r="U858" i="1"/>
  <c r="T858" i="1"/>
  <c r="S858" i="1"/>
  <c r="R858" i="1"/>
  <c r="Q858" i="1"/>
  <c r="O858" i="1"/>
  <c r="M858" i="1"/>
  <c r="K858" i="1"/>
  <c r="O857" i="1"/>
  <c r="K857" i="1"/>
  <c r="X856" i="1"/>
  <c r="W856" i="1"/>
  <c r="V856" i="1"/>
  <c r="U856" i="1"/>
  <c r="T856" i="1"/>
  <c r="S856" i="1"/>
  <c r="R856" i="1"/>
  <c r="Q856" i="1"/>
  <c r="K853" i="1"/>
  <c r="O852" i="1"/>
  <c r="K852" i="1"/>
  <c r="X851" i="1"/>
  <c r="W851" i="1"/>
  <c r="V851" i="1"/>
  <c r="U851" i="1"/>
  <c r="T851" i="1"/>
  <c r="S851" i="1"/>
  <c r="R851" i="1"/>
  <c r="Q851" i="1"/>
  <c r="K848" i="1"/>
  <c r="O847" i="1"/>
  <c r="K847" i="1"/>
  <c r="X846" i="1"/>
  <c r="W846" i="1"/>
  <c r="V846" i="1"/>
  <c r="U846" i="1"/>
  <c r="T846" i="1"/>
  <c r="S846" i="1"/>
  <c r="R846" i="1"/>
  <c r="Q846" i="1"/>
  <c r="K843" i="1"/>
  <c r="O842" i="1"/>
  <c r="K842" i="1"/>
  <c r="X841" i="1"/>
  <c r="W841" i="1"/>
  <c r="V841" i="1"/>
  <c r="U841" i="1"/>
  <c r="T841" i="1"/>
  <c r="S841" i="1"/>
  <c r="R841" i="1"/>
  <c r="Q841" i="1"/>
  <c r="K838" i="1"/>
  <c r="O837" i="1"/>
  <c r="K837" i="1"/>
  <c r="X836" i="1"/>
  <c r="W836" i="1"/>
  <c r="V836" i="1"/>
  <c r="U836" i="1"/>
  <c r="T836" i="1"/>
  <c r="S836" i="1"/>
  <c r="R836" i="1"/>
  <c r="Q836" i="1"/>
  <c r="K833" i="1"/>
  <c r="O832" i="1"/>
  <c r="K832" i="1"/>
  <c r="X831" i="1"/>
  <c r="W831" i="1"/>
  <c r="V831" i="1"/>
  <c r="U831" i="1"/>
  <c r="T831" i="1"/>
  <c r="S831" i="1"/>
  <c r="R831" i="1"/>
  <c r="Q831" i="1"/>
  <c r="K828" i="1"/>
  <c r="O827" i="1"/>
  <c r="K827" i="1"/>
  <c r="X826" i="1"/>
  <c r="W826" i="1"/>
  <c r="V826" i="1"/>
  <c r="U826" i="1"/>
  <c r="T826" i="1"/>
  <c r="S826" i="1"/>
  <c r="R826" i="1"/>
  <c r="Q826" i="1"/>
  <c r="K823" i="1"/>
  <c r="O822" i="1"/>
  <c r="K822" i="1"/>
  <c r="X821" i="1"/>
  <c r="W821" i="1"/>
  <c r="V821" i="1"/>
  <c r="U821" i="1"/>
  <c r="T821" i="1"/>
  <c r="S821" i="1"/>
  <c r="R821" i="1"/>
  <c r="Q821" i="1"/>
  <c r="O821" i="1"/>
  <c r="M821" i="1"/>
  <c r="K821" i="1"/>
  <c r="O820" i="1"/>
  <c r="K820" i="1"/>
  <c r="X819" i="1"/>
  <c r="W819" i="1"/>
  <c r="V819" i="1"/>
  <c r="U819" i="1"/>
  <c r="T819" i="1"/>
  <c r="S819" i="1"/>
  <c r="R819" i="1"/>
  <c r="Q819" i="1"/>
  <c r="K816" i="1"/>
  <c r="O815" i="1"/>
  <c r="K815" i="1"/>
  <c r="X814" i="1"/>
  <c r="W814" i="1"/>
  <c r="V814" i="1"/>
  <c r="U814" i="1"/>
  <c r="T814" i="1"/>
  <c r="S814" i="1"/>
  <c r="R814" i="1"/>
  <c r="Q814" i="1"/>
  <c r="K811" i="1"/>
  <c r="O810" i="1"/>
  <c r="K810" i="1"/>
  <c r="X809" i="1"/>
  <c r="W809" i="1"/>
  <c r="V809" i="1"/>
  <c r="U809" i="1"/>
  <c r="T809" i="1"/>
  <c r="S809" i="1"/>
  <c r="R809" i="1"/>
  <c r="Q809" i="1"/>
  <c r="K806" i="1"/>
  <c r="O805" i="1"/>
  <c r="K805" i="1"/>
  <c r="X804" i="1"/>
  <c r="W804" i="1"/>
  <c r="V804" i="1"/>
  <c r="U804" i="1"/>
  <c r="T804" i="1"/>
  <c r="S804" i="1"/>
  <c r="R804" i="1"/>
  <c r="Q804" i="1"/>
  <c r="O804" i="1"/>
  <c r="M804" i="1"/>
  <c r="K804" i="1"/>
  <c r="O803" i="1"/>
  <c r="K803" i="1"/>
  <c r="X802" i="1"/>
  <c r="W802" i="1"/>
  <c r="V802" i="1"/>
  <c r="U802" i="1"/>
  <c r="T802" i="1"/>
  <c r="S802" i="1"/>
  <c r="R802" i="1"/>
  <c r="Q802" i="1"/>
  <c r="K799" i="1"/>
  <c r="O798" i="1"/>
  <c r="K798" i="1"/>
  <c r="X797" i="1"/>
  <c r="W797" i="1"/>
  <c r="V797" i="1"/>
  <c r="U797" i="1"/>
  <c r="T797" i="1"/>
  <c r="S797" i="1"/>
  <c r="R797" i="1"/>
  <c r="Q797" i="1"/>
  <c r="K794" i="1"/>
  <c r="O793" i="1"/>
  <c r="K793" i="1"/>
  <c r="X792" i="1"/>
  <c r="W792" i="1"/>
  <c r="V792" i="1"/>
  <c r="U792" i="1"/>
  <c r="T792" i="1"/>
  <c r="S792" i="1"/>
  <c r="R792" i="1"/>
  <c r="Q792" i="1"/>
  <c r="K789" i="1"/>
  <c r="O788" i="1"/>
  <c r="K788" i="1"/>
  <c r="X787" i="1"/>
  <c r="W787" i="1"/>
  <c r="V787" i="1"/>
  <c r="U787" i="1"/>
  <c r="T787" i="1"/>
  <c r="S787" i="1"/>
  <c r="R787" i="1"/>
  <c r="Q787" i="1"/>
  <c r="K784" i="1"/>
  <c r="O783" i="1"/>
  <c r="K783" i="1"/>
  <c r="X782" i="1"/>
  <c r="W782" i="1"/>
  <c r="V782" i="1"/>
  <c r="U782" i="1"/>
  <c r="T782" i="1"/>
  <c r="S782" i="1"/>
  <c r="R782" i="1"/>
  <c r="Q782" i="1"/>
  <c r="K779" i="1"/>
  <c r="O778" i="1"/>
  <c r="K778" i="1"/>
  <c r="X777" i="1"/>
  <c r="W777" i="1"/>
  <c r="V777" i="1"/>
  <c r="U777" i="1"/>
  <c r="T777" i="1"/>
  <c r="S777" i="1"/>
  <c r="R777" i="1"/>
  <c r="Q777" i="1"/>
  <c r="K774" i="1"/>
  <c r="O773" i="1"/>
  <c r="K773" i="1"/>
  <c r="X772" i="1"/>
  <c r="W772" i="1"/>
  <c r="V772" i="1"/>
  <c r="U772" i="1"/>
  <c r="T772" i="1"/>
  <c r="S772" i="1"/>
  <c r="R772" i="1"/>
  <c r="Q772" i="1"/>
  <c r="K769" i="1"/>
  <c r="O768" i="1"/>
  <c r="K768" i="1"/>
  <c r="X767" i="1"/>
  <c r="W767" i="1"/>
  <c r="V767" i="1"/>
  <c r="U767" i="1"/>
  <c r="T767" i="1"/>
  <c r="S767" i="1"/>
  <c r="R767" i="1"/>
  <c r="Q767" i="1"/>
  <c r="K764" i="1"/>
  <c r="O763" i="1"/>
  <c r="K763" i="1"/>
  <c r="X762" i="1"/>
  <c r="W762" i="1"/>
  <c r="V762" i="1"/>
  <c r="U762" i="1"/>
  <c r="T762" i="1"/>
  <c r="S762" i="1"/>
  <c r="R762" i="1"/>
  <c r="Q762" i="1"/>
  <c r="O762" i="1"/>
  <c r="M762" i="1"/>
  <c r="K762" i="1"/>
  <c r="O761" i="1"/>
  <c r="K761" i="1"/>
  <c r="X760" i="1"/>
  <c r="W760" i="1"/>
  <c r="V760" i="1"/>
  <c r="U760" i="1"/>
  <c r="T760" i="1"/>
  <c r="S760" i="1"/>
  <c r="R760" i="1"/>
  <c r="Q760" i="1"/>
  <c r="K757" i="1"/>
  <c r="O756" i="1"/>
  <c r="K756" i="1"/>
  <c r="X755" i="1"/>
  <c r="W755" i="1"/>
  <c r="V755" i="1"/>
  <c r="U755" i="1"/>
  <c r="T755" i="1"/>
  <c r="S755" i="1"/>
  <c r="R755" i="1"/>
  <c r="Q755" i="1"/>
  <c r="K752" i="1"/>
  <c r="O751" i="1"/>
  <c r="K751" i="1"/>
  <c r="X750" i="1"/>
  <c r="W750" i="1"/>
  <c r="V750" i="1"/>
  <c r="U750" i="1"/>
  <c r="T750" i="1"/>
  <c r="S750" i="1"/>
  <c r="R750" i="1"/>
  <c r="Q750" i="1"/>
  <c r="K747" i="1"/>
  <c r="O746" i="1"/>
  <c r="K746" i="1"/>
  <c r="X745" i="1"/>
  <c r="W745" i="1"/>
  <c r="V745" i="1"/>
  <c r="U745" i="1"/>
  <c r="T745" i="1"/>
  <c r="S745" i="1"/>
  <c r="R745" i="1"/>
  <c r="Q745" i="1"/>
  <c r="K742" i="1"/>
  <c r="O741" i="1"/>
  <c r="K741" i="1"/>
  <c r="X740" i="1"/>
  <c r="W740" i="1"/>
  <c r="V740" i="1"/>
  <c r="U740" i="1"/>
  <c r="T740" i="1"/>
  <c r="S740" i="1"/>
  <c r="R740" i="1"/>
  <c r="Q740" i="1"/>
  <c r="K737" i="1"/>
  <c r="O736" i="1"/>
  <c r="K736" i="1"/>
  <c r="X735" i="1"/>
  <c r="W735" i="1"/>
  <c r="V735" i="1"/>
  <c r="U735" i="1"/>
  <c r="T735" i="1"/>
  <c r="S735" i="1"/>
  <c r="R735" i="1"/>
  <c r="Q735" i="1"/>
  <c r="O735" i="1"/>
  <c r="M735" i="1"/>
  <c r="K735" i="1"/>
  <c r="O734" i="1"/>
  <c r="K734" i="1"/>
  <c r="X733" i="1"/>
  <c r="W733" i="1"/>
  <c r="V733" i="1"/>
  <c r="U733" i="1"/>
  <c r="T733" i="1"/>
  <c r="S733" i="1"/>
  <c r="R733" i="1"/>
  <c r="Q733" i="1"/>
  <c r="K730" i="1"/>
  <c r="O729" i="1"/>
  <c r="K729" i="1"/>
  <c r="X728" i="1"/>
  <c r="W728" i="1"/>
  <c r="V728" i="1"/>
  <c r="U728" i="1"/>
  <c r="T728" i="1"/>
  <c r="S728" i="1"/>
  <c r="R728" i="1"/>
  <c r="Q728" i="1"/>
  <c r="O728" i="1"/>
  <c r="M728" i="1"/>
  <c r="K728" i="1"/>
  <c r="O727" i="1"/>
  <c r="K727" i="1"/>
  <c r="X726" i="1"/>
  <c r="W726" i="1"/>
  <c r="V726" i="1"/>
  <c r="U726" i="1"/>
  <c r="T726" i="1"/>
  <c r="S726" i="1"/>
  <c r="R726" i="1"/>
  <c r="Q726" i="1"/>
  <c r="K723" i="1"/>
  <c r="O722" i="1"/>
  <c r="K722" i="1"/>
  <c r="X721" i="1"/>
  <c r="W721" i="1"/>
  <c r="V721" i="1"/>
  <c r="U721" i="1"/>
  <c r="T721" i="1"/>
  <c r="S721" i="1"/>
  <c r="R721" i="1"/>
  <c r="Q721" i="1"/>
  <c r="O721" i="1"/>
  <c r="M721" i="1"/>
  <c r="K721" i="1"/>
  <c r="O720" i="1"/>
  <c r="K720" i="1"/>
  <c r="X719" i="1"/>
  <c r="W719" i="1"/>
  <c r="V719" i="1"/>
  <c r="U719" i="1"/>
  <c r="T719" i="1"/>
  <c r="S719" i="1"/>
  <c r="R719" i="1"/>
  <c r="Q719" i="1"/>
  <c r="K716" i="1"/>
  <c r="O715" i="1"/>
  <c r="K715" i="1"/>
  <c r="X714" i="1"/>
  <c r="W714" i="1"/>
  <c r="V714" i="1"/>
  <c r="U714" i="1"/>
  <c r="T714" i="1"/>
  <c r="S714" i="1"/>
  <c r="R714" i="1"/>
  <c r="Q714" i="1"/>
  <c r="O714" i="1"/>
  <c r="M714" i="1"/>
  <c r="K714" i="1"/>
  <c r="O713" i="1"/>
  <c r="K713" i="1"/>
  <c r="X712" i="1"/>
  <c r="W712" i="1"/>
  <c r="V712" i="1"/>
  <c r="U712" i="1"/>
  <c r="T712" i="1"/>
  <c r="S712" i="1"/>
  <c r="R712" i="1"/>
  <c r="Q712" i="1"/>
  <c r="K709" i="1"/>
  <c r="O708" i="1"/>
  <c r="K708" i="1"/>
  <c r="X707" i="1"/>
  <c r="W707" i="1"/>
  <c r="V707" i="1"/>
  <c r="U707" i="1"/>
  <c r="T707" i="1"/>
  <c r="S707" i="1"/>
  <c r="R707" i="1"/>
  <c r="Q707" i="1"/>
  <c r="K704" i="1"/>
  <c r="O703" i="1"/>
  <c r="K703" i="1"/>
  <c r="X702" i="1"/>
  <c r="W702" i="1"/>
  <c r="V702" i="1"/>
  <c r="U702" i="1"/>
  <c r="T702" i="1"/>
  <c r="S702" i="1"/>
  <c r="R702" i="1"/>
  <c r="Q702" i="1"/>
  <c r="K699" i="1"/>
  <c r="O698" i="1"/>
  <c r="K698" i="1"/>
  <c r="X697" i="1"/>
  <c r="W697" i="1"/>
  <c r="V697" i="1"/>
  <c r="U697" i="1"/>
  <c r="T697" i="1"/>
  <c r="S697" i="1"/>
  <c r="R697" i="1"/>
  <c r="Q697" i="1"/>
  <c r="K694" i="1"/>
  <c r="O693" i="1"/>
  <c r="K693" i="1"/>
  <c r="X692" i="1"/>
  <c r="W692" i="1"/>
  <c r="V692" i="1"/>
  <c r="U692" i="1"/>
  <c r="T692" i="1"/>
  <c r="S692" i="1"/>
  <c r="R692" i="1"/>
  <c r="Q692" i="1"/>
  <c r="K689" i="1"/>
  <c r="O688" i="1"/>
  <c r="K688" i="1"/>
  <c r="X687" i="1"/>
  <c r="W687" i="1"/>
  <c r="V687" i="1"/>
  <c r="U687" i="1"/>
  <c r="T687" i="1"/>
  <c r="S687" i="1"/>
  <c r="R687" i="1"/>
  <c r="Q687" i="1"/>
  <c r="K684" i="1"/>
  <c r="O683" i="1"/>
  <c r="K683" i="1"/>
  <c r="X682" i="1"/>
  <c r="W682" i="1"/>
  <c r="V682" i="1"/>
  <c r="U682" i="1"/>
  <c r="T682" i="1"/>
  <c r="S682" i="1"/>
  <c r="R682" i="1"/>
  <c r="Q682" i="1"/>
  <c r="K679" i="1"/>
  <c r="O678" i="1"/>
  <c r="K678" i="1"/>
  <c r="X677" i="1"/>
  <c r="W677" i="1"/>
  <c r="V677" i="1"/>
  <c r="U677" i="1"/>
  <c r="T677" i="1"/>
  <c r="S677" i="1"/>
  <c r="R677" i="1"/>
  <c r="Q677" i="1"/>
  <c r="K674" i="1"/>
  <c r="O673" i="1"/>
  <c r="K673" i="1"/>
  <c r="X672" i="1"/>
  <c r="W672" i="1"/>
  <c r="V672" i="1"/>
  <c r="U672" i="1"/>
  <c r="T672" i="1"/>
  <c r="S672" i="1"/>
  <c r="R672" i="1"/>
  <c r="Q672" i="1"/>
  <c r="K669" i="1"/>
  <c r="O668" i="1"/>
  <c r="K668" i="1"/>
  <c r="X667" i="1"/>
  <c r="W667" i="1"/>
  <c r="V667" i="1"/>
  <c r="U667" i="1"/>
  <c r="T667" i="1"/>
  <c r="S667" i="1"/>
  <c r="R667" i="1"/>
  <c r="Q667" i="1"/>
  <c r="K664" i="1"/>
  <c r="O663" i="1"/>
  <c r="K663" i="1"/>
  <c r="X662" i="1"/>
  <c r="W662" i="1"/>
  <c r="V662" i="1"/>
  <c r="U662" i="1"/>
  <c r="T662" i="1"/>
  <c r="S662" i="1"/>
  <c r="R662" i="1"/>
  <c r="Q662" i="1"/>
  <c r="K659" i="1"/>
  <c r="O658" i="1"/>
  <c r="K658" i="1"/>
  <c r="X657" i="1"/>
  <c r="W657" i="1"/>
  <c r="V657" i="1"/>
  <c r="U657" i="1"/>
  <c r="T657" i="1"/>
  <c r="S657" i="1"/>
  <c r="R657" i="1"/>
  <c r="Q657" i="1"/>
  <c r="K654" i="1"/>
  <c r="O653" i="1"/>
  <c r="K653" i="1"/>
  <c r="X652" i="1"/>
  <c r="W652" i="1"/>
  <c r="V652" i="1"/>
  <c r="U652" i="1"/>
  <c r="T652" i="1"/>
  <c r="S652" i="1"/>
  <c r="R652" i="1"/>
  <c r="Q652" i="1"/>
  <c r="K649" i="1"/>
  <c r="O648" i="1"/>
  <c r="K648" i="1"/>
  <c r="X647" i="1"/>
  <c r="W647" i="1"/>
  <c r="V647" i="1"/>
  <c r="U647" i="1"/>
  <c r="T647" i="1"/>
  <c r="S647" i="1"/>
  <c r="R647" i="1"/>
  <c r="Q647" i="1"/>
  <c r="K644" i="1"/>
  <c r="O643" i="1"/>
  <c r="K643" i="1"/>
  <c r="X642" i="1"/>
  <c r="W642" i="1"/>
  <c r="V642" i="1"/>
  <c r="U642" i="1"/>
  <c r="T642" i="1"/>
  <c r="S642" i="1"/>
  <c r="R642" i="1"/>
  <c r="Q642" i="1"/>
  <c r="K639" i="1"/>
  <c r="O638" i="1"/>
  <c r="K638" i="1"/>
  <c r="X637" i="1"/>
  <c r="W637" i="1"/>
  <c r="V637" i="1"/>
  <c r="U637" i="1"/>
  <c r="T637" i="1"/>
  <c r="S637" i="1"/>
  <c r="R637" i="1"/>
  <c r="Q637" i="1"/>
  <c r="K634" i="1"/>
  <c r="O633" i="1"/>
  <c r="K633" i="1"/>
  <c r="X632" i="1"/>
  <c r="W632" i="1"/>
  <c r="V632" i="1"/>
  <c r="U632" i="1"/>
  <c r="T632" i="1"/>
  <c r="S632" i="1"/>
  <c r="R632" i="1"/>
  <c r="Q632" i="1"/>
  <c r="K629" i="1"/>
  <c r="O628" i="1"/>
  <c r="K628" i="1"/>
  <c r="X627" i="1"/>
  <c r="W627" i="1"/>
  <c r="V627" i="1"/>
  <c r="U627" i="1"/>
  <c r="T627" i="1"/>
  <c r="S627" i="1"/>
  <c r="R627" i="1"/>
  <c r="Q627" i="1"/>
  <c r="O627" i="1"/>
  <c r="M627" i="1"/>
  <c r="K627" i="1"/>
  <c r="O626" i="1"/>
  <c r="K626" i="1"/>
  <c r="X625" i="1"/>
  <c r="W625" i="1"/>
  <c r="V625" i="1"/>
  <c r="U625" i="1"/>
  <c r="T625" i="1"/>
  <c r="S625" i="1"/>
  <c r="R625" i="1"/>
  <c r="Q625" i="1"/>
  <c r="K622" i="1"/>
  <c r="O621" i="1"/>
  <c r="K621" i="1"/>
  <c r="X620" i="1"/>
  <c r="W620" i="1"/>
  <c r="V620" i="1"/>
  <c r="U620" i="1"/>
  <c r="T620" i="1"/>
  <c r="S620" i="1"/>
  <c r="R620" i="1"/>
  <c r="Q620" i="1"/>
  <c r="K617" i="1"/>
  <c r="O616" i="1"/>
  <c r="K616" i="1"/>
  <c r="X615" i="1"/>
  <c r="W615" i="1"/>
  <c r="V615" i="1"/>
  <c r="U615" i="1"/>
  <c r="T615" i="1"/>
  <c r="S615" i="1"/>
  <c r="R615" i="1"/>
  <c r="Q615" i="1"/>
  <c r="K612" i="1"/>
  <c r="O611" i="1"/>
  <c r="K611" i="1"/>
  <c r="X610" i="1"/>
  <c r="W610" i="1"/>
  <c r="V610" i="1"/>
  <c r="U610" i="1"/>
  <c r="T610" i="1"/>
  <c r="S610" i="1"/>
  <c r="R610" i="1"/>
  <c r="Q610" i="1"/>
  <c r="K607" i="1"/>
  <c r="O606" i="1"/>
  <c r="K606" i="1"/>
  <c r="X605" i="1"/>
  <c r="W605" i="1"/>
  <c r="V605" i="1"/>
  <c r="U605" i="1"/>
  <c r="T605" i="1"/>
  <c r="S605" i="1"/>
  <c r="R605" i="1"/>
  <c r="Q605" i="1"/>
  <c r="K602" i="1"/>
  <c r="O601" i="1"/>
  <c r="K601" i="1"/>
  <c r="X600" i="1"/>
  <c r="W600" i="1"/>
  <c r="V600" i="1"/>
  <c r="U600" i="1"/>
  <c r="T600" i="1"/>
  <c r="S600" i="1"/>
  <c r="R600" i="1"/>
  <c r="Q600" i="1"/>
  <c r="K597" i="1"/>
  <c r="O596" i="1"/>
  <c r="K596" i="1"/>
  <c r="X595" i="1"/>
  <c r="W595" i="1"/>
  <c r="V595" i="1"/>
  <c r="U595" i="1"/>
  <c r="T595" i="1"/>
  <c r="S595" i="1"/>
  <c r="R595" i="1"/>
  <c r="Q595" i="1"/>
  <c r="K592" i="1"/>
  <c r="O591" i="1"/>
  <c r="K591" i="1"/>
  <c r="X590" i="1"/>
  <c r="W590" i="1"/>
  <c r="V590" i="1"/>
  <c r="U590" i="1"/>
  <c r="T590" i="1"/>
  <c r="S590" i="1"/>
  <c r="R590" i="1"/>
  <c r="Q590" i="1"/>
  <c r="K587" i="1"/>
  <c r="O586" i="1"/>
  <c r="K586" i="1"/>
  <c r="X585" i="1"/>
  <c r="W585" i="1"/>
  <c r="V585" i="1"/>
  <c r="U585" i="1"/>
  <c r="T585" i="1"/>
  <c r="S585" i="1"/>
  <c r="R585" i="1"/>
  <c r="Q585" i="1"/>
  <c r="K582" i="1"/>
  <c r="O581" i="1"/>
  <c r="K581" i="1"/>
  <c r="X580" i="1"/>
  <c r="W580" i="1"/>
  <c r="V580" i="1"/>
  <c r="U580" i="1"/>
  <c r="T580" i="1"/>
  <c r="S580" i="1"/>
  <c r="R580" i="1"/>
  <c r="Q580" i="1"/>
  <c r="K577" i="1"/>
  <c r="O576" i="1"/>
  <c r="K576" i="1"/>
  <c r="X575" i="1"/>
  <c r="W575" i="1"/>
  <c r="V575" i="1"/>
  <c r="U575" i="1"/>
  <c r="T575" i="1"/>
  <c r="S575" i="1"/>
  <c r="R575" i="1"/>
  <c r="Q575" i="1"/>
  <c r="O575" i="1"/>
  <c r="M575" i="1"/>
  <c r="K575" i="1"/>
  <c r="O574" i="1"/>
  <c r="K574" i="1"/>
  <c r="X573" i="1"/>
  <c r="W573" i="1"/>
  <c r="V573" i="1"/>
  <c r="U573" i="1"/>
  <c r="T573" i="1"/>
  <c r="S573" i="1"/>
  <c r="R573" i="1"/>
  <c r="Q573" i="1"/>
  <c r="K570" i="1"/>
  <c r="O569" i="1"/>
  <c r="K569" i="1"/>
  <c r="X568" i="1"/>
  <c r="W568" i="1"/>
  <c r="V568" i="1"/>
  <c r="U568" i="1"/>
  <c r="T568" i="1"/>
  <c r="S568" i="1"/>
  <c r="R568" i="1"/>
  <c r="Q568" i="1"/>
  <c r="K565" i="1"/>
  <c r="O564" i="1"/>
  <c r="K564" i="1"/>
  <c r="X563" i="1"/>
  <c r="W563" i="1"/>
  <c r="V563" i="1"/>
  <c r="U563" i="1"/>
  <c r="T563" i="1"/>
  <c r="S563" i="1"/>
  <c r="R563" i="1"/>
  <c r="Q563" i="1"/>
  <c r="K560" i="1"/>
  <c r="O559" i="1"/>
  <c r="K559" i="1"/>
  <c r="X558" i="1"/>
  <c r="W558" i="1"/>
  <c r="V558" i="1"/>
  <c r="U558" i="1"/>
  <c r="T558" i="1"/>
  <c r="S558" i="1"/>
  <c r="R558" i="1"/>
  <c r="Q558" i="1"/>
  <c r="K555" i="1"/>
  <c r="O554" i="1"/>
  <c r="K554" i="1"/>
  <c r="X553" i="1"/>
  <c r="W553" i="1"/>
  <c r="V553" i="1"/>
  <c r="U553" i="1"/>
  <c r="T553" i="1"/>
  <c r="S553" i="1"/>
  <c r="R553" i="1"/>
  <c r="Q553" i="1"/>
  <c r="O553" i="1"/>
  <c r="M553" i="1"/>
  <c r="K553" i="1"/>
  <c r="O552" i="1"/>
  <c r="K552" i="1"/>
  <c r="X551" i="1"/>
  <c r="W551" i="1"/>
  <c r="V551" i="1"/>
  <c r="U551" i="1"/>
  <c r="T551" i="1"/>
  <c r="S551" i="1"/>
  <c r="R551" i="1"/>
  <c r="Q551" i="1"/>
  <c r="K548" i="1"/>
  <c r="O547" i="1"/>
  <c r="K547" i="1"/>
  <c r="X546" i="1"/>
  <c r="W546" i="1"/>
  <c r="V546" i="1"/>
  <c r="U546" i="1"/>
  <c r="T546" i="1"/>
  <c r="S546" i="1"/>
  <c r="R546" i="1"/>
  <c r="Q546" i="1"/>
  <c r="O546" i="1"/>
  <c r="M546" i="1"/>
  <c r="K546" i="1"/>
  <c r="O545" i="1"/>
  <c r="K545" i="1"/>
  <c r="X544" i="1"/>
  <c r="W544" i="1"/>
  <c r="V544" i="1"/>
  <c r="U544" i="1"/>
  <c r="T544" i="1"/>
  <c r="S544" i="1"/>
  <c r="R544" i="1"/>
  <c r="Q544" i="1"/>
  <c r="K541" i="1"/>
  <c r="O540" i="1"/>
  <c r="K540" i="1"/>
  <c r="X539" i="1"/>
  <c r="W539" i="1"/>
  <c r="V539" i="1"/>
  <c r="U539" i="1"/>
  <c r="T539" i="1"/>
  <c r="S539" i="1"/>
  <c r="R539" i="1"/>
  <c r="Q539" i="1"/>
  <c r="O539" i="1"/>
  <c r="M539" i="1"/>
  <c r="K539" i="1"/>
  <c r="O538" i="1"/>
  <c r="K538" i="1"/>
  <c r="X537" i="1"/>
  <c r="W537" i="1"/>
  <c r="V537" i="1"/>
  <c r="U537" i="1"/>
  <c r="T537" i="1"/>
  <c r="S537" i="1"/>
  <c r="R537" i="1"/>
  <c r="Q537" i="1"/>
  <c r="K534" i="1"/>
  <c r="O533" i="1"/>
  <c r="K533" i="1"/>
  <c r="X532" i="1"/>
  <c r="W532" i="1"/>
  <c r="V532" i="1"/>
  <c r="U532" i="1"/>
  <c r="T532" i="1"/>
  <c r="S532" i="1"/>
  <c r="R532" i="1"/>
  <c r="Q532" i="1"/>
  <c r="K529" i="1"/>
  <c r="O528" i="1"/>
  <c r="K528" i="1"/>
  <c r="X527" i="1"/>
  <c r="W527" i="1"/>
  <c r="V527" i="1"/>
  <c r="U527" i="1"/>
  <c r="T527" i="1"/>
  <c r="S527" i="1"/>
  <c r="R527" i="1"/>
  <c r="Q527" i="1"/>
  <c r="O527" i="1"/>
  <c r="M527" i="1"/>
  <c r="K527" i="1"/>
  <c r="O526" i="1"/>
  <c r="K526" i="1"/>
  <c r="X525" i="1"/>
  <c r="W525" i="1"/>
  <c r="V525" i="1"/>
  <c r="U525" i="1"/>
  <c r="T525" i="1"/>
  <c r="S525" i="1"/>
  <c r="R525" i="1"/>
  <c r="Q525" i="1"/>
  <c r="K522" i="1"/>
  <c r="O521" i="1"/>
  <c r="K521" i="1"/>
  <c r="X520" i="1"/>
  <c r="W520" i="1"/>
  <c r="V520" i="1"/>
  <c r="U520" i="1"/>
  <c r="T520" i="1"/>
  <c r="S520" i="1"/>
  <c r="R520" i="1"/>
  <c r="Q520" i="1"/>
  <c r="O520" i="1"/>
  <c r="M520" i="1"/>
  <c r="K520" i="1"/>
  <c r="O519" i="1"/>
  <c r="K519" i="1"/>
  <c r="X518" i="1"/>
  <c r="W518" i="1"/>
  <c r="V518" i="1"/>
  <c r="U518" i="1"/>
  <c r="T518" i="1"/>
  <c r="S518" i="1"/>
  <c r="R518" i="1"/>
  <c r="Q518" i="1"/>
  <c r="K515" i="1"/>
  <c r="O514" i="1"/>
  <c r="K514" i="1"/>
  <c r="X513" i="1"/>
  <c r="W513" i="1"/>
  <c r="V513" i="1"/>
  <c r="U513" i="1"/>
  <c r="T513" i="1"/>
  <c r="S513" i="1"/>
  <c r="R513" i="1"/>
  <c r="Q513" i="1"/>
  <c r="K510" i="1"/>
  <c r="O509" i="1"/>
  <c r="K509" i="1"/>
  <c r="X508" i="1"/>
  <c r="W508" i="1"/>
  <c r="V508" i="1"/>
  <c r="U508" i="1"/>
  <c r="T508" i="1"/>
  <c r="S508" i="1"/>
  <c r="R508" i="1"/>
  <c r="Q508" i="1"/>
  <c r="K505" i="1"/>
  <c r="O504" i="1"/>
  <c r="K504" i="1"/>
  <c r="X503" i="1"/>
  <c r="W503" i="1"/>
  <c r="V503" i="1"/>
  <c r="U503" i="1"/>
  <c r="T503" i="1"/>
  <c r="S503" i="1"/>
  <c r="R503" i="1"/>
  <c r="Q503" i="1"/>
  <c r="K500" i="1"/>
  <c r="O499" i="1"/>
  <c r="K499" i="1"/>
  <c r="X498" i="1"/>
  <c r="W498" i="1"/>
  <c r="V498" i="1"/>
  <c r="U498" i="1"/>
  <c r="T498" i="1"/>
  <c r="S498" i="1"/>
  <c r="R498" i="1"/>
  <c r="Q498" i="1"/>
  <c r="K495" i="1"/>
  <c r="O494" i="1"/>
  <c r="K494" i="1"/>
  <c r="X493" i="1"/>
  <c r="W493" i="1"/>
  <c r="V493" i="1"/>
  <c r="U493" i="1"/>
  <c r="T493" i="1"/>
  <c r="S493" i="1"/>
  <c r="R493" i="1"/>
  <c r="Q493" i="1"/>
  <c r="K490" i="1"/>
  <c r="O489" i="1"/>
  <c r="K489" i="1"/>
  <c r="X488" i="1"/>
  <c r="W488" i="1"/>
  <c r="V488" i="1"/>
  <c r="U488" i="1"/>
  <c r="T488" i="1"/>
  <c r="S488" i="1"/>
  <c r="R488" i="1"/>
  <c r="Q488" i="1"/>
  <c r="K485" i="1"/>
  <c r="O484" i="1"/>
  <c r="K484" i="1"/>
  <c r="X483" i="1"/>
  <c r="W483" i="1"/>
  <c r="V483" i="1"/>
  <c r="U483" i="1"/>
  <c r="T483" i="1"/>
  <c r="S483" i="1"/>
  <c r="R483" i="1"/>
  <c r="Q483" i="1"/>
  <c r="K480" i="1"/>
  <c r="O479" i="1"/>
  <c r="K479" i="1"/>
  <c r="X478" i="1"/>
  <c r="W478" i="1"/>
  <c r="V478" i="1"/>
  <c r="U478" i="1"/>
  <c r="T478" i="1"/>
  <c r="S478" i="1"/>
  <c r="R478" i="1"/>
  <c r="Q478" i="1"/>
  <c r="K475" i="1"/>
  <c r="O474" i="1"/>
  <c r="K474" i="1"/>
  <c r="X473" i="1"/>
  <c r="W473" i="1"/>
  <c r="V473" i="1"/>
  <c r="U473" i="1"/>
  <c r="T473" i="1"/>
  <c r="S473" i="1"/>
  <c r="R473" i="1"/>
  <c r="Q473" i="1"/>
  <c r="O473" i="1"/>
  <c r="M473" i="1"/>
  <c r="K473" i="1"/>
  <c r="O472" i="1"/>
  <c r="K472" i="1"/>
  <c r="X471" i="1"/>
  <c r="W471" i="1"/>
  <c r="V471" i="1"/>
  <c r="U471" i="1"/>
  <c r="T471" i="1"/>
  <c r="S471" i="1"/>
  <c r="R471" i="1"/>
  <c r="Q471" i="1"/>
  <c r="K468" i="1"/>
  <c r="O467" i="1"/>
  <c r="K467" i="1"/>
  <c r="X466" i="1"/>
  <c r="W466" i="1"/>
  <c r="V466" i="1"/>
  <c r="U466" i="1"/>
  <c r="T466" i="1"/>
  <c r="S466" i="1"/>
  <c r="R466" i="1"/>
  <c r="Q466" i="1"/>
  <c r="O466" i="1"/>
  <c r="M466" i="1"/>
  <c r="K466" i="1"/>
  <c r="O465" i="1"/>
  <c r="K465" i="1"/>
  <c r="X464" i="1"/>
  <c r="W464" i="1"/>
  <c r="V464" i="1"/>
  <c r="U464" i="1"/>
  <c r="T464" i="1"/>
  <c r="S464" i="1"/>
  <c r="R464" i="1"/>
  <c r="Q464" i="1"/>
  <c r="K461" i="1"/>
  <c r="O460" i="1"/>
  <c r="K460" i="1"/>
  <c r="X459" i="1"/>
  <c r="W459" i="1"/>
  <c r="V459" i="1"/>
  <c r="U459" i="1"/>
  <c r="T459" i="1"/>
  <c r="S459" i="1"/>
  <c r="R459" i="1"/>
  <c r="Q459" i="1"/>
  <c r="O459" i="1"/>
  <c r="M459" i="1"/>
  <c r="K459" i="1"/>
  <c r="O458" i="1"/>
  <c r="K458" i="1"/>
  <c r="X457" i="1"/>
  <c r="W457" i="1"/>
  <c r="V457" i="1"/>
  <c r="U457" i="1"/>
  <c r="T457" i="1"/>
  <c r="S457" i="1"/>
  <c r="R457" i="1"/>
  <c r="Q457" i="1"/>
  <c r="K454" i="1"/>
  <c r="O453" i="1"/>
  <c r="K453" i="1"/>
  <c r="X452" i="1"/>
  <c r="W452" i="1"/>
  <c r="V452" i="1"/>
  <c r="U452" i="1"/>
  <c r="T452" i="1"/>
  <c r="S452" i="1"/>
  <c r="R452" i="1"/>
  <c r="Q452" i="1"/>
  <c r="K449" i="1"/>
  <c r="O448" i="1"/>
  <c r="K448" i="1"/>
  <c r="X447" i="1"/>
  <c r="W447" i="1"/>
  <c r="V447" i="1"/>
  <c r="U447" i="1"/>
  <c r="T447" i="1"/>
  <c r="S447" i="1"/>
  <c r="R447" i="1"/>
  <c r="Q447" i="1"/>
  <c r="O447" i="1"/>
  <c r="M447" i="1"/>
  <c r="K447" i="1"/>
  <c r="O446" i="1"/>
  <c r="K446" i="1"/>
  <c r="X445" i="1"/>
  <c r="W445" i="1"/>
  <c r="V445" i="1"/>
  <c r="U445" i="1"/>
  <c r="T445" i="1"/>
  <c r="S445" i="1"/>
  <c r="R445" i="1"/>
  <c r="Q445" i="1"/>
  <c r="K442" i="1"/>
  <c r="O441" i="1"/>
  <c r="K441" i="1"/>
  <c r="X440" i="1"/>
  <c r="W440" i="1"/>
  <c r="V440" i="1"/>
  <c r="U440" i="1"/>
  <c r="T440" i="1"/>
  <c r="S440" i="1"/>
  <c r="R440" i="1"/>
  <c r="Q440" i="1"/>
  <c r="O440" i="1"/>
  <c r="M440" i="1"/>
  <c r="K440" i="1"/>
  <c r="O439" i="1"/>
  <c r="K439" i="1"/>
  <c r="X438" i="1"/>
  <c r="W438" i="1"/>
  <c r="V438" i="1"/>
  <c r="U438" i="1"/>
  <c r="T438" i="1"/>
  <c r="S438" i="1"/>
  <c r="R438" i="1"/>
  <c r="Q438" i="1"/>
  <c r="K435" i="1"/>
  <c r="O434" i="1"/>
  <c r="K434" i="1"/>
  <c r="X433" i="1"/>
  <c r="W433" i="1"/>
  <c r="V433" i="1"/>
  <c r="U433" i="1"/>
  <c r="T433" i="1"/>
  <c r="S433" i="1"/>
  <c r="R433" i="1"/>
  <c r="Q433" i="1"/>
  <c r="O433" i="1"/>
  <c r="M433" i="1"/>
  <c r="K433" i="1"/>
  <c r="O432" i="1"/>
  <c r="K432" i="1"/>
  <c r="X431" i="1"/>
  <c r="W431" i="1"/>
  <c r="V431" i="1"/>
  <c r="U431" i="1"/>
  <c r="T431" i="1"/>
  <c r="S431" i="1"/>
  <c r="R431" i="1"/>
  <c r="Q431" i="1"/>
  <c r="K428" i="1"/>
  <c r="O427" i="1"/>
  <c r="K427" i="1"/>
  <c r="X426" i="1"/>
  <c r="W426" i="1"/>
  <c r="V426" i="1"/>
  <c r="U426" i="1"/>
  <c r="T426" i="1"/>
  <c r="S426" i="1"/>
  <c r="R426" i="1"/>
  <c r="Q426" i="1"/>
  <c r="K423" i="1"/>
  <c r="O422" i="1"/>
  <c r="K422" i="1"/>
  <c r="X421" i="1"/>
  <c r="W421" i="1"/>
  <c r="V421" i="1"/>
  <c r="U421" i="1"/>
  <c r="T421" i="1"/>
  <c r="S421" i="1"/>
  <c r="R421" i="1"/>
  <c r="Q421" i="1"/>
  <c r="K418" i="1"/>
  <c r="O417" i="1"/>
  <c r="K417" i="1"/>
  <c r="X416" i="1"/>
  <c r="W416" i="1"/>
  <c r="V416" i="1"/>
  <c r="U416" i="1"/>
  <c r="T416" i="1"/>
  <c r="S416" i="1"/>
  <c r="R416" i="1"/>
  <c r="Q416" i="1"/>
  <c r="K413" i="1"/>
  <c r="O412" i="1"/>
  <c r="K412" i="1"/>
  <c r="X411" i="1"/>
  <c r="W411" i="1"/>
  <c r="V411" i="1"/>
  <c r="U411" i="1"/>
  <c r="T411" i="1"/>
  <c r="S411" i="1"/>
  <c r="R411" i="1"/>
  <c r="Q411" i="1"/>
  <c r="K408" i="1"/>
  <c r="O407" i="1"/>
  <c r="K407" i="1"/>
  <c r="X406" i="1"/>
  <c r="W406" i="1"/>
  <c r="V406" i="1"/>
  <c r="U406" i="1"/>
  <c r="T406" i="1"/>
  <c r="S406" i="1"/>
  <c r="R406" i="1"/>
  <c r="Q406" i="1"/>
  <c r="K403" i="1"/>
  <c r="O402" i="1"/>
  <c r="K402" i="1"/>
  <c r="X401" i="1"/>
  <c r="W401" i="1"/>
  <c r="V401" i="1"/>
  <c r="U401" i="1"/>
  <c r="T401" i="1"/>
  <c r="S401" i="1"/>
  <c r="R401" i="1"/>
  <c r="Q401" i="1"/>
  <c r="K398" i="1"/>
  <c r="O397" i="1"/>
  <c r="K397" i="1"/>
  <c r="X396" i="1"/>
  <c r="W396" i="1"/>
  <c r="V396" i="1"/>
  <c r="U396" i="1"/>
  <c r="T396" i="1"/>
  <c r="S396" i="1"/>
  <c r="R396" i="1"/>
  <c r="Q396" i="1"/>
  <c r="K393" i="1"/>
  <c r="O392" i="1"/>
  <c r="K392" i="1"/>
  <c r="X391" i="1"/>
  <c r="W391" i="1"/>
  <c r="V391" i="1"/>
  <c r="U391" i="1"/>
  <c r="T391" i="1"/>
  <c r="S391" i="1"/>
  <c r="R391" i="1"/>
  <c r="Q391" i="1"/>
  <c r="K388" i="1"/>
  <c r="O387" i="1"/>
  <c r="K387" i="1"/>
  <c r="X386" i="1"/>
  <c r="W386" i="1"/>
  <c r="V386" i="1"/>
  <c r="U386" i="1"/>
  <c r="T386" i="1"/>
  <c r="S386" i="1"/>
  <c r="R386" i="1"/>
  <c r="Q386" i="1"/>
  <c r="K383" i="1"/>
  <c r="O382" i="1"/>
  <c r="K382" i="1"/>
  <c r="X381" i="1"/>
  <c r="W381" i="1"/>
  <c r="V381" i="1"/>
  <c r="U381" i="1"/>
  <c r="T381" i="1"/>
  <c r="S381" i="1"/>
  <c r="R381" i="1"/>
  <c r="Q381" i="1"/>
  <c r="K378" i="1"/>
  <c r="O377" i="1"/>
  <c r="K377" i="1"/>
  <c r="X376" i="1"/>
  <c r="W376" i="1"/>
  <c r="V376" i="1"/>
  <c r="U376" i="1"/>
  <c r="T376" i="1"/>
  <c r="S376" i="1"/>
  <c r="R376" i="1"/>
  <c r="Q376" i="1"/>
  <c r="K373" i="1"/>
  <c r="O372" i="1"/>
  <c r="K372" i="1"/>
  <c r="X371" i="1"/>
  <c r="W371" i="1"/>
  <c r="V371" i="1"/>
  <c r="U371" i="1"/>
  <c r="T371" i="1"/>
  <c r="S371" i="1"/>
  <c r="R371" i="1"/>
  <c r="Q371" i="1"/>
  <c r="K368" i="1"/>
  <c r="O367" i="1"/>
  <c r="K367" i="1"/>
  <c r="X366" i="1"/>
  <c r="W366" i="1"/>
  <c r="V366" i="1"/>
  <c r="U366" i="1"/>
  <c r="T366" i="1"/>
  <c r="S366" i="1"/>
  <c r="R366" i="1"/>
  <c r="Q366" i="1"/>
  <c r="K363" i="1"/>
  <c r="O362" i="1"/>
  <c r="K362" i="1"/>
  <c r="X361" i="1"/>
  <c r="W361" i="1"/>
  <c r="V361" i="1"/>
  <c r="U361" i="1"/>
  <c r="T361" i="1"/>
  <c r="S361" i="1"/>
  <c r="R361" i="1"/>
  <c r="Q361" i="1"/>
  <c r="K358" i="1"/>
  <c r="O357" i="1"/>
  <c r="K357" i="1"/>
  <c r="X356" i="1"/>
  <c r="W356" i="1"/>
  <c r="V356" i="1"/>
  <c r="U356" i="1"/>
  <c r="T356" i="1"/>
  <c r="S356" i="1"/>
  <c r="R356" i="1"/>
  <c r="Q356" i="1"/>
  <c r="O356" i="1"/>
  <c r="M356" i="1"/>
  <c r="K356" i="1"/>
  <c r="O355" i="1"/>
  <c r="K355" i="1"/>
  <c r="X354" i="1"/>
  <c r="W354" i="1"/>
  <c r="V354" i="1"/>
  <c r="U354" i="1"/>
  <c r="T354" i="1"/>
  <c r="S354" i="1"/>
  <c r="R354" i="1"/>
  <c r="Q354" i="1"/>
  <c r="K351" i="1"/>
  <c r="O350" i="1"/>
  <c r="K350" i="1"/>
  <c r="X349" i="1"/>
  <c r="W349" i="1"/>
  <c r="V349" i="1"/>
  <c r="U349" i="1"/>
  <c r="T349" i="1"/>
  <c r="S349" i="1"/>
  <c r="R349" i="1"/>
  <c r="Q349" i="1"/>
  <c r="O349" i="1"/>
  <c r="M349" i="1"/>
  <c r="K349" i="1"/>
  <c r="O348" i="1"/>
  <c r="K348" i="1"/>
  <c r="X347" i="1"/>
  <c r="W347" i="1"/>
  <c r="V347" i="1"/>
  <c r="U347" i="1"/>
  <c r="T347" i="1"/>
  <c r="S347" i="1"/>
  <c r="R347" i="1"/>
  <c r="Q347" i="1"/>
  <c r="K344" i="1"/>
  <c r="O343" i="1"/>
  <c r="K343" i="1"/>
  <c r="X342" i="1"/>
  <c r="W342" i="1"/>
  <c r="V342" i="1"/>
  <c r="U342" i="1"/>
  <c r="T342" i="1"/>
  <c r="S342" i="1"/>
  <c r="R342" i="1"/>
  <c r="Q342" i="1"/>
  <c r="O342" i="1"/>
  <c r="M342" i="1"/>
  <c r="K342" i="1"/>
  <c r="O341" i="1"/>
  <c r="K341" i="1"/>
  <c r="X340" i="1"/>
  <c r="W340" i="1"/>
  <c r="V340" i="1"/>
  <c r="U340" i="1"/>
  <c r="T340" i="1"/>
  <c r="S340" i="1"/>
  <c r="R340" i="1"/>
  <c r="Q340" i="1"/>
  <c r="K337" i="1"/>
  <c r="O336" i="1"/>
  <c r="K336" i="1"/>
  <c r="X335" i="1"/>
  <c r="W335" i="1"/>
  <c r="V335" i="1"/>
  <c r="U335" i="1"/>
  <c r="T335" i="1"/>
  <c r="S335" i="1"/>
  <c r="R335" i="1"/>
  <c r="Q335" i="1"/>
  <c r="K332" i="1"/>
  <c r="O331" i="1"/>
  <c r="K331" i="1"/>
  <c r="X330" i="1"/>
  <c r="W330" i="1"/>
  <c r="V330" i="1"/>
  <c r="U330" i="1"/>
  <c r="T330" i="1"/>
  <c r="S330" i="1"/>
  <c r="R330" i="1"/>
  <c r="Q330" i="1"/>
  <c r="K327" i="1"/>
  <c r="O326" i="1"/>
  <c r="K326" i="1"/>
  <c r="X325" i="1"/>
  <c r="W325" i="1"/>
  <c r="V325" i="1"/>
  <c r="U325" i="1"/>
  <c r="T325" i="1"/>
  <c r="S325" i="1"/>
  <c r="R325" i="1"/>
  <c r="Q325" i="1"/>
  <c r="K322" i="1"/>
  <c r="O321" i="1"/>
  <c r="K321" i="1"/>
  <c r="X320" i="1"/>
  <c r="W320" i="1"/>
  <c r="V320" i="1"/>
  <c r="U320" i="1"/>
  <c r="T320" i="1"/>
  <c r="S320" i="1"/>
  <c r="R320" i="1"/>
  <c r="Q320" i="1"/>
  <c r="K317" i="1"/>
  <c r="O316" i="1"/>
  <c r="K316" i="1"/>
  <c r="X315" i="1"/>
  <c r="W315" i="1"/>
  <c r="V315" i="1"/>
  <c r="U315" i="1"/>
  <c r="T315" i="1"/>
  <c r="S315" i="1"/>
  <c r="R315" i="1"/>
  <c r="Q315" i="1"/>
  <c r="K312" i="1"/>
  <c r="O311" i="1"/>
  <c r="K311" i="1"/>
  <c r="X310" i="1"/>
  <c r="W310" i="1"/>
  <c r="V310" i="1"/>
  <c r="U310" i="1"/>
  <c r="T310" i="1"/>
  <c r="S310" i="1"/>
  <c r="R310" i="1"/>
  <c r="Q310" i="1"/>
  <c r="K307" i="1"/>
  <c r="O306" i="1"/>
  <c r="K306" i="1"/>
  <c r="X305" i="1"/>
  <c r="W305" i="1"/>
  <c r="V305" i="1"/>
  <c r="U305" i="1"/>
  <c r="T305" i="1"/>
  <c r="S305" i="1"/>
  <c r="R305" i="1"/>
  <c r="Q305" i="1"/>
  <c r="K302" i="1"/>
  <c r="O301" i="1"/>
  <c r="K301" i="1"/>
  <c r="X300" i="1"/>
  <c r="W300" i="1"/>
  <c r="V300" i="1"/>
  <c r="U300" i="1"/>
  <c r="T300" i="1"/>
  <c r="S300" i="1"/>
  <c r="R300" i="1"/>
  <c r="Q300" i="1"/>
  <c r="K297" i="1"/>
  <c r="O296" i="1"/>
  <c r="K296" i="1"/>
  <c r="X295" i="1"/>
  <c r="W295" i="1"/>
  <c r="V295" i="1"/>
  <c r="U295" i="1"/>
  <c r="T295" i="1"/>
  <c r="S295" i="1"/>
  <c r="R295" i="1"/>
  <c r="Q295" i="1"/>
  <c r="K292" i="1"/>
  <c r="O291" i="1"/>
  <c r="K291" i="1"/>
  <c r="X290" i="1"/>
  <c r="W290" i="1"/>
  <c r="V290" i="1"/>
  <c r="U290" i="1"/>
  <c r="T290" i="1"/>
  <c r="S290" i="1"/>
  <c r="R290" i="1"/>
  <c r="Q290" i="1"/>
  <c r="K287" i="1"/>
  <c r="O286" i="1"/>
  <c r="K286" i="1"/>
  <c r="X285" i="1"/>
  <c r="W285" i="1"/>
  <c r="V285" i="1"/>
  <c r="U285" i="1"/>
  <c r="T285" i="1"/>
  <c r="S285" i="1"/>
  <c r="R285" i="1"/>
  <c r="Q285" i="1"/>
  <c r="K282" i="1"/>
  <c r="O281" i="1"/>
  <c r="K281" i="1"/>
  <c r="X280" i="1"/>
  <c r="W280" i="1"/>
  <c r="V280" i="1"/>
  <c r="U280" i="1"/>
  <c r="T280" i="1"/>
  <c r="S280" i="1"/>
  <c r="R280" i="1"/>
  <c r="Q280" i="1"/>
  <c r="O280" i="1"/>
  <c r="M280" i="1"/>
  <c r="K280" i="1"/>
  <c r="O279" i="1"/>
  <c r="K279" i="1"/>
  <c r="X278" i="1"/>
  <c r="W278" i="1"/>
  <c r="V278" i="1"/>
  <c r="U278" i="1"/>
  <c r="T278" i="1"/>
  <c r="S278" i="1"/>
  <c r="R278" i="1"/>
  <c r="Q278" i="1"/>
  <c r="K275" i="1"/>
  <c r="O274" i="1"/>
  <c r="K274" i="1"/>
  <c r="X273" i="1"/>
  <c r="W273" i="1"/>
  <c r="V273" i="1"/>
  <c r="U273" i="1"/>
  <c r="T273" i="1"/>
  <c r="S273" i="1"/>
  <c r="R273" i="1"/>
  <c r="Q273" i="1"/>
  <c r="K270" i="1"/>
  <c r="O269" i="1"/>
  <c r="K269" i="1"/>
  <c r="X268" i="1"/>
  <c r="W268" i="1"/>
  <c r="V268" i="1"/>
  <c r="U268" i="1"/>
  <c r="T268" i="1"/>
  <c r="S268" i="1"/>
  <c r="R268" i="1"/>
  <c r="Q268" i="1"/>
  <c r="O268" i="1"/>
  <c r="M268" i="1"/>
  <c r="K268" i="1"/>
  <c r="O267" i="1"/>
  <c r="K267" i="1"/>
  <c r="X266" i="1"/>
  <c r="W266" i="1"/>
  <c r="V266" i="1"/>
  <c r="U266" i="1"/>
  <c r="T266" i="1"/>
  <c r="S266" i="1"/>
  <c r="R266" i="1"/>
  <c r="Q266" i="1"/>
  <c r="K263" i="1"/>
  <c r="O262" i="1"/>
  <c r="K262" i="1"/>
  <c r="X261" i="1"/>
  <c r="W261" i="1"/>
  <c r="V261" i="1"/>
  <c r="U261" i="1"/>
  <c r="T261" i="1"/>
  <c r="S261" i="1"/>
  <c r="R261" i="1"/>
  <c r="Q261" i="1"/>
  <c r="K258" i="1"/>
  <c r="O257" i="1"/>
  <c r="K257" i="1"/>
  <c r="X256" i="1"/>
  <c r="W256" i="1"/>
  <c r="V256" i="1"/>
  <c r="U256" i="1"/>
  <c r="T256" i="1"/>
  <c r="S256" i="1"/>
  <c r="R256" i="1"/>
  <c r="Q256" i="1"/>
  <c r="K253" i="1"/>
  <c r="O252" i="1"/>
  <c r="K252" i="1"/>
  <c r="X251" i="1"/>
  <c r="W251" i="1"/>
  <c r="V251" i="1"/>
  <c r="U251" i="1"/>
  <c r="T251" i="1"/>
  <c r="S251" i="1"/>
  <c r="R251" i="1"/>
  <c r="Q251" i="1"/>
  <c r="K248" i="1"/>
  <c r="O247" i="1"/>
  <c r="K247" i="1"/>
  <c r="X246" i="1"/>
  <c r="W246" i="1"/>
  <c r="V246" i="1"/>
  <c r="U246" i="1"/>
  <c r="T246" i="1"/>
  <c r="S246" i="1"/>
  <c r="R246" i="1"/>
  <c r="Q246" i="1"/>
  <c r="K243" i="1"/>
  <c r="O242" i="1"/>
  <c r="K242" i="1"/>
  <c r="X241" i="1"/>
  <c r="W241" i="1"/>
  <c r="V241" i="1"/>
  <c r="U241" i="1"/>
  <c r="T241" i="1"/>
  <c r="S241" i="1"/>
  <c r="R241" i="1"/>
  <c r="Q241" i="1"/>
  <c r="K238" i="1"/>
  <c r="O237" i="1"/>
  <c r="K237" i="1"/>
  <c r="X236" i="1"/>
  <c r="W236" i="1"/>
  <c r="V236" i="1"/>
  <c r="U236" i="1"/>
  <c r="T236" i="1"/>
  <c r="S236" i="1"/>
  <c r="R236" i="1"/>
  <c r="Q236" i="1"/>
  <c r="K233" i="1"/>
  <c r="O232" i="1"/>
  <c r="K232" i="1"/>
  <c r="X231" i="1"/>
  <c r="W231" i="1"/>
  <c r="V231" i="1"/>
  <c r="U231" i="1"/>
  <c r="T231" i="1"/>
  <c r="S231" i="1"/>
  <c r="R231" i="1"/>
  <c r="Q231" i="1"/>
  <c r="K228" i="1"/>
  <c r="O227" i="1"/>
  <c r="K227" i="1"/>
  <c r="X226" i="1"/>
  <c r="W226" i="1"/>
  <c r="V226" i="1"/>
  <c r="U226" i="1"/>
  <c r="T226" i="1"/>
  <c r="S226" i="1"/>
  <c r="R226" i="1"/>
  <c r="Q226" i="1"/>
  <c r="K223" i="1"/>
  <c r="O222" i="1"/>
  <c r="K222" i="1"/>
  <c r="X221" i="1"/>
  <c r="W221" i="1"/>
  <c r="V221" i="1"/>
  <c r="U221" i="1"/>
  <c r="T221" i="1"/>
  <c r="S221" i="1"/>
  <c r="R221" i="1"/>
  <c r="Q221" i="1"/>
  <c r="K218" i="1"/>
  <c r="O217" i="1"/>
  <c r="K217" i="1"/>
  <c r="X216" i="1"/>
  <c r="W216" i="1"/>
  <c r="V216" i="1"/>
  <c r="U216" i="1"/>
  <c r="T216" i="1"/>
  <c r="S216" i="1"/>
  <c r="R216" i="1"/>
  <c r="Q216" i="1"/>
  <c r="K213" i="1"/>
  <c r="O212" i="1"/>
  <c r="K212" i="1"/>
  <c r="X211" i="1"/>
  <c r="W211" i="1"/>
  <c r="V211" i="1"/>
  <c r="U211" i="1"/>
  <c r="T211" i="1"/>
  <c r="S211" i="1"/>
  <c r="R211" i="1"/>
  <c r="Q211" i="1"/>
  <c r="K208" i="1"/>
  <c r="O207" i="1"/>
  <c r="K207" i="1"/>
  <c r="X206" i="1"/>
  <c r="W206" i="1"/>
  <c r="V206" i="1"/>
  <c r="U206" i="1"/>
  <c r="T206" i="1"/>
  <c r="S206" i="1"/>
  <c r="R206" i="1"/>
  <c r="Q206" i="1"/>
  <c r="K203" i="1"/>
  <c r="O202" i="1"/>
  <c r="K202" i="1"/>
  <c r="X201" i="1"/>
  <c r="W201" i="1"/>
  <c r="V201" i="1"/>
  <c r="U201" i="1"/>
  <c r="T201" i="1"/>
  <c r="S201" i="1"/>
  <c r="R201" i="1"/>
  <c r="Q201" i="1"/>
  <c r="O201" i="1"/>
  <c r="M201" i="1"/>
  <c r="K201" i="1"/>
  <c r="O200" i="1"/>
  <c r="K200" i="1"/>
  <c r="X199" i="1"/>
  <c r="W199" i="1"/>
  <c r="V199" i="1"/>
  <c r="U199" i="1"/>
  <c r="T199" i="1"/>
  <c r="S199" i="1"/>
  <c r="R199" i="1"/>
  <c r="Q199" i="1"/>
  <c r="K196" i="1"/>
  <c r="O195" i="1"/>
  <c r="K195" i="1"/>
  <c r="X194" i="1"/>
  <c r="W194" i="1"/>
  <c r="V194" i="1"/>
  <c r="U194" i="1"/>
  <c r="T194" i="1"/>
  <c r="S194" i="1"/>
  <c r="R194" i="1"/>
  <c r="Q194" i="1"/>
  <c r="K191" i="1"/>
  <c r="O190" i="1"/>
  <c r="K190" i="1"/>
  <c r="X189" i="1"/>
  <c r="W189" i="1"/>
  <c r="V189" i="1"/>
  <c r="U189" i="1"/>
  <c r="T189" i="1"/>
  <c r="S189" i="1"/>
  <c r="R189" i="1"/>
  <c r="Q189" i="1"/>
  <c r="K186" i="1"/>
  <c r="O185" i="1"/>
  <c r="K185" i="1"/>
  <c r="X184" i="1"/>
  <c r="W184" i="1"/>
  <c r="V184" i="1"/>
  <c r="U184" i="1"/>
  <c r="T184" i="1"/>
  <c r="S184" i="1"/>
  <c r="R184" i="1"/>
  <c r="Q184" i="1"/>
  <c r="O184" i="1"/>
  <c r="M184" i="1"/>
  <c r="K184" i="1"/>
  <c r="O183" i="1"/>
  <c r="K183" i="1"/>
  <c r="X182" i="1"/>
  <c r="W182" i="1"/>
  <c r="V182" i="1"/>
  <c r="U182" i="1"/>
  <c r="T182" i="1"/>
  <c r="S182" i="1"/>
  <c r="R182" i="1"/>
  <c r="Q182" i="1"/>
  <c r="K179" i="1"/>
  <c r="O178" i="1"/>
  <c r="K178" i="1"/>
  <c r="X177" i="1"/>
  <c r="W177" i="1"/>
  <c r="V177" i="1"/>
  <c r="U177" i="1"/>
  <c r="T177" i="1"/>
  <c r="S177" i="1"/>
  <c r="R177" i="1"/>
  <c r="Q177" i="1"/>
  <c r="K174" i="1"/>
  <c r="O173" i="1"/>
  <c r="K173" i="1"/>
  <c r="X172" i="1"/>
  <c r="W172" i="1"/>
  <c r="V172" i="1"/>
  <c r="U172" i="1"/>
  <c r="T172" i="1"/>
  <c r="S172" i="1"/>
  <c r="R172" i="1"/>
  <c r="Q172" i="1"/>
  <c r="K169" i="1"/>
  <c r="O168" i="1"/>
  <c r="K168" i="1"/>
  <c r="X167" i="1"/>
  <c r="W167" i="1"/>
  <c r="V167" i="1"/>
  <c r="U167" i="1"/>
  <c r="T167" i="1"/>
  <c r="S167" i="1"/>
  <c r="R167" i="1"/>
  <c r="Q167" i="1"/>
  <c r="K164" i="1"/>
  <c r="O163" i="1"/>
  <c r="K163" i="1"/>
  <c r="X162" i="1"/>
  <c r="W162" i="1"/>
  <c r="V162" i="1"/>
  <c r="U162" i="1"/>
  <c r="T162" i="1"/>
  <c r="S162" i="1"/>
  <c r="R162" i="1"/>
  <c r="Q162" i="1"/>
  <c r="K159" i="1"/>
  <c r="O158" i="1"/>
  <c r="K158" i="1"/>
  <c r="X157" i="1"/>
  <c r="W157" i="1"/>
  <c r="V157" i="1"/>
  <c r="U157" i="1"/>
  <c r="T157" i="1"/>
  <c r="S157" i="1"/>
  <c r="R157" i="1"/>
  <c r="Q157" i="1"/>
  <c r="K154" i="1"/>
  <c r="O153" i="1"/>
  <c r="K153" i="1"/>
  <c r="X152" i="1"/>
  <c r="W152" i="1"/>
  <c r="V152" i="1"/>
  <c r="U152" i="1"/>
  <c r="T152" i="1"/>
  <c r="S152" i="1"/>
  <c r="R152" i="1"/>
  <c r="Q152" i="1"/>
  <c r="K149" i="1"/>
  <c r="O148" i="1"/>
  <c r="K148" i="1"/>
  <c r="X147" i="1"/>
  <c r="W147" i="1"/>
  <c r="V147" i="1"/>
  <c r="U147" i="1"/>
  <c r="T147" i="1"/>
  <c r="S147" i="1"/>
  <c r="R147" i="1"/>
  <c r="Q147" i="1"/>
  <c r="K144" i="1"/>
  <c r="O143" i="1"/>
  <c r="K143" i="1"/>
  <c r="X142" i="1"/>
  <c r="W142" i="1"/>
  <c r="V142" i="1"/>
  <c r="U142" i="1"/>
  <c r="T142" i="1"/>
  <c r="S142" i="1"/>
  <c r="R142" i="1"/>
  <c r="Q142" i="1"/>
  <c r="K139" i="1"/>
  <c r="O138" i="1"/>
  <c r="K138" i="1"/>
  <c r="X137" i="1"/>
  <c r="W137" i="1"/>
  <c r="V137" i="1"/>
  <c r="U137" i="1"/>
  <c r="T137" i="1"/>
  <c r="S137" i="1"/>
  <c r="R137" i="1"/>
  <c r="Q137" i="1"/>
  <c r="O137" i="1"/>
  <c r="M137" i="1"/>
  <c r="K137" i="1"/>
  <c r="O136" i="1"/>
  <c r="K136" i="1"/>
  <c r="X135" i="1"/>
  <c r="W135" i="1"/>
  <c r="V135" i="1"/>
  <c r="U135" i="1"/>
  <c r="T135" i="1"/>
  <c r="S135" i="1"/>
  <c r="R135" i="1"/>
  <c r="Q135" i="1"/>
  <c r="K132" i="1"/>
  <c r="O131" i="1"/>
  <c r="K131" i="1"/>
  <c r="X130" i="1"/>
  <c r="W130" i="1"/>
  <c r="V130" i="1"/>
  <c r="U130" i="1"/>
  <c r="T130" i="1"/>
  <c r="S130" i="1"/>
  <c r="R130" i="1"/>
  <c r="Q130" i="1"/>
  <c r="K127" i="1"/>
  <c r="O126" i="1"/>
  <c r="K126" i="1"/>
  <c r="X125" i="1"/>
  <c r="W125" i="1"/>
  <c r="V125" i="1"/>
  <c r="U125" i="1"/>
  <c r="T125" i="1"/>
  <c r="S125" i="1"/>
  <c r="R125" i="1"/>
  <c r="Q125" i="1"/>
  <c r="K122" i="1"/>
  <c r="O121" i="1"/>
  <c r="K121" i="1"/>
  <c r="X120" i="1"/>
  <c r="W120" i="1"/>
  <c r="V120" i="1"/>
  <c r="U120" i="1"/>
  <c r="T120" i="1"/>
  <c r="S120" i="1"/>
  <c r="R120" i="1"/>
  <c r="Q120" i="1"/>
  <c r="K117" i="1"/>
  <c r="O116" i="1"/>
  <c r="K116" i="1"/>
  <c r="X115" i="1"/>
  <c r="W115" i="1"/>
  <c r="V115" i="1"/>
  <c r="U115" i="1"/>
  <c r="T115" i="1"/>
  <c r="S115" i="1"/>
  <c r="R115" i="1"/>
  <c r="Q115" i="1"/>
  <c r="K112" i="1"/>
  <c r="O111" i="1"/>
  <c r="K111" i="1"/>
  <c r="X110" i="1"/>
  <c r="W110" i="1"/>
  <c r="V110" i="1"/>
  <c r="U110" i="1"/>
  <c r="T110" i="1"/>
  <c r="S110" i="1"/>
  <c r="R110" i="1"/>
  <c r="Q110" i="1"/>
  <c r="O110" i="1"/>
  <c r="M110" i="1"/>
  <c r="K110" i="1"/>
  <c r="O109" i="1"/>
  <c r="K109" i="1"/>
  <c r="X108" i="1"/>
  <c r="W108" i="1"/>
  <c r="V108" i="1"/>
  <c r="U108" i="1"/>
  <c r="T108" i="1"/>
  <c r="S108" i="1"/>
  <c r="R108" i="1"/>
  <c r="Q108" i="1"/>
  <c r="K105" i="1"/>
  <c r="O104" i="1"/>
  <c r="K104" i="1"/>
  <c r="X103" i="1"/>
  <c r="W103" i="1"/>
  <c r="V103" i="1"/>
  <c r="U103" i="1"/>
  <c r="T103" i="1"/>
  <c r="S103" i="1"/>
  <c r="R103" i="1"/>
  <c r="Q103" i="1"/>
  <c r="K100" i="1"/>
  <c r="O99" i="1"/>
  <c r="K99" i="1"/>
  <c r="X98" i="1"/>
  <c r="W98" i="1"/>
  <c r="V98" i="1"/>
  <c r="U98" i="1"/>
  <c r="T98" i="1"/>
  <c r="S98" i="1"/>
  <c r="R98" i="1"/>
  <c r="Q98" i="1"/>
  <c r="O98" i="1"/>
  <c r="M98" i="1"/>
  <c r="K98" i="1"/>
  <c r="O97" i="1"/>
  <c r="K97" i="1"/>
  <c r="X96" i="1"/>
  <c r="W96" i="1"/>
  <c r="V96" i="1"/>
  <c r="U96" i="1"/>
  <c r="T96" i="1"/>
  <c r="S96" i="1"/>
  <c r="R96" i="1"/>
  <c r="Q96" i="1"/>
  <c r="K93" i="1"/>
  <c r="O92" i="1"/>
  <c r="K92" i="1"/>
  <c r="X91" i="1"/>
  <c r="W91" i="1"/>
  <c r="V91" i="1"/>
  <c r="U91" i="1"/>
  <c r="T91" i="1"/>
  <c r="S91" i="1"/>
  <c r="R91" i="1"/>
  <c r="Q91" i="1"/>
  <c r="O91" i="1"/>
  <c r="M91" i="1"/>
  <c r="K91" i="1"/>
  <c r="O90" i="1"/>
  <c r="K90" i="1"/>
  <c r="X89" i="1"/>
  <c r="W89" i="1"/>
  <c r="V89" i="1"/>
  <c r="U89" i="1"/>
  <c r="T89" i="1"/>
  <c r="S89" i="1"/>
  <c r="R89" i="1"/>
  <c r="Q89" i="1"/>
  <c r="K86" i="1"/>
  <c r="O85" i="1"/>
  <c r="K85" i="1"/>
  <c r="X84" i="1"/>
  <c r="W84" i="1"/>
  <c r="V84" i="1"/>
  <c r="U84" i="1"/>
  <c r="T84" i="1"/>
  <c r="S84" i="1"/>
  <c r="R84" i="1"/>
  <c r="Q84" i="1"/>
  <c r="K81" i="1"/>
  <c r="O80" i="1"/>
  <c r="K80" i="1"/>
  <c r="X79" i="1"/>
  <c r="W79" i="1"/>
  <c r="V79" i="1"/>
  <c r="U79" i="1"/>
  <c r="T79" i="1"/>
  <c r="S79" i="1"/>
  <c r="R79" i="1"/>
  <c r="Q79" i="1"/>
  <c r="K76" i="1"/>
  <c r="O75" i="1"/>
  <c r="K75" i="1"/>
  <c r="X74" i="1"/>
  <c r="W74" i="1"/>
  <c r="V74" i="1"/>
  <c r="U74" i="1"/>
  <c r="T74" i="1"/>
  <c r="S74" i="1"/>
  <c r="R74" i="1"/>
  <c r="Q74" i="1"/>
  <c r="K71" i="1"/>
  <c r="O70" i="1"/>
  <c r="K70" i="1"/>
  <c r="X69" i="1"/>
  <c r="W69" i="1"/>
  <c r="V69" i="1"/>
  <c r="U69" i="1"/>
  <c r="T69" i="1"/>
  <c r="S69" i="1"/>
  <c r="R69" i="1"/>
  <c r="Q69" i="1"/>
  <c r="K66" i="1"/>
  <c r="O65" i="1"/>
  <c r="K65" i="1"/>
  <c r="X64" i="1"/>
  <c r="W64" i="1"/>
  <c r="V64" i="1"/>
  <c r="U64" i="1"/>
  <c r="T64" i="1"/>
  <c r="S64" i="1"/>
  <c r="R64" i="1"/>
  <c r="Q64" i="1"/>
  <c r="K61" i="1"/>
  <c r="O60" i="1"/>
  <c r="K60" i="1"/>
  <c r="X59" i="1"/>
  <c r="W59" i="1"/>
  <c r="V59" i="1"/>
  <c r="U59" i="1"/>
  <c r="T59" i="1"/>
  <c r="S59" i="1"/>
  <c r="R59" i="1"/>
  <c r="Q59" i="1"/>
  <c r="K56" i="1"/>
  <c r="O55" i="1"/>
  <c r="K55" i="1"/>
  <c r="X54" i="1"/>
  <c r="W54" i="1"/>
  <c r="V54" i="1"/>
  <c r="U54" i="1"/>
  <c r="T54" i="1"/>
  <c r="S54" i="1"/>
  <c r="R54" i="1"/>
  <c r="Q54" i="1"/>
  <c r="K51" i="1"/>
  <c r="O50" i="1"/>
  <c r="K50" i="1"/>
  <c r="X49" i="1"/>
  <c r="W49" i="1"/>
  <c r="V49" i="1"/>
  <c r="U49" i="1"/>
  <c r="T49" i="1"/>
  <c r="S49" i="1"/>
  <c r="R49" i="1"/>
  <c r="Q49" i="1"/>
  <c r="K46" i="1"/>
  <c r="O45" i="1"/>
  <c r="K45" i="1"/>
  <c r="X44" i="1"/>
  <c r="W44" i="1"/>
  <c r="V44" i="1"/>
  <c r="U44" i="1"/>
  <c r="T44" i="1"/>
  <c r="S44" i="1"/>
  <c r="R44" i="1"/>
  <c r="Q44" i="1"/>
  <c r="O44" i="1"/>
  <c r="M44" i="1"/>
  <c r="K44" i="1"/>
  <c r="O43" i="1"/>
  <c r="K43" i="1"/>
  <c r="X42" i="1"/>
  <c r="W42" i="1"/>
  <c r="V42" i="1"/>
  <c r="U42" i="1"/>
  <c r="T42" i="1"/>
  <c r="S42" i="1"/>
  <c r="R42" i="1"/>
  <c r="Q42" i="1"/>
  <c r="K39" i="1"/>
  <c r="O38" i="1"/>
  <c r="K38" i="1"/>
  <c r="X37" i="1"/>
  <c r="W37" i="1"/>
  <c r="V37" i="1"/>
  <c r="U37" i="1"/>
  <c r="T37" i="1"/>
  <c r="S37" i="1"/>
  <c r="R37" i="1"/>
  <c r="Q37" i="1"/>
  <c r="K34" i="1"/>
  <c r="O33" i="1"/>
  <c r="K33" i="1"/>
  <c r="X32" i="1"/>
  <c r="W32" i="1"/>
  <c r="V32" i="1"/>
  <c r="U32" i="1"/>
  <c r="T32" i="1"/>
  <c r="S32" i="1"/>
  <c r="R32" i="1"/>
  <c r="Q32" i="1"/>
  <c r="O32" i="1"/>
  <c r="M32" i="1"/>
  <c r="K32" i="1"/>
  <c r="O31" i="1"/>
  <c r="K31" i="1"/>
  <c r="X30" i="1"/>
  <c r="W30" i="1"/>
  <c r="V30" i="1"/>
  <c r="U30" i="1"/>
  <c r="T30" i="1"/>
  <c r="S30" i="1"/>
  <c r="R30" i="1"/>
  <c r="Q30" i="1"/>
  <c r="K27" i="1"/>
  <c r="O26" i="1"/>
  <c r="K26" i="1"/>
  <c r="X25" i="1"/>
  <c r="W25" i="1"/>
  <c r="V25" i="1"/>
  <c r="U25" i="1"/>
  <c r="T25" i="1"/>
  <c r="S25" i="1"/>
  <c r="R25" i="1"/>
  <c r="Q25" i="1"/>
  <c r="O25" i="1"/>
  <c r="M25" i="1"/>
  <c r="K25" i="1"/>
  <c r="O24" i="1"/>
  <c r="K24" i="1"/>
  <c r="X23" i="1"/>
  <c r="W23" i="1"/>
  <c r="V23" i="1"/>
  <c r="U23" i="1"/>
  <c r="T23" i="1"/>
  <c r="S23" i="1"/>
  <c r="R23" i="1"/>
  <c r="Q23" i="1"/>
  <c r="K20" i="1"/>
  <c r="O19" i="1"/>
  <c r="K19" i="1"/>
  <c r="X18" i="1"/>
  <c r="W18" i="1"/>
  <c r="V18" i="1"/>
  <c r="U18" i="1"/>
  <c r="T18" i="1"/>
  <c r="S18" i="1"/>
  <c r="R18" i="1"/>
  <c r="Q18" i="1"/>
  <c r="O18" i="1"/>
  <c r="M18" i="1"/>
  <c r="K18" i="1"/>
  <c r="O17" i="1"/>
  <c r="K17" i="1"/>
  <c r="X16" i="1"/>
  <c r="W16" i="1"/>
  <c r="V16" i="1"/>
  <c r="U16" i="1"/>
  <c r="T16" i="1"/>
  <c r="S16" i="1"/>
  <c r="R16" i="1"/>
  <c r="Q16" i="1"/>
  <c r="K13" i="1"/>
  <c r="O12" i="1"/>
  <c r="K12" i="1"/>
  <c r="X11" i="1"/>
  <c r="W11" i="1"/>
  <c r="V11" i="1"/>
  <c r="U11" i="1"/>
  <c r="T11" i="1"/>
  <c r="S11" i="1"/>
  <c r="R11" i="1"/>
  <c r="Q11" i="1"/>
  <c r="O11" i="1"/>
  <c r="M11" i="1"/>
  <c r="K11" i="1"/>
  <c r="O10" i="1"/>
  <c r="K10" i="1"/>
  <c r="X9" i="1"/>
  <c r="W9" i="1"/>
  <c r="V9" i="1"/>
  <c r="U9" i="1"/>
  <c r="T9" i="1"/>
  <c r="S9" i="1"/>
  <c r="R9" i="1"/>
  <c r="Q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generar_reporte_pairings_nb.py</author>
  </authors>
  <commentList>
    <comment ref="M9" authorId="0" shapeId="0" xr:uid="{00000000-0006-0000-0000-000001000000}">
      <text>
        <r>
          <rPr>
            <sz val="11"/>
            <color theme="1"/>
            <rFont val="Calibri"/>
            <family val="2"/>
            <scheme val="minor"/>
          </rPr>
          <t>Elegir el instructor de la lista</t>
        </r>
      </text>
    </comment>
    <comment ref="O9" authorId="0" shapeId="0" xr:uid="{00000000-0006-0000-0000-000002000000}">
      <text>
        <r>
          <rPr>
            <sz val="11"/>
            <color theme="1"/>
            <rFont val="Calibri"/>
            <family val="2"/>
            <scheme val="minor"/>
          </rPr>
          <t>Tipo de actividad (elegir de la lista)</t>
        </r>
      </text>
    </comment>
    <comment ref="M16" authorId="0" shapeId="0" xr:uid="{00000000-0006-0000-0000-000003000000}">
      <text>
        <r>
          <rPr>
            <sz val="11"/>
            <color theme="1"/>
            <rFont val="Calibri"/>
            <family val="2"/>
            <scheme val="minor"/>
          </rPr>
          <t>Elegir el instructor de la lista</t>
        </r>
      </text>
    </comment>
    <comment ref="O16" authorId="0" shapeId="0" xr:uid="{00000000-0006-0000-0000-000004000000}">
      <text>
        <r>
          <rPr>
            <sz val="11"/>
            <color theme="1"/>
            <rFont val="Calibri"/>
            <family val="2"/>
            <scheme val="minor"/>
          </rPr>
          <t>Tipo de actividad (elegir de la lista)</t>
        </r>
      </text>
    </comment>
    <comment ref="M23" authorId="0" shapeId="0" xr:uid="{00000000-0006-0000-0000-000005000000}">
      <text>
        <r>
          <rPr>
            <sz val="11"/>
            <color theme="1"/>
            <rFont val="Calibri"/>
            <family val="2"/>
            <scheme val="minor"/>
          </rPr>
          <t>Elegir el instructor de la lista</t>
        </r>
      </text>
    </comment>
    <comment ref="O23" authorId="0" shapeId="0" xr:uid="{00000000-0006-0000-0000-000006000000}">
      <text>
        <r>
          <rPr>
            <sz val="11"/>
            <color theme="1"/>
            <rFont val="Calibri"/>
            <family val="2"/>
            <scheme val="minor"/>
          </rPr>
          <t>Tipo de actividad (elegir de la lista)</t>
        </r>
      </text>
    </comment>
    <comment ref="M30" authorId="0" shapeId="0" xr:uid="{00000000-0006-0000-0000-000007000000}">
      <text>
        <r>
          <rPr>
            <sz val="11"/>
            <color theme="1"/>
            <rFont val="Calibri"/>
            <family val="2"/>
            <scheme val="minor"/>
          </rPr>
          <t>Elegir el instructor de la lista</t>
        </r>
      </text>
    </comment>
    <comment ref="O30" authorId="0" shapeId="0" xr:uid="{00000000-0006-0000-0000-000008000000}">
      <text>
        <r>
          <rPr>
            <sz val="11"/>
            <color theme="1"/>
            <rFont val="Calibri"/>
            <family val="2"/>
            <scheme val="minor"/>
          </rPr>
          <t>Tipo de actividad (elegir de la lista)</t>
        </r>
      </text>
    </comment>
    <comment ref="M37" authorId="0" shapeId="0" xr:uid="{00000000-0006-0000-0000-000009000000}">
      <text>
        <r>
          <rPr>
            <sz val="11"/>
            <color theme="1"/>
            <rFont val="Calibri"/>
            <family val="2"/>
            <scheme val="minor"/>
          </rPr>
          <t>Elegir el instructor de la lista</t>
        </r>
      </text>
    </comment>
    <comment ref="O37" authorId="0" shapeId="0" xr:uid="{00000000-0006-0000-0000-00000A000000}">
      <text>
        <r>
          <rPr>
            <sz val="11"/>
            <color theme="1"/>
            <rFont val="Calibri"/>
            <family val="2"/>
            <scheme val="minor"/>
          </rPr>
          <t>Tipo de actividad (elegir de la lista)</t>
        </r>
      </text>
    </comment>
    <comment ref="M42" authorId="0" shapeId="0" xr:uid="{00000000-0006-0000-0000-00000B000000}">
      <text>
        <r>
          <rPr>
            <sz val="11"/>
            <color theme="1"/>
            <rFont val="Calibri"/>
            <family val="2"/>
            <scheme val="minor"/>
          </rPr>
          <t>Elegir el instructor de la lista</t>
        </r>
      </text>
    </comment>
    <comment ref="O42" authorId="0" shapeId="0" xr:uid="{00000000-0006-0000-0000-00000C000000}">
      <text>
        <r>
          <rPr>
            <sz val="11"/>
            <color theme="1"/>
            <rFont val="Calibri"/>
            <family val="2"/>
            <scheme val="minor"/>
          </rPr>
          <t>Tipo de actividad (elegir de la lista)</t>
        </r>
      </text>
    </comment>
    <comment ref="M49" authorId="0" shapeId="0" xr:uid="{00000000-0006-0000-0000-00000D000000}">
      <text>
        <r>
          <rPr>
            <sz val="11"/>
            <color theme="1"/>
            <rFont val="Calibri"/>
            <family val="2"/>
            <scheme val="minor"/>
          </rPr>
          <t>Elegir el instructor de la lista</t>
        </r>
      </text>
    </comment>
    <comment ref="O49" authorId="0" shapeId="0" xr:uid="{00000000-0006-0000-0000-00000E000000}">
      <text>
        <r>
          <rPr>
            <sz val="11"/>
            <color theme="1"/>
            <rFont val="Calibri"/>
            <family val="2"/>
            <scheme val="minor"/>
          </rPr>
          <t>Tipo de actividad (elegir de la lista)</t>
        </r>
      </text>
    </comment>
    <comment ref="M54" authorId="0" shapeId="0" xr:uid="{00000000-0006-0000-0000-00000F000000}">
      <text>
        <r>
          <rPr>
            <sz val="11"/>
            <color theme="1"/>
            <rFont val="Calibri"/>
            <family val="2"/>
            <scheme val="minor"/>
          </rPr>
          <t>Elegir el instructor de la lista</t>
        </r>
      </text>
    </comment>
    <comment ref="O54" authorId="0" shapeId="0" xr:uid="{00000000-0006-0000-0000-000010000000}">
      <text>
        <r>
          <rPr>
            <sz val="11"/>
            <color theme="1"/>
            <rFont val="Calibri"/>
            <family val="2"/>
            <scheme val="minor"/>
          </rPr>
          <t>Tipo de actividad (elegir de la lista)</t>
        </r>
      </text>
    </comment>
    <comment ref="M59" authorId="0" shapeId="0" xr:uid="{00000000-0006-0000-0000-000011000000}">
      <text>
        <r>
          <rPr>
            <sz val="11"/>
            <color theme="1"/>
            <rFont val="Calibri"/>
            <family val="2"/>
            <scheme val="minor"/>
          </rPr>
          <t>Elegir el instructor de la lista</t>
        </r>
      </text>
    </comment>
    <comment ref="O59" authorId="0" shapeId="0" xr:uid="{00000000-0006-0000-0000-000012000000}">
      <text>
        <r>
          <rPr>
            <sz val="11"/>
            <color theme="1"/>
            <rFont val="Calibri"/>
            <family val="2"/>
            <scheme val="minor"/>
          </rPr>
          <t>Tipo de actividad (elegir de la lista)</t>
        </r>
      </text>
    </comment>
    <comment ref="M64" authorId="0" shapeId="0" xr:uid="{00000000-0006-0000-0000-000013000000}">
      <text>
        <r>
          <rPr>
            <sz val="11"/>
            <color theme="1"/>
            <rFont val="Calibri"/>
            <family val="2"/>
            <scheme val="minor"/>
          </rPr>
          <t>Elegir el instructor de la lista</t>
        </r>
      </text>
    </comment>
    <comment ref="O64" authorId="0" shapeId="0" xr:uid="{00000000-0006-0000-0000-000014000000}">
      <text>
        <r>
          <rPr>
            <sz val="11"/>
            <color theme="1"/>
            <rFont val="Calibri"/>
            <family val="2"/>
            <scheme val="minor"/>
          </rPr>
          <t>Tipo de actividad (elegir de la lista)</t>
        </r>
      </text>
    </comment>
    <comment ref="M69" authorId="0" shapeId="0" xr:uid="{00000000-0006-0000-0000-000015000000}">
      <text>
        <r>
          <rPr>
            <sz val="11"/>
            <color theme="1"/>
            <rFont val="Calibri"/>
            <family val="2"/>
            <scheme val="minor"/>
          </rPr>
          <t>Elegir el instructor de la lista</t>
        </r>
      </text>
    </comment>
    <comment ref="O69" authorId="0" shapeId="0" xr:uid="{00000000-0006-0000-0000-000016000000}">
      <text>
        <r>
          <rPr>
            <sz val="11"/>
            <color theme="1"/>
            <rFont val="Calibri"/>
            <family val="2"/>
            <scheme val="minor"/>
          </rPr>
          <t>Tipo de actividad (elegir de la lista)</t>
        </r>
      </text>
    </comment>
    <comment ref="M74" authorId="0" shapeId="0" xr:uid="{00000000-0006-0000-0000-000017000000}">
      <text>
        <r>
          <rPr>
            <sz val="11"/>
            <color theme="1"/>
            <rFont val="Calibri"/>
            <family val="2"/>
            <scheme val="minor"/>
          </rPr>
          <t>Elegir el instructor de la lista</t>
        </r>
      </text>
    </comment>
    <comment ref="O74" authorId="0" shapeId="0" xr:uid="{00000000-0006-0000-0000-000018000000}">
      <text>
        <r>
          <rPr>
            <sz val="11"/>
            <color theme="1"/>
            <rFont val="Calibri"/>
            <family val="2"/>
            <scheme val="minor"/>
          </rPr>
          <t>Tipo de actividad (elegir de la lista)</t>
        </r>
      </text>
    </comment>
    <comment ref="M79" authorId="0" shapeId="0" xr:uid="{00000000-0006-0000-0000-000019000000}">
      <text>
        <r>
          <rPr>
            <sz val="11"/>
            <color theme="1"/>
            <rFont val="Calibri"/>
            <family val="2"/>
            <scheme val="minor"/>
          </rPr>
          <t>Elegir el instructor de la lista</t>
        </r>
      </text>
    </comment>
    <comment ref="O79" authorId="0" shapeId="0" xr:uid="{00000000-0006-0000-0000-00001A000000}">
      <text>
        <r>
          <rPr>
            <sz val="11"/>
            <color theme="1"/>
            <rFont val="Calibri"/>
            <family val="2"/>
            <scheme val="minor"/>
          </rPr>
          <t>Tipo de actividad (elegir de la lista)</t>
        </r>
      </text>
    </comment>
    <comment ref="M84" authorId="0" shapeId="0" xr:uid="{00000000-0006-0000-0000-00001B000000}">
      <text>
        <r>
          <rPr>
            <sz val="11"/>
            <color theme="1"/>
            <rFont val="Calibri"/>
            <family val="2"/>
            <scheme val="minor"/>
          </rPr>
          <t>Elegir el instructor de la lista</t>
        </r>
      </text>
    </comment>
    <comment ref="O84" authorId="0" shapeId="0" xr:uid="{00000000-0006-0000-0000-00001C000000}">
      <text>
        <r>
          <rPr>
            <sz val="11"/>
            <color theme="1"/>
            <rFont val="Calibri"/>
            <family val="2"/>
            <scheme val="minor"/>
          </rPr>
          <t>Tipo de actividad (elegir de la lista)</t>
        </r>
      </text>
    </comment>
    <comment ref="M89" authorId="0" shapeId="0" xr:uid="{00000000-0006-0000-0000-00001D000000}">
      <text>
        <r>
          <rPr>
            <sz val="11"/>
            <color theme="1"/>
            <rFont val="Calibri"/>
            <family val="2"/>
            <scheme val="minor"/>
          </rPr>
          <t>Elegir el instructor de la lista</t>
        </r>
      </text>
    </comment>
    <comment ref="O89" authorId="0" shapeId="0" xr:uid="{00000000-0006-0000-0000-00001E000000}">
      <text>
        <r>
          <rPr>
            <sz val="11"/>
            <color theme="1"/>
            <rFont val="Calibri"/>
            <family val="2"/>
            <scheme val="minor"/>
          </rPr>
          <t>Tipo de actividad (elegir de la lista)</t>
        </r>
      </text>
    </comment>
    <comment ref="M96" authorId="0" shapeId="0" xr:uid="{00000000-0006-0000-0000-00001F000000}">
      <text>
        <r>
          <rPr>
            <sz val="11"/>
            <color theme="1"/>
            <rFont val="Calibri"/>
            <family val="2"/>
            <scheme val="minor"/>
          </rPr>
          <t>Elegir el instructor de la lista</t>
        </r>
      </text>
    </comment>
    <comment ref="O96" authorId="0" shapeId="0" xr:uid="{00000000-0006-0000-0000-000020000000}">
      <text>
        <r>
          <rPr>
            <sz val="11"/>
            <color theme="1"/>
            <rFont val="Calibri"/>
            <family val="2"/>
            <scheme val="minor"/>
          </rPr>
          <t>Tipo de actividad (elegir de la lista)</t>
        </r>
      </text>
    </comment>
    <comment ref="M103" authorId="0" shapeId="0" xr:uid="{00000000-0006-0000-0000-000021000000}">
      <text>
        <r>
          <rPr>
            <sz val="11"/>
            <color theme="1"/>
            <rFont val="Calibri"/>
            <family val="2"/>
            <scheme val="minor"/>
          </rPr>
          <t>Elegir el instructor de la lista</t>
        </r>
      </text>
    </comment>
    <comment ref="O103" authorId="0" shapeId="0" xr:uid="{00000000-0006-0000-0000-000022000000}">
      <text>
        <r>
          <rPr>
            <sz val="11"/>
            <color theme="1"/>
            <rFont val="Calibri"/>
            <family val="2"/>
            <scheme val="minor"/>
          </rPr>
          <t>Tipo de actividad (elegir de la lista)</t>
        </r>
      </text>
    </comment>
    <comment ref="M108" authorId="0" shapeId="0" xr:uid="{00000000-0006-0000-0000-000023000000}">
      <text>
        <r>
          <rPr>
            <sz val="11"/>
            <color theme="1"/>
            <rFont val="Calibri"/>
            <family val="2"/>
            <scheme val="minor"/>
          </rPr>
          <t>Elegir el instructor de la lista</t>
        </r>
      </text>
    </comment>
    <comment ref="O108" authorId="0" shapeId="0" xr:uid="{00000000-0006-0000-0000-000024000000}">
      <text>
        <r>
          <rPr>
            <sz val="11"/>
            <color theme="1"/>
            <rFont val="Calibri"/>
            <family val="2"/>
            <scheme val="minor"/>
          </rPr>
          <t>Tipo de actividad (elegir de la lista)</t>
        </r>
      </text>
    </comment>
    <comment ref="M115" authorId="0" shapeId="0" xr:uid="{00000000-0006-0000-0000-000025000000}">
      <text>
        <r>
          <rPr>
            <sz val="11"/>
            <color theme="1"/>
            <rFont val="Calibri"/>
            <family val="2"/>
            <scheme val="minor"/>
          </rPr>
          <t>Elegir el instructor de la lista</t>
        </r>
      </text>
    </comment>
    <comment ref="O115" authorId="0" shapeId="0" xr:uid="{00000000-0006-0000-0000-000026000000}">
      <text>
        <r>
          <rPr>
            <sz val="11"/>
            <color theme="1"/>
            <rFont val="Calibri"/>
            <family val="2"/>
            <scheme val="minor"/>
          </rPr>
          <t>Tipo de actividad (elegir de la lista)</t>
        </r>
      </text>
    </comment>
    <comment ref="M120" authorId="0" shapeId="0" xr:uid="{00000000-0006-0000-0000-000027000000}">
      <text>
        <r>
          <rPr>
            <sz val="11"/>
            <color theme="1"/>
            <rFont val="Calibri"/>
            <family val="2"/>
            <scheme val="minor"/>
          </rPr>
          <t>Elegir el instructor de la lista</t>
        </r>
      </text>
    </comment>
    <comment ref="O120" authorId="0" shapeId="0" xr:uid="{00000000-0006-0000-0000-000028000000}">
      <text>
        <r>
          <rPr>
            <sz val="11"/>
            <color theme="1"/>
            <rFont val="Calibri"/>
            <family val="2"/>
            <scheme val="minor"/>
          </rPr>
          <t>Tipo de actividad (elegir de la lista)</t>
        </r>
      </text>
    </comment>
    <comment ref="M125" authorId="0" shapeId="0" xr:uid="{00000000-0006-0000-0000-000029000000}">
      <text>
        <r>
          <rPr>
            <sz val="11"/>
            <color theme="1"/>
            <rFont val="Calibri"/>
            <family val="2"/>
            <scheme val="minor"/>
          </rPr>
          <t>Elegir el instructor de la lista</t>
        </r>
      </text>
    </comment>
    <comment ref="O125" authorId="0" shapeId="0" xr:uid="{00000000-0006-0000-0000-00002A000000}">
      <text>
        <r>
          <rPr>
            <sz val="11"/>
            <color theme="1"/>
            <rFont val="Calibri"/>
            <family val="2"/>
            <scheme val="minor"/>
          </rPr>
          <t>Tipo de actividad (elegir de la lista)</t>
        </r>
      </text>
    </comment>
    <comment ref="M130" authorId="0" shapeId="0" xr:uid="{00000000-0006-0000-0000-00002B000000}">
      <text>
        <r>
          <rPr>
            <sz val="11"/>
            <color theme="1"/>
            <rFont val="Calibri"/>
            <family val="2"/>
            <scheme val="minor"/>
          </rPr>
          <t>Elegir el instructor de la lista</t>
        </r>
      </text>
    </comment>
    <comment ref="O130" authorId="0" shapeId="0" xr:uid="{00000000-0006-0000-0000-00002C000000}">
      <text>
        <r>
          <rPr>
            <sz val="11"/>
            <color theme="1"/>
            <rFont val="Calibri"/>
            <family val="2"/>
            <scheme val="minor"/>
          </rPr>
          <t>Tipo de actividad (elegir de la lista)</t>
        </r>
      </text>
    </comment>
    <comment ref="M135" authorId="0" shapeId="0" xr:uid="{00000000-0006-0000-0000-00002D000000}">
      <text>
        <r>
          <rPr>
            <sz val="11"/>
            <color theme="1"/>
            <rFont val="Calibri"/>
            <family val="2"/>
            <scheme val="minor"/>
          </rPr>
          <t>Elegir el instructor de la lista</t>
        </r>
      </text>
    </comment>
    <comment ref="O135" authorId="0" shapeId="0" xr:uid="{00000000-0006-0000-0000-00002E000000}">
      <text>
        <r>
          <rPr>
            <sz val="11"/>
            <color theme="1"/>
            <rFont val="Calibri"/>
            <family val="2"/>
            <scheme val="minor"/>
          </rPr>
          <t>Tipo de actividad (elegir de la lista)</t>
        </r>
      </text>
    </comment>
    <comment ref="M142" authorId="0" shapeId="0" xr:uid="{00000000-0006-0000-0000-00002F000000}">
      <text>
        <r>
          <rPr>
            <sz val="11"/>
            <color theme="1"/>
            <rFont val="Calibri"/>
            <family val="2"/>
            <scheme val="minor"/>
          </rPr>
          <t>Elegir el instructor de la lista</t>
        </r>
      </text>
    </comment>
    <comment ref="O142" authorId="0" shapeId="0" xr:uid="{00000000-0006-0000-0000-000030000000}">
      <text>
        <r>
          <rPr>
            <sz val="11"/>
            <color theme="1"/>
            <rFont val="Calibri"/>
            <family val="2"/>
            <scheme val="minor"/>
          </rPr>
          <t>Tipo de actividad (elegir de la lista)</t>
        </r>
      </text>
    </comment>
    <comment ref="M147" authorId="0" shapeId="0" xr:uid="{00000000-0006-0000-0000-000031000000}">
      <text>
        <r>
          <rPr>
            <sz val="11"/>
            <color theme="1"/>
            <rFont val="Calibri"/>
            <family val="2"/>
            <scheme val="minor"/>
          </rPr>
          <t>Elegir el instructor de la lista</t>
        </r>
      </text>
    </comment>
    <comment ref="O147" authorId="0" shapeId="0" xr:uid="{00000000-0006-0000-0000-000032000000}">
      <text>
        <r>
          <rPr>
            <sz val="11"/>
            <color theme="1"/>
            <rFont val="Calibri"/>
            <family val="2"/>
            <scheme val="minor"/>
          </rPr>
          <t>Tipo de actividad (elegir de la lista)</t>
        </r>
      </text>
    </comment>
    <comment ref="M152" authorId="0" shapeId="0" xr:uid="{00000000-0006-0000-0000-000033000000}">
      <text>
        <r>
          <rPr>
            <sz val="11"/>
            <color theme="1"/>
            <rFont val="Calibri"/>
            <family val="2"/>
            <scheme val="minor"/>
          </rPr>
          <t>Elegir el instructor de la lista</t>
        </r>
      </text>
    </comment>
    <comment ref="O152" authorId="0" shapeId="0" xr:uid="{00000000-0006-0000-0000-000034000000}">
      <text>
        <r>
          <rPr>
            <sz val="11"/>
            <color theme="1"/>
            <rFont val="Calibri"/>
            <family val="2"/>
            <scheme val="minor"/>
          </rPr>
          <t>Tipo de actividad (elegir de la lista)</t>
        </r>
      </text>
    </comment>
    <comment ref="M157" authorId="0" shapeId="0" xr:uid="{00000000-0006-0000-0000-000035000000}">
      <text>
        <r>
          <rPr>
            <sz val="11"/>
            <color theme="1"/>
            <rFont val="Calibri"/>
            <family val="2"/>
            <scheme val="minor"/>
          </rPr>
          <t>Elegir el instructor de la lista</t>
        </r>
      </text>
    </comment>
    <comment ref="O157" authorId="0" shapeId="0" xr:uid="{00000000-0006-0000-0000-000036000000}">
      <text>
        <r>
          <rPr>
            <sz val="11"/>
            <color theme="1"/>
            <rFont val="Calibri"/>
            <family val="2"/>
            <scheme val="minor"/>
          </rPr>
          <t>Tipo de actividad (elegir de la lista)</t>
        </r>
      </text>
    </comment>
    <comment ref="M162" authorId="0" shapeId="0" xr:uid="{00000000-0006-0000-0000-000037000000}">
      <text>
        <r>
          <rPr>
            <sz val="11"/>
            <color theme="1"/>
            <rFont val="Calibri"/>
            <family val="2"/>
            <scheme val="minor"/>
          </rPr>
          <t>Elegir el instructor de la lista</t>
        </r>
      </text>
    </comment>
    <comment ref="O162" authorId="0" shapeId="0" xr:uid="{00000000-0006-0000-0000-000038000000}">
      <text>
        <r>
          <rPr>
            <sz val="11"/>
            <color theme="1"/>
            <rFont val="Calibri"/>
            <family val="2"/>
            <scheme val="minor"/>
          </rPr>
          <t>Tipo de actividad (elegir de la lista)</t>
        </r>
      </text>
    </comment>
    <comment ref="M167" authorId="0" shapeId="0" xr:uid="{00000000-0006-0000-0000-000039000000}">
      <text>
        <r>
          <rPr>
            <sz val="11"/>
            <color theme="1"/>
            <rFont val="Calibri"/>
            <family val="2"/>
            <scheme val="minor"/>
          </rPr>
          <t>Elegir el instructor de la lista</t>
        </r>
      </text>
    </comment>
    <comment ref="O167" authorId="0" shapeId="0" xr:uid="{00000000-0006-0000-0000-00003A000000}">
      <text>
        <r>
          <rPr>
            <sz val="11"/>
            <color theme="1"/>
            <rFont val="Calibri"/>
            <family val="2"/>
            <scheme val="minor"/>
          </rPr>
          <t>Tipo de actividad (elegir de la lista)</t>
        </r>
      </text>
    </comment>
    <comment ref="M172" authorId="0" shapeId="0" xr:uid="{00000000-0006-0000-0000-00003B000000}">
      <text>
        <r>
          <rPr>
            <sz val="11"/>
            <color theme="1"/>
            <rFont val="Calibri"/>
            <family val="2"/>
            <scheme val="minor"/>
          </rPr>
          <t>Elegir el instructor de la lista</t>
        </r>
      </text>
    </comment>
    <comment ref="O172" authorId="0" shapeId="0" xr:uid="{00000000-0006-0000-0000-00003C000000}">
      <text>
        <r>
          <rPr>
            <sz val="11"/>
            <color theme="1"/>
            <rFont val="Calibri"/>
            <family val="2"/>
            <scheme val="minor"/>
          </rPr>
          <t>Tipo de actividad (elegir de la lista)</t>
        </r>
      </text>
    </comment>
    <comment ref="M177" authorId="0" shapeId="0" xr:uid="{00000000-0006-0000-0000-00003D000000}">
      <text>
        <r>
          <rPr>
            <sz val="11"/>
            <color theme="1"/>
            <rFont val="Calibri"/>
            <family val="2"/>
            <scheme val="minor"/>
          </rPr>
          <t>Elegir el instructor de la lista</t>
        </r>
      </text>
    </comment>
    <comment ref="O177" authorId="0" shapeId="0" xr:uid="{00000000-0006-0000-0000-00003E000000}">
      <text>
        <r>
          <rPr>
            <sz val="11"/>
            <color theme="1"/>
            <rFont val="Calibri"/>
            <family val="2"/>
            <scheme val="minor"/>
          </rPr>
          <t>Tipo de actividad (elegir de la lista)</t>
        </r>
      </text>
    </comment>
    <comment ref="M182" authorId="0" shapeId="0" xr:uid="{00000000-0006-0000-0000-00003F000000}">
      <text>
        <r>
          <rPr>
            <sz val="11"/>
            <color theme="1"/>
            <rFont val="Calibri"/>
            <family val="2"/>
            <scheme val="minor"/>
          </rPr>
          <t>Elegir el instructor de la lista</t>
        </r>
      </text>
    </comment>
    <comment ref="O182" authorId="0" shapeId="0" xr:uid="{00000000-0006-0000-0000-000040000000}">
      <text>
        <r>
          <rPr>
            <sz val="11"/>
            <color theme="1"/>
            <rFont val="Calibri"/>
            <family val="2"/>
            <scheme val="minor"/>
          </rPr>
          <t>Tipo de actividad (elegir de la lista)</t>
        </r>
      </text>
    </comment>
    <comment ref="M189" authorId="0" shapeId="0" xr:uid="{00000000-0006-0000-0000-000041000000}">
      <text>
        <r>
          <rPr>
            <sz val="11"/>
            <color theme="1"/>
            <rFont val="Calibri"/>
            <family val="2"/>
            <scheme val="minor"/>
          </rPr>
          <t>Elegir el instructor de la lista</t>
        </r>
      </text>
    </comment>
    <comment ref="O189" authorId="0" shapeId="0" xr:uid="{00000000-0006-0000-0000-000042000000}">
      <text>
        <r>
          <rPr>
            <sz val="11"/>
            <color theme="1"/>
            <rFont val="Calibri"/>
            <family val="2"/>
            <scheme val="minor"/>
          </rPr>
          <t>Tipo de actividad (elegir de la lista)</t>
        </r>
      </text>
    </comment>
    <comment ref="M194" authorId="0" shapeId="0" xr:uid="{00000000-0006-0000-0000-000043000000}">
      <text>
        <r>
          <rPr>
            <sz val="11"/>
            <color theme="1"/>
            <rFont val="Calibri"/>
            <family val="2"/>
            <scheme val="minor"/>
          </rPr>
          <t>Elegir el instructor de la lista</t>
        </r>
      </text>
    </comment>
    <comment ref="O194" authorId="0" shapeId="0" xr:uid="{00000000-0006-0000-0000-000044000000}">
      <text>
        <r>
          <rPr>
            <sz val="11"/>
            <color theme="1"/>
            <rFont val="Calibri"/>
            <family val="2"/>
            <scheme val="minor"/>
          </rPr>
          <t>Tipo de actividad (elegir de la lista)</t>
        </r>
      </text>
    </comment>
    <comment ref="M199" authorId="0" shapeId="0" xr:uid="{00000000-0006-0000-0000-000045000000}">
      <text>
        <r>
          <rPr>
            <sz val="11"/>
            <color theme="1"/>
            <rFont val="Calibri"/>
            <family val="2"/>
            <scheme val="minor"/>
          </rPr>
          <t>Elegir el instructor de la lista</t>
        </r>
      </text>
    </comment>
    <comment ref="O199" authorId="0" shapeId="0" xr:uid="{00000000-0006-0000-0000-000046000000}">
      <text>
        <r>
          <rPr>
            <sz val="11"/>
            <color theme="1"/>
            <rFont val="Calibri"/>
            <family val="2"/>
            <scheme val="minor"/>
          </rPr>
          <t>Tipo de actividad (elegir de la lista)</t>
        </r>
      </text>
    </comment>
    <comment ref="M206" authorId="0" shapeId="0" xr:uid="{00000000-0006-0000-0000-000047000000}">
      <text>
        <r>
          <rPr>
            <sz val="11"/>
            <color theme="1"/>
            <rFont val="Calibri"/>
            <family val="2"/>
            <scheme val="minor"/>
          </rPr>
          <t>Elegir el instructor de la lista</t>
        </r>
      </text>
    </comment>
    <comment ref="O206" authorId="0" shapeId="0" xr:uid="{00000000-0006-0000-0000-000048000000}">
      <text>
        <r>
          <rPr>
            <sz val="11"/>
            <color theme="1"/>
            <rFont val="Calibri"/>
            <family val="2"/>
            <scheme val="minor"/>
          </rPr>
          <t>Tipo de actividad (elegir de la lista)</t>
        </r>
      </text>
    </comment>
    <comment ref="M211" authorId="0" shapeId="0" xr:uid="{00000000-0006-0000-0000-000049000000}">
      <text>
        <r>
          <rPr>
            <sz val="11"/>
            <color theme="1"/>
            <rFont val="Calibri"/>
            <family val="2"/>
            <scheme val="minor"/>
          </rPr>
          <t>Elegir el instructor de la lista</t>
        </r>
      </text>
    </comment>
    <comment ref="O211" authorId="0" shapeId="0" xr:uid="{00000000-0006-0000-0000-00004A000000}">
      <text>
        <r>
          <rPr>
            <sz val="11"/>
            <color theme="1"/>
            <rFont val="Calibri"/>
            <family val="2"/>
            <scheme val="minor"/>
          </rPr>
          <t>Tipo de actividad (elegir de la lista)</t>
        </r>
      </text>
    </comment>
    <comment ref="M216" authorId="0" shapeId="0" xr:uid="{00000000-0006-0000-0000-00004B000000}">
      <text>
        <r>
          <rPr>
            <sz val="11"/>
            <color theme="1"/>
            <rFont val="Calibri"/>
            <family val="2"/>
            <scheme val="minor"/>
          </rPr>
          <t>Elegir el instructor de la lista</t>
        </r>
      </text>
    </comment>
    <comment ref="O216" authorId="0" shapeId="0" xr:uid="{00000000-0006-0000-0000-00004C000000}">
      <text>
        <r>
          <rPr>
            <sz val="11"/>
            <color theme="1"/>
            <rFont val="Calibri"/>
            <family val="2"/>
            <scheme val="minor"/>
          </rPr>
          <t>Tipo de actividad (elegir de la lista)</t>
        </r>
      </text>
    </comment>
    <comment ref="M221" authorId="0" shapeId="0" xr:uid="{00000000-0006-0000-0000-00004D000000}">
      <text>
        <r>
          <rPr>
            <sz val="11"/>
            <color theme="1"/>
            <rFont val="Calibri"/>
            <family val="2"/>
            <scheme val="minor"/>
          </rPr>
          <t>Elegir el instructor de la lista</t>
        </r>
      </text>
    </comment>
    <comment ref="O221" authorId="0" shapeId="0" xr:uid="{00000000-0006-0000-0000-00004E000000}">
      <text>
        <r>
          <rPr>
            <sz val="11"/>
            <color theme="1"/>
            <rFont val="Calibri"/>
            <family val="2"/>
            <scheme val="minor"/>
          </rPr>
          <t>Tipo de actividad (elegir de la lista)</t>
        </r>
      </text>
    </comment>
    <comment ref="M226" authorId="0" shapeId="0" xr:uid="{00000000-0006-0000-0000-00004F000000}">
      <text>
        <r>
          <rPr>
            <sz val="11"/>
            <color theme="1"/>
            <rFont val="Calibri"/>
            <family val="2"/>
            <scheme val="minor"/>
          </rPr>
          <t>Elegir el instructor de la lista</t>
        </r>
      </text>
    </comment>
    <comment ref="O226" authorId="0" shapeId="0" xr:uid="{00000000-0006-0000-0000-000050000000}">
      <text>
        <r>
          <rPr>
            <sz val="11"/>
            <color theme="1"/>
            <rFont val="Calibri"/>
            <family val="2"/>
            <scheme val="minor"/>
          </rPr>
          <t>Tipo de actividad (elegir de la lista)</t>
        </r>
      </text>
    </comment>
    <comment ref="M231" authorId="0" shapeId="0" xr:uid="{00000000-0006-0000-0000-000051000000}">
      <text>
        <r>
          <rPr>
            <sz val="11"/>
            <color theme="1"/>
            <rFont val="Calibri"/>
            <family val="2"/>
            <scheme val="minor"/>
          </rPr>
          <t>Elegir el instructor de la lista</t>
        </r>
      </text>
    </comment>
    <comment ref="O231" authorId="0" shapeId="0" xr:uid="{00000000-0006-0000-0000-000052000000}">
      <text>
        <r>
          <rPr>
            <sz val="11"/>
            <color theme="1"/>
            <rFont val="Calibri"/>
            <family val="2"/>
            <scheme val="minor"/>
          </rPr>
          <t>Tipo de actividad (elegir de la lista)</t>
        </r>
      </text>
    </comment>
    <comment ref="M236" authorId="0" shapeId="0" xr:uid="{00000000-0006-0000-0000-000053000000}">
      <text>
        <r>
          <rPr>
            <sz val="11"/>
            <color theme="1"/>
            <rFont val="Calibri"/>
            <family val="2"/>
            <scheme val="minor"/>
          </rPr>
          <t>Elegir el instructor de la lista</t>
        </r>
      </text>
    </comment>
    <comment ref="O236" authorId="0" shapeId="0" xr:uid="{00000000-0006-0000-0000-000054000000}">
      <text>
        <r>
          <rPr>
            <sz val="11"/>
            <color theme="1"/>
            <rFont val="Calibri"/>
            <family val="2"/>
            <scheme val="minor"/>
          </rPr>
          <t>Tipo de actividad (elegir de la lista)</t>
        </r>
      </text>
    </comment>
    <comment ref="M241" authorId="0" shapeId="0" xr:uid="{00000000-0006-0000-0000-000055000000}">
      <text>
        <r>
          <rPr>
            <sz val="11"/>
            <color theme="1"/>
            <rFont val="Calibri"/>
            <family val="2"/>
            <scheme val="minor"/>
          </rPr>
          <t>Elegir el instructor de la lista</t>
        </r>
      </text>
    </comment>
    <comment ref="O241" authorId="0" shapeId="0" xr:uid="{00000000-0006-0000-0000-000056000000}">
      <text>
        <r>
          <rPr>
            <sz val="11"/>
            <color theme="1"/>
            <rFont val="Calibri"/>
            <family val="2"/>
            <scheme val="minor"/>
          </rPr>
          <t>Tipo de actividad (elegir de la lista)</t>
        </r>
      </text>
    </comment>
    <comment ref="M246" authorId="0" shapeId="0" xr:uid="{00000000-0006-0000-0000-000057000000}">
      <text>
        <r>
          <rPr>
            <sz val="11"/>
            <color theme="1"/>
            <rFont val="Calibri"/>
            <family val="2"/>
            <scheme val="minor"/>
          </rPr>
          <t>Elegir el instructor de la lista</t>
        </r>
      </text>
    </comment>
    <comment ref="O246" authorId="0" shapeId="0" xr:uid="{00000000-0006-0000-0000-000058000000}">
      <text>
        <r>
          <rPr>
            <sz val="11"/>
            <color theme="1"/>
            <rFont val="Calibri"/>
            <family val="2"/>
            <scheme val="minor"/>
          </rPr>
          <t>Tipo de actividad (elegir de la lista)</t>
        </r>
      </text>
    </comment>
    <comment ref="M251" authorId="0" shapeId="0" xr:uid="{00000000-0006-0000-0000-000059000000}">
      <text>
        <r>
          <rPr>
            <sz val="11"/>
            <color theme="1"/>
            <rFont val="Calibri"/>
            <family val="2"/>
            <scheme val="minor"/>
          </rPr>
          <t>Elegir el instructor de la lista</t>
        </r>
      </text>
    </comment>
    <comment ref="O251" authorId="0" shapeId="0" xr:uid="{00000000-0006-0000-0000-00005A000000}">
      <text>
        <r>
          <rPr>
            <sz val="11"/>
            <color theme="1"/>
            <rFont val="Calibri"/>
            <family val="2"/>
            <scheme val="minor"/>
          </rPr>
          <t>Tipo de actividad (elegir de la lista)</t>
        </r>
      </text>
    </comment>
    <comment ref="M256" authorId="0" shapeId="0" xr:uid="{00000000-0006-0000-0000-00005B000000}">
      <text>
        <r>
          <rPr>
            <sz val="11"/>
            <color theme="1"/>
            <rFont val="Calibri"/>
            <family val="2"/>
            <scheme val="minor"/>
          </rPr>
          <t>Elegir el instructor de la lista</t>
        </r>
      </text>
    </comment>
    <comment ref="O256" authorId="0" shapeId="0" xr:uid="{00000000-0006-0000-0000-00005C000000}">
      <text>
        <r>
          <rPr>
            <sz val="11"/>
            <color theme="1"/>
            <rFont val="Calibri"/>
            <family val="2"/>
            <scheme val="minor"/>
          </rPr>
          <t>Tipo de actividad (elegir de la lista)</t>
        </r>
      </text>
    </comment>
    <comment ref="M261" authorId="0" shapeId="0" xr:uid="{00000000-0006-0000-0000-00005D000000}">
      <text>
        <r>
          <rPr>
            <sz val="11"/>
            <color theme="1"/>
            <rFont val="Calibri"/>
            <family val="2"/>
            <scheme val="minor"/>
          </rPr>
          <t>Elegir el instructor de la lista</t>
        </r>
      </text>
    </comment>
    <comment ref="O261" authorId="0" shapeId="0" xr:uid="{00000000-0006-0000-0000-00005E000000}">
      <text>
        <r>
          <rPr>
            <sz val="11"/>
            <color theme="1"/>
            <rFont val="Calibri"/>
            <family val="2"/>
            <scheme val="minor"/>
          </rPr>
          <t>Tipo de actividad (elegir de la lista)</t>
        </r>
      </text>
    </comment>
    <comment ref="M266" authorId="0" shapeId="0" xr:uid="{00000000-0006-0000-0000-00005F000000}">
      <text>
        <r>
          <rPr>
            <sz val="11"/>
            <color theme="1"/>
            <rFont val="Calibri"/>
            <family val="2"/>
            <scheme val="minor"/>
          </rPr>
          <t>Elegir el instructor de la lista</t>
        </r>
      </text>
    </comment>
    <comment ref="O266" authorId="0" shapeId="0" xr:uid="{00000000-0006-0000-0000-000060000000}">
      <text>
        <r>
          <rPr>
            <sz val="11"/>
            <color theme="1"/>
            <rFont val="Calibri"/>
            <family val="2"/>
            <scheme val="minor"/>
          </rPr>
          <t>Tipo de actividad (elegir de la lista)</t>
        </r>
      </text>
    </comment>
    <comment ref="M273" authorId="0" shapeId="0" xr:uid="{00000000-0006-0000-0000-000061000000}">
      <text>
        <r>
          <rPr>
            <sz val="11"/>
            <color theme="1"/>
            <rFont val="Calibri"/>
            <family val="2"/>
            <scheme val="minor"/>
          </rPr>
          <t>Elegir el instructor de la lista</t>
        </r>
      </text>
    </comment>
    <comment ref="O273" authorId="0" shapeId="0" xr:uid="{00000000-0006-0000-0000-000062000000}">
      <text>
        <r>
          <rPr>
            <sz val="11"/>
            <color theme="1"/>
            <rFont val="Calibri"/>
            <family val="2"/>
            <scheme val="minor"/>
          </rPr>
          <t>Tipo de actividad (elegir de la lista)</t>
        </r>
      </text>
    </comment>
    <comment ref="M278" authorId="0" shapeId="0" xr:uid="{00000000-0006-0000-0000-000063000000}">
      <text>
        <r>
          <rPr>
            <sz val="11"/>
            <color theme="1"/>
            <rFont val="Calibri"/>
            <family val="2"/>
            <scheme val="minor"/>
          </rPr>
          <t>Elegir el instructor de la lista</t>
        </r>
      </text>
    </comment>
    <comment ref="O278" authorId="0" shapeId="0" xr:uid="{00000000-0006-0000-0000-000064000000}">
      <text>
        <r>
          <rPr>
            <sz val="11"/>
            <color theme="1"/>
            <rFont val="Calibri"/>
            <family val="2"/>
            <scheme val="minor"/>
          </rPr>
          <t>Tipo de actividad (elegir de la lista)</t>
        </r>
      </text>
    </comment>
    <comment ref="M285" authorId="0" shapeId="0" xr:uid="{00000000-0006-0000-0000-000065000000}">
      <text>
        <r>
          <rPr>
            <sz val="11"/>
            <color theme="1"/>
            <rFont val="Calibri"/>
            <family val="2"/>
            <scheme val="minor"/>
          </rPr>
          <t>Elegir el instructor de la lista</t>
        </r>
      </text>
    </comment>
    <comment ref="O285" authorId="0" shapeId="0" xr:uid="{00000000-0006-0000-0000-000066000000}">
      <text>
        <r>
          <rPr>
            <sz val="11"/>
            <color theme="1"/>
            <rFont val="Calibri"/>
            <family val="2"/>
            <scheme val="minor"/>
          </rPr>
          <t>Tipo de actividad (elegir de la lista)</t>
        </r>
      </text>
    </comment>
    <comment ref="M290" authorId="0" shapeId="0" xr:uid="{00000000-0006-0000-0000-000067000000}">
      <text>
        <r>
          <rPr>
            <sz val="11"/>
            <color theme="1"/>
            <rFont val="Calibri"/>
            <family val="2"/>
            <scheme val="minor"/>
          </rPr>
          <t>Elegir el instructor de la lista</t>
        </r>
      </text>
    </comment>
    <comment ref="O290" authorId="0" shapeId="0" xr:uid="{00000000-0006-0000-0000-000068000000}">
      <text>
        <r>
          <rPr>
            <sz val="11"/>
            <color theme="1"/>
            <rFont val="Calibri"/>
            <family val="2"/>
            <scheme val="minor"/>
          </rPr>
          <t>Tipo de actividad (elegir de la lista)</t>
        </r>
      </text>
    </comment>
    <comment ref="M295" authorId="0" shapeId="0" xr:uid="{00000000-0006-0000-0000-000069000000}">
      <text>
        <r>
          <rPr>
            <sz val="11"/>
            <color theme="1"/>
            <rFont val="Calibri"/>
            <family val="2"/>
            <scheme val="minor"/>
          </rPr>
          <t>Elegir el instructor de la lista</t>
        </r>
      </text>
    </comment>
    <comment ref="O295" authorId="0" shapeId="0" xr:uid="{00000000-0006-0000-0000-00006A000000}">
      <text>
        <r>
          <rPr>
            <sz val="11"/>
            <color theme="1"/>
            <rFont val="Calibri"/>
            <family val="2"/>
            <scheme val="minor"/>
          </rPr>
          <t>Tipo de actividad (elegir de la lista)</t>
        </r>
      </text>
    </comment>
    <comment ref="M300" authorId="0" shapeId="0" xr:uid="{00000000-0006-0000-0000-00006B000000}">
      <text>
        <r>
          <rPr>
            <sz val="11"/>
            <color theme="1"/>
            <rFont val="Calibri"/>
            <family val="2"/>
            <scheme val="minor"/>
          </rPr>
          <t>Elegir el instructor de la lista</t>
        </r>
      </text>
    </comment>
    <comment ref="O300" authorId="0" shapeId="0" xr:uid="{00000000-0006-0000-0000-00006C000000}">
      <text>
        <r>
          <rPr>
            <sz val="11"/>
            <color theme="1"/>
            <rFont val="Calibri"/>
            <family val="2"/>
            <scheme val="minor"/>
          </rPr>
          <t>Tipo de actividad (elegir de la lista)</t>
        </r>
      </text>
    </comment>
    <comment ref="M305" authorId="0" shapeId="0" xr:uid="{00000000-0006-0000-0000-00006D000000}">
      <text>
        <r>
          <rPr>
            <sz val="11"/>
            <color theme="1"/>
            <rFont val="Calibri"/>
            <family val="2"/>
            <scheme val="minor"/>
          </rPr>
          <t>Elegir el instructor de la lista</t>
        </r>
      </text>
    </comment>
    <comment ref="O305" authorId="0" shapeId="0" xr:uid="{00000000-0006-0000-0000-00006E000000}">
      <text>
        <r>
          <rPr>
            <sz val="11"/>
            <color theme="1"/>
            <rFont val="Calibri"/>
            <family val="2"/>
            <scheme val="minor"/>
          </rPr>
          <t>Tipo de actividad (elegir de la lista)</t>
        </r>
      </text>
    </comment>
    <comment ref="M310" authorId="0" shapeId="0" xr:uid="{00000000-0006-0000-0000-00006F000000}">
      <text>
        <r>
          <rPr>
            <sz val="11"/>
            <color theme="1"/>
            <rFont val="Calibri"/>
            <family val="2"/>
            <scheme val="minor"/>
          </rPr>
          <t>Elegir el instructor de la lista</t>
        </r>
      </text>
    </comment>
    <comment ref="O310" authorId="0" shapeId="0" xr:uid="{00000000-0006-0000-0000-000070000000}">
      <text>
        <r>
          <rPr>
            <sz val="11"/>
            <color theme="1"/>
            <rFont val="Calibri"/>
            <family val="2"/>
            <scheme val="minor"/>
          </rPr>
          <t>Tipo de actividad (elegir de la lista)</t>
        </r>
      </text>
    </comment>
    <comment ref="M315" authorId="0" shapeId="0" xr:uid="{00000000-0006-0000-0000-000071000000}">
      <text>
        <r>
          <rPr>
            <sz val="11"/>
            <color theme="1"/>
            <rFont val="Calibri"/>
            <family val="2"/>
            <scheme val="minor"/>
          </rPr>
          <t>Elegir el instructor de la lista</t>
        </r>
      </text>
    </comment>
    <comment ref="O315" authorId="0" shapeId="0" xr:uid="{00000000-0006-0000-0000-000072000000}">
      <text>
        <r>
          <rPr>
            <sz val="11"/>
            <color theme="1"/>
            <rFont val="Calibri"/>
            <family val="2"/>
            <scheme val="minor"/>
          </rPr>
          <t>Tipo de actividad (elegir de la lista)</t>
        </r>
      </text>
    </comment>
    <comment ref="M320" authorId="0" shapeId="0" xr:uid="{00000000-0006-0000-0000-000073000000}">
      <text>
        <r>
          <rPr>
            <sz val="11"/>
            <color theme="1"/>
            <rFont val="Calibri"/>
            <family val="2"/>
            <scheme val="minor"/>
          </rPr>
          <t>Elegir el instructor de la lista</t>
        </r>
      </text>
    </comment>
    <comment ref="O320" authorId="0" shapeId="0" xr:uid="{00000000-0006-0000-0000-000074000000}">
      <text>
        <r>
          <rPr>
            <sz val="11"/>
            <color theme="1"/>
            <rFont val="Calibri"/>
            <family val="2"/>
            <scheme val="minor"/>
          </rPr>
          <t>Tipo de actividad (elegir de la lista)</t>
        </r>
      </text>
    </comment>
    <comment ref="M325" authorId="0" shapeId="0" xr:uid="{00000000-0006-0000-0000-000075000000}">
      <text>
        <r>
          <rPr>
            <sz val="11"/>
            <color theme="1"/>
            <rFont val="Calibri"/>
            <family val="2"/>
            <scheme val="minor"/>
          </rPr>
          <t>Elegir el instructor de la lista</t>
        </r>
      </text>
    </comment>
    <comment ref="O325" authorId="0" shapeId="0" xr:uid="{00000000-0006-0000-0000-000076000000}">
      <text>
        <r>
          <rPr>
            <sz val="11"/>
            <color theme="1"/>
            <rFont val="Calibri"/>
            <family val="2"/>
            <scheme val="minor"/>
          </rPr>
          <t>Tipo de actividad (elegir de la lista)</t>
        </r>
      </text>
    </comment>
    <comment ref="M330" authorId="0" shapeId="0" xr:uid="{00000000-0006-0000-0000-000077000000}">
      <text>
        <r>
          <rPr>
            <sz val="11"/>
            <color theme="1"/>
            <rFont val="Calibri"/>
            <family val="2"/>
            <scheme val="minor"/>
          </rPr>
          <t>Elegir el instructor de la lista</t>
        </r>
      </text>
    </comment>
    <comment ref="O330" authorId="0" shapeId="0" xr:uid="{00000000-0006-0000-0000-000078000000}">
      <text>
        <r>
          <rPr>
            <sz val="11"/>
            <color theme="1"/>
            <rFont val="Calibri"/>
            <family val="2"/>
            <scheme val="minor"/>
          </rPr>
          <t>Tipo de actividad (elegir de la lista)</t>
        </r>
      </text>
    </comment>
    <comment ref="M335" authorId="0" shapeId="0" xr:uid="{00000000-0006-0000-0000-000079000000}">
      <text>
        <r>
          <rPr>
            <sz val="11"/>
            <color theme="1"/>
            <rFont val="Calibri"/>
            <family val="2"/>
            <scheme val="minor"/>
          </rPr>
          <t>Elegir el instructor de la lista</t>
        </r>
      </text>
    </comment>
    <comment ref="O335" authorId="0" shapeId="0" xr:uid="{00000000-0006-0000-0000-00007A000000}">
      <text>
        <r>
          <rPr>
            <sz val="11"/>
            <color theme="1"/>
            <rFont val="Calibri"/>
            <family val="2"/>
            <scheme val="minor"/>
          </rPr>
          <t>Tipo de actividad (elegir de la lista)</t>
        </r>
      </text>
    </comment>
    <comment ref="M340" authorId="0" shapeId="0" xr:uid="{00000000-0006-0000-0000-00007B000000}">
      <text>
        <r>
          <rPr>
            <sz val="11"/>
            <color theme="1"/>
            <rFont val="Calibri"/>
            <family val="2"/>
            <scheme val="minor"/>
          </rPr>
          <t>Elegir el instructor de la lista</t>
        </r>
      </text>
    </comment>
    <comment ref="O340" authorId="0" shapeId="0" xr:uid="{00000000-0006-0000-0000-00007C000000}">
      <text>
        <r>
          <rPr>
            <sz val="11"/>
            <color theme="1"/>
            <rFont val="Calibri"/>
            <family val="2"/>
            <scheme val="minor"/>
          </rPr>
          <t>Tipo de actividad (elegir de la lista)</t>
        </r>
      </text>
    </comment>
    <comment ref="M347" authorId="0" shapeId="0" xr:uid="{00000000-0006-0000-0000-00007D000000}">
      <text>
        <r>
          <rPr>
            <sz val="11"/>
            <color theme="1"/>
            <rFont val="Calibri"/>
            <family val="2"/>
            <scheme val="minor"/>
          </rPr>
          <t>Elegir el instructor de la lista</t>
        </r>
      </text>
    </comment>
    <comment ref="O347" authorId="0" shapeId="0" xr:uid="{00000000-0006-0000-0000-00007E000000}">
      <text>
        <r>
          <rPr>
            <sz val="11"/>
            <color theme="1"/>
            <rFont val="Calibri"/>
            <family val="2"/>
            <scheme val="minor"/>
          </rPr>
          <t>Tipo de actividad (elegir de la lista)</t>
        </r>
      </text>
    </comment>
    <comment ref="M354" authorId="0" shapeId="0" xr:uid="{00000000-0006-0000-0000-00007F000000}">
      <text>
        <r>
          <rPr>
            <sz val="11"/>
            <color theme="1"/>
            <rFont val="Calibri"/>
            <family val="2"/>
            <scheme val="minor"/>
          </rPr>
          <t>Elegir el instructor de la lista</t>
        </r>
      </text>
    </comment>
    <comment ref="O354" authorId="0" shapeId="0" xr:uid="{00000000-0006-0000-0000-000080000000}">
      <text>
        <r>
          <rPr>
            <sz val="11"/>
            <color theme="1"/>
            <rFont val="Calibri"/>
            <family val="2"/>
            <scheme val="minor"/>
          </rPr>
          <t>Tipo de actividad (elegir de la lista)</t>
        </r>
      </text>
    </comment>
    <comment ref="M361" authorId="0" shapeId="0" xr:uid="{00000000-0006-0000-0000-000081000000}">
      <text>
        <r>
          <rPr>
            <sz val="11"/>
            <color theme="1"/>
            <rFont val="Calibri"/>
            <family val="2"/>
            <scheme val="minor"/>
          </rPr>
          <t>Elegir el instructor de la lista</t>
        </r>
      </text>
    </comment>
    <comment ref="O361" authorId="0" shapeId="0" xr:uid="{00000000-0006-0000-0000-000082000000}">
      <text>
        <r>
          <rPr>
            <sz val="11"/>
            <color theme="1"/>
            <rFont val="Calibri"/>
            <family val="2"/>
            <scheme val="minor"/>
          </rPr>
          <t>Tipo de actividad (elegir de la lista)</t>
        </r>
      </text>
    </comment>
    <comment ref="M366" authorId="0" shapeId="0" xr:uid="{00000000-0006-0000-0000-000083000000}">
      <text>
        <r>
          <rPr>
            <sz val="11"/>
            <color theme="1"/>
            <rFont val="Calibri"/>
            <family val="2"/>
            <scheme val="minor"/>
          </rPr>
          <t>Elegir el instructor de la lista</t>
        </r>
      </text>
    </comment>
    <comment ref="O366" authorId="0" shapeId="0" xr:uid="{00000000-0006-0000-0000-000084000000}">
      <text>
        <r>
          <rPr>
            <sz val="11"/>
            <color theme="1"/>
            <rFont val="Calibri"/>
            <family val="2"/>
            <scheme val="minor"/>
          </rPr>
          <t>Tipo de actividad (elegir de la lista)</t>
        </r>
      </text>
    </comment>
    <comment ref="M371" authorId="0" shapeId="0" xr:uid="{00000000-0006-0000-0000-000085000000}">
      <text>
        <r>
          <rPr>
            <sz val="11"/>
            <color theme="1"/>
            <rFont val="Calibri"/>
            <family val="2"/>
            <scheme val="minor"/>
          </rPr>
          <t>Elegir el instructor de la lista</t>
        </r>
      </text>
    </comment>
    <comment ref="O371" authorId="0" shapeId="0" xr:uid="{00000000-0006-0000-0000-000086000000}">
      <text>
        <r>
          <rPr>
            <sz val="11"/>
            <color theme="1"/>
            <rFont val="Calibri"/>
            <family val="2"/>
            <scheme val="minor"/>
          </rPr>
          <t>Tipo de actividad (elegir de la lista)</t>
        </r>
      </text>
    </comment>
    <comment ref="M376" authorId="0" shapeId="0" xr:uid="{00000000-0006-0000-0000-000087000000}">
      <text>
        <r>
          <rPr>
            <sz val="11"/>
            <color theme="1"/>
            <rFont val="Calibri"/>
            <family val="2"/>
            <scheme val="minor"/>
          </rPr>
          <t>Elegir el instructor de la lista</t>
        </r>
      </text>
    </comment>
    <comment ref="O376" authorId="0" shapeId="0" xr:uid="{00000000-0006-0000-0000-000088000000}">
      <text>
        <r>
          <rPr>
            <sz val="11"/>
            <color theme="1"/>
            <rFont val="Calibri"/>
            <family val="2"/>
            <scheme val="minor"/>
          </rPr>
          <t>Tipo de actividad (elegir de la lista)</t>
        </r>
      </text>
    </comment>
    <comment ref="M381" authorId="0" shapeId="0" xr:uid="{00000000-0006-0000-0000-000089000000}">
      <text>
        <r>
          <rPr>
            <sz val="11"/>
            <color theme="1"/>
            <rFont val="Calibri"/>
            <family val="2"/>
            <scheme val="minor"/>
          </rPr>
          <t>Elegir el instructor de la lista</t>
        </r>
      </text>
    </comment>
    <comment ref="O381" authorId="0" shapeId="0" xr:uid="{00000000-0006-0000-0000-00008A000000}">
      <text>
        <r>
          <rPr>
            <sz val="11"/>
            <color theme="1"/>
            <rFont val="Calibri"/>
            <family val="2"/>
            <scheme val="minor"/>
          </rPr>
          <t>Tipo de actividad (elegir de la lista)</t>
        </r>
      </text>
    </comment>
    <comment ref="M386" authorId="0" shapeId="0" xr:uid="{00000000-0006-0000-0000-00008B000000}">
      <text>
        <r>
          <rPr>
            <sz val="11"/>
            <color theme="1"/>
            <rFont val="Calibri"/>
            <family val="2"/>
            <scheme val="minor"/>
          </rPr>
          <t>Elegir el instructor de la lista</t>
        </r>
      </text>
    </comment>
    <comment ref="O386" authorId="0" shapeId="0" xr:uid="{00000000-0006-0000-0000-00008C000000}">
      <text>
        <r>
          <rPr>
            <sz val="11"/>
            <color theme="1"/>
            <rFont val="Calibri"/>
            <family val="2"/>
            <scheme val="minor"/>
          </rPr>
          <t>Tipo de actividad (elegir de la lista)</t>
        </r>
      </text>
    </comment>
    <comment ref="M391" authorId="0" shapeId="0" xr:uid="{00000000-0006-0000-0000-00008D000000}">
      <text>
        <r>
          <rPr>
            <sz val="11"/>
            <color theme="1"/>
            <rFont val="Calibri"/>
            <family val="2"/>
            <scheme val="minor"/>
          </rPr>
          <t>Elegir el instructor de la lista</t>
        </r>
      </text>
    </comment>
    <comment ref="O391" authorId="0" shapeId="0" xr:uid="{00000000-0006-0000-0000-00008E000000}">
      <text>
        <r>
          <rPr>
            <sz val="11"/>
            <color theme="1"/>
            <rFont val="Calibri"/>
            <family val="2"/>
            <scheme val="minor"/>
          </rPr>
          <t>Tipo de actividad (elegir de la lista)</t>
        </r>
      </text>
    </comment>
    <comment ref="M396" authorId="0" shapeId="0" xr:uid="{00000000-0006-0000-0000-00008F000000}">
      <text>
        <r>
          <rPr>
            <sz val="11"/>
            <color theme="1"/>
            <rFont val="Calibri"/>
            <family val="2"/>
            <scheme val="minor"/>
          </rPr>
          <t>Elegir el instructor de la lista</t>
        </r>
      </text>
    </comment>
    <comment ref="O396" authorId="0" shapeId="0" xr:uid="{00000000-0006-0000-0000-000090000000}">
      <text>
        <r>
          <rPr>
            <sz val="11"/>
            <color theme="1"/>
            <rFont val="Calibri"/>
            <family val="2"/>
            <scheme val="minor"/>
          </rPr>
          <t>Tipo de actividad (elegir de la lista)</t>
        </r>
      </text>
    </comment>
    <comment ref="M401" authorId="0" shapeId="0" xr:uid="{00000000-0006-0000-0000-000091000000}">
      <text>
        <r>
          <rPr>
            <sz val="11"/>
            <color theme="1"/>
            <rFont val="Calibri"/>
            <family val="2"/>
            <scheme val="minor"/>
          </rPr>
          <t>Elegir el instructor de la lista</t>
        </r>
      </text>
    </comment>
    <comment ref="O401" authorId="0" shapeId="0" xr:uid="{00000000-0006-0000-0000-000092000000}">
      <text>
        <r>
          <rPr>
            <sz val="11"/>
            <color theme="1"/>
            <rFont val="Calibri"/>
            <family val="2"/>
            <scheme val="minor"/>
          </rPr>
          <t>Tipo de actividad (elegir de la lista)</t>
        </r>
      </text>
    </comment>
    <comment ref="M406" authorId="0" shapeId="0" xr:uid="{00000000-0006-0000-0000-000093000000}">
      <text>
        <r>
          <rPr>
            <sz val="11"/>
            <color theme="1"/>
            <rFont val="Calibri"/>
            <family val="2"/>
            <scheme val="minor"/>
          </rPr>
          <t>Elegir el instructor de la lista</t>
        </r>
      </text>
    </comment>
    <comment ref="O406" authorId="0" shapeId="0" xr:uid="{00000000-0006-0000-0000-000094000000}">
      <text>
        <r>
          <rPr>
            <sz val="11"/>
            <color theme="1"/>
            <rFont val="Calibri"/>
            <family val="2"/>
            <scheme val="minor"/>
          </rPr>
          <t>Tipo de actividad (elegir de la lista)</t>
        </r>
      </text>
    </comment>
    <comment ref="M411" authorId="0" shapeId="0" xr:uid="{00000000-0006-0000-0000-000095000000}">
      <text>
        <r>
          <rPr>
            <sz val="11"/>
            <color theme="1"/>
            <rFont val="Calibri"/>
            <family val="2"/>
            <scheme val="minor"/>
          </rPr>
          <t>Elegir el instructor de la lista</t>
        </r>
      </text>
    </comment>
    <comment ref="O411" authorId="0" shapeId="0" xr:uid="{00000000-0006-0000-0000-000096000000}">
      <text>
        <r>
          <rPr>
            <sz val="11"/>
            <color theme="1"/>
            <rFont val="Calibri"/>
            <family val="2"/>
            <scheme val="minor"/>
          </rPr>
          <t>Tipo de actividad (elegir de la lista)</t>
        </r>
      </text>
    </comment>
    <comment ref="M416" authorId="0" shapeId="0" xr:uid="{00000000-0006-0000-0000-000097000000}">
      <text>
        <r>
          <rPr>
            <sz val="11"/>
            <color theme="1"/>
            <rFont val="Calibri"/>
            <family val="2"/>
            <scheme val="minor"/>
          </rPr>
          <t>Elegir el instructor de la lista</t>
        </r>
      </text>
    </comment>
    <comment ref="O416" authorId="0" shapeId="0" xr:uid="{00000000-0006-0000-0000-000098000000}">
      <text>
        <r>
          <rPr>
            <sz val="11"/>
            <color theme="1"/>
            <rFont val="Calibri"/>
            <family val="2"/>
            <scheme val="minor"/>
          </rPr>
          <t>Tipo de actividad (elegir de la lista)</t>
        </r>
      </text>
    </comment>
    <comment ref="M421" authorId="0" shapeId="0" xr:uid="{00000000-0006-0000-0000-000099000000}">
      <text>
        <r>
          <rPr>
            <sz val="11"/>
            <color theme="1"/>
            <rFont val="Calibri"/>
            <family val="2"/>
            <scheme val="minor"/>
          </rPr>
          <t>Elegir el instructor de la lista</t>
        </r>
      </text>
    </comment>
    <comment ref="O421" authorId="0" shapeId="0" xr:uid="{00000000-0006-0000-0000-00009A000000}">
      <text>
        <r>
          <rPr>
            <sz val="11"/>
            <color theme="1"/>
            <rFont val="Calibri"/>
            <family val="2"/>
            <scheme val="minor"/>
          </rPr>
          <t>Tipo de actividad (elegir de la lista)</t>
        </r>
      </text>
    </comment>
    <comment ref="M426" authorId="0" shapeId="0" xr:uid="{00000000-0006-0000-0000-00009B000000}">
      <text>
        <r>
          <rPr>
            <sz val="11"/>
            <color theme="1"/>
            <rFont val="Calibri"/>
            <family val="2"/>
            <scheme val="minor"/>
          </rPr>
          <t>Elegir el instructor de la lista</t>
        </r>
      </text>
    </comment>
    <comment ref="O426" authorId="0" shapeId="0" xr:uid="{00000000-0006-0000-0000-00009C000000}">
      <text>
        <r>
          <rPr>
            <sz val="11"/>
            <color theme="1"/>
            <rFont val="Calibri"/>
            <family val="2"/>
            <scheme val="minor"/>
          </rPr>
          <t>Tipo de actividad (elegir de la lista)</t>
        </r>
      </text>
    </comment>
    <comment ref="M431" authorId="0" shapeId="0" xr:uid="{00000000-0006-0000-0000-00009D000000}">
      <text>
        <r>
          <rPr>
            <sz val="11"/>
            <color theme="1"/>
            <rFont val="Calibri"/>
            <family val="2"/>
            <scheme val="minor"/>
          </rPr>
          <t>Elegir el instructor de la lista</t>
        </r>
      </text>
    </comment>
    <comment ref="O431" authorId="0" shapeId="0" xr:uid="{00000000-0006-0000-0000-00009E000000}">
      <text>
        <r>
          <rPr>
            <sz val="11"/>
            <color theme="1"/>
            <rFont val="Calibri"/>
            <family val="2"/>
            <scheme val="minor"/>
          </rPr>
          <t>Tipo de actividad (elegir de la lista)</t>
        </r>
      </text>
    </comment>
    <comment ref="M438" authorId="0" shapeId="0" xr:uid="{00000000-0006-0000-0000-00009F000000}">
      <text>
        <r>
          <rPr>
            <sz val="11"/>
            <color theme="1"/>
            <rFont val="Calibri"/>
            <family val="2"/>
            <scheme val="minor"/>
          </rPr>
          <t>Elegir el instructor de la lista</t>
        </r>
      </text>
    </comment>
    <comment ref="O438" authorId="0" shapeId="0" xr:uid="{00000000-0006-0000-0000-0000A0000000}">
      <text>
        <r>
          <rPr>
            <sz val="11"/>
            <color theme="1"/>
            <rFont val="Calibri"/>
            <family val="2"/>
            <scheme val="minor"/>
          </rPr>
          <t>Tipo de actividad (elegir de la lista)</t>
        </r>
      </text>
    </comment>
    <comment ref="M445" authorId="0" shapeId="0" xr:uid="{00000000-0006-0000-0000-0000A1000000}">
      <text>
        <r>
          <rPr>
            <sz val="11"/>
            <color theme="1"/>
            <rFont val="Calibri"/>
            <family val="2"/>
            <scheme val="minor"/>
          </rPr>
          <t>Elegir el instructor de la lista</t>
        </r>
      </text>
    </comment>
    <comment ref="O445" authorId="0" shapeId="0" xr:uid="{00000000-0006-0000-0000-0000A2000000}">
      <text>
        <r>
          <rPr>
            <sz val="11"/>
            <color theme="1"/>
            <rFont val="Calibri"/>
            <family val="2"/>
            <scheme val="minor"/>
          </rPr>
          <t>Tipo de actividad (elegir de la lista)</t>
        </r>
      </text>
    </comment>
    <comment ref="M452" authorId="0" shapeId="0" xr:uid="{00000000-0006-0000-0000-0000A3000000}">
      <text>
        <r>
          <rPr>
            <sz val="11"/>
            <color theme="1"/>
            <rFont val="Calibri"/>
            <family val="2"/>
            <scheme val="minor"/>
          </rPr>
          <t>Elegir el instructor de la lista</t>
        </r>
      </text>
    </comment>
    <comment ref="O452" authorId="0" shapeId="0" xr:uid="{00000000-0006-0000-0000-0000A4000000}">
      <text>
        <r>
          <rPr>
            <sz val="11"/>
            <color theme="1"/>
            <rFont val="Calibri"/>
            <family val="2"/>
            <scheme val="minor"/>
          </rPr>
          <t>Tipo de actividad (elegir de la lista)</t>
        </r>
      </text>
    </comment>
    <comment ref="M457" authorId="0" shapeId="0" xr:uid="{00000000-0006-0000-0000-0000A5000000}">
      <text>
        <r>
          <rPr>
            <sz val="11"/>
            <color theme="1"/>
            <rFont val="Calibri"/>
            <family val="2"/>
            <scheme val="minor"/>
          </rPr>
          <t>Elegir el instructor de la lista</t>
        </r>
      </text>
    </comment>
    <comment ref="O457" authorId="0" shapeId="0" xr:uid="{00000000-0006-0000-0000-0000A6000000}">
      <text>
        <r>
          <rPr>
            <sz val="11"/>
            <color theme="1"/>
            <rFont val="Calibri"/>
            <family val="2"/>
            <scheme val="minor"/>
          </rPr>
          <t>Tipo de actividad (elegir de la lista)</t>
        </r>
      </text>
    </comment>
    <comment ref="M464" authorId="0" shapeId="0" xr:uid="{00000000-0006-0000-0000-0000A7000000}">
      <text>
        <r>
          <rPr>
            <sz val="11"/>
            <color theme="1"/>
            <rFont val="Calibri"/>
            <family val="2"/>
            <scheme val="minor"/>
          </rPr>
          <t>Elegir el instructor de la lista</t>
        </r>
      </text>
    </comment>
    <comment ref="O464" authorId="0" shapeId="0" xr:uid="{00000000-0006-0000-0000-0000A8000000}">
      <text>
        <r>
          <rPr>
            <sz val="11"/>
            <color theme="1"/>
            <rFont val="Calibri"/>
            <family val="2"/>
            <scheme val="minor"/>
          </rPr>
          <t>Tipo de actividad (elegir de la lista)</t>
        </r>
      </text>
    </comment>
    <comment ref="M471" authorId="0" shapeId="0" xr:uid="{00000000-0006-0000-0000-0000A9000000}">
      <text>
        <r>
          <rPr>
            <sz val="11"/>
            <color theme="1"/>
            <rFont val="Calibri"/>
            <family val="2"/>
            <scheme val="minor"/>
          </rPr>
          <t>Elegir el instructor de la lista</t>
        </r>
      </text>
    </comment>
    <comment ref="O471" authorId="0" shapeId="0" xr:uid="{00000000-0006-0000-0000-0000AA000000}">
      <text>
        <r>
          <rPr>
            <sz val="11"/>
            <color theme="1"/>
            <rFont val="Calibri"/>
            <family val="2"/>
            <scheme val="minor"/>
          </rPr>
          <t>Tipo de actividad (elegir de la lista)</t>
        </r>
      </text>
    </comment>
    <comment ref="M478" authorId="0" shapeId="0" xr:uid="{00000000-0006-0000-0000-0000AB000000}">
      <text>
        <r>
          <rPr>
            <sz val="11"/>
            <color theme="1"/>
            <rFont val="Calibri"/>
            <family val="2"/>
            <scheme val="minor"/>
          </rPr>
          <t>Elegir el instructor de la lista</t>
        </r>
      </text>
    </comment>
    <comment ref="O478" authorId="0" shapeId="0" xr:uid="{00000000-0006-0000-0000-0000AC000000}">
      <text>
        <r>
          <rPr>
            <sz val="11"/>
            <color theme="1"/>
            <rFont val="Calibri"/>
            <family val="2"/>
            <scheme val="minor"/>
          </rPr>
          <t>Tipo de actividad (elegir de la lista)</t>
        </r>
      </text>
    </comment>
    <comment ref="M483" authorId="0" shapeId="0" xr:uid="{00000000-0006-0000-0000-0000AD000000}">
      <text>
        <r>
          <rPr>
            <sz val="11"/>
            <color theme="1"/>
            <rFont val="Calibri"/>
            <family val="2"/>
            <scheme val="minor"/>
          </rPr>
          <t>Elegir el instructor de la lista</t>
        </r>
      </text>
    </comment>
    <comment ref="O483" authorId="0" shapeId="0" xr:uid="{00000000-0006-0000-0000-0000AE000000}">
      <text>
        <r>
          <rPr>
            <sz val="11"/>
            <color theme="1"/>
            <rFont val="Calibri"/>
            <family val="2"/>
            <scheme val="minor"/>
          </rPr>
          <t>Tipo de actividad (elegir de la lista)</t>
        </r>
      </text>
    </comment>
    <comment ref="M488" authorId="0" shapeId="0" xr:uid="{00000000-0006-0000-0000-0000AF000000}">
      <text>
        <r>
          <rPr>
            <sz val="11"/>
            <color theme="1"/>
            <rFont val="Calibri"/>
            <family val="2"/>
            <scheme val="minor"/>
          </rPr>
          <t>Elegir el instructor de la lista</t>
        </r>
      </text>
    </comment>
    <comment ref="O488" authorId="0" shapeId="0" xr:uid="{00000000-0006-0000-0000-0000B0000000}">
      <text>
        <r>
          <rPr>
            <sz val="11"/>
            <color theme="1"/>
            <rFont val="Calibri"/>
            <family val="2"/>
            <scheme val="minor"/>
          </rPr>
          <t>Tipo de actividad (elegir de la lista)</t>
        </r>
      </text>
    </comment>
    <comment ref="M493" authorId="0" shapeId="0" xr:uid="{00000000-0006-0000-0000-0000B1000000}">
      <text>
        <r>
          <rPr>
            <sz val="11"/>
            <color theme="1"/>
            <rFont val="Calibri"/>
            <family val="2"/>
            <scheme val="minor"/>
          </rPr>
          <t>Elegir el instructor de la lista</t>
        </r>
      </text>
    </comment>
    <comment ref="O493" authorId="0" shapeId="0" xr:uid="{00000000-0006-0000-0000-0000B2000000}">
      <text>
        <r>
          <rPr>
            <sz val="11"/>
            <color theme="1"/>
            <rFont val="Calibri"/>
            <family val="2"/>
            <scheme val="minor"/>
          </rPr>
          <t>Tipo de actividad (elegir de la lista)</t>
        </r>
      </text>
    </comment>
    <comment ref="M498" authorId="0" shapeId="0" xr:uid="{00000000-0006-0000-0000-0000B3000000}">
      <text>
        <r>
          <rPr>
            <sz val="11"/>
            <color theme="1"/>
            <rFont val="Calibri"/>
            <family val="2"/>
            <scheme val="minor"/>
          </rPr>
          <t>Elegir el instructor de la lista</t>
        </r>
      </text>
    </comment>
    <comment ref="O498" authorId="0" shapeId="0" xr:uid="{00000000-0006-0000-0000-0000B4000000}">
      <text>
        <r>
          <rPr>
            <sz val="11"/>
            <color theme="1"/>
            <rFont val="Calibri"/>
            <family val="2"/>
            <scheme val="minor"/>
          </rPr>
          <t>Tipo de actividad (elegir de la lista)</t>
        </r>
      </text>
    </comment>
    <comment ref="M503" authorId="0" shapeId="0" xr:uid="{00000000-0006-0000-0000-0000B5000000}">
      <text>
        <r>
          <rPr>
            <sz val="11"/>
            <color theme="1"/>
            <rFont val="Calibri"/>
            <family val="2"/>
            <scheme val="minor"/>
          </rPr>
          <t>Elegir el instructor de la lista</t>
        </r>
      </text>
    </comment>
    <comment ref="O503" authorId="0" shapeId="0" xr:uid="{00000000-0006-0000-0000-0000B6000000}">
      <text>
        <r>
          <rPr>
            <sz val="11"/>
            <color theme="1"/>
            <rFont val="Calibri"/>
            <family val="2"/>
            <scheme val="minor"/>
          </rPr>
          <t>Tipo de actividad (elegir de la lista)</t>
        </r>
      </text>
    </comment>
    <comment ref="M508" authorId="0" shapeId="0" xr:uid="{00000000-0006-0000-0000-0000B7000000}">
      <text>
        <r>
          <rPr>
            <sz val="11"/>
            <color theme="1"/>
            <rFont val="Calibri"/>
            <family val="2"/>
            <scheme val="minor"/>
          </rPr>
          <t>Elegir el instructor de la lista</t>
        </r>
      </text>
    </comment>
    <comment ref="O508" authorId="0" shapeId="0" xr:uid="{00000000-0006-0000-0000-0000B8000000}">
      <text>
        <r>
          <rPr>
            <sz val="11"/>
            <color theme="1"/>
            <rFont val="Calibri"/>
            <family val="2"/>
            <scheme val="minor"/>
          </rPr>
          <t>Tipo de actividad (elegir de la lista)</t>
        </r>
      </text>
    </comment>
    <comment ref="M513" authorId="0" shapeId="0" xr:uid="{00000000-0006-0000-0000-0000B9000000}">
      <text>
        <r>
          <rPr>
            <sz val="11"/>
            <color theme="1"/>
            <rFont val="Calibri"/>
            <family val="2"/>
            <scheme val="minor"/>
          </rPr>
          <t>Elegir el instructor de la lista</t>
        </r>
      </text>
    </comment>
    <comment ref="O513" authorId="0" shapeId="0" xr:uid="{00000000-0006-0000-0000-0000BA000000}">
      <text>
        <r>
          <rPr>
            <sz val="11"/>
            <color theme="1"/>
            <rFont val="Calibri"/>
            <family val="2"/>
            <scheme val="minor"/>
          </rPr>
          <t>Tipo de actividad (elegir de la lista)</t>
        </r>
      </text>
    </comment>
    <comment ref="M518" authorId="0" shapeId="0" xr:uid="{00000000-0006-0000-0000-0000BB000000}">
      <text>
        <r>
          <rPr>
            <sz val="11"/>
            <color theme="1"/>
            <rFont val="Calibri"/>
            <family val="2"/>
            <scheme val="minor"/>
          </rPr>
          <t>Elegir el instructor de la lista</t>
        </r>
      </text>
    </comment>
    <comment ref="O518" authorId="0" shapeId="0" xr:uid="{00000000-0006-0000-0000-0000BC000000}">
      <text>
        <r>
          <rPr>
            <sz val="11"/>
            <color theme="1"/>
            <rFont val="Calibri"/>
            <family val="2"/>
            <scheme val="minor"/>
          </rPr>
          <t>Tipo de actividad (elegir de la lista)</t>
        </r>
      </text>
    </comment>
    <comment ref="M525" authorId="0" shapeId="0" xr:uid="{00000000-0006-0000-0000-0000BD000000}">
      <text>
        <r>
          <rPr>
            <sz val="11"/>
            <color theme="1"/>
            <rFont val="Calibri"/>
            <family val="2"/>
            <scheme val="minor"/>
          </rPr>
          <t>Elegir el instructor de la lista</t>
        </r>
      </text>
    </comment>
    <comment ref="O525" authorId="0" shapeId="0" xr:uid="{00000000-0006-0000-0000-0000BE000000}">
      <text>
        <r>
          <rPr>
            <sz val="11"/>
            <color theme="1"/>
            <rFont val="Calibri"/>
            <family val="2"/>
            <scheme val="minor"/>
          </rPr>
          <t>Tipo de actividad (elegir de la lista)</t>
        </r>
      </text>
    </comment>
    <comment ref="M532" authorId="0" shapeId="0" xr:uid="{00000000-0006-0000-0000-0000BF000000}">
      <text>
        <r>
          <rPr>
            <sz val="11"/>
            <color theme="1"/>
            <rFont val="Calibri"/>
            <family val="2"/>
            <scheme val="minor"/>
          </rPr>
          <t>Elegir el instructor de la lista</t>
        </r>
      </text>
    </comment>
    <comment ref="O532" authorId="0" shapeId="0" xr:uid="{00000000-0006-0000-0000-0000C0000000}">
      <text>
        <r>
          <rPr>
            <sz val="11"/>
            <color theme="1"/>
            <rFont val="Calibri"/>
            <family val="2"/>
            <scheme val="minor"/>
          </rPr>
          <t>Tipo de actividad (elegir de la lista)</t>
        </r>
      </text>
    </comment>
    <comment ref="M537" authorId="0" shapeId="0" xr:uid="{00000000-0006-0000-0000-0000C1000000}">
      <text>
        <r>
          <rPr>
            <sz val="11"/>
            <color theme="1"/>
            <rFont val="Calibri"/>
            <family val="2"/>
            <scheme val="minor"/>
          </rPr>
          <t>Elegir el instructor de la lista</t>
        </r>
      </text>
    </comment>
    <comment ref="O537" authorId="0" shapeId="0" xr:uid="{00000000-0006-0000-0000-0000C2000000}">
      <text>
        <r>
          <rPr>
            <sz val="11"/>
            <color theme="1"/>
            <rFont val="Calibri"/>
            <family val="2"/>
            <scheme val="minor"/>
          </rPr>
          <t>Tipo de actividad (elegir de la lista)</t>
        </r>
      </text>
    </comment>
    <comment ref="M544" authorId="0" shapeId="0" xr:uid="{00000000-0006-0000-0000-0000C3000000}">
      <text>
        <r>
          <rPr>
            <sz val="11"/>
            <color theme="1"/>
            <rFont val="Calibri"/>
            <family val="2"/>
            <scheme val="minor"/>
          </rPr>
          <t>Elegir el instructor de la lista</t>
        </r>
      </text>
    </comment>
    <comment ref="O544" authorId="0" shapeId="0" xr:uid="{00000000-0006-0000-0000-0000C4000000}">
      <text>
        <r>
          <rPr>
            <sz val="11"/>
            <color theme="1"/>
            <rFont val="Calibri"/>
            <family val="2"/>
            <scheme val="minor"/>
          </rPr>
          <t>Tipo de actividad (elegir de la lista)</t>
        </r>
      </text>
    </comment>
    <comment ref="M551" authorId="0" shapeId="0" xr:uid="{00000000-0006-0000-0000-0000C5000000}">
      <text>
        <r>
          <rPr>
            <sz val="11"/>
            <color theme="1"/>
            <rFont val="Calibri"/>
            <family val="2"/>
            <scheme val="minor"/>
          </rPr>
          <t>Elegir el instructor de la lista</t>
        </r>
      </text>
    </comment>
    <comment ref="O551" authorId="0" shapeId="0" xr:uid="{00000000-0006-0000-0000-0000C6000000}">
      <text>
        <r>
          <rPr>
            <sz val="11"/>
            <color theme="1"/>
            <rFont val="Calibri"/>
            <family val="2"/>
            <scheme val="minor"/>
          </rPr>
          <t>Tipo de actividad (elegir de la lista)</t>
        </r>
      </text>
    </comment>
    <comment ref="M558" authorId="0" shapeId="0" xr:uid="{00000000-0006-0000-0000-0000C7000000}">
      <text>
        <r>
          <rPr>
            <sz val="11"/>
            <color theme="1"/>
            <rFont val="Calibri"/>
            <family val="2"/>
            <scheme val="minor"/>
          </rPr>
          <t>Elegir el instructor de la lista</t>
        </r>
      </text>
    </comment>
    <comment ref="O558" authorId="0" shapeId="0" xr:uid="{00000000-0006-0000-0000-0000C8000000}">
      <text>
        <r>
          <rPr>
            <sz val="11"/>
            <color theme="1"/>
            <rFont val="Calibri"/>
            <family val="2"/>
            <scheme val="minor"/>
          </rPr>
          <t>Tipo de actividad (elegir de la lista)</t>
        </r>
      </text>
    </comment>
    <comment ref="M563" authorId="0" shapeId="0" xr:uid="{00000000-0006-0000-0000-0000C9000000}">
      <text>
        <r>
          <rPr>
            <sz val="11"/>
            <color theme="1"/>
            <rFont val="Calibri"/>
            <family val="2"/>
            <scheme val="minor"/>
          </rPr>
          <t>Elegir el instructor de la lista</t>
        </r>
      </text>
    </comment>
    <comment ref="O563" authorId="0" shapeId="0" xr:uid="{00000000-0006-0000-0000-0000CA000000}">
      <text>
        <r>
          <rPr>
            <sz val="11"/>
            <color theme="1"/>
            <rFont val="Calibri"/>
            <family val="2"/>
            <scheme val="minor"/>
          </rPr>
          <t>Tipo de actividad (elegir de la lista)</t>
        </r>
      </text>
    </comment>
    <comment ref="M568" authorId="0" shapeId="0" xr:uid="{00000000-0006-0000-0000-0000CB000000}">
      <text>
        <r>
          <rPr>
            <sz val="11"/>
            <color theme="1"/>
            <rFont val="Calibri"/>
            <family val="2"/>
            <scheme val="minor"/>
          </rPr>
          <t>Elegir el instructor de la lista</t>
        </r>
      </text>
    </comment>
    <comment ref="O568" authorId="0" shapeId="0" xr:uid="{00000000-0006-0000-0000-0000CC000000}">
      <text>
        <r>
          <rPr>
            <sz val="11"/>
            <color theme="1"/>
            <rFont val="Calibri"/>
            <family val="2"/>
            <scheme val="minor"/>
          </rPr>
          <t>Tipo de actividad (elegir de la lista)</t>
        </r>
      </text>
    </comment>
    <comment ref="M573" authorId="0" shapeId="0" xr:uid="{00000000-0006-0000-0000-0000CD000000}">
      <text>
        <r>
          <rPr>
            <sz val="11"/>
            <color theme="1"/>
            <rFont val="Calibri"/>
            <family val="2"/>
            <scheme val="minor"/>
          </rPr>
          <t>Elegir el instructor de la lista</t>
        </r>
      </text>
    </comment>
    <comment ref="O573" authorId="0" shapeId="0" xr:uid="{00000000-0006-0000-0000-0000CE000000}">
      <text>
        <r>
          <rPr>
            <sz val="11"/>
            <color theme="1"/>
            <rFont val="Calibri"/>
            <family val="2"/>
            <scheme val="minor"/>
          </rPr>
          <t>Tipo de actividad (elegir de la lista)</t>
        </r>
      </text>
    </comment>
    <comment ref="M580" authorId="0" shapeId="0" xr:uid="{00000000-0006-0000-0000-0000CF000000}">
      <text>
        <r>
          <rPr>
            <sz val="11"/>
            <color theme="1"/>
            <rFont val="Calibri"/>
            <family val="2"/>
            <scheme val="minor"/>
          </rPr>
          <t>Elegir el instructor de la lista</t>
        </r>
      </text>
    </comment>
    <comment ref="O580" authorId="0" shapeId="0" xr:uid="{00000000-0006-0000-0000-0000D0000000}">
      <text>
        <r>
          <rPr>
            <sz val="11"/>
            <color theme="1"/>
            <rFont val="Calibri"/>
            <family val="2"/>
            <scheme val="minor"/>
          </rPr>
          <t>Tipo de actividad (elegir de la lista)</t>
        </r>
      </text>
    </comment>
    <comment ref="M585" authorId="0" shapeId="0" xr:uid="{00000000-0006-0000-0000-0000D1000000}">
      <text>
        <r>
          <rPr>
            <sz val="11"/>
            <color theme="1"/>
            <rFont val="Calibri"/>
            <family val="2"/>
            <scheme val="minor"/>
          </rPr>
          <t>Elegir el instructor de la lista</t>
        </r>
      </text>
    </comment>
    <comment ref="O585" authorId="0" shapeId="0" xr:uid="{00000000-0006-0000-0000-0000D2000000}">
      <text>
        <r>
          <rPr>
            <sz val="11"/>
            <color theme="1"/>
            <rFont val="Calibri"/>
            <family val="2"/>
            <scheme val="minor"/>
          </rPr>
          <t>Tipo de actividad (elegir de la lista)</t>
        </r>
      </text>
    </comment>
    <comment ref="M590" authorId="0" shapeId="0" xr:uid="{00000000-0006-0000-0000-0000D3000000}">
      <text>
        <r>
          <rPr>
            <sz val="11"/>
            <color theme="1"/>
            <rFont val="Calibri"/>
            <family val="2"/>
            <scheme val="minor"/>
          </rPr>
          <t>Elegir el instructor de la lista</t>
        </r>
      </text>
    </comment>
    <comment ref="O590" authorId="0" shapeId="0" xr:uid="{00000000-0006-0000-0000-0000D4000000}">
      <text>
        <r>
          <rPr>
            <sz val="11"/>
            <color theme="1"/>
            <rFont val="Calibri"/>
            <family val="2"/>
            <scheme val="minor"/>
          </rPr>
          <t>Tipo de actividad (elegir de la lista)</t>
        </r>
      </text>
    </comment>
    <comment ref="M595" authorId="0" shapeId="0" xr:uid="{00000000-0006-0000-0000-0000D5000000}">
      <text>
        <r>
          <rPr>
            <sz val="11"/>
            <color theme="1"/>
            <rFont val="Calibri"/>
            <family val="2"/>
            <scheme val="minor"/>
          </rPr>
          <t>Elegir el instructor de la lista</t>
        </r>
      </text>
    </comment>
    <comment ref="O595" authorId="0" shapeId="0" xr:uid="{00000000-0006-0000-0000-0000D6000000}">
      <text>
        <r>
          <rPr>
            <sz val="11"/>
            <color theme="1"/>
            <rFont val="Calibri"/>
            <family val="2"/>
            <scheme val="minor"/>
          </rPr>
          <t>Tipo de actividad (elegir de la lista)</t>
        </r>
      </text>
    </comment>
    <comment ref="M600" authorId="0" shapeId="0" xr:uid="{00000000-0006-0000-0000-0000D7000000}">
      <text>
        <r>
          <rPr>
            <sz val="11"/>
            <color theme="1"/>
            <rFont val="Calibri"/>
            <family val="2"/>
            <scheme val="minor"/>
          </rPr>
          <t>Elegir el instructor de la lista</t>
        </r>
      </text>
    </comment>
    <comment ref="O600" authorId="0" shapeId="0" xr:uid="{00000000-0006-0000-0000-0000D8000000}">
      <text>
        <r>
          <rPr>
            <sz val="11"/>
            <color theme="1"/>
            <rFont val="Calibri"/>
            <family val="2"/>
            <scheme val="minor"/>
          </rPr>
          <t>Tipo de actividad (elegir de la lista)</t>
        </r>
      </text>
    </comment>
    <comment ref="M605" authorId="0" shapeId="0" xr:uid="{00000000-0006-0000-0000-0000D9000000}">
      <text>
        <r>
          <rPr>
            <sz val="11"/>
            <color theme="1"/>
            <rFont val="Calibri"/>
            <family val="2"/>
            <scheme val="minor"/>
          </rPr>
          <t>Elegir el instructor de la lista</t>
        </r>
      </text>
    </comment>
    <comment ref="O605" authorId="0" shapeId="0" xr:uid="{00000000-0006-0000-0000-0000DA000000}">
      <text>
        <r>
          <rPr>
            <sz val="11"/>
            <color theme="1"/>
            <rFont val="Calibri"/>
            <family val="2"/>
            <scheme val="minor"/>
          </rPr>
          <t>Tipo de actividad (elegir de la lista)</t>
        </r>
      </text>
    </comment>
    <comment ref="M610" authorId="0" shapeId="0" xr:uid="{00000000-0006-0000-0000-0000DB000000}">
      <text>
        <r>
          <rPr>
            <sz val="11"/>
            <color theme="1"/>
            <rFont val="Calibri"/>
            <family val="2"/>
            <scheme val="minor"/>
          </rPr>
          <t>Elegir el instructor de la lista</t>
        </r>
      </text>
    </comment>
    <comment ref="O610" authorId="0" shapeId="0" xr:uid="{00000000-0006-0000-0000-0000DC000000}">
      <text>
        <r>
          <rPr>
            <sz val="11"/>
            <color theme="1"/>
            <rFont val="Calibri"/>
            <family val="2"/>
            <scheme val="minor"/>
          </rPr>
          <t>Tipo de actividad (elegir de la lista)</t>
        </r>
      </text>
    </comment>
    <comment ref="M615" authorId="0" shapeId="0" xr:uid="{00000000-0006-0000-0000-0000DD000000}">
      <text>
        <r>
          <rPr>
            <sz val="11"/>
            <color theme="1"/>
            <rFont val="Calibri"/>
            <family val="2"/>
            <scheme val="minor"/>
          </rPr>
          <t>Elegir el instructor de la lista</t>
        </r>
      </text>
    </comment>
    <comment ref="O615" authorId="0" shapeId="0" xr:uid="{00000000-0006-0000-0000-0000DE000000}">
      <text>
        <r>
          <rPr>
            <sz val="11"/>
            <color theme="1"/>
            <rFont val="Calibri"/>
            <family val="2"/>
            <scheme val="minor"/>
          </rPr>
          <t>Tipo de actividad (elegir de la lista)</t>
        </r>
      </text>
    </comment>
    <comment ref="M620" authorId="0" shapeId="0" xr:uid="{00000000-0006-0000-0000-0000DF000000}">
      <text>
        <r>
          <rPr>
            <sz val="11"/>
            <color theme="1"/>
            <rFont val="Calibri"/>
            <family val="2"/>
            <scheme val="minor"/>
          </rPr>
          <t>Elegir el instructor de la lista</t>
        </r>
      </text>
    </comment>
    <comment ref="O620" authorId="0" shapeId="0" xr:uid="{00000000-0006-0000-0000-0000E0000000}">
      <text>
        <r>
          <rPr>
            <sz val="11"/>
            <color theme="1"/>
            <rFont val="Calibri"/>
            <family val="2"/>
            <scheme val="minor"/>
          </rPr>
          <t>Tipo de actividad (elegir de la lista)</t>
        </r>
      </text>
    </comment>
    <comment ref="M625" authorId="0" shapeId="0" xr:uid="{00000000-0006-0000-0000-0000E1000000}">
      <text>
        <r>
          <rPr>
            <sz val="11"/>
            <color theme="1"/>
            <rFont val="Calibri"/>
            <family val="2"/>
            <scheme val="minor"/>
          </rPr>
          <t>Elegir el instructor de la lista</t>
        </r>
      </text>
    </comment>
    <comment ref="O625" authorId="0" shapeId="0" xr:uid="{00000000-0006-0000-0000-0000E2000000}">
      <text>
        <r>
          <rPr>
            <sz val="11"/>
            <color theme="1"/>
            <rFont val="Calibri"/>
            <family val="2"/>
            <scheme val="minor"/>
          </rPr>
          <t>Tipo de actividad (elegir de la lista)</t>
        </r>
      </text>
    </comment>
    <comment ref="M632" authorId="0" shapeId="0" xr:uid="{00000000-0006-0000-0000-0000E3000000}">
      <text>
        <r>
          <rPr>
            <sz val="11"/>
            <color theme="1"/>
            <rFont val="Calibri"/>
            <family val="2"/>
            <scheme val="minor"/>
          </rPr>
          <t>Elegir el instructor de la lista</t>
        </r>
      </text>
    </comment>
    <comment ref="O632" authorId="0" shapeId="0" xr:uid="{00000000-0006-0000-0000-0000E4000000}">
      <text>
        <r>
          <rPr>
            <sz val="11"/>
            <color theme="1"/>
            <rFont val="Calibri"/>
            <family val="2"/>
            <scheme val="minor"/>
          </rPr>
          <t>Tipo de actividad (elegir de la lista)</t>
        </r>
      </text>
    </comment>
    <comment ref="M637" authorId="0" shapeId="0" xr:uid="{00000000-0006-0000-0000-0000E5000000}">
      <text>
        <r>
          <rPr>
            <sz val="11"/>
            <color theme="1"/>
            <rFont val="Calibri"/>
            <family val="2"/>
            <scheme val="minor"/>
          </rPr>
          <t>Elegir el instructor de la lista</t>
        </r>
      </text>
    </comment>
    <comment ref="O637" authorId="0" shapeId="0" xr:uid="{00000000-0006-0000-0000-0000E6000000}">
      <text>
        <r>
          <rPr>
            <sz val="11"/>
            <color theme="1"/>
            <rFont val="Calibri"/>
            <family val="2"/>
            <scheme val="minor"/>
          </rPr>
          <t>Tipo de actividad (elegir de la lista)</t>
        </r>
      </text>
    </comment>
    <comment ref="M642" authorId="0" shapeId="0" xr:uid="{00000000-0006-0000-0000-0000E7000000}">
      <text>
        <r>
          <rPr>
            <sz val="11"/>
            <color theme="1"/>
            <rFont val="Calibri"/>
            <family val="2"/>
            <scheme val="minor"/>
          </rPr>
          <t>Elegir el instructor de la lista</t>
        </r>
      </text>
    </comment>
    <comment ref="O642" authorId="0" shapeId="0" xr:uid="{00000000-0006-0000-0000-0000E8000000}">
      <text>
        <r>
          <rPr>
            <sz val="11"/>
            <color theme="1"/>
            <rFont val="Calibri"/>
            <family val="2"/>
            <scheme val="minor"/>
          </rPr>
          <t>Tipo de actividad (elegir de la lista)</t>
        </r>
      </text>
    </comment>
    <comment ref="M647" authorId="0" shapeId="0" xr:uid="{00000000-0006-0000-0000-0000E9000000}">
      <text>
        <r>
          <rPr>
            <sz val="11"/>
            <color theme="1"/>
            <rFont val="Calibri"/>
            <family val="2"/>
            <scheme val="minor"/>
          </rPr>
          <t>Elegir el instructor de la lista</t>
        </r>
      </text>
    </comment>
    <comment ref="O647" authorId="0" shapeId="0" xr:uid="{00000000-0006-0000-0000-0000EA000000}">
      <text>
        <r>
          <rPr>
            <sz val="11"/>
            <color theme="1"/>
            <rFont val="Calibri"/>
            <family val="2"/>
            <scheme val="minor"/>
          </rPr>
          <t>Tipo de actividad (elegir de la lista)</t>
        </r>
      </text>
    </comment>
    <comment ref="M652" authorId="0" shapeId="0" xr:uid="{00000000-0006-0000-0000-0000EB000000}">
      <text>
        <r>
          <rPr>
            <sz val="11"/>
            <color theme="1"/>
            <rFont val="Calibri"/>
            <family val="2"/>
            <scheme val="minor"/>
          </rPr>
          <t>Elegir el instructor de la lista</t>
        </r>
      </text>
    </comment>
    <comment ref="O652" authorId="0" shapeId="0" xr:uid="{00000000-0006-0000-0000-0000EC000000}">
      <text>
        <r>
          <rPr>
            <sz val="11"/>
            <color theme="1"/>
            <rFont val="Calibri"/>
            <family val="2"/>
            <scheme val="minor"/>
          </rPr>
          <t>Tipo de actividad (elegir de la lista)</t>
        </r>
      </text>
    </comment>
    <comment ref="M657" authorId="0" shapeId="0" xr:uid="{00000000-0006-0000-0000-0000ED000000}">
      <text>
        <r>
          <rPr>
            <sz val="11"/>
            <color theme="1"/>
            <rFont val="Calibri"/>
            <family val="2"/>
            <scheme val="minor"/>
          </rPr>
          <t>Elegir el instructor de la lista</t>
        </r>
      </text>
    </comment>
    <comment ref="O657" authorId="0" shapeId="0" xr:uid="{00000000-0006-0000-0000-0000EE000000}">
      <text>
        <r>
          <rPr>
            <sz val="11"/>
            <color theme="1"/>
            <rFont val="Calibri"/>
            <family val="2"/>
            <scheme val="minor"/>
          </rPr>
          <t>Tipo de actividad (elegir de la lista)</t>
        </r>
      </text>
    </comment>
    <comment ref="M662" authorId="0" shapeId="0" xr:uid="{00000000-0006-0000-0000-0000EF000000}">
      <text>
        <r>
          <rPr>
            <sz val="11"/>
            <color theme="1"/>
            <rFont val="Calibri"/>
            <family val="2"/>
            <scheme val="minor"/>
          </rPr>
          <t>Elegir el instructor de la lista</t>
        </r>
      </text>
    </comment>
    <comment ref="O662" authorId="0" shapeId="0" xr:uid="{00000000-0006-0000-0000-0000F0000000}">
      <text>
        <r>
          <rPr>
            <sz val="11"/>
            <color theme="1"/>
            <rFont val="Calibri"/>
            <family val="2"/>
            <scheme val="minor"/>
          </rPr>
          <t>Tipo de actividad (elegir de la lista)</t>
        </r>
      </text>
    </comment>
    <comment ref="M667" authorId="0" shapeId="0" xr:uid="{00000000-0006-0000-0000-0000F1000000}">
      <text>
        <r>
          <rPr>
            <sz val="11"/>
            <color theme="1"/>
            <rFont val="Calibri"/>
            <family val="2"/>
            <scheme val="minor"/>
          </rPr>
          <t>Elegir el instructor de la lista</t>
        </r>
      </text>
    </comment>
    <comment ref="O667" authorId="0" shapeId="0" xr:uid="{00000000-0006-0000-0000-0000F2000000}">
      <text>
        <r>
          <rPr>
            <sz val="11"/>
            <color theme="1"/>
            <rFont val="Calibri"/>
            <family val="2"/>
            <scheme val="minor"/>
          </rPr>
          <t>Tipo de actividad (elegir de la lista)</t>
        </r>
      </text>
    </comment>
    <comment ref="M672" authorId="0" shapeId="0" xr:uid="{00000000-0006-0000-0000-0000F3000000}">
      <text>
        <r>
          <rPr>
            <sz val="11"/>
            <color theme="1"/>
            <rFont val="Calibri"/>
            <family val="2"/>
            <scheme val="minor"/>
          </rPr>
          <t>Elegir el instructor de la lista</t>
        </r>
      </text>
    </comment>
    <comment ref="O672" authorId="0" shapeId="0" xr:uid="{00000000-0006-0000-0000-0000F4000000}">
      <text>
        <r>
          <rPr>
            <sz val="11"/>
            <color theme="1"/>
            <rFont val="Calibri"/>
            <family val="2"/>
            <scheme val="minor"/>
          </rPr>
          <t>Tipo de actividad (elegir de la lista)</t>
        </r>
      </text>
    </comment>
    <comment ref="M677" authorId="0" shapeId="0" xr:uid="{00000000-0006-0000-0000-0000F5000000}">
      <text>
        <r>
          <rPr>
            <sz val="11"/>
            <color theme="1"/>
            <rFont val="Calibri"/>
            <family val="2"/>
            <scheme val="minor"/>
          </rPr>
          <t>Elegir el instructor de la lista</t>
        </r>
      </text>
    </comment>
    <comment ref="O677" authorId="0" shapeId="0" xr:uid="{00000000-0006-0000-0000-0000F6000000}">
      <text>
        <r>
          <rPr>
            <sz val="11"/>
            <color theme="1"/>
            <rFont val="Calibri"/>
            <family val="2"/>
            <scheme val="minor"/>
          </rPr>
          <t>Tipo de actividad (elegir de la lista)</t>
        </r>
      </text>
    </comment>
    <comment ref="M682" authorId="0" shapeId="0" xr:uid="{00000000-0006-0000-0000-0000F7000000}">
      <text>
        <r>
          <rPr>
            <sz val="11"/>
            <color theme="1"/>
            <rFont val="Calibri"/>
            <family val="2"/>
            <scheme val="minor"/>
          </rPr>
          <t>Elegir el instructor de la lista</t>
        </r>
      </text>
    </comment>
    <comment ref="O682" authorId="0" shapeId="0" xr:uid="{00000000-0006-0000-0000-0000F8000000}">
      <text>
        <r>
          <rPr>
            <sz val="11"/>
            <color theme="1"/>
            <rFont val="Calibri"/>
            <family val="2"/>
            <scheme val="minor"/>
          </rPr>
          <t>Tipo de actividad (elegir de la lista)</t>
        </r>
      </text>
    </comment>
    <comment ref="M687" authorId="0" shapeId="0" xr:uid="{00000000-0006-0000-0000-0000F9000000}">
      <text>
        <r>
          <rPr>
            <sz val="11"/>
            <color theme="1"/>
            <rFont val="Calibri"/>
            <family val="2"/>
            <scheme val="minor"/>
          </rPr>
          <t>Elegir el instructor de la lista</t>
        </r>
      </text>
    </comment>
    <comment ref="O687" authorId="0" shapeId="0" xr:uid="{00000000-0006-0000-0000-0000FA000000}">
      <text>
        <r>
          <rPr>
            <sz val="11"/>
            <color theme="1"/>
            <rFont val="Calibri"/>
            <family val="2"/>
            <scheme val="minor"/>
          </rPr>
          <t>Tipo de actividad (elegir de la lista)</t>
        </r>
      </text>
    </comment>
    <comment ref="M692" authorId="0" shapeId="0" xr:uid="{00000000-0006-0000-0000-0000FB000000}">
      <text>
        <r>
          <rPr>
            <sz val="11"/>
            <color theme="1"/>
            <rFont val="Calibri"/>
            <family val="2"/>
            <scheme val="minor"/>
          </rPr>
          <t>Elegir el instructor de la lista</t>
        </r>
      </text>
    </comment>
    <comment ref="O692" authorId="0" shapeId="0" xr:uid="{00000000-0006-0000-0000-0000FC000000}">
      <text>
        <r>
          <rPr>
            <sz val="11"/>
            <color theme="1"/>
            <rFont val="Calibri"/>
            <family val="2"/>
            <scheme val="minor"/>
          </rPr>
          <t>Tipo de actividad (elegir de la lista)</t>
        </r>
      </text>
    </comment>
    <comment ref="M697" authorId="0" shapeId="0" xr:uid="{00000000-0006-0000-0000-0000FD000000}">
      <text>
        <r>
          <rPr>
            <sz val="11"/>
            <color theme="1"/>
            <rFont val="Calibri"/>
            <family val="2"/>
            <scheme val="minor"/>
          </rPr>
          <t>Elegir el instructor de la lista</t>
        </r>
      </text>
    </comment>
    <comment ref="O697" authorId="0" shapeId="0" xr:uid="{00000000-0006-0000-0000-0000FE000000}">
      <text>
        <r>
          <rPr>
            <sz val="11"/>
            <color theme="1"/>
            <rFont val="Calibri"/>
            <family val="2"/>
            <scheme val="minor"/>
          </rPr>
          <t>Tipo de actividad (elegir de la lista)</t>
        </r>
      </text>
    </comment>
    <comment ref="M702" authorId="0" shapeId="0" xr:uid="{00000000-0006-0000-0000-0000FF000000}">
      <text>
        <r>
          <rPr>
            <sz val="11"/>
            <color theme="1"/>
            <rFont val="Calibri"/>
            <family val="2"/>
            <scheme val="minor"/>
          </rPr>
          <t>Elegir el instructor de la lista</t>
        </r>
      </text>
    </comment>
    <comment ref="O702" authorId="0" shapeId="0" xr:uid="{00000000-0006-0000-0000-000000010000}">
      <text>
        <r>
          <rPr>
            <sz val="11"/>
            <color theme="1"/>
            <rFont val="Calibri"/>
            <family val="2"/>
            <scheme val="minor"/>
          </rPr>
          <t>Tipo de actividad (elegir de la lista)</t>
        </r>
      </text>
    </comment>
    <comment ref="M707" authorId="0" shapeId="0" xr:uid="{00000000-0006-0000-0000-000001010000}">
      <text>
        <r>
          <rPr>
            <sz val="11"/>
            <color theme="1"/>
            <rFont val="Calibri"/>
            <family val="2"/>
            <scheme val="minor"/>
          </rPr>
          <t>Elegir el instructor de la lista</t>
        </r>
      </text>
    </comment>
    <comment ref="O707" authorId="0" shapeId="0" xr:uid="{00000000-0006-0000-0000-000002010000}">
      <text>
        <r>
          <rPr>
            <sz val="11"/>
            <color theme="1"/>
            <rFont val="Calibri"/>
            <family val="2"/>
            <scheme val="minor"/>
          </rPr>
          <t>Tipo de actividad (elegir de la lista)</t>
        </r>
      </text>
    </comment>
    <comment ref="M712" authorId="0" shapeId="0" xr:uid="{00000000-0006-0000-0000-000003010000}">
      <text>
        <r>
          <rPr>
            <sz val="11"/>
            <color theme="1"/>
            <rFont val="Calibri"/>
            <family val="2"/>
            <scheme val="minor"/>
          </rPr>
          <t>Elegir el instructor de la lista</t>
        </r>
      </text>
    </comment>
    <comment ref="O712" authorId="0" shapeId="0" xr:uid="{00000000-0006-0000-0000-000004010000}">
      <text>
        <r>
          <rPr>
            <sz val="11"/>
            <color theme="1"/>
            <rFont val="Calibri"/>
            <family val="2"/>
            <scheme val="minor"/>
          </rPr>
          <t>Tipo de actividad (elegir de la lista)</t>
        </r>
      </text>
    </comment>
    <comment ref="M719" authorId="0" shapeId="0" xr:uid="{00000000-0006-0000-0000-000005010000}">
      <text>
        <r>
          <rPr>
            <sz val="11"/>
            <color theme="1"/>
            <rFont val="Calibri"/>
            <family val="2"/>
            <scheme val="minor"/>
          </rPr>
          <t>Elegir el instructor de la lista</t>
        </r>
      </text>
    </comment>
    <comment ref="O719" authorId="0" shapeId="0" xr:uid="{00000000-0006-0000-0000-000006010000}">
      <text>
        <r>
          <rPr>
            <sz val="11"/>
            <color theme="1"/>
            <rFont val="Calibri"/>
            <family val="2"/>
            <scheme val="minor"/>
          </rPr>
          <t>Tipo de actividad (elegir de la lista)</t>
        </r>
      </text>
    </comment>
    <comment ref="M726" authorId="0" shapeId="0" xr:uid="{00000000-0006-0000-0000-000007010000}">
      <text>
        <r>
          <rPr>
            <sz val="11"/>
            <color theme="1"/>
            <rFont val="Calibri"/>
            <family val="2"/>
            <scheme val="minor"/>
          </rPr>
          <t>Elegir el instructor de la lista</t>
        </r>
      </text>
    </comment>
    <comment ref="O726" authorId="0" shapeId="0" xr:uid="{00000000-0006-0000-0000-000008010000}">
      <text>
        <r>
          <rPr>
            <sz val="11"/>
            <color theme="1"/>
            <rFont val="Calibri"/>
            <family val="2"/>
            <scheme val="minor"/>
          </rPr>
          <t>Tipo de actividad (elegir de la lista)</t>
        </r>
      </text>
    </comment>
    <comment ref="M733" authorId="0" shapeId="0" xr:uid="{00000000-0006-0000-0000-000009010000}">
      <text>
        <r>
          <rPr>
            <sz val="11"/>
            <color theme="1"/>
            <rFont val="Calibri"/>
            <family val="2"/>
            <scheme val="minor"/>
          </rPr>
          <t>Elegir el instructor de la lista</t>
        </r>
      </text>
    </comment>
    <comment ref="O733" authorId="0" shapeId="0" xr:uid="{00000000-0006-0000-0000-00000A010000}">
      <text>
        <r>
          <rPr>
            <sz val="11"/>
            <color theme="1"/>
            <rFont val="Calibri"/>
            <family val="2"/>
            <scheme val="minor"/>
          </rPr>
          <t>Tipo de actividad (elegir de la lista)</t>
        </r>
      </text>
    </comment>
    <comment ref="M740" authorId="0" shapeId="0" xr:uid="{00000000-0006-0000-0000-00000B010000}">
      <text>
        <r>
          <rPr>
            <sz val="11"/>
            <color theme="1"/>
            <rFont val="Calibri"/>
            <family val="2"/>
            <scheme val="minor"/>
          </rPr>
          <t>Elegir el instructor de la lista</t>
        </r>
      </text>
    </comment>
    <comment ref="O740" authorId="0" shapeId="0" xr:uid="{00000000-0006-0000-0000-00000C010000}">
      <text>
        <r>
          <rPr>
            <sz val="11"/>
            <color theme="1"/>
            <rFont val="Calibri"/>
            <family val="2"/>
            <scheme val="minor"/>
          </rPr>
          <t>Tipo de actividad (elegir de la lista)</t>
        </r>
      </text>
    </comment>
    <comment ref="M745" authorId="0" shapeId="0" xr:uid="{00000000-0006-0000-0000-00000D010000}">
      <text>
        <r>
          <rPr>
            <sz val="11"/>
            <color theme="1"/>
            <rFont val="Calibri"/>
            <family val="2"/>
            <scheme val="minor"/>
          </rPr>
          <t>Elegir el instructor de la lista</t>
        </r>
      </text>
    </comment>
    <comment ref="O745" authorId="0" shapeId="0" xr:uid="{00000000-0006-0000-0000-00000E010000}">
      <text>
        <r>
          <rPr>
            <sz val="11"/>
            <color theme="1"/>
            <rFont val="Calibri"/>
            <family val="2"/>
            <scheme val="minor"/>
          </rPr>
          <t>Tipo de actividad (elegir de la lista)</t>
        </r>
      </text>
    </comment>
    <comment ref="M750" authorId="0" shapeId="0" xr:uid="{00000000-0006-0000-0000-00000F010000}">
      <text>
        <r>
          <rPr>
            <sz val="11"/>
            <color theme="1"/>
            <rFont val="Calibri"/>
            <family val="2"/>
            <scheme val="minor"/>
          </rPr>
          <t>Elegir el instructor de la lista</t>
        </r>
      </text>
    </comment>
    <comment ref="O750" authorId="0" shapeId="0" xr:uid="{00000000-0006-0000-0000-000010010000}">
      <text>
        <r>
          <rPr>
            <sz val="11"/>
            <color theme="1"/>
            <rFont val="Calibri"/>
            <family val="2"/>
            <scheme val="minor"/>
          </rPr>
          <t>Tipo de actividad (elegir de la lista)</t>
        </r>
      </text>
    </comment>
    <comment ref="M755" authorId="0" shapeId="0" xr:uid="{00000000-0006-0000-0000-000011010000}">
      <text>
        <r>
          <rPr>
            <sz val="11"/>
            <color theme="1"/>
            <rFont val="Calibri"/>
            <family val="2"/>
            <scheme val="minor"/>
          </rPr>
          <t>Elegir el instructor de la lista</t>
        </r>
      </text>
    </comment>
    <comment ref="O755" authorId="0" shapeId="0" xr:uid="{00000000-0006-0000-0000-000012010000}">
      <text>
        <r>
          <rPr>
            <sz val="11"/>
            <color theme="1"/>
            <rFont val="Calibri"/>
            <family val="2"/>
            <scheme val="minor"/>
          </rPr>
          <t>Tipo de actividad (elegir de la lista)</t>
        </r>
      </text>
    </comment>
    <comment ref="M760" authorId="0" shapeId="0" xr:uid="{00000000-0006-0000-0000-000013010000}">
      <text>
        <r>
          <rPr>
            <sz val="11"/>
            <color theme="1"/>
            <rFont val="Calibri"/>
            <family val="2"/>
            <scheme val="minor"/>
          </rPr>
          <t>Elegir el instructor de la lista</t>
        </r>
      </text>
    </comment>
    <comment ref="O760" authorId="0" shapeId="0" xr:uid="{00000000-0006-0000-0000-000014010000}">
      <text>
        <r>
          <rPr>
            <sz val="11"/>
            <color theme="1"/>
            <rFont val="Calibri"/>
            <family val="2"/>
            <scheme val="minor"/>
          </rPr>
          <t>Tipo de actividad (elegir de la lista)</t>
        </r>
      </text>
    </comment>
    <comment ref="M767" authorId="0" shapeId="0" xr:uid="{00000000-0006-0000-0000-000015010000}">
      <text>
        <r>
          <rPr>
            <sz val="11"/>
            <color theme="1"/>
            <rFont val="Calibri"/>
            <family val="2"/>
            <scheme val="minor"/>
          </rPr>
          <t>Elegir el instructor de la lista</t>
        </r>
      </text>
    </comment>
    <comment ref="O767" authorId="0" shapeId="0" xr:uid="{00000000-0006-0000-0000-000016010000}">
      <text>
        <r>
          <rPr>
            <sz val="11"/>
            <color theme="1"/>
            <rFont val="Calibri"/>
            <family val="2"/>
            <scheme val="minor"/>
          </rPr>
          <t>Tipo de actividad (elegir de la lista)</t>
        </r>
      </text>
    </comment>
    <comment ref="M772" authorId="0" shapeId="0" xr:uid="{00000000-0006-0000-0000-000017010000}">
      <text>
        <r>
          <rPr>
            <sz val="11"/>
            <color theme="1"/>
            <rFont val="Calibri"/>
            <family val="2"/>
            <scheme val="minor"/>
          </rPr>
          <t>Elegir el instructor de la lista</t>
        </r>
      </text>
    </comment>
    <comment ref="O772" authorId="0" shapeId="0" xr:uid="{00000000-0006-0000-0000-000018010000}">
      <text>
        <r>
          <rPr>
            <sz val="11"/>
            <color theme="1"/>
            <rFont val="Calibri"/>
            <family val="2"/>
            <scheme val="minor"/>
          </rPr>
          <t>Tipo de actividad (elegir de la lista)</t>
        </r>
      </text>
    </comment>
    <comment ref="M777" authorId="0" shapeId="0" xr:uid="{00000000-0006-0000-0000-000019010000}">
      <text>
        <r>
          <rPr>
            <sz val="11"/>
            <color theme="1"/>
            <rFont val="Calibri"/>
            <family val="2"/>
            <scheme val="minor"/>
          </rPr>
          <t>Elegir el instructor de la lista</t>
        </r>
      </text>
    </comment>
    <comment ref="O777" authorId="0" shapeId="0" xr:uid="{00000000-0006-0000-0000-00001A010000}">
      <text>
        <r>
          <rPr>
            <sz val="11"/>
            <color theme="1"/>
            <rFont val="Calibri"/>
            <family val="2"/>
            <scheme val="minor"/>
          </rPr>
          <t>Tipo de actividad (elegir de la lista)</t>
        </r>
      </text>
    </comment>
    <comment ref="M782" authorId="0" shapeId="0" xr:uid="{00000000-0006-0000-0000-00001B010000}">
      <text>
        <r>
          <rPr>
            <sz val="11"/>
            <color theme="1"/>
            <rFont val="Calibri"/>
            <family val="2"/>
            <scheme val="minor"/>
          </rPr>
          <t>Elegir el instructor de la lista</t>
        </r>
      </text>
    </comment>
    <comment ref="O782" authorId="0" shapeId="0" xr:uid="{00000000-0006-0000-0000-00001C010000}">
      <text>
        <r>
          <rPr>
            <sz val="11"/>
            <color theme="1"/>
            <rFont val="Calibri"/>
            <family val="2"/>
            <scheme val="minor"/>
          </rPr>
          <t>Tipo de actividad (elegir de la lista)</t>
        </r>
      </text>
    </comment>
    <comment ref="M787" authorId="0" shapeId="0" xr:uid="{00000000-0006-0000-0000-00001D010000}">
      <text>
        <r>
          <rPr>
            <sz val="11"/>
            <color theme="1"/>
            <rFont val="Calibri"/>
            <family val="2"/>
            <scheme val="minor"/>
          </rPr>
          <t>Elegir el instructor de la lista</t>
        </r>
      </text>
    </comment>
    <comment ref="O787" authorId="0" shapeId="0" xr:uid="{00000000-0006-0000-0000-00001E010000}">
      <text>
        <r>
          <rPr>
            <sz val="11"/>
            <color theme="1"/>
            <rFont val="Calibri"/>
            <family val="2"/>
            <scheme val="minor"/>
          </rPr>
          <t>Tipo de actividad (elegir de la lista)</t>
        </r>
      </text>
    </comment>
    <comment ref="M792" authorId="0" shapeId="0" xr:uid="{00000000-0006-0000-0000-00001F010000}">
      <text>
        <r>
          <rPr>
            <sz val="11"/>
            <color theme="1"/>
            <rFont val="Calibri"/>
            <family val="2"/>
            <scheme val="minor"/>
          </rPr>
          <t>Elegir el instructor de la lista</t>
        </r>
      </text>
    </comment>
    <comment ref="O792" authorId="0" shapeId="0" xr:uid="{00000000-0006-0000-0000-000020010000}">
      <text>
        <r>
          <rPr>
            <sz val="11"/>
            <color theme="1"/>
            <rFont val="Calibri"/>
            <family val="2"/>
            <scheme val="minor"/>
          </rPr>
          <t>Tipo de actividad (elegir de la lista)</t>
        </r>
      </text>
    </comment>
    <comment ref="M797" authorId="0" shapeId="0" xr:uid="{00000000-0006-0000-0000-000021010000}">
      <text>
        <r>
          <rPr>
            <sz val="11"/>
            <color theme="1"/>
            <rFont val="Calibri"/>
            <family val="2"/>
            <scheme val="minor"/>
          </rPr>
          <t>Elegir el instructor de la lista</t>
        </r>
      </text>
    </comment>
    <comment ref="O797" authorId="0" shapeId="0" xr:uid="{00000000-0006-0000-0000-000022010000}">
      <text>
        <r>
          <rPr>
            <sz val="11"/>
            <color theme="1"/>
            <rFont val="Calibri"/>
            <family val="2"/>
            <scheme val="minor"/>
          </rPr>
          <t>Tipo de actividad (elegir de la lista)</t>
        </r>
      </text>
    </comment>
    <comment ref="M802" authorId="0" shapeId="0" xr:uid="{00000000-0006-0000-0000-000023010000}">
      <text>
        <r>
          <rPr>
            <sz val="11"/>
            <color theme="1"/>
            <rFont val="Calibri"/>
            <family val="2"/>
            <scheme val="minor"/>
          </rPr>
          <t>Elegir el instructor de la lista</t>
        </r>
      </text>
    </comment>
    <comment ref="O802" authorId="0" shapeId="0" xr:uid="{00000000-0006-0000-0000-000024010000}">
      <text>
        <r>
          <rPr>
            <sz val="11"/>
            <color theme="1"/>
            <rFont val="Calibri"/>
            <family val="2"/>
            <scheme val="minor"/>
          </rPr>
          <t>Tipo de actividad (elegir de la lista)</t>
        </r>
      </text>
    </comment>
    <comment ref="M809" authorId="0" shapeId="0" xr:uid="{00000000-0006-0000-0000-000025010000}">
      <text>
        <r>
          <rPr>
            <sz val="11"/>
            <color theme="1"/>
            <rFont val="Calibri"/>
            <family val="2"/>
            <scheme val="minor"/>
          </rPr>
          <t>Elegir el instructor de la lista</t>
        </r>
      </text>
    </comment>
    <comment ref="O809" authorId="0" shapeId="0" xr:uid="{00000000-0006-0000-0000-000026010000}">
      <text>
        <r>
          <rPr>
            <sz val="11"/>
            <color theme="1"/>
            <rFont val="Calibri"/>
            <family val="2"/>
            <scheme val="minor"/>
          </rPr>
          <t>Tipo de actividad (elegir de la lista)</t>
        </r>
      </text>
    </comment>
    <comment ref="M814" authorId="0" shapeId="0" xr:uid="{00000000-0006-0000-0000-000027010000}">
      <text>
        <r>
          <rPr>
            <sz val="11"/>
            <color theme="1"/>
            <rFont val="Calibri"/>
            <family val="2"/>
            <scheme val="minor"/>
          </rPr>
          <t>Elegir el instructor de la lista</t>
        </r>
      </text>
    </comment>
    <comment ref="O814" authorId="0" shapeId="0" xr:uid="{00000000-0006-0000-0000-000028010000}">
      <text>
        <r>
          <rPr>
            <sz val="11"/>
            <color theme="1"/>
            <rFont val="Calibri"/>
            <family val="2"/>
            <scheme val="minor"/>
          </rPr>
          <t>Tipo de actividad (elegir de la lista)</t>
        </r>
      </text>
    </comment>
    <comment ref="M819" authorId="0" shapeId="0" xr:uid="{00000000-0006-0000-0000-000029010000}">
      <text>
        <r>
          <rPr>
            <sz val="11"/>
            <color theme="1"/>
            <rFont val="Calibri"/>
            <family val="2"/>
            <scheme val="minor"/>
          </rPr>
          <t>Elegir el instructor de la lista</t>
        </r>
      </text>
    </comment>
    <comment ref="O819" authorId="0" shapeId="0" xr:uid="{00000000-0006-0000-0000-00002A010000}">
      <text>
        <r>
          <rPr>
            <sz val="11"/>
            <color theme="1"/>
            <rFont val="Calibri"/>
            <family val="2"/>
            <scheme val="minor"/>
          </rPr>
          <t>Tipo de actividad (elegir de la lista)</t>
        </r>
      </text>
    </comment>
    <comment ref="M826" authorId="0" shapeId="0" xr:uid="{00000000-0006-0000-0000-00002B010000}">
      <text>
        <r>
          <rPr>
            <sz val="11"/>
            <color theme="1"/>
            <rFont val="Calibri"/>
            <family val="2"/>
            <scheme val="minor"/>
          </rPr>
          <t>Elegir el instructor de la lista</t>
        </r>
      </text>
    </comment>
    <comment ref="O826" authorId="0" shapeId="0" xr:uid="{00000000-0006-0000-0000-00002C010000}">
      <text>
        <r>
          <rPr>
            <sz val="11"/>
            <color theme="1"/>
            <rFont val="Calibri"/>
            <family val="2"/>
            <scheme val="minor"/>
          </rPr>
          <t>Tipo de actividad (elegir de la lista)</t>
        </r>
      </text>
    </comment>
    <comment ref="M831" authorId="0" shapeId="0" xr:uid="{00000000-0006-0000-0000-00002D010000}">
      <text>
        <r>
          <rPr>
            <sz val="11"/>
            <color theme="1"/>
            <rFont val="Calibri"/>
            <family val="2"/>
            <scheme val="minor"/>
          </rPr>
          <t>Elegir el instructor de la lista</t>
        </r>
      </text>
    </comment>
    <comment ref="O831" authorId="0" shapeId="0" xr:uid="{00000000-0006-0000-0000-00002E010000}">
      <text>
        <r>
          <rPr>
            <sz val="11"/>
            <color theme="1"/>
            <rFont val="Calibri"/>
            <family val="2"/>
            <scheme val="minor"/>
          </rPr>
          <t>Tipo de actividad (elegir de la lista)</t>
        </r>
      </text>
    </comment>
    <comment ref="M836" authorId="0" shapeId="0" xr:uid="{00000000-0006-0000-0000-00002F010000}">
      <text>
        <r>
          <rPr>
            <sz val="11"/>
            <color theme="1"/>
            <rFont val="Calibri"/>
            <family val="2"/>
            <scheme val="minor"/>
          </rPr>
          <t>Elegir el instructor de la lista</t>
        </r>
      </text>
    </comment>
    <comment ref="O836" authorId="0" shapeId="0" xr:uid="{00000000-0006-0000-0000-000030010000}">
      <text>
        <r>
          <rPr>
            <sz val="11"/>
            <color theme="1"/>
            <rFont val="Calibri"/>
            <family val="2"/>
            <scheme val="minor"/>
          </rPr>
          <t>Tipo de actividad (elegir de la lista)</t>
        </r>
      </text>
    </comment>
    <comment ref="M841" authorId="0" shapeId="0" xr:uid="{00000000-0006-0000-0000-000031010000}">
      <text>
        <r>
          <rPr>
            <sz val="11"/>
            <color theme="1"/>
            <rFont val="Calibri"/>
            <family val="2"/>
            <scheme val="minor"/>
          </rPr>
          <t>Elegir el instructor de la lista</t>
        </r>
      </text>
    </comment>
    <comment ref="O841" authorId="0" shapeId="0" xr:uid="{00000000-0006-0000-0000-000032010000}">
      <text>
        <r>
          <rPr>
            <sz val="11"/>
            <color theme="1"/>
            <rFont val="Calibri"/>
            <family val="2"/>
            <scheme val="minor"/>
          </rPr>
          <t>Tipo de actividad (elegir de la lista)</t>
        </r>
      </text>
    </comment>
    <comment ref="M846" authorId="0" shapeId="0" xr:uid="{00000000-0006-0000-0000-000033010000}">
      <text>
        <r>
          <rPr>
            <sz val="11"/>
            <color theme="1"/>
            <rFont val="Calibri"/>
            <family val="2"/>
            <scheme val="minor"/>
          </rPr>
          <t>Elegir el instructor de la lista</t>
        </r>
      </text>
    </comment>
    <comment ref="O846" authorId="0" shapeId="0" xr:uid="{00000000-0006-0000-0000-000034010000}">
      <text>
        <r>
          <rPr>
            <sz val="11"/>
            <color theme="1"/>
            <rFont val="Calibri"/>
            <family val="2"/>
            <scheme val="minor"/>
          </rPr>
          <t>Tipo de actividad (elegir de la lista)</t>
        </r>
      </text>
    </comment>
    <comment ref="M851" authorId="0" shapeId="0" xr:uid="{00000000-0006-0000-0000-000035010000}">
      <text>
        <r>
          <rPr>
            <sz val="11"/>
            <color theme="1"/>
            <rFont val="Calibri"/>
            <family val="2"/>
            <scheme val="minor"/>
          </rPr>
          <t>Elegir el instructor de la lista</t>
        </r>
      </text>
    </comment>
    <comment ref="O851" authorId="0" shapeId="0" xr:uid="{00000000-0006-0000-0000-000036010000}">
      <text>
        <r>
          <rPr>
            <sz val="11"/>
            <color theme="1"/>
            <rFont val="Calibri"/>
            <family val="2"/>
            <scheme val="minor"/>
          </rPr>
          <t>Tipo de actividad (elegir de la lista)</t>
        </r>
      </text>
    </comment>
    <comment ref="M856" authorId="0" shapeId="0" xr:uid="{00000000-0006-0000-0000-000037010000}">
      <text>
        <r>
          <rPr>
            <sz val="11"/>
            <color theme="1"/>
            <rFont val="Calibri"/>
            <family val="2"/>
            <scheme val="minor"/>
          </rPr>
          <t>Elegir el instructor de la lista</t>
        </r>
      </text>
    </comment>
    <comment ref="O856" authorId="0" shapeId="0" xr:uid="{00000000-0006-0000-0000-000038010000}">
      <text>
        <r>
          <rPr>
            <sz val="11"/>
            <color theme="1"/>
            <rFont val="Calibri"/>
            <family val="2"/>
            <scheme val="minor"/>
          </rPr>
          <t>Tipo de actividad (elegir de la lista)</t>
        </r>
      </text>
    </comment>
    <comment ref="M863" authorId="0" shapeId="0" xr:uid="{00000000-0006-0000-0000-000039010000}">
      <text>
        <r>
          <rPr>
            <sz val="11"/>
            <color theme="1"/>
            <rFont val="Calibri"/>
            <family val="2"/>
            <scheme val="minor"/>
          </rPr>
          <t>Elegir el instructor de la lista</t>
        </r>
      </text>
    </comment>
    <comment ref="O863" authorId="0" shapeId="0" xr:uid="{00000000-0006-0000-0000-00003A010000}">
      <text>
        <r>
          <rPr>
            <sz val="11"/>
            <color theme="1"/>
            <rFont val="Calibri"/>
            <family val="2"/>
            <scheme val="minor"/>
          </rPr>
          <t>Tipo de actividad (elegir de la lista)</t>
        </r>
      </text>
    </comment>
    <comment ref="M868" authorId="0" shapeId="0" xr:uid="{00000000-0006-0000-0000-00003B010000}">
      <text>
        <r>
          <rPr>
            <sz val="11"/>
            <color theme="1"/>
            <rFont val="Calibri"/>
            <family val="2"/>
            <scheme val="minor"/>
          </rPr>
          <t>Elegir el instructor de la lista</t>
        </r>
      </text>
    </comment>
    <comment ref="O868" authorId="0" shapeId="0" xr:uid="{00000000-0006-0000-0000-00003C010000}">
      <text>
        <r>
          <rPr>
            <sz val="11"/>
            <color theme="1"/>
            <rFont val="Calibri"/>
            <family val="2"/>
            <scheme val="minor"/>
          </rPr>
          <t>Tipo de actividad (elegir de la lista)</t>
        </r>
      </text>
    </comment>
    <comment ref="M873" authorId="0" shapeId="0" xr:uid="{00000000-0006-0000-0000-00003D010000}">
      <text>
        <r>
          <rPr>
            <sz val="11"/>
            <color theme="1"/>
            <rFont val="Calibri"/>
            <family val="2"/>
            <scheme val="minor"/>
          </rPr>
          <t>Elegir el instructor de la lista</t>
        </r>
      </text>
    </comment>
    <comment ref="O873" authorId="0" shapeId="0" xr:uid="{00000000-0006-0000-0000-00003E010000}">
      <text>
        <r>
          <rPr>
            <sz val="11"/>
            <color theme="1"/>
            <rFont val="Calibri"/>
            <family val="2"/>
            <scheme val="minor"/>
          </rPr>
          <t>Tipo de actividad (elegir de la lista)</t>
        </r>
      </text>
    </comment>
    <comment ref="M878" authorId="0" shapeId="0" xr:uid="{00000000-0006-0000-0000-00003F010000}">
      <text>
        <r>
          <rPr>
            <sz val="11"/>
            <color theme="1"/>
            <rFont val="Calibri"/>
            <family val="2"/>
            <scheme val="minor"/>
          </rPr>
          <t>Elegir el instructor de la lista</t>
        </r>
      </text>
    </comment>
    <comment ref="O878" authorId="0" shapeId="0" xr:uid="{00000000-0006-0000-0000-000040010000}">
      <text>
        <r>
          <rPr>
            <sz val="11"/>
            <color theme="1"/>
            <rFont val="Calibri"/>
            <family val="2"/>
            <scheme val="minor"/>
          </rPr>
          <t>Tipo de actividad (elegir de la lista)</t>
        </r>
      </text>
    </comment>
    <comment ref="M883" authorId="0" shapeId="0" xr:uid="{00000000-0006-0000-0000-000041010000}">
      <text>
        <r>
          <rPr>
            <sz val="11"/>
            <color theme="1"/>
            <rFont val="Calibri"/>
            <family val="2"/>
            <scheme val="minor"/>
          </rPr>
          <t>Elegir el instructor de la lista</t>
        </r>
      </text>
    </comment>
    <comment ref="O883" authorId="0" shapeId="0" xr:uid="{00000000-0006-0000-0000-000042010000}">
      <text>
        <r>
          <rPr>
            <sz val="11"/>
            <color theme="1"/>
            <rFont val="Calibri"/>
            <family val="2"/>
            <scheme val="minor"/>
          </rPr>
          <t>Tipo de actividad (elegir de la lista)</t>
        </r>
      </text>
    </comment>
    <comment ref="M888" authorId="0" shapeId="0" xr:uid="{00000000-0006-0000-0000-000043010000}">
      <text>
        <r>
          <rPr>
            <sz val="11"/>
            <color theme="1"/>
            <rFont val="Calibri"/>
            <family val="2"/>
            <scheme val="minor"/>
          </rPr>
          <t>Elegir el instructor de la lista</t>
        </r>
      </text>
    </comment>
    <comment ref="O888" authorId="0" shapeId="0" xr:uid="{00000000-0006-0000-0000-000044010000}">
      <text>
        <r>
          <rPr>
            <sz val="11"/>
            <color theme="1"/>
            <rFont val="Calibri"/>
            <family val="2"/>
            <scheme val="minor"/>
          </rPr>
          <t>Tipo de actividad (elegir de la lista)</t>
        </r>
      </text>
    </comment>
    <comment ref="M893" authorId="0" shapeId="0" xr:uid="{00000000-0006-0000-0000-000045010000}">
      <text>
        <r>
          <rPr>
            <sz val="11"/>
            <color theme="1"/>
            <rFont val="Calibri"/>
            <family val="2"/>
            <scheme val="minor"/>
          </rPr>
          <t>Elegir el instructor de la lista</t>
        </r>
      </text>
    </comment>
    <comment ref="O893" authorId="0" shapeId="0" xr:uid="{00000000-0006-0000-0000-000046010000}">
      <text>
        <r>
          <rPr>
            <sz val="11"/>
            <color theme="1"/>
            <rFont val="Calibri"/>
            <family val="2"/>
            <scheme val="minor"/>
          </rPr>
          <t>Tipo de actividad (elegir de la lista)</t>
        </r>
      </text>
    </comment>
    <comment ref="M898" authorId="0" shapeId="0" xr:uid="{00000000-0006-0000-0000-000047010000}">
      <text>
        <r>
          <rPr>
            <sz val="11"/>
            <color theme="1"/>
            <rFont val="Calibri"/>
            <family val="2"/>
            <scheme val="minor"/>
          </rPr>
          <t>Elegir el instructor de la lista</t>
        </r>
      </text>
    </comment>
    <comment ref="O898" authorId="0" shapeId="0" xr:uid="{00000000-0006-0000-0000-000048010000}">
      <text>
        <r>
          <rPr>
            <sz val="11"/>
            <color theme="1"/>
            <rFont val="Calibri"/>
            <family val="2"/>
            <scheme val="minor"/>
          </rPr>
          <t>Tipo de actividad (elegir de la lista)</t>
        </r>
      </text>
    </comment>
    <comment ref="M905" authorId="0" shapeId="0" xr:uid="{00000000-0006-0000-0000-000049010000}">
      <text>
        <r>
          <rPr>
            <sz val="11"/>
            <color theme="1"/>
            <rFont val="Calibri"/>
            <family val="2"/>
            <scheme val="minor"/>
          </rPr>
          <t>Elegir el instructor de la lista</t>
        </r>
      </text>
    </comment>
    <comment ref="O905" authorId="0" shapeId="0" xr:uid="{00000000-0006-0000-0000-00004A010000}">
      <text>
        <r>
          <rPr>
            <sz val="11"/>
            <color theme="1"/>
            <rFont val="Calibri"/>
            <family val="2"/>
            <scheme val="minor"/>
          </rPr>
          <t>Tipo de actividad (elegir de la lista)</t>
        </r>
      </text>
    </comment>
    <comment ref="M910" authorId="0" shapeId="0" xr:uid="{00000000-0006-0000-0000-00004B010000}">
      <text>
        <r>
          <rPr>
            <sz val="11"/>
            <color theme="1"/>
            <rFont val="Calibri"/>
            <family val="2"/>
            <scheme val="minor"/>
          </rPr>
          <t>Elegir el instructor de la lista</t>
        </r>
      </text>
    </comment>
    <comment ref="O910" authorId="0" shapeId="0" xr:uid="{00000000-0006-0000-0000-00004C010000}">
      <text>
        <r>
          <rPr>
            <sz val="11"/>
            <color theme="1"/>
            <rFont val="Calibri"/>
            <family val="2"/>
            <scheme val="minor"/>
          </rPr>
          <t>Tipo de actividad (elegir de la lista)</t>
        </r>
      </text>
    </comment>
    <comment ref="M917" authorId="0" shapeId="0" xr:uid="{00000000-0006-0000-0000-00004D010000}">
      <text>
        <r>
          <rPr>
            <sz val="11"/>
            <color theme="1"/>
            <rFont val="Calibri"/>
            <family val="2"/>
            <scheme val="minor"/>
          </rPr>
          <t>Elegir el instructor de la lista</t>
        </r>
      </text>
    </comment>
    <comment ref="O917" authorId="0" shapeId="0" xr:uid="{00000000-0006-0000-0000-00004E010000}">
      <text>
        <r>
          <rPr>
            <sz val="11"/>
            <color theme="1"/>
            <rFont val="Calibri"/>
            <family val="2"/>
            <scheme val="minor"/>
          </rPr>
          <t>Tipo de actividad (elegir de la lista)</t>
        </r>
      </text>
    </comment>
    <comment ref="M924" authorId="0" shapeId="0" xr:uid="{00000000-0006-0000-0000-00004F010000}">
      <text>
        <r>
          <rPr>
            <sz val="11"/>
            <color theme="1"/>
            <rFont val="Calibri"/>
            <family val="2"/>
            <scheme val="minor"/>
          </rPr>
          <t>Elegir el instructor de la lista</t>
        </r>
      </text>
    </comment>
    <comment ref="O924" authorId="0" shapeId="0" xr:uid="{00000000-0006-0000-0000-000050010000}">
      <text>
        <r>
          <rPr>
            <sz val="11"/>
            <color theme="1"/>
            <rFont val="Calibri"/>
            <family val="2"/>
            <scheme val="minor"/>
          </rPr>
          <t>Tipo de actividad (elegir de la lista)</t>
        </r>
      </text>
    </comment>
    <comment ref="M929" authorId="0" shapeId="0" xr:uid="{00000000-0006-0000-0000-000051010000}">
      <text>
        <r>
          <rPr>
            <sz val="11"/>
            <color theme="1"/>
            <rFont val="Calibri"/>
            <family val="2"/>
            <scheme val="minor"/>
          </rPr>
          <t>Elegir el instructor de la lista</t>
        </r>
      </text>
    </comment>
    <comment ref="O929" authorId="0" shapeId="0" xr:uid="{00000000-0006-0000-0000-000052010000}">
      <text>
        <r>
          <rPr>
            <sz val="11"/>
            <color theme="1"/>
            <rFont val="Calibri"/>
            <family val="2"/>
            <scheme val="minor"/>
          </rPr>
          <t>Tipo de actividad (elegir de la lista)</t>
        </r>
      </text>
    </comment>
    <comment ref="M934" authorId="0" shapeId="0" xr:uid="{00000000-0006-0000-0000-000053010000}">
      <text>
        <r>
          <rPr>
            <sz val="11"/>
            <color theme="1"/>
            <rFont val="Calibri"/>
            <family val="2"/>
            <scheme val="minor"/>
          </rPr>
          <t>Elegir el instructor de la lista</t>
        </r>
      </text>
    </comment>
    <comment ref="O934" authorId="0" shapeId="0" xr:uid="{00000000-0006-0000-0000-000054010000}">
      <text>
        <r>
          <rPr>
            <sz val="11"/>
            <color theme="1"/>
            <rFont val="Calibri"/>
            <family val="2"/>
            <scheme val="minor"/>
          </rPr>
          <t>Tipo de actividad (elegir de la lista)</t>
        </r>
      </text>
    </comment>
    <comment ref="M939" authorId="0" shapeId="0" xr:uid="{00000000-0006-0000-0000-000055010000}">
      <text>
        <r>
          <rPr>
            <sz val="11"/>
            <color theme="1"/>
            <rFont val="Calibri"/>
            <family val="2"/>
            <scheme val="minor"/>
          </rPr>
          <t>Elegir el instructor de la lista</t>
        </r>
      </text>
    </comment>
    <comment ref="O939" authorId="0" shapeId="0" xr:uid="{00000000-0006-0000-0000-000056010000}">
      <text>
        <r>
          <rPr>
            <sz val="11"/>
            <color theme="1"/>
            <rFont val="Calibri"/>
            <family val="2"/>
            <scheme val="minor"/>
          </rPr>
          <t>Tipo de actividad (elegir de la lista)</t>
        </r>
      </text>
    </comment>
    <comment ref="M944" authorId="0" shapeId="0" xr:uid="{00000000-0006-0000-0000-000057010000}">
      <text>
        <r>
          <rPr>
            <sz val="11"/>
            <color theme="1"/>
            <rFont val="Calibri"/>
            <family val="2"/>
            <scheme val="minor"/>
          </rPr>
          <t>Elegir el instructor de la lista</t>
        </r>
      </text>
    </comment>
    <comment ref="O944" authorId="0" shapeId="0" xr:uid="{00000000-0006-0000-0000-000058010000}">
      <text>
        <r>
          <rPr>
            <sz val="11"/>
            <color theme="1"/>
            <rFont val="Calibri"/>
            <family val="2"/>
            <scheme val="minor"/>
          </rPr>
          <t>Tipo de actividad (elegir de la lista)</t>
        </r>
      </text>
    </comment>
    <comment ref="M949" authorId="0" shapeId="0" xr:uid="{00000000-0006-0000-0000-000059010000}">
      <text>
        <r>
          <rPr>
            <sz val="11"/>
            <color theme="1"/>
            <rFont val="Calibri"/>
            <family val="2"/>
            <scheme val="minor"/>
          </rPr>
          <t>Elegir el instructor de la lista</t>
        </r>
      </text>
    </comment>
    <comment ref="O949" authorId="0" shapeId="0" xr:uid="{00000000-0006-0000-0000-00005A010000}">
      <text>
        <r>
          <rPr>
            <sz val="11"/>
            <color theme="1"/>
            <rFont val="Calibri"/>
            <family val="2"/>
            <scheme val="minor"/>
          </rPr>
          <t>Tipo de actividad (elegir de la lista)</t>
        </r>
      </text>
    </comment>
    <comment ref="M954" authorId="0" shapeId="0" xr:uid="{00000000-0006-0000-0000-00005B010000}">
      <text>
        <r>
          <rPr>
            <sz val="11"/>
            <color theme="1"/>
            <rFont val="Calibri"/>
            <family val="2"/>
            <scheme val="minor"/>
          </rPr>
          <t>Elegir el instructor de la lista</t>
        </r>
      </text>
    </comment>
    <comment ref="O954" authorId="0" shapeId="0" xr:uid="{00000000-0006-0000-0000-00005C010000}">
      <text>
        <r>
          <rPr>
            <sz val="11"/>
            <color theme="1"/>
            <rFont val="Calibri"/>
            <family val="2"/>
            <scheme val="minor"/>
          </rPr>
          <t>Tipo de actividad (elegir de la lista)</t>
        </r>
      </text>
    </comment>
    <comment ref="M959" authorId="0" shapeId="0" xr:uid="{00000000-0006-0000-0000-00005D010000}">
      <text>
        <r>
          <rPr>
            <sz val="11"/>
            <color theme="1"/>
            <rFont val="Calibri"/>
            <family val="2"/>
            <scheme val="minor"/>
          </rPr>
          <t>Elegir el instructor de la lista</t>
        </r>
      </text>
    </comment>
    <comment ref="O959" authorId="0" shapeId="0" xr:uid="{00000000-0006-0000-0000-00005E010000}">
      <text>
        <r>
          <rPr>
            <sz val="11"/>
            <color theme="1"/>
            <rFont val="Calibri"/>
            <family val="2"/>
            <scheme val="minor"/>
          </rPr>
          <t>Tipo de actividad (elegir de la lista)</t>
        </r>
      </text>
    </comment>
    <comment ref="M964" authorId="0" shapeId="0" xr:uid="{00000000-0006-0000-0000-00005F010000}">
      <text>
        <r>
          <rPr>
            <sz val="11"/>
            <color theme="1"/>
            <rFont val="Calibri"/>
            <family val="2"/>
            <scheme val="minor"/>
          </rPr>
          <t>Elegir el instructor de la lista</t>
        </r>
      </text>
    </comment>
    <comment ref="O964" authorId="0" shapeId="0" xr:uid="{00000000-0006-0000-0000-000060010000}">
      <text>
        <r>
          <rPr>
            <sz val="11"/>
            <color theme="1"/>
            <rFont val="Calibri"/>
            <family val="2"/>
            <scheme val="minor"/>
          </rPr>
          <t>Tipo de actividad (elegir de la lista)</t>
        </r>
      </text>
    </comment>
    <comment ref="M969" authorId="0" shapeId="0" xr:uid="{00000000-0006-0000-0000-000061010000}">
      <text>
        <r>
          <rPr>
            <sz val="11"/>
            <color theme="1"/>
            <rFont val="Calibri"/>
            <family val="2"/>
            <scheme val="minor"/>
          </rPr>
          <t>Elegir el instructor de la lista</t>
        </r>
      </text>
    </comment>
    <comment ref="O969" authorId="0" shapeId="0" xr:uid="{00000000-0006-0000-0000-000062010000}">
      <text>
        <r>
          <rPr>
            <sz val="11"/>
            <color theme="1"/>
            <rFont val="Calibri"/>
            <family val="2"/>
            <scheme val="minor"/>
          </rPr>
          <t>Tipo de actividad (elegir de la lista)</t>
        </r>
      </text>
    </comment>
    <comment ref="M974" authorId="0" shapeId="0" xr:uid="{00000000-0006-0000-0000-000063010000}">
      <text>
        <r>
          <rPr>
            <sz val="11"/>
            <color theme="1"/>
            <rFont val="Calibri"/>
            <family val="2"/>
            <scheme val="minor"/>
          </rPr>
          <t>Elegir el instructor de la lista</t>
        </r>
      </text>
    </comment>
    <comment ref="O974" authorId="0" shapeId="0" xr:uid="{00000000-0006-0000-0000-000064010000}">
      <text>
        <r>
          <rPr>
            <sz val="11"/>
            <color theme="1"/>
            <rFont val="Calibri"/>
            <family val="2"/>
            <scheme val="minor"/>
          </rPr>
          <t>Tipo de actividad (elegir de la lista)</t>
        </r>
      </text>
    </comment>
    <comment ref="M981" authorId="0" shapeId="0" xr:uid="{00000000-0006-0000-0000-000065010000}">
      <text>
        <r>
          <rPr>
            <sz val="11"/>
            <color theme="1"/>
            <rFont val="Calibri"/>
            <family val="2"/>
            <scheme val="minor"/>
          </rPr>
          <t>Elegir el instructor de la lista</t>
        </r>
      </text>
    </comment>
    <comment ref="O981" authorId="0" shapeId="0" xr:uid="{00000000-0006-0000-0000-000066010000}">
      <text>
        <r>
          <rPr>
            <sz val="11"/>
            <color theme="1"/>
            <rFont val="Calibri"/>
            <family val="2"/>
            <scheme val="minor"/>
          </rPr>
          <t>Tipo de actividad (elegir de la lista)</t>
        </r>
      </text>
    </comment>
    <comment ref="M988" authorId="0" shapeId="0" xr:uid="{00000000-0006-0000-0000-000067010000}">
      <text>
        <r>
          <rPr>
            <sz val="11"/>
            <color theme="1"/>
            <rFont val="Calibri"/>
            <family val="2"/>
            <scheme val="minor"/>
          </rPr>
          <t>Elegir el instructor de la lista</t>
        </r>
      </text>
    </comment>
    <comment ref="O988" authorId="0" shapeId="0" xr:uid="{00000000-0006-0000-0000-000068010000}">
      <text>
        <r>
          <rPr>
            <sz val="11"/>
            <color theme="1"/>
            <rFont val="Calibri"/>
            <family val="2"/>
            <scheme val="minor"/>
          </rPr>
          <t>Tipo de actividad (elegir de la lista)</t>
        </r>
      </text>
    </comment>
    <comment ref="M995" authorId="0" shapeId="0" xr:uid="{00000000-0006-0000-0000-000069010000}">
      <text>
        <r>
          <rPr>
            <sz val="11"/>
            <color theme="1"/>
            <rFont val="Calibri"/>
            <family val="2"/>
            <scheme val="minor"/>
          </rPr>
          <t>Elegir el instructor de la lista</t>
        </r>
      </text>
    </comment>
    <comment ref="O995" authorId="0" shapeId="0" xr:uid="{00000000-0006-0000-0000-00006A010000}">
      <text>
        <r>
          <rPr>
            <sz val="11"/>
            <color theme="1"/>
            <rFont val="Calibri"/>
            <family val="2"/>
            <scheme val="minor"/>
          </rPr>
          <t>Tipo de actividad (elegir de la lista)</t>
        </r>
      </text>
    </comment>
    <comment ref="M1000" authorId="0" shapeId="0" xr:uid="{00000000-0006-0000-0000-00006B010000}">
      <text>
        <r>
          <rPr>
            <sz val="11"/>
            <color theme="1"/>
            <rFont val="Calibri"/>
            <family val="2"/>
            <scheme val="minor"/>
          </rPr>
          <t>Elegir el instructor de la lista</t>
        </r>
      </text>
    </comment>
    <comment ref="O1000" authorId="0" shapeId="0" xr:uid="{00000000-0006-0000-0000-00006C010000}">
      <text>
        <r>
          <rPr>
            <sz val="11"/>
            <color theme="1"/>
            <rFont val="Calibri"/>
            <family val="2"/>
            <scheme val="minor"/>
          </rPr>
          <t>Tipo de actividad (elegir de la lista)</t>
        </r>
      </text>
    </comment>
    <comment ref="M1005" authorId="0" shapeId="0" xr:uid="{00000000-0006-0000-0000-00006D010000}">
      <text>
        <r>
          <rPr>
            <sz val="11"/>
            <color theme="1"/>
            <rFont val="Calibri"/>
            <family val="2"/>
            <scheme val="minor"/>
          </rPr>
          <t>Elegir el instructor de la lista</t>
        </r>
      </text>
    </comment>
    <comment ref="O1005" authorId="0" shapeId="0" xr:uid="{00000000-0006-0000-0000-00006E010000}">
      <text>
        <r>
          <rPr>
            <sz val="11"/>
            <color theme="1"/>
            <rFont val="Calibri"/>
            <family val="2"/>
            <scheme val="minor"/>
          </rPr>
          <t>Tipo de actividad (elegir de la lista)</t>
        </r>
      </text>
    </comment>
    <comment ref="M1012" authorId="0" shapeId="0" xr:uid="{00000000-0006-0000-0000-00006F010000}">
      <text>
        <r>
          <rPr>
            <sz val="11"/>
            <color theme="1"/>
            <rFont val="Calibri"/>
            <family val="2"/>
            <scheme val="minor"/>
          </rPr>
          <t>Elegir el instructor de la lista</t>
        </r>
      </text>
    </comment>
    <comment ref="O1012" authorId="0" shapeId="0" xr:uid="{00000000-0006-0000-0000-000070010000}">
      <text>
        <r>
          <rPr>
            <sz val="11"/>
            <color theme="1"/>
            <rFont val="Calibri"/>
            <family val="2"/>
            <scheme val="minor"/>
          </rPr>
          <t>Tipo de actividad (elegir de la lista)</t>
        </r>
      </text>
    </comment>
    <comment ref="M1017" authorId="0" shapeId="0" xr:uid="{00000000-0006-0000-0000-000071010000}">
      <text>
        <r>
          <rPr>
            <sz val="11"/>
            <color theme="1"/>
            <rFont val="Calibri"/>
            <family val="2"/>
            <scheme val="minor"/>
          </rPr>
          <t>Elegir el instructor de la lista</t>
        </r>
      </text>
    </comment>
    <comment ref="O1017" authorId="0" shapeId="0" xr:uid="{00000000-0006-0000-0000-000072010000}">
      <text>
        <r>
          <rPr>
            <sz val="11"/>
            <color theme="1"/>
            <rFont val="Calibri"/>
            <family val="2"/>
            <scheme val="minor"/>
          </rPr>
          <t>Tipo de actividad (elegir de la lista)</t>
        </r>
      </text>
    </comment>
    <comment ref="M1024" authorId="0" shapeId="0" xr:uid="{00000000-0006-0000-0000-000073010000}">
      <text>
        <r>
          <rPr>
            <sz val="11"/>
            <color theme="1"/>
            <rFont val="Calibri"/>
            <family val="2"/>
            <scheme val="minor"/>
          </rPr>
          <t>Elegir el instructor de la lista</t>
        </r>
      </text>
    </comment>
    <comment ref="O1024" authorId="0" shapeId="0" xr:uid="{00000000-0006-0000-0000-000074010000}">
      <text>
        <r>
          <rPr>
            <sz val="11"/>
            <color theme="1"/>
            <rFont val="Calibri"/>
            <family val="2"/>
            <scheme val="minor"/>
          </rPr>
          <t>Tipo de actividad (elegir de la lista)</t>
        </r>
      </text>
    </comment>
    <comment ref="M1031" authorId="0" shapeId="0" xr:uid="{00000000-0006-0000-0000-000075010000}">
      <text>
        <r>
          <rPr>
            <sz val="11"/>
            <color theme="1"/>
            <rFont val="Calibri"/>
            <family val="2"/>
            <scheme val="minor"/>
          </rPr>
          <t>Elegir el instructor de la lista</t>
        </r>
      </text>
    </comment>
    <comment ref="O1031" authorId="0" shapeId="0" xr:uid="{00000000-0006-0000-0000-000076010000}">
      <text>
        <r>
          <rPr>
            <sz val="11"/>
            <color theme="1"/>
            <rFont val="Calibri"/>
            <family val="2"/>
            <scheme val="minor"/>
          </rPr>
          <t>Tipo de actividad (elegir de la lista)</t>
        </r>
      </text>
    </comment>
    <comment ref="M1036" authorId="0" shapeId="0" xr:uid="{00000000-0006-0000-0000-000077010000}">
      <text>
        <r>
          <rPr>
            <sz val="11"/>
            <color theme="1"/>
            <rFont val="Calibri"/>
            <family val="2"/>
            <scheme val="minor"/>
          </rPr>
          <t>Elegir el instructor de la lista</t>
        </r>
      </text>
    </comment>
    <comment ref="O1036" authorId="0" shapeId="0" xr:uid="{00000000-0006-0000-0000-000078010000}">
      <text>
        <r>
          <rPr>
            <sz val="11"/>
            <color theme="1"/>
            <rFont val="Calibri"/>
            <family val="2"/>
            <scheme val="minor"/>
          </rPr>
          <t>Tipo de actividad (elegir de la lista)</t>
        </r>
      </text>
    </comment>
    <comment ref="M1041" authorId="0" shapeId="0" xr:uid="{00000000-0006-0000-0000-000079010000}">
      <text>
        <r>
          <rPr>
            <sz val="11"/>
            <color theme="1"/>
            <rFont val="Calibri"/>
            <family val="2"/>
            <scheme val="minor"/>
          </rPr>
          <t>Elegir el instructor de la lista</t>
        </r>
      </text>
    </comment>
    <comment ref="O1041" authorId="0" shapeId="0" xr:uid="{00000000-0006-0000-0000-00007A010000}">
      <text>
        <r>
          <rPr>
            <sz val="11"/>
            <color theme="1"/>
            <rFont val="Calibri"/>
            <family val="2"/>
            <scheme val="minor"/>
          </rPr>
          <t>Tipo de actividad (elegir de la lista)</t>
        </r>
      </text>
    </comment>
    <comment ref="M1046" authorId="0" shapeId="0" xr:uid="{00000000-0006-0000-0000-00007B010000}">
      <text>
        <r>
          <rPr>
            <sz val="11"/>
            <color theme="1"/>
            <rFont val="Calibri"/>
            <family val="2"/>
            <scheme val="minor"/>
          </rPr>
          <t>Elegir el instructor de la lista</t>
        </r>
      </text>
    </comment>
    <comment ref="O1046" authorId="0" shapeId="0" xr:uid="{00000000-0006-0000-0000-00007C010000}">
      <text>
        <r>
          <rPr>
            <sz val="11"/>
            <color theme="1"/>
            <rFont val="Calibri"/>
            <family val="2"/>
            <scheme val="minor"/>
          </rPr>
          <t>Tipo de actividad (elegir de la lista)</t>
        </r>
      </text>
    </comment>
    <comment ref="M1051" authorId="0" shapeId="0" xr:uid="{00000000-0006-0000-0000-00007D010000}">
      <text>
        <r>
          <rPr>
            <sz val="11"/>
            <color theme="1"/>
            <rFont val="Calibri"/>
            <family val="2"/>
            <scheme val="minor"/>
          </rPr>
          <t>Elegir el instructor de la lista</t>
        </r>
      </text>
    </comment>
    <comment ref="O1051" authorId="0" shapeId="0" xr:uid="{00000000-0006-0000-0000-00007E010000}">
      <text>
        <r>
          <rPr>
            <sz val="11"/>
            <color theme="1"/>
            <rFont val="Calibri"/>
            <family val="2"/>
            <scheme val="minor"/>
          </rPr>
          <t>Tipo de actividad (elegir de la lista)</t>
        </r>
      </text>
    </comment>
    <comment ref="M1056" authorId="0" shapeId="0" xr:uid="{00000000-0006-0000-0000-00007F010000}">
      <text>
        <r>
          <rPr>
            <sz val="11"/>
            <color theme="1"/>
            <rFont val="Calibri"/>
            <family val="2"/>
            <scheme val="minor"/>
          </rPr>
          <t>Elegir el instructor de la lista</t>
        </r>
      </text>
    </comment>
    <comment ref="O1056" authorId="0" shapeId="0" xr:uid="{00000000-0006-0000-0000-000080010000}">
      <text>
        <r>
          <rPr>
            <sz val="11"/>
            <color theme="1"/>
            <rFont val="Calibri"/>
            <family val="2"/>
            <scheme val="minor"/>
          </rPr>
          <t>Tipo de actividad (elegir de la lista)</t>
        </r>
      </text>
    </comment>
    <comment ref="M1061" authorId="0" shapeId="0" xr:uid="{00000000-0006-0000-0000-000081010000}">
      <text>
        <r>
          <rPr>
            <sz val="11"/>
            <color theme="1"/>
            <rFont val="Calibri"/>
            <family val="2"/>
            <scheme val="minor"/>
          </rPr>
          <t>Elegir el instructor de la lista</t>
        </r>
      </text>
    </comment>
    <comment ref="O1061" authorId="0" shapeId="0" xr:uid="{00000000-0006-0000-0000-000082010000}">
      <text>
        <r>
          <rPr>
            <sz val="11"/>
            <color theme="1"/>
            <rFont val="Calibri"/>
            <family val="2"/>
            <scheme val="minor"/>
          </rPr>
          <t>Tipo de actividad (elegir de la lista)</t>
        </r>
      </text>
    </comment>
    <comment ref="M1066" authorId="0" shapeId="0" xr:uid="{00000000-0006-0000-0000-000083010000}">
      <text>
        <r>
          <rPr>
            <sz val="11"/>
            <color theme="1"/>
            <rFont val="Calibri"/>
            <family val="2"/>
            <scheme val="minor"/>
          </rPr>
          <t>Elegir el instructor de la lista</t>
        </r>
      </text>
    </comment>
    <comment ref="O1066" authorId="0" shapeId="0" xr:uid="{00000000-0006-0000-0000-000084010000}">
      <text>
        <r>
          <rPr>
            <sz val="11"/>
            <color theme="1"/>
            <rFont val="Calibri"/>
            <family val="2"/>
            <scheme val="minor"/>
          </rPr>
          <t>Tipo de actividad (elegir de la lista)</t>
        </r>
      </text>
    </comment>
    <comment ref="M1071" authorId="0" shapeId="0" xr:uid="{00000000-0006-0000-0000-000085010000}">
      <text>
        <r>
          <rPr>
            <sz val="11"/>
            <color theme="1"/>
            <rFont val="Calibri"/>
            <family val="2"/>
            <scheme val="minor"/>
          </rPr>
          <t>Elegir el instructor de la lista</t>
        </r>
      </text>
    </comment>
    <comment ref="O1071" authorId="0" shapeId="0" xr:uid="{00000000-0006-0000-0000-000086010000}">
      <text>
        <r>
          <rPr>
            <sz val="11"/>
            <color theme="1"/>
            <rFont val="Calibri"/>
            <family val="2"/>
            <scheme val="minor"/>
          </rPr>
          <t>Tipo de actividad (elegir de la lista)</t>
        </r>
      </text>
    </comment>
    <comment ref="M1076" authorId="0" shapeId="0" xr:uid="{00000000-0006-0000-0000-000087010000}">
      <text>
        <r>
          <rPr>
            <sz val="11"/>
            <color theme="1"/>
            <rFont val="Calibri"/>
            <family val="2"/>
            <scheme val="minor"/>
          </rPr>
          <t>Elegir el instructor de la lista</t>
        </r>
      </text>
    </comment>
    <comment ref="O1076" authorId="0" shapeId="0" xr:uid="{00000000-0006-0000-0000-000088010000}">
      <text>
        <r>
          <rPr>
            <sz val="11"/>
            <color theme="1"/>
            <rFont val="Calibri"/>
            <family val="2"/>
            <scheme val="minor"/>
          </rPr>
          <t>Tipo de actividad (elegir de la lista)</t>
        </r>
      </text>
    </comment>
    <comment ref="M1081" authorId="0" shapeId="0" xr:uid="{00000000-0006-0000-0000-000089010000}">
      <text>
        <r>
          <rPr>
            <sz val="11"/>
            <color theme="1"/>
            <rFont val="Calibri"/>
            <family val="2"/>
            <scheme val="minor"/>
          </rPr>
          <t>Elegir el instructor de la lista</t>
        </r>
      </text>
    </comment>
    <comment ref="O1081" authorId="0" shapeId="0" xr:uid="{00000000-0006-0000-0000-00008A010000}">
      <text>
        <r>
          <rPr>
            <sz val="11"/>
            <color theme="1"/>
            <rFont val="Calibri"/>
            <family val="2"/>
            <scheme val="minor"/>
          </rPr>
          <t>Tipo de actividad (elegir de la lista)</t>
        </r>
      </text>
    </comment>
    <comment ref="M1086" authorId="0" shapeId="0" xr:uid="{00000000-0006-0000-0000-00008B010000}">
      <text>
        <r>
          <rPr>
            <sz val="11"/>
            <color theme="1"/>
            <rFont val="Calibri"/>
            <family val="2"/>
            <scheme val="minor"/>
          </rPr>
          <t>Elegir el instructor de la lista</t>
        </r>
      </text>
    </comment>
    <comment ref="O1086" authorId="0" shapeId="0" xr:uid="{00000000-0006-0000-0000-00008C010000}">
      <text>
        <r>
          <rPr>
            <sz val="11"/>
            <color theme="1"/>
            <rFont val="Calibri"/>
            <family val="2"/>
            <scheme val="minor"/>
          </rPr>
          <t>Tipo de actividad (elegir de la lista)</t>
        </r>
      </text>
    </comment>
    <comment ref="M1091" authorId="0" shapeId="0" xr:uid="{00000000-0006-0000-0000-00008D010000}">
      <text>
        <r>
          <rPr>
            <sz val="11"/>
            <color theme="1"/>
            <rFont val="Calibri"/>
            <family val="2"/>
            <scheme val="minor"/>
          </rPr>
          <t>Elegir el instructor de la lista</t>
        </r>
      </text>
    </comment>
    <comment ref="O1091" authorId="0" shapeId="0" xr:uid="{00000000-0006-0000-0000-00008E010000}">
      <text>
        <r>
          <rPr>
            <sz val="11"/>
            <color theme="1"/>
            <rFont val="Calibri"/>
            <family val="2"/>
            <scheme val="minor"/>
          </rPr>
          <t>Tipo de actividad (elegir de la lista)</t>
        </r>
      </text>
    </comment>
    <comment ref="M1098" authorId="0" shapeId="0" xr:uid="{00000000-0006-0000-0000-00008F010000}">
      <text>
        <r>
          <rPr>
            <sz val="11"/>
            <color theme="1"/>
            <rFont val="Calibri"/>
            <family val="2"/>
            <scheme val="minor"/>
          </rPr>
          <t>Elegir el instructor de la lista</t>
        </r>
      </text>
    </comment>
    <comment ref="O1098" authorId="0" shapeId="0" xr:uid="{00000000-0006-0000-0000-000090010000}">
      <text>
        <r>
          <rPr>
            <sz val="11"/>
            <color theme="1"/>
            <rFont val="Calibri"/>
            <family val="2"/>
            <scheme val="minor"/>
          </rPr>
          <t>Tipo de actividad (elegir de la lista)</t>
        </r>
      </text>
    </comment>
    <comment ref="M1105" authorId="0" shapeId="0" xr:uid="{00000000-0006-0000-0000-000091010000}">
      <text>
        <r>
          <rPr>
            <sz val="11"/>
            <color theme="1"/>
            <rFont val="Calibri"/>
            <family val="2"/>
            <scheme val="minor"/>
          </rPr>
          <t>Elegir el instructor de la lista</t>
        </r>
      </text>
    </comment>
    <comment ref="O1105" authorId="0" shapeId="0" xr:uid="{00000000-0006-0000-0000-000092010000}">
      <text>
        <r>
          <rPr>
            <sz val="11"/>
            <color theme="1"/>
            <rFont val="Calibri"/>
            <family val="2"/>
            <scheme val="minor"/>
          </rPr>
          <t>Tipo de actividad (elegir de la lista)</t>
        </r>
      </text>
    </comment>
    <comment ref="M1110" authorId="0" shapeId="0" xr:uid="{00000000-0006-0000-0000-000093010000}">
      <text>
        <r>
          <rPr>
            <sz val="11"/>
            <color theme="1"/>
            <rFont val="Calibri"/>
            <family val="2"/>
            <scheme val="minor"/>
          </rPr>
          <t>Elegir el instructor de la lista</t>
        </r>
      </text>
    </comment>
    <comment ref="O1110" authorId="0" shapeId="0" xr:uid="{00000000-0006-0000-0000-000094010000}">
      <text>
        <r>
          <rPr>
            <sz val="11"/>
            <color theme="1"/>
            <rFont val="Calibri"/>
            <family val="2"/>
            <scheme val="minor"/>
          </rPr>
          <t>Tipo de actividad (elegir de la lista)</t>
        </r>
      </text>
    </comment>
    <comment ref="M1115" authorId="0" shapeId="0" xr:uid="{00000000-0006-0000-0000-000095010000}">
      <text>
        <r>
          <rPr>
            <sz val="11"/>
            <color theme="1"/>
            <rFont val="Calibri"/>
            <family val="2"/>
            <scheme val="minor"/>
          </rPr>
          <t>Elegir el instructor de la lista</t>
        </r>
      </text>
    </comment>
    <comment ref="O1115" authorId="0" shapeId="0" xr:uid="{00000000-0006-0000-0000-000096010000}">
      <text>
        <r>
          <rPr>
            <sz val="11"/>
            <color theme="1"/>
            <rFont val="Calibri"/>
            <family val="2"/>
            <scheme val="minor"/>
          </rPr>
          <t>Tipo de actividad (elegir de la lista)</t>
        </r>
      </text>
    </comment>
    <comment ref="M1120" authorId="0" shapeId="0" xr:uid="{00000000-0006-0000-0000-000097010000}">
      <text>
        <r>
          <rPr>
            <sz val="11"/>
            <color theme="1"/>
            <rFont val="Calibri"/>
            <family val="2"/>
            <scheme val="minor"/>
          </rPr>
          <t>Elegir el instructor de la lista</t>
        </r>
      </text>
    </comment>
    <comment ref="O1120" authorId="0" shapeId="0" xr:uid="{00000000-0006-0000-0000-000098010000}">
      <text>
        <r>
          <rPr>
            <sz val="11"/>
            <color theme="1"/>
            <rFont val="Calibri"/>
            <family val="2"/>
            <scheme val="minor"/>
          </rPr>
          <t>Tipo de actividad (elegir de la lista)</t>
        </r>
      </text>
    </comment>
    <comment ref="M1125" authorId="0" shapeId="0" xr:uid="{00000000-0006-0000-0000-000099010000}">
      <text>
        <r>
          <rPr>
            <sz val="11"/>
            <color theme="1"/>
            <rFont val="Calibri"/>
            <family val="2"/>
            <scheme val="minor"/>
          </rPr>
          <t>Elegir el instructor de la lista</t>
        </r>
      </text>
    </comment>
    <comment ref="O1125" authorId="0" shapeId="0" xr:uid="{00000000-0006-0000-0000-00009A010000}">
      <text>
        <r>
          <rPr>
            <sz val="11"/>
            <color theme="1"/>
            <rFont val="Calibri"/>
            <family val="2"/>
            <scheme val="minor"/>
          </rPr>
          <t>Tipo de actividad (elegir de la lista)</t>
        </r>
      </text>
    </comment>
    <comment ref="M1130" authorId="0" shapeId="0" xr:uid="{00000000-0006-0000-0000-00009B010000}">
      <text>
        <r>
          <rPr>
            <sz val="11"/>
            <color theme="1"/>
            <rFont val="Calibri"/>
            <family val="2"/>
            <scheme val="minor"/>
          </rPr>
          <t>Elegir el instructor de la lista</t>
        </r>
      </text>
    </comment>
    <comment ref="O1130" authorId="0" shapeId="0" xr:uid="{00000000-0006-0000-0000-00009C010000}">
      <text>
        <r>
          <rPr>
            <sz val="11"/>
            <color theme="1"/>
            <rFont val="Calibri"/>
            <family val="2"/>
            <scheme val="minor"/>
          </rPr>
          <t>Tipo de actividad (elegir de la lista)</t>
        </r>
      </text>
    </comment>
    <comment ref="M1135" authorId="0" shapeId="0" xr:uid="{00000000-0006-0000-0000-00009D010000}">
      <text>
        <r>
          <rPr>
            <sz val="11"/>
            <color theme="1"/>
            <rFont val="Calibri"/>
            <family val="2"/>
            <scheme val="minor"/>
          </rPr>
          <t>Elegir el instructor de la lista</t>
        </r>
      </text>
    </comment>
    <comment ref="O1135" authorId="0" shapeId="0" xr:uid="{00000000-0006-0000-0000-00009E010000}">
      <text>
        <r>
          <rPr>
            <sz val="11"/>
            <color theme="1"/>
            <rFont val="Calibri"/>
            <family val="2"/>
            <scheme val="minor"/>
          </rPr>
          <t>Tipo de actividad (elegir de la lista)</t>
        </r>
      </text>
    </comment>
    <comment ref="M1140" authorId="0" shapeId="0" xr:uid="{00000000-0006-0000-0000-00009F010000}">
      <text>
        <r>
          <rPr>
            <sz val="11"/>
            <color theme="1"/>
            <rFont val="Calibri"/>
            <family val="2"/>
            <scheme val="minor"/>
          </rPr>
          <t>Elegir el instructor de la lista</t>
        </r>
      </text>
    </comment>
    <comment ref="O1140" authorId="0" shapeId="0" xr:uid="{00000000-0006-0000-0000-0000A0010000}">
      <text>
        <r>
          <rPr>
            <sz val="11"/>
            <color theme="1"/>
            <rFont val="Calibri"/>
            <family val="2"/>
            <scheme val="minor"/>
          </rPr>
          <t>Tipo de actividad (elegir de la lista)</t>
        </r>
      </text>
    </comment>
    <comment ref="M1145" authorId="0" shapeId="0" xr:uid="{00000000-0006-0000-0000-0000A1010000}">
      <text>
        <r>
          <rPr>
            <sz val="11"/>
            <color theme="1"/>
            <rFont val="Calibri"/>
            <family val="2"/>
            <scheme val="minor"/>
          </rPr>
          <t>Elegir el instructor de la lista</t>
        </r>
      </text>
    </comment>
    <comment ref="O1145" authorId="0" shapeId="0" xr:uid="{00000000-0006-0000-0000-0000A2010000}">
      <text>
        <r>
          <rPr>
            <sz val="11"/>
            <color theme="1"/>
            <rFont val="Calibri"/>
            <family val="2"/>
            <scheme val="minor"/>
          </rPr>
          <t>Tipo de actividad (elegir de la lista)</t>
        </r>
      </text>
    </comment>
    <comment ref="M1150" authorId="0" shapeId="0" xr:uid="{00000000-0006-0000-0000-0000A3010000}">
      <text>
        <r>
          <rPr>
            <sz val="11"/>
            <color theme="1"/>
            <rFont val="Calibri"/>
            <family val="2"/>
            <scheme val="minor"/>
          </rPr>
          <t>Elegir el instructor de la lista</t>
        </r>
      </text>
    </comment>
    <comment ref="O1150" authorId="0" shapeId="0" xr:uid="{00000000-0006-0000-0000-0000A4010000}">
      <text>
        <r>
          <rPr>
            <sz val="11"/>
            <color theme="1"/>
            <rFont val="Calibri"/>
            <family val="2"/>
            <scheme val="minor"/>
          </rPr>
          <t>Tipo de actividad (elegir de la lista)</t>
        </r>
      </text>
    </comment>
    <comment ref="M1155" authorId="0" shapeId="0" xr:uid="{00000000-0006-0000-0000-0000A5010000}">
      <text>
        <r>
          <rPr>
            <sz val="11"/>
            <color theme="1"/>
            <rFont val="Calibri"/>
            <family val="2"/>
            <scheme val="minor"/>
          </rPr>
          <t>Elegir el instructor de la lista</t>
        </r>
      </text>
    </comment>
    <comment ref="O1155" authorId="0" shapeId="0" xr:uid="{00000000-0006-0000-0000-0000A6010000}">
      <text>
        <r>
          <rPr>
            <sz val="11"/>
            <color theme="1"/>
            <rFont val="Calibri"/>
            <family val="2"/>
            <scheme val="minor"/>
          </rPr>
          <t>Tipo de actividad (elegir de la lista)</t>
        </r>
      </text>
    </comment>
    <comment ref="M1160" authorId="0" shapeId="0" xr:uid="{00000000-0006-0000-0000-0000A7010000}">
      <text>
        <r>
          <rPr>
            <sz val="11"/>
            <color theme="1"/>
            <rFont val="Calibri"/>
            <family val="2"/>
            <scheme val="minor"/>
          </rPr>
          <t>Elegir el instructor de la lista</t>
        </r>
      </text>
    </comment>
    <comment ref="O1160" authorId="0" shapeId="0" xr:uid="{00000000-0006-0000-0000-0000A8010000}">
      <text>
        <r>
          <rPr>
            <sz val="11"/>
            <color theme="1"/>
            <rFont val="Calibri"/>
            <family val="2"/>
            <scheme val="minor"/>
          </rPr>
          <t>Tipo de actividad (elegir de la lista)</t>
        </r>
      </text>
    </comment>
    <comment ref="M1165" authorId="0" shapeId="0" xr:uid="{00000000-0006-0000-0000-0000A9010000}">
      <text>
        <r>
          <rPr>
            <sz val="11"/>
            <color theme="1"/>
            <rFont val="Calibri"/>
            <family val="2"/>
            <scheme val="minor"/>
          </rPr>
          <t>Elegir el instructor de la lista</t>
        </r>
      </text>
    </comment>
    <comment ref="O1165" authorId="0" shapeId="0" xr:uid="{00000000-0006-0000-0000-0000AA010000}">
      <text>
        <r>
          <rPr>
            <sz val="11"/>
            <color theme="1"/>
            <rFont val="Calibri"/>
            <family val="2"/>
            <scheme val="minor"/>
          </rPr>
          <t>Tipo de actividad (elegir de la lista)</t>
        </r>
      </text>
    </comment>
    <comment ref="M1172" authorId="0" shapeId="0" xr:uid="{00000000-0006-0000-0000-0000AB010000}">
      <text>
        <r>
          <rPr>
            <sz val="11"/>
            <color theme="1"/>
            <rFont val="Calibri"/>
            <family val="2"/>
            <scheme val="minor"/>
          </rPr>
          <t>Elegir el instructor de la lista</t>
        </r>
      </text>
    </comment>
    <comment ref="O1172" authorId="0" shapeId="0" xr:uid="{00000000-0006-0000-0000-0000AC010000}">
      <text>
        <r>
          <rPr>
            <sz val="11"/>
            <color theme="1"/>
            <rFont val="Calibri"/>
            <family val="2"/>
            <scheme val="minor"/>
          </rPr>
          <t>Tipo de actividad (elegir de la lista)</t>
        </r>
      </text>
    </comment>
    <comment ref="M1179" authorId="0" shapeId="0" xr:uid="{00000000-0006-0000-0000-0000AD010000}">
      <text>
        <r>
          <rPr>
            <sz val="11"/>
            <color theme="1"/>
            <rFont val="Calibri"/>
            <family val="2"/>
            <scheme val="minor"/>
          </rPr>
          <t>Elegir el instructor de la lista</t>
        </r>
      </text>
    </comment>
    <comment ref="O1179" authorId="0" shapeId="0" xr:uid="{00000000-0006-0000-0000-0000AE010000}">
      <text>
        <r>
          <rPr>
            <sz val="11"/>
            <color theme="1"/>
            <rFont val="Calibri"/>
            <family val="2"/>
            <scheme val="minor"/>
          </rPr>
          <t>Tipo de actividad (elegir de la lista)</t>
        </r>
      </text>
    </comment>
    <comment ref="M1184" authorId="0" shapeId="0" xr:uid="{00000000-0006-0000-0000-0000AF010000}">
      <text>
        <r>
          <rPr>
            <sz val="11"/>
            <color theme="1"/>
            <rFont val="Calibri"/>
            <family val="2"/>
            <scheme val="minor"/>
          </rPr>
          <t>Elegir el instructor de la lista</t>
        </r>
      </text>
    </comment>
    <comment ref="O1184" authorId="0" shapeId="0" xr:uid="{00000000-0006-0000-0000-0000B0010000}">
      <text>
        <r>
          <rPr>
            <sz val="11"/>
            <color theme="1"/>
            <rFont val="Calibri"/>
            <family val="2"/>
            <scheme val="minor"/>
          </rPr>
          <t>Tipo de actividad (elegir de la lista)</t>
        </r>
      </text>
    </comment>
    <comment ref="M1191" authorId="0" shapeId="0" xr:uid="{00000000-0006-0000-0000-0000B1010000}">
      <text>
        <r>
          <rPr>
            <sz val="11"/>
            <color theme="1"/>
            <rFont val="Calibri"/>
            <family val="2"/>
            <scheme val="minor"/>
          </rPr>
          <t>Elegir el instructor de la lista</t>
        </r>
      </text>
    </comment>
    <comment ref="O1191" authorId="0" shapeId="0" xr:uid="{00000000-0006-0000-0000-0000B2010000}">
      <text>
        <r>
          <rPr>
            <sz val="11"/>
            <color theme="1"/>
            <rFont val="Calibri"/>
            <family val="2"/>
            <scheme val="minor"/>
          </rPr>
          <t>Tipo de actividad (elegir de la lista)</t>
        </r>
      </text>
    </comment>
    <comment ref="M1198" authorId="0" shapeId="0" xr:uid="{00000000-0006-0000-0000-0000B3010000}">
      <text>
        <r>
          <rPr>
            <sz val="11"/>
            <color theme="1"/>
            <rFont val="Calibri"/>
            <family val="2"/>
            <scheme val="minor"/>
          </rPr>
          <t>Elegir el instructor de la lista</t>
        </r>
      </text>
    </comment>
    <comment ref="O1198" authorId="0" shapeId="0" xr:uid="{00000000-0006-0000-0000-0000B4010000}">
      <text>
        <r>
          <rPr>
            <sz val="11"/>
            <color theme="1"/>
            <rFont val="Calibri"/>
            <family val="2"/>
            <scheme val="minor"/>
          </rPr>
          <t>Tipo de actividad (elegir de la lista)</t>
        </r>
      </text>
    </comment>
    <comment ref="M1203" authorId="0" shapeId="0" xr:uid="{00000000-0006-0000-0000-0000B5010000}">
      <text>
        <r>
          <rPr>
            <sz val="11"/>
            <color theme="1"/>
            <rFont val="Calibri"/>
            <family val="2"/>
            <scheme val="minor"/>
          </rPr>
          <t>Elegir el instructor de la lista</t>
        </r>
      </text>
    </comment>
    <comment ref="O1203" authorId="0" shapeId="0" xr:uid="{00000000-0006-0000-0000-0000B6010000}">
      <text>
        <r>
          <rPr>
            <sz val="11"/>
            <color theme="1"/>
            <rFont val="Calibri"/>
            <family val="2"/>
            <scheme val="minor"/>
          </rPr>
          <t>Tipo de actividad (elegir de la lista)</t>
        </r>
      </text>
    </comment>
    <comment ref="M1208" authorId="0" shapeId="0" xr:uid="{00000000-0006-0000-0000-0000B7010000}">
      <text>
        <r>
          <rPr>
            <sz val="11"/>
            <color theme="1"/>
            <rFont val="Calibri"/>
            <family val="2"/>
            <scheme val="minor"/>
          </rPr>
          <t>Elegir el instructor de la lista</t>
        </r>
      </text>
    </comment>
    <comment ref="O1208" authorId="0" shapeId="0" xr:uid="{00000000-0006-0000-0000-0000B8010000}">
      <text>
        <r>
          <rPr>
            <sz val="11"/>
            <color theme="1"/>
            <rFont val="Calibri"/>
            <family val="2"/>
            <scheme val="minor"/>
          </rPr>
          <t>Tipo de actividad (elegir de la lista)</t>
        </r>
      </text>
    </comment>
    <comment ref="M1213" authorId="0" shapeId="0" xr:uid="{00000000-0006-0000-0000-0000B9010000}">
      <text>
        <r>
          <rPr>
            <sz val="11"/>
            <color theme="1"/>
            <rFont val="Calibri"/>
            <family val="2"/>
            <scheme val="minor"/>
          </rPr>
          <t>Elegir el instructor de la lista</t>
        </r>
      </text>
    </comment>
    <comment ref="O1213" authorId="0" shapeId="0" xr:uid="{00000000-0006-0000-0000-0000BA010000}">
      <text>
        <r>
          <rPr>
            <sz val="11"/>
            <color theme="1"/>
            <rFont val="Calibri"/>
            <family val="2"/>
            <scheme val="minor"/>
          </rPr>
          <t>Tipo de actividad (elegir de la lista)</t>
        </r>
      </text>
    </comment>
    <comment ref="M1218" authorId="0" shapeId="0" xr:uid="{00000000-0006-0000-0000-0000BB010000}">
      <text>
        <r>
          <rPr>
            <sz val="11"/>
            <color theme="1"/>
            <rFont val="Calibri"/>
            <family val="2"/>
            <scheme val="minor"/>
          </rPr>
          <t>Elegir el instructor de la lista</t>
        </r>
      </text>
    </comment>
    <comment ref="O1218" authorId="0" shapeId="0" xr:uid="{00000000-0006-0000-0000-0000BC010000}">
      <text>
        <r>
          <rPr>
            <sz val="11"/>
            <color theme="1"/>
            <rFont val="Calibri"/>
            <family val="2"/>
            <scheme val="minor"/>
          </rPr>
          <t>Tipo de actividad (elegir de la lista)</t>
        </r>
      </text>
    </comment>
    <comment ref="M1223" authorId="0" shapeId="0" xr:uid="{00000000-0006-0000-0000-0000BD010000}">
      <text>
        <r>
          <rPr>
            <sz val="11"/>
            <color theme="1"/>
            <rFont val="Calibri"/>
            <family val="2"/>
            <scheme val="minor"/>
          </rPr>
          <t>Elegir el instructor de la lista</t>
        </r>
      </text>
    </comment>
    <comment ref="O1223" authorId="0" shapeId="0" xr:uid="{00000000-0006-0000-0000-0000BE010000}">
      <text>
        <r>
          <rPr>
            <sz val="11"/>
            <color theme="1"/>
            <rFont val="Calibri"/>
            <family val="2"/>
            <scheme val="minor"/>
          </rPr>
          <t>Tipo de actividad (elegir de la lista)</t>
        </r>
      </text>
    </comment>
    <comment ref="M1228" authorId="0" shapeId="0" xr:uid="{00000000-0006-0000-0000-0000BF010000}">
      <text>
        <r>
          <rPr>
            <sz val="11"/>
            <color theme="1"/>
            <rFont val="Calibri"/>
            <family val="2"/>
            <scheme val="minor"/>
          </rPr>
          <t>Elegir el instructor de la lista</t>
        </r>
      </text>
    </comment>
    <comment ref="O1228" authorId="0" shapeId="0" xr:uid="{00000000-0006-0000-0000-0000C0010000}">
      <text>
        <r>
          <rPr>
            <sz val="11"/>
            <color theme="1"/>
            <rFont val="Calibri"/>
            <family val="2"/>
            <scheme val="minor"/>
          </rPr>
          <t>Tipo de actividad (elegir de la lista)</t>
        </r>
      </text>
    </comment>
    <comment ref="M1233" authorId="0" shapeId="0" xr:uid="{00000000-0006-0000-0000-0000C1010000}">
      <text>
        <r>
          <rPr>
            <sz val="11"/>
            <color theme="1"/>
            <rFont val="Calibri"/>
            <family val="2"/>
            <scheme val="minor"/>
          </rPr>
          <t>Elegir el instructor de la lista</t>
        </r>
      </text>
    </comment>
    <comment ref="O1233" authorId="0" shapeId="0" xr:uid="{00000000-0006-0000-0000-0000C2010000}">
      <text>
        <r>
          <rPr>
            <sz val="11"/>
            <color theme="1"/>
            <rFont val="Calibri"/>
            <family val="2"/>
            <scheme val="minor"/>
          </rPr>
          <t>Tipo de actividad (elegir de la lista)</t>
        </r>
      </text>
    </comment>
    <comment ref="M1238" authorId="0" shapeId="0" xr:uid="{00000000-0006-0000-0000-0000C3010000}">
      <text>
        <r>
          <rPr>
            <sz val="11"/>
            <color theme="1"/>
            <rFont val="Calibri"/>
            <family val="2"/>
            <scheme val="minor"/>
          </rPr>
          <t>Elegir el instructor de la lista</t>
        </r>
      </text>
    </comment>
    <comment ref="O1238" authorId="0" shapeId="0" xr:uid="{00000000-0006-0000-0000-0000C4010000}">
      <text>
        <r>
          <rPr>
            <sz val="11"/>
            <color theme="1"/>
            <rFont val="Calibri"/>
            <family val="2"/>
            <scheme val="minor"/>
          </rPr>
          <t>Tipo de actividad (elegir de la lista)</t>
        </r>
      </text>
    </comment>
    <comment ref="M1243" authorId="0" shapeId="0" xr:uid="{00000000-0006-0000-0000-0000C5010000}">
      <text>
        <r>
          <rPr>
            <sz val="11"/>
            <color theme="1"/>
            <rFont val="Calibri"/>
            <family val="2"/>
            <scheme val="minor"/>
          </rPr>
          <t>Elegir el instructor de la lista</t>
        </r>
      </text>
    </comment>
    <comment ref="O1243" authorId="0" shapeId="0" xr:uid="{00000000-0006-0000-0000-0000C6010000}">
      <text>
        <r>
          <rPr>
            <sz val="11"/>
            <color theme="1"/>
            <rFont val="Calibri"/>
            <family val="2"/>
            <scheme val="minor"/>
          </rPr>
          <t>Tipo de actividad (elegir de la lista)</t>
        </r>
      </text>
    </comment>
    <comment ref="M1248" authorId="0" shapeId="0" xr:uid="{00000000-0006-0000-0000-0000C7010000}">
      <text>
        <r>
          <rPr>
            <sz val="11"/>
            <color theme="1"/>
            <rFont val="Calibri"/>
            <family val="2"/>
            <scheme val="minor"/>
          </rPr>
          <t>Elegir el instructor de la lista</t>
        </r>
      </text>
    </comment>
    <comment ref="O1248" authorId="0" shapeId="0" xr:uid="{00000000-0006-0000-0000-0000C8010000}">
      <text>
        <r>
          <rPr>
            <sz val="11"/>
            <color theme="1"/>
            <rFont val="Calibri"/>
            <family val="2"/>
            <scheme val="minor"/>
          </rPr>
          <t>Tipo de actividad (elegir de la lista)</t>
        </r>
      </text>
    </comment>
    <comment ref="M1253" authorId="0" shapeId="0" xr:uid="{00000000-0006-0000-0000-0000C9010000}">
      <text>
        <r>
          <rPr>
            <sz val="11"/>
            <color theme="1"/>
            <rFont val="Calibri"/>
            <family val="2"/>
            <scheme val="minor"/>
          </rPr>
          <t>Elegir el instructor de la lista</t>
        </r>
      </text>
    </comment>
    <comment ref="O1253" authorId="0" shapeId="0" xr:uid="{00000000-0006-0000-0000-0000CA010000}">
      <text>
        <r>
          <rPr>
            <sz val="11"/>
            <color theme="1"/>
            <rFont val="Calibri"/>
            <family val="2"/>
            <scheme val="minor"/>
          </rPr>
          <t>Tipo de actividad (elegir de la lista)</t>
        </r>
      </text>
    </comment>
    <comment ref="M1258" authorId="0" shapeId="0" xr:uid="{00000000-0006-0000-0000-0000CB010000}">
      <text>
        <r>
          <rPr>
            <sz val="11"/>
            <color theme="1"/>
            <rFont val="Calibri"/>
            <family val="2"/>
            <scheme val="minor"/>
          </rPr>
          <t>Elegir el instructor de la lista</t>
        </r>
      </text>
    </comment>
    <comment ref="O1258" authorId="0" shapeId="0" xr:uid="{00000000-0006-0000-0000-0000CC010000}">
      <text>
        <r>
          <rPr>
            <sz val="11"/>
            <color theme="1"/>
            <rFont val="Calibri"/>
            <family val="2"/>
            <scheme val="minor"/>
          </rPr>
          <t>Tipo de actividad (elegir de la lista)</t>
        </r>
      </text>
    </comment>
    <comment ref="M1263" authorId="0" shapeId="0" xr:uid="{00000000-0006-0000-0000-0000CD010000}">
      <text>
        <r>
          <rPr>
            <sz val="11"/>
            <color theme="1"/>
            <rFont val="Calibri"/>
            <family val="2"/>
            <scheme val="minor"/>
          </rPr>
          <t>Elegir el instructor de la lista</t>
        </r>
      </text>
    </comment>
    <comment ref="O1263" authorId="0" shapeId="0" xr:uid="{00000000-0006-0000-0000-0000CE010000}">
      <text>
        <r>
          <rPr>
            <sz val="11"/>
            <color theme="1"/>
            <rFont val="Calibri"/>
            <family val="2"/>
            <scheme val="minor"/>
          </rPr>
          <t>Tipo de actividad (elegir de la lista)</t>
        </r>
      </text>
    </comment>
    <comment ref="M1268" authorId="0" shapeId="0" xr:uid="{00000000-0006-0000-0000-0000CF010000}">
      <text>
        <r>
          <rPr>
            <sz val="11"/>
            <color theme="1"/>
            <rFont val="Calibri"/>
            <family val="2"/>
            <scheme val="minor"/>
          </rPr>
          <t>Elegir el instructor de la lista</t>
        </r>
      </text>
    </comment>
    <comment ref="O1268" authorId="0" shapeId="0" xr:uid="{00000000-0006-0000-0000-0000D0010000}">
      <text>
        <r>
          <rPr>
            <sz val="11"/>
            <color theme="1"/>
            <rFont val="Calibri"/>
            <family val="2"/>
            <scheme val="minor"/>
          </rPr>
          <t>Tipo de actividad (elegir de la lista)</t>
        </r>
      </text>
    </comment>
    <comment ref="M1273" authorId="0" shapeId="0" xr:uid="{00000000-0006-0000-0000-0000D1010000}">
      <text>
        <r>
          <rPr>
            <sz val="11"/>
            <color theme="1"/>
            <rFont val="Calibri"/>
            <family val="2"/>
            <scheme val="minor"/>
          </rPr>
          <t>Elegir el instructor de la lista</t>
        </r>
      </text>
    </comment>
    <comment ref="O1273" authorId="0" shapeId="0" xr:uid="{00000000-0006-0000-0000-0000D2010000}">
      <text>
        <r>
          <rPr>
            <sz val="11"/>
            <color theme="1"/>
            <rFont val="Calibri"/>
            <family val="2"/>
            <scheme val="minor"/>
          </rPr>
          <t>Tipo de actividad (elegir de la lista)</t>
        </r>
      </text>
    </comment>
    <comment ref="M1278" authorId="0" shapeId="0" xr:uid="{00000000-0006-0000-0000-0000D3010000}">
      <text>
        <r>
          <rPr>
            <sz val="11"/>
            <color theme="1"/>
            <rFont val="Calibri"/>
            <family val="2"/>
            <scheme val="minor"/>
          </rPr>
          <t>Elegir el instructor de la lista</t>
        </r>
      </text>
    </comment>
    <comment ref="O1278" authorId="0" shapeId="0" xr:uid="{00000000-0006-0000-0000-0000D4010000}">
      <text>
        <r>
          <rPr>
            <sz val="11"/>
            <color theme="1"/>
            <rFont val="Calibri"/>
            <family val="2"/>
            <scheme val="minor"/>
          </rPr>
          <t>Tipo de actividad (elegir de la lista)</t>
        </r>
      </text>
    </comment>
    <comment ref="M1283" authorId="0" shapeId="0" xr:uid="{00000000-0006-0000-0000-0000D5010000}">
      <text>
        <r>
          <rPr>
            <sz val="11"/>
            <color theme="1"/>
            <rFont val="Calibri"/>
            <family val="2"/>
            <scheme val="minor"/>
          </rPr>
          <t>Elegir el instructor de la lista</t>
        </r>
      </text>
    </comment>
    <comment ref="O1283" authorId="0" shapeId="0" xr:uid="{00000000-0006-0000-0000-0000D6010000}">
      <text>
        <r>
          <rPr>
            <sz val="11"/>
            <color theme="1"/>
            <rFont val="Calibri"/>
            <family val="2"/>
            <scheme val="minor"/>
          </rPr>
          <t>Tipo de actividad (elegir de la lista)</t>
        </r>
      </text>
    </comment>
    <comment ref="M1288" authorId="0" shapeId="0" xr:uid="{00000000-0006-0000-0000-0000D7010000}">
      <text>
        <r>
          <rPr>
            <sz val="11"/>
            <color theme="1"/>
            <rFont val="Calibri"/>
            <family val="2"/>
            <scheme val="minor"/>
          </rPr>
          <t>Elegir el instructor de la lista</t>
        </r>
      </text>
    </comment>
    <comment ref="O1288" authorId="0" shapeId="0" xr:uid="{00000000-0006-0000-0000-0000D8010000}">
      <text>
        <r>
          <rPr>
            <sz val="11"/>
            <color theme="1"/>
            <rFont val="Calibri"/>
            <family val="2"/>
            <scheme val="minor"/>
          </rPr>
          <t>Tipo de actividad (elegir de la lista)</t>
        </r>
      </text>
    </comment>
    <comment ref="M1293" authorId="0" shapeId="0" xr:uid="{00000000-0006-0000-0000-0000D9010000}">
      <text>
        <r>
          <rPr>
            <sz val="11"/>
            <color theme="1"/>
            <rFont val="Calibri"/>
            <family val="2"/>
            <scheme val="minor"/>
          </rPr>
          <t>Elegir el instructor de la lista</t>
        </r>
      </text>
    </comment>
    <comment ref="O1293" authorId="0" shapeId="0" xr:uid="{00000000-0006-0000-0000-0000DA010000}">
      <text>
        <r>
          <rPr>
            <sz val="11"/>
            <color theme="1"/>
            <rFont val="Calibri"/>
            <family val="2"/>
            <scheme val="minor"/>
          </rPr>
          <t>Tipo de actividad (elegir de la lista)</t>
        </r>
      </text>
    </comment>
    <comment ref="M1298" authorId="0" shapeId="0" xr:uid="{00000000-0006-0000-0000-0000DB010000}">
      <text>
        <r>
          <rPr>
            <sz val="11"/>
            <color theme="1"/>
            <rFont val="Calibri"/>
            <family val="2"/>
            <scheme val="minor"/>
          </rPr>
          <t>Elegir el instructor de la lista</t>
        </r>
      </text>
    </comment>
    <comment ref="O1298" authorId="0" shapeId="0" xr:uid="{00000000-0006-0000-0000-0000DC010000}">
      <text>
        <r>
          <rPr>
            <sz val="11"/>
            <color theme="1"/>
            <rFont val="Calibri"/>
            <family val="2"/>
            <scheme val="minor"/>
          </rPr>
          <t>Tipo de actividad (elegir de la lista)</t>
        </r>
      </text>
    </comment>
    <comment ref="M1305" authorId="0" shapeId="0" xr:uid="{00000000-0006-0000-0000-0000DD010000}">
      <text>
        <r>
          <rPr>
            <sz val="11"/>
            <color theme="1"/>
            <rFont val="Calibri"/>
            <family val="2"/>
            <scheme val="minor"/>
          </rPr>
          <t>Elegir el instructor de la lista</t>
        </r>
      </text>
    </comment>
    <comment ref="O1305" authorId="0" shapeId="0" xr:uid="{00000000-0006-0000-0000-0000DE010000}">
      <text>
        <r>
          <rPr>
            <sz val="11"/>
            <color theme="1"/>
            <rFont val="Calibri"/>
            <family val="2"/>
            <scheme val="minor"/>
          </rPr>
          <t>Tipo de actividad (elegir de la lista)</t>
        </r>
      </text>
    </comment>
    <comment ref="M1310" authorId="0" shapeId="0" xr:uid="{00000000-0006-0000-0000-0000DF010000}">
      <text>
        <r>
          <rPr>
            <sz val="11"/>
            <color theme="1"/>
            <rFont val="Calibri"/>
            <family val="2"/>
            <scheme val="minor"/>
          </rPr>
          <t>Elegir el instructor de la lista</t>
        </r>
      </text>
    </comment>
    <comment ref="O1310" authorId="0" shapeId="0" xr:uid="{00000000-0006-0000-0000-0000E0010000}">
      <text>
        <r>
          <rPr>
            <sz val="11"/>
            <color theme="1"/>
            <rFont val="Calibri"/>
            <family val="2"/>
            <scheme val="minor"/>
          </rPr>
          <t>Tipo de actividad (elegir de la lista)</t>
        </r>
      </text>
    </comment>
    <comment ref="M1315" authorId="0" shapeId="0" xr:uid="{00000000-0006-0000-0000-0000E1010000}">
      <text>
        <r>
          <rPr>
            <sz val="11"/>
            <color theme="1"/>
            <rFont val="Calibri"/>
            <family val="2"/>
            <scheme val="minor"/>
          </rPr>
          <t>Elegir el instructor de la lista</t>
        </r>
      </text>
    </comment>
    <comment ref="O1315" authorId="0" shapeId="0" xr:uid="{00000000-0006-0000-0000-0000E2010000}">
      <text>
        <r>
          <rPr>
            <sz val="11"/>
            <color theme="1"/>
            <rFont val="Calibri"/>
            <family val="2"/>
            <scheme val="minor"/>
          </rPr>
          <t>Tipo de actividad (elegir de la lista)</t>
        </r>
      </text>
    </comment>
    <comment ref="M1320" authorId="0" shapeId="0" xr:uid="{00000000-0006-0000-0000-0000E3010000}">
      <text>
        <r>
          <rPr>
            <sz val="11"/>
            <color theme="1"/>
            <rFont val="Calibri"/>
            <family val="2"/>
            <scheme val="minor"/>
          </rPr>
          <t>Elegir el instructor de la lista</t>
        </r>
      </text>
    </comment>
    <comment ref="O1320" authorId="0" shapeId="0" xr:uid="{00000000-0006-0000-0000-0000E4010000}">
      <text>
        <r>
          <rPr>
            <sz val="11"/>
            <color theme="1"/>
            <rFont val="Calibri"/>
            <family val="2"/>
            <scheme val="minor"/>
          </rPr>
          <t>Tipo de actividad (elegir de la lista)</t>
        </r>
      </text>
    </comment>
    <comment ref="M1325" authorId="0" shapeId="0" xr:uid="{00000000-0006-0000-0000-0000E5010000}">
      <text>
        <r>
          <rPr>
            <sz val="11"/>
            <color theme="1"/>
            <rFont val="Calibri"/>
            <family val="2"/>
            <scheme val="minor"/>
          </rPr>
          <t>Elegir el instructor de la lista</t>
        </r>
      </text>
    </comment>
    <comment ref="O1325" authorId="0" shapeId="0" xr:uid="{00000000-0006-0000-0000-0000E6010000}">
      <text>
        <r>
          <rPr>
            <sz val="11"/>
            <color theme="1"/>
            <rFont val="Calibri"/>
            <family val="2"/>
            <scheme val="minor"/>
          </rPr>
          <t>Tipo de actividad (elegir de la lista)</t>
        </r>
      </text>
    </comment>
    <comment ref="M1330" authorId="0" shapeId="0" xr:uid="{00000000-0006-0000-0000-0000E7010000}">
      <text>
        <r>
          <rPr>
            <sz val="11"/>
            <color theme="1"/>
            <rFont val="Calibri"/>
            <family val="2"/>
            <scheme val="minor"/>
          </rPr>
          <t>Elegir el instructor de la lista</t>
        </r>
      </text>
    </comment>
    <comment ref="O1330" authorId="0" shapeId="0" xr:uid="{00000000-0006-0000-0000-0000E8010000}">
      <text>
        <r>
          <rPr>
            <sz val="11"/>
            <color theme="1"/>
            <rFont val="Calibri"/>
            <family val="2"/>
            <scheme val="minor"/>
          </rPr>
          <t>Tipo de actividad (elegir de la lista)</t>
        </r>
      </text>
    </comment>
    <comment ref="M1335" authorId="0" shapeId="0" xr:uid="{00000000-0006-0000-0000-0000E9010000}">
      <text>
        <r>
          <rPr>
            <sz val="11"/>
            <color theme="1"/>
            <rFont val="Calibri"/>
            <family val="2"/>
            <scheme val="minor"/>
          </rPr>
          <t>Elegir el instructor de la lista</t>
        </r>
      </text>
    </comment>
    <comment ref="O1335" authorId="0" shapeId="0" xr:uid="{00000000-0006-0000-0000-0000EA010000}">
      <text>
        <r>
          <rPr>
            <sz val="11"/>
            <color theme="1"/>
            <rFont val="Calibri"/>
            <family val="2"/>
            <scheme val="minor"/>
          </rPr>
          <t>Tipo de actividad (elegir de la lista)</t>
        </r>
      </text>
    </comment>
    <comment ref="M1340" authorId="0" shapeId="0" xr:uid="{00000000-0006-0000-0000-0000EB010000}">
      <text>
        <r>
          <rPr>
            <sz val="11"/>
            <color theme="1"/>
            <rFont val="Calibri"/>
            <family val="2"/>
            <scheme val="minor"/>
          </rPr>
          <t>Elegir el instructor de la lista</t>
        </r>
      </text>
    </comment>
    <comment ref="O1340" authorId="0" shapeId="0" xr:uid="{00000000-0006-0000-0000-0000EC010000}">
      <text>
        <r>
          <rPr>
            <sz val="11"/>
            <color theme="1"/>
            <rFont val="Calibri"/>
            <family val="2"/>
            <scheme val="minor"/>
          </rPr>
          <t>Tipo de actividad (elegir de la lista)</t>
        </r>
      </text>
    </comment>
    <comment ref="M1345" authorId="0" shapeId="0" xr:uid="{00000000-0006-0000-0000-0000ED010000}">
      <text>
        <r>
          <rPr>
            <sz val="11"/>
            <color theme="1"/>
            <rFont val="Calibri"/>
            <family val="2"/>
            <scheme val="minor"/>
          </rPr>
          <t>Elegir el instructor de la lista</t>
        </r>
      </text>
    </comment>
    <comment ref="O1345" authorId="0" shapeId="0" xr:uid="{00000000-0006-0000-0000-0000EE010000}">
      <text>
        <r>
          <rPr>
            <sz val="11"/>
            <color theme="1"/>
            <rFont val="Calibri"/>
            <family val="2"/>
            <scheme val="minor"/>
          </rPr>
          <t>Tipo de actividad (elegir de la lista)</t>
        </r>
      </text>
    </comment>
    <comment ref="M1350" authorId="0" shapeId="0" xr:uid="{00000000-0006-0000-0000-0000EF010000}">
      <text>
        <r>
          <rPr>
            <sz val="11"/>
            <color theme="1"/>
            <rFont val="Calibri"/>
            <family val="2"/>
            <scheme val="minor"/>
          </rPr>
          <t>Elegir el instructor de la lista</t>
        </r>
      </text>
    </comment>
    <comment ref="O1350" authorId="0" shapeId="0" xr:uid="{00000000-0006-0000-0000-0000F0010000}">
      <text>
        <r>
          <rPr>
            <sz val="11"/>
            <color theme="1"/>
            <rFont val="Calibri"/>
            <family val="2"/>
            <scheme val="minor"/>
          </rPr>
          <t>Tipo de actividad (elegir de la lista)</t>
        </r>
      </text>
    </comment>
    <comment ref="M1355" authorId="0" shapeId="0" xr:uid="{00000000-0006-0000-0000-0000F1010000}">
      <text>
        <r>
          <rPr>
            <sz val="11"/>
            <color theme="1"/>
            <rFont val="Calibri"/>
            <family val="2"/>
            <scheme val="minor"/>
          </rPr>
          <t>Elegir el instructor de la lista</t>
        </r>
      </text>
    </comment>
    <comment ref="O1355" authorId="0" shapeId="0" xr:uid="{00000000-0006-0000-0000-0000F2010000}">
      <text>
        <r>
          <rPr>
            <sz val="11"/>
            <color theme="1"/>
            <rFont val="Calibri"/>
            <family val="2"/>
            <scheme val="minor"/>
          </rPr>
          <t>Tipo de actividad (elegir de la lista)</t>
        </r>
      </text>
    </comment>
    <comment ref="M1360" authorId="0" shapeId="0" xr:uid="{00000000-0006-0000-0000-0000F3010000}">
      <text>
        <r>
          <rPr>
            <sz val="11"/>
            <color theme="1"/>
            <rFont val="Calibri"/>
            <family val="2"/>
            <scheme val="minor"/>
          </rPr>
          <t>Elegir el instructor de la lista</t>
        </r>
      </text>
    </comment>
    <comment ref="O1360" authorId="0" shapeId="0" xr:uid="{00000000-0006-0000-0000-0000F4010000}">
      <text>
        <r>
          <rPr>
            <sz val="11"/>
            <color theme="1"/>
            <rFont val="Calibri"/>
            <family val="2"/>
            <scheme val="minor"/>
          </rPr>
          <t>Tipo de actividad (elegir de la lista)</t>
        </r>
      </text>
    </comment>
    <comment ref="M1365" authorId="0" shapeId="0" xr:uid="{00000000-0006-0000-0000-0000F5010000}">
      <text>
        <r>
          <rPr>
            <sz val="11"/>
            <color theme="1"/>
            <rFont val="Calibri"/>
            <family val="2"/>
            <scheme val="minor"/>
          </rPr>
          <t>Elegir el instructor de la lista</t>
        </r>
      </text>
    </comment>
    <comment ref="O1365" authorId="0" shapeId="0" xr:uid="{00000000-0006-0000-0000-0000F6010000}">
      <text>
        <r>
          <rPr>
            <sz val="11"/>
            <color theme="1"/>
            <rFont val="Calibri"/>
            <family val="2"/>
            <scheme val="minor"/>
          </rPr>
          <t>Tipo de actividad (elegir de la lista)</t>
        </r>
      </text>
    </comment>
    <comment ref="M1372" authorId="0" shapeId="0" xr:uid="{00000000-0006-0000-0000-0000F7010000}">
      <text>
        <r>
          <rPr>
            <sz val="11"/>
            <color theme="1"/>
            <rFont val="Calibri"/>
            <family val="2"/>
            <scheme val="minor"/>
          </rPr>
          <t>Elegir el instructor de la lista</t>
        </r>
      </text>
    </comment>
    <comment ref="O1372" authorId="0" shapeId="0" xr:uid="{00000000-0006-0000-0000-0000F8010000}">
      <text>
        <r>
          <rPr>
            <sz val="11"/>
            <color theme="1"/>
            <rFont val="Calibri"/>
            <family val="2"/>
            <scheme val="minor"/>
          </rPr>
          <t>Tipo de actividad (elegir de la lista)</t>
        </r>
      </text>
    </comment>
    <comment ref="M1379" authorId="0" shapeId="0" xr:uid="{00000000-0006-0000-0000-0000F9010000}">
      <text>
        <r>
          <rPr>
            <sz val="11"/>
            <color theme="1"/>
            <rFont val="Calibri"/>
            <family val="2"/>
            <scheme val="minor"/>
          </rPr>
          <t>Elegir el instructor de la lista</t>
        </r>
      </text>
    </comment>
    <comment ref="O1379" authorId="0" shapeId="0" xr:uid="{00000000-0006-0000-0000-0000FA010000}">
      <text>
        <r>
          <rPr>
            <sz val="11"/>
            <color theme="1"/>
            <rFont val="Calibri"/>
            <family val="2"/>
            <scheme val="minor"/>
          </rPr>
          <t>Tipo de actividad (elegir de la lista)</t>
        </r>
      </text>
    </comment>
    <comment ref="M1384" authorId="0" shapeId="0" xr:uid="{00000000-0006-0000-0000-0000FB010000}">
      <text>
        <r>
          <rPr>
            <sz val="11"/>
            <color theme="1"/>
            <rFont val="Calibri"/>
            <family val="2"/>
            <scheme val="minor"/>
          </rPr>
          <t>Elegir el instructor de la lista</t>
        </r>
      </text>
    </comment>
    <comment ref="O1384" authorId="0" shapeId="0" xr:uid="{00000000-0006-0000-0000-0000FC010000}">
      <text>
        <r>
          <rPr>
            <sz val="11"/>
            <color theme="1"/>
            <rFont val="Calibri"/>
            <family val="2"/>
            <scheme val="minor"/>
          </rPr>
          <t>Tipo de actividad (elegir de la lista)</t>
        </r>
      </text>
    </comment>
    <comment ref="M1391" authorId="0" shapeId="0" xr:uid="{00000000-0006-0000-0000-0000FD010000}">
      <text>
        <r>
          <rPr>
            <sz val="11"/>
            <color theme="1"/>
            <rFont val="Calibri"/>
            <family val="2"/>
            <scheme val="minor"/>
          </rPr>
          <t>Elegir el instructor de la lista</t>
        </r>
      </text>
    </comment>
    <comment ref="O1391" authorId="0" shapeId="0" xr:uid="{00000000-0006-0000-0000-0000FE010000}">
      <text>
        <r>
          <rPr>
            <sz val="11"/>
            <color theme="1"/>
            <rFont val="Calibri"/>
            <family val="2"/>
            <scheme val="minor"/>
          </rPr>
          <t>Tipo de actividad (elegir de la lista)</t>
        </r>
      </text>
    </comment>
    <comment ref="M1398" authorId="0" shapeId="0" xr:uid="{00000000-0006-0000-0000-0000FF010000}">
      <text>
        <r>
          <rPr>
            <sz val="11"/>
            <color theme="1"/>
            <rFont val="Calibri"/>
            <family val="2"/>
            <scheme val="minor"/>
          </rPr>
          <t>Elegir el instructor de la lista</t>
        </r>
      </text>
    </comment>
    <comment ref="O1398" authorId="0" shapeId="0" xr:uid="{00000000-0006-0000-0000-000000020000}">
      <text>
        <r>
          <rPr>
            <sz val="11"/>
            <color theme="1"/>
            <rFont val="Calibri"/>
            <family val="2"/>
            <scheme val="minor"/>
          </rPr>
          <t>Tipo de actividad (elegir de la lista)</t>
        </r>
      </text>
    </comment>
    <comment ref="M1403" authorId="0" shapeId="0" xr:uid="{00000000-0006-0000-0000-000001020000}">
      <text>
        <r>
          <rPr>
            <sz val="11"/>
            <color theme="1"/>
            <rFont val="Calibri"/>
            <family val="2"/>
            <scheme val="minor"/>
          </rPr>
          <t>Elegir el instructor de la lista</t>
        </r>
      </text>
    </comment>
    <comment ref="O1403" authorId="0" shapeId="0" xr:uid="{00000000-0006-0000-0000-000002020000}">
      <text>
        <r>
          <rPr>
            <sz val="11"/>
            <color theme="1"/>
            <rFont val="Calibri"/>
            <family val="2"/>
            <scheme val="minor"/>
          </rPr>
          <t>Tipo de actividad (elegir de la lista)</t>
        </r>
      </text>
    </comment>
    <comment ref="M1410" authorId="0" shapeId="0" xr:uid="{00000000-0006-0000-0000-000003020000}">
      <text>
        <r>
          <rPr>
            <sz val="11"/>
            <color theme="1"/>
            <rFont val="Calibri"/>
            <family val="2"/>
            <scheme val="minor"/>
          </rPr>
          <t>Elegir el instructor de la lista</t>
        </r>
      </text>
    </comment>
    <comment ref="O1410" authorId="0" shapeId="0" xr:uid="{00000000-0006-0000-0000-000004020000}">
      <text>
        <r>
          <rPr>
            <sz val="11"/>
            <color theme="1"/>
            <rFont val="Calibri"/>
            <family val="2"/>
            <scheme val="minor"/>
          </rPr>
          <t>Tipo de actividad (elegir de la lista)</t>
        </r>
      </text>
    </comment>
    <comment ref="M1415" authorId="0" shapeId="0" xr:uid="{00000000-0006-0000-0000-000005020000}">
      <text>
        <r>
          <rPr>
            <sz val="11"/>
            <color theme="1"/>
            <rFont val="Calibri"/>
            <family val="2"/>
            <scheme val="minor"/>
          </rPr>
          <t>Elegir el instructor de la lista</t>
        </r>
      </text>
    </comment>
    <comment ref="O1415" authorId="0" shapeId="0" xr:uid="{00000000-0006-0000-0000-000006020000}">
      <text>
        <r>
          <rPr>
            <sz val="11"/>
            <color theme="1"/>
            <rFont val="Calibri"/>
            <family val="2"/>
            <scheme val="minor"/>
          </rPr>
          <t>Tipo de actividad (elegir de la lista)</t>
        </r>
      </text>
    </comment>
    <comment ref="M1422" authorId="0" shapeId="0" xr:uid="{00000000-0006-0000-0000-000007020000}">
      <text>
        <r>
          <rPr>
            <sz val="11"/>
            <color theme="1"/>
            <rFont val="Calibri"/>
            <family val="2"/>
            <scheme val="minor"/>
          </rPr>
          <t>Elegir el instructor de la lista</t>
        </r>
      </text>
    </comment>
    <comment ref="O1422" authorId="0" shapeId="0" xr:uid="{00000000-0006-0000-0000-000008020000}">
      <text>
        <r>
          <rPr>
            <sz val="11"/>
            <color theme="1"/>
            <rFont val="Calibri"/>
            <family val="2"/>
            <scheme val="minor"/>
          </rPr>
          <t>Tipo de actividad (elegir de la lista)</t>
        </r>
      </text>
    </comment>
    <comment ref="M1427" authorId="0" shapeId="0" xr:uid="{00000000-0006-0000-0000-000009020000}">
      <text>
        <r>
          <rPr>
            <sz val="11"/>
            <color theme="1"/>
            <rFont val="Calibri"/>
            <family val="2"/>
            <scheme val="minor"/>
          </rPr>
          <t>Elegir el instructor de la lista</t>
        </r>
      </text>
    </comment>
    <comment ref="O1427" authorId="0" shapeId="0" xr:uid="{00000000-0006-0000-0000-00000A020000}">
      <text>
        <r>
          <rPr>
            <sz val="11"/>
            <color theme="1"/>
            <rFont val="Calibri"/>
            <family val="2"/>
            <scheme val="minor"/>
          </rPr>
          <t>Tipo de actividad (elegir de la lista)</t>
        </r>
      </text>
    </comment>
    <comment ref="M1432" authorId="0" shapeId="0" xr:uid="{00000000-0006-0000-0000-00000B020000}">
      <text>
        <r>
          <rPr>
            <sz val="11"/>
            <color theme="1"/>
            <rFont val="Calibri"/>
            <family val="2"/>
            <scheme val="minor"/>
          </rPr>
          <t>Elegir el instructor de la lista</t>
        </r>
      </text>
    </comment>
    <comment ref="O1432" authorId="0" shapeId="0" xr:uid="{00000000-0006-0000-0000-00000C020000}">
      <text>
        <r>
          <rPr>
            <sz val="11"/>
            <color theme="1"/>
            <rFont val="Calibri"/>
            <family val="2"/>
            <scheme val="minor"/>
          </rPr>
          <t>Tipo de actividad (elegir de la lista)</t>
        </r>
      </text>
    </comment>
    <comment ref="M1437" authorId="0" shapeId="0" xr:uid="{00000000-0006-0000-0000-00000D020000}">
      <text>
        <r>
          <rPr>
            <sz val="11"/>
            <color theme="1"/>
            <rFont val="Calibri"/>
            <family val="2"/>
            <scheme val="minor"/>
          </rPr>
          <t>Elegir el instructor de la lista</t>
        </r>
      </text>
    </comment>
    <comment ref="O1437" authorId="0" shapeId="0" xr:uid="{00000000-0006-0000-0000-00000E020000}">
      <text>
        <r>
          <rPr>
            <sz val="11"/>
            <color theme="1"/>
            <rFont val="Calibri"/>
            <family val="2"/>
            <scheme val="minor"/>
          </rPr>
          <t>Tipo de actividad (elegir de la lista)</t>
        </r>
      </text>
    </comment>
    <comment ref="M1442" authorId="0" shapeId="0" xr:uid="{00000000-0006-0000-0000-00000F020000}">
      <text>
        <r>
          <rPr>
            <sz val="11"/>
            <color theme="1"/>
            <rFont val="Calibri"/>
            <family val="2"/>
            <scheme val="minor"/>
          </rPr>
          <t>Elegir el instructor de la lista</t>
        </r>
      </text>
    </comment>
    <comment ref="O1442" authorId="0" shapeId="0" xr:uid="{00000000-0006-0000-0000-000010020000}">
      <text>
        <r>
          <rPr>
            <sz val="11"/>
            <color theme="1"/>
            <rFont val="Calibri"/>
            <family val="2"/>
            <scheme val="minor"/>
          </rPr>
          <t>Tipo de actividad (elegir de la lista)</t>
        </r>
      </text>
    </comment>
    <comment ref="M1447" authorId="0" shapeId="0" xr:uid="{00000000-0006-0000-0000-000011020000}">
      <text>
        <r>
          <rPr>
            <sz val="11"/>
            <color theme="1"/>
            <rFont val="Calibri"/>
            <family val="2"/>
            <scheme val="minor"/>
          </rPr>
          <t>Elegir el instructor de la lista</t>
        </r>
      </text>
    </comment>
    <comment ref="O1447" authorId="0" shapeId="0" xr:uid="{00000000-0006-0000-0000-000012020000}">
      <text>
        <r>
          <rPr>
            <sz val="11"/>
            <color theme="1"/>
            <rFont val="Calibri"/>
            <family val="2"/>
            <scheme val="minor"/>
          </rPr>
          <t>Tipo de actividad (elegir de la lista)</t>
        </r>
      </text>
    </comment>
    <comment ref="M1452" authorId="0" shapeId="0" xr:uid="{00000000-0006-0000-0000-000013020000}">
      <text>
        <r>
          <rPr>
            <sz val="11"/>
            <color theme="1"/>
            <rFont val="Calibri"/>
            <family val="2"/>
            <scheme val="minor"/>
          </rPr>
          <t>Elegir el instructor de la lista</t>
        </r>
      </text>
    </comment>
    <comment ref="O1452" authorId="0" shapeId="0" xr:uid="{00000000-0006-0000-0000-000014020000}">
      <text>
        <r>
          <rPr>
            <sz val="11"/>
            <color theme="1"/>
            <rFont val="Calibri"/>
            <family val="2"/>
            <scheme val="minor"/>
          </rPr>
          <t>Tipo de actividad (elegir de la lista)</t>
        </r>
      </text>
    </comment>
    <comment ref="M1457" authorId="0" shapeId="0" xr:uid="{00000000-0006-0000-0000-000015020000}">
      <text>
        <r>
          <rPr>
            <sz val="11"/>
            <color theme="1"/>
            <rFont val="Calibri"/>
            <family val="2"/>
            <scheme val="minor"/>
          </rPr>
          <t>Elegir el instructor de la lista</t>
        </r>
      </text>
    </comment>
    <comment ref="O1457" authorId="0" shapeId="0" xr:uid="{00000000-0006-0000-0000-000016020000}">
      <text>
        <r>
          <rPr>
            <sz val="11"/>
            <color theme="1"/>
            <rFont val="Calibri"/>
            <family val="2"/>
            <scheme val="minor"/>
          </rPr>
          <t>Tipo de actividad (elegir de la lista)</t>
        </r>
      </text>
    </comment>
    <comment ref="M1462" authorId="0" shapeId="0" xr:uid="{00000000-0006-0000-0000-000017020000}">
      <text>
        <r>
          <rPr>
            <sz val="11"/>
            <color theme="1"/>
            <rFont val="Calibri"/>
            <family val="2"/>
            <scheme val="minor"/>
          </rPr>
          <t>Elegir el instructor de la lista</t>
        </r>
      </text>
    </comment>
    <comment ref="O1462" authorId="0" shapeId="0" xr:uid="{00000000-0006-0000-0000-000018020000}">
      <text>
        <r>
          <rPr>
            <sz val="11"/>
            <color theme="1"/>
            <rFont val="Calibri"/>
            <family val="2"/>
            <scheme val="minor"/>
          </rPr>
          <t>Tipo de actividad (elegir de la lista)</t>
        </r>
      </text>
    </comment>
    <comment ref="M1467" authorId="0" shapeId="0" xr:uid="{00000000-0006-0000-0000-000019020000}">
      <text>
        <r>
          <rPr>
            <sz val="11"/>
            <color theme="1"/>
            <rFont val="Calibri"/>
            <family val="2"/>
            <scheme val="minor"/>
          </rPr>
          <t>Elegir el instructor de la lista</t>
        </r>
      </text>
    </comment>
    <comment ref="O1467" authorId="0" shapeId="0" xr:uid="{00000000-0006-0000-0000-00001A020000}">
      <text>
        <r>
          <rPr>
            <sz val="11"/>
            <color theme="1"/>
            <rFont val="Calibri"/>
            <family val="2"/>
            <scheme val="minor"/>
          </rPr>
          <t>Tipo de actividad (elegir de la lista)</t>
        </r>
      </text>
    </comment>
    <comment ref="M1472" authorId="0" shapeId="0" xr:uid="{00000000-0006-0000-0000-00001B020000}">
      <text>
        <r>
          <rPr>
            <sz val="11"/>
            <color theme="1"/>
            <rFont val="Calibri"/>
            <family val="2"/>
            <scheme val="minor"/>
          </rPr>
          <t>Elegir el instructor de la lista</t>
        </r>
      </text>
    </comment>
    <comment ref="O1472" authorId="0" shapeId="0" xr:uid="{00000000-0006-0000-0000-00001C020000}">
      <text>
        <r>
          <rPr>
            <sz val="11"/>
            <color theme="1"/>
            <rFont val="Calibri"/>
            <family val="2"/>
            <scheme val="minor"/>
          </rPr>
          <t>Tipo de actividad (elegir de la lista)</t>
        </r>
      </text>
    </comment>
    <comment ref="M1479" authorId="0" shapeId="0" xr:uid="{00000000-0006-0000-0000-00001D020000}">
      <text>
        <r>
          <rPr>
            <sz val="11"/>
            <color theme="1"/>
            <rFont val="Calibri"/>
            <family val="2"/>
            <scheme val="minor"/>
          </rPr>
          <t>Elegir el instructor de la lista</t>
        </r>
      </text>
    </comment>
    <comment ref="O1479" authorId="0" shapeId="0" xr:uid="{00000000-0006-0000-0000-00001E020000}">
      <text>
        <r>
          <rPr>
            <sz val="11"/>
            <color theme="1"/>
            <rFont val="Calibri"/>
            <family val="2"/>
            <scheme val="minor"/>
          </rPr>
          <t>Tipo de actividad (elegir de la lista)</t>
        </r>
      </text>
    </comment>
    <comment ref="M1484" authorId="0" shapeId="0" xr:uid="{00000000-0006-0000-0000-00001F020000}">
      <text>
        <r>
          <rPr>
            <sz val="11"/>
            <color theme="1"/>
            <rFont val="Calibri"/>
            <family val="2"/>
            <scheme val="minor"/>
          </rPr>
          <t>Elegir el instructor de la lista</t>
        </r>
      </text>
    </comment>
    <comment ref="O1484" authorId="0" shapeId="0" xr:uid="{00000000-0006-0000-0000-000020020000}">
      <text>
        <r>
          <rPr>
            <sz val="11"/>
            <color theme="1"/>
            <rFont val="Calibri"/>
            <family val="2"/>
            <scheme val="minor"/>
          </rPr>
          <t>Tipo de actividad (elegir de la lista)</t>
        </r>
      </text>
    </comment>
    <comment ref="M1489" authorId="0" shapeId="0" xr:uid="{00000000-0006-0000-0000-000021020000}">
      <text>
        <r>
          <rPr>
            <sz val="11"/>
            <color theme="1"/>
            <rFont val="Calibri"/>
            <family val="2"/>
            <scheme val="minor"/>
          </rPr>
          <t>Elegir el instructor de la lista</t>
        </r>
      </text>
    </comment>
    <comment ref="O1489" authorId="0" shapeId="0" xr:uid="{00000000-0006-0000-0000-000022020000}">
      <text>
        <r>
          <rPr>
            <sz val="11"/>
            <color theme="1"/>
            <rFont val="Calibri"/>
            <family val="2"/>
            <scheme val="minor"/>
          </rPr>
          <t>Tipo de actividad (elegir de la lista)</t>
        </r>
      </text>
    </comment>
    <comment ref="M1494" authorId="0" shapeId="0" xr:uid="{00000000-0006-0000-0000-000023020000}">
      <text>
        <r>
          <rPr>
            <sz val="11"/>
            <color theme="1"/>
            <rFont val="Calibri"/>
            <family val="2"/>
            <scheme val="minor"/>
          </rPr>
          <t>Elegir el instructor de la lista</t>
        </r>
      </text>
    </comment>
    <comment ref="O1494" authorId="0" shapeId="0" xr:uid="{00000000-0006-0000-0000-000024020000}">
      <text>
        <r>
          <rPr>
            <sz val="11"/>
            <color theme="1"/>
            <rFont val="Calibri"/>
            <family val="2"/>
            <scheme val="minor"/>
          </rPr>
          <t>Tipo de actividad (elegir de la lista)</t>
        </r>
      </text>
    </comment>
    <comment ref="M1501" authorId="0" shapeId="0" xr:uid="{00000000-0006-0000-0000-000025020000}">
      <text>
        <r>
          <rPr>
            <sz val="11"/>
            <color theme="1"/>
            <rFont val="Calibri"/>
            <family val="2"/>
            <scheme val="minor"/>
          </rPr>
          <t>Elegir el instructor de la lista</t>
        </r>
      </text>
    </comment>
    <comment ref="O1501" authorId="0" shapeId="0" xr:uid="{00000000-0006-0000-0000-000026020000}">
      <text>
        <r>
          <rPr>
            <sz val="11"/>
            <color theme="1"/>
            <rFont val="Calibri"/>
            <family val="2"/>
            <scheme val="minor"/>
          </rPr>
          <t>Tipo de actividad (elegir de la lista)</t>
        </r>
      </text>
    </comment>
    <comment ref="M1506" authorId="0" shapeId="0" xr:uid="{00000000-0006-0000-0000-000027020000}">
      <text>
        <r>
          <rPr>
            <sz val="11"/>
            <color theme="1"/>
            <rFont val="Calibri"/>
            <family val="2"/>
            <scheme val="minor"/>
          </rPr>
          <t>Elegir el instructor de la lista</t>
        </r>
      </text>
    </comment>
    <comment ref="O1506" authorId="0" shapeId="0" xr:uid="{00000000-0006-0000-0000-000028020000}">
      <text>
        <r>
          <rPr>
            <sz val="11"/>
            <color theme="1"/>
            <rFont val="Calibri"/>
            <family val="2"/>
            <scheme val="minor"/>
          </rPr>
          <t>Tipo de actividad (elegir de la lista)</t>
        </r>
      </text>
    </comment>
    <comment ref="M1513" authorId="0" shapeId="0" xr:uid="{00000000-0006-0000-0000-000029020000}">
      <text>
        <r>
          <rPr>
            <sz val="11"/>
            <color theme="1"/>
            <rFont val="Calibri"/>
            <family val="2"/>
            <scheme val="minor"/>
          </rPr>
          <t>Elegir el instructor de la lista</t>
        </r>
      </text>
    </comment>
    <comment ref="O1513" authorId="0" shapeId="0" xr:uid="{00000000-0006-0000-0000-00002A020000}">
      <text>
        <r>
          <rPr>
            <sz val="11"/>
            <color theme="1"/>
            <rFont val="Calibri"/>
            <family val="2"/>
            <scheme val="minor"/>
          </rPr>
          <t>Tipo de actividad (elegir de la lista)</t>
        </r>
      </text>
    </comment>
    <comment ref="M1518" authorId="0" shapeId="0" xr:uid="{00000000-0006-0000-0000-00002B020000}">
      <text>
        <r>
          <rPr>
            <sz val="11"/>
            <color theme="1"/>
            <rFont val="Calibri"/>
            <family val="2"/>
            <scheme val="minor"/>
          </rPr>
          <t>Elegir el instructor de la lista</t>
        </r>
      </text>
    </comment>
    <comment ref="O1518" authorId="0" shapeId="0" xr:uid="{00000000-0006-0000-0000-00002C020000}">
      <text>
        <r>
          <rPr>
            <sz val="11"/>
            <color theme="1"/>
            <rFont val="Calibri"/>
            <family val="2"/>
            <scheme val="minor"/>
          </rPr>
          <t>Tipo de actividad (elegir de la lista)</t>
        </r>
      </text>
    </comment>
    <comment ref="M1525" authorId="0" shapeId="0" xr:uid="{00000000-0006-0000-0000-00002D020000}">
      <text>
        <r>
          <rPr>
            <sz val="11"/>
            <color theme="1"/>
            <rFont val="Calibri"/>
            <family val="2"/>
            <scheme val="minor"/>
          </rPr>
          <t>Elegir el instructor de la lista</t>
        </r>
      </text>
    </comment>
    <comment ref="O1525" authorId="0" shapeId="0" xr:uid="{00000000-0006-0000-0000-00002E020000}">
      <text>
        <r>
          <rPr>
            <sz val="11"/>
            <color theme="1"/>
            <rFont val="Calibri"/>
            <family val="2"/>
            <scheme val="minor"/>
          </rPr>
          <t>Tipo de actividad (elegir de la lista)</t>
        </r>
      </text>
    </comment>
    <comment ref="M1530" authorId="0" shapeId="0" xr:uid="{00000000-0006-0000-0000-00002F020000}">
      <text>
        <r>
          <rPr>
            <sz val="11"/>
            <color theme="1"/>
            <rFont val="Calibri"/>
            <family val="2"/>
            <scheme val="minor"/>
          </rPr>
          <t>Elegir el instructor de la lista</t>
        </r>
      </text>
    </comment>
    <comment ref="O1530" authorId="0" shapeId="0" xr:uid="{00000000-0006-0000-0000-000030020000}">
      <text>
        <r>
          <rPr>
            <sz val="11"/>
            <color theme="1"/>
            <rFont val="Calibri"/>
            <family val="2"/>
            <scheme val="minor"/>
          </rPr>
          <t>Tipo de actividad (elegir de la lista)</t>
        </r>
      </text>
    </comment>
    <comment ref="M1535" authorId="0" shapeId="0" xr:uid="{00000000-0006-0000-0000-000031020000}">
      <text>
        <r>
          <rPr>
            <sz val="11"/>
            <color theme="1"/>
            <rFont val="Calibri"/>
            <family val="2"/>
            <scheme val="minor"/>
          </rPr>
          <t>Elegir el instructor de la lista</t>
        </r>
      </text>
    </comment>
    <comment ref="O1535" authorId="0" shapeId="0" xr:uid="{00000000-0006-0000-0000-000032020000}">
      <text>
        <r>
          <rPr>
            <sz val="11"/>
            <color theme="1"/>
            <rFont val="Calibri"/>
            <family val="2"/>
            <scheme val="minor"/>
          </rPr>
          <t>Tipo de actividad (elegir de la lista)</t>
        </r>
      </text>
    </comment>
    <comment ref="M1540" authorId="0" shapeId="0" xr:uid="{00000000-0006-0000-0000-000033020000}">
      <text>
        <r>
          <rPr>
            <sz val="11"/>
            <color theme="1"/>
            <rFont val="Calibri"/>
            <family val="2"/>
            <scheme val="minor"/>
          </rPr>
          <t>Elegir el instructor de la lista</t>
        </r>
      </text>
    </comment>
    <comment ref="O1540" authorId="0" shapeId="0" xr:uid="{00000000-0006-0000-0000-000034020000}">
      <text>
        <r>
          <rPr>
            <sz val="11"/>
            <color theme="1"/>
            <rFont val="Calibri"/>
            <family val="2"/>
            <scheme val="minor"/>
          </rPr>
          <t>Tipo de actividad (elegir de la lista)</t>
        </r>
      </text>
    </comment>
    <comment ref="M1545" authorId="0" shapeId="0" xr:uid="{00000000-0006-0000-0000-000035020000}">
      <text>
        <r>
          <rPr>
            <sz val="11"/>
            <color theme="1"/>
            <rFont val="Calibri"/>
            <family val="2"/>
            <scheme val="minor"/>
          </rPr>
          <t>Elegir el instructor de la lista</t>
        </r>
      </text>
    </comment>
    <comment ref="O1545" authorId="0" shapeId="0" xr:uid="{00000000-0006-0000-0000-000036020000}">
      <text>
        <r>
          <rPr>
            <sz val="11"/>
            <color theme="1"/>
            <rFont val="Calibri"/>
            <family val="2"/>
            <scheme val="minor"/>
          </rPr>
          <t>Tipo de actividad (elegir de la lista)</t>
        </r>
      </text>
    </comment>
    <comment ref="M1550" authorId="0" shapeId="0" xr:uid="{00000000-0006-0000-0000-000037020000}">
      <text>
        <r>
          <rPr>
            <sz val="11"/>
            <color theme="1"/>
            <rFont val="Calibri"/>
            <family val="2"/>
            <scheme val="minor"/>
          </rPr>
          <t>Elegir el instructor de la lista</t>
        </r>
      </text>
    </comment>
    <comment ref="O1550" authorId="0" shapeId="0" xr:uid="{00000000-0006-0000-0000-000038020000}">
      <text>
        <r>
          <rPr>
            <sz val="11"/>
            <color theme="1"/>
            <rFont val="Calibri"/>
            <family val="2"/>
            <scheme val="minor"/>
          </rPr>
          <t>Tipo de actividad (elegir de la lista)</t>
        </r>
      </text>
    </comment>
    <comment ref="M1555" authorId="0" shapeId="0" xr:uid="{00000000-0006-0000-0000-000039020000}">
      <text>
        <r>
          <rPr>
            <sz val="11"/>
            <color theme="1"/>
            <rFont val="Calibri"/>
            <family val="2"/>
            <scheme val="minor"/>
          </rPr>
          <t>Elegir el instructor de la lista</t>
        </r>
      </text>
    </comment>
    <comment ref="O1555" authorId="0" shapeId="0" xr:uid="{00000000-0006-0000-0000-00003A020000}">
      <text>
        <r>
          <rPr>
            <sz val="11"/>
            <color theme="1"/>
            <rFont val="Calibri"/>
            <family val="2"/>
            <scheme val="minor"/>
          </rPr>
          <t>Tipo de actividad (elegir de la lista)</t>
        </r>
      </text>
    </comment>
    <comment ref="M1560" authorId="0" shapeId="0" xr:uid="{00000000-0006-0000-0000-00003B020000}">
      <text>
        <r>
          <rPr>
            <sz val="11"/>
            <color theme="1"/>
            <rFont val="Calibri"/>
            <family val="2"/>
            <scheme val="minor"/>
          </rPr>
          <t>Elegir el instructor de la lista</t>
        </r>
      </text>
    </comment>
    <comment ref="O1560" authorId="0" shapeId="0" xr:uid="{00000000-0006-0000-0000-00003C020000}">
      <text>
        <r>
          <rPr>
            <sz val="11"/>
            <color theme="1"/>
            <rFont val="Calibri"/>
            <family val="2"/>
            <scheme val="minor"/>
          </rPr>
          <t>Tipo de actividad (elegir de la lista)</t>
        </r>
      </text>
    </comment>
    <comment ref="M1567" authorId="0" shapeId="0" xr:uid="{00000000-0006-0000-0000-00003D020000}">
      <text>
        <r>
          <rPr>
            <sz val="11"/>
            <color theme="1"/>
            <rFont val="Calibri"/>
            <family val="2"/>
            <scheme val="minor"/>
          </rPr>
          <t>Elegir el instructor de la lista</t>
        </r>
      </text>
    </comment>
    <comment ref="O1567" authorId="0" shapeId="0" xr:uid="{00000000-0006-0000-0000-00003E020000}">
      <text>
        <r>
          <rPr>
            <sz val="11"/>
            <color theme="1"/>
            <rFont val="Calibri"/>
            <family val="2"/>
            <scheme val="minor"/>
          </rPr>
          <t>Tipo de actividad (elegir de la lista)</t>
        </r>
      </text>
    </comment>
    <comment ref="M1574" authorId="0" shapeId="0" xr:uid="{00000000-0006-0000-0000-00003F020000}">
      <text>
        <r>
          <rPr>
            <sz val="11"/>
            <color theme="1"/>
            <rFont val="Calibri"/>
            <family val="2"/>
            <scheme val="minor"/>
          </rPr>
          <t>Elegir el instructor de la lista</t>
        </r>
      </text>
    </comment>
    <comment ref="O1574" authorId="0" shapeId="0" xr:uid="{00000000-0006-0000-0000-000040020000}">
      <text>
        <r>
          <rPr>
            <sz val="11"/>
            <color theme="1"/>
            <rFont val="Calibri"/>
            <family val="2"/>
            <scheme val="minor"/>
          </rPr>
          <t>Tipo de actividad (elegir de la lista)</t>
        </r>
      </text>
    </comment>
    <comment ref="M1581" authorId="0" shapeId="0" xr:uid="{00000000-0006-0000-0000-000041020000}">
      <text>
        <r>
          <rPr>
            <sz val="11"/>
            <color theme="1"/>
            <rFont val="Calibri"/>
            <family val="2"/>
            <scheme val="minor"/>
          </rPr>
          <t>Elegir el instructor de la lista</t>
        </r>
      </text>
    </comment>
    <comment ref="O1581" authorId="0" shapeId="0" xr:uid="{00000000-0006-0000-0000-000042020000}">
      <text>
        <r>
          <rPr>
            <sz val="11"/>
            <color theme="1"/>
            <rFont val="Calibri"/>
            <family val="2"/>
            <scheme val="minor"/>
          </rPr>
          <t>Tipo de actividad (elegir de la lista)</t>
        </r>
      </text>
    </comment>
    <comment ref="M1588" authorId="0" shapeId="0" xr:uid="{00000000-0006-0000-0000-000043020000}">
      <text>
        <r>
          <rPr>
            <sz val="11"/>
            <color theme="1"/>
            <rFont val="Calibri"/>
            <family val="2"/>
            <scheme val="minor"/>
          </rPr>
          <t>Elegir el instructor de la lista</t>
        </r>
      </text>
    </comment>
    <comment ref="O1588" authorId="0" shapeId="0" xr:uid="{00000000-0006-0000-0000-000044020000}">
      <text>
        <r>
          <rPr>
            <sz val="11"/>
            <color theme="1"/>
            <rFont val="Calibri"/>
            <family val="2"/>
            <scheme val="minor"/>
          </rPr>
          <t>Tipo de actividad (elegir de la lista)</t>
        </r>
      </text>
    </comment>
    <comment ref="M1595" authorId="0" shapeId="0" xr:uid="{00000000-0006-0000-0000-000045020000}">
      <text>
        <r>
          <rPr>
            <sz val="11"/>
            <color theme="1"/>
            <rFont val="Calibri"/>
            <family val="2"/>
            <scheme val="minor"/>
          </rPr>
          <t>Elegir el instructor de la lista</t>
        </r>
      </text>
    </comment>
    <comment ref="O1595" authorId="0" shapeId="0" xr:uid="{00000000-0006-0000-0000-000046020000}">
      <text>
        <r>
          <rPr>
            <sz val="11"/>
            <color theme="1"/>
            <rFont val="Calibri"/>
            <family val="2"/>
            <scheme val="minor"/>
          </rPr>
          <t>Tipo de actividad (elegir de la lista)</t>
        </r>
      </text>
    </comment>
    <comment ref="M1600" authorId="0" shapeId="0" xr:uid="{00000000-0006-0000-0000-000047020000}">
      <text>
        <r>
          <rPr>
            <sz val="11"/>
            <color theme="1"/>
            <rFont val="Calibri"/>
            <family val="2"/>
            <scheme val="minor"/>
          </rPr>
          <t>Elegir el instructor de la lista</t>
        </r>
      </text>
    </comment>
    <comment ref="O1600" authorId="0" shapeId="0" xr:uid="{00000000-0006-0000-0000-000048020000}">
      <text>
        <r>
          <rPr>
            <sz val="11"/>
            <color theme="1"/>
            <rFont val="Calibri"/>
            <family val="2"/>
            <scheme val="minor"/>
          </rPr>
          <t>Tipo de actividad (elegir de la lista)</t>
        </r>
      </text>
    </comment>
    <comment ref="M1605" authorId="0" shapeId="0" xr:uid="{00000000-0006-0000-0000-000049020000}">
      <text>
        <r>
          <rPr>
            <sz val="11"/>
            <color theme="1"/>
            <rFont val="Calibri"/>
            <family val="2"/>
            <scheme val="minor"/>
          </rPr>
          <t>Elegir el instructor de la lista</t>
        </r>
      </text>
    </comment>
    <comment ref="O1605" authorId="0" shapeId="0" xr:uid="{00000000-0006-0000-0000-00004A020000}">
      <text>
        <r>
          <rPr>
            <sz val="11"/>
            <color theme="1"/>
            <rFont val="Calibri"/>
            <family val="2"/>
            <scheme val="minor"/>
          </rPr>
          <t>Tipo de actividad (elegir de la lista)</t>
        </r>
      </text>
    </comment>
    <comment ref="M1610" authorId="0" shapeId="0" xr:uid="{00000000-0006-0000-0000-00004B020000}">
      <text>
        <r>
          <rPr>
            <sz val="11"/>
            <color theme="1"/>
            <rFont val="Calibri"/>
            <family val="2"/>
            <scheme val="minor"/>
          </rPr>
          <t>Elegir el instructor de la lista</t>
        </r>
      </text>
    </comment>
    <comment ref="O1610" authorId="0" shapeId="0" xr:uid="{00000000-0006-0000-0000-00004C020000}">
      <text>
        <r>
          <rPr>
            <sz val="11"/>
            <color theme="1"/>
            <rFont val="Calibri"/>
            <family val="2"/>
            <scheme val="minor"/>
          </rPr>
          <t>Tipo de actividad (elegir de la lista)</t>
        </r>
      </text>
    </comment>
    <comment ref="M1615" authorId="0" shapeId="0" xr:uid="{00000000-0006-0000-0000-00004D020000}">
      <text>
        <r>
          <rPr>
            <sz val="11"/>
            <color theme="1"/>
            <rFont val="Calibri"/>
            <family val="2"/>
            <scheme val="minor"/>
          </rPr>
          <t>Elegir el instructor de la lista</t>
        </r>
      </text>
    </comment>
    <comment ref="O1615" authorId="0" shapeId="0" xr:uid="{00000000-0006-0000-0000-00004E020000}">
      <text>
        <r>
          <rPr>
            <sz val="11"/>
            <color theme="1"/>
            <rFont val="Calibri"/>
            <family val="2"/>
            <scheme val="minor"/>
          </rPr>
          <t>Tipo de actividad (elegir de la lista)</t>
        </r>
      </text>
    </comment>
    <comment ref="M1620" authorId="0" shapeId="0" xr:uid="{00000000-0006-0000-0000-00004F020000}">
      <text>
        <r>
          <rPr>
            <sz val="11"/>
            <color theme="1"/>
            <rFont val="Calibri"/>
            <family val="2"/>
            <scheme val="minor"/>
          </rPr>
          <t>Elegir el instructor de la lista</t>
        </r>
      </text>
    </comment>
    <comment ref="O1620" authorId="0" shapeId="0" xr:uid="{00000000-0006-0000-0000-000050020000}">
      <text>
        <r>
          <rPr>
            <sz val="11"/>
            <color theme="1"/>
            <rFont val="Calibri"/>
            <family val="2"/>
            <scheme val="minor"/>
          </rPr>
          <t>Tipo de actividad (elegir de la lista)</t>
        </r>
      </text>
    </comment>
    <comment ref="M1625" authorId="0" shapeId="0" xr:uid="{00000000-0006-0000-0000-000051020000}">
      <text>
        <r>
          <rPr>
            <sz val="11"/>
            <color theme="1"/>
            <rFont val="Calibri"/>
            <family val="2"/>
            <scheme val="minor"/>
          </rPr>
          <t>Elegir el instructor de la lista</t>
        </r>
      </text>
    </comment>
    <comment ref="O1625" authorId="0" shapeId="0" xr:uid="{00000000-0006-0000-0000-000052020000}">
      <text>
        <r>
          <rPr>
            <sz val="11"/>
            <color theme="1"/>
            <rFont val="Calibri"/>
            <family val="2"/>
            <scheme val="minor"/>
          </rPr>
          <t>Tipo de actividad (elegir de la lista)</t>
        </r>
      </text>
    </comment>
    <comment ref="M1630" authorId="0" shapeId="0" xr:uid="{00000000-0006-0000-0000-000053020000}">
      <text>
        <r>
          <rPr>
            <sz val="11"/>
            <color theme="1"/>
            <rFont val="Calibri"/>
            <family val="2"/>
            <scheme val="minor"/>
          </rPr>
          <t>Elegir el instructor de la lista</t>
        </r>
      </text>
    </comment>
    <comment ref="O1630" authorId="0" shapeId="0" xr:uid="{00000000-0006-0000-0000-000054020000}">
      <text>
        <r>
          <rPr>
            <sz val="11"/>
            <color theme="1"/>
            <rFont val="Calibri"/>
            <family val="2"/>
            <scheme val="minor"/>
          </rPr>
          <t>Tipo de actividad (elegir de la lista)</t>
        </r>
      </text>
    </comment>
    <comment ref="M1635" authorId="0" shapeId="0" xr:uid="{00000000-0006-0000-0000-000055020000}">
      <text>
        <r>
          <rPr>
            <sz val="11"/>
            <color theme="1"/>
            <rFont val="Calibri"/>
            <family val="2"/>
            <scheme val="minor"/>
          </rPr>
          <t>Elegir el instructor de la lista</t>
        </r>
      </text>
    </comment>
    <comment ref="O1635" authorId="0" shapeId="0" xr:uid="{00000000-0006-0000-0000-000056020000}">
      <text>
        <r>
          <rPr>
            <sz val="11"/>
            <color theme="1"/>
            <rFont val="Calibri"/>
            <family val="2"/>
            <scheme val="minor"/>
          </rPr>
          <t>Tipo de actividad (elegir de la lista)</t>
        </r>
      </text>
    </comment>
    <comment ref="M1640" authorId="0" shapeId="0" xr:uid="{00000000-0006-0000-0000-000057020000}">
      <text>
        <r>
          <rPr>
            <sz val="11"/>
            <color theme="1"/>
            <rFont val="Calibri"/>
            <family val="2"/>
            <scheme val="minor"/>
          </rPr>
          <t>Elegir el instructor de la lista</t>
        </r>
      </text>
    </comment>
    <comment ref="O1640" authorId="0" shapeId="0" xr:uid="{00000000-0006-0000-0000-000058020000}">
      <text>
        <r>
          <rPr>
            <sz val="11"/>
            <color theme="1"/>
            <rFont val="Calibri"/>
            <family val="2"/>
            <scheme val="minor"/>
          </rPr>
          <t>Tipo de actividad (elegir de la lista)</t>
        </r>
      </text>
    </comment>
    <comment ref="M1645" authorId="0" shapeId="0" xr:uid="{00000000-0006-0000-0000-000059020000}">
      <text>
        <r>
          <rPr>
            <sz val="11"/>
            <color theme="1"/>
            <rFont val="Calibri"/>
            <family val="2"/>
            <scheme val="minor"/>
          </rPr>
          <t>Elegir el instructor de la lista</t>
        </r>
      </text>
    </comment>
    <comment ref="O1645" authorId="0" shapeId="0" xr:uid="{00000000-0006-0000-0000-00005A020000}">
      <text>
        <r>
          <rPr>
            <sz val="11"/>
            <color theme="1"/>
            <rFont val="Calibri"/>
            <family val="2"/>
            <scheme val="minor"/>
          </rPr>
          <t>Tipo de actividad (elegir de la lista)</t>
        </r>
      </text>
    </comment>
    <comment ref="M1650" authorId="0" shapeId="0" xr:uid="{00000000-0006-0000-0000-00005B020000}">
      <text>
        <r>
          <rPr>
            <sz val="11"/>
            <color theme="1"/>
            <rFont val="Calibri"/>
            <family val="2"/>
            <scheme val="minor"/>
          </rPr>
          <t>Elegir el instructor de la lista</t>
        </r>
      </text>
    </comment>
    <comment ref="O1650" authorId="0" shapeId="0" xr:uid="{00000000-0006-0000-0000-00005C020000}">
      <text>
        <r>
          <rPr>
            <sz val="11"/>
            <color theme="1"/>
            <rFont val="Calibri"/>
            <family val="2"/>
            <scheme val="minor"/>
          </rPr>
          <t>Tipo de actividad (elegir de la lista)</t>
        </r>
      </text>
    </comment>
    <comment ref="M1657" authorId="0" shapeId="0" xr:uid="{00000000-0006-0000-0000-00005D020000}">
      <text>
        <r>
          <rPr>
            <sz val="11"/>
            <color theme="1"/>
            <rFont val="Calibri"/>
            <family val="2"/>
            <scheme val="minor"/>
          </rPr>
          <t>Elegir el instructor de la lista</t>
        </r>
      </text>
    </comment>
    <comment ref="O1657" authorId="0" shapeId="0" xr:uid="{00000000-0006-0000-0000-00005E020000}">
      <text>
        <r>
          <rPr>
            <sz val="11"/>
            <color theme="1"/>
            <rFont val="Calibri"/>
            <family val="2"/>
            <scheme val="minor"/>
          </rPr>
          <t>Tipo de actividad (elegir de la lista)</t>
        </r>
      </text>
    </comment>
    <comment ref="M1662" authorId="0" shapeId="0" xr:uid="{00000000-0006-0000-0000-00005F020000}">
      <text>
        <r>
          <rPr>
            <sz val="11"/>
            <color theme="1"/>
            <rFont val="Calibri"/>
            <family val="2"/>
            <scheme val="minor"/>
          </rPr>
          <t>Elegir el instructor de la lista</t>
        </r>
      </text>
    </comment>
    <comment ref="O1662" authorId="0" shapeId="0" xr:uid="{00000000-0006-0000-0000-000060020000}">
      <text>
        <r>
          <rPr>
            <sz val="11"/>
            <color theme="1"/>
            <rFont val="Calibri"/>
            <family val="2"/>
            <scheme val="minor"/>
          </rPr>
          <t>Tipo de actividad (elegir de la lista)</t>
        </r>
      </text>
    </comment>
    <comment ref="M1667" authorId="0" shapeId="0" xr:uid="{00000000-0006-0000-0000-000061020000}">
      <text>
        <r>
          <rPr>
            <sz val="11"/>
            <color theme="1"/>
            <rFont val="Calibri"/>
            <family val="2"/>
            <scheme val="minor"/>
          </rPr>
          <t>Elegir el instructor de la lista</t>
        </r>
      </text>
    </comment>
    <comment ref="O1667" authorId="0" shapeId="0" xr:uid="{00000000-0006-0000-0000-000062020000}">
      <text>
        <r>
          <rPr>
            <sz val="11"/>
            <color theme="1"/>
            <rFont val="Calibri"/>
            <family val="2"/>
            <scheme val="minor"/>
          </rPr>
          <t>Tipo de actividad (elegir de la lista)</t>
        </r>
      </text>
    </comment>
    <comment ref="M1672" authorId="0" shapeId="0" xr:uid="{00000000-0006-0000-0000-000063020000}">
      <text>
        <r>
          <rPr>
            <sz val="11"/>
            <color theme="1"/>
            <rFont val="Calibri"/>
            <family val="2"/>
            <scheme val="minor"/>
          </rPr>
          <t>Elegir el instructor de la lista</t>
        </r>
      </text>
    </comment>
    <comment ref="O1672" authorId="0" shapeId="0" xr:uid="{00000000-0006-0000-0000-000064020000}">
      <text>
        <r>
          <rPr>
            <sz val="11"/>
            <color theme="1"/>
            <rFont val="Calibri"/>
            <family val="2"/>
            <scheme val="minor"/>
          </rPr>
          <t>Tipo de actividad (elegir de la lista)</t>
        </r>
      </text>
    </comment>
    <comment ref="M1677" authorId="0" shapeId="0" xr:uid="{00000000-0006-0000-0000-000065020000}">
      <text>
        <r>
          <rPr>
            <sz val="11"/>
            <color theme="1"/>
            <rFont val="Calibri"/>
            <family val="2"/>
            <scheme val="minor"/>
          </rPr>
          <t>Elegir el instructor de la lista</t>
        </r>
      </text>
    </comment>
    <comment ref="O1677" authorId="0" shapeId="0" xr:uid="{00000000-0006-0000-0000-000066020000}">
      <text>
        <r>
          <rPr>
            <sz val="11"/>
            <color theme="1"/>
            <rFont val="Calibri"/>
            <family val="2"/>
            <scheme val="minor"/>
          </rPr>
          <t>Tipo de actividad (elegir de la lista)</t>
        </r>
      </text>
    </comment>
    <comment ref="M1682" authorId="0" shapeId="0" xr:uid="{00000000-0006-0000-0000-000067020000}">
      <text>
        <r>
          <rPr>
            <sz val="11"/>
            <color theme="1"/>
            <rFont val="Calibri"/>
            <family val="2"/>
            <scheme val="minor"/>
          </rPr>
          <t>Elegir el instructor de la lista</t>
        </r>
      </text>
    </comment>
    <comment ref="O1682" authorId="0" shapeId="0" xr:uid="{00000000-0006-0000-0000-000068020000}">
      <text>
        <r>
          <rPr>
            <sz val="11"/>
            <color theme="1"/>
            <rFont val="Calibri"/>
            <family val="2"/>
            <scheme val="minor"/>
          </rPr>
          <t>Tipo de actividad (elegir de la lista)</t>
        </r>
      </text>
    </comment>
    <comment ref="M1689" authorId="0" shapeId="0" xr:uid="{00000000-0006-0000-0000-000069020000}">
      <text>
        <r>
          <rPr>
            <sz val="11"/>
            <color theme="1"/>
            <rFont val="Calibri"/>
            <family val="2"/>
            <scheme val="minor"/>
          </rPr>
          <t>Elegir el instructor de la lista</t>
        </r>
      </text>
    </comment>
    <comment ref="O1689" authorId="0" shapeId="0" xr:uid="{00000000-0006-0000-0000-00006A020000}">
      <text>
        <r>
          <rPr>
            <sz val="11"/>
            <color theme="1"/>
            <rFont val="Calibri"/>
            <family val="2"/>
            <scheme val="minor"/>
          </rPr>
          <t>Tipo de actividad (elegir de la lista)</t>
        </r>
      </text>
    </comment>
    <comment ref="M1696" authorId="0" shapeId="0" xr:uid="{00000000-0006-0000-0000-00006B020000}">
      <text>
        <r>
          <rPr>
            <sz val="11"/>
            <color theme="1"/>
            <rFont val="Calibri"/>
            <family val="2"/>
            <scheme val="minor"/>
          </rPr>
          <t>Elegir el instructor de la lista</t>
        </r>
      </text>
    </comment>
    <comment ref="O1696" authorId="0" shapeId="0" xr:uid="{00000000-0006-0000-0000-00006C020000}">
      <text>
        <r>
          <rPr>
            <sz val="11"/>
            <color theme="1"/>
            <rFont val="Calibri"/>
            <family val="2"/>
            <scheme val="minor"/>
          </rPr>
          <t>Tipo de actividad (elegir de la lista)</t>
        </r>
      </text>
    </comment>
    <comment ref="M1701" authorId="0" shapeId="0" xr:uid="{00000000-0006-0000-0000-00006D020000}">
      <text>
        <r>
          <rPr>
            <sz val="11"/>
            <color theme="1"/>
            <rFont val="Calibri"/>
            <family val="2"/>
            <scheme val="minor"/>
          </rPr>
          <t>Elegir el instructor de la lista</t>
        </r>
      </text>
    </comment>
    <comment ref="O1701" authorId="0" shapeId="0" xr:uid="{00000000-0006-0000-0000-00006E020000}">
      <text>
        <r>
          <rPr>
            <sz val="11"/>
            <color theme="1"/>
            <rFont val="Calibri"/>
            <family val="2"/>
            <scheme val="minor"/>
          </rPr>
          <t>Tipo de actividad (elegir de la lista)</t>
        </r>
      </text>
    </comment>
    <comment ref="M1706" authorId="0" shapeId="0" xr:uid="{00000000-0006-0000-0000-00006F020000}">
      <text>
        <r>
          <rPr>
            <sz val="11"/>
            <color theme="1"/>
            <rFont val="Calibri"/>
            <family val="2"/>
            <scheme val="minor"/>
          </rPr>
          <t>Elegir el instructor de la lista</t>
        </r>
      </text>
    </comment>
    <comment ref="O1706" authorId="0" shapeId="0" xr:uid="{00000000-0006-0000-0000-000070020000}">
      <text>
        <r>
          <rPr>
            <sz val="11"/>
            <color theme="1"/>
            <rFont val="Calibri"/>
            <family val="2"/>
            <scheme val="minor"/>
          </rPr>
          <t>Tipo de actividad (elegir de la lista)</t>
        </r>
      </text>
    </comment>
    <comment ref="M1711" authorId="0" shapeId="0" xr:uid="{00000000-0006-0000-0000-000071020000}">
      <text>
        <r>
          <rPr>
            <sz val="11"/>
            <color theme="1"/>
            <rFont val="Calibri"/>
            <family val="2"/>
            <scheme val="minor"/>
          </rPr>
          <t>Elegir el instructor de la lista</t>
        </r>
      </text>
    </comment>
    <comment ref="O1711" authorId="0" shapeId="0" xr:uid="{00000000-0006-0000-0000-000072020000}">
      <text>
        <r>
          <rPr>
            <sz val="11"/>
            <color theme="1"/>
            <rFont val="Calibri"/>
            <family val="2"/>
            <scheme val="minor"/>
          </rPr>
          <t>Tipo de actividad (elegir de la lista)</t>
        </r>
      </text>
    </comment>
    <comment ref="M1716" authorId="0" shapeId="0" xr:uid="{00000000-0006-0000-0000-000073020000}">
      <text>
        <r>
          <rPr>
            <sz val="11"/>
            <color theme="1"/>
            <rFont val="Calibri"/>
            <family val="2"/>
            <scheme val="minor"/>
          </rPr>
          <t>Elegir el instructor de la lista</t>
        </r>
      </text>
    </comment>
    <comment ref="O1716" authorId="0" shapeId="0" xr:uid="{00000000-0006-0000-0000-000074020000}">
      <text>
        <r>
          <rPr>
            <sz val="11"/>
            <color theme="1"/>
            <rFont val="Calibri"/>
            <family val="2"/>
            <scheme val="minor"/>
          </rPr>
          <t>Tipo de actividad (elegir de la lista)</t>
        </r>
      </text>
    </comment>
    <comment ref="M1721" authorId="0" shapeId="0" xr:uid="{00000000-0006-0000-0000-000075020000}">
      <text>
        <r>
          <rPr>
            <sz val="11"/>
            <color theme="1"/>
            <rFont val="Calibri"/>
            <family val="2"/>
            <scheme val="minor"/>
          </rPr>
          <t>Elegir el instructor de la lista</t>
        </r>
      </text>
    </comment>
    <comment ref="O1721" authorId="0" shapeId="0" xr:uid="{00000000-0006-0000-0000-000076020000}">
      <text>
        <r>
          <rPr>
            <sz val="11"/>
            <color theme="1"/>
            <rFont val="Calibri"/>
            <family val="2"/>
            <scheme val="minor"/>
          </rPr>
          <t>Tipo de actividad (elegir de la lista)</t>
        </r>
      </text>
    </comment>
    <comment ref="M1726" authorId="0" shapeId="0" xr:uid="{00000000-0006-0000-0000-000077020000}">
      <text>
        <r>
          <rPr>
            <sz val="11"/>
            <color theme="1"/>
            <rFont val="Calibri"/>
            <family val="2"/>
            <scheme val="minor"/>
          </rPr>
          <t>Elegir el instructor de la lista</t>
        </r>
      </text>
    </comment>
    <comment ref="O1726" authorId="0" shapeId="0" xr:uid="{00000000-0006-0000-0000-000078020000}">
      <text>
        <r>
          <rPr>
            <sz val="11"/>
            <color theme="1"/>
            <rFont val="Calibri"/>
            <family val="2"/>
            <scheme val="minor"/>
          </rPr>
          <t>Tipo de actividad (elegir de la lista)</t>
        </r>
      </text>
    </comment>
    <comment ref="M1731" authorId="0" shapeId="0" xr:uid="{00000000-0006-0000-0000-000079020000}">
      <text>
        <r>
          <rPr>
            <sz val="11"/>
            <color theme="1"/>
            <rFont val="Calibri"/>
            <family val="2"/>
            <scheme val="minor"/>
          </rPr>
          <t>Elegir el instructor de la lista</t>
        </r>
      </text>
    </comment>
    <comment ref="O1731" authorId="0" shapeId="0" xr:uid="{00000000-0006-0000-0000-00007A020000}">
      <text>
        <r>
          <rPr>
            <sz val="11"/>
            <color theme="1"/>
            <rFont val="Calibri"/>
            <family val="2"/>
            <scheme val="minor"/>
          </rPr>
          <t>Tipo de actividad (elegir de la lista)</t>
        </r>
      </text>
    </comment>
    <comment ref="M1736" authorId="0" shapeId="0" xr:uid="{00000000-0006-0000-0000-00007B020000}">
      <text>
        <r>
          <rPr>
            <sz val="11"/>
            <color theme="1"/>
            <rFont val="Calibri"/>
            <family val="2"/>
            <scheme val="minor"/>
          </rPr>
          <t>Elegir el instructor de la lista</t>
        </r>
      </text>
    </comment>
    <comment ref="O1736" authorId="0" shapeId="0" xr:uid="{00000000-0006-0000-0000-00007C020000}">
      <text>
        <r>
          <rPr>
            <sz val="11"/>
            <color theme="1"/>
            <rFont val="Calibri"/>
            <family val="2"/>
            <scheme val="minor"/>
          </rPr>
          <t>Tipo de actividad (elegir de la lista)</t>
        </r>
      </text>
    </comment>
    <comment ref="M1741" authorId="0" shapeId="0" xr:uid="{00000000-0006-0000-0000-00007D020000}">
      <text>
        <r>
          <rPr>
            <sz val="11"/>
            <color theme="1"/>
            <rFont val="Calibri"/>
            <family val="2"/>
            <scheme val="minor"/>
          </rPr>
          <t>Elegir el instructor de la lista</t>
        </r>
      </text>
    </comment>
    <comment ref="O1741" authorId="0" shapeId="0" xr:uid="{00000000-0006-0000-0000-00007E020000}">
      <text>
        <r>
          <rPr>
            <sz val="11"/>
            <color theme="1"/>
            <rFont val="Calibri"/>
            <family val="2"/>
            <scheme val="minor"/>
          </rPr>
          <t>Tipo de actividad (elegir de la lista)</t>
        </r>
      </text>
    </comment>
    <comment ref="M1748" authorId="0" shapeId="0" xr:uid="{00000000-0006-0000-0000-00007F020000}">
      <text>
        <r>
          <rPr>
            <sz val="11"/>
            <color theme="1"/>
            <rFont val="Calibri"/>
            <family val="2"/>
            <scheme val="minor"/>
          </rPr>
          <t>Elegir el instructor de la lista</t>
        </r>
      </text>
    </comment>
    <comment ref="O1748" authorId="0" shapeId="0" xr:uid="{00000000-0006-0000-0000-000080020000}">
      <text>
        <r>
          <rPr>
            <sz val="11"/>
            <color theme="1"/>
            <rFont val="Calibri"/>
            <family val="2"/>
            <scheme val="minor"/>
          </rPr>
          <t>Tipo de actividad (elegir de la lista)</t>
        </r>
      </text>
    </comment>
    <comment ref="M1755" authorId="0" shapeId="0" xr:uid="{00000000-0006-0000-0000-000081020000}">
      <text>
        <r>
          <rPr>
            <sz val="11"/>
            <color theme="1"/>
            <rFont val="Calibri"/>
            <family val="2"/>
            <scheme val="minor"/>
          </rPr>
          <t>Elegir el instructor de la lista</t>
        </r>
      </text>
    </comment>
    <comment ref="O1755" authorId="0" shapeId="0" xr:uid="{00000000-0006-0000-0000-000082020000}">
      <text>
        <r>
          <rPr>
            <sz val="11"/>
            <color theme="1"/>
            <rFont val="Calibri"/>
            <family val="2"/>
            <scheme val="minor"/>
          </rPr>
          <t>Tipo de actividad (elegir de la lista)</t>
        </r>
      </text>
    </comment>
    <comment ref="M1762" authorId="0" shapeId="0" xr:uid="{00000000-0006-0000-0000-000083020000}">
      <text>
        <r>
          <rPr>
            <sz val="11"/>
            <color theme="1"/>
            <rFont val="Calibri"/>
            <family val="2"/>
            <scheme val="minor"/>
          </rPr>
          <t>Elegir el instructor de la lista</t>
        </r>
      </text>
    </comment>
    <comment ref="O1762" authorId="0" shapeId="0" xr:uid="{00000000-0006-0000-0000-000084020000}">
      <text>
        <r>
          <rPr>
            <sz val="11"/>
            <color theme="1"/>
            <rFont val="Calibri"/>
            <family val="2"/>
            <scheme val="minor"/>
          </rPr>
          <t>Tipo de actividad (elegir de la lista)</t>
        </r>
      </text>
    </comment>
    <comment ref="M1769" authorId="0" shapeId="0" xr:uid="{00000000-0006-0000-0000-000085020000}">
      <text>
        <r>
          <rPr>
            <sz val="11"/>
            <color theme="1"/>
            <rFont val="Calibri"/>
            <family val="2"/>
            <scheme val="minor"/>
          </rPr>
          <t>Elegir el instructor de la lista</t>
        </r>
      </text>
    </comment>
    <comment ref="O1769" authorId="0" shapeId="0" xr:uid="{00000000-0006-0000-0000-000086020000}">
      <text>
        <r>
          <rPr>
            <sz val="11"/>
            <color theme="1"/>
            <rFont val="Calibri"/>
            <family val="2"/>
            <scheme val="minor"/>
          </rPr>
          <t>Tipo de actividad (elegir de la lista)</t>
        </r>
      </text>
    </comment>
    <comment ref="M1776" authorId="0" shapeId="0" xr:uid="{00000000-0006-0000-0000-000087020000}">
      <text>
        <r>
          <rPr>
            <sz val="11"/>
            <color theme="1"/>
            <rFont val="Calibri"/>
            <family val="2"/>
            <scheme val="minor"/>
          </rPr>
          <t>Elegir el instructor de la lista</t>
        </r>
      </text>
    </comment>
    <comment ref="O1776" authorId="0" shapeId="0" xr:uid="{00000000-0006-0000-0000-000088020000}">
      <text>
        <r>
          <rPr>
            <sz val="11"/>
            <color theme="1"/>
            <rFont val="Calibri"/>
            <family val="2"/>
            <scheme val="minor"/>
          </rPr>
          <t>Tipo de actividad (elegir de la lista)</t>
        </r>
      </text>
    </comment>
    <comment ref="M1783" authorId="0" shapeId="0" xr:uid="{00000000-0006-0000-0000-000089020000}">
      <text>
        <r>
          <rPr>
            <sz val="11"/>
            <color theme="1"/>
            <rFont val="Calibri"/>
            <family val="2"/>
            <scheme val="minor"/>
          </rPr>
          <t>Elegir el instructor de la lista</t>
        </r>
      </text>
    </comment>
    <comment ref="O1783" authorId="0" shapeId="0" xr:uid="{00000000-0006-0000-0000-00008A020000}">
      <text>
        <r>
          <rPr>
            <sz val="11"/>
            <color theme="1"/>
            <rFont val="Calibri"/>
            <family val="2"/>
            <scheme val="minor"/>
          </rPr>
          <t>Tipo de actividad (elegir de la lista)</t>
        </r>
      </text>
    </comment>
    <comment ref="M1790" authorId="0" shapeId="0" xr:uid="{00000000-0006-0000-0000-00008B020000}">
      <text>
        <r>
          <rPr>
            <sz val="11"/>
            <color theme="1"/>
            <rFont val="Calibri"/>
            <family val="2"/>
            <scheme val="minor"/>
          </rPr>
          <t>Elegir el instructor de la lista</t>
        </r>
      </text>
    </comment>
    <comment ref="O1790" authorId="0" shapeId="0" xr:uid="{00000000-0006-0000-0000-00008C020000}">
      <text>
        <r>
          <rPr>
            <sz val="11"/>
            <color theme="1"/>
            <rFont val="Calibri"/>
            <family val="2"/>
            <scheme val="minor"/>
          </rPr>
          <t>Tipo de actividad (elegir de la lista)</t>
        </r>
      </text>
    </comment>
    <comment ref="M1795" authorId="0" shapeId="0" xr:uid="{00000000-0006-0000-0000-00008D020000}">
      <text>
        <r>
          <rPr>
            <sz val="11"/>
            <color theme="1"/>
            <rFont val="Calibri"/>
            <family val="2"/>
            <scheme val="minor"/>
          </rPr>
          <t>Elegir el instructor de la lista</t>
        </r>
      </text>
    </comment>
    <comment ref="O1795" authorId="0" shapeId="0" xr:uid="{00000000-0006-0000-0000-00008E020000}">
      <text>
        <r>
          <rPr>
            <sz val="11"/>
            <color theme="1"/>
            <rFont val="Calibri"/>
            <family val="2"/>
            <scheme val="minor"/>
          </rPr>
          <t>Tipo de actividad (elegir de la lista)</t>
        </r>
      </text>
    </comment>
    <comment ref="M1800" authorId="0" shapeId="0" xr:uid="{00000000-0006-0000-0000-00008F020000}">
      <text>
        <r>
          <rPr>
            <sz val="11"/>
            <color theme="1"/>
            <rFont val="Calibri"/>
            <family val="2"/>
            <scheme val="minor"/>
          </rPr>
          <t>Elegir el instructor de la lista</t>
        </r>
      </text>
    </comment>
    <comment ref="O1800" authorId="0" shapeId="0" xr:uid="{00000000-0006-0000-0000-000090020000}">
      <text>
        <r>
          <rPr>
            <sz val="11"/>
            <color theme="1"/>
            <rFont val="Calibri"/>
            <family val="2"/>
            <scheme val="minor"/>
          </rPr>
          <t>Tipo de actividad (elegir de la lista)</t>
        </r>
      </text>
    </comment>
    <comment ref="M1805" authorId="0" shapeId="0" xr:uid="{00000000-0006-0000-0000-000091020000}">
      <text>
        <r>
          <rPr>
            <sz val="11"/>
            <color theme="1"/>
            <rFont val="Calibri"/>
            <family val="2"/>
            <scheme val="minor"/>
          </rPr>
          <t>Elegir el instructor de la lista</t>
        </r>
      </text>
    </comment>
    <comment ref="O1805" authorId="0" shapeId="0" xr:uid="{00000000-0006-0000-0000-000092020000}">
      <text>
        <r>
          <rPr>
            <sz val="11"/>
            <color theme="1"/>
            <rFont val="Calibri"/>
            <family val="2"/>
            <scheme val="minor"/>
          </rPr>
          <t>Tipo de actividad (elegir de la lista)</t>
        </r>
      </text>
    </comment>
    <comment ref="M1810" authorId="0" shapeId="0" xr:uid="{00000000-0006-0000-0000-000093020000}">
      <text>
        <r>
          <rPr>
            <sz val="11"/>
            <color theme="1"/>
            <rFont val="Calibri"/>
            <family val="2"/>
            <scheme val="minor"/>
          </rPr>
          <t>Elegir el instructor de la lista</t>
        </r>
      </text>
    </comment>
    <comment ref="O1810" authorId="0" shapeId="0" xr:uid="{00000000-0006-0000-0000-000094020000}">
      <text>
        <r>
          <rPr>
            <sz val="11"/>
            <color theme="1"/>
            <rFont val="Calibri"/>
            <family val="2"/>
            <scheme val="minor"/>
          </rPr>
          <t>Tipo de actividad (elegir de la lista)</t>
        </r>
      </text>
    </comment>
    <comment ref="M1815" authorId="0" shapeId="0" xr:uid="{00000000-0006-0000-0000-000095020000}">
      <text>
        <r>
          <rPr>
            <sz val="11"/>
            <color theme="1"/>
            <rFont val="Calibri"/>
            <family val="2"/>
            <scheme val="minor"/>
          </rPr>
          <t>Elegir el instructor de la lista</t>
        </r>
      </text>
    </comment>
    <comment ref="O1815" authorId="0" shapeId="0" xr:uid="{00000000-0006-0000-0000-000096020000}">
      <text>
        <r>
          <rPr>
            <sz val="11"/>
            <color theme="1"/>
            <rFont val="Calibri"/>
            <family val="2"/>
            <scheme val="minor"/>
          </rPr>
          <t>Tipo de actividad (elegir de la lista)</t>
        </r>
      </text>
    </comment>
    <comment ref="M1820" authorId="0" shapeId="0" xr:uid="{00000000-0006-0000-0000-000097020000}">
      <text>
        <r>
          <rPr>
            <sz val="11"/>
            <color theme="1"/>
            <rFont val="Calibri"/>
            <family val="2"/>
            <scheme val="minor"/>
          </rPr>
          <t>Elegir el instructor de la lista</t>
        </r>
      </text>
    </comment>
    <comment ref="O1820" authorId="0" shapeId="0" xr:uid="{00000000-0006-0000-0000-000098020000}">
      <text>
        <r>
          <rPr>
            <sz val="11"/>
            <color theme="1"/>
            <rFont val="Calibri"/>
            <family val="2"/>
            <scheme val="minor"/>
          </rPr>
          <t>Tipo de actividad (elegir de la lista)</t>
        </r>
      </text>
    </comment>
    <comment ref="M1825" authorId="0" shapeId="0" xr:uid="{00000000-0006-0000-0000-000099020000}">
      <text>
        <r>
          <rPr>
            <sz val="11"/>
            <color theme="1"/>
            <rFont val="Calibri"/>
            <family val="2"/>
            <scheme val="minor"/>
          </rPr>
          <t>Elegir el instructor de la lista</t>
        </r>
      </text>
    </comment>
    <comment ref="O1825" authorId="0" shapeId="0" xr:uid="{00000000-0006-0000-0000-00009A020000}">
      <text>
        <r>
          <rPr>
            <sz val="11"/>
            <color theme="1"/>
            <rFont val="Calibri"/>
            <family val="2"/>
            <scheme val="minor"/>
          </rPr>
          <t>Tipo de actividad (elegir de la lista)</t>
        </r>
      </text>
    </comment>
    <comment ref="M1830" authorId="0" shapeId="0" xr:uid="{00000000-0006-0000-0000-00009B020000}">
      <text>
        <r>
          <rPr>
            <sz val="11"/>
            <color theme="1"/>
            <rFont val="Calibri"/>
            <family val="2"/>
            <scheme val="minor"/>
          </rPr>
          <t>Elegir el instructor de la lista</t>
        </r>
      </text>
    </comment>
    <comment ref="O1830" authorId="0" shapeId="0" xr:uid="{00000000-0006-0000-0000-00009C020000}">
      <text>
        <r>
          <rPr>
            <sz val="11"/>
            <color theme="1"/>
            <rFont val="Calibri"/>
            <family val="2"/>
            <scheme val="minor"/>
          </rPr>
          <t>Tipo de actividad (elegir de la lista)</t>
        </r>
      </text>
    </comment>
    <comment ref="M1835" authorId="0" shapeId="0" xr:uid="{00000000-0006-0000-0000-00009D020000}">
      <text>
        <r>
          <rPr>
            <sz val="11"/>
            <color theme="1"/>
            <rFont val="Calibri"/>
            <family val="2"/>
            <scheme val="minor"/>
          </rPr>
          <t>Elegir el instructor de la lista</t>
        </r>
      </text>
    </comment>
    <comment ref="O1835" authorId="0" shapeId="0" xr:uid="{00000000-0006-0000-0000-00009E020000}">
      <text>
        <r>
          <rPr>
            <sz val="11"/>
            <color theme="1"/>
            <rFont val="Calibri"/>
            <family val="2"/>
            <scheme val="minor"/>
          </rPr>
          <t>Tipo de actividad (elegir de la lista)</t>
        </r>
      </text>
    </comment>
    <comment ref="M1840" authorId="0" shapeId="0" xr:uid="{00000000-0006-0000-0000-00009F020000}">
      <text>
        <r>
          <rPr>
            <sz val="11"/>
            <color theme="1"/>
            <rFont val="Calibri"/>
            <family val="2"/>
            <scheme val="minor"/>
          </rPr>
          <t>Elegir el instructor de la lista</t>
        </r>
      </text>
    </comment>
    <comment ref="O1840" authorId="0" shapeId="0" xr:uid="{00000000-0006-0000-0000-0000A0020000}">
      <text>
        <r>
          <rPr>
            <sz val="11"/>
            <color theme="1"/>
            <rFont val="Calibri"/>
            <family val="2"/>
            <scheme val="minor"/>
          </rPr>
          <t>Tipo de actividad (elegir de la lista)</t>
        </r>
      </text>
    </comment>
    <comment ref="M1845" authorId="0" shapeId="0" xr:uid="{00000000-0006-0000-0000-0000A1020000}">
      <text>
        <r>
          <rPr>
            <sz val="11"/>
            <color theme="1"/>
            <rFont val="Calibri"/>
            <family val="2"/>
            <scheme val="minor"/>
          </rPr>
          <t>Elegir el instructor de la lista</t>
        </r>
      </text>
    </comment>
    <comment ref="O1845" authorId="0" shapeId="0" xr:uid="{00000000-0006-0000-0000-0000A2020000}">
      <text>
        <r>
          <rPr>
            <sz val="11"/>
            <color theme="1"/>
            <rFont val="Calibri"/>
            <family val="2"/>
            <scheme val="minor"/>
          </rPr>
          <t>Tipo de actividad (elegir de la lista)</t>
        </r>
      </text>
    </comment>
    <comment ref="M1850" authorId="0" shapeId="0" xr:uid="{00000000-0006-0000-0000-0000A3020000}">
      <text>
        <r>
          <rPr>
            <sz val="11"/>
            <color theme="1"/>
            <rFont val="Calibri"/>
            <family val="2"/>
            <scheme val="minor"/>
          </rPr>
          <t>Elegir el instructor de la lista</t>
        </r>
      </text>
    </comment>
    <comment ref="O1850" authorId="0" shapeId="0" xr:uid="{00000000-0006-0000-0000-0000A4020000}">
      <text>
        <r>
          <rPr>
            <sz val="11"/>
            <color theme="1"/>
            <rFont val="Calibri"/>
            <family val="2"/>
            <scheme val="minor"/>
          </rPr>
          <t>Tipo de actividad (elegir de la lista)</t>
        </r>
      </text>
    </comment>
    <comment ref="M1855" authorId="0" shapeId="0" xr:uid="{00000000-0006-0000-0000-0000A5020000}">
      <text>
        <r>
          <rPr>
            <sz val="11"/>
            <color theme="1"/>
            <rFont val="Calibri"/>
            <family val="2"/>
            <scheme val="minor"/>
          </rPr>
          <t>Elegir el instructor de la lista</t>
        </r>
      </text>
    </comment>
    <comment ref="O1855" authorId="0" shapeId="0" xr:uid="{00000000-0006-0000-0000-0000A6020000}">
      <text>
        <r>
          <rPr>
            <sz val="11"/>
            <color theme="1"/>
            <rFont val="Calibri"/>
            <family val="2"/>
            <scheme val="minor"/>
          </rPr>
          <t>Tipo de actividad (elegir de la lista)</t>
        </r>
      </text>
    </comment>
    <comment ref="M1860" authorId="0" shapeId="0" xr:uid="{00000000-0006-0000-0000-0000A7020000}">
      <text>
        <r>
          <rPr>
            <sz val="11"/>
            <color theme="1"/>
            <rFont val="Calibri"/>
            <family val="2"/>
            <scheme val="minor"/>
          </rPr>
          <t>Elegir el instructor de la lista</t>
        </r>
      </text>
    </comment>
    <comment ref="O1860" authorId="0" shapeId="0" xr:uid="{00000000-0006-0000-0000-0000A8020000}">
      <text>
        <r>
          <rPr>
            <sz val="11"/>
            <color theme="1"/>
            <rFont val="Calibri"/>
            <family val="2"/>
            <scheme val="minor"/>
          </rPr>
          <t>Tipo de actividad (elegir de la lista)</t>
        </r>
      </text>
    </comment>
    <comment ref="M1867" authorId="0" shapeId="0" xr:uid="{00000000-0006-0000-0000-0000A9020000}">
      <text>
        <r>
          <rPr>
            <sz val="11"/>
            <color theme="1"/>
            <rFont val="Calibri"/>
            <family val="2"/>
            <scheme val="minor"/>
          </rPr>
          <t>Elegir el instructor de la lista</t>
        </r>
      </text>
    </comment>
    <comment ref="O1867" authorId="0" shapeId="0" xr:uid="{00000000-0006-0000-0000-0000AA020000}">
      <text>
        <r>
          <rPr>
            <sz val="11"/>
            <color theme="1"/>
            <rFont val="Calibri"/>
            <family val="2"/>
            <scheme val="minor"/>
          </rPr>
          <t>Tipo de actividad (elegir de la lista)</t>
        </r>
      </text>
    </comment>
    <comment ref="M1874" authorId="0" shapeId="0" xr:uid="{00000000-0006-0000-0000-0000AB020000}">
      <text>
        <r>
          <rPr>
            <sz val="11"/>
            <color theme="1"/>
            <rFont val="Calibri"/>
            <family val="2"/>
            <scheme val="minor"/>
          </rPr>
          <t>Elegir el instructor de la lista</t>
        </r>
      </text>
    </comment>
    <comment ref="O1874" authorId="0" shapeId="0" xr:uid="{00000000-0006-0000-0000-0000AC020000}">
      <text>
        <r>
          <rPr>
            <sz val="11"/>
            <color theme="1"/>
            <rFont val="Calibri"/>
            <family val="2"/>
            <scheme val="minor"/>
          </rPr>
          <t>Tipo de actividad (elegir de la lista)</t>
        </r>
      </text>
    </comment>
    <comment ref="M1881" authorId="0" shapeId="0" xr:uid="{00000000-0006-0000-0000-0000AD020000}">
      <text>
        <r>
          <rPr>
            <sz val="11"/>
            <color theme="1"/>
            <rFont val="Calibri"/>
            <family val="2"/>
            <scheme val="minor"/>
          </rPr>
          <t>Elegir el instructor de la lista</t>
        </r>
      </text>
    </comment>
    <comment ref="O1881" authorId="0" shapeId="0" xr:uid="{00000000-0006-0000-0000-0000AE020000}">
      <text>
        <r>
          <rPr>
            <sz val="11"/>
            <color theme="1"/>
            <rFont val="Calibri"/>
            <family val="2"/>
            <scheme val="minor"/>
          </rPr>
          <t>Tipo de actividad (elegir de la lista)</t>
        </r>
      </text>
    </comment>
    <comment ref="M1888" authorId="0" shapeId="0" xr:uid="{00000000-0006-0000-0000-0000AF020000}">
      <text>
        <r>
          <rPr>
            <sz val="11"/>
            <color theme="1"/>
            <rFont val="Calibri"/>
            <family val="2"/>
            <scheme val="minor"/>
          </rPr>
          <t>Elegir el instructor de la lista</t>
        </r>
      </text>
    </comment>
    <comment ref="O1888" authorId="0" shapeId="0" xr:uid="{00000000-0006-0000-0000-0000B0020000}">
      <text>
        <r>
          <rPr>
            <sz val="11"/>
            <color theme="1"/>
            <rFont val="Calibri"/>
            <family val="2"/>
            <scheme val="minor"/>
          </rPr>
          <t>Tipo de actividad (elegir de la lista)</t>
        </r>
      </text>
    </comment>
    <comment ref="M1893" authorId="0" shapeId="0" xr:uid="{00000000-0006-0000-0000-0000B1020000}">
      <text>
        <r>
          <rPr>
            <sz val="11"/>
            <color theme="1"/>
            <rFont val="Calibri"/>
            <family val="2"/>
            <scheme val="minor"/>
          </rPr>
          <t>Elegir el instructor de la lista</t>
        </r>
      </text>
    </comment>
    <comment ref="O1893" authorId="0" shapeId="0" xr:uid="{00000000-0006-0000-0000-0000B2020000}">
      <text>
        <r>
          <rPr>
            <sz val="11"/>
            <color theme="1"/>
            <rFont val="Calibri"/>
            <family val="2"/>
            <scheme val="minor"/>
          </rPr>
          <t>Tipo de actividad (elegir de la lista)</t>
        </r>
      </text>
    </comment>
    <comment ref="M1898" authorId="0" shapeId="0" xr:uid="{00000000-0006-0000-0000-0000B3020000}">
      <text>
        <r>
          <rPr>
            <sz val="11"/>
            <color theme="1"/>
            <rFont val="Calibri"/>
            <family val="2"/>
            <scheme val="minor"/>
          </rPr>
          <t>Elegir el instructor de la lista</t>
        </r>
      </text>
    </comment>
    <comment ref="O1898" authorId="0" shapeId="0" xr:uid="{00000000-0006-0000-0000-0000B4020000}">
      <text>
        <r>
          <rPr>
            <sz val="11"/>
            <color theme="1"/>
            <rFont val="Calibri"/>
            <family val="2"/>
            <scheme val="minor"/>
          </rPr>
          <t>Tipo de actividad (elegir de la lista)</t>
        </r>
      </text>
    </comment>
    <comment ref="M1903" authorId="0" shapeId="0" xr:uid="{00000000-0006-0000-0000-0000B5020000}">
      <text>
        <r>
          <rPr>
            <sz val="11"/>
            <color theme="1"/>
            <rFont val="Calibri"/>
            <family val="2"/>
            <scheme val="minor"/>
          </rPr>
          <t>Elegir el instructor de la lista</t>
        </r>
      </text>
    </comment>
    <comment ref="O1903" authorId="0" shapeId="0" xr:uid="{00000000-0006-0000-0000-0000B6020000}">
      <text>
        <r>
          <rPr>
            <sz val="11"/>
            <color theme="1"/>
            <rFont val="Calibri"/>
            <family val="2"/>
            <scheme val="minor"/>
          </rPr>
          <t>Tipo de actividad (elegir de la lista)</t>
        </r>
      </text>
    </comment>
    <comment ref="M1908" authorId="0" shapeId="0" xr:uid="{00000000-0006-0000-0000-0000B7020000}">
      <text>
        <r>
          <rPr>
            <sz val="11"/>
            <color theme="1"/>
            <rFont val="Calibri"/>
            <family val="2"/>
            <scheme val="minor"/>
          </rPr>
          <t>Elegir el instructor de la lista</t>
        </r>
      </text>
    </comment>
    <comment ref="O1908" authorId="0" shapeId="0" xr:uid="{00000000-0006-0000-0000-0000B8020000}">
      <text>
        <r>
          <rPr>
            <sz val="11"/>
            <color theme="1"/>
            <rFont val="Calibri"/>
            <family val="2"/>
            <scheme val="minor"/>
          </rPr>
          <t>Tipo de actividad (elegir de la lista)</t>
        </r>
      </text>
    </comment>
    <comment ref="M1913" authorId="0" shapeId="0" xr:uid="{00000000-0006-0000-0000-0000B9020000}">
      <text>
        <r>
          <rPr>
            <sz val="11"/>
            <color theme="1"/>
            <rFont val="Calibri"/>
            <family val="2"/>
            <scheme val="minor"/>
          </rPr>
          <t>Elegir el instructor de la lista</t>
        </r>
      </text>
    </comment>
    <comment ref="O1913" authorId="0" shapeId="0" xr:uid="{00000000-0006-0000-0000-0000BA020000}">
      <text>
        <r>
          <rPr>
            <sz val="11"/>
            <color theme="1"/>
            <rFont val="Calibri"/>
            <family val="2"/>
            <scheme val="minor"/>
          </rPr>
          <t>Tipo de actividad (elegir de la lista)</t>
        </r>
      </text>
    </comment>
    <comment ref="M1918" authorId="0" shapeId="0" xr:uid="{00000000-0006-0000-0000-0000BB020000}">
      <text>
        <r>
          <rPr>
            <sz val="11"/>
            <color theme="1"/>
            <rFont val="Calibri"/>
            <family val="2"/>
            <scheme val="minor"/>
          </rPr>
          <t>Elegir el instructor de la lista</t>
        </r>
      </text>
    </comment>
    <comment ref="O1918" authorId="0" shapeId="0" xr:uid="{00000000-0006-0000-0000-0000BC020000}">
      <text>
        <r>
          <rPr>
            <sz val="11"/>
            <color theme="1"/>
            <rFont val="Calibri"/>
            <family val="2"/>
            <scheme val="minor"/>
          </rPr>
          <t>Tipo de actividad (elegir de la lista)</t>
        </r>
      </text>
    </comment>
    <comment ref="M1923" authorId="0" shapeId="0" xr:uid="{00000000-0006-0000-0000-0000BD020000}">
      <text>
        <r>
          <rPr>
            <sz val="11"/>
            <color theme="1"/>
            <rFont val="Calibri"/>
            <family val="2"/>
            <scheme val="minor"/>
          </rPr>
          <t>Elegir el instructor de la lista</t>
        </r>
      </text>
    </comment>
    <comment ref="O1923" authorId="0" shapeId="0" xr:uid="{00000000-0006-0000-0000-0000BE020000}">
      <text>
        <r>
          <rPr>
            <sz val="11"/>
            <color theme="1"/>
            <rFont val="Calibri"/>
            <family val="2"/>
            <scheme val="minor"/>
          </rPr>
          <t>Tipo de actividad (elegir de la lista)</t>
        </r>
      </text>
    </comment>
    <comment ref="M1928" authorId="0" shapeId="0" xr:uid="{00000000-0006-0000-0000-0000BF020000}">
      <text>
        <r>
          <rPr>
            <sz val="11"/>
            <color theme="1"/>
            <rFont val="Calibri"/>
            <family val="2"/>
            <scheme val="minor"/>
          </rPr>
          <t>Elegir el instructor de la lista</t>
        </r>
      </text>
    </comment>
    <comment ref="O1928" authorId="0" shapeId="0" xr:uid="{00000000-0006-0000-0000-0000C0020000}">
      <text>
        <r>
          <rPr>
            <sz val="11"/>
            <color theme="1"/>
            <rFont val="Calibri"/>
            <family val="2"/>
            <scheme val="minor"/>
          </rPr>
          <t>Tipo de actividad (elegir de la lista)</t>
        </r>
      </text>
    </comment>
    <comment ref="M1933" authorId="0" shapeId="0" xr:uid="{00000000-0006-0000-0000-0000C1020000}">
      <text>
        <r>
          <rPr>
            <sz val="11"/>
            <color theme="1"/>
            <rFont val="Calibri"/>
            <family val="2"/>
            <scheme val="minor"/>
          </rPr>
          <t>Elegir el instructor de la lista</t>
        </r>
      </text>
    </comment>
    <comment ref="O1933" authorId="0" shapeId="0" xr:uid="{00000000-0006-0000-0000-0000C2020000}">
      <text>
        <r>
          <rPr>
            <sz val="11"/>
            <color theme="1"/>
            <rFont val="Calibri"/>
            <family val="2"/>
            <scheme val="minor"/>
          </rPr>
          <t>Tipo de actividad (elegir de la lista)</t>
        </r>
      </text>
    </comment>
    <comment ref="M1938" authorId="0" shapeId="0" xr:uid="{00000000-0006-0000-0000-0000C3020000}">
      <text>
        <r>
          <rPr>
            <sz val="11"/>
            <color theme="1"/>
            <rFont val="Calibri"/>
            <family val="2"/>
            <scheme val="minor"/>
          </rPr>
          <t>Elegir el instructor de la lista</t>
        </r>
      </text>
    </comment>
    <comment ref="O1938" authorId="0" shapeId="0" xr:uid="{00000000-0006-0000-0000-0000C4020000}">
      <text>
        <r>
          <rPr>
            <sz val="11"/>
            <color theme="1"/>
            <rFont val="Calibri"/>
            <family val="2"/>
            <scheme val="minor"/>
          </rPr>
          <t>Tipo de actividad (elegir de la lista)</t>
        </r>
      </text>
    </comment>
    <comment ref="M1943" authorId="0" shapeId="0" xr:uid="{00000000-0006-0000-0000-0000C5020000}">
      <text>
        <r>
          <rPr>
            <sz val="11"/>
            <color theme="1"/>
            <rFont val="Calibri"/>
            <family val="2"/>
            <scheme val="minor"/>
          </rPr>
          <t>Elegir el instructor de la lista</t>
        </r>
      </text>
    </comment>
    <comment ref="O1943" authorId="0" shapeId="0" xr:uid="{00000000-0006-0000-0000-0000C6020000}">
      <text>
        <r>
          <rPr>
            <sz val="11"/>
            <color theme="1"/>
            <rFont val="Calibri"/>
            <family val="2"/>
            <scheme val="minor"/>
          </rPr>
          <t>Tipo de actividad (elegir de la lista)</t>
        </r>
      </text>
    </comment>
    <comment ref="M1948" authorId="0" shapeId="0" xr:uid="{00000000-0006-0000-0000-0000C7020000}">
      <text>
        <r>
          <rPr>
            <sz val="11"/>
            <color theme="1"/>
            <rFont val="Calibri"/>
            <family val="2"/>
            <scheme val="minor"/>
          </rPr>
          <t>Elegir el instructor de la lista</t>
        </r>
      </text>
    </comment>
    <comment ref="O1948" authorId="0" shapeId="0" xr:uid="{00000000-0006-0000-0000-0000C8020000}">
      <text>
        <r>
          <rPr>
            <sz val="11"/>
            <color theme="1"/>
            <rFont val="Calibri"/>
            <family val="2"/>
            <scheme val="minor"/>
          </rPr>
          <t>Tipo de actividad (elegir de la lista)</t>
        </r>
      </text>
    </comment>
    <comment ref="M1955" authorId="0" shapeId="0" xr:uid="{00000000-0006-0000-0000-0000C9020000}">
      <text>
        <r>
          <rPr>
            <sz val="11"/>
            <color theme="1"/>
            <rFont val="Calibri"/>
            <family val="2"/>
            <scheme val="minor"/>
          </rPr>
          <t>Elegir el instructor de la lista</t>
        </r>
      </text>
    </comment>
    <comment ref="O1955" authorId="0" shapeId="0" xr:uid="{00000000-0006-0000-0000-0000CA020000}">
      <text>
        <r>
          <rPr>
            <sz val="11"/>
            <color theme="1"/>
            <rFont val="Calibri"/>
            <family val="2"/>
            <scheme val="minor"/>
          </rPr>
          <t>Tipo de actividad (elegir de la lista)</t>
        </r>
      </text>
    </comment>
    <comment ref="M1962" authorId="0" shapeId="0" xr:uid="{00000000-0006-0000-0000-0000CB020000}">
      <text>
        <r>
          <rPr>
            <sz val="11"/>
            <color theme="1"/>
            <rFont val="Calibri"/>
            <family val="2"/>
            <scheme val="minor"/>
          </rPr>
          <t>Elegir el instructor de la lista</t>
        </r>
      </text>
    </comment>
    <comment ref="O1962" authorId="0" shapeId="0" xr:uid="{00000000-0006-0000-0000-0000CC020000}">
      <text>
        <r>
          <rPr>
            <sz val="11"/>
            <color theme="1"/>
            <rFont val="Calibri"/>
            <family val="2"/>
            <scheme val="minor"/>
          </rPr>
          <t>Tipo de actividad (elegir de la lista)</t>
        </r>
      </text>
    </comment>
    <comment ref="M1967" authorId="0" shapeId="0" xr:uid="{00000000-0006-0000-0000-0000CD020000}">
      <text>
        <r>
          <rPr>
            <sz val="11"/>
            <color theme="1"/>
            <rFont val="Calibri"/>
            <family val="2"/>
            <scheme val="minor"/>
          </rPr>
          <t>Elegir el instructor de la lista</t>
        </r>
      </text>
    </comment>
    <comment ref="O1967" authorId="0" shapeId="0" xr:uid="{00000000-0006-0000-0000-0000CE020000}">
      <text>
        <r>
          <rPr>
            <sz val="11"/>
            <color theme="1"/>
            <rFont val="Calibri"/>
            <family val="2"/>
            <scheme val="minor"/>
          </rPr>
          <t>Tipo de actividad (elegir de la lista)</t>
        </r>
      </text>
    </comment>
    <comment ref="M1972" authorId="0" shapeId="0" xr:uid="{00000000-0006-0000-0000-0000CF020000}">
      <text>
        <r>
          <rPr>
            <sz val="11"/>
            <color theme="1"/>
            <rFont val="Calibri"/>
            <family val="2"/>
            <scheme val="minor"/>
          </rPr>
          <t>Elegir el instructor de la lista</t>
        </r>
      </text>
    </comment>
    <comment ref="O1972" authorId="0" shapeId="0" xr:uid="{00000000-0006-0000-0000-0000D0020000}">
      <text>
        <r>
          <rPr>
            <sz val="11"/>
            <color theme="1"/>
            <rFont val="Calibri"/>
            <family val="2"/>
            <scheme val="minor"/>
          </rPr>
          <t>Tipo de actividad (elegir de la lista)</t>
        </r>
      </text>
    </comment>
    <comment ref="M1977" authorId="0" shapeId="0" xr:uid="{00000000-0006-0000-0000-0000D1020000}">
      <text>
        <r>
          <rPr>
            <sz val="11"/>
            <color theme="1"/>
            <rFont val="Calibri"/>
            <family val="2"/>
            <scheme val="minor"/>
          </rPr>
          <t>Elegir el instructor de la lista</t>
        </r>
      </text>
    </comment>
    <comment ref="O1977" authorId="0" shapeId="0" xr:uid="{00000000-0006-0000-0000-0000D2020000}">
      <text>
        <r>
          <rPr>
            <sz val="11"/>
            <color theme="1"/>
            <rFont val="Calibri"/>
            <family val="2"/>
            <scheme val="minor"/>
          </rPr>
          <t>Tipo de actividad (elegir de la lista)</t>
        </r>
      </text>
    </comment>
    <comment ref="M1982" authorId="0" shapeId="0" xr:uid="{00000000-0006-0000-0000-0000D3020000}">
      <text>
        <r>
          <rPr>
            <sz val="11"/>
            <color theme="1"/>
            <rFont val="Calibri"/>
            <family val="2"/>
            <scheme val="minor"/>
          </rPr>
          <t>Elegir el instructor de la lista</t>
        </r>
      </text>
    </comment>
    <comment ref="O1982" authorId="0" shapeId="0" xr:uid="{00000000-0006-0000-0000-0000D4020000}">
      <text>
        <r>
          <rPr>
            <sz val="11"/>
            <color theme="1"/>
            <rFont val="Calibri"/>
            <family val="2"/>
            <scheme val="minor"/>
          </rPr>
          <t>Tipo de actividad (elegir de la lista)</t>
        </r>
      </text>
    </comment>
    <comment ref="M1989" authorId="0" shapeId="0" xr:uid="{00000000-0006-0000-0000-0000D5020000}">
      <text>
        <r>
          <rPr>
            <sz val="11"/>
            <color theme="1"/>
            <rFont val="Calibri"/>
            <family val="2"/>
            <scheme val="minor"/>
          </rPr>
          <t>Elegir el instructor de la lista</t>
        </r>
      </text>
    </comment>
    <comment ref="O1989" authorId="0" shapeId="0" xr:uid="{00000000-0006-0000-0000-0000D6020000}">
      <text>
        <r>
          <rPr>
            <sz val="11"/>
            <color theme="1"/>
            <rFont val="Calibri"/>
            <family val="2"/>
            <scheme val="minor"/>
          </rPr>
          <t>Tipo de actividad (elegir de la lista)</t>
        </r>
      </text>
    </comment>
    <comment ref="M1994" authorId="0" shapeId="0" xr:uid="{00000000-0006-0000-0000-0000D7020000}">
      <text>
        <r>
          <rPr>
            <sz val="11"/>
            <color theme="1"/>
            <rFont val="Calibri"/>
            <family val="2"/>
            <scheme val="minor"/>
          </rPr>
          <t>Elegir el instructor de la lista</t>
        </r>
      </text>
    </comment>
    <comment ref="O1994" authorId="0" shapeId="0" xr:uid="{00000000-0006-0000-0000-0000D8020000}">
      <text>
        <r>
          <rPr>
            <sz val="11"/>
            <color theme="1"/>
            <rFont val="Calibri"/>
            <family val="2"/>
            <scheme val="minor"/>
          </rPr>
          <t>Tipo de actividad (elegir de la lista)</t>
        </r>
      </text>
    </comment>
    <comment ref="M1999" authorId="0" shapeId="0" xr:uid="{00000000-0006-0000-0000-0000D9020000}">
      <text>
        <r>
          <rPr>
            <sz val="11"/>
            <color theme="1"/>
            <rFont val="Calibri"/>
            <family val="2"/>
            <scheme val="minor"/>
          </rPr>
          <t>Elegir el instructor de la lista</t>
        </r>
      </text>
    </comment>
    <comment ref="O1999" authorId="0" shapeId="0" xr:uid="{00000000-0006-0000-0000-0000DA020000}">
      <text>
        <r>
          <rPr>
            <sz val="11"/>
            <color theme="1"/>
            <rFont val="Calibri"/>
            <family val="2"/>
            <scheme val="minor"/>
          </rPr>
          <t>Tipo de actividad (elegir de la lista)</t>
        </r>
      </text>
    </comment>
    <comment ref="M2004" authorId="0" shapeId="0" xr:uid="{00000000-0006-0000-0000-0000DB020000}">
      <text>
        <r>
          <rPr>
            <sz val="11"/>
            <color theme="1"/>
            <rFont val="Calibri"/>
            <family val="2"/>
            <scheme val="minor"/>
          </rPr>
          <t>Elegir el instructor de la lista</t>
        </r>
      </text>
    </comment>
    <comment ref="O2004" authorId="0" shapeId="0" xr:uid="{00000000-0006-0000-0000-0000DC020000}">
      <text>
        <r>
          <rPr>
            <sz val="11"/>
            <color theme="1"/>
            <rFont val="Calibri"/>
            <family val="2"/>
            <scheme val="minor"/>
          </rPr>
          <t>Tipo de actividad (elegir de la lista)</t>
        </r>
      </text>
    </comment>
    <comment ref="M2009" authorId="0" shapeId="0" xr:uid="{00000000-0006-0000-0000-0000DD020000}">
      <text>
        <r>
          <rPr>
            <sz val="11"/>
            <color theme="1"/>
            <rFont val="Calibri"/>
            <family val="2"/>
            <scheme val="minor"/>
          </rPr>
          <t>Elegir el instructor de la lista</t>
        </r>
      </text>
    </comment>
    <comment ref="O2009" authorId="0" shapeId="0" xr:uid="{00000000-0006-0000-0000-0000DE020000}">
      <text>
        <r>
          <rPr>
            <sz val="11"/>
            <color theme="1"/>
            <rFont val="Calibri"/>
            <family val="2"/>
            <scheme val="minor"/>
          </rPr>
          <t>Tipo de actividad (elegir de la lista)</t>
        </r>
      </text>
    </comment>
    <comment ref="M2014" authorId="0" shapeId="0" xr:uid="{00000000-0006-0000-0000-0000DF020000}">
      <text>
        <r>
          <rPr>
            <sz val="11"/>
            <color theme="1"/>
            <rFont val="Calibri"/>
            <family val="2"/>
            <scheme val="minor"/>
          </rPr>
          <t>Elegir el instructor de la lista</t>
        </r>
      </text>
    </comment>
    <comment ref="O2014" authorId="0" shapeId="0" xr:uid="{00000000-0006-0000-0000-0000E0020000}">
      <text>
        <r>
          <rPr>
            <sz val="11"/>
            <color theme="1"/>
            <rFont val="Calibri"/>
            <family val="2"/>
            <scheme val="minor"/>
          </rPr>
          <t>Tipo de actividad (elegir de la lista)</t>
        </r>
      </text>
    </comment>
    <comment ref="M2019" authorId="0" shapeId="0" xr:uid="{00000000-0006-0000-0000-0000E1020000}">
      <text>
        <r>
          <rPr>
            <sz val="11"/>
            <color theme="1"/>
            <rFont val="Calibri"/>
            <family val="2"/>
            <scheme val="minor"/>
          </rPr>
          <t>Elegir el instructor de la lista</t>
        </r>
      </text>
    </comment>
    <comment ref="O2019" authorId="0" shapeId="0" xr:uid="{00000000-0006-0000-0000-0000E2020000}">
      <text>
        <r>
          <rPr>
            <sz val="11"/>
            <color theme="1"/>
            <rFont val="Calibri"/>
            <family val="2"/>
            <scheme val="minor"/>
          </rPr>
          <t>Tipo de actividad (elegir de la lista)</t>
        </r>
      </text>
    </comment>
    <comment ref="M2024" authorId="0" shapeId="0" xr:uid="{00000000-0006-0000-0000-0000E3020000}">
      <text>
        <r>
          <rPr>
            <sz val="11"/>
            <color theme="1"/>
            <rFont val="Calibri"/>
            <family val="2"/>
            <scheme val="minor"/>
          </rPr>
          <t>Elegir el instructor de la lista</t>
        </r>
      </text>
    </comment>
    <comment ref="O2024" authorId="0" shapeId="0" xr:uid="{00000000-0006-0000-0000-0000E4020000}">
      <text>
        <r>
          <rPr>
            <sz val="11"/>
            <color theme="1"/>
            <rFont val="Calibri"/>
            <family val="2"/>
            <scheme val="minor"/>
          </rPr>
          <t>Tipo de actividad (elegir de la lista)</t>
        </r>
      </text>
    </comment>
    <comment ref="M2029" authorId="0" shapeId="0" xr:uid="{00000000-0006-0000-0000-0000E5020000}">
      <text>
        <r>
          <rPr>
            <sz val="11"/>
            <color theme="1"/>
            <rFont val="Calibri"/>
            <family val="2"/>
            <scheme val="minor"/>
          </rPr>
          <t>Elegir el instructor de la lista</t>
        </r>
      </text>
    </comment>
    <comment ref="O2029" authorId="0" shapeId="0" xr:uid="{00000000-0006-0000-0000-0000E6020000}">
      <text>
        <r>
          <rPr>
            <sz val="11"/>
            <color theme="1"/>
            <rFont val="Calibri"/>
            <family val="2"/>
            <scheme val="minor"/>
          </rPr>
          <t>Tipo de actividad (elegir de la lista)</t>
        </r>
      </text>
    </comment>
    <comment ref="M2034" authorId="0" shapeId="0" xr:uid="{00000000-0006-0000-0000-0000E7020000}">
      <text>
        <r>
          <rPr>
            <sz val="11"/>
            <color theme="1"/>
            <rFont val="Calibri"/>
            <family val="2"/>
            <scheme val="minor"/>
          </rPr>
          <t>Elegir el instructor de la lista</t>
        </r>
      </text>
    </comment>
    <comment ref="O2034" authorId="0" shapeId="0" xr:uid="{00000000-0006-0000-0000-0000E8020000}">
      <text>
        <r>
          <rPr>
            <sz val="11"/>
            <color theme="1"/>
            <rFont val="Calibri"/>
            <family val="2"/>
            <scheme val="minor"/>
          </rPr>
          <t>Tipo de actividad (elegir de la lista)</t>
        </r>
      </text>
    </comment>
    <comment ref="M2039" authorId="0" shapeId="0" xr:uid="{00000000-0006-0000-0000-0000E9020000}">
      <text>
        <r>
          <rPr>
            <sz val="11"/>
            <color theme="1"/>
            <rFont val="Calibri"/>
            <family val="2"/>
            <scheme val="minor"/>
          </rPr>
          <t>Elegir el instructor de la lista</t>
        </r>
      </text>
    </comment>
    <comment ref="O2039" authorId="0" shapeId="0" xr:uid="{00000000-0006-0000-0000-0000EA020000}">
      <text>
        <r>
          <rPr>
            <sz val="11"/>
            <color theme="1"/>
            <rFont val="Calibri"/>
            <family val="2"/>
            <scheme val="minor"/>
          </rPr>
          <t>Tipo de actividad (elegir de la lista)</t>
        </r>
      </text>
    </comment>
    <comment ref="M2044" authorId="0" shapeId="0" xr:uid="{00000000-0006-0000-0000-0000EB020000}">
      <text>
        <r>
          <rPr>
            <sz val="11"/>
            <color theme="1"/>
            <rFont val="Calibri"/>
            <family val="2"/>
            <scheme val="minor"/>
          </rPr>
          <t>Elegir el instructor de la lista</t>
        </r>
      </text>
    </comment>
    <comment ref="O2044" authorId="0" shapeId="0" xr:uid="{00000000-0006-0000-0000-0000EC020000}">
      <text>
        <r>
          <rPr>
            <sz val="11"/>
            <color theme="1"/>
            <rFont val="Calibri"/>
            <family val="2"/>
            <scheme val="minor"/>
          </rPr>
          <t>Tipo de actividad (elegir de la lista)</t>
        </r>
      </text>
    </comment>
    <comment ref="M2051" authorId="0" shapeId="0" xr:uid="{00000000-0006-0000-0000-0000ED020000}">
      <text>
        <r>
          <rPr>
            <sz val="11"/>
            <color theme="1"/>
            <rFont val="Calibri"/>
            <family val="2"/>
            <scheme val="minor"/>
          </rPr>
          <t>Elegir el instructor de la lista</t>
        </r>
      </text>
    </comment>
    <comment ref="O2051" authorId="0" shapeId="0" xr:uid="{00000000-0006-0000-0000-0000EE020000}">
      <text>
        <r>
          <rPr>
            <sz val="11"/>
            <color theme="1"/>
            <rFont val="Calibri"/>
            <family val="2"/>
            <scheme val="minor"/>
          </rPr>
          <t>Tipo de actividad (elegir de la lista)</t>
        </r>
      </text>
    </comment>
    <comment ref="M2058" authorId="0" shapeId="0" xr:uid="{00000000-0006-0000-0000-0000EF020000}">
      <text>
        <r>
          <rPr>
            <sz val="11"/>
            <color theme="1"/>
            <rFont val="Calibri"/>
            <family val="2"/>
            <scheme val="minor"/>
          </rPr>
          <t>Elegir el instructor de la lista</t>
        </r>
      </text>
    </comment>
    <comment ref="O2058" authorId="0" shapeId="0" xr:uid="{00000000-0006-0000-0000-0000F0020000}">
      <text>
        <r>
          <rPr>
            <sz val="11"/>
            <color theme="1"/>
            <rFont val="Calibri"/>
            <family val="2"/>
            <scheme val="minor"/>
          </rPr>
          <t>Tipo de actividad (elegir de la lista)</t>
        </r>
      </text>
    </comment>
    <comment ref="M2065" authorId="0" shapeId="0" xr:uid="{00000000-0006-0000-0000-0000F1020000}">
      <text>
        <r>
          <rPr>
            <sz val="11"/>
            <color theme="1"/>
            <rFont val="Calibri"/>
            <family val="2"/>
            <scheme val="minor"/>
          </rPr>
          <t>Elegir el instructor de la lista</t>
        </r>
      </text>
    </comment>
    <comment ref="O2065" authorId="0" shapeId="0" xr:uid="{00000000-0006-0000-0000-0000F2020000}">
      <text>
        <r>
          <rPr>
            <sz val="11"/>
            <color theme="1"/>
            <rFont val="Calibri"/>
            <family val="2"/>
            <scheme val="minor"/>
          </rPr>
          <t>Tipo de actividad (elegir de la lista)</t>
        </r>
      </text>
    </comment>
    <comment ref="M2070" authorId="0" shapeId="0" xr:uid="{00000000-0006-0000-0000-0000F3020000}">
      <text>
        <r>
          <rPr>
            <sz val="11"/>
            <color theme="1"/>
            <rFont val="Calibri"/>
            <family val="2"/>
            <scheme val="minor"/>
          </rPr>
          <t>Elegir el instructor de la lista</t>
        </r>
      </text>
    </comment>
    <comment ref="O2070" authorId="0" shapeId="0" xr:uid="{00000000-0006-0000-0000-0000F4020000}">
      <text>
        <r>
          <rPr>
            <sz val="11"/>
            <color theme="1"/>
            <rFont val="Calibri"/>
            <family val="2"/>
            <scheme val="minor"/>
          </rPr>
          <t>Tipo de actividad (elegir de la lista)</t>
        </r>
      </text>
    </comment>
    <comment ref="M2075" authorId="0" shapeId="0" xr:uid="{00000000-0006-0000-0000-0000F5020000}">
      <text>
        <r>
          <rPr>
            <sz val="11"/>
            <color theme="1"/>
            <rFont val="Calibri"/>
            <family val="2"/>
            <scheme val="minor"/>
          </rPr>
          <t>Elegir el instructor de la lista</t>
        </r>
      </text>
    </comment>
    <comment ref="O2075" authorId="0" shapeId="0" xr:uid="{00000000-0006-0000-0000-0000F6020000}">
      <text>
        <r>
          <rPr>
            <sz val="11"/>
            <color theme="1"/>
            <rFont val="Calibri"/>
            <family val="2"/>
            <scheme val="minor"/>
          </rPr>
          <t>Tipo de actividad (elegir de la lista)</t>
        </r>
      </text>
    </comment>
    <comment ref="M2080" authorId="0" shapeId="0" xr:uid="{00000000-0006-0000-0000-0000F7020000}">
      <text>
        <r>
          <rPr>
            <sz val="11"/>
            <color theme="1"/>
            <rFont val="Calibri"/>
            <family val="2"/>
            <scheme val="minor"/>
          </rPr>
          <t>Elegir el instructor de la lista</t>
        </r>
      </text>
    </comment>
    <comment ref="O2080" authorId="0" shapeId="0" xr:uid="{00000000-0006-0000-0000-0000F8020000}">
      <text>
        <r>
          <rPr>
            <sz val="11"/>
            <color theme="1"/>
            <rFont val="Calibri"/>
            <family val="2"/>
            <scheme val="minor"/>
          </rPr>
          <t>Tipo de actividad (elegir de la lista)</t>
        </r>
      </text>
    </comment>
    <comment ref="M2085" authorId="0" shapeId="0" xr:uid="{00000000-0006-0000-0000-0000F9020000}">
      <text>
        <r>
          <rPr>
            <sz val="11"/>
            <color theme="1"/>
            <rFont val="Calibri"/>
            <family val="2"/>
            <scheme val="minor"/>
          </rPr>
          <t>Elegir el instructor de la lista</t>
        </r>
      </text>
    </comment>
    <comment ref="O2085" authorId="0" shapeId="0" xr:uid="{00000000-0006-0000-0000-0000FA020000}">
      <text>
        <r>
          <rPr>
            <sz val="11"/>
            <color theme="1"/>
            <rFont val="Calibri"/>
            <family val="2"/>
            <scheme val="minor"/>
          </rPr>
          <t>Tipo de actividad (elegir de la lista)</t>
        </r>
      </text>
    </comment>
    <comment ref="M2092" authorId="0" shapeId="0" xr:uid="{00000000-0006-0000-0000-0000FB020000}">
      <text>
        <r>
          <rPr>
            <sz val="11"/>
            <color theme="1"/>
            <rFont val="Calibri"/>
            <family val="2"/>
            <scheme val="minor"/>
          </rPr>
          <t>Elegir el instructor de la lista</t>
        </r>
      </text>
    </comment>
    <comment ref="O2092" authorId="0" shapeId="0" xr:uid="{00000000-0006-0000-0000-0000FC020000}">
      <text>
        <r>
          <rPr>
            <sz val="11"/>
            <color theme="1"/>
            <rFont val="Calibri"/>
            <family val="2"/>
            <scheme val="minor"/>
          </rPr>
          <t>Tipo de actividad (elegir de la lista)</t>
        </r>
      </text>
    </comment>
    <comment ref="M2099" authorId="0" shapeId="0" xr:uid="{00000000-0006-0000-0000-0000FD020000}">
      <text>
        <r>
          <rPr>
            <sz val="11"/>
            <color theme="1"/>
            <rFont val="Calibri"/>
            <family val="2"/>
            <scheme val="minor"/>
          </rPr>
          <t>Elegir el instructor de la lista</t>
        </r>
      </text>
    </comment>
    <comment ref="O2099" authorId="0" shapeId="0" xr:uid="{00000000-0006-0000-0000-0000FE020000}">
      <text>
        <r>
          <rPr>
            <sz val="11"/>
            <color theme="1"/>
            <rFont val="Calibri"/>
            <family val="2"/>
            <scheme val="minor"/>
          </rPr>
          <t>Tipo de actividad (elegir de la lista)</t>
        </r>
      </text>
    </comment>
    <comment ref="M2104" authorId="0" shapeId="0" xr:uid="{00000000-0006-0000-0000-0000FF020000}">
      <text>
        <r>
          <rPr>
            <sz val="11"/>
            <color theme="1"/>
            <rFont val="Calibri"/>
            <family val="2"/>
            <scheme val="minor"/>
          </rPr>
          <t>Elegir el instructor de la lista</t>
        </r>
      </text>
    </comment>
    <comment ref="O2104" authorId="0" shapeId="0" xr:uid="{00000000-0006-0000-0000-000000030000}">
      <text>
        <r>
          <rPr>
            <sz val="11"/>
            <color theme="1"/>
            <rFont val="Calibri"/>
            <family val="2"/>
            <scheme val="minor"/>
          </rPr>
          <t>Tipo de actividad (elegir de la lista)</t>
        </r>
      </text>
    </comment>
    <comment ref="M2109" authorId="0" shapeId="0" xr:uid="{00000000-0006-0000-0000-000001030000}">
      <text>
        <r>
          <rPr>
            <sz val="11"/>
            <color theme="1"/>
            <rFont val="Calibri"/>
            <family val="2"/>
            <scheme val="minor"/>
          </rPr>
          <t>Elegir el instructor de la lista</t>
        </r>
      </text>
    </comment>
    <comment ref="O2109" authorId="0" shapeId="0" xr:uid="{00000000-0006-0000-0000-000002030000}">
      <text>
        <r>
          <rPr>
            <sz val="11"/>
            <color theme="1"/>
            <rFont val="Calibri"/>
            <family val="2"/>
            <scheme val="minor"/>
          </rPr>
          <t>Tipo de actividad (elegir de la lista)</t>
        </r>
      </text>
    </comment>
    <comment ref="M2114" authorId="0" shapeId="0" xr:uid="{00000000-0006-0000-0000-000003030000}">
      <text>
        <r>
          <rPr>
            <sz val="11"/>
            <color theme="1"/>
            <rFont val="Calibri"/>
            <family val="2"/>
            <scheme val="minor"/>
          </rPr>
          <t>Elegir el instructor de la lista</t>
        </r>
      </text>
    </comment>
    <comment ref="O2114" authorId="0" shapeId="0" xr:uid="{00000000-0006-0000-0000-000004030000}">
      <text>
        <r>
          <rPr>
            <sz val="11"/>
            <color theme="1"/>
            <rFont val="Calibri"/>
            <family val="2"/>
            <scheme val="minor"/>
          </rPr>
          <t>Tipo de actividad (elegir de la lista)</t>
        </r>
      </text>
    </comment>
    <comment ref="M2119" authorId="0" shapeId="0" xr:uid="{00000000-0006-0000-0000-000005030000}">
      <text>
        <r>
          <rPr>
            <sz val="11"/>
            <color theme="1"/>
            <rFont val="Calibri"/>
            <family val="2"/>
            <scheme val="minor"/>
          </rPr>
          <t>Elegir el instructor de la lista</t>
        </r>
      </text>
    </comment>
    <comment ref="O2119" authorId="0" shapeId="0" xr:uid="{00000000-0006-0000-0000-000006030000}">
      <text>
        <r>
          <rPr>
            <sz val="11"/>
            <color theme="1"/>
            <rFont val="Calibri"/>
            <family val="2"/>
            <scheme val="minor"/>
          </rPr>
          <t>Tipo de actividad (elegir de la lista)</t>
        </r>
      </text>
    </comment>
    <comment ref="M2124" authorId="0" shapeId="0" xr:uid="{00000000-0006-0000-0000-000007030000}">
      <text>
        <r>
          <rPr>
            <sz val="11"/>
            <color theme="1"/>
            <rFont val="Calibri"/>
            <family val="2"/>
            <scheme val="minor"/>
          </rPr>
          <t>Elegir el instructor de la lista</t>
        </r>
      </text>
    </comment>
    <comment ref="O2124" authorId="0" shapeId="0" xr:uid="{00000000-0006-0000-0000-000008030000}">
      <text>
        <r>
          <rPr>
            <sz val="11"/>
            <color theme="1"/>
            <rFont val="Calibri"/>
            <family val="2"/>
            <scheme val="minor"/>
          </rPr>
          <t>Tipo de actividad (elegir de la lista)</t>
        </r>
      </text>
    </comment>
    <comment ref="M2129" authorId="0" shapeId="0" xr:uid="{00000000-0006-0000-0000-000009030000}">
      <text>
        <r>
          <rPr>
            <sz val="11"/>
            <color theme="1"/>
            <rFont val="Calibri"/>
            <family val="2"/>
            <scheme val="minor"/>
          </rPr>
          <t>Elegir el instructor de la lista</t>
        </r>
      </text>
    </comment>
    <comment ref="O2129" authorId="0" shapeId="0" xr:uid="{00000000-0006-0000-0000-00000A030000}">
      <text>
        <r>
          <rPr>
            <sz val="11"/>
            <color theme="1"/>
            <rFont val="Calibri"/>
            <family val="2"/>
            <scheme val="minor"/>
          </rPr>
          <t>Tipo de actividad (elegir de la lista)</t>
        </r>
      </text>
    </comment>
    <comment ref="M2134" authorId="0" shapeId="0" xr:uid="{00000000-0006-0000-0000-00000B030000}">
      <text>
        <r>
          <rPr>
            <sz val="11"/>
            <color theme="1"/>
            <rFont val="Calibri"/>
            <family val="2"/>
            <scheme val="minor"/>
          </rPr>
          <t>Elegir el instructor de la lista</t>
        </r>
      </text>
    </comment>
    <comment ref="O2134" authorId="0" shapeId="0" xr:uid="{00000000-0006-0000-0000-00000C030000}">
      <text>
        <r>
          <rPr>
            <sz val="11"/>
            <color theme="1"/>
            <rFont val="Calibri"/>
            <family val="2"/>
            <scheme val="minor"/>
          </rPr>
          <t>Tipo de actividad (elegir de la lista)</t>
        </r>
      </text>
    </comment>
    <comment ref="M2139" authorId="0" shapeId="0" xr:uid="{00000000-0006-0000-0000-00000D030000}">
      <text>
        <r>
          <rPr>
            <sz val="11"/>
            <color theme="1"/>
            <rFont val="Calibri"/>
            <family val="2"/>
            <scheme val="minor"/>
          </rPr>
          <t>Elegir el instructor de la lista</t>
        </r>
      </text>
    </comment>
    <comment ref="O2139" authorId="0" shapeId="0" xr:uid="{00000000-0006-0000-0000-00000E030000}">
      <text>
        <r>
          <rPr>
            <sz val="11"/>
            <color theme="1"/>
            <rFont val="Calibri"/>
            <family val="2"/>
            <scheme val="minor"/>
          </rPr>
          <t>Tipo de actividad (elegir de la lista)</t>
        </r>
      </text>
    </comment>
    <comment ref="M2144" authorId="0" shapeId="0" xr:uid="{00000000-0006-0000-0000-00000F030000}">
      <text>
        <r>
          <rPr>
            <sz val="11"/>
            <color theme="1"/>
            <rFont val="Calibri"/>
            <family val="2"/>
            <scheme val="minor"/>
          </rPr>
          <t>Elegir el instructor de la lista</t>
        </r>
      </text>
    </comment>
    <comment ref="O2144" authorId="0" shapeId="0" xr:uid="{00000000-0006-0000-0000-000010030000}">
      <text>
        <r>
          <rPr>
            <sz val="11"/>
            <color theme="1"/>
            <rFont val="Calibri"/>
            <family val="2"/>
            <scheme val="minor"/>
          </rPr>
          <t>Tipo de actividad (elegir de la lista)</t>
        </r>
      </text>
    </comment>
    <comment ref="M2151" authorId="0" shapeId="0" xr:uid="{00000000-0006-0000-0000-000011030000}">
      <text>
        <r>
          <rPr>
            <sz val="11"/>
            <color theme="1"/>
            <rFont val="Calibri"/>
            <family val="2"/>
            <scheme val="minor"/>
          </rPr>
          <t>Elegir el instructor de la lista</t>
        </r>
      </text>
    </comment>
    <comment ref="O2151" authorId="0" shapeId="0" xr:uid="{00000000-0006-0000-0000-000012030000}">
      <text>
        <r>
          <rPr>
            <sz val="11"/>
            <color theme="1"/>
            <rFont val="Calibri"/>
            <family val="2"/>
            <scheme val="minor"/>
          </rPr>
          <t>Tipo de actividad (elegir de la lista)</t>
        </r>
      </text>
    </comment>
    <comment ref="M2156" authorId="0" shapeId="0" xr:uid="{00000000-0006-0000-0000-000013030000}">
      <text>
        <r>
          <rPr>
            <sz val="11"/>
            <color theme="1"/>
            <rFont val="Calibri"/>
            <family val="2"/>
            <scheme val="minor"/>
          </rPr>
          <t>Elegir el instructor de la lista</t>
        </r>
      </text>
    </comment>
    <comment ref="O2156" authorId="0" shapeId="0" xr:uid="{00000000-0006-0000-0000-000014030000}">
      <text>
        <r>
          <rPr>
            <sz val="11"/>
            <color theme="1"/>
            <rFont val="Calibri"/>
            <family val="2"/>
            <scheme val="minor"/>
          </rPr>
          <t>Tipo de actividad (elegir de la lista)</t>
        </r>
      </text>
    </comment>
    <comment ref="M2163" authorId="0" shapeId="0" xr:uid="{00000000-0006-0000-0000-000015030000}">
      <text>
        <r>
          <rPr>
            <sz val="11"/>
            <color theme="1"/>
            <rFont val="Calibri"/>
            <family val="2"/>
            <scheme val="minor"/>
          </rPr>
          <t>Elegir el instructor de la lista</t>
        </r>
      </text>
    </comment>
    <comment ref="O2163" authorId="0" shapeId="0" xr:uid="{00000000-0006-0000-0000-000016030000}">
      <text>
        <r>
          <rPr>
            <sz val="11"/>
            <color theme="1"/>
            <rFont val="Calibri"/>
            <family val="2"/>
            <scheme val="minor"/>
          </rPr>
          <t>Tipo de actividad (elegir de la lista)</t>
        </r>
      </text>
    </comment>
    <comment ref="M2168" authorId="0" shapeId="0" xr:uid="{00000000-0006-0000-0000-000017030000}">
      <text>
        <r>
          <rPr>
            <sz val="11"/>
            <color theme="1"/>
            <rFont val="Calibri"/>
            <family val="2"/>
            <scheme val="minor"/>
          </rPr>
          <t>Elegir el instructor de la lista</t>
        </r>
      </text>
    </comment>
    <comment ref="O2168" authorId="0" shapeId="0" xr:uid="{00000000-0006-0000-0000-000018030000}">
      <text>
        <r>
          <rPr>
            <sz val="11"/>
            <color theme="1"/>
            <rFont val="Calibri"/>
            <family val="2"/>
            <scheme val="minor"/>
          </rPr>
          <t>Tipo de actividad (elegir de la lista)</t>
        </r>
      </text>
    </comment>
    <comment ref="M2173" authorId="0" shapeId="0" xr:uid="{00000000-0006-0000-0000-000019030000}">
      <text>
        <r>
          <rPr>
            <sz val="11"/>
            <color theme="1"/>
            <rFont val="Calibri"/>
            <family val="2"/>
            <scheme val="minor"/>
          </rPr>
          <t>Elegir el instructor de la lista</t>
        </r>
      </text>
    </comment>
    <comment ref="O2173" authorId="0" shapeId="0" xr:uid="{00000000-0006-0000-0000-00001A030000}">
      <text>
        <r>
          <rPr>
            <sz val="11"/>
            <color theme="1"/>
            <rFont val="Calibri"/>
            <family val="2"/>
            <scheme val="minor"/>
          </rPr>
          <t>Tipo de actividad (elegir de la lista)</t>
        </r>
      </text>
    </comment>
    <comment ref="M2180" authorId="0" shapeId="0" xr:uid="{00000000-0006-0000-0000-00001B030000}">
      <text>
        <r>
          <rPr>
            <sz val="11"/>
            <color theme="1"/>
            <rFont val="Calibri"/>
            <family val="2"/>
            <scheme val="minor"/>
          </rPr>
          <t>Elegir el instructor de la lista</t>
        </r>
      </text>
    </comment>
    <comment ref="O2180" authorId="0" shapeId="0" xr:uid="{00000000-0006-0000-0000-00001C030000}">
      <text>
        <r>
          <rPr>
            <sz val="11"/>
            <color theme="1"/>
            <rFont val="Calibri"/>
            <family val="2"/>
            <scheme val="minor"/>
          </rPr>
          <t>Tipo de actividad (elegir de la lista)</t>
        </r>
      </text>
    </comment>
    <comment ref="M2185" authorId="0" shapeId="0" xr:uid="{00000000-0006-0000-0000-00001D030000}">
      <text>
        <r>
          <rPr>
            <sz val="11"/>
            <color theme="1"/>
            <rFont val="Calibri"/>
            <family val="2"/>
            <scheme val="minor"/>
          </rPr>
          <t>Elegir el instructor de la lista</t>
        </r>
      </text>
    </comment>
    <comment ref="O2185" authorId="0" shapeId="0" xr:uid="{00000000-0006-0000-0000-00001E030000}">
      <text>
        <r>
          <rPr>
            <sz val="11"/>
            <color theme="1"/>
            <rFont val="Calibri"/>
            <family val="2"/>
            <scheme val="minor"/>
          </rPr>
          <t>Tipo de actividad (elegir de la lista)</t>
        </r>
      </text>
    </comment>
    <comment ref="M2190" authorId="0" shapeId="0" xr:uid="{00000000-0006-0000-0000-00001F030000}">
      <text>
        <r>
          <rPr>
            <sz val="11"/>
            <color theme="1"/>
            <rFont val="Calibri"/>
            <family val="2"/>
            <scheme val="minor"/>
          </rPr>
          <t>Elegir el instructor de la lista</t>
        </r>
      </text>
    </comment>
    <comment ref="O2190" authorId="0" shapeId="0" xr:uid="{00000000-0006-0000-0000-000020030000}">
      <text>
        <r>
          <rPr>
            <sz val="11"/>
            <color theme="1"/>
            <rFont val="Calibri"/>
            <family val="2"/>
            <scheme val="minor"/>
          </rPr>
          <t>Tipo de actividad (elegir de la lista)</t>
        </r>
      </text>
    </comment>
    <comment ref="M2195" authorId="0" shapeId="0" xr:uid="{00000000-0006-0000-0000-000021030000}">
      <text>
        <r>
          <rPr>
            <sz val="11"/>
            <color theme="1"/>
            <rFont val="Calibri"/>
            <family val="2"/>
            <scheme val="minor"/>
          </rPr>
          <t>Elegir el instructor de la lista</t>
        </r>
      </text>
    </comment>
    <comment ref="O2195" authorId="0" shapeId="0" xr:uid="{00000000-0006-0000-0000-000022030000}">
      <text>
        <r>
          <rPr>
            <sz val="11"/>
            <color theme="1"/>
            <rFont val="Calibri"/>
            <family val="2"/>
            <scheme val="minor"/>
          </rPr>
          <t>Tipo de actividad (elegir de la lista)</t>
        </r>
      </text>
    </comment>
    <comment ref="M2202" authorId="0" shapeId="0" xr:uid="{00000000-0006-0000-0000-000023030000}">
      <text>
        <r>
          <rPr>
            <sz val="11"/>
            <color theme="1"/>
            <rFont val="Calibri"/>
            <family val="2"/>
            <scheme val="minor"/>
          </rPr>
          <t>Elegir el instructor de la lista</t>
        </r>
      </text>
    </comment>
    <comment ref="O2202" authorId="0" shapeId="0" xr:uid="{00000000-0006-0000-0000-000024030000}">
      <text>
        <r>
          <rPr>
            <sz val="11"/>
            <color theme="1"/>
            <rFont val="Calibri"/>
            <family val="2"/>
            <scheme val="minor"/>
          </rPr>
          <t>Tipo de actividad (elegir de la lista)</t>
        </r>
      </text>
    </comment>
    <comment ref="M2207" authorId="0" shapeId="0" xr:uid="{00000000-0006-0000-0000-000025030000}">
      <text>
        <r>
          <rPr>
            <sz val="11"/>
            <color theme="1"/>
            <rFont val="Calibri"/>
            <family val="2"/>
            <scheme val="minor"/>
          </rPr>
          <t>Elegir el instructor de la lista</t>
        </r>
      </text>
    </comment>
    <comment ref="O2207" authorId="0" shapeId="0" xr:uid="{00000000-0006-0000-0000-000026030000}">
      <text>
        <r>
          <rPr>
            <sz val="11"/>
            <color theme="1"/>
            <rFont val="Calibri"/>
            <family val="2"/>
            <scheme val="minor"/>
          </rPr>
          <t>Tipo de actividad (elegir de la lista)</t>
        </r>
      </text>
    </comment>
    <comment ref="M2212" authorId="0" shapeId="0" xr:uid="{00000000-0006-0000-0000-000027030000}">
      <text>
        <r>
          <rPr>
            <sz val="11"/>
            <color theme="1"/>
            <rFont val="Calibri"/>
            <family val="2"/>
            <scheme val="minor"/>
          </rPr>
          <t>Elegir el instructor de la lista</t>
        </r>
      </text>
    </comment>
    <comment ref="O2212" authorId="0" shapeId="0" xr:uid="{00000000-0006-0000-0000-000028030000}">
      <text>
        <r>
          <rPr>
            <sz val="11"/>
            <color theme="1"/>
            <rFont val="Calibri"/>
            <family val="2"/>
            <scheme val="minor"/>
          </rPr>
          <t>Tipo de actividad (elegir de la lista)</t>
        </r>
      </text>
    </comment>
    <comment ref="M2217" authorId="0" shapeId="0" xr:uid="{00000000-0006-0000-0000-000029030000}">
      <text>
        <r>
          <rPr>
            <sz val="11"/>
            <color theme="1"/>
            <rFont val="Calibri"/>
            <family val="2"/>
            <scheme val="minor"/>
          </rPr>
          <t>Elegir el instructor de la lista</t>
        </r>
      </text>
    </comment>
    <comment ref="O2217" authorId="0" shapeId="0" xr:uid="{00000000-0006-0000-0000-00002A030000}">
      <text>
        <r>
          <rPr>
            <sz val="11"/>
            <color theme="1"/>
            <rFont val="Calibri"/>
            <family val="2"/>
            <scheme val="minor"/>
          </rPr>
          <t>Tipo de actividad (elegir de la lista)</t>
        </r>
      </text>
    </comment>
    <comment ref="M2222" authorId="0" shapeId="0" xr:uid="{00000000-0006-0000-0000-00002B030000}">
      <text>
        <r>
          <rPr>
            <sz val="11"/>
            <color theme="1"/>
            <rFont val="Calibri"/>
            <family val="2"/>
            <scheme val="minor"/>
          </rPr>
          <t>Elegir el instructor de la lista</t>
        </r>
      </text>
    </comment>
    <comment ref="O2222" authorId="0" shapeId="0" xr:uid="{00000000-0006-0000-0000-00002C030000}">
      <text>
        <r>
          <rPr>
            <sz val="11"/>
            <color theme="1"/>
            <rFont val="Calibri"/>
            <family val="2"/>
            <scheme val="minor"/>
          </rPr>
          <t>Tipo de actividad (elegir de la lista)</t>
        </r>
      </text>
    </comment>
    <comment ref="M2227" authorId="0" shapeId="0" xr:uid="{00000000-0006-0000-0000-00002D030000}">
      <text>
        <r>
          <rPr>
            <sz val="11"/>
            <color theme="1"/>
            <rFont val="Calibri"/>
            <family val="2"/>
            <scheme val="minor"/>
          </rPr>
          <t>Elegir el instructor de la lista</t>
        </r>
      </text>
    </comment>
    <comment ref="O2227" authorId="0" shapeId="0" xr:uid="{00000000-0006-0000-0000-00002E030000}">
      <text>
        <r>
          <rPr>
            <sz val="11"/>
            <color theme="1"/>
            <rFont val="Calibri"/>
            <family val="2"/>
            <scheme val="minor"/>
          </rPr>
          <t>Tipo de actividad (elegir de la lista)</t>
        </r>
      </text>
    </comment>
    <comment ref="M2232" authorId="0" shapeId="0" xr:uid="{00000000-0006-0000-0000-00002F030000}">
      <text>
        <r>
          <rPr>
            <sz val="11"/>
            <color theme="1"/>
            <rFont val="Calibri"/>
            <family val="2"/>
            <scheme val="minor"/>
          </rPr>
          <t>Elegir el instructor de la lista</t>
        </r>
      </text>
    </comment>
    <comment ref="O2232" authorId="0" shapeId="0" xr:uid="{00000000-0006-0000-0000-000030030000}">
      <text>
        <r>
          <rPr>
            <sz val="11"/>
            <color theme="1"/>
            <rFont val="Calibri"/>
            <family val="2"/>
            <scheme val="minor"/>
          </rPr>
          <t>Tipo de actividad (elegir de la lista)</t>
        </r>
      </text>
    </comment>
    <comment ref="M2237" authorId="0" shapeId="0" xr:uid="{00000000-0006-0000-0000-000031030000}">
      <text>
        <r>
          <rPr>
            <sz val="11"/>
            <color theme="1"/>
            <rFont val="Calibri"/>
            <family val="2"/>
            <scheme val="minor"/>
          </rPr>
          <t>Elegir el instructor de la lista</t>
        </r>
      </text>
    </comment>
    <comment ref="O2237" authorId="0" shapeId="0" xr:uid="{00000000-0006-0000-0000-000032030000}">
      <text>
        <r>
          <rPr>
            <sz val="11"/>
            <color theme="1"/>
            <rFont val="Calibri"/>
            <family val="2"/>
            <scheme val="minor"/>
          </rPr>
          <t>Tipo de actividad (elegir de la lista)</t>
        </r>
      </text>
    </comment>
    <comment ref="M2242" authorId="0" shapeId="0" xr:uid="{00000000-0006-0000-0000-000033030000}">
      <text>
        <r>
          <rPr>
            <sz val="11"/>
            <color theme="1"/>
            <rFont val="Calibri"/>
            <family val="2"/>
            <scheme val="minor"/>
          </rPr>
          <t>Elegir el instructor de la lista</t>
        </r>
      </text>
    </comment>
    <comment ref="O2242" authorId="0" shapeId="0" xr:uid="{00000000-0006-0000-0000-000034030000}">
      <text>
        <r>
          <rPr>
            <sz val="11"/>
            <color theme="1"/>
            <rFont val="Calibri"/>
            <family val="2"/>
            <scheme val="minor"/>
          </rPr>
          <t>Tipo de actividad (elegir de la lista)</t>
        </r>
      </text>
    </comment>
    <comment ref="M2247" authorId="0" shapeId="0" xr:uid="{00000000-0006-0000-0000-000035030000}">
      <text>
        <r>
          <rPr>
            <sz val="11"/>
            <color theme="1"/>
            <rFont val="Calibri"/>
            <family val="2"/>
            <scheme val="minor"/>
          </rPr>
          <t>Elegir el instructor de la lista</t>
        </r>
      </text>
    </comment>
    <comment ref="O2247" authorId="0" shapeId="0" xr:uid="{00000000-0006-0000-0000-000036030000}">
      <text>
        <r>
          <rPr>
            <sz val="11"/>
            <color theme="1"/>
            <rFont val="Calibri"/>
            <family val="2"/>
            <scheme val="minor"/>
          </rPr>
          <t>Tipo de actividad (elegir de la lista)</t>
        </r>
      </text>
    </comment>
    <comment ref="M2252" authorId="0" shapeId="0" xr:uid="{00000000-0006-0000-0000-000037030000}">
      <text>
        <r>
          <rPr>
            <sz val="11"/>
            <color theme="1"/>
            <rFont val="Calibri"/>
            <family val="2"/>
            <scheme val="minor"/>
          </rPr>
          <t>Elegir el instructor de la lista</t>
        </r>
      </text>
    </comment>
    <comment ref="O2252" authorId="0" shapeId="0" xr:uid="{00000000-0006-0000-0000-000038030000}">
      <text>
        <r>
          <rPr>
            <sz val="11"/>
            <color theme="1"/>
            <rFont val="Calibri"/>
            <family val="2"/>
            <scheme val="minor"/>
          </rPr>
          <t>Tipo de actividad (elegir de la lista)</t>
        </r>
      </text>
    </comment>
    <comment ref="M2259" authorId="0" shapeId="0" xr:uid="{00000000-0006-0000-0000-000039030000}">
      <text>
        <r>
          <rPr>
            <sz val="11"/>
            <color theme="1"/>
            <rFont val="Calibri"/>
            <family val="2"/>
            <scheme val="minor"/>
          </rPr>
          <t>Elegir el instructor de la lista</t>
        </r>
      </text>
    </comment>
    <comment ref="O2259" authorId="0" shapeId="0" xr:uid="{00000000-0006-0000-0000-00003A030000}">
      <text>
        <r>
          <rPr>
            <sz val="11"/>
            <color theme="1"/>
            <rFont val="Calibri"/>
            <family val="2"/>
            <scheme val="minor"/>
          </rPr>
          <t>Tipo de actividad (elegir de la lista)</t>
        </r>
      </text>
    </comment>
    <comment ref="M2264" authorId="0" shapeId="0" xr:uid="{00000000-0006-0000-0000-00003B030000}">
      <text>
        <r>
          <rPr>
            <sz val="11"/>
            <color theme="1"/>
            <rFont val="Calibri"/>
            <family val="2"/>
            <scheme val="minor"/>
          </rPr>
          <t>Elegir el instructor de la lista</t>
        </r>
      </text>
    </comment>
    <comment ref="O2264" authorId="0" shapeId="0" xr:uid="{00000000-0006-0000-0000-00003C030000}">
      <text>
        <r>
          <rPr>
            <sz val="11"/>
            <color theme="1"/>
            <rFont val="Calibri"/>
            <family val="2"/>
            <scheme val="minor"/>
          </rPr>
          <t>Tipo de actividad (elegir de la lista)</t>
        </r>
      </text>
    </comment>
    <comment ref="M2271" authorId="0" shapeId="0" xr:uid="{00000000-0006-0000-0000-00003D030000}">
      <text>
        <r>
          <rPr>
            <sz val="11"/>
            <color theme="1"/>
            <rFont val="Calibri"/>
            <family val="2"/>
            <scheme val="minor"/>
          </rPr>
          <t>Elegir el instructor de la lista</t>
        </r>
      </text>
    </comment>
    <comment ref="O2271" authorId="0" shapeId="0" xr:uid="{00000000-0006-0000-0000-00003E030000}">
      <text>
        <r>
          <rPr>
            <sz val="11"/>
            <color theme="1"/>
            <rFont val="Calibri"/>
            <family val="2"/>
            <scheme val="minor"/>
          </rPr>
          <t>Tipo de actividad (elegir de la lista)</t>
        </r>
      </text>
    </comment>
    <comment ref="M2276" authorId="0" shapeId="0" xr:uid="{00000000-0006-0000-0000-00003F030000}">
      <text>
        <r>
          <rPr>
            <sz val="11"/>
            <color theme="1"/>
            <rFont val="Calibri"/>
            <family val="2"/>
            <scheme val="minor"/>
          </rPr>
          <t>Elegir el instructor de la lista</t>
        </r>
      </text>
    </comment>
    <comment ref="O2276" authorId="0" shapeId="0" xr:uid="{00000000-0006-0000-0000-000040030000}">
      <text>
        <r>
          <rPr>
            <sz val="11"/>
            <color theme="1"/>
            <rFont val="Calibri"/>
            <family val="2"/>
            <scheme val="minor"/>
          </rPr>
          <t>Tipo de actividad (elegir de la lista)</t>
        </r>
      </text>
    </comment>
    <comment ref="M2281" authorId="0" shapeId="0" xr:uid="{00000000-0006-0000-0000-000041030000}">
      <text>
        <r>
          <rPr>
            <sz val="11"/>
            <color theme="1"/>
            <rFont val="Calibri"/>
            <family val="2"/>
            <scheme val="minor"/>
          </rPr>
          <t>Elegir el instructor de la lista</t>
        </r>
      </text>
    </comment>
    <comment ref="O2281" authorId="0" shapeId="0" xr:uid="{00000000-0006-0000-0000-000042030000}">
      <text>
        <r>
          <rPr>
            <sz val="11"/>
            <color theme="1"/>
            <rFont val="Calibri"/>
            <family val="2"/>
            <scheme val="minor"/>
          </rPr>
          <t>Tipo de actividad (elegir de la lista)</t>
        </r>
      </text>
    </comment>
    <comment ref="M2288" authorId="0" shapeId="0" xr:uid="{00000000-0006-0000-0000-000043030000}">
      <text>
        <r>
          <rPr>
            <sz val="11"/>
            <color theme="1"/>
            <rFont val="Calibri"/>
            <family val="2"/>
            <scheme val="minor"/>
          </rPr>
          <t>Elegir el instructor de la lista</t>
        </r>
      </text>
    </comment>
    <comment ref="O2288" authorId="0" shapeId="0" xr:uid="{00000000-0006-0000-0000-000044030000}">
      <text>
        <r>
          <rPr>
            <sz val="11"/>
            <color theme="1"/>
            <rFont val="Calibri"/>
            <family val="2"/>
            <scheme val="minor"/>
          </rPr>
          <t>Tipo de actividad (elegir de la lista)</t>
        </r>
      </text>
    </comment>
    <comment ref="M2293" authorId="0" shapeId="0" xr:uid="{00000000-0006-0000-0000-000045030000}">
      <text>
        <r>
          <rPr>
            <sz val="11"/>
            <color theme="1"/>
            <rFont val="Calibri"/>
            <family val="2"/>
            <scheme val="minor"/>
          </rPr>
          <t>Elegir el instructor de la lista</t>
        </r>
      </text>
    </comment>
    <comment ref="O2293" authorId="0" shapeId="0" xr:uid="{00000000-0006-0000-0000-000046030000}">
      <text>
        <r>
          <rPr>
            <sz val="11"/>
            <color theme="1"/>
            <rFont val="Calibri"/>
            <family val="2"/>
            <scheme val="minor"/>
          </rPr>
          <t>Tipo de actividad (elegir de la lista)</t>
        </r>
      </text>
    </comment>
    <comment ref="M2298" authorId="0" shapeId="0" xr:uid="{00000000-0006-0000-0000-000047030000}">
      <text>
        <r>
          <rPr>
            <sz val="11"/>
            <color theme="1"/>
            <rFont val="Calibri"/>
            <family val="2"/>
            <scheme val="minor"/>
          </rPr>
          <t>Elegir el instructor de la lista</t>
        </r>
      </text>
    </comment>
    <comment ref="O2298" authorId="0" shapeId="0" xr:uid="{00000000-0006-0000-0000-000048030000}">
      <text>
        <r>
          <rPr>
            <sz val="11"/>
            <color theme="1"/>
            <rFont val="Calibri"/>
            <family val="2"/>
            <scheme val="minor"/>
          </rPr>
          <t>Tipo de actividad (elegir de la lista)</t>
        </r>
      </text>
    </comment>
    <comment ref="M2303" authorId="0" shapeId="0" xr:uid="{00000000-0006-0000-0000-000049030000}">
      <text>
        <r>
          <rPr>
            <sz val="11"/>
            <color theme="1"/>
            <rFont val="Calibri"/>
            <family val="2"/>
            <scheme val="minor"/>
          </rPr>
          <t>Elegir el instructor de la lista</t>
        </r>
      </text>
    </comment>
    <comment ref="O2303" authorId="0" shapeId="0" xr:uid="{00000000-0006-0000-0000-00004A030000}">
      <text>
        <r>
          <rPr>
            <sz val="11"/>
            <color theme="1"/>
            <rFont val="Calibri"/>
            <family val="2"/>
            <scheme val="minor"/>
          </rPr>
          <t>Tipo de actividad (elegir de la lista)</t>
        </r>
      </text>
    </comment>
    <comment ref="M2308" authorId="0" shapeId="0" xr:uid="{00000000-0006-0000-0000-00004B030000}">
      <text>
        <r>
          <rPr>
            <sz val="11"/>
            <color theme="1"/>
            <rFont val="Calibri"/>
            <family val="2"/>
            <scheme val="minor"/>
          </rPr>
          <t>Elegir el instructor de la lista</t>
        </r>
      </text>
    </comment>
    <comment ref="O2308" authorId="0" shapeId="0" xr:uid="{00000000-0006-0000-0000-00004C030000}">
      <text>
        <r>
          <rPr>
            <sz val="11"/>
            <color theme="1"/>
            <rFont val="Calibri"/>
            <family val="2"/>
            <scheme val="minor"/>
          </rPr>
          <t>Tipo de actividad (elegir de la lista)</t>
        </r>
      </text>
    </comment>
    <comment ref="M2315" authorId="0" shapeId="0" xr:uid="{00000000-0006-0000-0000-00004D030000}">
      <text>
        <r>
          <rPr>
            <sz val="11"/>
            <color theme="1"/>
            <rFont val="Calibri"/>
            <family val="2"/>
            <scheme val="minor"/>
          </rPr>
          <t>Elegir el instructor de la lista</t>
        </r>
      </text>
    </comment>
    <comment ref="O2315" authorId="0" shapeId="0" xr:uid="{00000000-0006-0000-0000-00004E030000}">
      <text>
        <r>
          <rPr>
            <sz val="11"/>
            <color theme="1"/>
            <rFont val="Calibri"/>
            <family val="2"/>
            <scheme val="minor"/>
          </rPr>
          <t>Tipo de actividad (elegir de la lista)</t>
        </r>
      </text>
    </comment>
    <comment ref="M2320" authorId="0" shapeId="0" xr:uid="{00000000-0006-0000-0000-00004F030000}">
      <text>
        <r>
          <rPr>
            <sz val="11"/>
            <color theme="1"/>
            <rFont val="Calibri"/>
            <family val="2"/>
            <scheme val="minor"/>
          </rPr>
          <t>Elegir el instructor de la lista</t>
        </r>
      </text>
    </comment>
    <comment ref="O2320" authorId="0" shapeId="0" xr:uid="{00000000-0006-0000-0000-000050030000}">
      <text>
        <r>
          <rPr>
            <sz val="11"/>
            <color theme="1"/>
            <rFont val="Calibri"/>
            <family val="2"/>
            <scheme val="minor"/>
          </rPr>
          <t>Tipo de actividad (elegir de la lista)</t>
        </r>
      </text>
    </comment>
    <comment ref="M2325" authorId="0" shapeId="0" xr:uid="{00000000-0006-0000-0000-000051030000}">
      <text>
        <r>
          <rPr>
            <sz val="11"/>
            <color theme="1"/>
            <rFont val="Calibri"/>
            <family val="2"/>
            <scheme val="minor"/>
          </rPr>
          <t>Elegir el instructor de la lista</t>
        </r>
      </text>
    </comment>
    <comment ref="O2325" authorId="0" shapeId="0" xr:uid="{00000000-0006-0000-0000-000052030000}">
      <text>
        <r>
          <rPr>
            <sz val="11"/>
            <color theme="1"/>
            <rFont val="Calibri"/>
            <family val="2"/>
            <scheme val="minor"/>
          </rPr>
          <t>Tipo de actividad (elegir de la lista)</t>
        </r>
      </text>
    </comment>
    <comment ref="M2330" authorId="0" shapeId="0" xr:uid="{00000000-0006-0000-0000-000053030000}">
      <text>
        <r>
          <rPr>
            <sz val="11"/>
            <color theme="1"/>
            <rFont val="Calibri"/>
            <family val="2"/>
            <scheme val="minor"/>
          </rPr>
          <t>Elegir el instructor de la lista</t>
        </r>
      </text>
    </comment>
    <comment ref="O2330" authorId="0" shapeId="0" xr:uid="{00000000-0006-0000-0000-000054030000}">
      <text>
        <r>
          <rPr>
            <sz val="11"/>
            <color theme="1"/>
            <rFont val="Calibri"/>
            <family val="2"/>
            <scheme val="minor"/>
          </rPr>
          <t>Tipo de actividad (elegir de la lista)</t>
        </r>
      </text>
    </comment>
    <comment ref="M2335" authorId="0" shapeId="0" xr:uid="{00000000-0006-0000-0000-000055030000}">
      <text>
        <r>
          <rPr>
            <sz val="11"/>
            <color theme="1"/>
            <rFont val="Calibri"/>
            <family val="2"/>
            <scheme val="minor"/>
          </rPr>
          <t>Elegir el instructor de la lista</t>
        </r>
      </text>
    </comment>
    <comment ref="O2335" authorId="0" shapeId="0" xr:uid="{00000000-0006-0000-0000-000056030000}">
      <text>
        <r>
          <rPr>
            <sz val="11"/>
            <color theme="1"/>
            <rFont val="Calibri"/>
            <family val="2"/>
            <scheme val="minor"/>
          </rPr>
          <t>Tipo de actividad (elegir de la lista)</t>
        </r>
      </text>
    </comment>
    <comment ref="M2340" authorId="0" shapeId="0" xr:uid="{00000000-0006-0000-0000-000057030000}">
      <text>
        <r>
          <rPr>
            <sz val="11"/>
            <color theme="1"/>
            <rFont val="Calibri"/>
            <family val="2"/>
            <scheme val="minor"/>
          </rPr>
          <t>Elegir el instructor de la lista</t>
        </r>
      </text>
    </comment>
    <comment ref="O2340" authorId="0" shapeId="0" xr:uid="{00000000-0006-0000-0000-000058030000}">
      <text>
        <r>
          <rPr>
            <sz val="11"/>
            <color theme="1"/>
            <rFont val="Calibri"/>
            <family val="2"/>
            <scheme val="minor"/>
          </rPr>
          <t>Tipo de actividad (elegir de la lista)</t>
        </r>
      </text>
    </comment>
    <comment ref="M2345" authorId="0" shapeId="0" xr:uid="{00000000-0006-0000-0000-000059030000}">
      <text>
        <r>
          <rPr>
            <sz val="11"/>
            <color theme="1"/>
            <rFont val="Calibri"/>
            <family val="2"/>
            <scheme val="minor"/>
          </rPr>
          <t>Elegir el instructor de la lista</t>
        </r>
      </text>
    </comment>
    <comment ref="O2345" authorId="0" shapeId="0" xr:uid="{00000000-0006-0000-0000-00005A030000}">
      <text>
        <r>
          <rPr>
            <sz val="11"/>
            <color theme="1"/>
            <rFont val="Calibri"/>
            <family val="2"/>
            <scheme val="minor"/>
          </rPr>
          <t>Tipo de actividad (elegir de la lista)</t>
        </r>
      </text>
    </comment>
    <comment ref="M2350" authorId="0" shapeId="0" xr:uid="{00000000-0006-0000-0000-00005B030000}">
      <text>
        <r>
          <rPr>
            <sz val="11"/>
            <color theme="1"/>
            <rFont val="Calibri"/>
            <family val="2"/>
            <scheme val="minor"/>
          </rPr>
          <t>Elegir el instructor de la lista</t>
        </r>
      </text>
    </comment>
    <comment ref="O2350" authorId="0" shapeId="0" xr:uid="{00000000-0006-0000-0000-00005C030000}">
      <text>
        <r>
          <rPr>
            <sz val="11"/>
            <color theme="1"/>
            <rFont val="Calibri"/>
            <family val="2"/>
            <scheme val="minor"/>
          </rPr>
          <t>Tipo de actividad (elegir de la lista)</t>
        </r>
      </text>
    </comment>
    <comment ref="M2355" authorId="0" shapeId="0" xr:uid="{00000000-0006-0000-0000-00005D030000}">
      <text>
        <r>
          <rPr>
            <sz val="11"/>
            <color theme="1"/>
            <rFont val="Calibri"/>
            <family val="2"/>
            <scheme val="minor"/>
          </rPr>
          <t>Elegir el instructor de la lista</t>
        </r>
      </text>
    </comment>
    <comment ref="O2355" authorId="0" shapeId="0" xr:uid="{00000000-0006-0000-0000-00005E030000}">
      <text>
        <r>
          <rPr>
            <sz val="11"/>
            <color theme="1"/>
            <rFont val="Calibri"/>
            <family val="2"/>
            <scheme val="minor"/>
          </rPr>
          <t>Tipo de actividad (elegir de la lista)</t>
        </r>
      </text>
    </comment>
    <comment ref="M2360" authorId="0" shapeId="0" xr:uid="{00000000-0006-0000-0000-00005F030000}">
      <text>
        <r>
          <rPr>
            <sz val="11"/>
            <color theme="1"/>
            <rFont val="Calibri"/>
            <family val="2"/>
            <scheme val="minor"/>
          </rPr>
          <t>Elegir el instructor de la lista</t>
        </r>
      </text>
    </comment>
    <comment ref="O2360" authorId="0" shapeId="0" xr:uid="{00000000-0006-0000-0000-000060030000}">
      <text>
        <r>
          <rPr>
            <sz val="11"/>
            <color theme="1"/>
            <rFont val="Calibri"/>
            <family val="2"/>
            <scheme val="minor"/>
          </rPr>
          <t>Tipo de actividad (elegir de la lista)</t>
        </r>
      </text>
    </comment>
    <comment ref="M2365" authorId="0" shapeId="0" xr:uid="{00000000-0006-0000-0000-000061030000}">
      <text>
        <r>
          <rPr>
            <sz val="11"/>
            <color theme="1"/>
            <rFont val="Calibri"/>
            <family val="2"/>
            <scheme val="minor"/>
          </rPr>
          <t>Elegir el instructor de la lista</t>
        </r>
      </text>
    </comment>
    <comment ref="O2365" authorId="0" shapeId="0" xr:uid="{00000000-0006-0000-0000-000062030000}">
      <text>
        <r>
          <rPr>
            <sz val="11"/>
            <color theme="1"/>
            <rFont val="Calibri"/>
            <family val="2"/>
            <scheme val="minor"/>
          </rPr>
          <t>Tipo de actividad (elegir de la lista)</t>
        </r>
      </text>
    </comment>
    <comment ref="M2372" authorId="0" shapeId="0" xr:uid="{00000000-0006-0000-0000-000063030000}">
      <text>
        <r>
          <rPr>
            <sz val="11"/>
            <color theme="1"/>
            <rFont val="Calibri"/>
            <family val="2"/>
            <scheme val="minor"/>
          </rPr>
          <t>Elegir el instructor de la lista</t>
        </r>
      </text>
    </comment>
    <comment ref="O2372" authorId="0" shapeId="0" xr:uid="{00000000-0006-0000-0000-000064030000}">
      <text>
        <r>
          <rPr>
            <sz val="11"/>
            <color theme="1"/>
            <rFont val="Calibri"/>
            <family val="2"/>
            <scheme val="minor"/>
          </rPr>
          <t>Tipo de actividad (elegir de la lista)</t>
        </r>
      </text>
    </comment>
    <comment ref="M2377" authorId="0" shapeId="0" xr:uid="{00000000-0006-0000-0000-000065030000}">
      <text>
        <r>
          <rPr>
            <sz val="11"/>
            <color theme="1"/>
            <rFont val="Calibri"/>
            <family val="2"/>
            <scheme val="minor"/>
          </rPr>
          <t>Elegir el instructor de la lista</t>
        </r>
      </text>
    </comment>
    <comment ref="O2377" authorId="0" shapeId="0" xr:uid="{00000000-0006-0000-0000-000066030000}">
      <text>
        <r>
          <rPr>
            <sz val="11"/>
            <color theme="1"/>
            <rFont val="Calibri"/>
            <family val="2"/>
            <scheme val="minor"/>
          </rPr>
          <t>Tipo de actividad (elegir de la lista)</t>
        </r>
      </text>
    </comment>
    <comment ref="M2382" authorId="0" shapeId="0" xr:uid="{00000000-0006-0000-0000-000067030000}">
      <text>
        <r>
          <rPr>
            <sz val="11"/>
            <color theme="1"/>
            <rFont val="Calibri"/>
            <family val="2"/>
            <scheme val="minor"/>
          </rPr>
          <t>Elegir el instructor de la lista</t>
        </r>
      </text>
    </comment>
    <comment ref="O2382" authorId="0" shapeId="0" xr:uid="{00000000-0006-0000-0000-000068030000}">
      <text>
        <r>
          <rPr>
            <sz val="11"/>
            <color theme="1"/>
            <rFont val="Calibri"/>
            <family val="2"/>
            <scheme val="minor"/>
          </rPr>
          <t>Tipo de actividad (elegir de la lista)</t>
        </r>
      </text>
    </comment>
    <comment ref="M2389" authorId="0" shapeId="0" xr:uid="{00000000-0006-0000-0000-000069030000}">
      <text>
        <r>
          <rPr>
            <sz val="11"/>
            <color theme="1"/>
            <rFont val="Calibri"/>
            <family val="2"/>
            <scheme val="minor"/>
          </rPr>
          <t>Elegir el instructor de la lista</t>
        </r>
      </text>
    </comment>
    <comment ref="O2389" authorId="0" shapeId="0" xr:uid="{00000000-0006-0000-0000-00006A030000}">
      <text>
        <r>
          <rPr>
            <sz val="11"/>
            <color theme="1"/>
            <rFont val="Calibri"/>
            <family val="2"/>
            <scheme val="minor"/>
          </rPr>
          <t>Tipo de actividad (elegir de la lista)</t>
        </r>
      </text>
    </comment>
    <comment ref="M2394" authorId="0" shapeId="0" xr:uid="{00000000-0006-0000-0000-00006B030000}">
      <text>
        <r>
          <rPr>
            <sz val="11"/>
            <color theme="1"/>
            <rFont val="Calibri"/>
            <family val="2"/>
            <scheme val="minor"/>
          </rPr>
          <t>Elegir el instructor de la lista</t>
        </r>
      </text>
    </comment>
    <comment ref="O2394" authorId="0" shapeId="0" xr:uid="{00000000-0006-0000-0000-00006C030000}">
      <text>
        <r>
          <rPr>
            <sz val="11"/>
            <color theme="1"/>
            <rFont val="Calibri"/>
            <family val="2"/>
            <scheme val="minor"/>
          </rPr>
          <t>Tipo de actividad (elegir de la lista)</t>
        </r>
      </text>
    </comment>
    <comment ref="M2399" authorId="0" shapeId="0" xr:uid="{00000000-0006-0000-0000-00006D030000}">
      <text>
        <r>
          <rPr>
            <sz val="11"/>
            <color theme="1"/>
            <rFont val="Calibri"/>
            <family val="2"/>
            <scheme val="minor"/>
          </rPr>
          <t>Elegir el instructor de la lista</t>
        </r>
      </text>
    </comment>
    <comment ref="O2399" authorId="0" shapeId="0" xr:uid="{00000000-0006-0000-0000-00006E030000}">
      <text>
        <r>
          <rPr>
            <sz val="11"/>
            <color theme="1"/>
            <rFont val="Calibri"/>
            <family val="2"/>
            <scheme val="minor"/>
          </rPr>
          <t>Tipo de actividad (elegir de la lista)</t>
        </r>
      </text>
    </comment>
    <comment ref="M2404" authorId="0" shapeId="0" xr:uid="{00000000-0006-0000-0000-00006F030000}">
      <text>
        <r>
          <rPr>
            <sz val="11"/>
            <color theme="1"/>
            <rFont val="Calibri"/>
            <family val="2"/>
            <scheme val="minor"/>
          </rPr>
          <t>Elegir el instructor de la lista</t>
        </r>
      </text>
    </comment>
    <comment ref="O2404" authorId="0" shapeId="0" xr:uid="{00000000-0006-0000-0000-000070030000}">
      <text>
        <r>
          <rPr>
            <sz val="11"/>
            <color theme="1"/>
            <rFont val="Calibri"/>
            <family val="2"/>
            <scheme val="minor"/>
          </rPr>
          <t>Tipo de actividad (elegir de la lista)</t>
        </r>
      </text>
    </comment>
    <comment ref="M2409" authorId="0" shapeId="0" xr:uid="{00000000-0006-0000-0000-000071030000}">
      <text>
        <r>
          <rPr>
            <sz val="11"/>
            <color theme="1"/>
            <rFont val="Calibri"/>
            <family val="2"/>
            <scheme val="minor"/>
          </rPr>
          <t>Elegir el instructor de la lista</t>
        </r>
      </text>
    </comment>
    <comment ref="O2409" authorId="0" shapeId="0" xr:uid="{00000000-0006-0000-0000-000072030000}">
      <text>
        <r>
          <rPr>
            <sz val="11"/>
            <color theme="1"/>
            <rFont val="Calibri"/>
            <family val="2"/>
            <scheme val="minor"/>
          </rPr>
          <t>Tipo de actividad (elegir de la lista)</t>
        </r>
      </text>
    </comment>
    <comment ref="M2414" authorId="0" shapeId="0" xr:uid="{00000000-0006-0000-0000-000073030000}">
      <text>
        <r>
          <rPr>
            <sz val="11"/>
            <color theme="1"/>
            <rFont val="Calibri"/>
            <family val="2"/>
            <scheme val="minor"/>
          </rPr>
          <t>Elegir el instructor de la lista</t>
        </r>
      </text>
    </comment>
    <comment ref="O2414" authorId="0" shapeId="0" xr:uid="{00000000-0006-0000-0000-000074030000}">
      <text>
        <r>
          <rPr>
            <sz val="11"/>
            <color theme="1"/>
            <rFont val="Calibri"/>
            <family val="2"/>
            <scheme val="minor"/>
          </rPr>
          <t>Tipo de actividad (elegir de la lista)</t>
        </r>
      </text>
    </comment>
    <comment ref="M2419" authorId="0" shapeId="0" xr:uid="{00000000-0006-0000-0000-000075030000}">
      <text>
        <r>
          <rPr>
            <sz val="11"/>
            <color theme="1"/>
            <rFont val="Calibri"/>
            <family val="2"/>
            <scheme val="minor"/>
          </rPr>
          <t>Elegir el instructor de la lista</t>
        </r>
      </text>
    </comment>
    <comment ref="O2419" authorId="0" shapeId="0" xr:uid="{00000000-0006-0000-0000-000076030000}">
      <text>
        <r>
          <rPr>
            <sz val="11"/>
            <color theme="1"/>
            <rFont val="Calibri"/>
            <family val="2"/>
            <scheme val="minor"/>
          </rPr>
          <t>Tipo de actividad (elegir de la lista)</t>
        </r>
      </text>
    </comment>
    <comment ref="M2424" authorId="0" shapeId="0" xr:uid="{00000000-0006-0000-0000-000077030000}">
      <text>
        <r>
          <rPr>
            <sz val="11"/>
            <color theme="1"/>
            <rFont val="Calibri"/>
            <family val="2"/>
            <scheme val="minor"/>
          </rPr>
          <t>Elegir el instructor de la lista</t>
        </r>
      </text>
    </comment>
    <comment ref="O2424" authorId="0" shapeId="0" xr:uid="{00000000-0006-0000-0000-000078030000}">
      <text>
        <r>
          <rPr>
            <sz val="11"/>
            <color theme="1"/>
            <rFont val="Calibri"/>
            <family val="2"/>
            <scheme val="minor"/>
          </rPr>
          <t>Tipo de actividad (elegir de la lista)</t>
        </r>
      </text>
    </comment>
    <comment ref="M2429" authorId="0" shapeId="0" xr:uid="{00000000-0006-0000-0000-000079030000}">
      <text>
        <r>
          <rPr>
            <sz val="11"/>
            <color theme="1"/>
            <rFont val="Calibri"/>
            <family val="2"/>
            <scheme val="minor"/>
          </rPr>
          <t>Elegir el instructor de la lista</t>
        </r>
      </text>
    </comment>
    <comment ref="O2429" authorId="0" shapeId="0" xr:uid="{00000000-0006-0000-0000-00007A030000}">
      <text>
        <r>
          <rPr>
            <sz val="11"/>
            <color theme="1"/>
            <rFont val="Calibri"/>
            <family val="2"/>
            <scheme val="minor"/>
          </rPr>
          <t>Tipo de actividad (elegir de la lista)</t>
        </r>
      </text>
    </comment>
    <comment ref="M2434" authorId="0" shapeId="0" xr:uid="{00000000-0006-0000-0000-00007B030000}">
      <text>
        <r>
          <rPr>
            <sz val="11"/>
            <color theme="1"/>
            <rFont val="Calibri"/>
            <family val="2"/>
            <scheme val="minor"/>
          </rPr>
          <t>Elegir el instructor de la lista</t>
        </r>
      </text>
    </comment>
    <comment ref="O2434" authorId="0" shapeId="0" xr:uid="{00000000-0006-0000-0000-00007C030000}">
      <text>
        <r>
          <rPr>
            <sz val="11"/>
            <color theme="1"/>
            <rFont val="Calibri"/>
            <family val="2"/>
            <scheme val="minor"/>
          </rPr>
          <t>Tipo de actividad (elegir de la lista)</t>
        </r>
      </text>
    </comment>
    <comment ref="M2439" authorId="0" shapeId="0" xr:uid="{00000000-0006-0000-0000-00007D030000}">
      <text>
        <r>
          <rPr>
            <sz val="11"/>
            <color theme="1"/>
            <rFont val="Calibri"/>
            <family val="2"/>
            <scheme val="minor"/>
          </rPr>
          <t>Elegir el instructor de la lista</t>
        </r>
      </text>
    </comment>
    <comment ref="O2439" authorId="0" shapeId="0" xr:uid="{00000000-0006-0000-0000-00007E030000}">
      <text>
        <r>
          <rPr>
            <sz val="11"/>
            <color theme="1"/>
            <rFont val="Calibri"/>
            <family val="2"/>
            <scheme val="minor"/>
          </rPr>
          <t>Tipo de actividad (elegir de la lista)</t>
        </r>
      </text>
    </comment>
    <comment ref="M2444" authorId="0" shapeId="0" xr:uid="{00000000-0006-0000-0000-00007F030000}">
      <text>
        <r>
          <rPr>
            <sz val="11"/>
            <color theme="1"/>
            <rFont val="Calibri"/>
            <family val="2"/>
            <scheme val="minor"/>
          </rPr>
          <t>Elegir el instructor de la lista</t>
        </r>
      </text>
    </comment>
    <comment ref="O2444" authorId="0" shapeId="0" xr:uid="{00000000-0006-0000-0000-000080030000}">
      <text>
        <r>
          <rPr>
            <sz val="11"/>
            <color theme="1"/>
            <rFont val="Calibri"/>
            <family val="2"/>
            <scheme val="minor"/>
          </rPr>
          <t>Tipo de actividad (elegir de la lista)</t>
        </r>
      </text>
    </comment>
    <comment ref="M2451" authorId="0" shapeId="0" xr:uid="{00000000-0006-0000-0000-000081030000}">
      <text>
        <r>
          <rPr>
            <sz val="11"/>
            <color theme="1"/>
            <rFont val="Calibri"/>
            <family val="2"/>
            <scheme val="minor"/>
          </rPr>
          <t>Elegir el instructor de la lista</t>
        </r>
      </text>
    </comment>
    <comment ref="O2451" authorId="0" shapeId="0" xr:uid="{00000000-0006-0000-0000-000082030000}">
      <text>
        <r>
          <rPr>
            <sz val="11"/>
            <color theme="1"/>
            <rFont val="Calibri"/>
            <family val="2"/>
            <scheme val="minor"/>
          </rPr>
          <t>Tipo de actividad (elegir de la lista)</t>
        </r>
      </text>
    </comment>
    <comment ref="M2458" authorId="0" shapeId="0" xr:uid="{00000000-0006-0000-0000-000083030000}">
      <text>
        <r>
          <rPr>
            <sz val="11"/>
            <color theme="1"/>
            <rFont val="Calibri"/>
            <family val="2"/>
            <scheme val="minor"/>
          </rPr>
          <t>Elegir el instructor de la lista</t>
        </r>
      </text>
    </comment>
    <comment ref="O2458" authorId="0" shapeId="0" xr:uid="{00000000-0006-0000-0000-000084030000}">
      <text>
        <r>
          <rPr>
            <sz val="11"/>
            <color theme="1"/>
            <rFont val="Calibri"/>
            <family val="2"/>
            <scheme val="minor"/>
          </rPr>
          <t>Tipo de actividad (elegir de la lista)</t>
        </r>
      </text>
    </comment>
    <comment ref="M2465" authorId="0" shapeId="0" xr:uid="{00000000-0006-0000-0000-000085030000}">
      <text>
        <r>
          <rPr>
            <sz val="11"/>
            <color theme="1"/>
            <rFont val="Calibri"/>
            <family val="2"/>
            <scheme val="minor"/>
          </rPr>
          <t>Elegir el instructor de la lista</t>
        </r>
      </text>
    </comment>
    <comment ref="O2465" authorId="0" shapeId="0" xr:uid="{00000000-0006-0000-0000-000086030000}">
      <text>
        <r>
          <rPr>
            <sz val="11"/>
            <color theme="1"/>
            <rFont val="Calibri"/>
            <family val="2"/>
            <scheme val="minor"/>
          </rPr>
          <t>Tipo de actividad (elegir de la lista)</t>
        </r>
      </text>
    </comment>
    <comment ref="M2470" authorId="0" shapeId="0" xr:uid="{00000000-0006-0000-0000-000087030000}">
      <text>
        <r>
          <rPr>
            <sz val="11"/>
            <color theme="1"/>
            <rFont val="Calibri"/>
            <family val="2"/>
            <scheme val="minor"/>
          </rPr>
          <t>Elegir el instructor de la lista</t>
        </r>
      </text>
    </comment>
    <comment ref="O2470" authorId="0" shapeId="0" xr:uid="{00000000-0006-0000-0000-000088030000}">
      <text>
        <r>
          <rPr>
            <sz val="11"/>
            <color theme="1"/>
            <rFont val="Calibri"/>
            <family val="2"/>
            <scheme val="minor"/>
          </rPr>
          <t>Tipo de actividad (elegir de la lista)</t>
        </r>
      </text>
    </comment>
    <comment ref="M2475" authorId="0" shapeId="0" xr:uid="{00000000-0006-0000-0000-000089030000}">
      <text>
        <r>
          <rPr>
            <sz val="11"/>
            <color theme="1"/>
            <rFont val="Calibri"/>
            <family val="2"/>
            <scheme val="minor"/>
          </rPr>
          <t>Elegir el instructor de la lista</t>
        </r>
      </text>
    </comment>
    <comment ref="O2475" authorId="0" shapeId="0" xr:uid="{00000000-0006-0000-0000-00008A030000}">
      <text>
        <r>
          <rPr>
            <sz val="11"/>
            <color theme="1"/>
            <rFont val="Calibri"/>
            <family val="2"/>
            <scheme val="minor"/>
          </rPr>
          <t>Tipo de actividad (elegir de la lista)</t>
        </r>
      </text>
    </comment>
    <comment ref="M2480" authorId="0" shapeId="0" xr:uid="{00000000-0006-0000-0000-00008B030000}">
      <text>
        <r>
          <rPr>
            <sz val="11"/>
            <color theme="1"/>
            <rFont val="Calibri"/>
            <family val="2"/>
            <scheme val="minor"/>
          </rPr>
          <t>Elegir el instructor de la lista</t>
        </r>
      </text>
    </comment>
    <comment ref="O2480" authorId="0" shapeId="0" xr:uid="{00000000-0006-0000-0000-00008C030000}">
      <text>
        <r>
          <rPr>
            <sz val="11"/>
            <color theme="1"/>
            <rFont val="Calibri"/>
            <family val="2"/>
            <scheme val="minor"/>
          </rPr>
          <t>Tipo de actividad (elegir de la lista)</t>
        </r>
      </text>
    </comment>
    <comment ref="M2487" authorId="0" shapeId="0" xr:uid="{00000000-0006-0000-0000-00008D030000}">
      <text>
        <r>
          <rPr>
            <sz val="11"/>
            <color theme="1"/>
            <rFont val="Calibri"/>
            <family val="2"/>
            <scheme val="minor"/>
          </rPr>
          <t>Elegir el instructor de la lista</t>
        </r>
      </text>
    </comment>
    <comment ref="O2487" authorId="0" shapeId="0" xr:uid="{00000000-0006-0000-0000-00008E030000}">
      <text>
        <r>
          <rPr>
            <sz val="11"/>
            <color theme="1"/>
            <rFont val="Calibri"/>
            <family val="2"/>
            <scheme val="minor"/>
          </rPr>
          <t>Tipo de actividad (elegir de la lista)</t>
        </r>
      </text>
    </comment>
    <comment ref="M2492" authorId="0" shapeId="0" xr:uid="{00000000-0006-0000-0000-00008F030000}">
      <text>
        <r>
          <rPr>
            <sz val="11"/>
            <color theme="1"/>
            <rFont val="Calibri"/>
            <family val="2"/>
            <scheme val="minor"/>
          </rPr>
          <t>Elegir el instructor de la lista</t>
        </r>
      </text>
    </comment>
    <comment ref="O2492" authorId="0" shapeId="0" xr:uid="{00000000-0006-0000-0000-000090030000}">
      <text>
        <r>
          <rPr>
            <sz val="11"/>
            <color theme="1"/>
            <rFont val="Calibri"/>
            <family val="2"/>
            <scheme val="minor"/>
          </rPr>
          <t>Tipo de actividad (elegir de la lista)</t>
        </r>
      </text>
    </comment>
    <comment ref="M2497" authorId="0" shapeId="0" xr:uid="{00000000-0006-0000-0000-000091030000}">
      <text>
        <r>
          <rPr>
            <sz val="11"/>
            <color theme="1"/>
            <rFont val="Calibri"/>
            <family val="2"/>
            <scheme val="minor"/>
          </rPr>
          <t>Elegir el instructor de la lista</t>
        </r>
      </text>
    </comment>
    <comment ref="O2497" authorId="0" shapeId="0" xr:uid="{00000000-0006-0000-0000-000092030000}">
      <text>
        <r>
          <rPr>
            <sz val="11"/>
            <color theme="1"/>
            <rFont val="Calibri"/>
            <family val="2"/>
            <scheme val="minor"/>
          </rPr>
          <t>Tipo de actividad (elegir de la lista)</t>
        </r>
      </text>
    </comment>
    <comment ref="M2502" authorId="0" shapeId="0" xr:uid="{00000000-0006-0000-0000-000093030000}">
      <text>
        <r>
          <rPr>
            <sz val="11"/>
            <color theme="1"/>
            <rFont val="Calibri"/>
            <family val="2"/>
            <scheme val="minor"/>
          </rPr>
          <t>Elegir el instructor de la lista</t>
        </r>
      </text>
    </comment>
    <comment ref="O2502" authorId="0" shapeId="0" xr:uid="{00000000-0006-0000-0000-000094030000}">
      <text>
        <r>
          <rPr>
            <sz val="11"/>
            <color theme="1"/>
            <rFont val="Calibri"/>
            <family val="2"/>
            <scheme val="minor"/>
          </rPr>
          <t>Tipo de actividad (elegir de la lista)</t>
        </r>
      </text>
    </comment>
    <comment ref="M2507" authorId="0" shapeId="0" xr:uid="{00000000-0006-0000-0000-000095030000}">
      <text>
        <r>
          <rPr>
            <sz val="11"/>
            <color theme="1"/>
            <rFont val="Calibri"/>
            <family val="2"/>
            <scheme val="minor"/>
          </rPr>
          <t>Elegir el instructor de la lista</t>
        </r>
      </text>
    </comment>
    <comment ref="O2507" authorId="0" shapeId="0" xr:uid="{00000000-0006-0000-0000-000096030000}">
      <text>
        <r>
          <rPr>
            <sz val="11"/>
            <color theme="1"/>
            <rFont val="Calibri"/>
            <family val="2"/>
            <scheme val="minor"/>
          </rPr>
          <t>Tipo de actividad (elegir de la lista)</t>
        </r>
      </text>
    </comment>
    <comment ref="M2512" authorId="0" shapeId="0" xr:uid="{00000000-0006-0000-0000-000097030000}">
      <text>
        <r>
          <rPr>
            <sz val="11"/>
            <color theme="1"/>
            <rFont val="Calibri"/>
            <family val="2"/>
            <scheme val="minor"/>
          </rPr>
          <t>Elegir el instructor de la lista</t>
        </r>
      </text>
    </comment>
    <comment ref="O2512" authorId="0" shapeId="0" xr:uid="{00000000-0006-0000-0000-000098030000}">
      <text>
        <r>
          <rPr>
            <sz val="11"/>
            <color theme="1"/>
            <rFont val="Calibri"/>
            <family val="2"/>
            <scheme val="minor"/>
          </rPr>
          <t>Tipo de actividad (elegir de la lista)</t>
        </r>
      </text>
    </comment>
    <comment ref="M2517" authorId="0" shapeId="0" xr:uid="{00000000-0006-0000-0000-000099030000}">
      <text>
        <r>
          <rPr>
            <sz val="11"/>
            <color theme="1"/>
            <rFont val="Calibri"/>
            <family val="2"/>
            <scheme val="minor"/>
          </rPr>
          <t>Elegir el instructor de la lista</t>
        </r>
      </text>
    </comment>
    <comment ref="O2517" authorId="0" shapeId="0" xr:uid="{00000000-0006-0000-0000-00009A030000}">
      <text>
        <r>
          <rPr>
            <sz val="11"/>
            <color theme="1"/>
            <rFont val="Calibri"/>
            <family val="2"/>
            <scheme val="minor"/>
          </rPr>
          <t>Tipo de actividad (elegir de la lista)</t>
        </r>
      </text>
    </comment>
    <comment ref="M2522" authorId="0" shapeId="0" xr:uid="{00000000-0006-0000-0000-00009B030000}">
      <text>
        <r>
          <rPr>
            <sz val="11"/>
            <color theme="1"/>
            <rFont val="Calibri"/>
            <family val="2"/>
            <scheme val="minor"/>
          </rPr>
          <t>Elegir el instructor de la lista</t>
        </r>
      </text>
    </comment>
    <comment ref="O2522" authorId="0" shapeId="0" xr:uid="{00000000-0006-0000-0000-00009C030000}">
      <text>
        <r>
          <rPr>
            <sz val="11"/>
            <color theme="1"/>
            <rFont val="Calibri"/>
            <family val="2"/>
            <scheme val="minor"/>
          </rPr>
          <t>Tipo de actividad (elegir de la lista)</t>
        </r>
      </text>
    </comment>
    <comment ref="M2527" authorId="0" shapeId="0" xr:uid="{00000000-0006-0000-0000-00009D030000}">
      <text>
        <r>
          <rPr>
            <sz val="11"/>
            <color theme="1"/>
            <rFont val="Calibri"/>
            <family val="2"/>
            <scheme val="minor"/>
          </rPr>
          <t>Elegir el instructor de la lista</t>
        </r>
      </text>
    </comment>
    <comment ref="O2527" authorId="0" shapeId="0" xr:uid="{00000000-0006-0000-0000-00009E030000}">
      <text>
        <r>
          <rPr>
            <sz val="11"/>
            <color theme="1"/>
            <rFont val="Calibri"/>
            <family val="2"/>
            <scheme val="minor"/>
          </rPr>
          <t>Tipo de actividad (elegir de la lista)</t>
        </r>
      </text>
    </comment>
    <comment ref="M2532" authorId="0" shapeId="0" xr:uid="{00000000-0006-0000-0000-00009F030000}">
      <text>
        <r>
          <rPr>
            <sz val="11"/>
            <color theme="1"/>
            <rFont val="Calibri"/>
            <family val="2"/>
            <scheme val="minor"/>
          </rPr>
          <t>Elegir el instructor de la lista</t>
        </r>
      </text>
    </comment>
    <comment ref="O2532" authorId="0" shapeId="0" xr:uid="{00000000-0006-0000-0000-0000A0030000}">
      <text>
        <r>
          <rPr>
            <sz val="11"/>
            <color theme="1"/>
            <rFont val="Calibri"/>
            <family val="2"/>
            <scheme val="minor"/>
          </rPr>
          <t>Tipo de actividad (elegir de la lista)</t>
        </r>
      </text>
    </comment>
    <comment ref="M2539" authorId="0" shapeId="0" xr:uid="{00000000-0006-0000-0000-0000A1030000}">
      <text>
        <r>
          <rPr>
            <sz val="11"/>
            <color theme="1"/>
            <rFont val="Calibri"/>
            <family val="2"/>
            <scheme val="minor"/>
          </rPr>
          <t>Elegir el instructor de la lista</t>
        </r>
      </text>
    </comment>
    <comment ref="O2539" authorId="0" shapeId="0" xr:uid="{00000000-0006-0000-0000-0000A2030000}">
      <text>
        <r>
          <rPr>
            <sz val="11"/>
            <color theme="1"/>
            <rFont val="Calibri"/>
            <family val="2"/>
            <scheme val="minor"/>
          </rPr>
          <t>Tipo de actividad (elegir de la lista)</t>
        </r>
      </text>
    </comment>
    <comment ref="M2546" authorId="0" shapeId="0" xr:uid="{00000000-0006-0000-0000-0000A3030000}">
      <text>
        <r>
          <rPr>
            <sz val="11"/>
            <color theme="1"/>
            <rFont val="Calibri"/>
            <family val="2"/>
            <scheme val="minor"/>
          </rPr>
          <t>Elegir el instructor de la lista</t>
        </r>
      </text>
    </comment>
    <comment ref="O2546" authorId="0" shapeId="0" xr:uid="{00000000-0006-0000-0000-0000A4030000}">
      <text>
        <r>
          <rPr>
            <sz val="11"/>
            <color theme="1"/>
            <rFont val="Calibri"/>
            <family val="2"/>
            <scheme val="minor"/>
          </rPr>
          <t>Tipo de actividad (elegir de la lista)</t>
        </r>
      </text>
    </comment>
    <comment ref="M2551" authorId="0" shapeId="0" xr:uid="{00000000-0006-0000-0000-0000A5030000}">
      <text>
        <r>
          <rPr>
            <sz val="11"/>
            <color theme="1"/>
            <rFont val="Calibri"/>
            <family val="2"/>
            <scheme val="minor"/>
          </rPr>
          <t>Elegir el instructor de la lista</t>
        </r>
      </text>
    </comment>
    <comment ref="O2551" authorId="0" shapeId="0" xr:uid="{00000000-0006-0000-0000-0000A6030000}">
      <text>
        <r>
          <rPr>
            <sz val="11"/>
            <color theme="1"/>
            <rFont val="Calibri"/>
            <family val="2"/>
            <scheme val="minor"/>
          </rPr>
          <t>Tipo de actividad (elegir de la lista)</t>
        </r>
      </text>
    </comment>
    <comment ref="M2556" authorId="0" shapeId="0" xr:uid="{00000000-0006-0000-0000-0000A7030000}">
      <text>
        <r>
          <rPr>
            <sz val="11"/>
            <color theme="1"/>
            <rFont val="Calibri"/>
            <family val="2"/>
            <scheme val="minor"/>
          </rPr>
          <t>Elegir el instructor de la lista</t>
        </r>
      </text>
    </comment>
    <comment ref="O2556" authorId="0" shapeId="0" xr:uid="{00000000-0006-0000-0000-0000A8030000}">
      <text>
        <r>
          <rPr>
            <sz val="11"/>
            <color theme="1"/>
            <rFont val="Calibri"/>
            <family val="2"/>
            <scheme val="minor"/>
          </rPr>
          <t>Tipo de actividad (elegir de la lista)</t>
        </r>
      </text>
    </comment>
    <comment ref="M2561" authorId="0" shapeId="0" xr:uid="{00000000-0006-0000-0000-0000A9030000}">
      <text>
        <r>
          <rPr>
            <sz val="11"/>
            <color theme="1"/>
            <rFont val="Calibri"/>
            <family val="2"/>
            <scheme val="minor"/>
          </rPr>
          <t>Elegir el instructor de la lista</t>
        </r>
      </text>
    </comment>
    <comment ref="O2561" authorId="0" shapeId="0" xr:uid="{00000000-0006-0000-0000-0000AA030000}">
      <text>
        <r>
          <rPr>
            <sz val="11"/>
            <color theme="1"/>
            <rFont val="Calibri"/>
            <family val="2"/>
            <scheme val="minor"/>
          </rPr>
          <t>Tipo de actividad (elegir de la lista)</t>
        </r>
      </text>
    </comment>
    <comment ref="M2566" authorId="0" shapeId="0" xr:uid="{00000000-0006-0000-0000-0000AB030000}">
      <text>
        <r>
          <rPr>
            <sz val="11"/>
            <color theme="1"/>
            <rFont val="Calibri"/>
            <family val="2"/>
            <scheme val="minor"/>
          </rPr>
          <t>Elegir el instructor de la lista</t>
        </r>
      </text>
    </comment>
    <comment ref="O2566" authorId="0" shapeId="0" xr:uid="{00000000-0006-0000-0000-0000AC030000}">
      <text>
        <r>
          <rPr>
            <sz val="11"/>
            <color theme="1"/>
            <rFont val="Calibri"/>
            <family val="2"/>
            <scheme val="minor"/>
          </rPr>
          <t>Tipo de actividad (elegir de la lista)</t>
        </r>
      </text>
    </comment>
    <comment ref="M2571" authorId="0" shapeId="0" xr:uid="{00000000-0006-0000-0000-0000AD030000}">
      <text>
        <r>
          <rPr>
            <sz val="11"/>
            <color theme="1"/>
            <rFont val="Calibri"/>
            <family val="2"/>
            <scheme val="minor"/>
          </rPr>
          <t>Elegir el instructor de la lista</t>
        </r>
      </text>
    </comment>
    <comment ref="O2571" authorId="0" shapeId="0" xr:uid="{00000000-0006-0000-0000-0000AE030000}">
      <text>
        <r>
          <rPr>
            <sz val="11"/>
            <color theme="1"/>
            <rFont val="Calibri"/>
            <family val="2"/>
            <scheme val="minor"/>
          </rPr>
          <t>Tipo de actividad (elegir de la lista)</t>
        </r>
      </text>
    </comment>
    <comment ref="M2576" authorId="0" shapeId="0" xr:uid="{00000000-0006-0000-0000-0000AF030000}">
      <text>
        <r>
          <rPr>
            <sz val="11"/>
            <color theme="1"/>
            <rFont val="Calibri"/>
            <family val="2"/>
            <scheme val="minor"/>
          </rPr>
          <t>Elegir el instructor de la lista</t>
        </r>
      </text>
    </comment>
    <comment ref="O2576" authorId="0" shapeId="0" xr:uid="{00000000-0006-0000-0000-0000B0030000}">
      <text>
        <r>
          <rPr>
            <sz val="11"/>
            <color theme="1"/>
            <rFont val="Calibri"/>
            <family val="2"/>
            <scheme val="minor"/>
          </rPr>
          <t>Tipo de actividad (elegir de la lista)</t>
        </r>
      </text>
    </comment>
    <comment ref="M2581" authorId="0" shapeId="0" xr:uid="{00000000-0006-0000-0000-0000B1030000}">
      <text>
        <r>
          <rPr>
            <sz val="11"/>
            <color theme="1"/>
            <rFont val="Calibri"/>
            <family val="2"/>
            <scheme val="minor"/>
          </rPr>
          <t>Elegir el instructor de la lista</t>
        </r>
      </text>
    </comment>
    <comment ref="O2581" authorId="0" shapeId="0" xr:uid="{00000000-0006-0000-0000-0000B2030000}">
      <text>
        <r>
          <rPr>
            <sz val="11"/>
            <color theme="1"/>
            <rFont val="Calibri"/>
            <family val="2"/>
            <scheme val="minor"/>
          </rPr>
          <t>Tipo de actividad (elegir de la lista)</t>
        </r>
      </text>
    </comment>
    <comment ref="M2586" authorId="0" shapeId="0" xr:uid="{00000000-0006-0000-0000-0000B3030000}">
      <text>
        <r>
          <rPr>
            <sz val="11"/>
            <color theme="1"/>
            <rFont val="Calibri"/>
            <family val="2"/>
            <scheme val="minor"/>
          </rPr>
          <t>Elegir el instructor de la lista</t>
        </r>
      </text>
    </comment>
    <comment ref="O2586" authorId="0" shapeId="0" xr:uid="{00000000-0006-0000-0000-0000B4030000}">
      <text>
        <r>
          <rPr>
            <sz val="11"/>
            <color theme="1"/>
            <rFont val="Calibri"/>
            <family val="2"/>
            <scheme val="minor"/>
          </rPr>
          <t>Tipo de actividad (elegir de la lista)</t>
        </r>
      </text>
    </comment>
    <comment ref="M2591" authorId="0" shapeId="0" xr:uid="{00000000-0006-0000-0000-0000B5030000}">
      <text>
        <r>
          <rPr>
            <sz val="11"/>
            <color theme="1"/>
            <rFont val="Calibri"/>
            <family val="2"/>
            <scheme val="minor"/>
          </rPr>
          <t>Elegir el instructor de la lista</t>
        </r>
      </text>
    </comment>
    <comment ref="O2591" authorId="0" shapeId="0" xr:uid="{00000000-0006-0000-0000-0000B6030000}">
      <text>
        <r>
          <rPr>
            <sz val="11"/>
            <color theme="1"/>
            <rFont val="Calibri"/>
            <family val="2"/>
            <scheme val="minor"/>
          </rPr>
          <t>Tipo de actividad (elegir de la lista)</t>
        </r>
      </text>
    </comment>
    <comment ref="M2596" authorId="0" shapeId="0" xr:uid="{00000000-0006-0000-0000-0000B7030000}">
      <text>
        <r>
          <rPr>
            <sz val="11"/>
            <color theme="1"/>
            <rFont val="Calibri"/>
            <family val="2"/>
            <scheme val="minor"/>
          </rPr>
          <t>Elegir el instructor de la lista</t>
        </r>
      </text>
    </comment>
    <comment ref="O2596" authorId="0" shapeId="0" xr:uid="{00000000-0006-0000-0000-0000B8030000}">
      <text>
        <r>
          <rPr>
            <sz val="11"/>
            <color theme="1"/>
            <rFont val="Calibri"/>
            <family val="2"/>
            <scheme val="minor"/>
          </rPr>
          <t>Tipo de actividad (elegir de la lista)</t>
        </r>
      </text>
    </comment>
    <comment ref="M2601" authorId="0" shapeId="0" xr:uid="{00000000-0006-0000-0000-0000B9030000}">
      <text>
        <r>
          <rPr>
            <sz val="11"/>
            <color theme="1"/>
            <rFont val="Calibri"/>
            <family val="2"/>
            <scheme val="minor"/>
          </rPr>
          <t>Elegir el instructor de la lista</t>
        </r>
      </text>
    </comment>
    <comment ref="O2601" authorId="0" shapeId="0" xr:uid="{00000000-0006-0000-0000-0000BA030000}">
      <text>
        <r>
          <rPr>
            <sz val="11"/>
            <color theme="1"/>
            <rFont val="Calibri"/>
            <family val="2"/>
            <scheme val="minor"/>
          </rPr>
          <t>Tipo de actividad (elegir de la lista)</t>
        </r>
      </text>
    </comment>
    <comment ref="M2606" authorId="0" shapeId="0" xr:uid="{00000000-0006-0000-0000-0000BB030000}">
      <text>
        <r>
          <rPr>
            <sz val="11"/>
            <color theme="1"/>
            <rFont val="Calibri"/>
            <family val="2"/>
            <scheme val="minor"/>
          </rPr>
          <t>Elegir el instructor de la lista</t>
        </r>
      </text>
    </comment>
    <comment ref="O2606" authorId="0" shapeId="0" xr:uid="{00000000-0006-0000-0000-0000BC030000}">
      <text>
        <r>
          <rPr>
            <sz val="11"/>
            <color theme="1"/>
            <rFont val="Calibri"/>
            <family val="2"/>
            <scheme val="minor"/>
          </rPr>
          <t>Tipo de actividad (elegir de la lista)</t>
        </r>
      </text>
    </comment>
    <comment ref="M2611" authorId="0" shapeId="0" xr:uid="{00000000-0006-0000-0000-0000BD030000}">
      <text>
        <r>
          <rPr>
            <sz val="11"/>
            <color theme="1"/>
            <rFont val="Calibri"/>
            <family val="2"/>
            <scheme val="minor"/>
          </rPr>
          <t>Elegir el instructor de la lista</t>
        </r>
      </text>
    </comment>
    <comment ref="O2611" authorId="0" shapeId="0" xr:uid="{00000000-0006-0000-0000-0000BE030000}">
      <text>
        <r>
          <rPr>
            <sz val="11"/>
            <color theme="1"/>
            <rFont val="Calibri"/>
            <family val="2"/>
            <scheme val="minor"/>
          </rPr>
          <t>Tipo de actividad (elegir de la lista)</t>
        </r>
      </text>
    </comment>
    <comment ref="M2618" authorId="0" shapeId="0" xr:uid="{00000000-0006-0000-0000-0000BF030000}">
      <text>
        <r>
          <rPr>
            <sz val="11"/>
            <color theme="1"/>
            <rFont val="Calibri"/>
            <family val="2"/>
            <scheme val="minor"/>
          </rPr>
          <t>Elegir el instructor de la lista</t>
        </r>
      </text>
    </comment>
    <comment ref="O2618" authorId="0" shapeId="0" xr:uid="{00000000-0006-0000-0000-0000C0030000}">
      <text>
        <r>
          <rPr>
            <sz val="11"/>
            <color theme="1"/>
            <rFont val="Calibri"/>
            <family val="2"/>
            <scheme val="minor"/>
          </rPr>
          <t>Tipo de actividad (elegir de la lista)</t>
        </r>
      </text>
    </comment>
    <comment ref="M2623" authorId="0" shapeId="0" xr:uid="{00000000-0006-0000-0000-0000C1030000}">
      <text>
        <r>
          <rPr>
            <sz val="11"/>
            <color theme="1"/>
            <rFont val="Calibri"/>
            <family val="2"/>
            <scheme val="minor"/>
          </rPr>
          <t>Elegir el instructor de la lista</t>
        </r>
      </text>
    </comment>
    <comment ref="O2623" authorId="0" shapeId="0" xr:uid="{00000000-0006-0000-0000-0000C2030000}">
      <text>
        <r>
          <rPr>
            <sz val="11"/>
            <color theme="1"/>
            <rFont val="Calibri"/>
            <family val="2"/>
            <scheme val="minor"/>
          </rPr>
          <t>Tipo de actividad (elegir de la lista)</t>
        </r>
      </text>
    </comment>
    <comment ref="M2630" authorId="0" shapeId="0" xr:uid="{00000000-0006-0000-0000-0000C3030000}">
      <text>
        <r>
          <rPr>
            <sz val="11"/>
            <color theme="1"/>
            <rFont val="Calibri"/>
            <family val="2"/>
            <scheme val="minor"/>
          </rPr>
          <t>Elegir el instructor de la lista</t>
        </r>
      </text>
    </comment>
    <comment ref="O2630" authorId="0" shapeId="0" xr:uid="{00000000-0006-0000-0000-0000C4030000}">
      <text>
        <r>
          <rPr>
            <sz val="11"/>
            <color theme="1"/>
            <rFont val="Calibri"/>
            <family val="2"/>
            <scheme val="minor"/>
          </rPr>
          <t>Tipo de actividad (elegir de la lista)</t>
        </r>
      </text>
    </comment>
    <comment ref="M2637" authorId="0" shapeId="0" xr:uid="{00000000-0006-0000-0000-0000C5030000}">
      <text>
        <r>
          <rPr>
            <sz val="11"/>
            <color theme="1"/>
            <rFont val="Calibri"/>
            <family val="2"/>
            <scheme val="minor"/>
          </rPr>
          <t>Elegir el instructor de la lista</t>
        </r>
      </text>
    </comment>
    <comment ref="O2637" authorId="0" shapeId="0" xr:uid="{00000000-0006-0000-0000-0000C6030000}">
      <text>
        <r>
          <rPr>
            <sz val="11"/>
            <color theme="1"/>
            <rFont val="Calibri"/>
            <family val="2"/>
            <scheme val="minor"/>
          </rPr>
          <t>Tipo de actividad (elegir de la lista)</t>
        </r>
      </text>
    </comment>
    <comment ref="M2642" authorId="0" shapeId="0" xr:uid="{00000000-0006-0000-0000-0000C7030000}">
      <text>
        <r>
          <rPr>
            <sz val="11"/>
            <color theme="1"/>
            <rFont val="Calibri"/>
            <family val="2"/>
            <scheme val="minor"/>
          </rPr>
          <t>Elegir el instructor de la lista</t>
        </r>
      </text>
    </comment>
    <comment ref="O2642" authorId="0" shapeId="0" xr:uid="{00000000-0006-0000-0000-0000C8030000}">
      <text>
        <r>
          <rPr>
            <sz val="11"/>
            <color theme="1"/>
            <rFont val="Calibri"/>
            <family val="2"/>
            <scheme val="minor"/>
          </rPr>
          <t>Tipo de actividad (elegir de la lista)</t>
        </r>
      </text>
    </comment>
    <comment ref="M2647" authorId="0" shapeId="0" xr:uid="{00000000-0006-0000-0000-0000C9030000}">
      <text>
        <r>
          <rPr>
            <sz val="11"/>
            <color theme="1"/>
            <rFont val="Calibri"/>
            <family val="2"/>
            <scheme val="minor"/>
          </rPr>
          <t>Elegir el instructor de la lista</t>
        </r>
      </text>
    </comment>
    <comment ref="O2647" authorId="0" shapeId="0" xr:uid="{00000000-0006-0000-0000-0000CA030000}">
      <text>
        <r>
          <rPr>
            <sz val="11"/>
            <color theme="1"/>
            <rFont val="Calibri"/>
            <family val="2"/>
            <scheme val="minor"/>
          </rPr>
          <t>Tipo de actividad (elegir de la lista)</t>
        </r>
      </text>
    </comment>
    <comment ref="M2654" authorId="0" shapeId="0" xr:uid="{00000000-0006-0000-0000-0000CB030000}">
      <text>
        <r>
          <rPr>
            <sz val="11"/>
            <color theme="1"/>
            <rFont val="Calibri"/>
            <family val="2"/>
            <scheme val="minor"/>
          </rPr>
          <t>Elegir el instructor de la lista</t>
        </r>
      </text>
    </comment>
    <comment ref="O2654" authorId="0" shapeId="0" xr:uid="{00000000-0006-0000-0000-0000CC030000}">
      <text>
        <r>
          <rPr>
            <sz val="11"/>
            <color theme="1"/>
            <rFont val="Calibri"/>
            <family val="2"/>
            <scheme val="minor"/>
          </rPr>
          <t>Tipo de actividad (elegir de la lista)</t>
        </r>
      </text>
    </comment>
    <comment ref="M2659" authorId="0" shapeId="0" xr:uid="{00000000-0006-0000-0000-0000CD030000}">
      <text>
        <r>
          <rPr>
            <sz val="11"/>
            <color theme="1"/>
            <rFont val="Calibri"/>
            <family val="2"/>
            <scheme val="minor"/>
          </rPr>
          <t>Elegir el instructor de la lista</t>
        </r>
      </text>
    </comment>
    <comment ref="O2659" authorId="0" shapeId="0" xr:uid="{00000000-0006-0000-0000-0000CE030000}">
      <text>
        <r>
          <rPr>
            <sz val="11"/>
            <color theme="1"/>
            <rFont val="Calibri"/>
            <family val="2"/>
            <scheme val="minor"/>
          </rPr>
          <t>Tipo de actividad (elegir de la lista)</t>
        </r>
      </text>
    </comment>
    <comment ref="M2664" authorId="0" shapeId="0" xr:uid="{00000000-0006-0000-0000-0000CF030000}">
      <text>
        <r>
          <rPr>
            <sz val="11"/>
            <color theme="1"/>
            <rFont val="Calibri"/>
            <family val="2"/>
            <scheme val="minor"/>
          </rPr>
          <t>Elegir el instructor de la lista</t>
        </r>
      </text>
    </comment>
    <comment ref="O2664" authorId="0" shapeId="0" xr:uid="{00000000-0006-0000-0000-0000D0030000}">
      <text>
        <r>
          <rPr>
            <sz val="11"/>
            <color theme="1"/>
            <rFont val="Calibri"/>
            <family val="2"/>
            <scheme val="minor"/>
          </rPr>
          <t>Tipo de actividad (elegir de la lista)</t>
        </r>
      </text>
    </comment>
    <comment ref="M2669" authorId="0" shapeId="0" xr:uid="{00000000-0006-0000-0000-0000D1030000}">
      <text>
        <r>
          <rPr>
            <sz val="11"/>
            <color theme="1"/>
            <rFont val="Calibri"/>
            <family val="2"/>
            <scheme val="minor"/>
          </rPr>
          <t>Elegir el instructor de la lista</t>
        </r>
      </text>
    </comment>
    <comment ref="O2669" authorId="0" shapeId="0" xr:uid="{00000000-0006-0000-0000-0000D2030000}">
      <text>
        <r>
          <rPr>
            <sz val="11"/>
            <color theme="1"/>
            <rFont val="Calibri"/>
            <family val="2"/>
            <scheme val="minor"/>
          </rPr>
          <t>Tipo de actividad (elegir de la lista)</t>
        </r>
      </text>
    </comment>
    <comment ref="M2674" authorId="0" shapeId="0" xr:uid="{00000000-0006-0000-0000-0000D3030000}">
      <text>
        <r>
          <rPr>
            <sz val="11"/>
            <color theme="1"/>
            <rFont val="Calibri"/>
            <family val="2"/>
            <scheme val="minor"/>
          </rPr>
          <t>Elegir el instructor de la lista</t>
        </r>
      </text>
    </comment>
    <comment ref="O2674" authorId="0" shapeId="0" xr:uid="{00000000-0006-0000-0000-0000D4030000}">
      <text>
        <r>
          <rPr>
            <sz val="11"/>
            <color theme="1"/>
            <rFont val="Calibri"/>
            <family val="2"/>
            <scheme val="minor"/>
          </rPr>
          <t>Tipo de actividad (elegir de la lista)</t>
        </r>
      </text>
    </comment>
    <comment ref="M2679" authorId="0" shapeId="0" xr:uid="{00000000-0006-0000-0000-0000D5030000}">
      <text>
        <r>
          <rPr>
            <sz val="11"/>
            <color theme="1"/>
            <rFont val="Calibri"/>
            <family val="2"/>
            <scheme val="minor"/>
          </rPr>
          <t>Elegir el instructor de la lista</t>
        </r>
      </text>
    </comment>
    <comment ref="O2679" authorId="0" shapeId="0" xr:uid="{00000000-0006-0000-0000-0000D6030000}">
      <text>
        <r>
          <rPr>
            <sz val="11"/>
            <color theme="1"/>
            <rFont val="Calibri"/>
            <family val="2"/>
            <scheme val="minor"/>
          </rPr>
          <t>Tipo de actividad (elegir de la lista)</t>
        </r>
      </text>
    </comment>
    <comment ref="M2684" authorId="0" shapeId="0" xr:uid="{00000000-0006-0000-0000-0000D7030000}">
      <text>
        <r>
          <rPr>
            <sz val="11"/>
            <color theme="1"/>
            <rFont val="Calibri"/>
            <family val="2"/>
            <scheme val="minor"/>
          </rPr>
          <t>Elegir el instructor de la lista</t>
        </r>
      </text>
    </comment>
    <comment ref="O2684" authorId="0" shapeId="0" xr:uid="{00000000-0006-0000-0000-0000D8030000}">
      <text>
        <r>
          <rPr>
            <sz val="11"/>
            <color theme="1"/>
            <rFont val="Calibri"/>
            <family val="2"/>
            <scheme val="minor"/>
          </rPr>
          <t>Tipo de actividad (elegir de la lista)</t>
        </r>
      </text>
    </comment>
    <comment ref="M2689" authorId="0" shapeId="0" xr:uid="{00000000-0006-0000-0000-0000D9030000}">
      <text>
        <r>
          <rPr>
            <sz val="11"/>
            <color theme="1"/>
            <rFont val="Calibri"/>
            <family val="2"/>
            <scheme val="minor"/>
          </rPr>
          <t>Elegir el instructor de la lista</t>
        </r>
      </text>
    </comment>
    <comment ref="O2689" authorId="0" shapeId="0" xr:uid="{00000000-0006-0000-0000-0000DA030000}">
      <text>
        <r>
          <rPr>
            <sz val="11"/>
            <color theme="1"/>
            <rFont val="Calibri"/>
            <family val="2"/>
            <scheme val="minor"/>
          </rPr>
          <t>Tipo de actividad (elegir de la lista)</t>
        </r>
      </text>
    </comment>
    <comment ref="M2696" authorId="0" shapeId="0" xr:uid="{00000000-0006-0000-0000-0000DB030000}">
      <text>
        <r>
          <rPr>
            <sz val="11"/>
            <color theme="1"/>
            <rFont val="Calibri"/>
            <family val="2"/>
            <scheme val="minor"/>
          </rPr>
          <t>Elegir el instructor de la lista</t>
        </r>
      </text>
    </comment>
    <comment ref="O2696" authorId="0" shapeId="0" xr:uid="{00000000-0006-0000-0000-0000DC030000}">
      <text>
        <r>
          <rPr>
            <sz val="11"/>
            <color theme="1"/>
            <rFont val="Calibri"/>
            <family val="2"/>
            <scheme val="minor"/>
          </rPr>
          <t>Tipo de actividad (elegir de la lista)</t>
        </r>
      </text>
    </comment>
    <comment ref="M2701" authorId="0" shapeId="0" xr:uid="{00000000-0006-0000-0000-0000DD030000}">
      <text>
        <r>
          <rPr>
            <sz val="11"/>
            <color theme="1"/>
            <rFont val="Calibri"/>
            <family val="2"/>
            <scheme val="minor"/>
          </rPr>
          <t>Elegir el instructor de la lista</t>
        </r>
      </text>
    </comment>
    <comment ref="O2701" authorId="0" shapeId="0" xr:uid="{00000000-0006-0000-0000-0000DE030000}">
      <text>
        <r>
          <rPr>
            <sz val="11"/>
            <color theme="1"/>
            <rFont val="Calibri"/>
            <family val="2"/>
            <scheme val="minor"/>
          </rPr>
          <t>Tipo de actividad (elegir de la lista)</t>
        </r>
      </text>
    </comment>
    <comment ref="M2706" authorId="0" shapeId="0" xr:uid="{00000000-0006-0000-0000-0000DF030000}">
      <text>
        <r>
          <rPr>
            <sz val="11"/>
            <color theme="1"/>
            <rFont val="Calibri"/>
            <family val="2"/>
            <scheme val="minor"/>
          </rPr>
          <t>Elegir el instructor de la lista</t>
        </r>
      </text>
    </comment>
    <comment ref="O2706" authorId="0" shapeId="0" xr:uid="{00000000-0006-0000-0000-0000E0030000}">
      <text>
        <r>
          <rPr>
            <sz val="11"/>
            <color theme="1"/>
            <rFont val="Calibri"/>
            <family val="2"/>
            <scheme val="minor"/>
          </rPr>
          <t>Tipo de actividad (elegir de la lista)</t>
        </r>
      </text>
    </comment>
    <comment ref="M2711" authorId="0" shapeId="0" xr:uid="{00000000-0006-0000-0000-0000E1030000}">
      <text>
        <r>
          <rPr>
            <sz val="11"/>
            <color theme="1"/>
            <rFont val="Calibri"/>
            <family val="2"/>
            <scheme val="minor"/>
          </rPr>
          <t>Elegir el instructor de la lista</t>
        </r>
      </text>
    </comment>
    <comment ref="O2711" authorId="0" shapeId="0" xr:uid="{00000000-0006-0000-0000-0000E2030000}">
      <text>
        <r>
          <rPr>
            <sz val="11"/>
            <color theme="1"/>
            <rFont val="Calibri"/>
            <family val="2"/>
            <scheme val="minor"/>
          </rPr>
          <t>Tipo de actividad (elegir de la lista)</t>
        </r>
      </text>
    </comment>
    <comment ref="M2718" authorId="0" shapeId="0" xr:uid="{00000000-0006-0000-0000-0000E3030000}">
      <text>
        <r>
          <rPr>
            <sz val="11"/>
            <color theme="1"/>
            <rFont val="Calibri"/>
            <family val="2"/>
            <scheme val="minor"/>
          </rPr>
          <t>Elegir el instructor de la lista</t>
        </r>
      </text>
    </comment>
    <comment ref="O2718" authorId="0" shapeId="0" xr:uid="{00000000-0006-0000-0000-0000E4030000}">
      <text>
        <r>
          <rPr>
            <sz val="11"/>
            <color theme="1"/>
            <rFont val="Calibri"/>
            <family val="2"/>
            <scheme val="minor"/>
          </rPr>
          <t>Tipo de actividad (elegir de la lista)</t>
        </r>
      </text>
    </comment>
    <comment ref="M2725" authorId="0" shapeId="0" xr:uid="{00000000-0006-0000-0000-0000E5030000}">
      <text>
        <r>
          <rPr>
            <sz val="11"/>
            <color theme="1"/>
            <rFont val="Calibri"/>
            <family val="2"/>
            <scheme val="minor"/>
          </rPr>
          <t>Elegir el instructor de la lista</t>
        </r>
      </text>
    </comment>
    <comment ref="O2725" authorId="0" shapeId="0" xr:uid="{00000000-0006-0000-0000-0000E6030000}">
      <text>
        <r>
          <rPr>
            <sz val="11"/>
            <color theme="1"/>
            <rFont val="Calibri"/>
            <family val="2"/>
            <scheme val="minor"/>
          </rPr>
          <t>Tipo de actividad (elegir de la lista)</t>
        </r>
      </text>
    </comment>
    <comment ref="M2730" authorId="0" shapeId="0" xr:uid="{00000000-0006-0000-0000-0000E7030000}">
      <text>
        <r>
          <rPr>
            <sz val="11"/>
            <color theme="1"/>
            <rFont val="Calibri"/>
            <family val="2"/>
            <scheme val="minor"/>
          </rPr>
          <t>Elegir el instructor de la lista</t>
        </r>
      </text>
    </comment>
    <comment ref="O2730" authorId="0" shapeId="0" xr:uid="{00000000-0006-0000-0000-0000E8030000}">
      <text>
        <r>
          <rPr>
            <sz val="11"/>
            <color theme="1"/>
            <rFont val="Calibri"/>
            <family val="2"/>
            <scheme val="minor"/>
          </rPr>
          <t>Tipo de actividad (elegir de la lista)</t>
        </r>
      </text>
    </comment>
    <comment ref="M2735" authorId="0" shapeId="0" xr:uid="{00000000-0006-0000-0000-0000E9030000}">
      <text>
        <r>
          <rPr>
            <sz val="11"/>
            <color theme="1"/>
            <rFont val="Calibri"/>
            <family val="2"/>
            <scheme val="minor"/>
          </rPr>
          <t>Elegir el instructor de la lista</t>
        </r>
      </text>
    </comment>
    <comment ref="O2735" authorId="0" shapeId="0" xr:uid="{00000000-0006-0000-0000-0000EA030000}">
      <text>
        <r>
          <rPr>
            <sz val="11"/>
            <color theme="1"/>
            <rFont val="Calibri"/>
            <family val="2"/>
            <scheme val="minor"/>
          </rPr>
          <t>Tipo de actividad (elegir de la lista)</t>
        </r>
      </text>
    </comment>
    <comment ref="M2740" authorId="0" shapeId="0" xr:uid="{00000000-0006-0000-0000-0000EB030000}">
      <text>
        <r>
          <rPr>
            <sz val="11"/>
            <color theme="1"/>
            <rFont val="Calibri"/>
            <family val="2"/>
            <scheme val="minor"/>
          </rPr>
          <t>Elegir el instructor de la lista</t>
        </r>
      </text>
    </comment>
    <comment ref="O2740" authorId="0" shapeId="0" xr:uid="{00000000-0006-0000-0000-0000EC030000}">
      <text>
        <r>
          <rPr>
            <sz val="11"/>
            <color theme="1"/>
            <rFont val="Calibri"/>
            <family val="2"/>
            <scheme val="minor"/>
          </rPr>
          <t>Tipo de actividad (elegir de la lista)</t>
        </r>
      </text>
    </comment>
    <comment ref="M2745" authorId="0" shapeId="0" xr:uid="{00000000-0006-0000-0000-0000ED030000}">
      <text>
        <r>
          <rPr>
            <sz val="11"/>
            <color theme="1"/>
            <rFont val="Calibri"/>
            <family val="2"/>
            <scheme val="minor"/>
          </rPr>
          <t>Elegir el instructor de la lista</t>
        </r>
      </text>
    </comment>
    <comment ref="O2745" authorId="0" shapeId="0" xr:uid="{00000000-0006-0000-0000-0000EE030000}">
      <text>
        <r>
          <rPr>
            <sz val="11"/>
            <color theme="1"/>
            <rFont val="Calibri"/>
            <family val="2"/>
            <scheme val="minor"/>
          </rPr>
          <t>Tipo de actividad (elegir de la lista)</t>
        </r>
      </text>
    </comment>
    <comment ref="M2750" authorId="0" shapeId="0" xr:uid="{00000000-0006-0000-0000-0000EF030000}">
      <text>
        <r>
          <rPr>
            <sz val="11"/>
            <color theme="1"/>
            <rFont val="Calibri"/>
            <family val="2"/>
            <scheme val="minor"/>
          </rPr>
          <t>Elegir el instructor de la lista</t>
        </r>
      </text>
    </comment>
    <comment ref="O2750" authorId="0" shapeId="0" xr:uid="{00000000-0006-0000-0000-0000F0030000}">
      <text>
        <r>
          <rPr>
            <sz val="11"/>
            <color theme="1"/>
            <rFont val="Calibri"/>
            <family val="2"/>
            <scheme val="minor"/>
          </rPr>
          <t>Tipo de actividad (elegir de la lista)</t>
        </r>
      </text>
    </comment>
    <comment ref="M2755" authorId="0" shapeId="0" xr:uid="{00000000-0006-0000-0000-0000F1030000}">
      <text>
        <r>
          <rPr>
            <sz val="11"/>
            <color theme="1"/>
            <rFont val="Calibri"/>
            <family val="2"/>
            <scheme val="minor"/>
          </rPr>
          <t>Elegir el instructor de la lista</t>
        </r>
      </text>
    </comment>
    <comment ref="O2755" authorId="0" shapeId="0" xr:uid="{00000000-0006-0000-0000-0000F2030000}">
      <text>
        <r>
          <rPr>
            <sz val="11"/>
            <color theme="1"/>
            <rFont val="Calibri"/>
            <family val="2"/>
            <scheme val="minor"/>
          </rPr>
          <t>Tipo de actividad (elegir de la lista)</t>
        </r>
      </text>
    </comment>
    <comment ref="M2760" authorId="0" shapeId="0" xr:uid="{00000000-0006-0000-0000-0000F3030000}">
      <text>
        <r>
          <rPr>
            <sz val="11"/>
            <color theme="1"/>
            <rFont val="Calibri"/>
            <family val="2"/>
            <scheme val="minor"/>
          </rPr>
          <t>Elegir el instructor de la lista</t>
        </r>
      </text>
    </comment>
    <comment ref="O2760" authorId="0" shapeId="0" xr:uid="{00000000-0006-0000-0000-0000F4030000}">
      <text>
        <r>
          <rPr>
            <sz val="11"/>
            <color theme="1"/>
            <rFont val="Calibri"/>
            <family val="2"/>
            <scheme val="minor"/>
          </rPr>
          <t>Tipo de actividad (elegir de la lista)</t>
        </r>
      </text>
    </comment>
    <comment ref="M2765" authorId="0" shapeId="0" xr:uid="{00000000-0006-0000-0000-0000F5030000}">
      <text>
        <r>
          <rPr>
            <sz val="11"/>
            <color theme="1"/>
            <rFont val="Calibri"/>
            <family val="2"/>
            <scheme val="minor"/>
          </rPr>
          <t>Elegir el instructor de la lista</t>
        </r>
      </text>
    </comment>
    <comment ref="O2765" authorId="0" shapeId="0" xr:uid="{00000000-0006-0000-0000-0000F6030000}">
      <text>
        <r>
          <rPr>
            <sz val="11"/>
            <color theme="1"/>
            <rFont val="Calibri"/>
            <family val="2"/>
            <scheme val="minor"/>
          </rPr>
          <t>Tipo de actividad (elegir de la lista)</t>
        </r>
      </text>
    </comment>
    <comment ref="M2770" authorId="0" shapeId="0" xr:uid="{00000000-0006-0000-0000-0000F7030000}">
      <text>
        <r>
          <rPr>
            <sz val="11"/>
            <color theme="1"/>
            <rFont val="Calibri"/>
            <family val="2"/>
            <scheme val="minor"/>
          </rPr>
          <t>Elegir el instructor de la lista</t>
        </r>
      </text>
    </comment>
    <comment ref="O2770" authorId="0" shapeId="0" xr:uid="{00000000-0006-0000-0000-0000F8030000}">
      <text>
        <r>
          <rPr>
            <sz val="11"/>
            <color theme="1"/>
            <rFont val="Calibri"/>
            <family val="2"/>
            <scheme val="minor"/>
          </rPr>
          <t>Tipo de actividad (elegir de la lista)</t>
        </r>
      </text>
    </comment>
    <comment ref="M2775" authorId="0" shapeId="0" xr:uid="{00000000-0006-0000-0000-0000F9030000}">
      <text>
        <r>
          <rPr>
            <sz val="11"/>
            <color theme="1"/>
            <rFont val="Calibri"/>
            <family val="2"/>
            <scheme val="minor"/>
          </rPr>
          <t>Elegir el instructor de la lista</t>
        </r>
      </text>
    </comment>
    <comment ref="O2775" authorId="0" shapeId="0" xr:uid="{00000000-0006-0000-0000-0000FA030000}">
      <text>
        <r>
          <rPr>
            <sz val="11"/>
            <color theme="1"/>
            <rFont val="Calibri"/>
            <family val="2"/>
            <scheme val="minor"/>
          </rPr>
          <t>Tipo de actividad (elegir de la lista)</t>
        </r>
      </text>
    </comment>
    <comment ref="M2780" authorId="0" shapeId="0" xr:uid="{00000000-0006-0000-0000-0000FB030000}">
      <text>
        <r>
          <rPr>
            <sz val="11"/>
            <color theme="1"/>
            <rFont val="Calibri"/>
            <family val="2"/>
            <scheme val="minor"/>
          </rPr>
          <t>Elegir el instructor de la lista</t>
        </r>
      </text>
    </comment>
    <comment ref="O2780" authorId="0" shapeId="0" xr:uid="{00000000-0006-0000-0000-0000FC030000}">
      <text>
        <r>
          <rPr>
            <sz val="11"/>
            <color theme="1"/>
            <rFont val="Calibri"/>
            <family val="2"/>
            <scheme val="minor"/>
          </rPr>
          <t>Tipo de actividad (elegir de la lista)</t>
        </r>
      </text>
    </comment>
    <comment ref="M2785" authorId="0" shapeId="0" xr:uid="{00000000-0006-0000-0000-0000FD030000}">
      <text>
        <r>
          <rPr>
            <sz val="11"/>
            <color theme="1"/>
            <rFont val="Calibri"/>
            <family val="2"/>
            <scheme val="minor"/>
          </rPr>
          <t>Elegir el instructor de la lista</t>
        </r>
      </text>
    </comment>
    <comment ref="O2785" authorId="0" shapeId="0" xr:uid="{00000000-0006-0000-0000-0000FE030000}">
      <text>
        <r>
          <rPr>
            <sz val="11"/>
            <color theme="1"/>
            <rFont val="Calibri"/>
            <family val="2"/>
            <scheme val="minor"/>
          </rPr>
          <t>Tipo de actividad (elegir de la lista)</t>
        </r>
      </text>
    </comment>
    <comment ref="M2790" authorId="0" shapeId="0" xr:uid="{00000000-0006-0000-0000-0000FF030000}">
      <text>
        <r>
          <rPr>
            <sz val="11"/>
            <color theme="1"/>
            <rFont val="Calibri"/>
            <family val="2"/>
            <scheme val="minor"/>
          </rPr>
          <t>Elegir el instructor de la lista</t>
        </r>
      </text>
    </comment>
    <comment ref="O2790" authorId="0" shapeId="0" xr:uid="{00000000-0006-0000-0000-000000040000}">
      <text>
        <r>
          <rPr>
            <sz val="11"/>
            <color theme="1"/>
            <rFont val="Calibri"/>
            <family val="2"/>
            <scheme val="minor"/>
          </rPr>
          <t>Tipo de actividad (elegir de la lista)</t>
        </r>
      </text>
    </comment>
    <comment ref="M2797" authorId="0" shapeId="0" xr:uid="{00000000-0006-0000-0000-000001040000}">
      <text>
        <r>
          <rPr>
            <sz val="11"/>
            <color theme="1"/>
            <rFont val="Calibri"/>
            <family val="2"/>
            <scheme val="minor"/>
          </rPr>
          <t>Elegir el instructor de la lista</t>
        </r>
      </text>
    </comment>
    <comment ref="O2797" authorId="0" shapeId="0" xr:uid="{00000000-0006-0000-0000-000002040000}">
      <text>
        <r>
          <rPr>
            <sz val="11"/>
            <color theme="1"/>
            <rFont val="Calibri"/>
            <family val="2"/>
            <scheme val="minor"/>
          </rPr>
          <t>Tipo de actividad (elegir de la lista)</t>
        </r>
      </text>
    </comment>
    <comment ref="M2804" authorId="0" shapeId="0" xr:uid="{00000000-0006-0000-0000-000003040000}">
      <text>
        <r>
          <rPr>
            <sz val="11"/>
            <color theme="1"/>
            <rFont val="Calibri"/>
            <family val="2"/>
            <scheme val="minor"/>
          </rPr>
          <t>Elegir el instructor de la lista</t>
        </r>
      </text>
    </comment>
    <comment ref="O2804" authorId="0" shapeId="0" xr:uid="{00000000-0006-0000-0000-000004040000}">
      <text>
        <r>
          <rPr>
            <sz val="11"/>
            <color theme="1"/>
            <rFont val="Calibri"/>
            <family val="2"/>
            <scheme val="minor"/>
          </rPr>
          <t>Tipo de actividad (elegir de la lista)</t>
        </r>
      </text>
    </comment>
    <comment ref="M2809" authorId="0" shapeId="0" xr:uid="{00000000-0006-0000-0000-000005040000}">
      <text>
        <r>
          <rPr>
            <sz val="11"/>
            <color theme="1"/>
            <rFont val="Calibri"/>
            <family val="2"/>
            <scheme val="minor"/>
          </rPr>
          <t>Elegir el instructor de la lista</t>
        </r>
      </text>
    </comment>
    <comment ref="O2809" authorId="0" shapeId="0" xr:uid="{00000000-0006-0000-0000-000006040000}">
      <text>
        <r>
          <rPr>
            <sz val="11"/>
            <color theme="1"/>
            <rFont val="Calibri"/>
            <family val="2"/>
            <scheme val="minor"/>
          </rPr>
          <t>Tipo de actividad (elegir de la lista)</t>
        </r>
      </text>
    </comment>
    <comment ref="M2814" authorId="0" shapeId="0" xr:uid="{00000000-0006-0000-0000-000007040000}">
      <text>
        <r>
          <rPr>
            <sz val="11"/>
            <color theme="1"/>
            <rFont val="Calibri"/>
            <family val="2"/>
            <scheme val="minor"/>
          </rPr>
          <t>Elegir el instructor de la lista</t>
        </r>
      </text>
    </comment>
    <comment ref="O2814" authorId="0" shapeId="0" xr:uid="{00000000-0006-0000-0000-000008040000}">
      <text>
        <r>
          <rPr>
            <sz val="11"/>
            <color theme="1"/>
            <rFont val="Calibri"/>
            <family val="2"/>
            <scheme val="minor"/>
          </rPr>
          <t>Tipo de actividad (elegir de la lista)</t>
        </r>
      </text>
    </comment>
    <comment ref="M2819" authorId="0" shapeId="0" xr:uid="{00000000-0006-0000-0000-000009040000}">
      <text>
        <r>
          <rPr>
            <sz val="11"/>
            <color theme="1"/>
            <rFont val="Calibri"/>
            <family val="2"/>
            <scheme val="minor"/>
          </rPr>
          <t>Elegir el instructor de la lista</t>
        </r>
      </text>
    </comment>
    <comment ref="O2819" authorId="0" shapeId="0" xr:uid="{00000000-0006-0000-0000-00000A040000}">
      <text>
        <r>
          <rPr>
            <sz val="11"/>
            <color theme="1"/>
            <rFont val="Calibri"/>
            <family val="2"/>
            <scheme val="minor"/>
          </rPr>
          <t>Tipo de actividad (elegir de la lista)</t>
        </r>
      </text>
    </comment>
    <comment ref="M2824" authorId="0" shapeId="0" xr:uid="{00000000-0006-0000-0000-00000B040000}">
      <text>
        <r>
          <rPr>
            <sz val="11"/>
            <color theme="1"/>
            <rFont val="Calibri"/>
            <family val="2"/>
            <scheme val="minor"/>
          </rPr>
          <t>Elegir el instructor de la lista</t>
        </r>
      </text>
    </comment>
    <comment ref="O2824" authorId="0" shapeId="0" xr:uid="{00000000-0006-0000-0000-00000C040000}">
      <text>
        <r>
          <rPr>
            <sz val="11"/>
            <color theme="1"/>
            <rFont val="Calibri"/>
            <family val="2"/>
            <scheme val="minor"/>
          </rPr>
          <t>Tipo de actividad (elegir de la lista)</t>
        </r>
      </text>
    </comment>
    <comment ref="M2831" authorId="0" shapeId="0" xr:uid="{00000000-0006-0000-0000-00000D040000}">
      <text>
        <r>
          <rPr>
            <sz val="11"/>
            <color theme="1"/>
            <rFont val="Calibri"/>
            <family val="2"/>
            <scheme val="minor"/>
          </rPr>
          <t>Elegir el instructor de la lista</t>
        </r>
      </text>
    </comment>
    <comment ref="O2831" authorId="0" shapeId="0" xr:uid="{00000000-0006-0000-0000-00000E040000}">
      <text>
        <r>
          <rPr>
            <sz val="11"/>
            <color theme="1"/>
            <rFont val="Calibri"/>
            <family val="2"/>
            <scheme val="minor"/>
          </rPr>
          <t>Tipo de actividad (elegir de la lista)</t>
        </r>
      </text>
    </comment>
    <comment ref="M2838" authorId="0" shapeId="0" xr:uid="{00000000-0006-0000-0000-00000F040000}">
      <text>
        <r>
          <rPr>
            <sz val="11"/>
            <color theme="1"/>
            <rFont val="Calibri"/>
            <family val="2"/>
            <scheme val="minor"/>
          </rPr>
          <t>Elegir el instructor de la lista</t>
        </r>
      </text>
    </comment>
    <comment ref="O2838" authorId="0" shapeId="0" xr:uid="{00000000-0006-0000-0000-000010040000}">
      <text>
        <r>
          <rPr>
            <sz val="11"/>
            <color theme="1"/>
            <rFont val="Calibri"/>
            <family val="2"/>
            <scheme val="minor"/>
          </rPr>
          <t>Tipo de actividad (elegir de la lista)</t>
        </r>
      </text>
    </comment>
    <comment ref="M2843" authorId="0" shapeId="0" xr:uid="{00000000-0006-0000-0000-000011040000}">
      <text>
        <r>
          <rPr>
            <sz val="11"/>
            <color theme="1"/>
            <rFont val="Calibri"/>
            <family val="2"/>
            <scheme val="minor"/>
          </rPr>
          <t>Elegir el instructor de la lista</t>
        </r>
      </text>
    </comment>
    <comment ref="O2843" authorId="0" shapeId="0" xr:uid="{00000000-0006-0000-0000-000012040000}">
      <text>
        <r>
          <rPr>
            <sz val="11"/>
            <color theme="1"/>
            <rFont val="Calibri"/>
            <family val="2"/>
            <scheme val="minor"/>
          </rPr>
          <t>Tipo de actividad (elegir de la lista)</t>
        </r>
      </text>
    </comment>
    <comment ref="M2850" authorId="0" shapeId="0" xr:uid="{00000000-0006-0000-0000-000013040000}">
      <text>
        <r>
          <rPr>
            <sz val="11"/>
            <color theme="1"/>
            <rFont val="Calibri"/>
            <family val="2"/>
            <scheme val="minor"/>
          </rPr>
          <t>Elegir el instructor de la lista</t>
        </r>
      </text>
    </comment>
    <comment ref="O2850" authorId="0" shapeId="0" xr:uid="{00000000-0006-0000-0000-000014040000}">
      <text>
        <r>
          <rPr>
            <sz val="11"/>
            <color theme="1"/>
            <rFont val="Calibri"/>
            <family val="2"/>
            <scheme val="minor"/>
          </rPr>
          <t>Tipo de actividad (elegir de la lista)</t>
        </r>
      </text>
    </comment>
    <comment ref="M2855" authorId="0" shapeId="0" xr:uid="{00000000-0006-0000-0000-000015040000}">
      <text>
        <r>
          <rPr>
            <sz val="11"/>
            <color theme="1"/>
            <rFont val="Calibri"/>
            <family val="2"/>
            <scheme val="minor"/>
          </rPr>
          <t>Elegir el instructor de la lista</t>
        </r>
      </text>
    </comment>
    <comment ref="O2855" authorId="0" shapeId="0" xr:uid="{00000000-0006-0000-0000-000016040000}">
      <text>
        <r>
          <rPr>
            <sz val="11"/>
            <color theme="1"/>
            <rFont val="Calibri"/>
            <family val="2"/>
            <scheme val="minor"/>
          </rPr>
          <t>Tipo de actividad (elegir de la lista)</t>
        </r>
      </text>
    </comment>
    <comment ref="M2860" authorId="0" shapeId="0" xr:uid="{00000000-0006-0000-0000-000017040000}">
      <text>
        <r>
          <rPr>
            <sz val="11"/>
            <color theme="1"/>
            <rFont val="Calibri"/>
            <family val="2"/>
            <scheme val="minor"/>
          </rPr>
          <t>Elegir el instructor de la lista</t>
        </r>
      </text>
    </comment>
    <comment ref="O2860" authorId="0" shapeId="0" xr:uid="{00000000-0006-0000-0000-000018040000}">
      <text>
        <r>
          <rPr>
            <sz val="11"/>
            <color theme="1"/>
            <rFont val="Calibri"/>
            <family val="2"/>
            <scheme val="minor"/>
          </rPr>
          <t>Tipo de actividad (elegir de la lista)</t>
        </r>
      </text>
    </comment>
    <comment ref="M2865" authorId="0" shapeId="0" xr:uid="{00000000-0006-0000-0000-000019040000}">
      <text>
        <r>
          <rPr>
            <sz val="11"/>
            <color theme="1"/>
            <rFont val="Calibri"/>
            <family val="2"/>
            <scheme val="minor"/>
          </rPr>
          <t>Elegir el instructor de la lista</t>
        </r>
      </text>
    </comment>
    <comment ref="O2865" authorId="0" shapeId="0" xr:uid="{00000000-0006-0000-0000-00001A040000}">
      <text>
        <r>
          <rPr>
            <sz val="11"/>
            <color theme="1"/>
            <rFont val="Calibri"/>
            <family val="2"/>
            <scheme val="minor"/>
          </rPr>
          <t>Tipo de actividad (elegir de la lista)</t>
        </r>
      </text>
    </comment>
    <comment ref="M2870" authorId="0" shapeId="0" xr:uid="{00000000-0006-0000-0000-00001B040000}">
      <text>
        <r>
          <rPr>
            <sz val="11"/>
            <color theme="1"/>
            <rFont val="Calibri"/>
            <family val="2"/>
            <scheme val="minor"/>
          </rPr>
          <t>Elegir el instructor de la lista</t>
        </r>
      </text>
    </comment>
    <comment ref="O2870" authorId="0" shapeId="0" xr:uid="{00000000-0006-0000-0000-00001C040000}">
      <text>
        <r>
          <rPr>
            <sz val="11"/>
            <color theme="1"/>
            <rFont val="Calibri"/>
            <family val="2"/>
            <scheme val="minor"/>
          </rPr>
          <t>Tipo de actividad (elegir de la lista)</t>
        </r>
      </text>
    </comment>
    <comment ref="M2875" authorId="0" shapeId="0" xr:uid="{00000000-0006-0000-0000-00001D040000}">
      <text>
        <r>
          <rPr>
            <sz val="11"/>
            <color theme="1"/>
            <rFont val="Calibri"/>
            <family val="2"/>
            <scheme val="minor"/>
          </rPr>
          <t>Elegir el instructor de la lista</t>
        </r>
      </text>
    </comment>
    <comment ref="O2875" authorId="0" shapeId="0" xr:uid="{00000000-0006-0000-0000-00001E040000}">
      <text>
        <r>
          <rPr>
            <sz val="11"/>
            <color theme="1"/>
            <rFont val="Calibri"/>
            <family val="2"/>
            <scheme val="minor"/>
          </rPr>
          <t>Tipo de actividad (elegir de la lista)</t>
        </r>
      </text>
    </comment>
    <comment ref="M2880" authorId="0" shapeId="0" xr:uid="{00000000-0006-0000-0000-00001F040000}">
      <text>
        <r>
          <rPr>
            <sz val="11"/>
            <color theme="1"/>
            <rFont val="Calibri"/>
            <family val="2"/>
            <scheme val="minor"/>
          </rPr>
          <t>Elegir el instructor de la lista</t>
        </r>
      </text>
    </comment>
    <comment ref="O2880" authorId="0" shapeId="0" xr:uid="{00000000-0006-0000-0000-000020040000}">
      <text>
        <r>
          <rPr>
            <sz val="11"/>
            <color theme="1"/>
            <rFont val="Calibri"/>
            <family val="2"/>
            <scheme val="minor"/>
          </rPr>
          <t>Tipo de actividad (elegir de la lista)</t>
        </r>
      </text>
    </comment>
  </commentList>
</comments>
</file>

<file path=xl/sharedStrings.xml><?xml version="1.0" encoding="utf-8"?>
<sst xmlns="http://schemas.openxmlformats.org/spreadsheetml/2006/main" count="15477" uniqueCount="307">
  <si>
    <t>Conexión &gt; o = a 50min y &lt; a 1hr y 30min</t>
  </si>
  <si>
    <t>NO CONSIDERAR TRU/JUL/JAE/AYP/JAU/IQT</t>
  </si>
  <si>
    <t>CONSIDERAR PAIRINGS PARTIDOS LCK A320</t>
  </si>
  <si>
    <t>Vuelos LCK = Siempre en Flota 320</t>
  </si>
  <si>
    <t>Vuelos HBT mayor a 1 hora</t>
  </si>
  <si>
    <t>PSV NO MAYOR A 11 HRS</t>
  </si>
  <si>
    <t>CONSIDERAR SIEMPRE EL PDR</t>
  </si>
  <si>
    <t>Vuelos iniciando más de 08:30</t>
  </si>
  <si>
    <t>NO REPETIR PAIRING EN LCK</t>
  </si>
  <si>
    <t>Pairing ID</t>
  </si>
  <si>
    <t>Fecha</t>
  </si>
  <si>
    <t>DíaSem</t>
  </si>
  <si>
    <t>Vuelo</t>
  </si>
  <si>
    <t>Ruta</t>
  </si>
  <si>
    <t>Instructor</t>
  </si>
  <si>
    <t>Actividad</t>
  </si>
  <si>
    <t>Sub Flota</t>
  </si>
  <si>
    <t>FECHA REAL</t>
  </si>
  <si>
    <t>Day of Week</t>
  </si>
  <si>
    <t>Flight No</t>
  </si>
  <si>
    <t>Dep Stn</t>
  </si>
  <si>
    <t>Arr Stn</t>
  </si>
  <si>
    <t>STD</t>
  </si>
  <si>
    <t>STA</t>
  </si>
  <si>
    <t>subflota</t>
  </si>
  <si>
    <t>Conexion</t>
  </si>
  <si>
    <t>HBT</t>
  </si>
  <si>
    <t>01/10/2026</t>
  </si>
  <si>
    <t>jueves</t>
  </si>
  <si>
    <t>LIM</t>
  </si>
  <si>
    <t>CUZ</t>
  </si>
  <si>
    <t>09:10:00</t>
  </si>
  <si>
    <t>10:30:00</t>
  </si>
  <si>
    <t>01:20:00</t>
  </si>
  <si>
    <t>11:20:00</t>
  </si>
  <si>
    <t>12:55:00</t>
  </si>
  <si>
    <t>01:35:00</t>
  </si>
  <si>
    <t>CIX</t>
  </si>
  <si>
    <t>13:50:00</t>
  </si>
  <si>
    <t>15:20:00</t>
  </si>
  <si>
    <t>01:30:00</t>
  </si>
  <si>
    <t>15:55:00</t>
  </si>
  <si>
    <t>17:15:00</t>
  </si>
  <si>
    <t>PSV total:</t>
  </si>
  <si>
    <t>PEM</t>
  </si>
  <si>
    <t>10:20:00</t>
  </si>
  <si>
    <t>12:05:00</t>
  </si>
  <si>
    <t>01:45:00</t>
  </si>
  <si>
    <t>12:45:00</t>
  </si>
  <si>
    <t>14:20:00</t>
  </si>
  <si>
    <t>CJA</t>
  </si>
  <si>
    <t>15:15:00</t>
  </si>
  <si>
    <t>16:35:00</t>
  </si>
  <si>
    <t>17:20:00</t>
  </si>
  <si>
    <t>18:25:00</t>
  </si>
  <si>
    <t>01:05:00</t>
  </si>
  <si>
    <t>AQP</t>
  </si>
  <si>
    <t>12:00:00</t>
  </si>
  <si>
    <t>PCL</t>
  </si>
  <si>
    <t>15:25:00</t>
  </si>
  <si>
    <t>16:40:00</t>
  </si>
  <si>
    <t>01:15:00</t>
  </si>
  <si>
    <t>18:35:00</t>
  </si>
  <si>
    <t>IQT</t>
  </si>
  <si>
    <t>11:35:00</t>
  </si>
  <si>
    <t>13:25:00</t>
  </si>
  <si>
    <t>01:50:00</t>
  </si>
  <si>
    <t>14:05:00</t>
  </si>
  <si>
    <t>18:45:00</t>
  </si>
  <si>
    <t>19:20:00</t>
  </si>
  <si>
    <t>21:00:00</t>
  </si>
  <si>
    <t>01:40:00</t>
  </si>
  <si>
    <t>13:40:00</t>
  </si>
  <si>
    <t>14:50:00</t>
  </si>
  <si>
    <t>01:10:00</t>
  </si>
  <si>
    <t>14:45:00</t>
  </si>
  <si>
    <t>15:30:00</t>
  </si>
  <si>
    <t>17:05:00</t>
  </si>
  <si>
    <t>18:20:00</t>
  </si>
  <si>
    <t>19:40:00</t>
  </si>
  <si>
    <t>21:20:00</t>
  </si>
  <si>
    <t>22:55:00</t>
  </si>
  <si>
    <t>13:55:00</t>
  </si>
  <si>
    <t>16:10:00</t>
  </si>
  <si>
    <t>17:50:00</t>
  </si>
  <si>
    <t>16:05:00</t>
  </si>
  <si>
    <t>16:45:00</t>
  </si>
  <si>
    <t>14:55:00</t>
  </si>
  <si>
    <t>18:55:00</t>
  </si>
  <si>
    <t>15:35:00</t>
  </si>
  <si>
    <t>19:10:00</t>
  </si>
  <si>
    <t>TPP</t>
  </si>
  <si>
    <t>15:40:00</t>
  </si>
  <si>
    <t>01:25:00</t>
  </si>
  <si>
    <t>19:15:00</t>
  </si>
  <si>
    <t>02/10/2026</t>
  </si>
  <si>
    <t>viernes</t>
  </si>
  <si>
    <t>10:50:00</t>
  </si>
  <si>
    <t>12:10:00</t>
  </si>
  <si>
    <t>13:45:00</t>
  </si>
  <si>
    <t>17:30:00</t>
  </si>
  <si>
    <t>18:10:00</t>
  </si>
  <si>
    <t>19:50:00</t>
  </si>
  <si>
    <t>11:40:00</t>
  </si>
  <si>
    <t>13:10:00</t>
  </si>
  <si>
    <t>19:30:00</t>
  </si>
  <si>
    <t>13:35:00</t>
  </si>
  <si>
    <t>14:15:00</t>
  </si>
  <si>
    <t>15:50:00</t>
  </si>
  <si>
    <t>15:00:00</t>
  </si>
  <si>
    <t>14:10:00</t>
  </si>
  <si>
    <t>18:15:00</t>
  </si>
  <si>
    <t>19:45:00</t>
  </si>
  <si>
    <t>20:20:00</t>
  </si>
  <si>
    <t>21:45:00</t>
  </si>
  <si>
    <t>22:05:00</t>
  </si>
  <si>
    <t>23:25:00</t>
  </si>
  <si>
    <t>00:05:00</t>
  </si>
  <si>
    <t>03/10/2026</t>
  </si>
  <si>
    <t>sábado</t>
  </si>
  <si>
    <t>13:00:00</t>
  </si>
  <si>
    <t>17:55:00</t>
  </si>
  <si>
    <t>20:10:00</t>
  </si>
  <si>
    <t>12:35:00</t>
  </si>
  <si>
    <t>17:35:00</t>
  </si>
  <si>
    <t>PIU</t>
  </si>
  <si>
    <t>15:05:00</t>
  </si>
  <si>
    <t>18:50:00</t>
  </si>
  <si>
    <t>19:25:00</t>
  </si>
  <si>
    <t>20:40:00</t>
  </si>
  <si>
    <t>21:15:00</t>
  </si>
  <si>
    <t>22:35:00</t>
  </si>
  <si>
    <t>23:20:00</t>
  </si>
  <si>
    <t>00:50:00</t>
  </si>
  <si>
    <t>04/10/2026</t>
  </si>
  <si>
    <t>domingo</t>
  </si>
  <si>
    <t>14:00:00</t>
  </si>
  <si>
    <t>05/10/2026</t>
  </si>
  <si>
    <t>lunes</t>
  </si>
  <si>
    <t>09:15:00</t>
  </si>
  <si>
    <t>10:45:00</t>
  </si>
  <si>
    <t>11:30:00</t>
  </si>
  <si>
    <t>13:05:00</t>
  </si>
  <si>
    <t>11:15:00</t>
  </si>
  <si>
    <t>12:50:00</t>
  </si>
  <si>
    <t>14:35:00</t>
  </si>
  <si>
    <t>15:10:00</t>
  </si>
  <si>
    <t>18:30:00</t>
  </si>
  <si>
    <t>19:55:00</t>
  </si>
  <si>
    <t>20:30:00</t>
  </si>
  <si>
    <t>22:00:00</t>
  </si>
  <si>
    <t>20:05:00</t>
  </si>
  <si>
    <t>22:20:00</t>
  </si>
  <si>
    <t>06/10/2026</t>
  </si>
  <si>
    <t>martes</t>
  </si>
  <si>
    <t>20:25:00</t>
  </si>
  <si>
    <t>18:00:00</t>
  </si>
  <si>
    <t>20:15:00</t>
  </si>
  <si>
    <t>21:50:00</t>
  </si>
  <si>
    <t>21:40:00</t>
  </si>
  <si>
    <t>22:15:00</t>
  </si>
  <si>
    <t>23:40:00</t>
  </si>
  <si>
    <t>21:30:00</t>
  </si>
  <si>
    <t>01:55:00</t>
  </si>
  <si>
    <t>07/10/2026</t>
  </si>
  <si>
    <t>miércoles</t>
  </si>
  <si>
    <t>08/10/2026</t>
  </si>
  <si>
    <t>09/10/2026</t>
  </si>
  <si>
    <t>10/10/2026</t>
  </si>
  <si>
    <t>10:55:00</t>
  </si>
  <si>
    <t>12:40:00</t>
  </si>
  <si>
    <t>13:20:00</t>
  </si>
  <si>
    <t>12:15:00</t>
  </si>
  <si>
    <t>22:10:00</t>
  </si>
  <si>
    <t>23:50:00</t>
  </si>
  <si>
    <t>11/10/2026</t>
  </si>
  <si>
    <t>20:00:00</t>
  </si>
  <si>
    <t>12/10/2026</t>
  </si>
  <si>
    <t>13/10/2026</t>
  </si>
  <si>
    <t>10:00:00</t>
  </si>
  <si>
    <t>14/10/2026</t>
  </si>
  <si>
    <t>17:45:00</t>
  </si>
  <si>
    <t>15/10/2026</t>
  </si>
  <si>
    <t>16/10/2026</t>
  </si>
  <si>
    <t>17/10/2026</t>
  </si>
  <si>
    <t>18/10/2026</t>
  </si>
  <si>
    <t>19/10/2026</t>
  </si>
  <si>
    <t>20/10/2026</t>
  </si>
  <si>
    <t>08:35:00</t>
  </si>
  <si>
    <t>09:55:00</t>
  </si>
  <si>
    <t>10:35:00</t>
  </si>
  <si>
    <t>21/10/2026</t>
  </si>
  <si>
    <t>16:55:00</t>
  </si>
  <si>
    <t>20:45:00</t>
  </si>
  <si>
    <t>22/10/2026</t>
  </si>
  <si>
    <t>23/10/2026</t>
  </si>
  <si>
    <t>09:50:00</t>
  </si>
  <si>
    <t>11:10:00</t>
  </si>
  <si>
    <t>16:25:00</t>
  </si>
  <si>
    <t>24/10/2026</t>
  </si>
  <si>
    <t>23:00:00</t>
  </si>
  <si>
    <t>25/10/2026</t>
  </si>
  <si>
    <t>08:50:00</t>
  </si>
  <si>
    <t>10:15:00</t>
  </si>
  <si>
    <t>09:05:00</t>
  </si>
  <si>
    <t>11:45:00</t>
  </si>
  <si>
    <t>17:25:00</t>
  </si>
  <si>
    <t>18:40:00</t>
  </si>
  <si>
    <t>19:35:00</t>
  </si>
  <si>
    <t>17:10:00</t>
  </si>
  <si>
    <t>16:20:00</t>
  </si>
  <si>
    <t>21:10:00</t>
  </si>
  <si>
    <t>16:50:00</t>
  </si>
  <si>
    <t>19:05:00</t>
  </si>
  <si>
    <t>26/10/2026</t>
  </si>
  <si>
    <t>11:55:00</t>
  </si>
  <si>
    <t>13:15:00</t>
  </si>
  <si>
    <t>12:20:00</t>
  </si>
  <si>
    <t>27/10/2026</t>
  </si>
  <si>
    <t>23:35:00</t>
  </si>
  <si>
    <t>19:00:00</t>
  </si>
  <si>
    <t>28/10/2026</t>
  </si>
  <si>
    <t>29/10/2026</t>
  </si>
  <si>
    <t>21:05:00</t>
  </si>
  <si>
    <t>22:50:00</t>
  </si>
  <si>
    <t>22:45:00</t>
  </si>
  <si>
    <t>00:20:00</t>
  </si>
  <si>
    <t>30/10/2026</t>
  </si>
  <si>
    <t>31/10/2026</t>
  </si>
  <si>
    <t>11:25:00</t>
  </si>
  <si>
    <t>20:55:00</t>
  </si>
  <si>
    <t>BP</t>
  </si>
  <si>
    <t>Nombre</t>
  </si>
  <si>
    <t>Christian Rondon</t>
  </si>
  <si>
    <t>1271571</t>
  </si>
  <si>
    <t xml:space="preserve"> RONDON BARRUTIA CHRISTIAN ERIC </t>
  </si>
  <si>
    <t>Erika Davila</t>
  </si>
  <si>
    <t>967092</t>
  </si>
  <si>
    <t>DAVILA BELLO MARIA ERIKA</t>
  </si>
  <si>
    <t>Sebastian Correa</t>
  </si>
  <si>
    <t>2396710</t>
  </si>
  <si>
    <t xml:space="preserve"> CORREA GARCIA JUAN SEBASTIAN </t>
  </si>
  <si>
    <t>Fiorella Ruiz</t>
  </si>
  <si>
    <t>2713993</t>
  </si>
  <si>
    <t>RUIZ RIOJA FIORELLA DEL PILAR</t>
  </si>
  <si>
    <t>Jazmin Guerra</t>
  </si>
  <si>
    <t>29530</t>
  </si>
  <si>
    <t>GUERRA SUAREZ JAZMIN</t>
  </si>
  <si>
    <t>Jennifert Acurio</t>
  </si>
  <si>
    <t>3779550</t>
  </si>
  <si>
    <t>ACURIO DARGENT JENNIFERT MILAGROS</t>
  </si>
  <si>
    <t>Karen Santa Cruz</t>
  </si>
  <si>
    <t>2843319</t>
  </si>
  <si>
    <t>SANTA CRUZ HUAMAN KAREN</t>
  </si>
  <si>
    <t>Luis Bacigalupo</t>
  </si>
  <si>
    <t>2963161</t>
  </si>
  <si>
    <t>BACIGALUPO FLORES LUIS ENRIQUE</t>
  </si>
  <si>
    <t>Claudia Flores</t>
  </si>
  <si>
    <t>3217561</t>
  </si>
  <si>
    <t xml:space="preserve"> FLORES FUENTES DAVILA CLAUDIA ALEXANDRA </t>
  </si>
  <si>
    <t>Karla Moz</t>
  </si>
  <si>
    <t>71348</t>
  </si>
  <si>
    <t>MOZ MONTES KARLA LISSETTE</t>
  </si>
  <si>
    <t>Elizabeth Torres</t>
  </si>
  <si>
    <t>2369641</t>
  </si>
  <si>
    <t>TORRES POLO ELIZABETH DEL PILAR</t>
  </si>
  <si>
    <t>Patricia Najar</t>
  </si>
  <si>
    <t>2369624</t>
  </si>
  <si>
    <t>NAJAR CRUZ PATRICIA DEL PILAR</t>
  </si>
  <si>
    <t>Javier Zapata</t>
  </si>
  <si>
    <t>3134911</t>
  </si>
  <si>
    <t>ZAPATA GARAYAR JAVIER RICARDO SALVADOR</t>
  </si>
  <si>
    <t>Jefferson Mendez</t>
  </si>
  <si>
    <t>3750335</t>
  </si>
  <si>
    <t xml:space="preserve"> MENDEZ RUCOBA JEFFERSON </t>
  </si>
  <si>
    <t>Gabriela Ungaro</t>
  </si>
  <si>
    <t>3852423</t>
  </si>
  <si>
    <t>UNGARO GUTIERREZ GABRIELA</t>
  </si>
  <si>
    <t>Mariella Carrasco</t>
  </si>
  <si>
    <t>2604360</t>
  </si>
  <si>
    <t>CARRASCO BENAVIDES ROSA MARIELLA</t>
  </si>
  <si>
    <t>Cesar Campos</t>
  </si>
  <si>
    <t>2823133</t>
  </si>
  <si>
    <t xml:space="preserve"> CAMPOS CONCHE CESAR AUGUSTO </t>
  </si>
  <si>
    <t>Kevin Segovia</t>
  </si>
  <si>
    <t>3189967</t>
  </si>
  <si>
    <t>SEGOVIA TAPIA RAY KEVIN</t>
  </si>
  <si>
    <t>Milagros Salas</t>
  </si>
  <si>
    <t>2415373</t>
  </si>
  <si>
    <t>SALAS COSIO MILAGROS PATRICIA</t>
  </si>
  <si>
    <t>Judith Fernandez</t>
  </si>
  <si>
    <t>2440915</t>
  </si>
  <si>
    <t>FERNANDEZ GARCIA JUDITH JULIET</t>
  </si>
  <si>
    <t>Rafael Nieto</t>
  </si>
  <si>
    <t>3796947</t>
  </si>
  <si>
    <t xml:space="preserve"> NIETO SAENZ RAFAEL ANTONIO </t>
  </si>
  <si>
    <t>Gianfranco Celiz</t>
  </si>
  <si>
    <t>3841387</t>
  </si>
  <si>
    <t xml:space="preserve"> CELIZ ROSSI GIANFRANCO PAOLO </t>
  </si>
  <si>
    <t>TRIP</t>
  </si>
  <si>
    <t>DíaSEM</t>
  </si>
  <si>
    <t>BP INS</t>
  </si>
  <si>
    <t>INS</t>
  </si>
  <si>
    <t>ACTIVIDAD</t>
  </si>
  <si>
    <t>FLOTA</t>
  </si>
  <si>
    <t>Nombre INS</t>
  </si>
  <si>
    <t>CUPOS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</si>
</sst>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CC0000"/>
      <name val="Calibri"/>
    </font>
  </fonts>
  <fills count="6">
    <fill>
      <patternFill patternType="none"/>
    </fill>
    <fill>
      <patternFill patternType="gray125"/>
    </fill>
    <fill>
      <patternFill patternType="solid">
        <fgColor rgb="FFD9E1F2"/>
      </patternFill>
    </fill>
    <fill>
      <patternFill patternType="solid">
        <fgColor rgb="FFC6E8C6"/>
      </patternFill>
    </fill>
    <fill>
      <patternFill patternType="solid">
        <fgColor rgb="FFFFC000"/>
      </patternFill>
    </fill>
    <fill>
      <patternFill patternType="solid">
        <fgColor rgb="FFFFFF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1" fillId="2" borderId="1" xfId="0" applyFont="1" applyFill="1" applyBorder="1" applyAlignment="1">
      <alignment horizontal="center" wrapText="1"/>
    </xf>
    <xf numFmtId="0" fontId="0" fillId="0" borderId="1" xfId="0" applyBorder="1" applyAlignment="1">
      <alignment horizontal="center" wrapText="1"/>
    </xf>
    <xf numFmtId="0" fontId="1" fillId="4" borderId="0" xfId="0" applyFont="1" applyFill="1"/>
    <xf numFmtId="0" fontId="1" fillId="3" borderId="0" xfId="0" applyFont="1" applyFill="1"/>
    <xf numFmtId="0" fontId="1" fillId="5" borderId="0" xfId="0" applyFont="1" applyFill="1"/>
    <xf numFmtId="0" fontId="0" fillId="5" borderId="0" xfId="0" applyFill="1"/>
    <xf numFmtId="0" fontId="1" fillId="0" borderId="1" xfId="0" applyFont="1" applyBorder="1"/>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2882"/>
  <sheetViews>
    <sheetView tabSelected="1" workbookViewId="0">
      <pane xSplit="1" ySplit="6" topLeftCell="B133" activePane="bottomRight" state="frozen"/>
      <selection pane="topRight"/>
      <selection pane="bottomLeft"/>
      <selection pane="bottomRight" activeCell="T138" sqref="T138"/>
    </sheetView>
  </sheetViews>
  <sheetFormatPr baseColWidth="10" defaultColWidth="9.140625" defaultRowHeight="15" x14ac:dyDescent="0.25"/>
  <cols>
    <col min="1" max="1" width="6" customWidth="1"/>
    <col min="2" max="2" width="10" customWidth="1"/>
    <col min="3" max="3" width="14.28515625" customWidth="1"/>
    <col min="4" max="4" width="13.140625" customWidth="1"/>
    <col min="5" max="5" width="9.85546875" customWidth="1"/>
    <col min="6" max="7" width="7" customWidth="1"/>
    <col min="8" max="11" width="9" customWidth="1"/>
    <col min="12" max="12" width="8" customWidth="1"/>
    <col min="13" max="13" width="18" customWidth="1"/>
    <col min="14" max="14" width="3" customWidth="1"/>
    <col min="15" max="15" width="38" customWidth="1"/>
    <col min="16" max="16" width="3" customWidth="1"/>
    <col min="17" max="17" width="10" customWidth="1"/>
    <col min="18" max="18" width="11" customWidth="1"/>
    <col min="19" max="19" width="9" customWidth="1"/>
    <col min="20" max="20" width="12" customWidth="1"/>
    <col min="21" max="21" width="16" customWidth="1"/>
    <col min="22" max="22" width="18" customWidth="1"/>
    <col min="23" max="23" width="24" customWidth="1"/>
    <col min="24" max="24" width="9" customWidth="1"/>
  </cols>
  <sheetData>
    <row r="1" spans="2:24" x14ac:dyDescent="0.25">
      <c r="B1" s="1" t="s">
        <v>0</v>
      </c>
      <c r="E1" s="2" t="s">
        <v>1</v>
      </c>
      <c r="J1" s="1" t="s">
        <v>2</v>
      </c>
      <c r="O1" s="1" t="s">
        <v>3</v>
      </c>
    </row>
    <row r="2" spans="2:24" x14ac:dyDescent="0.25">
      <c r="B2" s="1" t="s">
        <v>4</v>
      </c>
      <c r="E2" s="1" t="s">
        <v>5</v>
      </c>
      <c r="J2" s="1" t="s">
        <v>6</v>
      </c>
      <c r="O2" s="1" t="s">
        <v>7</v>
      </c>
    </row>
    <row r="3" spans="2:24" x14ac:dyDescent="0.25">
      <c r="E3" s="2" t="s">
        <v>8</v>
      </c>
    </row>
    <row r="6" spans="2:24" ht="30" x14ac:dyDescent="0.25">
      <c r="Q6" s="3" t="s">
        <v>9</v>
      </c>
      <c r="R6" s="3" t="s">
        <v>10</v>
      </c>
      <c r="S6" s="3" t="s">
        <v>11</v>
      </c>
      <c r="T6" s="3" t="s">
        <v>12</v>
      </c>
      <c r="U6" s="3" t="s">
        <v>13</v>
      </c>
      <c r="V6" s="3" t="s">
        <v>14</v>
      </c>
      <c r="W6" s="3" t="s">
        <v>15</v>
      </c>
      <c r="X6" s="3" t="s">
        <v>16</v>
      </c>
    </row>
    <row r="8" spans="2:24" ht="30" x14ac:dyDescent="0.25">
      <c r="B8" s="3" t="s">
        <v>9</v>
      </c>
      <c r="C8" s="3" t="s">
        <v>17</v>
      </c>
      <c r="D8" s="3" t="s">
        <v>18</v>
      </c>
      <c r="E8" s="3" t="s">
        <v>19</v>
      </c>
      <c r="F8" s="3" t="s">
        <v>20</v>
      </c>
      <c r="G8" s="3" t="s">
        <v>21</v>
      </c>
      <c r="H8" s="3" t="s">
        <v>22</v>
      </c>
      <c r="I8" s="3" t="s">
        <v>23</v>
      </c>
      <c r="J8" s="3" t="s">
        <v>24</v>
      </c>
      <c r="K8" s="3" t="s">
        <v>25</v>
      </c>
      <c r="L8" s="3" t="s">
        <v>26</v>
      </c>
    </row>
    <row r="9" spans="2:24" ht="30" x14ac:dyDescent="0.25">
      <c r="B9" s="4">
        <v>113</v>
      </c>
      <c r="C9" s="4" t="s">
        <v>27</v>
      </c>
      <c r="D9" s="4" t="s">
        <v>28</v>
      </c>
      <c r="E9" s="4">
        <v>2007</v>
      </c>
      <c r="F9" s="4" t="s">
        <v>29</v>
      </c>
      <c r="G9" s="4" t="s">
        <v>30</v>
      </c>
      <c r="H9" s="4" t="s">
        <v>31</v>
      </c>
      <c r="I9" s="4" t="s">
        <v>32</v>
      </c>
      <c r="J9" s="4">
        <v>320</v>
      </c>
      <c r="L9" s="4" t="s">
        <v>33</v>
      </c>
      <c r="M9" s="5"/>
      <c r="O9" s="5"/>
      <c r="Q9" s="4">
        <f>B9</f>
        <v>113</v>
      </c>
      <c r="R9" s="4" t="str">
        <f>C9</f>
        <v>01/10/2026</v>
      </c>
      <c r="S9" s="4" t="str">
        <f>D9</f>
        <v>jueves</v>
      </c>
      <c r="T9" s="4" t="str">
        <f>E9&amp;"/"&amp;E10</f>
        <v>2007/2008</v>
      </c>
      <c r="U9" s="4" t="str">
        <f>F9&amp;"-"&amp;G9&amp;"-"&amp;F9</f>
        <v>LIM-CUZ-LIM</v>
      </c>
      <c r="V9" s="4" t="str">
        <f>IF($M$9="","",$M$9)</f>
        <v/>
      </c>
      <c r="W9" s="4" t="str">
        <f>IF($O$9="","",$O$9)</f>
        <v/>
      </c>
      <c r="X9" s="4">
        <f>J9</f>
        <v>320</v>
      </c>
    </row>
    <row r="10" spans="2:24" ht="30" x14ac:dyDescent="0.25">
      <c r="B10" s="4">
        <v>113</v>
      </c>
      <c r="C10" s="4" t="s">
        <v>27</v>
      </c>
      <c r="D10" s="4" t="s">
        <v>28</v>
      </c>
      <c r="E10" s="4">
        <v>2008</v>
      </c>
      <c r="F10" s="4" t="s">
        <v>30</v>
      </c>
      <c r="G10" s="4" t="s">
        <v>29</v>
      </c>
      <c r="H10" s="4" t="s">
        <v>34</v>
      </c>
      <c r="I10" s="4" t="s">
        <v>35</v>
      </c>
      <c r="J10" s="4">
        <v>320</v>
      </c>
      <c r="K10" t="str">
        <f>TEXT(TIMEVALUE(H10)-TIMEVALUE(I9)+(TIMEVALUE(H10)&lt;TIMEVALUE(I9)),"[h]:mm")</f>
        <v>0:50</v>
      </c>
      <c r="L10" s="4" t="s">
        <v>36</v>
      </c>
      <c r="O10" t="str">
        <f>"LIM-"&amp;G9&amp;"-LIM   LA "&amp;E9&amp;" ("&amp;LEFT(H9,5)&amp;"-"&amp;LEFT(I9,5)&amp;" hrs)  /  LA "&amp;E10&amp;" ("&amp;LEFT(H10,5)&amp;"-"&amp;LEFT(I10,5)&amp;" hrs)"</f>
        <v>LIM-CUZ-LIM   LA 2007 (09:10-10:30 hrs)  /  LA 2008 (11:20-12:55 hrs)</v>
      </c>
    </row>
    <row r="11" spans="2:24" ht="30" x14ac:dyDescent="0.25">
      <c r="B11" s="4">
        <v>135</v>
      </c>
      <c r="C11" s="4" t="s">
        <v>27</v>
      </c>
      <c r="D11" s="4" t="s">
        <v>28</v>
      </c>
      <c r="E11" s="4">
        <v>2152</v>
      </c>
      <c r="F11" s="4" t="s">
        <v>29</v>
      </c>
      <c r="G11" s="4" t="s">
        <v>37</v>
      </c>
      <c r="H11" s="4" t="s">
        <v>38</v>
      </c>
      <c r="I11" s="4" t="s">
        <v>39</v>
      </c>
      <c r="J11" s="4">
        <v>320</v>
      </c>
      <c r="K11" s="6" t="str">
        <f>TEXT(TIMEVALUE(H11)-TIMEVALUE(I10)+(TIMEVALUE(H11)&lt;TIMEVALUE(I10)),"[h]:mm")</f>
        <v>0:55</v>
      </c>
      <c r="L11" s="4" t="s">
        <v>40</v>
      </c>
      <c r="M11" t="str">
        <f>IF($M$9="","",$M$9)</f>
        <v/>
      </c>
      <c r="O11" t="str">
        <f>IF($O$9="","",$O$9)</f>
        <v/>
      </c>
      <c r="Q11" s="4">
        <f>B11</f>
        <v>135</v>
      </c>
      <c r="R11" s="4" t="str">
        <f>C11</f>
        <v>01/10/2026</v>
      </c>
      <c r="S11" s="4" t="str">
        <f>D11</f>
        <v>jueves</v>
      </c>
      <c r="T11" s="4" t="str">
        <f>E11&amp;"/"&amp;E12</f>
        <v>2152/2153</v>
      </c>
      <c r="U11" s="4" t="str">
        <f>F11&amp;"-"&amp;G11&amp;"-"&amp;F11</f>
        <v>LIM-CIX-LIM</v>
      </c>
      <c r="V11" s="4" t="str">
        <f>IF($M$9="","",$M$9)</f>
        <v/>
      </c>
      <c r="W11" s="4" t="str">
        <f>IF($O$9="","",$O$9)</f>
        <v/>
      </c>
      <c r="X11" s="4">
        <f>J11</f>
        <v>320</v>
      </c>
    </row>
    <row r="12" spans="2:24" ht="30" x14ac:dyDescent="0.25">
      <c r="B12" s="4">
        <v>135</v>
      </c>
      <c r="C12" s="4" t="s">
        <v>27</v>
      </c>
      <c r="D12" s="4" t="s">
        <v>28</v>
      </c>
      <c r="E12" s="4">
        <v>2153</v>
      </c>
      <c r="F12" s="4" t="s">
        <v>37</v>
      </c>
      <c r="G12" s="4" t="s">
        <v>29</v>
      </c>
      <c r="H12" s="4" t="s">
        <v>41</v>
      </c>
      <c r="I12" s="4" t="s">
        <v>42</v>
      </c>
      <c r="J12" s="4">
        <v>320</v>
      </c>
      <c r="K12" t="str">
        <f>TEXT(TIMEVALUE(H12)-TIMEVALUE(I11)+(TIMEVALUE(H12)&lt;TIMEVALUE(I11)),"[h]:mm")</f>
        <v>0:35</v>
      </c>
      <c r="L12" s="4" t="s">
        <v>33</v>
      </c>
      <c r="O12" t="str">
        <f>"LIM-"&amp;G11&amp;"-LIM   LA "&amp;E11&amp;" ("&amp;LEFT(H11,5)&amp;"-"&amp;LEFT(I11,5)&amp;" hrs)  /  LA "&amp;E12&amp;" ("&amp;LEFT(H12,5)&amp;"-"&amp;LEFT(I12,5)&amp;" hrs)"</f>
        <v>LIM-CIX-LIM   LA 2152 (13:50-15:20 hrs)  /  LA 2153 (15:55-17:15 hrs)</v>
      </c>
    </row>
    <row r="13" spans="2:24" x14ac:dyDescent="0.25">
      <c r="J13" s="7" t="s">
        <v>43</v>
      </c>
      <c r="K13" s="8" t="str">
        <f>TEXT(TIMEVALUE(I12)-TIMEVALUE(H9)+(I12&lt;H9),"[h]:mm")</f>
        <v>8:05</v>
      </c>
    </row>
    <row r="15" spans="2:24" ht="30" x14ac:dyDescent="0.25">
      <c r="B15" s="3" t="s">
        <v>9</v>
      </c>
      <c r="C15" s="3" t="s">
        <v>17</v>
      </c>
      <c r="D15" s="3" t="s">
        <v>18</v>
      </c>
      <c r="E15" s="3" t="s">
        <v>19</v>
      </c>
      <c r="F15" s="3" t="s">
        <v>20</v>
      </c>
      <c r="G15" s="3" t="s">
        <v>21</v>
      </c>
      <c r="H15" s="3" t="s">
        <v>22</v>
      </c>
      <c r="I15" s="3" t="s">
        <v>23</v>
      </c>
      <c r="J15" s="3" t="s">
        <v>24</v>
      </c>
      <c r="K15" s="3" t="s">
        <v>25</v>
      </c>
      <c r="L15" s="3" t="s">
        <v>26</v>
      </c>
    </row>
    <row r="16" spans="2:24" ht="30" x14ac:dyDescent="0.25">
      <c r="B16" s="4">
        <v>117</v>
      </c>
      <c r="C16" s="4" t="s">
        <v>27</v>
      </c>
      <c r="D16" s="4" t="s">
        <v>28</v>
      </c>
      <c r="E16" s="4">
        <v>2260</v>
      </c>
      <c r="F16" s="4" t="s">
        <v>29</v>
      </c>
      <c r="G16" s="4" t="s">
        <v>44</v>
      </c>
      <c r="H16" s="4" t="s">
        <v>45</v>
      </c>
      <c r="I16" s="4" t="s">
        <v>46</v>
      </c>
      <c r="J16" s="4">
        <v>320</v>
      </c>
      <c r="L16" s="4" t="s">
        <v>47</v>
      </c>
      <c r="M16" s="5"/>
      <c r="O16" s="5"/>
      <c r="Q16" s="4">
        <f>B16</f>
        <v>117</v>
      </c>
      <c r="R16" s="4" t="str">
        <f>C16</f>
        <v>01/10/2026</v>
      </c>
      <c r="S16" s="4" t="str">
        <f>D16</f>
        <v>jueves</v>
      </c>
      <c r="T16" s="4" t="str">
        <f>E16&amp;"/"&amp;E17</f>
        <v>2260/2261</v>
      </c>
      <c r="U16" s="4" t="str">
        <f>F16&amp;"-"&amp;G16&amp;"-"&amp;F16</f>
        <v>LIM-PEM-LIM</v>
      </c>
      <c r="V16" s="4" t="str">
        <f>IF($M$16="","",$M$16)</f>
        <v/>
      </c>
      <c r="W16" s="4" t="str">
        <f>IF($O$16="","",$O$16)</f>
        <v/>
      </c>
      <c r="X16" s="4">
        <f>J16</f>
        <v>320</v>
      </c>
    </row>
    <row r="17" spans="2:24" ht="30" x14ac:dyDescent="0.25">
      <c r="B17" s="4">
        <v>117</v>
      </c>
      <c r="C17" s="4" t="s">
        <v>27</v>
      </c>
      <c r="D17" s="4" t="s">
        <v>28</v>
      </c>
      <c r="E17" s="4">
        <v>2261</v>
      </c>
      <c r="F17" s="4" t="s">
        <v>44</v>
      </c>
      <c r="G17" s="4" t="s">
        <v>29</v>
      </c>
      <c r="H17" s="4" t="s">
        <v>48</v>
      </c>
      <c r="I17" s="4" t="s">
        <v>49</v>
      </c>
      <c r="J17" s="4">
        <v>320</v>
      </c>
      <c r="K17" t="str">
        <f>TEXT(TIMEVALUE(H17)-TIMEVALUE(I16)+(TIMEVALUE(H17)&lt;TIMEVALUE(I16)),"[h]:mm")</f>
        <v>0:40</v>
      </c>
      <c r="L17" s="4" t="s">
        <v>36</v>
      </c>
      <c r="O17" t="str">
        <f>"LIM-"&amp;G16&amp;"-LIM   LA "&amp;E16&amp;" ("&amp;LEFT(H16,5)&amp;"-"&amp;LEFT(I16,5)&amp;" hrs)  /  LA "&amp;E17&amp;" ("&amp;LEFT(H17,5)&amp;"-"&amp;LEFT(I17,5)&amp;" hrs)"</f>
        <v>LIM-PEM-LIM   LA 2260 (10:20-12:05 hrs)  /  LA 2261 (12:45-14:20 hrs)</v>
      </c>
    </row>
    <row r="18" spans="2:24" ht="30" x14ac:dyDescent="0.25">
      <c r="B18" s="4">
        <v>144</v>
      </c>
      <c r="C18" s="4" t="s">
        <v>27</v>
      </c>
      <c r="D18" s="4" t="s">
        <v>28</v>
      </c>
      <c r="E18" s="4">
        <v>2297</v>
      </c>
      <c r="F18" s="4" t="s">
        <v>29</v>
      </c>
      <c r="G18" s="4" t="s">
        <v>50</v>
      </c>
      <c r="H18" s="4" t="s">
        <v>51</v>
      </c>
      <c r="I18" s="4" t="s">
        <v>52</v>
      </c>
      <c r="J18" s="4">
        <v>320</v>
      </c>
      <c r="K18" s="6" t="str">
        <f>TEXT(TIMEVALUE(H18)-TIMEVALUE(I17)+(TIMEVALUE(H18)&lt;TIMEVALUE(I17)),"[h]:mm")</f>
        <v>0:55</v>
      </c>
      <c r="L18" s="4" t="s">
        <v>33</v>
      </c>
      <c r="M18" t="str">
        <f>IF($M$16="","",$M$16)</f>
        <v/>
      </c>
      <c r="O18" t="str">
        <f>IF($O$16="","",$O$16)</f>
        <v/>
      </c>
      <c r="Q18" s="4">
        <f>B18</f>
        <v>144</v>
      </c>
      <c r="R18" s="4" t="str">
        <f>C18</f>
        <v>01/10/2026</v>
      </c>
      <c r="S18" s="4" t="str">
        <f>D18</f>
        <v>jueves</v>
      </c>
      <c r="T18" s="4" t="str">
        <f>E18&amp;"/"&amp;E19</f>
        <v>2297/2296</v>
      </c>
      <c r="U18" s="4" t="str">
        <f>F18&amp;"-"&amp;G18&amp;"-"&amp;F18</f>
        <v>LIM-CJA-LIM</v>
      </c>
      <c r="V18" s="4" t="str">
        <f>IF($M$16="","",$M$16)</f>
        <v/>
      </c>
      <c r="W18" s="4" t="str">
        <f>IF($O$16="","",$O$16)</f>
        <v/>
      </c>
      <c r="X18" s="4">
        <f>J18</f>
        <v>320</v>
      </c>
    </row>
    <row r="19" spans="2:24" ht="30" x14ac:dyDescent="0.25">
      <c r="B19" s="4">
        <v>144</v>
      </c>
      <c r="C19" s="4" t="s">
        <v>27</v>
      </c>
      <c r="D19" s="4" t="s">
        <v>28</v>
      </c>
      <c r="E19" s="4">
        <v>2296</v>
      </c>
      <c r="F19" s="4" t="s">
        <v>50</v>
      </c>
      <c r="G19" s="4" t="s">
        <v>29</v>
      </c>
      <c r="H19" s="4" t="s">
        <v>53</v>
      </c>
      <c r="I19" s="4" t="s">
        <v>54</v>
      </c>
      <c r="J19" s="4">
        <v>320</v>
      </c>
      <c r="K19" t="str">
        <f>TEXT(TIMEVALUE(H19)-TIMEVALUE(I18)+(TIMEVALUE(H19)&lt;TIMEVALUE(I18)),"[h]:mm")</f>
        <v>0:45</v>
      </c>
      <c r="L19" s="4" t="s">
        <v>55</v>
      </c>
      <c r="O19" t="str">
        <f>"LIM-"&amp;G18&amp;"-LIM   LA "&amp;E18&amp;" ("&amp;LEFT(H18,5)&amp;"-"&amp;LEFT(I18,5)&amp;" hrs)  /  LA "&amp;E19&amp;" ("&amp;LEFT(H19,5)&amp;"-"&amp;LEFT(I19,5)&amp;" hrs)"</f>
        <v>LIM-CJA-LIM   LA 2297 (15:15-16:35 hrs)  /  LA 2296 (17:20-18:25 hrs)</v>
      </c>
    </row>
    <row r="20" spans="2:24" x14ac:dyDescent="0.25">
      <c r="J20" s="7" t="s">
        <v>43</v>
      </c>
      <c r="K20" s="8" t="str">
        <f>TEXT(TIMEVALUE(I19)-TIMEVALUE(H16)+(I19&lt;H16),"[h]:mm")</f>
        <v>8:05</v>
      </c>
    </row>
    <row r="22" spans="2:24" ht="30" x14ac:dyDescent="0.25">
      <c r="B22" s="3" t="s">
        <v>9</v>
      </c>
      <c r="C22" s="3" t="s">
        <v>17</v>
      </c>
      <c r="D22" s="3" t="s">
        <v>18</v>
      </c>
      <c r="E22" s="3" t="s">
        <v>19</v>
      </c>
      <c r="F22" s="3" t="s">
        <v>20</v>
      </c>
      <c r="G22" s="3" t="s">
        <v>21</v>
      </c>
      <c r="H22" s="3" t="s">
        <v>22</v>
      </c>
      <c r="I22" s="3" t="s">
        <v>23</v>
      </c>
      <c r="J22" s="3" t="s">
        <v>24</v>
      </c>
      <c r="K22" s="3" t="s">
        <v>25</v>
      </c>
      <c r="L22" s="3" t="s">
        <v>26</v>
      </c>
    </row>
    <row r="23" spans="2:24" ht="30" x14ac:dyDescent="0.25">
      <c r="B23" s="4">
        <v>118</v>
      </c>
      <c r="C23" s="4" t="s">
        <v>27</v>
      </c>
      <c r="D23" s="4" t="s">
        <v>28</v>
      </c>
      <c r="E23" s="4">
        <v>2109</v>
      </c>
      <c r="F23" s="4" t="s">
        <v>29</v>
      </c>
      <c r="G23" s="4" t="s">
        <v>56</v>
      </c>
      <c r="H23" s="4" t="s">
        <v>32</v>
      </c>
      <c r="I23" s="4" t="s">
        <v>57</v>
      </c>
      <c r="J23" s="4">
        <v>320</v>
      </c>
      <c r="L23" s="4" t="s">
        <v>40</v>
      </c>
      <c r="M23" s="5"/>
      <c r="O23" s="5"/>
      <c r="Q23" s="4">
        <f>B23</f>
        <v>118</v>
      </c>
      <c r="R23" s="4" t="str">
        <f>C23</f>
        <v>01/10/2026</v>
      </c>
      <c r="S23" s="4" t="str">
        <f>D23</f>
        <v>jueves</v>
      </c>
      <c r="T23" s="4" t="str">
        <f>E23&amp;"/"&amp;E24</f>
        <v>2109/2108</v>
      </c>
      <c r="U23" s="4" t="str">
        <f>F23&amp;"-"&amp;G23&amp;"-"&amp;F23</f>
        <v>LIM-AQP-LIM</v>
      </c>
      <c r="V23" s="4" t="str">
        <f>IF($M$23="","",$M$23)</f>
        <v/>
      </c>
      <c r="W23" s="4" t="str">
        <f>IF($O$23="","",$O$23)</f>
        <v/>
      </c>
      <c r="X23" s="4">
        <f>J23</f>
        <v>320</v>
      </c>
    </row>
    <row r="24" spans="2:24" ht="30" x14ac:dyDescent="0.25">
      <c r="B24" s="4">
        <v>118</v>
      </c>
      <c r="C24" s="4" t="s">
        <v>27</v>
      </c>
      <c r="D24" s="4" t="s">
        <v>28</v>
      </c>
      <c r="E24" s="4">
        <v>2108</v>
      </c>
      <c r="F24" s="4" t="s">
        <v>56</v>
      </c>
      <c r="G24" s="4" t="s">
        <v>29</v>
      </c>
      <c r="H24" s="4" t="s">
        <v>48</v>
      </c>
      <c r="I24" s="4" t="s">
        <v>49</v>
      </c>
      <c r="J24" s="4">
        <v>320</v>
      </c>
      <c r="K24" t="str">
        <f>TEXT(TIMEVALUE(H24)-TIMEVALUE(I23)+(TIMEVALUE(H24)&lt;TIMEVALUE(I23)),"[h]:mm")</f>
        <v>0:45</v>
      </c>
      <c r="L24" s="4" t="s">
        <v>36</v>
      </c>
      <c r="O24" t="str">
        <f>"LIM-"&amp;G23&amp;"-LIM   LA "&amp;E23&amp;" ("&amp;LEFT(H23,5)&amp;"-"&amp;LEFT(I23,5)&amp;" hrs)  /  LA "&amp;E24&amp;" ("&amp;LEFT(H24,5)&amp;"-"&amp;LEFT(I24,5)&amp;" hrs)"</f>
        <v>LIM-AQP-LIM   LA 2109 (10:30-12:00 hrs)  /  LA 2108 (12:45-14:20 hrs)</v>
      </c>
    </row>
    <row r="25" spans="2:24" ht="30" x14ac:dyDescent="0.25">
      <c r="B25" s="4">
        <v>145</v>
      </c>
      <c r="C25" s="4" t="s">
        <v>27</v>
      </c>
      <c r="D25" s="4" t="s">
        <v>28</v>
      </c>
      <c r="E25" s="4">
        <v>2360</v>
      </c>
      <c r="F25" s="4" t="s">
        <v>29</v>
      </c>
      <c r="G25" s="4" t="s">
        <v>58</v>
      </c>
      <c r="H25" s="4" t="s">
        <v>59</v>
      </c>
      <c r="I25" s="4" t="s">
        <v>60</v>
      </c>
      <c r="J25" s="4">
        <v>319</v>
      </c>
      <c r="K25" s="6" t="str">
        <f>TEXT(TIMEVALUE(H25)-TIMEVALUE(I24)+(TIMEVALUE(H25)&lt;TIMEVALUE(I24)),"[h]:mm")</f>
        <v>1:05</v>
      </c>
      <c r="L25" s="4" t="s">
        <v>61</v>
      </c>
      <c r="M25" t="str">
        <f>IF($M$23="","",$M$23)</f>
        <v/>
      </c>
      <c r="O25" t="str">
        <f>IF($O$23="","",$O$23)</f>
        <v/>
      </c>
      <c r="Q25" s="4">
        <f>B25</f>
        <v>145</v>
      </c>
      <c r="R25" s="4" t="str">
        <f>C25</f>
        <v>01/10/2026</v>
      </c>
      <c r="S25" s="4" t="str">
        <f>D25</f>
        <v>jueves</v>
      </c>
      <c r="T25" s="4" t="str">
        <f>E25&amp;"/"&amp;E26</f>
        <v>2360/2361</v>
      </c>
      <c r="U25" s="4" t="str">
        <f>F25&amp;"-"&amp;G25&amp;"-"&amp;F25</f>
        <v>LIM-PCL-LIM</v>
      </c>
      <c r="V25" s="4" t="str">
        <f>IF($M$23="","",$M$23)</f>
        <v/>
      </c>
      <c r="W25" s="4" t="str">
        <f>IF($O$23="","",$O$23)</f>
        <v/>
      </c>
      <c r="X25" s="4">
        <f>J25</f>
        <v>319</v>
      </c>
    </row>
    <row r="26" spans="2:24" ht="30" x14ac:dyDescent="0.25">
      <c r="B26" s="4">
        <v>145</v>
      </c>
      <c r="C26" s="4" t="s">
        <v>27</v>
      </c>
      <c r="D26" s="4" t="s">
        <v>28</v>
      </c>
      <c r="E26" s="4">
        <v>2361</v>
      </c>
      <c r="F26" s="4" t="s">
        <v>58</v>
      </c>
      <c r="G26" s="4" t="s">
        <v>29</v>
      </c>
      <c r="H26" s="4" t="s">
        <v>53</v>
      </c>
      <c r="I26" s="4" t="s">
        <v>62</v>
      </c>
      <c r="J26" s="4">
        <v>319</v>
      </c>
      <c r="K26" t="str">
        <f>TEXT(TIMEVALUE(H26)-TIMEVALUE(I25)+(TIMEVALUE(H26)&lt;TIMEVALUE(I25)),"[h]:mm")</f>
        <v>0:40</v>
      </c>
      <c r="L26" s="4" t="s">
        <v>61</v>
      </c>
      <c r="O26" t="str">
        <f>"LIM-"&amp;G25&amp;"-LIM   LA "&amp;E25&amp;" ("&amp;LEFT(H25,5)&amp;"-"&amp;LEFT(I25,5)&amp;" hrs)  /  LA "&amp;E26&amp;" ("&amp;LEFT(H26,5)&amp;"-"&amp;LEFT(I26,5)&amp;" hrs)"</f>
        <v>LIM-PCL-LIM   LA 2360 (15:25-16:40 hrs)  /  LA 2361 (17:20-18:35 hrs)</v>
      </c>
    </row>
    <row r="27" spans="2:24" x14ac:dyDescent="0.25">
      <c r="J27" s="7" t="s">
        <v>43</v>
      </c>
      <c r="K27" s="8" t="str">
        <f>TEXT(TIMEVALUE(I26)-TIMEVALUE(H23)+(I26&lt;H23),"[h]:mm")</f>
        <v>8:05</v>
      </c>
    </row>
    <row r="29" spans="2:24" ht="30" x14ac:dyDescent="0.25">
      <c r="B29" s="3" t="s">
        <v>9</v>
      </c>
      <c r="C29" s="3" t="s">
        <v>17</v>
      </c>
      <c r="D29" s="3" t="s">
        <v>18</v>
      </c>
      <c r="E29" s="3" t="s">
        <v>19</v>
      </c>
      <c r="F29" s="3" t="s">
        <v>20</v>
      </c>
      <c r="G29" s="3" t="s">
        <v>21</v>
      </c>
      <c r="H29" s="3" t="s">
        <v>22</v>
      </c>
      <c r="I29" s="3" t="s">
        <v>23</v>
      </c>
      <c r="J29" s="3" t="s">
        <v>24</v>
      </c>
      <c r="K29" s="3" t="s">
        <v>25</v>
      </c>
      <c r="L29" s="3" t="s">
        <v>26</v>
      </c>
    </row>
    <row r="30" spans="2:24" ht="30" x14ac:dyDescent="0.25">
      <c r="B30" s="4">
        <v>119</v>
      </c>
      <c r="C30" s="4" t="s">
        <v>27</v>
      </c>
      <c r="D30" s="4" t="s">
        <v>28</v>
      </c>
      <c r="E30" s="4">
        <v>2019</v>
      </c>
      <c r="F30" s="4" t="s">
        <v>29</v>
      </c>
      <c r="G30" s="4" t="s">
        <v>63</v>
      </c>
      <c r="H30" s="4" t="s">
        <v>64</v>
      </c>
      <c r="I30" s="4" t="s">
        <v>65</v>
      </c>
      <c r="J30" s="4">
        <v>319</v>
      </c>
      <c r="L30" s="4" t="s">
        <v>66</v>
      </c>
      <c r="M30" s="5"/>
      <c r="O30" s="5"/>
      <c r="Q30" s="4">
        <f>B30</f>
        <v>119</v>
      </c>
      <c r="R30" s="4" t="str">
        <f>C30</f>
        <v>01/10/2026</v>
      </c>
      <c r="S30" s="4" t="str">
        <f>D30</f>
        <v>jueves</v>
      </c>
      <c r="T30" s="4" t="str">
        <f>E30&amp;"/"&amp;E31</f>
        <v>2019/2038</v>
      </c>
      <c r="U30" s="4" t="str">
        <f>F30&amp;"-"&amp;G30&amp;"-"&amp;F30</f>
        <v>LIM-IQT-LIM</v>
      </c>
      <c r="V30" s="4" t="str">
        <f>IF($M$30="","",$M$30)</f>
        <v/>
      </c>
      <c r="W30" s="4" t="str">
        <f>IF($O$30="","",$O$30)</f>
        <v/>
      </c>
      <c r="X30" s="4">
        <f>J30</f>
        <v>319</v>
      </c>
    </row>
    <row r="31" spans="2:24" ht="30" x14ac:dyDescent="0.25">
      <c r="B31" s="4">
        <v>119</v>
      </c>
      <c r="C31" s="4" t="s">
        <v>27</v>
      </c>
      <c r="D31" s="4" t="s">
        <v>28</v>
      </c>
      <c r="E31" s="4">
        <v>2038</v>
      </c>
      <c r="F31" s="4" t="s">
        <v>63</v>
      </c>
      <c r="G31" s="4" t="s">
        <v>29</v>
      </c>
      <c r="H31" s="4" t="s">
        <v>67</v>
      </c>
      <c r="I31" s="4" t="s">
        <v>41</v>
      </c>
      <c r="J31" s="4">
        <v>319</v>
      </c>
      <c r="K31" t="str">
        <f>TEXT(TIMEVALUE(H31)-TIMEVALUE(I30)+(TIMEVALUE(H31)&lt;TIMEVALUE(I30)),"[h]:mm")</f>
        <v>0:40</v>
      </c>
      <c r="L31" s="4" t="s">
        <v>66</v>
      </c>
      <c r="O31" t="str">
        <f>"LIM-"&amp;G30&amp;"-LIM   LA "&amp;E30&amp;" ("&amp;LEFT(H30,5)&amp;"-"&amp;LEFT(I30,5)&amp;" hrs)  /  LA "&amp;E31&amp;" ("&amp;LEFT(H31,5)&amp;"-"&amp;LEFT(I31,5)&amp;" hrs)"</f>
        <v>LIM-IQT-LIM   LA 2019 (11:35-13:25 hrs)  /  LA 2038 (14:05-15:55 hrs)</v>
      </c>
    </row>
    <row r="32" spans="2:24" ht="30" x14ac:dyDescent="0.25">
      <c r="B32" s="4">
        <v>151</v>
      </c>
      <c r="C32" s="4" t="s">
        <v>27</v>
      </c>
      <c r="D32" s="4" t="s">
        <v>28</v>
      </c>
      <c r="E32" s="4">
        <v>2115</v>
      </c>
      <c r="F32" s="4" t="s">
        <v>29</v>
      </c>
      <c r="G32" s="4" t="s">
        <v>56</v>
      </c>
      <c r="H32" s="4" t="s">
        <v>42</v>
      </c>
      <c r="I32" s="4" t="s">
        <v>68</v>
      </c>
      <c r="J32" s="4">
        <v>320</v>
      </c>
      <c r="K32" s="6" t="str">
        <f>TEXT(TIMEVALUE(H32)-TIMEVALUE(I31)+(TIMEVALUE(H32)&lt;TIMEVALUE(I31)),"[h]:mm")</f>
        <v>1:20</v>
      </c>
      <c r="L32" s="4" t="s">
        <v>40</v>
      </c>
      <c r="M32" t="str">
        <f>IF($M$30="","",$M$30)</f>
        <v/>
      </c>
      <c r="O32" t="str">
        <f>IF($O$30="","",$O$30)</f>
        <v/>
      </c>
      <c r="Q32" s="4">
        <f>B32</f>
        <v>151</v>
      </c>
      <c r="R32" s="4" t="str">
        <f>C32</f>
        <v>01/10/2026</v>
      </c>
      <c r="S32" s="4" t="str">
        <f>D32</f>
        <v>jueves</v>
      </c>
      <c r="T32" s="4" t="str">
        <f>E32&amp;"/"&amp;E33</f>
        <v>2115/2114</v>
      </c>
      <c r="U32" s="4" t="str">
        <f>F32&amp;"-"&amp;G32&amp;"-"&amp;F32</f>
        <v>LIM-AQP-LIM</v>
      </c>
      <c r="V32" s="4" t="str">
        <f>IF($M$30="","",$M$30)</f>
        <v/>
      </c>
      <c r="W32" s="4" t="str">
        <f>IF($O$30="","",$O$30)</f>
        <v/>
      </c>
      <c r="X32" s="4">
        <f>J32</f>
        <v>320</v>
      </c>
    </row>
    <row r="33" spans="2:24" ht="30" x14ac:dyDescent="0.25">
      <c r="B33" s="4">
        <v>151</v>
      </c>
      <c r="C33" s="4" t="s">
        <v>27</v>
      </c>
      <c r="D33" s="4" t="s">
        <v>28</v>
      </c>
      <c r="E33" s="4">
        <v>2114</v>
      </c>
      <c r="F33" s="4" t="s">
        <v>56</v>
      </c>
      <c r="G33" s="4" t="s">
        <v>29</v>
      </c>
      <c r="H33" s="4" t="s">
        <v>69</v>
      </c>
      <c r="I33" s="4" t="s">
        <v>70</v>
      </c>
      <c r="J33" s="4">
        <v>320</v>
      </c>
      <c r="K33" t="str">
        <f>TEXT(TIMEVALUE(H33)-TIMEVALUE(I32)+(TIMEVALUE(H33)&lt;TIMEVALUE(I32)),"[h]:mm")</f>
        <v>0:35</v>
      </c>
      <c r="L33" s="4" t="s">
        <v>71</v>
      </c>
      <c r="O33" t="str">
        <f>"LIM-"&amp;G32&amp;"-LIM   LA "&amp;E32&amp;" ("&amp;LEFT(H32,5)&amp;"-"&amp;LEFT(I32,5)&amp;" hrs)  /  LA "&amp;E33&amp;" ("&amp;LEFT(H33,5)&amp;"-"&amp;LEFT(I33,5)&amp;" hrs)"</f>
        <v>LIM-AQP-LIM   LA 2115 (17:15-18:45 hrs)  /  LA 2114 (19:20-21:00 hrs)</v>
      </c>
    </row>
    <row r="34" spans="2:24" x14ac:dyDescent="0.25">
      <c r="J34" s="7" t="s">
        <v>43</v>
      </c>
      <c r="K34" s="8" t="str">
        <f>TEXT(TIMEVALUE(I33)-TIMEVALUE(H30)+(I33&lt;H30),"[h]:mm")</f>
        <v>9:25</v>
      </c>
    </row>
    <row r="36" spans="2:24" ht="30" x14ac:dyDescent="0.25">
      <c r="B36" s="3" t="s">
        <v>9</v>
      </c>
      <c r="C36" s="3" t="s">
        <v>17</v>
      </c>
      <c r="D36" s="3" t="s">
        <v>18</v>
      </c>
      <c r="E36" s="3" t="s">
        <v>19</v>
      </c>
      <c r="F36" s="3" t="s">
        <v>20</v>
      </c>
      <c r="G36" s="3" t="s">
        <v>21</v>
      </c>
      <c r="H36" s="3" t="s">
        <v>22</v>
      </c>
      <c r="I36" s="3" t="s">
        <v>23</v>
      </c>
      <c r="J36" s="3" t="s">
        <v>24</v>
      </c>
      <c r="K36" s="3" t="s">
        <v>25</v>
      </c>
      <c r="L36" s="3" t="s">
        <v>26</v>
      </c>
    </row>
    <row r="37" spans="2:24" ht="30" x14ac:dyDescent="0.25">
      <c r="B37" s="4">
        <v>120</v>
      </c>
      <c r="C37" s="4" t="s">
        <v>27</v>
      </c>
      <c r="D37" s="4" t="s">
        <v>28</v>
      </c>
      <c r="E37" s="4">
        <v>2299</v>
      </c>
      <c r="F37" s="4" t="s">
        <v>29</v>
      </c>
      <c r="G37" s="4" t="s">
        <v>50</v>
      </c>
      <c r="H37" s="4" t="s">
        <v>64</v>
      </c>
      <c r="I37" s="4" t="s">
        <v>35</v>
      </c>
      <c r="J37" s="4">
        <v>320</v>
      </c>
      <c r="L37" s="4" t="s">
        <v>33</v>
      </c>
      <c r="M37" s="5"/>
      <c r="O37" s="5"/>
      <c r="Q37" s="4">
        <f>B37</f>
        <v>120</v>
      </c>
      <c r="R37" s="4" t="str">
        <f>C37</f>
        <v>01/10/2026</v>
      </c>
      <c r="S37" s="4" t="str">
        <f>D37</f>
        <v>jueves</v>
      </c>
      <c r="T37" s="4" t="str">
        <f>E37&amp;"/"&amp;E38</f>
        <v>2299/2298</v>
      </c>
      <c r="U37" s="4" t="str">
        <f>F37&amp;"-"&amp;G37&amp;"-"&amp;F37</f>
        <v>LIM-CJA-LIM</v>
      </c>
      <c r="V37" s="4" t="str">
        <f>IF($M$37="","",$M$37)</f>
        <v/>
      </c>
      <c r="W37" s="4" t="str">
        <f>IF($O$37="","",$O$37)</f>
        <v/>
      </c>
      <c r="X37" s="4">
        <f>J37</f>
        <v>320</v>
      </c>
    </row>
    <row r="38" spans="2:24" ht="30" x14ac:dyDescent="0.25">
      <c r="B38" s="4">
        <v>120</v>
      </c>
      <c r="C38" s="4" t="s">
        <v>27</v>
      </c>
      <c r="D38" s="4" t="s">
        <v>28</v>
      </c>
      <c r="E38" s="4">
        <v>2298</v>
      </c>
      <c r="F38" s="4" t="s">
        <v>50</v>
      </c>
      <c r="G38" s="4" t="s">
        <v>29</v>
      </c>
      <c r="H38" s="4" t="s">
        <v>72</v>
      </c>
      <c r="I38" s="4" t="s">
        <v>73</v>
      </c>
      <c r="J38" s="4">
        <v>320</v>
      </c>
      <c r="K38" t="str">
        <f>TEXT(TIMEVALUE(H38)-TIMEVALUE(I37)+(TIMEVALUE(H38)&lt;TIMEVALUE(I37)),"[h]:mm")</f>
        <v>0:45</v>
      </c>
      <c r="L38" s="4" t="s">
        <v>74</v>
      </c>
      <c r="O38" t="str">
        <f>"LIM-"&amp;G37&amp;"-LIM   LA "&amp;E37&amp;" ("&amp;LEFT(H37,5)&amp;"-"&amp;LEFT(I37,5)&amp;" hrs)  /  LA "&amp;E38&amp;" ("&amp;LEFT(H38,5)&amp;"-"&amp;LEFT(I38,5)&amp;" hrs)"</f>
        <v>LIM-CJA-LIM   LA 2299 (11:35-12:55 hrs)  /  LA 2298 (13:40-14:50 hrs)</v>
      </c>
    </row>
    <row r="39" spans="2:24" x14ac:dyDescent="0.25">
      <c r="J39" s="7" t="s">
        <v>43</v>
      </c>
      <c r="K39" s="8" t="str">
        <f>TEXT(TIMEVALUE(I38)-TIMEVALUE(H37)+(I38&lt;H37),"[h]:mm")</f>
        <v>3:15</v>
      </c>
    </row>
    <row r="41" spans="2:24" ht="30" x14ac:dyDescent="0.25">
      <c r="B41" s="3" t="s">
        <v>9</v>
      </c>
      <c r="C41" s="3" t="s">
        <v>17</v>
      </c>
      <c r="D41" s="3" t="s">
        <v>18</v>
      </c>
      <c r="E41" s="3" t="s">
        <v>19</v>
      </c>
      <c r="F41" s="3" t="s">
        <v>20</v>
      </c>
      <c r="G41" s="3" t="s">
        <v>21</v>
      </c>
      <c r="H41" s="3" t="s">
        <v>22</v>
      </c>
      <c r="I41" s="3" t="s">
        <v>23</v>
      </c>
      <c r="J41" s="3" t="s">
        <v>24</v>
      </c>
      <c r="K41" s="3" t="s">
        <v>25</v>
      </c>
      <c r="L41" s="3" t="s">
        <v>26</v>
      </c>
    </row>
    <row r="42" spans="2:24" ht="30" x14ac:dyDescent="0.25">
      <c r="B42" s="4">
        <v>133</v>
      </c>
      <c r="C42" s="4" t="s">
        <v>27</v>
      </c>
      <c r="D42" s="4" t="s">
        <v>28</v>
      </c>
      <c r="E42" s="4">
        <v>2028</v>
      </c>
      <c r="F42" s="4" t="s">
        <v>29</v>
      </c>
      <c r="G42" s="4" t="s">
        <v>30</v>
      </c>
      <c r="H42" s="4" t="s">
        <v>65</v>
      </c>
      <c r="I42" s="4" t="s">
        <v>75</v>
      </c>
      <c r="J42" s="4">
        <v>320</v>
      </c>
      <c r="L42" s="4" t="s">
        <v>33</v>
      </c>
      <c r="M42" s="5"/>
      <c r="O42" s="5"/>
      <c r="Q42" s="4">
        <f>B42</f>
        <v>133</v>
      </c>
      <c r="R42" s="4" t="str">
        <f>C42</f>
        <v>01/10/2026</v>
      </c>
      <c r="S42" s="4" t="str">
        <f>D42</f>
        <v>jueves</v>
      </c>
      <c r="T42" s="4" t="str">
        <f>E42&amp;"/"&amp;E43</f>
        <v>2028/2029</v>
      </c>
      <c r="U42" s="4" t="str">
        <f>F42&amp;"-"&amp;G42&amp;"-"&amp;F42</f>
        <v>LIM-CUZ-LIM</v>
      </c>
      <c r="V42" s="4" t="str">
        <f>IF($M$42="","",$M$42)</f>
        <v/>
      </c>
      <c r="W42" s="4" t="str">
        <f>IF($O$42="","",$O$42)</f>
        <v/>
      </c>
      <c r="X42" s="4">
        <f>J42</f>
        <v>320</v>
      </c>
    </row>
    <row r="43" spans="2:24" ht="30" x14ac:dyDescent="0.25">
      <c r="B43" s="4">
        <v>133</v>
      </c>
      <c r="C43" s="4" t="s">
        <v>27</v>
      </c>
      <c r="D43" s="4" t="s">
        <v>28</v>
      </c>
      <c r="E43" s="4">
        <v>2029</v>
      </c>
      <c r="F43" s="4" t="s">
        <v>30</v>
      </c>
      <c r="G43" s="4" t="s">
        <v>29</v>
      </c>
      <c r="H43" s="4" t="s">
        <v>76</v>
      </c>
      <c r="I43" s="4" t="s">
        <v>77</v>
      </c>
      <c r="J43" s="4">
        <v>320</v>
      </c>
      <c r="K43" t="str">
        <f>TEXT(TIMEVALUE(H43)-TIMEVALUE(I42)+(TIMEVALUE(H43)&lt;TIMEVALUE(I42)),"[h]:mm")</f>
        <v>0:45</v>
      </c>
      <c r="L43" s="4" t="s">
        <v>36</v>
      </c>
      <c r="O43" t="str">
        <f>"LIM-"&amp;G42&amp;"-LIM   LA "&amp;E42&amp;" ("&amp;LEFT(H42,5)&amp;"-"&amp;LEFT(I42,5)&amp;" hrs)  /  LA "&amp;E43&amp;" ("&amp;LEFT(H43,5)&amp;"-"&amp;LEFT(I43,5)&amp;" hrs)"</f>
        <v>LIM-CUZ-LIM   LA 2028 (13:25-14:45 hrs)  /  LA 2029 (15:30-17:05 hrs)</v>
      </c>
    </row>
    <row r="44" spans="2:24" ht="30" x14ac:dyDescent="0.25">
      <c r="B44" s="4">
        <v>153</v>
      </c>
      <c r="C44" s="4" t="s">
        <v>27</v>
      </c>
      <c r="D44" s="4" t="s">
        <v>28</v>
      </c>
      <c r="E44" s="4">
        <v>2223</v>
      </c>
      <c r="F44" s="4" t="s">
        <v>29</v>
      </c>
      <c r="G44" s="4" t="s">
        <v>30</v>
      </c>
      <c r="H44" s="4" t="s">
        <v>78</v>
      </c>
      <c r="I44" s="4" t="s">
        <v>79</v>
      </c>
      <c r="J44" s="4">
        <v>320</v>
      </c>
      <c r="K44" s="6" t="str">
        <f>TEXT(TIMEVALUE(H44)-TIMEVALUE(I43)+(TIMEVALUE(H44)&lt;TIMEVALUE(I43)),"[h]:mm")</f>
        <v>1:15</v>
      </c>
      <c r="L44" s="4" t="s">
        <v>33</v>
      </c>
      <c r="M44" t="str">
        <f>IF($M$42="","",$M$42)</f>
        <v/>
      </c>
      <c r="O44" t="str">
        <f>IF($O$42="","",$O$42)</f>
        <v/>
      </c>
      <c r="Q44" s="4">
        <f>B44</f>
        <v>153</v>
      </c>
      <c r="R44" s="4" t="str">
        <f>C44</f>
        <v>01/10/2026</v>
      </c>
      <c r="S44" s="4" t="str">
        <f>D44</f>
        <v>jueves</v>
      </c>
      <c r="T44" s="4" t="str">
        <f>E44&amp;"/"&amp;E45</f>
        <v>2223/2224</v>
      </c>
      <c r="U44" s="4" t="str">
        <f>F44&amp;"-"&amp;G44&amp;"-"&amp;F44</f>
        <v>LIM-CUZ-LIM</v>
      </c>
      <c r="V44" s="4" t="str">
        <f>IF($M$42="","",$M$42)</f>
        <v/>
      </c>
      <c r="W44" s="4" t="str">
        <f>IF($O$42="","",$O$42)</f>
        <v/>
      </c>
      <c r="X44" s="4">
        <f>J44</f>
        <v>320</v>
      </c>
    </row>
    <row r="45" spans="2:24" ht="30" x14ac:dyDescent="0.25">
      <c r="B45" s="4">
        <v>153</v>
      </c>
      <c r="C45" s="4" t="s">
        <v>27</v>
      </c>
      <c r="D45" s="4" t="s">
        <v>28</v>
      </c>
      <c r="E45" s="4">
        <v>2224</v>
      </c>
      <c r="F45" s="4" t="s">
        <v>30</v>
      </c>
      <c r="G45" s="4" t="s">
        <v>29</v>
      </c>
      <c r="H45" s="4" t="s">
        <v>80</v>
      </c>
      <c r="I45" s="4" t="s">
        <v>81</v>
      </c>
      <c r="J45" s="4">
        <v>320</v>
      </c>
      <c r="K45" t="str">
        <f>TEXT(TIMEVALUE(H45)-TIMEVALUE(I44)+(TIMEVALUE(H45)&lt;TIMEVALUE(I44)),"[h]:mm")</f>
        <v>1:40</v>
      </c>
      <c r="L45" s="4" t="s">
        <v>36</v>
      </c>
      <c r="O45" t="str">
        <f>"LIM-"&amp;G44&amp;"-LIM   LA "&amp;E44&amp;" ("&amp;LEFT(H44,5)&amp;"-"&amp;LEFT(I44,5)&amp;" hrs)  /  LA "&amp;E45&amp;" ("&amp;LEFT(H45,5)&amp;"-"&amp;LEFT(I45,5)&amp;" hrs)"</f>
        <v>LIM-CUZ-LIM   LA 2223 (18:20-19:40 hrs)  /  LA 2224 (21:20-22:55 hrs)</v>
      </c>
    </row>
    <row r="46" spans="2:24" x14ac:dyDescent="0.25">
      <c r="J46" s="7" t="s">
        <v>43</v>
      </c>
      <c r="K46" s="8" t="str">
        <f>TEXT(TIMEVALUE(I45)-TIMEVALUE(H42)+(I45&lt;H42),"[h]:mm")</f>
        <v>9:30</v>
      </c>
    </row>
    <row r="48" spans="2:24" ht="30" x14ac:dyDescent="0.25">
      <c r="B48" s="3" t="s">
        <v>9</v>
      </c>
      <c r="C48" s="3" t="s">
        <v>17</v>
      </c>
      <c r="D48" s="3" t="s">
        <v>18</v>
      </c>
      <c r="E48" s="3" t="s">
        <v>19</v>
      </c>
      <c r="F48" s="3" t="s">
        <v>20</v>
      </c>
      <c r="G48" s="3" t="s">
        <v>21</v>
      </c>
      <c r="H48" s="3" t="s">
        <v>22</v>
      </c>
      <c r="I48" s="3" t="s">
        <v>23</v>
      </c>
      <c r="J48" s="3" t="s">
        <v>24</v>
      </c>
      <c r="K48" s="3" t="s">
        <v>25</v>
      </c>
      <c r="L48" s="3" t="s">
        <v>26</v>
      </c>
    </row>
    <row r="49" spans="2:24" ht="30" x14ac:dyDescent="0.25">
      <c r="B49" s="4">
        <v>136</v>
      </c>
      <c r="C49" s="4" t="s">
        <v>27</v>
      </c>
      <c r="D49" s="4" t="s">
        <v>28</v>
      </c>
      <c r="E49" s="4">
        <v>2152</v>
      </c>
      <c r="F49" s="4" t="s">
        <v>29</v>
      </c>
      <c r="G49" s="4" t="s">
        <v>37</v>
      </c>
      <c r="H49" s="4" t="s">
        <v>38</v>
      </c>
      <c r="I49" s="4" t="s">
        <v>39</v>
      </c>
      <c r="J49" s="4">
        <v>320</v>
      </c>
      <c r="L49" s="4" t="s">
        <v>40</v>
      </c>
      <c r="M49" s="5"/>
      <c r="O49" s="5"/>
      <c r="Q49" s="4">
        <f>B49</f>
        <v>136</v>
      </c>
      <c r="R49" s="4" t="str">
        <f>C49</f>
        <v>01/10/2026</v>
      </c>
      <c r="S49" s="4" t="str">
        <f>D49</f>
        <v>jueves</v>
      </c>
      <c r="T49" s="4" t="str">
        <f>E49&amp;"/"&amp;E50</f>
        <v>2152/2153</v>
      </c>
      <c r="U49" s="4" t="str">
        <f>F49&amp;"-"&amp;G49&amp;"-"&amp;F49</f>
        <v>LIM-CIX-LIM</v>
      </c>
      <c r="V49" s="4" t="str">
        <f>IF($M$49="","",$M$49)</f>
        <v/>
      </c>
      <c r="W49" s="4" t="str">
        <f>IF($O$49="","",$O$49)</f>
        <v/>
      </c>
      <c r="X49" s="4">
        <f>J49</f>
        <v>320</v>
      </c>
    </row>
    <row r="50" spans="2:24" ht="30" x14ac:dyDescent="0.25">
      <c r="B50" s="4">
        <v>136</v>
      </c>
      <c r="C50" s="4" t="s">
        <v>27</v>
      </c>
      <c r="D50" s="4" t="s">
        <v>28</v>
      </c>
      <c r="E50" s="4">
        <v>2153</v>
      </c>
      <c r="F50" s="4" t="s">
        <v>37</v>
      </c>
      <c r="G50" s="4" t="s">
        <v>29</v>
      </c>
      <c r="H50" s="4" t="s">
        <v>41</v>
      </c>
      <c r="I50" s="4" t="s">
        <v>42</v>
      </c>
      <c r="J50" s="4">
        <v>320</v>
      </c>
      <c r="K50" t="str">
        <f>TEXT(TIMEVALUE(H50)-TIMEVALUE(I49)+(TIMEVALUE(H50)&lt;TIMEVALUE(I49)),"[h]:mm")</f>
        <v>0:35</v>
      </c>
      <c r="L50" s="4" t="s">
        <v>33</v>
      </c>
      <c r="O50" t="str">
        <f>"LIM-"&amp;G49&amp;"-LIM   LA "&amp;E49&amp;" ("&amp;LEFT(H49,5)&amp;"-"&amp;LEFT(I49,5)&amp;" hrs)  /  LA "&amp;E50&amp;" ("&amp;LEFT(H50,5)&amp;"-"&amp;LEFT(I50,5)&amp;" hrs)"</f>
        <v>LIM-CIX-LIM   LA 2152 (13:50-15:20 hrs)  /  LA 2153 (15:55-17:15 hrs)</v>
      </c>
    </row>
    <row r="51" spans="2:24" x14ac:dyDescent="0.25">
      <c r="J51" s="7" t="s">
        <v>43</v>
      </c>
      <c r="K51" s="8" t="str">
        <f>TEXT(TIMEVALUE(I50)-TIMEVALUE(H49)+(I50&lt;H49),"[h]:mm")</f>
        <v>3:25</v>
      </c>
    </row>
    <row r="53" spans="2:24" ht="30" x14ac:dyDescent="0.25">
      <c r="B53" s="3" t="s">
        <v>9</v>
      </c>
      <c r="C53" s="3" t="s">
        <v>17</v>
      </c>
      <c r="D53" s="3" t="s">
        <v>18</v>
      </c>
      <c r="E53" s="3" t="s">
        <v>19</v>
      </c>
      <c r="F53" s="3" t="s">
        <v>20</v>
      </c>
      <c r="G53" s="3" t="s">
        <v>21</v>
      </c>
      <c r="H53" s="3" t="s">
        <v>22</v>
      </c>
      <c r="I53" s="3" t="s">
        <v>23</v>
      </c>
      <c r="J53" s="3" t="s">
        <v>24</v>
      </c>
      <c r="K53" s="3" t="s">
        <v>25</v>
      </c>
      <c r="L53" s="3" t="s">
        <v>26</v>
      </c>
    </row>
    <row r="54" spans="2:24" ht="30" x14ac:dyDescent="0.25">
      <c r="B54" s="4">
        <v>137</v>
      </c>
      <c r="C54" s="4" t="s">
        <v>27</v>
      </c>
      <c r="D54" s="4" t="s">
        <v>28</v>
      </c>
      <c r="E54" s="4">
        <v>2055</v>
      </c>
      <c r="F54" s="4" t="s">
        <v>29</v>
      </c>
      <c r="G54" s="4" t="s">
        <v>56</v>
      </c>
      <c r="H54" s="4" t="s">
        <v>82</v>
      </c>
      <c r="I54" s="4" t="s">
        <v>59</v>
      </c>
      <c r="J54" s="4">
        <v>320</v>
      </c>
      <c r="L54" s="4" t="s">
        <v>40</v>
      </c>
      <c r="M54" s="5"/>
      <c r="O54" s="5"/>
      <c r="Q54" s="4">
        <f>B54</f>
        <v>137</v>
      </c>
      <c r="R54" s="4" t="str">
        <f>C54</f>
        <v>01/10/2026</v>
      </c>
      <c r="S54" s="4" t="str">
        <f>D54</f>
        <v>jueves</v>
      </c>
      <c r="T54" s="4" t="str">
        <f>E54&amp;"/"&amp;E55</f>
        <v>2055/2056</v>
      </c>
      <c r="U54" s="4" t="str">
        <f>F54&amp;"-"&amp;G54&amp;"-"&amp;F54</f>
        <v>LIM-AQP-LIM</v>
      </c>
      <c r="V54" s="4" t="str">
        <f>IF($M$54="","",$M$54)</f>
        <v/>
      </c>
      <c r="W54" s="4" t="str">
        <f>IF($O$54="","",$O$54)</f>
        <v/>
      </c>
      <c r="X54" s="4">
        <f>J54</f>
        <v>320</v>
      </c>
    </row>
    <row r="55" spans="2:24" ht="30" x14ac:dyDescent="0.25">
      <c r="B55" s="4">
        <v>137</v>
      </c>
      <c r="C55" s="4" t="s">
        <v>27</v>
      </c>
      <c r="D55" s="4" t="s">
        <v>28</v>
      </c>
      <c r="E55" s="4">
        <v>2056</v>
      </c>
      <c r="F55" s="4" t="s">
        <v>56</v>
      </c>
      <c r="G55" s="4" t="s">
        <v>29</v>
      </c>
      <c r="H55" s="4" t="s">
        <v>83</v>
      </c>
      <c r="I55" s="4" t="s">
        <v>84</v>
      </c>
      <c r="J55" s="4">
        <v>320</v>
      </c>
      <c r="K55" t="str">
        <f>TEXT(TIMEVALUE(H55)-TIMEVALUE(I54)+(TIMEVALUE(H55)&lt;TIMEVALUE(I54)),"[h]:mm")</f>
        <v>0:45</v>
      </c>
      <c r="L55" s="4" t="s">
        <v>71</v>
      </c>
      <c r="O55" t="str">
        <f>"LIM-"&amp;G54&amp;"-LIM   LA "&amp;E54&amp;" ("&amp;LEFT(H54,5)&amp;"-"&amp;LEFT(I54,5)&amp;" hrs)  /  LA "&amp;E55&amp;" ("&amp;LEFT(H55,5)&amp;"-"&amp;LEFT(I55,5)&amp;" hrs)"</f>
        <v>LIM-AQP-LIM   LA 2055 (13:55-15:25 hrs)  /  LA 2056 (16:10-17:50 hrs)</v>
      </c>
    </row>
    <row r="56" spans="2:24" x14ac:dyDescent="0.25">
      <c r="J56" s="7" t="s">
        <v>43</v>
      </c>
      <c r="K56" s="8" t="str">
        <f>TEXT(TIMEVALUE(I55)-TIMEVALUE(H54)+(I55&lt;H54),"[h]:mm")</f>
        <v>3:55</v>
      </c>
    </row>
    <row r="58" spans="2:24" ht="30" x14ac:dyDescent="0.25">
      <c r="B58" s="3" t="s">
        <v>9</v>
      </c>
      <c r="C58" s="3" t="s">
        <v>17</v>
      </c>
      <c r="D58" s="3" t="s">
        <v>18</v>
      </c>
      <c r="E58" s="3" t="s">
        <v>19</v>
      </c>
      <c r="F58" s="3" t="s">
        <v>20</v>
      </c>
      <c r="G58" s="3" t="s">
        <v>21</v>
      </c>
      <c r="H58" s="3" t="s">
        <v>22</v>
      </c>
      <c r="I58" s="3" t="s">
        <v>23</v>
      </c>
      <c r="J58" s="3" t="s">
        <v>24</v>
      </c>
      <c r="K58" s="3" t="s">
        <v>25</v>
      </c>
      <c r="L58" s="3" t="s">
        <v>26</v>
      </c>
    </row>
    <row r="59" spans="2:24" ht="30" x14ac:dyDescent="0.25">
      <c r="B59" s="4">
        <v>139</v>
      </c>
      <c r="C59" s="4" t="s">
        <v>27</v>
      </c>
      <c r="D59" s="4" t="s">
        <v>28</v>
      </c>
      <c r="E59" s="4">
        <v>2154</v>
      </c>
      <c r="F59" s="4" t="s">
        <v>29</v>
      </c>
      <c r="G59" s="4" t="s">
        <v>30</v>
      </c>
      <c r="H59" s="4" t="s">
        <v>75</v>
      </c>
      <c r="I59" s="4" t="s">
        <v>85</v>
      </c>
      <c r="J59" s="4">
        <v>320</v>
      </c>
      <c r="L59" s="4" t="s">
        <v>33</v>
      </c>
      <c r="M59" s="5"/>
      <c r="O59" s="5"/>
      <c r="Q59" s="4">
        <f>B59</f>
        <v>139</v>
      </c>
      <c r="R59" s="4" t="str">
        <f>C59</f>
        <v>01/10/2026</v>
      </c>
      <c r="S59" s="4" t="str">
        <f>D59</f>
        <v>jueves</v>
      </c>
      <c r="T59" s="4" t="str">
        <f>E59&amp;"/"&amp;E60</f>
        <v>2154/2155</v>
      </c>
      <c r="U59" s="4" t="str">
        <f>F59&amp;"-"&amp;G59&amp;"-"&amp;F59</f>
        <v>LIM-CUZ-LIM</v>
      </c>
      <c r="V59" s="4" t="str">
        <f>IF($M$59="","",$M$59)</f>
        <v/>
      </c>
      <c r="W59" s="4" t="str">
        <f>IF($O$59="","",$O$59)</f>
        <v/>
      </c>
      <c r="X59" s="4">
        <f>J59</f>
        <v>320</v>
      </c>
    </row>
    <row r="60" spans="2:24" ht="30" x14ac:dyDescent="0.25">
      <c r="B60" s="4">
        <v>139</v>
      </c>
      <c r="C60" s="4" t="s">
        <v>27</v>
      </c>
      <c r="D60" s="4" t="s">
        <v>28</v>
      </c>
      <c r="E60" s="4">
        <v>2155</v>
      </c>
      <c r="F60" s="4" t="s">
        <v>30</v>
      </c>
      <c r="G60" s="4" t="s">
        <v>29</v>
      </c>
      <c r="H60" s="4" t="s">
        <v>86</v>
      </c>
      <c r="I60" s="4" t="s">
        <v>78</v>
      </c>
      <c r="J60" s="4">
        <v>320</v>
      </c>
      <c r="K60" t="str">
        <f>TEXT(TIMEVALUE(H60)-TIMEVALUE(I59)+(TIMEVALUE(H60)&lt;TIMEVALUE(I59)),"[h]:mm")</f>
        <v>0:40</v>
      </c>
      <c r="L60" s="4" t="s">
        <v>36</v>
      </c>
      <c r="O60" t="str">
        <f>"LIM-"&amp;G59&amp;"-LIM   LA "&amp;E59&amp;" ("&amp;LEFT(H59,5)&amp;"-"&amp;LEFT(I59,5)&amp;" hrs)  /  LA "&amp;E60&amp;" ("&amp;LEFT(H60,5)&amp;"-"&amp;LEFT(I60,5)&amp;" hrs)"</f>
        <v>LIM-CUZ-LIM   LA 2154 (14:45-16:05 hrs)  /  LA 2155 (16:45-18:20 hrs)</v>
      </c>
    </row>
    <row r="61" spans="2:24" x14ac:dyDescent="0.25">
      <c r="J61" s="7" t="s">
        <v>43</v>
      </c>
      <c r="K61" s="8" t="str">
        <f>TEXT(TIMEVALUE(I60)-TIMEVALUE(H59)+(I60&lt;H59),"[h]:mm")</f>
        <v>3:35</v>
      </c>
    </row>
    <row r="63" spans="2:24" ht="30" x14ac:dyDescent="0.25">
      <c r="B63" s="3" t="s">
        <v>9</v>
      </c>
      <c r="C63" s="3" t="s">
        <v>17</v>
      </c>
      <c r="D63" s="3" t="s">
        <v>18</v>
      </c>
      <c r="E63" s="3" t="s">
        <v>19</v>
      </c>
      <c r="F63" s="3" t="s">
        <v>20</v>
      </c>
      <c r="G63" s="3" t="s">
        <v>21</v>
      </c>
      <c r="H63" s="3" t="s">
        <v>22</v>
      </c>
      <c r="I63" s="3" t="s">
        <v>23</v>
      </c>
      <c r="J63" s="3" t="s">
        <v>24</v>
      </c>
      <c r="K63" s="3" t="s">
        <v>25</v>
      </c>
      <c r="L63" s="3" t="s">
        <v>26</v>
      </c>
    </row>
    <row r="64" spans="2:24" ht="30" x14ac:dyDescent="0.25">
      <c r="B64" s="4">
        <v>140</v>
      </c>
      <c r="C64" s="4" t="s">
        <v>27</v>
      </c>
      <c r="D64" s="4" t="s">
        <v>28</v>
      </c>
      <c r="E64" s="4">
        <v>2264</v>
      </c>
      <c r="F64" s="4" t="s">
        <v>29</v>
      </c>
      <c r="G64" s="4" t="s">
        <v>44</v>
      </c>
      <c r="H64" s="4" t="s">
        <v>87</v>
      </c>
      <c r="I64" s="4" t="s">
        <v>60</v>
      </c>
      <c r="J64" s="4">
        <v>320</v>
      </c>
      <c r="L64" s="4" t="s">
        <v>47</v>
      </c>
      <c r="M64" s="5"/>
      <c r="O64" s="5"/>
      <c r="Q64" s="4">
        <f>B64</f>
        <v>140</v>
      </c>
      <c r="R64" s="4" t="str">
        <f>C64</f>
        <v>01/10/2026</v>
      </c>
      <c r="S64" s="4" t="str">
        <f>D64</f>
        <v>jueves</v>
      </c>
      <c r="T64" s="4" t="str">
        <f>E64&amp;"/"&amp;E65</f>
        <v>2264/2265</v>
      </c>
      <c r="U64" s="4" t="str">
        <f>F64&amp;"-"&amp;G64&amp;"-"&amp;F64</f>
        <v>LIM-PEM-LIM</v>
      </c>
      <c r="V64" s="4" t="str">
        <f>IF($M$64="","",$M$64)</f>
        <v/>
      </c>
      <c r="W64" s="4" t="str">
        <f>IF($O$64="","",$O$64)</f>
        <v/>
      </c>
      <c r="X64" s="4">
        <f>J64</f>
        <v>320</v>
      </c>
    </row>
    <row r="65" spans="2:24" ht="30" x14ac:dyDescent="0.25">
      <c r="B65" s="4">
        <v>140</v>
      </c>
      <c r="C65" s="4" t="s">
        <v>27</v>
      </c>
      <c r="D65" s="4" t="s">
        <v>28</v>
      </c>
      <c r="E65" s="4">
        <v>2265</v>
      </c>
      <c r="F65" s="4" t="s">
        <v>44</v>
      </c>
      <c r="G65" s="4" t="s">
        <v>29</v>
      </c>
      <c r="H65" s="4" t="s">
        <v>53</v>
      </c>
      <c r="I65" s="4" t="s">
        <v>88</v>
      </c>
      <c r="J65" s="4">
        <v>320</v>
      </c>
      <c r="K65" t="str">
        <f>TEXT(TIMEVALUE(H65)-TIMEVALUE(I64)+(TIMEVALUE(H65)&lt;TIMEVALUE(I64)),"[h]:mm")</f>
        <v>0:40</v>
      </c>
      <c r="L65" s="4" t="s">
        <v>36</v>
      </c>
      <c r="O65" t="str">
        <f>"LIM-"&amp;G64&amp;"-LIM   LA "&amp;E64&amp;" ("&amp;LEFT(H64,5)&amp;"-"&amp;LEFT(I64,5)&amp;" hrs)  /  LA "&amp;E65&amp;" ("&amp;LEFT(H65,5)&amp;"-"&amp;LEFT(I65,5)&amp;" hrs)"</f>
        <v>LIM-PEM-LIM   LA 2264 (14:55-16:40 hrs)  /  LA 2265 (17:20-18:55 hrs)</v>
      </c>
    </row>
    <row r="66" spans="2:24" x14ac:dyDescent="0.25">
      <c r="J66" s="7" t="s">
        <v>43</v>
      </c>
      <c r="K66" s="8" t="str">
        <f>TEXT(TIMEVALUE(I65)-TIMEVALUE(H64)+(I65&lt;H64),"[h]:mm")</f>
        <v>4:00</v>
      </c>
    </row>
    <row r="68" spans="2:24" ht="30" x14ac:dyDescent="0.25">
      <c r="B68" s="3" t="s">
        <v>9</v>
      </c>
      <c r="C68" s="3" t="s">
        <v>17</v>
      </c>
      <c r="D68" s="3" t="s">
        <v>18</v>
      </c>
      <c r="E68" s="3" t="s">
        <v>19</v>
      </c>
      <c r="F68" s="3" t="s">
        <v>20</v>
      </c>
      <c r="G68" s="3" t="s">
        <v>21</v>
      </c>
      <c r="H68" s="3" t="s">
        <v>22</v>
      </c>
      <c r="I68" s="3" t="s">
        <v>23</v>
      </c>
      <c r="J68" s="3" t="s">
        <v>24</v>
      </c>
      <c r="K68" s="3" t="s">
        <v>25</v>
      </c>
      <c r="L68" s="3" t="s">
        <v>26</v>
      </c>
    </row>
    <row r="69" spans="2:24" ht="30" x14ac:dyDescent="0.25">
      <c r="B69" s="4">
        <v>141</v>
      </c>
      <c r="C69" s="4" t="s">
        <v>27</v>
      </c>
      <c r="D69" s="4" t="s">
        <v>28</v>
      </c>
      <c r="E69" s="4">
        <v>2264</v>
      </c>
      <c r="F69" s="4" t="s">
        <v>29</v>
      </c>
      <c r="G69" s="4" t="s">
        <v>44</v>
      </c>
      <c r="H69" s="4" t="s">
        <v>87</v>
      </c>
      <c r="I69" s="4" t="s">
        <v>60</v>
      </c>
      <c r="J69" s="4">
        <v>320</v>
      </c>
      <c r="L69" s="4" t="s">
        <v>47</v>
      </c>
      <c r="M69" s="5"/>
      <c r="O69" s="5"/>
      <c r="Q69" s="4">
        <f>B69</f>
        <v>141</v>
      </c>
      <c r="R69" s="4" t="str">
        <f>C69</f>
        <v>01/10/2026</v>
      </c>
      <c r="S69" s="4" t="str">
        <f>D69</f>
        <v>jueves</v>
      </c>
      <c r="T69" s="4" t="str">
        <f>E69&amp;"/"&amp;E70</f>
        <v>2264/2265</v>
      </c>
      <c r="U69" s="4" t="str">
        <f>F69&amp;"-"&amp;G69&amp;"-"&amp;F69</f>
        <v>LIM-PEM-LIM</v>
      </c>
      <c r="V69" s="4" t="str">
        <f>IF($M$69="","",$M$69)</f>
        <v/>
      </c>
      <c r="W69" s="4" t="str">
        <f>IF($O$69="","",$O$69)</f>
        <v/>
      </c>
      <c r="X69" s="4">
        <f>J69</f>
        <v>320</v>
      </c>
    </row>
    <row r="70" spans="2:24" ht="30" x14ac:dyDescent="0.25">
      <c r="B70" s="4">
        <v>141</v>
      </c>
      <c r="C70" s="4" t="s">
        <v>27</v>
      </c>
      <c r="D70" s="4" t="s">
        <v>28</v>
      </c>
      <c r="E70" s="4">
        <v>2265</v>
      </c>
      <c r="F70" s="4" t="s">
        <v>44</v>
      </c>
      <c r="G70" s="4" t="s">
        <v>29</v>
      </c>
      <c r="H70" s="4" t="s">
        <v>53</v>
      </c>
      <c r="I70" s="4" t="s">
        <v>88</v>
      </c>
      <c r="J70" s="4">
        <v>320</v>
      </c>
      <c r="K70" t="str">
        <f>TEXT(TIMEVALUE(H70)-TIMEVALUE(I69)+(TIMEVALUE(H70)&lt;TIMEVALUE(I69)),"[h]:mm")</f>
        <v>0:40</v>
      </c>
      <c r="L70" s="4" t="s">
        <v>36</v>
      </c>
      <c r="O70" t="str">
        <f>"LIM-"&amp;G69&amp;"-LIM   LA "&amp;E69&amp;" ("&amp;LEFT(H69,5)&amp;"-"&amp;LEFT(I69,5)&amp;" hrs)  /  LA "&amp;E70&amp;" ("&amp;LEFT(H70,5)&amp;"-"&amp;LEFT(I70,5)&amp;" hrs)"</f>
        <v>LIM-PEM-LIM   LA 2264 (14:55-16:40 hrs)  /  LA 2265 (17:20-18:55 hrs)</v>
      </c>
    </row>
    <row r="71" spans="2:24" x14ac:dyDescent="0.25">
      <c r="J71" s="7" t="s">
        <v>43</v>
      </c>
      <c r="K71" s="8" t="str">
        <f>TEXT(TIMEVALUE(I70)-TIMEVALUE(H69)+(I70&lt;H69),"[h]:mm")</f>
        <v>4:00</v>
      </c>
    </row>
    <row r="73" spans="2:24" ht="30" x14ac:dyDescent="0.25">
      <c r="B73" s="3" t="s">
        <v>9</v>
      </c>
      <c r="C73" s="3" t="s">
        <v>17</v>
      </c>
      <c r="D73" s="3" t="s">
        <v>18</v>
      </c>
      <c r="E73" s="3" t="s">
        <v>19</v>
      </c>
      <c r="F73" s="3" t="s">
        <v>20</v>
      </c>
      <c r="G73" s="3" t="s">
        <v>21</v>
      </c>
      <c r="H73" s="3" t="s">
        <v>22</v>
      </c>
      <c r="I73" s="3" t="s">
        <v>23</v>
      </c>
      <c r="J73" s="3" t="s">
        <v>24</v>
      </c>
      <c r="K73" s="3" t="s">
        <v>25</v>
      </c>
      <c r="L73" s="3" t="s">
        <v>26</v>
      </c>
    </row>
    <row r="74" spans="2:24" ht="30" x14ac:dyDescent="0.25">
      <c r="B74" s="4">
        <v>146</v>
      </c>
      <c r="C74" s="4" t="s">
        <v>27</v>
      </c>
      <c r="D74" s="4" t="s">
        <v>28</v>
      </c>
      <c r="E74" s="4">
        <v>2312</v>
      </c>
      <c r="F74" s="4" t="s">
        <v>29</v>
      </c>
      <c r="G74" s="4" t="s">
        <v>37</v>
      </c>
      <c r="H74" s="4" t="s">
        <v>89</v>
      </c>
      <c r="I74" s="4" t="s">
        <v>77</v>
      </c>
      <c r="J74" s="4">
        <v>320</v>
      </c>
      <c r="L74" s="4" t="s">
        <v>40</v>
      </c>
      <c r="M74" s="5"/>
      <c r="O74" s="5"/>
      <c r="Q74" s="4">
        <f>B74</f>
        <v>146</v>
      </c>
      <c r="R74" s="4" t="str">
        <f>C74</f>
        <v>01/10/2026</v>
      </c>
      <c r="S74" s="4" t="str">
        <f>D74</f>
        <v>jueves</v>
      </c>
      <c r="T74" s="4" t="str">
        <f>E74&amp;"/"&amp;E75</f>
        <v>2312/2313</v>
      </c>
      <c r="U74" s="4" t="str">
        <f>F74&amp;"-"&amp;G74&amp;"-"&amp;F74</f>
        <v>LIM-CIX-LIM</v>
      </c>
      <c r="V74" s="4" t="str">
        <f>IF($M$74="","",$M$74)</f>
        <v/>
      </c>
      <c r="W74" s="4" t="str">
        <f>IF($O$74="","",$O$74)</f>
        <v/>
      </c>
      <c r="X74" s="4">
        <f>J74</f>
        <v>320</v>
      </c>
    </row>
    <row r="75" spans="2:24" ht="30" x14ac:dyDescent="0.25">
      <c r="B75" s="4">
        <v>146</v>
      </c>
      <c r="C75" s="4" t="s">
        <v>27</v>
      </c>
      <c r="D75" s="4" t="s">
        <v>28</v>
      </c>
      <c r="E75" s="4">
        <v>2313</v>
      </c>
      <c r="F75" s="4" t="s">
        <v>37</v>
      </c>
      <c r="G75" s="4" t="s">
        <v>29</v>
      </c>
      <c r="H75" s="4" t="s">
        <v>84</v>
      </c>
      <c r="I75" s="4" t="s">
        <v>90</v>
      </c>
      <c r="J75" s="4">
        <v>320</v>
      </c>
      <c r="K75" t="str">
        <f>TEXT(TIMEVALUE(H75)-TIMEVALUE(I74)+(TIMEVALUE(H75)&lt;TIMEVALUE(I74)),"[h]:mm")</f>
        <v>0:45</v>
      </c>
      <c r="L75" s="4" t="s">
        <v>33</v>
      </c>
      <c r="O75" t="str">
        <f>"LIM-"&amp;G74&amp;"-LIM   LA "&amp;E74&amp;" ("&amp;LEFT(H74,5)&amp;"-"&amp;LEFT(I74,5)&amp;" hrs)  /  LA "&amp;E75&amp;" ("&amp;LEFT(H75,5)&amp;"-"&amp;LEFT(I75,5)&amp;" hrs)"</f>
        <v>LIM-CIX-LIM   LA 2312 (15:35-17:05 hrs)  /  LA 2313 (17:50-19:10 hrs)</v>
      </c>
    </row>
    <row r="76" spans="2:24" x14ac:dyDescent="0.25">
      <c r="J76" s="7" t="s">
        <v>43</v>
      </c>
      <c r="K76" s="8" t="str">
        <f>TEXT(TIMEVALUE(I75)-TIMEVALUE(H74)+(I75&lt;H74),"[h]:mm")</f>
        <v>3:35</v>
      </c>
    </row>
    <row r="78" spans="2:24" ht="30" x14ac:dyDescent="0.25">
      <c r="B78" s="3" t="s">
        <v>9</v>
      </c>
      <c r="C78" s="3" t="s">
        <v>17</v>
      </c>
      <c r="D78" s="3" t="s">
        <v>18</v>
      </c>
      <c r="E78" s="3" t="s">
        <v>19</v>
      </c>
      <c r="F78" s="3" t="s">
        <v>20</v>
      </c>
      <c r="G78" s="3" t="s">
        <v>21</v>
      </c>
      <c r="H78" s="3" t="s">
        <v>22</v>
      </c>
      <c r="I78" s="3" t="s">
        <v>23</v>
      </c>
      <c r="J78" s="3" t="s">
        <v>24</v>
      </c>
      <c r="K78" s="3" t="s">
        <v>25</v>
      </c>
      <c r="L78" s="3" t="s">
        <v>26</v>
      </c>
    </row>
    <row r="79" spans="2:24" ht="30" x14ac:dyDescent="0.25">
      <c r="B79" s="4">
        <v>147</v>
      </c>
      <c r="C79" s="4" t="s">
        <v>27</v>
      </c>
      <c r="D79" s="4" t="s">
        <v>28</v>
      </c>
      <c r="E79" s="4">
        <v>2312</v>
      </c>
      <c r="F79" s="4" t="s">
        <v>29</v>
      </c>
      <c r="G79" s="4" t="s">
        <v>37</v>
      </c>
      <c r="H79" s="4" t="s">
        <v>89</v>
      </c>
      <c r="I79" s="4" t="s">
        <v>77</v>
      </c>
      <c r="J79" s="4">
        <v>320</v>
      </c>
      <c r="L79" s="4" t="s">
        <v>40</v>
      </c>
      <c r="M79" s="5"/>
      <c r="O79" s="5"/>
      <c r="Q79" s="4">
        <f>B79</f>
        <v>147</v>
      </c>
      <c r="R79" s="4" t="str">
        <f>C79</f>
        <v>01/10/2026</v>
      </c>
      <c r="S79" s="4" t="str">
        <f>D79</f>
        <v>jueves</v>
      </c>
      <c r="T79" s="4" t="str">
        <f>E79&amp;"/"&amp;E80</f>
        <v>2312/2313</v>
      </c>
      <c r="U79" s="4" t="str">
        <f>F79&amp;"-"&amp;G79&amp;"-"&amp;F79</f>
        <v>LIM-CIX-LIM</v>
      </c>
      <c r="V79" s="4" t="str">
        <f>IF($M$79="","",$M$79)</f>
        <v/>
      </c>
      <c r="W79" s="4" t="str">
        <f>IF($O$79="","",$O$79)</f>
        <v/>
      </c>
      <c r="X79" s="4">
        <f>J79</f>
        <v>320</v>
      </c>
    </row>
    <row r="80" spans="2:24" ht="30" x14ac:dyDescent="0.25">
      <c r="B80" s="4">
        <v>147</v>
      </c>
      <c r="C80" s="4" t="s">
        <v>27</v>
      </c>
      <c r="D80" s="4" t="s">
        <v>28</v>
      </c>
      <c r="E80" s="4">
        <v>2313</v>
      </c>
      <c r="F80" s="4" t="s">
        <v>37</v>
      </c>
      <c r="G80" s="4" t="s">
        <v>29</v>
      </c>
      <c r="H80" s="4" t="s">
        <v>84</v>
      </c>
      <c r="I80" s="4" t="s">
        <v>90</v>
      </c>
      <c r="J80" s="4">
        <v>320</v>
      </c>
      <c r="K80" t="str">
        <f>TEXT(TIMEVALUE(H80)-TIMEVALUE(I79)+(TIMEVALUE(H80)&lt;TIMEVALUE(I79)),"[h]:mm")</f>
        <v>0:45</v>
      </c>
      <c r="L80" s="4" t="s">
        <v>33</v>
      </c>
      <c r="O80" t="str">
        <f>"LIM-"&amp;G79&amp;"-LIM   LA "&amp;E79&amp;" ("&amp;LEFT(H79,5)&amp;"-"&amp;LEFT(I79,5)&amp;" hrs)  /  LA "&amp;E80&amp;" ("&amp;LEFT(H80,5)&amp;"-"&amp;LEFT(I80,5)&amp;" hrs)"</f>
        <v>LIM-CIX-LIM   LA 2312 (15:35-17:05 hrs)  /  LA 2313 (17:50-19:10 hrs)</v>
      </c>
    </row>
    <row r="81" spans="2:24" x14ac:dyDescent="0.25">
      <c r="J81" s="7" t="s">
        <v>43</v>
      </c>
      <c r="K81" s="8" t="str">
        <f>TEXT(TIMEVALUE(I80)-TIMEVALUE(H79)+(I80&lt;H79),"[h]:mm")</f>
        <v>3:35</v>
      </c>
    </row>
    <row r="83" spans="2:24" ht="30" x14ac:dyDescent="0.25">
      <c r="B83" s="3" t="s">
        <v>9</v>
      </c>
      <c r="C83" s="3" t="s">
        <v>17</v>
      </c>
      <c r="D83" s="3" t="s">
        <v>18</v>
      </c>
      <c r="E83" s="3" t="s">
        <v>19</v>
      </c>
      <c r="F83" s="3" t="s">
        <v>20</v>
      </c>
      <c r="G83" s="3" t="s">
        <v>21</v>
      </c>
      <c r="H83" s="3" t="s">
        <v>22</v>
      </c>
      <c r="I83" s="3" t="s">
        <v>23</v>
      </c>
      <c r="J83" s="3" t="s">
        <v>24</v>
      </c>
      <c r="K83" s="3" t="s">
        <v>25</v>
      </c>
      <c r="L83" s="3" t="s">
        <v>26</v>
      </c>
    </row>
    <row r="84" spans="2:24" ht="30" x14ac:dyDescent="0.25">
      <c r="B84" s="4">
        <v>148</v>
      </c>
      <c r="C84" s="4" t="s">
        <v>27</v>
      </c>
      <c r="D84" s="4" t="s">
        <v>28</v>
      </c>
      <c r="E84" s="4">
        <v>2301</v>
      </c>
      <c r="F84" s="4" t="s">
        <v>29</v>
      </c>
      <c r="G84" s="4" t="s">
        <v>91</v>
      </c>
      <c r="H84" s="4" t="s">
        <v>92</v>
      </c>
      <c r="I84" s="4" t="s">
        <v>77</v>
      </c>
      <c r="J84" s="4">
        <v>320</v>
      </c>
      <c r="L84" s="4" t="s">
        <v>93</v>
      </c>
      <c r="M84" s="5"/>
      <c r="O84" s="5"/>
      <c r="Q84" s="4">
        <f>B84</f>
        <v>148</v>
      </c>
      <c r="R84" s="4" t="str">
        <f>C84</f>
        <v>01/10/2026</v>
      </c>
      <c r="S84" s="4" t="str">
        <f>D84</f>
        <v>jueves</v>
      </c>
      <c r="T84" s="4" t="str">
        <f>E84&amp;"/"&amp;E85</f>
        <v>2301/2300</v>
      </c>
      <c r="U84" s="4" t="str">
        <f>F84&amp;"-"&amp;G84&amp;"-"&amp;F84</f>
        <v>LIM-TPP-LIM</v>
      </c>
      <c r="V84" s="4" t="str">
        <f>IF($M$84="","",$M$84)</f>
        <v/>
      </c>
      <c r="W84" s="4" t="str">
        <f>IF($O$84="","",$O$84)</f>
        <v/>
      </c>
      <c r="X84" s="4">
        <f>J84</f>
        <v>320</v>
      </c>
    </row>
    <row r="85" spans="2:24" ht="30" x14ac:dyDescent="0.25">
      <c r="B85" s="4">
        <v>148</v>
      </c>
      <c r="C85" s="4" t="s">
        <v>27</v>
      </c>
      <c r="D85" s="4" t="s">
        <v>28</v>
      </c>
      <c r="E85" s="4">
        <v>2300</v>
      </c>
      <c r="F85" s="4" t="s">
        <v>91</v>
      </c>
      <c r="G85" s="4" t="s">
        <v>29</v>
      </c>
      <c r="H85" s="4" t="s">
        <v>84</v>
      </c>
      <c r="I85" s="4" t="s">
        <v>94</v>
      </c>
      <c r="J85" s="4">
        <v>320</v>
      </c>
      <c r="K85" t="str">
        <f>TEXT(TIMEVALUE(H85)-TIMEVALUE(I84)+(TIMEVALUE(H85)&lt;TIMEVALUE(I84)),"[h]:mm")</f>
        <v>0:45</v>
      </c>
      <c r="L85" s="4" t="s">
        <v>93</v>
      </c>
      <c r="O85" t="str">
        <f>"LIM-"&amp;G84&amp;"-LIM   LA "&amp;E84&amp;" ("&amp;LEFT(H84,5)&amp;"-"&amp;LEFT(I84,5)&amp;" hrs)  /  LA "&amp;E85&amp;" ("&amp;LEFT(H85,5)&amp;"-"&amp;LEFT(I85,5)&amp;" hrs)"</f>
        <v>LIM-TPP-LIM   LA 2301 (15:40-17:05 hrs)  /  LA 2300 (17:50-19:15 hrs)</v>
      </c>
    </row>
    <row r="86" spans="2:24" x14ac:dyDescent="0.25">
      <c r="J86" s="7" t="s">
        <v>43</v>
      </c>
      <c r="K86" s="8" t="str">
        <f>TEXT(TIMEVALUE(I85)-TIMEVALUE(H84)+(I85&lt;H84),"[h]:mm")</f>
        <v>3:35</v>
      </c>
    </row>
    <row r="88" spans="2:24" ht="30" x14ac:dyDescent="0.25">
      <c r="B88" s="3" t="s">
        <v>9</v>
      </c>
      <c r="C88" s="3" t="s">
        <v>17</v>
      </c>
      <c r="D88" s="3" t="s">
        <v>18</v>
      </c>
      <c r="E88" s="3" t="s">
        <v>19</v>
      </c>
      <c r="F88" s="3" t="s">
        <v>20</v>
      </c>
      <c r="G88" s="3" t="s">
        <v>21</v>
      </c>
      <c r="H88" s="3" t="s">
        <v>22</v>
      </c>
      <c r="I88" s="3" t="s">
        <v>23</v>
      </c>
      <c r="J88" s="3" t="s">
        <v>24</v>
      </c>
      <c r="K88" s="3" t="s">
        <v>25</v>
      </c>
      <c r="L88" s="3" t="s">
        <v>26</v>
      </c>
    </row>
    <row r="89" spans="2:24" ht="30" x14ac:dyDescent="0.25">
      <c r="B89" s="4">
        <v>195</v>
      </c>
      <c r="C89" s="4" t="s">
        <v>95</v>
      </c>
      <c r="D89" s="4" t="s">
        <v>96</v>
      </c>
      <c r="E89" s="4">
        <v>2007</v>
      </c>
      <c r="F89" s="4" t="s">
        <v>29</v>
      </c>
      <c r="G89" s="4" t="s">
        <v>30</v>
      </c>
      <c r="H89" s="4" t="s">
        <v>31</v>
      </c>
      <c r="I89" s="4" t="s">
        <v>32</v>
      </c>
      <c r="J89" s="4">
        <v>320</v>
      </c>
      <c r="L89" s="4" t="s">
        <v>33</v>
      </c>
      <c r="M89" s="5"/>
      <c r="O89" s="5"/>
      <c r="Q89" s="4">
        <f>B89</f>
        <v>195</v>
      </c>
      <c r="R89" s="4" t="str">
        <f>C89</f>
        <v>02/10/2026</v>
      </c>
      <c r="S89" s="4" t="str">
        <f>D89</f>
        <v>viernes</v>
      </c>
      <c r="T89" s="4" t="str">
        <f>E89&amp;"/"&amp;E90</f>
        <v>2007/2008</v>
      </c>
      <c r="U89" s="4" t="str">
        <f>F89&amp;"-"&amp;G89&amp;"-"&amp;F89</f>
        <v>LIM-CUZ-LIM</v>
      </c>
      <c r="V89" s="4" t="str">
        <f>IF($M$89="","",$M$89)</f>
        <v/>
      </c>
      <c r="W89" s="4" t="str">
        <f>IF($O$89="","",$O$89)</f>
        <v/>
      </c>
      <c r="X89" s="4">
        <f>J89</f>
        <v>320</v>
      </c>
    </row>
    <row r="90" spans="2:24" ht="30" x14ac:dyDescent="0.25">
      <c r="B90" s="4">
        <v>195</v>
      </c>
      <c r="C90" s="4" t="s">
        <v>95</v>
      </c>
      <c r="D90" s="4" t="s">
        <v>96</v>
      </c>
      <c r="E90" s="4">
        <v>2008</v>
      </c>
      <c r="F90" s="4" t="s">
        <v>30</v>
      </c>
      <c r="G90" s="4" t="s">
        <v>29</v>
      </c>
      <c r="H90" s="4" t="s">
        <v>34</v>
      </c>
      <c r="I90" s="4" t="s">
        <v>35</v>
      </c>
      <c r="J90" s="4">
        <v>320</v>
      </c>
      <c r="K90" t="str">
        <f>TEXT(TIMEVALUE(H90)-TIMEVALUE(I89)+(TIMEVALUE(H90)&lt;TIMEVALUE(I89)),"[h]:mm")</f>
        <v>0:50</v>
      </c>
      <c r="L90" s="4" t="s">
        <v>36</v>
      </c>
      <c r="O90" t="str">
        <f>"LIM-"&amp;G89&amp;"-LIM   LA "&amp;E89&amp;" ("&amp;LEFT(H89,5)&amp;"-"&amp;LEFT(I89,5)&amp;" hrs)  /  LA "&amp;E90&amp;" ("&amp;LEFT(H90,5)&amp;"-"&amp;LEFT(I90,5)&amp;" hrs)"</f>
        <v>LIM-CUZ-LIM   LA 2007 (09:10-10:30 hrs)  /  LA 2008 (11:20-12:55 hrs)</v>
      </c>
    </row>
    <row r="91" spans="2:24" ht="30" x14ac:dyDescent="0.25">
      <c r="B91" s="4">
        <v>216</v>
      </c>
      <c r="C91" s="4" t="s">
        <v>95</v>
      </c>
      <c r="D91" s="4" t="s">
        <v>96</v>
      </c>
      <c r="E91" s="4">
        <v>2152</v>
      </c>
      <c r="F91" s="4" t="s">
        <v>29</v>
      </c>
      <c r="G91" s="4" t="s">
        <v>37</v>
      </c>
      <c r="H91" s="4" t="s">
        <v>38</v>
      </c>
      <c r="I91" s="4" t="s">
        <v>39</v>
      </c>
      <c r="J91" s="4">
        <v>320</v>
      </c>
      <c r="K91" s="6" t="str">
        <f>TEXT(TIMEVALUE(H91)-TIMEVALUE(I90)+(TIMEVALUE(H91)&lt;TIMEVALUE(I90)),"[h]:mm")</f>
        <v>0:55</v>
      </c>
      <c r="L91" s="4" t="s">
        <v>40</v>
      </c>
      <c r="M91" t="str">
        <f>IF($M$89="","",$M$89)</f>
        <v/>
      </c>
      <c r="O91" t="str">
        <f>IF($O$89="","",$O$89)</f>
        <v/>
      </c>
      <c r="Q91" s="4">
        <f>B91</f>
        <v>216</v>
      </c>
      <c r="R91" s="4" t="str">
        <f>C91</f>
        <v>02/10/2026</v>
      </c>
      <c r="S91" s="4" t="str">
        <f>D91</f>
        <v>viernes</v>
      </c>
      <c r="T91" s="4" t="str">
        <f>E91&amp;"/"&amp;E92</f>
        <v>2152/2153</v>
      </c>
      <c r="U91" s="4" t="str">
        <f>F91&amp;"-"&amp;G91&amp;"-"&amp;F91</f>
        <v>LIM-CIX-LIM</v>
      </c>
      <c r="V91" s="4" t="str">
        <f>IF($M$89="","",$M$89)</f>
        <v/>
      </c>
      <c r="W91" s="4" t="str">
        <f>IF($O$89="","",$O$89)</f>
        <v/>
      </c>
      <c r="X91" s="4">
        <f>J91</f>
        <v>320</v>
      </c>
    </row>
    <row r="92" spans="2:24" ht="30" x14ac:dyDescent="0.25">
      <c r="B92" s="4">
        <v>216</v>
      </c>
      <c r="C92" s="4" t="s">
        <v>95</v>
      </c>
      <c r="D92" s="4" t="s">
        <v>96</v>
      </c>
      <c r="E92" s="4">
        <v>2153</v>
      </c>
      <c r="F92" s="4" t="s">
        <v>37</v>
      </c>
      <c r="G92" s="4" t="s">
        <v>29</v>
      </c>
      <c r="H92" s="4" t="s">
        <v>41</v>
      </c>
      <c r="I92" s="4" t="s">
        <v>42</v>
      </c>
      <c r="J92" s="4">
        <v>320</v>
      </c>
      <c r="K92" t="str">
        <f>TEXT(TIMEVALUE(H92)-TIMEVALUE(I91)+(TIMEVALUE(H92)&lt;TIMEVALUE(I91)),"[h]:mm")</f>
        <v>0:35</v>
      </c>
      <c r="L92" s="4" t="s">
        <v>33</v>
      </c>
      <c r="O92" t="str">
        <f>"LIM-"&amp;G91&amp;"-LIM   LA "&amp;E91&amp;" ("&amp;LEFT(H91,5)&amp;"-"&amp;LEFT(I91,5)&amp;" hrs)  /  LA "&amp;E92&amp;" ("&amp;LEFT(H92,5)&amp;"-"&amp;LEFT(I92,5)&amp;" hrs)"</f>
        <v>LIM-CIX-LIM   LA 2152 (13:50-15:20 hrs)  /  LA 2153 (15:55-17:15 hrs)</v>
      </c>
    </row>
    <row r="93" spans="2:24" x14ac:dyDescent="0.25">
      <c r="J93" s="7" t="s">
        <v>43</v>
      </c>
      <c r="K93" s="8" t="str">
        <f>TEXT(TIMEVALUE(I92)-TIMEVALUE(H89)+(I92&lt;H89),"[h]:mm")</f>
        <v>8:05</v>
      </c>
    </row>
    <row r="95" spans="2:24" ht="30" x14ac:dyDescent="0.25">
      <c r="B95" s="3" t="s">
        <v>9</v>
      </c>
      <c r="C95" s="3" t="s">
        <v>17</v>
      </c>
      <c r="D95" s="3" t="s">
        <v>18</v>
      </c>
      <c r="E95" s="3" t="s">
        <v>19</v>
      </c>
      <c r="F95" s="3" t="s">
        <v>20</v>
      </c>
      <c r="G95" s="3" t="s">
        <v>21</v>
      </c>
      <c r="H95" s="3" t="s">
        <v>22</v>
      </c>
      <c r="I95" s="3" t="s">
        <v>23</v>
      </c>
      <c r="J95" s="3" t="s">
        <v>24</v>
      </c>
      <c r="K95" s="3" t="s">
        <v>25</v>
      </c>
      <c r="L95" s="3" t="s">
        <v>26</v>
      </c>
    </row>
    <row r="96" spans="2:24" ht="30" x14ac:dyDescent="0.25">
      <c r="B96" s="4">
        <v>199</v>
      </c>
      <c r="C96" s="4" t="s">
        <v>95</v>
      </c>
      <c r="D96" s="4" t="s">
        <v>96</v>
      </c>
      <c r="E96" s="4">
        <v>2075</v>
      </c>
      <c r="F96" s="4" t="s">
        <v>29</v>
      </c>
      <c r="G96" s="4" t="s">
        <v>30</v>
      </c>
      <c r="H96" s="4" t="s">
        <v>97</v>
      </c>
      <c r="I96" s="4" t="s">
        <v>98</v>
      </c>
      <c r="J96" s="4">
        <v>320</v>
      </c>
      <c r="L96" s="4" t="s">
        <v>33</v>
      </c>
      <c r="M96" s="5"/>
      <c r="O96" s="5"/>
      <c r="Q96" s="4">
        <f>B96</f>
        <v>199</v>
      </c>
      <c r="R96" s="4" t="str">
        <f>C96</f>
        <v>02/10/2026</v>
      </c>
      <c r="S96" s="4" t="str">
        <f>D96</f>
        <v>viernes</v>
      </c>
      <c r="T96" s="4" t="str">
        <f>E96&amp;"/"&amp;E97</f>
        <v>2075/2076</v>
      </c>
      <c r="U96" s="4" t="str">
        <f>F96&amp;"-"&amp;G96&amp;"-"&amp;F96</f>
        <v>LIM-CUZ-LIM</v>
      </c>
      <c r="V96" s="4" t="str">
        <f>IF($M$96="","",$M$96)</f>
        <v/>
      </c>
      <c r="W96" s="4" t="str">
        <f>IF($O$96="","",$O$96)</f>
        <v/>
      </c>
      <c r="X96" s="4">
        <f>J96</f>
        <v>320</v>
      </c>
    </row>
    <row r="97" spans="2:24" ht="30" x14ac:dyDescent="0.25">
      <c r="B97" s="4">
        <v>199</v>
      </c>
      <c r="C97" s="4" t="s">
        <v>95</v>
      </c>
      <c r="D97" s="4" t="s">
        <v>96</v>
      </c>
      <c r="E97" s="4">
        <v>2076</v>
      </c>
      <c r="F97" s="4" t="s">
        <v>30</v>
      </c>
      <c r="G97" s="4" t="s">
        <v>29</v>
      </c>
      <c r="H97" s="4" t="s">
        <v>48</v>
      </c>
      <c r="I97" s="4" t="s">
        <v>49</v>
      </c>
      <c r="J97" s="4">
        <v>320</v>
      </c>
      <c r="K97" t="str">
        <f>TEXT(TIMEVALUE(H97)-TIMEVALUE(I96)+(TIMEVALUE(H97)&lt;TIMEVALUE(I96)),"[h]:mm")</f>
        <v>0:35</v>
      </c>
      <c r="L97" s="4" t="s">
        <v>36</v>
      </c>
      <c r="O97" t="str">
        <f>"LIM-"&amp;G96&amp;"-LIM   LA "&amp;E96&amp;" ("&amp;LEFT(H96,5)&amp;"-"&amp;LEFT(I96,5)&amp;" hrs)  /  LA "&amp;E97&amp;" ("&amp;LEFT(H97,5)&amp;"-"&amp;LEFT(I97,5)&amp;" hrs)"</f>
        <v>LIM-CUZ-LIM   LA 2075 (10:50-12:10 hrs)  /  LA 2076 (12:45-14:20 hrs)</v>
      </c>
    </row>
    <row r="98" spans="2:24" ht="30" x14ac:dyDescent="0.25">
      <c r="B98" s="4">
        <v>223</v>
      </c>
      <c r="C98" s="4" t="s">
        <v>95</v>
      </c>
      <c r="D98" s="4" t="s">
        <v>96</v>
      </c>
      <c r="E98" s="4">
        <v>2297</v>
      </c>
      <c r="F98" s="4" t="s">
        <v>29</v>
      </c>
      <c r="G98" s="4" t="s">
        <v>50</v>
      </c>
      <c r="H98" s="4" t="s">
        <v>51</v>
      </c>
      <c r="I98" s="4" t="s">
        <v>52</v>
      </c>
      <c r="J98" s="4">
        <v>320</v>
      </c>
      <c r="K98" s="6" t="str">
        <f>TEXT(TIMEVALUE(H98)-TIMEVALUE(I97)+(TIMEVALUE(H98)&lt;TIMEVALUE(I97)),"[h]:mm")</f>
        <v>0:55</v>
      </c>
      <c r="L98" s="4" t="s">
        <v>33</v>
      </c>
      <c r="M98" t="str">
        <f>IF($M$96="","",$M$96)</f>
        <v/>
      </c>
      <c r="O98" t="str">
        <f>IF($O$96="","",$O$96)</f>
        <v/>
      </c>
      <c r="Q98" s="4">
        <f>B98</f>
        <v>223</v>
      </c>
      <c r="R98" s="4" t="str">
        <f>C98</f>
        <v>02/10/2026</v>
      </c>
      <c r="S98" s="4" t="str">
        <f>D98</f>
        <v>viernes</v>
      </c>
      <c r="T98" s="4" t="str">
        <f>E98&amp;"/"&amp;E99</f>
        <v>2297/2296</v>
      </c>
      <c r="U98" s="4" t="str">
        <f>F98&amp;"-"&amp;G98&amp;"-"&amp;F98</f>
        <v>LIM-CJA-LIM</v>
      </c>
      <c r="V98" s="4" t="str">
        <f>IF($M$96="","",$M$96)</f>
        <v/>
      </c>
      <c r="W98" s="4" t="str">
        <f>IF($O$96="","",$O$96)</f>
        <v/>
      </c>
      <c r="X98" s="4">
        <f>J98</f>
        <v>320</v>
      </c>
    </row>
    <row r="99" spans="2:24" ht="30" x14ac:dyDescent="0.25">
      <c r="B99" s="4">
        <v>223</v>
      </c>
      <c r="C99" s="4" t="s">
        <v>95</v>
      </c>
      <c r="D99" s="4" t="s">
        <v>96</v>
      </c>
      <c r="E99" s="4">
        <v>2296</v>
      </c>
      <c r="F99" s="4" t="s">
        <v>50</v>
      </c>
      <c r="G99" s="4" t="s">
        <v>29</v>
      </c>
      <c r="H99" s="4" t="s">
        <v>53</v>
      </c>
      <c r="I99" s="4" t="s">
        <v>54</v>
      </c>
      <c r="J99" s="4">
        <v>320</v>
      </c>
      <c r="K99" t="str">
        <f>TEXT(TIMEVALUE(H99)-TIMEVALUE(I98)+(TIMEVALUE(H99)&lt;TIMEVALUE(I98)),"[h]:mm")</f>
        <v>0:45</v>
      </c>
      <c r="L99" s="4" t="s">
        <v>55</v>
      </c>
      <c r="O99" t="str">
        <f>"LIM-"&amp;G98&amp;"-LIM   LA "&amp;E98&amp;" ("&amp;LEFT(H98,5)&amp;"-"&amp;LEFT(I98,5)&amp;" hrs)  /  LA "&amp;E99&amp;" ("&amp;LEFT(H99,5)&amp;"-"&amp;LEFT(I99,5)&amp;" hrs)"</f>
        <v>LIM-CJA-LIM   LA 2297 (15:15-16:35 hrs)  /  LA 2296 (17:20-18:25 hrs)</v>
      </c>
    </row>
    <row r="100" spans="2:24" x14ac:dyDescent="0.25">
      <c r="J100" s="7" t="s">
        <v>43</v>
      </c>
      <c r="K100" s="8" t="str">
        <f>TEXT(TIMEVALUE(I99)-TIMEVALUE(H96)+(I99&lt;H96),"[h]:mm")</f>
        <v>7:35</v>
      </c>
    </row>
    <row r="102" spans="2:24" ht="30" x14ac:dyDescent="0.25">
      <c r="B102" s="3" t="s">
        <v>9</v>
      </c>
      <c r="C102" s="3" t="s">
        <v>17</v>
      </c>
      <c r="D102" s="3" t="s">
        <v>18</v>
      </c>
      <c r="E102" s="3" t="s">
        <v>19</v>
      </c>
      <c r="F102" s="3" t="s">
        <v>20</v>
      </c>
      <c r="G102" s="3" t="s">
        <v>21</v>
      </c>
      <c r="H102" s="3" t="s">
        <v>22</v>
      </c>
      <c r="I102" s="3" t="s">
        <v>23</v>
      </c>
      <c r="J102" s="3" t="s">
        <v>24</v>
      </c>
      <c r="K102" s="3" t="s">
        <v>25</v>
      </c>
      <c r="L102" s="3" t="s">
        <v>26</v>
      </c>
    </row>
    <row r="103" spans="2:24" ht="30" x14ac:dyDescent="0.25">
      <c r="B103" s="4">
        <v>200</v>
      </c>
      <c r="C103" s="4" t="s">
        <v>95</v>
      </c>
      <c r="D103" s="4" t="s">
        <v>96</v>
      </c>
      <c r="E103" s="4">
        <v>2019</v>
      </c>
      <c r="F103" s="4" t="s">
        <v>29</v>
      </c>
      <c r="G103" s="4" t="s">
        <v>63</v>
      </c>
      <c r="H103" s="4" t="s">
        <v>64</v>
      </c>
      <c r="I103" s="4" t="s">
        <v>65</v>
      </c>
      <c r="J103" s="4">
        <v>319</v>
      </c>
      <c r="L103" s="4" t="s">
        <v>66</v>
      </c>
      <c r="M103" s="5"/>
      <c r="O103" s="5"/>
      <c r="Q103" s="4">
        <f>B103</f>
        <v>200</v>
      </c>
      <c r="R103" s="4" t="str">
        <f>C103</f>
        <v>02/10/2026</v>
      </c>
      <c r="S103" s="4" t="str">
        <f>D103</f>
        <v>viernes</v>
      </c>
      <c r="T103" s="4" t="str">
        <f>E103&amp;"/"&amp;E104</f>
        <v>2019/2038</v>
      </c>
      <c r="U103" s="4" t="str">
        <f>F103&amp;"-"&amp;G103&amp;"-"&amp;F103</f>
        <v>LIM-IQT-LIM</v>
      </c>
      <c r="V103" s="4" t="str">
        <f>IF($M$103="","",$M$103)</f>
        <v/>
      </c>
      <c r="W103" s="4" t="str">
        <f>IF($O$103="","",$O$103)</f>
        <v/>
      </c>
      <c r="X103" s="4">
        <f>J103</f>
        <v>319</v>
      </c>
    </row>
    <row r="104" spans="2:24" ht="30" x14ac:dyDescent="0.25">
      <c r="B104" s="4">
        <v>200</v>
      </c>
      <c r="C104" s="4" t="s">
        <v>95</v>
      </c>
      <c r="D104" s="4" t="s">
        <v>96</v>
      </c>
      <c r="E104" s="4">
        <v>2038</v>
      </c>
      <c r="F104" s="4" t="s">
        <v>63</v>
      </c>
      <c r="G104" s="4" t="s">
        <v>29</v>
      </c>
      <c r="H104" s="4" t="s">
        <v>67</v>
      </c>
      <c r="I104" s="4" t="s">
        <v>41</v>
      </c>
      <c r="J104" s="4">
        <v>319</v>
      </c>
      <c r="K104" t="str">
        <f>TEXT(TIMEVALUE(H104)-TIMEVALUE(I103)+(TIMEVALUE(H104)&lt;TIMEVALUE(I103)),"[h]:mm")</f>
        <v>0:40</v>
      </c>
      <c r="L104" s="4" t="s">
        <v>66</v>
      </c>
      <c r="O104" t="str">
        <f>"LIM-"&amp;G103&amp;"-LIM   LA "&amp;E103&amp;" ("&amp;LEFT(H103,5)&amp;"-"&amp;LEFT(I103,5)&amp;" hrs)  /  LA "&amp;E104&amp;" ("&amp;LEFT(H104,5)&amp;"-"&amp;LEFT(I104,5)&amp;" hrs)"</f>
        <v>LIM-IQT-LIM   LA 2019 (11:35-13:25 hrs)  /  LA 2038 (14:05-15:55 hrs)</v>
      </c>
    </row>
    <row r="105" spans="2:24" x14ac:dyDescent="0.25">
      <c r="J105" s="7" t="s">
        <v>43</v>
      </c>
      <c r="K105" s="8" t="str">
        <f>TEXT(TIMEVALUE(I104)-TIMEVALUE(H103)+(I104&lt;H103),"[h]:mm")</f>
        <v>4:20</v>
      </c>
    </row>
    <row r="107" spans="2:24" ht="30" x14ac:dyDescent="0.25">
      <c r="B107" s="3" t="s">
        <v>9</v>
      </c>
      <c r="C107" s="3" t="s">
        <v>17</v>
      </c>
      <c r="D107" s="3" t="s">
        <v>18</v>
      </c>
      <c r="E107" s="3" t="s">
        <v>19</v>
      </c>
      <c r="F107" s="3" t="s">
        <v>20</v>
      </c>
      <c r="G107" s="3" t="s">
        <v>21</v>
      </c>
      <c r="H107" s="3" t="s">
        <v>22</v>
      </c>
      <c r="I107" s="3" t="s">
        <v>23</v>
      </c>
      <c r="J107" s="3" t="s">
        <v>24</v>
      </c>
      <c r="K107" s="3" t="s">
        <v>25</v>
      </c>
      <c r="L107" s="3" t="s">
        <v>26</v>
      </c>
    </row>
    <row r="108" spans="2:24" ht="30" x14ac:dyDescent="0.25">
      <c r="B108" s="4">
        <v>201</v>
      </c>
      <c r="C108" s="4" t="s">
        <v>95</v>
      </c>
      <c r="D108" s="4" t="s">
        <v>96</v>
      </c>
      <c r="E108" s="4">
        <v>2299</v>
      </c>
      <c r="F108" s="4" t="s">
        <v>29</v>
      </c>
      <c r="G108" s="4" t="s">
        <v>50</v>
      </c>
      <c r="H108" s="4" t="s">
        <v>64</v>
      </c>
      <c r="I108" s="4" t="s">
        <v>35</v>
      </c>
      <c r="J108" s="4">
        <v>320</v>
      </c>
      <c r="L108" s="4" t="s">
        <v>33</v>
      </c>
      <c r="M108" s="5"/>
      <c r="O108" s="5"/>
      <c r="Q108" s="4">
        <f>B108</f>
        <v>201</v>
      </c>
      <c r="R108" s="4" t="str">
        <f>C108</f>
        <v>02/10/2026</v>
      </c>
      <c r="S108" s="4" t="str">
        <f>D108</f>
        <v>viernes</v>
      </c>
      <c r="T108" s="4" t="str">
        <f>E108&amp;"/"&amp;E109</f>
        <v>2299/2298</v>
      </c>
      <c r="U108" s="4" t="str">
        <f>F108&amp;"-"&amp;G108&amp;"-"&amp;F108</f>
        <v>LIM-CJA-LIM</v>
      </c>
      <c r="V108" s="4" t="str">
        <f>IF($M$108="","",$M$108)</f>
        <v/>
      </c>
      <c r="W108" s="4" t="str">
        <f>IF($O$108="","",$O$108)</f>
        <v/>
      </c>
      <c r="X108" s="4">
        <f>J108</f>
        <v>320</v>
      </c>
    </row>
    <row r="109" spans="2:24" ht="30" x14ac:dyDescent="0.25">
      <c r="B109" s="4">
        <v>201</v>
      </c>
      <c r="C109" s="4" t="s">
        <v>95</v>
      </c>
      <c r="D109" s="4" t="s">
        <v>96</v>
      </c>
      <c r="E109" s="4">
        <v>2298</v>
      </c>
      <c r="F109" s="4" t="s">
        <v>50</v>
      </c>
      <c r="G109" s="4" t="s">
        <v>29</v>
      </c>
      <c r="H109" s="4" t="s">
        <v>99</v>
      </c>
      <c r="I109" s="4" t="s">
        <v>87</v>
      </c>
      <c r="J109" s="4">
        <v>320</v>
      </c>
      <c r="K109" t="str">
        <f>TEXT(TIMEVALUE(H109)-TIMEVALUE(I108)+(TIMEVALUE(H109)&lt;TIMEVALUE(I108)),"[h]:mm")</f>
        <v>0:50</v>
      </c>
      <c r="L109" s="4" t="s">
        <v>74</v>
      </c>
      <c r="O109" t="str">
        <f>"LIM-"&amp;G108&amp;"-LIM   LA "&amp;E108&amp;" ("&amp;LEFT(H108,5)&amp;"-"&amp;LEFT(I108,5)&amp;" hrs)  /  LA "&amp;E109&amp;" ("&amp;LEFT(H109,5)&amp;"-"&amp;LEFT(I109,5)&amp;" hrs)"</f>
        <v>LIM-CJA-LIM   LA 2299 (11:35-12:55 hrs)  /  LA 2298 (13:45-14:55 hrs)</v>
      </c>
    </row>
    <row r="110" spans="2:24" ht="30" x14ac:dyDescent="0.25">
      <c r="B110" s="4">
        <v>231</v>
      </c>
      <c r="C110" s="4" t="s">
        <v>95</v>
      </c>
      <c r="D110" s="4" t="s">
        <v>96</v>
      </c>
      <c r="E110" s="4">
        <v>2127</v>
      </c>
      <c r="F110" s="4" t="s">
        <v>29</v>
      </c>
      <c r="G110" s="4" t="s">
        <v>30</v>
      </c>
      <c r="H110" s="4" t="s">
        <v>83</v>
      </c>
      <c r="I110" s="4" t="s">
        <v>100</v>
      </c>
      <c r="J110" s="4">
        <v>320</v>
      </c>
      <c r="K110" s="6" t="str">
        <f>TEXT(TIMEVALUE(H110)-TIMEVALUE(I109)+(TIMEVALUE(H110)&lt;TIMEVALUE(I109)),"[h]:mm")</f>
        <v>1:15</v>
      </c>
      <c r="L110" s="4" t="s">
        <v>33</v>
      </c>
      <c r="M110" t="str">
        <f>IF($M$108="","",$M$108)</f>
        <v/>
      </c>
      <c r="O110" t="str">
        <f>IF($O$108="","",$O$108)</f>
        <v/>
      </c>
      <c r="Q110" s="4">
        <f>B110</f>
        <v>231</v>
      </c>
      <c r="R110" s="4" t="str">
        <f>C110</f>
        <v>02/10/2026</v>
      </c>
      <c r="S110" s="4" t="str">
        <f>D110</f>
        <v>viernes</v>
      </c>
      <c r="T110" s="4" t="str">
        <f>E110&amp;"/"&amp;E111</f>
        <v>2127/2026</v>
      </c>
      <c r="U110" s="4" t="str">
        <f>F110&amp;"-"&amp;G110&amp;"-"&amp;F110</f>
        <v>LIM-CUZ-LIM</v>
      </c>
      <c r="V110" s="4" t="str">
        <f>IF($M$108="","",$M$108)</f>
        <v/>
      </c>
      <c r="W110" s="4" t="str">
        <f>IF($O$108="","",$O$108)</f>
        <v/>
      </c>
      <c r="X110" s="4">
        <f>J110</f>
        <v>320</v>
      </c>
    </row>
    <row r="111" spans="2:24" ht="30" x14ac:dyDescent="0.25">
      <c r="B111" s="4">
        <v>231</v>
      </c>
      <c r="C111" s="4" t="s">
        <v>95</v>
      </c>
      <c r="D111" s="4" t="s">
        <v>96</v>
      </c>
      <c r="E111" s="4">
        <v>2026</v>
      </c>
      <c r="F111" s="4" t="s">
        <v>30</v>
      </c>
      <c r="G111" s="4" t="s">
        <v>29</v>
      </c>
      <c r="H111" s="4" t="s">
        <v>101</v>
      </c>
      <c r="I111" s="4" t="s">
        <v>102</v>
      </c>
      <c r="J111" s="4">
        <v>320</v>
      </c>
      <c r="K111" t="str">
        <f>TEXT(TIMEVALUE(H111)-TIMEVALUE(I110)+(TIMEVALUE(H111)&lt;TIMEVALUE(I110)),"[h]:mm")</f>
        <v>0:40</v>
      </c>
      <c r="L111" s="4" t="s">
        <v>71</v>
      </c>
      <c r="O111" t="str">
        <f>"LIM-"&amp;G110&amp;"-LIM   LA "&amp;E110&amp;" ("&amp;LEFT(H110,5)&amp;"-"&amp;LEFT(I110,5)&amp;" hrs)  /  LA "&amp;E111&amp;" ("&amp;LEFT(H111,5)&amp;"-"&amp;LEFT(I111,5)&amp;" hrs)"</f>
        <v>LIM-CUZ-LIM   LA 2127 (16:10-17:30 hrs)  /  LA 2026 (18:10-19:50 hrs)</v>
      </c>
    </row>
    <row r="112" spans="2:24" x14ac:dyDescent="0.25">
      <c r="J112" s="7" t="s">
        <v>43</v>
      </c>
      <c r="K112" s="8" t="str">
        <f>TEXT(TIMEVALUE(I111)-TIMEVALUE(H108)+(I111&lt;H108),"[h]:mm")</f>
        <v>8:15</v>
      </c>
    </row>
    <row r="114" spans="2:24" ht="30" x14ac:dyDescent="0.25">
      <c r="B114" s="3" t="s">
        <v>9</v>
      </c>
      <c r="C114" s="3" t="s">
        <v>17</v>
      </c>
      <c r="D114" s="3" t="s">
        <v>18</v>
      </c>
      <c r="E114" s="3" t="s">
        <v>19</v>
      </c>
      <c r="F114" s="3" t="s">
        <v>20</v>
      </c>
      <c r="G114" s="3" t="s">
        <v>21</v>
      </c>
      <c r="H114" s="3" t="s">
        <v>22</v>
      </c>
      <c r="I114" s="3" t="s">
        <v>23</v>
      </c>
      <c r="J114" s="3" t="s">
        <v>24</v>
      </c>
      <c r="K114" s="3" t="s">
        <v>25</v>
      </c>
      <c r="L114" s="3" t="s">
        <v>26</v>
      </c>
    </row>
    <row r="115" spans="2:24" ht="30" x14ac:dyDescent="0.25">
      <c r="B115" s="4">
        <v>203</v>
      </c>
      <c r="C115" s="4" t="s">
        <v>95</v>
      </c>
      <c r="D115" s="4" t="s">
        <v>96</v>
      </c>
      <c r="E115" s="4">
        <v>2111</v>
      </c>
      <c r="F115" s="4" t="s">
        <v>29</v>
      </c>
      <c r="G115" s="4" t="s">
        <v>56</v>
      </c>
      <c r="H115" s="4" t="s">
        <v>103</v>
      </c>
      <c r="I115" s="4" t="s">
        <v>104</v>
      </c>
      <c r="J115" s="4">
        <v>319</v>
      </c>
      <c r="L115" s="4" t="s">
        <v>40</v>
      </c>
      <c r="M115" s="5"/>
      <c r="O115" s="5"/>
      <c r="Q115" s="4">
        <f>B115</f>
        <v>203</v>
      </c>
      <c r="R115" s="4" t="str">
        <f>C115</f>
        <v>02/10/2026</v>
      </c>
      <c r="S115" s="4" t="str">
        <f>D115</f>
        <v>viernes</v>
      </c>
      <c r="T115" s="4" t="str">
        <f>E115&amp;"/"&amp;E116</f>
        <v>2111/2110</v>
      </c>
      <c r="U115" s="4" t="str">
        <f>F115&amp;"-"&amp;G115&amp;"-"&amp;F115</f>
        <v>LIM-AQP-LIM</v>
      </c>
      <c r="V115" s="4" t="str">
        <f>IF($M$115="","",$M$115)</f>
        <v/>
      </c>
      <c r="W115" s="4" t="str">
        <f>IF($O$115="","",$O$115)</f>
        <v/>
      </c>
      <c r="X115" s="4">
        <f>J115</f>
        <v>319</v>
      </c>
    </row>
    <row r="116" spans="2:24" ht="30" x14ac:dyDescent="0.25">
      <c r="B116" s="4">
        <v>203</v>
      </c>
      <c r="C116" s="4" t="s">
        <v>95</v>
      </c>
      <c r="D116" s="4" t="s">
        <v>96</v>
      </c>
      <c r="E116" s="4">
        <v>2110</v>
      </c>
      <c r="F116" s="4" t="s">
        <v>56</v>
      </c>
      <c r="G116" s="4" t="s">
        <v>29</v>
      </c>
      <c r="H116" s="4" t="s">
        <v>84</v>
      </c>
      <c r="I116" s="4" t="s">
        <v>105</v>
      </c>
      <c r="J116" s="4">
        <v>319</v>
      </c>
      <c r="K116" t="str">
        <f>TEXT(TIMEVALUE(H116)-TIMEVALUE(I115)+(TIMEVALUE(H116)&lt;TIMEVALUE(I115)),"[h]:mm")</f>
        <v>4:40</v>
      </c>
      <c r="L116" s="4" t="s">
        <v>71</v>
      </c>
      <c r="O116" t="str">
        <f>"LIM-"&amp;G115&amp;"-LIM   LA "&amp;E115&amp;" ("&amp;LEFT(H115,5)&amp;"-"&amp;LEFT(I115,5)&amp;" hrs)  /  LA "&amp;E116&amp;" ("&amp;LEFT(H116,5)&amp;"-"&amp;LEFT(I116,5)&amp;" hrs)"</f>
        <v>LIM-AQP-LIM   LA 2111 (11:40-13:10 hrs)  /  LA 2110 (17:50-19:30 hrs)</v>
      </c>
    </row>
    <row r="117" spans="2:24" x14ac:dyDescent="0.25">
      <c r="J117" s="7" t="s">
        <v>43</v>
      </c>
      <c r="K117" s="8" t="str">
        <f>TEXT(TIMEVALUE(I116)-TIMEVALUE(H115)+(I116&lt;H115),"[h]:mm")</f>
        <v>7:50</v>
      </c>
    </row>
    <row r="119" spans="2:24" ht="30" x14ac:dyDescent="0.25">
      <c r="B119" s="3" t="s">
        <v>9</v>
      </c>
      <c r="C119" s="3" t="s">
        <v>17</v>
      </c>
      <c r="D119" s="3" t="s">
        <v>18</v>
      </c>
      <c r="E119" s="3" t="s">
        <v>19</v>
      </c>
      <c r="F119" s="3" t="s">
        <v>20</v>
      </c>
      <c r="G119" s="3" t="s">
        <v>21</v>
      </c>
      <c r="H119" s="3" t="s">
        <v>22</v>
      </c>
      <c r="I119" s="3" t="s">
        <v>23</v>
      </c>
      <c r="J119" s="3" t="s">
        <v>24</v>
      </c>
      <c r="K119" s="3" t="s">
        <v>25</v>
      </c>
      <c r="L119" s="3" t="s">
        <v>26</v>
      </c>
    </row>
    <row r="120" spans="2:24" ht="30" x14ac:dyDescent="0.25">
      <c r="B120" s="4">
        <v>205</v>
      </c>
      <c r="C120" s="4" t="s">
        <v>95</v>
      </c>
      <c r="D120" s="4" t="s">
        <v>96</v>
      </c>
      <c r="E120" s="4">
        <v>2356</v>
      </c>
      <c r="F120" s="4" t="s">
        <v>29</v>
      </c>
      <c r="G120" s="4" t="s">
        <v>30</v>
      </c>
      <c r="H120" s="4" t="s">
        <v>98</v>
      </c>
      <c r="I120" s="4" t="s">
        <v>106</v>
      </c>
      <c r="J120" s="4">
        <v>319</v>
      </c>
      <c r="L120" s="4" t="s">
        <v>93</v>
      </c>
      <c r="M120" s="5"/>
      <c r="O120" s="5"/>
      <c r="Q120" s="4">
        <f>B120</f>
        <v>205</v>
      </c>
      <c r="R120" s="4" t="str">
        <f>C120</f>
        <v>02/10/2026</v>
      </c>
      <c r="S120" s="4" t="str">
        <f>D120</f>
        <v>viernes</v>
      </c>
      <c r="T120" s="4" t="str">
        <f>E120&amp;"/"&amp;E121</f>
        <v>2356/2357</v>
      </c>
      <c r="U120" s="4" t="str">
        <f>F120&amp;"-"&amp;G120&amp;"-"&amp;F120</f>
        <v>LIM-CUZ-LIM</v>
      </c>
      <c r="V120" s="4" t="str">
        <f>IF($M$120="","",$M$120)</f>
        <v/>
      </c>
      <c r="W120" s="4" t="str">
        <f>IF($O$120="","",$O$120)</f>
        <v/>
      </c>
      <c r="X120" s="4">
        <f>J120</f>
        <v>319</v>
      </c>
    </row>
    <row r="121" spans="2:24" ht="30" x14ac:dyDescent="0.25">
      <c r="B121" s="4">
        <v>205</v>
      </c>
      <c r="C121" s="4" t="s">
        <v>95</v>
      </c>
      <c r="D121" s="4" t="s">
        <v>96</v>
      </c>
      <c r="E121" s="4">
        <v>2357</v>
      </c>
      <c r="F121" s="4" t="s">
        <v>30</v>
      </c>
      <c r="G121" s="4" t="s">
        <v>29</v>
      </c>
      <c r="H121" s="4" t="s">
        <v>107</v>
      </c>
      <c r="I121" s="4" t="s">
        <v>108</v>
      </c>
      <c r="J121" s="4">
        <v>319</v>
      </c>
      <c r="K121" t="str">
        <f>TEXT(TIMEVALUE(H121)-TIMEVALUE(I120)+(TIMEVALUE(H121)&lt;TIMEVALUE(I120)),"[h]:mm")</f>
        <v>0:40</v>
      </c>
      <c r="L121" s="4" t="s">
        <v>36</v>
      </c>
      <c r="O121" t="str">
        <f>"LIM-"&amp;G120&amp;"-LIM   LA "&amp;E120&amp;" ("&amp;LEFT(H120,5)&amp;"-"&amp;LEFT(I120,5)&amp;" hrs)  /  LA "&amp;E121&amp;" ("&amp;LEFT(H121,5)&amp;"-"&amp;LEFT(I121,5)&amp;" hrs)"</f>
        <v>LIM-CUZ-LIM   LA 2356 (12:10-13:35 hrs)  /  LA 2357 (14:15-15:50 hrs)</v>
      </c>
    </row>
    <row r="122" spans="2:24" x14ac:dyDescent="0.25">
      <c r="J122" s="7" t="s">
        <v>43</v>
      </c>
      <c r="K122" s="8" t="str">
        <f>TEXT(TIMEVALUE(I121)-TIMEVALUE(H120)+(I121&lt;H120),"[h]:mm")</f>
        <v>3:40</v>
      </c>
    </row>
    <row r="124" spans="2:24" ht="30" x14ac:dyDescent="0.25">
      <c r="B124" s="3" t="s">
        <v>9</v>
      </c>
      <c r="C124" s="3" t="s">
        <v>17</v>
      </c>
      <c r="D124" s="3" t="s">
        <v>18</v>
      </c>
      <c r="E124" s="3" t="s">
        <v>19</v>
      </c>
      <c r="F124" s="3" t="s">
        <v>20</v>
      </c>
      <c r="G124" s="3" t="s">
        <v>21</v>
      </c>
      <c r="H124" s="3" t="s">
        <v>22</v>
      </c>
      <c r="I124" s="3" t="s">
        <v>23</v>
      </c>
      <c r="J124" s="3" t="s">
        <v>24</v>
      </c>
      <c r="K124" s="3" t="s">
        <v>25</v>
      </c>
      <c r="L124" s="3" t="s">
        <v>26</v>
      </c>
    </row>
    <row r="125" spans="2:24" ht="30" x14ac:dyDescent="0.25">
      <c r="B125" s="4">
        <v>210</v>
      </c>
      <c r="C125" s="4" t="s">
        <v>95</v>
      </c>
      <c r="D125" s="4" t="s">
        <v>96</v>
      </c>
      <c r="E125" s="4">
        <v>2043</v>
      </c>
      <c r="F125" s="4" t="s">
        <v>29</v>
      </c>
      <c r="G125" s="4" t="s">
        <v>56</v>
      </c>
      <c r="H125" s="4" t="s">
        <v>48</v>
      </c>
      <c r="I125" s="4" t="s">
        <v>107</v>
      </c>
      <c r="J125" s="4">
        <v>320</v>
      </c>
      <c r="L125" s="4" t="s">
        <v>40</v>
      </c>
      <c r="M125" s="5"/>
      <c r="O125" s="5"/>
      <c r="Q125" s="4">
        <f>B125</f>
        <v>210</v>
      </c>
      <c r="R125" s="4" t="str">
        <f>C125</f>
        <v>02/10/2026</v>
      </c>
      <c r="S125" s="4" t="str">
        <f>D125</f>
        <v>viernes</v>
      </c>
      <c r="T125" s="4" t="str">
        <f>E125&amp;"/"&amp;E126</f>
        <v>2043/2044</v>
      </c>
      <c r="U125" s="4" t="str">
        <f>F125&amp;"-"&amp;G125&amp;"-"&amp;F125</f>
        <v>LIM-AQP-LIM</v>
      </c>
      <c r="V125" s="4" t="str">
        <f>IF($M$125="","",$M$125)</f>
        <v/>
      </c>
      <c r="W125" s="4" t="str">
        <f>IF($O$125="","",$O$125)</f>
        <v/>
      </c>
      <c r="X125" s="4">
        <f>J125</f>
        <v>320</v>
      </c>
    </row>
    <row r="126" spans="2:24" ht="30" x14ac:dyDescent="0.25">
      <c r="B126" s="4">
        <v>210</v>
      </c>
      <c r="C126" s="4" t="s">
        <v>95</v>
      </c>
      <c r="D126" s="4" t="s">
        <v>96</v>
      </c>
      <c r="E126" s="4">
        <v>2044</v>
      </c>
      <c r="F126" s="4" t="s">
        <v>56</v>
      </c>
      <c r="G126" s="4" t="s">
        <v>29</v>
      </c>
      <c r="H126" s="4" t="s">
        <v>109</v>
      </c>
      <c r="I126" s="4" t="s">
        <v>52</v>
      </c>
      <c r="J126" s="4">
        <v>320</v>
      </c>
      <c r="K126" t="str">
        <f>TEXT(TIMEVALUE(H126)-TIMEVALUE(I125)+(TIMEVALUE(H126)&lt;TIMEVALUE(I125)),"[h]:mm")</f>
        <v>0:45</v>
      </c>
      <c r="L126" s="4" t="s">
        <v>36</v>
      </c>
      <c r="O126" t="str">
        <f>"LIM-"&amp;G125&amp;"-LIM   LA "&amp;E125&amp;" ("&amp;LEFT(H125,5)&amp;"-"&amp;LEFT(I125,5)&amp;" hrs)  /  LA "&amp;E126&amp;" ("&amp;LEFT(H126,5)&amp;"-"&amp;LEFT(I126,5)&amp;" hrs)"</f>
        <v>LIM-AQP-LIM   LA 2043 (12:45-14:15 hrs)  /  LA 2044 (15:00-16:35 hrs)</v>
      </c>
    </row>
    <row r="127" spans="2:24" x14ac:dyDescent="0.25">
      <c r="J127" s="7" t="s">
        <v>43</v>
      </c>
      <c r="K127" s="8" t="str">
        <f>TEXT(TIMEVALUE(I126)-TIMEVALUE(H125)+(I126&lt;H125),"[h]:mm")</f>
        <v>3:50</v>
      </c>
    </row>
    <row r="129" spans="2:24" ht="30" x14ac:dyDescent="0.25">
      <c r="B129" s="3" t="s">
        <v>9</v>
      </c>
      <c r="C129" s="3" t="s">
        <v>17</v>
      </c>
      <c r="D129" s="3" t="s">
        <v>18</v>
      </c>
      <c r="E129" s="3" t="s">
        <v>19</v>
      </c>
      <c r="F129" s="3" t="s">
        <v>20</v>
      </c>
      <c r="G129" s="3" t="s">
        <v>21</v>
      </c>
      <c r="H129" s="3" t="s">
        <v>22</v>
      </c>
      <c r="I129" s="3" t="s">
        <v>23</v>
      </c>
      <c r="J129" s="3" t="s">
        <v>24</v>
      </c>
      <c r="K129" s="3" t="s">
        <v>25</v>
      </c>
      <c r="L129" s="3" t="s">
        <v>26</v>
      </c>
    </row>
    <row r="130" spans="2:24" ht="30" x14ac:dyDescent="0.25">
      <c r="B130" s="4">
        <v>217</v>
      </c>
      <c r="C130" s="4" t="s">
        <v>95</v>
      </c>
      <c r="D130" s="4" t="s">
        <v>96</v>
      </c>
      <c r="E130" s="4">
        <v>2087</v>
      </c>
      <c r="F130" s="4" t="s">
        <v>29</v>
      </c>
      <c r="G130" s="4" t="s">
        <v>91</v>
      </c>
      <c r="H130" s="4" t="s">
        <v>67</v>
      </c>
      <c r="I130" s="4" t="s">
        <v>76</v>
      </c>
      <c r="J130" s="4">
        <v>320</v>
      </c>
      <c r="L130" s="4" t="s">
        <v>93</v>
      </c>
      <c r="M130" s="5"/>
      <c r="O130" s="5"/>
      <c r="Q130" s="4">
        <f>B130</f>
        <v>217</v>
      </c>
      <c r="R130" s="4" t="str">
        <f>C130</f>
        <v>02/10/2026</v>
      </c>
      <c r="S130" s="4" t="str">
        <f>D130</f>
        <v>viernes</v>
      </c>
      <c r="T130" s="4" t="str">
        <f>E130&amp;"/"&amp;E131</f>
        <v>2087/2088</v>
      </c>
      <c r="U130" s="4" t="str">
        <f>F130&amp;"-"&amp;G130&amp;"-"&amp;F130</f>
        <v>LIM-TPP-LIM</v>
      </c>
      <c r="V130" s="4" t="str">
        <f>IF($M$130="","",$M$130)</f>
        <v/>
      </c>
      <c r="W130" s="4" t="str">
        <f>IF($O$130="","",$O$130)</f>
        <v/>
      </c>
      <c r="X130" s="4">
        <f>J130</f>
        <v>320</v>
      </c>
    </row>
    <row r="131" spans="2:24" ht="30" x14ac:dyDescent="0.25">
      <c r="B131" s="4">
        <v>217</v>
      </c>
      <c r="C131" s="4" t="s">
        <v>95</v>
      </c>
      <c r="D131" s="4" t="s">
        <v>96</v>
      </c>
      <c r="E131" s="4">
        <v>2088</v>
      </c>
      <c r="F131" s="4" t="s">
        <v>91</v>
      </c>
      <c r="G131" s="4" t="s">
        <v>29</v>
      </c>
      <c r="H131" s="4" t="s">
        <v>85</v>
      </c>
      <c r="I131" s="4" t="s">
        <v>100</v>
      </c>
      <c r="J131" s="4">
        <v>320</v>
      </c>
      <c r="K131" t="str">
        <f>TEXT(TIMEVALUE(H131)-TIMEVALUE(I130)+(TIMEVALUE(H131)&lt;TIMEVALUE(I130)),"[h]:mm")</f>
        <v>0:35</v>
      </c>
      <c r="L131" s="4" t="s">
        <v>93</v>
      </c>
      <c r="O131" t="str">
        <f>"LIM-"&amp;G130&amp;"-LIM   LA "&amp;E130&amp;" ("&amp;LEFT(H130,5)&amp;"-"&amp;LEFT(I130,5)&amp;" hrs)  /  LA "&amp;E131&amp;" ("&amp;LEFT(H131,5)&amp;"-"&amp;LEFT(I131,5)&amp;" hrs)"</f>
        <v>LIM-TPP-LIM   LA 2087 (14:05-15:30 hrs)  /  LA 2088 (16:05-17:30 hrs)</v>
      </c>
    </row>
    <row r="132" spans="2:24" x14ac:dyDescent="0.25">
      <c r="J132" s="7" t="s">
        <v>43</v>
      </c>
      <c r="K132" s="8" t="str">
        <f>TEXT(TIMEVALUE(I131)-TIMEVALUE(H130)+(I131&lt;H130),"[h]:mm")</f>
        <v>3:25</v>
      </c>
    </row>
    <row r="134" spans="2:24" ht="30" x14ac:dyDescent="0.25">
      <c r="B134" s="3" t="s">
        <v>9</v>
      </c>
      <c r="C134" s="3" t="s">
        <v>17</v>
      </c>
      <c r="D134" s="3" t="s">
        <v>18</v>
      </c>
      <c r="E134" s="3" t="s">
        <v>19</v>
      </c>
      <c r="F134" s="3" t="s">
        <v>20</v>
      </c>
      <c r="G134" s="3" t="s">
        <v>21</v>
      </c>
      <c r="H134" s="3" t="s">
        <v>22</v>
      </c>
      <c r="I134" s="3" t="s">
        <v>23</v>
      </c>
      <c r="J134" s="3" t="s">
        <v>24</v>
      </c>
      <c r="K134" s="3" t="s">
        <v>25</v>
      </c>
      <c r="L134" s="3" t="s">
        <v>26</v>
      </c>
    </row>
    <row r="135" spans="2:24" ht="30" x14ac:dyDescent="0.25">
      <c r="B135" s="4">
        <v>218</v>
      </c>
      <c r="C135" s="4" t="s">
        <v>95</v>
      </c>
      <c r="D135" s="4" t="s">
        <v>96</v>
      </c>
      <c r="E135" s="4">
        <v>2295</v>
      </c>
      <c r="F135" s="4" t="s">
        <v>29</v>
      </c>
      <c r="G135" s="4" t="s">
        <v>50</v>
      </c>
      <c r="H135" s="4" t="s">
        <v>110</v>
      </c>
      <c r="I135" s="4" t="s">
        <v>76</v>
      </c>
      <c r="J135" s="4">
        <v>320</v>
      </c>
      <c r="L135" s="4" t="s">
        <v>33</v>
      </c>
      <c r="M135" s="5"/>
      <c r="O135" s="5"/>
      <c r="Q135" s="4">
        <f>B135</f>
        <v>218</v>
      </c>
      <c r="R135" s="4" t="str">
        <f>C135</f>
        <v>02/10/2026</v>
      </c>
      <c r="S135" s="4" t="str">
        <f>D135</f>
        <v>viernes</v>
      </c>
      <c r="T135" s="4" t="str">
        <f>E135&amp;"/"&amp;E136</f>
        <v>2295/2294</v>
      </c>
      <c r="U135" s="4" t="str">
        <f>F135&amp;"-"&amp;G135&amp;"-"&amp;F135</f>
        <v>LIM-CJA-LIM</v>
      </c>
      <c r="V135" s="4" t="str">
        <f>IF($M$135="","",$M$135)</f>
        <v/>
      </c>
      <c r="W135" s="4" t="str">
        <f>IF($O$135="","",$O$135)</f>
        <v/>
      </c>
      <c r="X135" s="4">
        <f>J135</f>
        <v>320</v>
      </c>
    </row>
    <row r="136" spans="2:24" ht="30" x14ac:dyDescent="0.25">
      <c r="B136" s="4">
        <v>218</v>
      </c>
      <c r="C136" s="4" t="s">
        <v>95</v>
      </c>
      <c r="D136" s="4" t="s">
        <v>96</v>
      </c>
      <c r="E136" s="4">
        <v>2294</v>
      </c>
      <c r="F136" s="4" t="s">
        <v>50</v>
      </c>
      <c r="G136" s="4" t="s">
        <v>29</v>
      </c>
      <c r="H136" s="4" t="s">
        <v>83</v>
      </c>
      <c r="I136" s="4" t="s">
        <v>42</v>
      </c>
      <c r="J136" s="4">
        <v>320</v>
      </c>
      <c r="K136" t="str">
        <f>TEXT(TIMEVALUE(H136)-TIMEVALUE(I135)+(TIMEVALUE(H136)&lt;TIMEVALUE(I135)),"[h]:mm")</f>
        <v>0:40</v>
      </c>
      <c r="L136" s="4" t="s">
        <v>55</v>
      </c>
      <c r="O136" t="str">
        <f>"LIM-"&amp;G135&amp;"-LIM   LA "&amp;E135&amp;" ("&amp;LEFT(H135,5)&amp;"-"&amp;LEFT(I135,5)&amp;" hrs)  /  LA "&amp;E136&amp;" ("&amp;LEFT(H136,5)&amp;"-"&amp;LEFT(I136,5)&amp;" hrs)"</f>
        <v>LIM-CJA-LIM   LA 2295 (14:10-15:30 hrs)  /  LA 2294 (16:10-17:15 hrs)</v>
      </c>
    </row>
    <row r="137" spans="2:24" ht="30" x14ac:dyDescent="0.25">
      <c r="B137" s="4">
        <v>234</v>
      </c>
      <c r="C137" s="4" t="s">
        <v>95</v>
      </c>
      <c r="D137" s="4" t="s">
        <v>96</v>
      </c>
      <c r="E137" s="4">
        <v>2310</v>
      </c>
      <c r="F137" s="4" t="s">
        <v>29</v>
      </c>
      <c r="G137" s="4" t="s">
        <v>37</v>
      </c>
      <c r="H137" s="4" t="s">
        <v>111</v>
      </c>
      <c r="I137" s="4" t="s">
        <v>112</v>
      </c>
      <c r="J137" s="4">
        <v>320</v>
      </c>
      <c r="K137" s="6" t="str">
        <f>TEXT(TIMEVALUE(H137)-TIMEVALUE(I136)+(TIMEVALUE(H137)&lt;TIMEVALUE(I136)),"[h]:mm")</f>
        <v>1:00</v>
      </c>
      <c r="L137" s="4" t="s">
        <v>40</v>
      </c>
      <c r="M137" t="str">
        <f>IF($M$135="","",$M$135)</f>
        <v/>
      </c>
      <c r="O137" t="str">
        <f>IF($O$135="","",$O$135)</f>
        <v/>
      </c>
      <c r="Q137" s="4">
        <f>B137</f>
        <v>234</v>
      </c>
      <c r="R137" s="4" t="str">
        <f>C137</f>
        <v>02/10/2026</v>
      </c>
      <c r="S137" s="4" t="str">
        <f>D137</f>
        <v>viernes</v>
      </c>
      <c r="T137" s="4" t="str">
        <f>E137&amp;"/"&amp;E138</f>
        <v>2310/2311</v>
      </c>
      <c r="U137" s="4" t="str">
        <f>F137&amp;"-"&amp;G137&amp;"-"&amp;F137</f>
        <v>LIM-CIX-LIM</v>
      </c>
      <c r="V137" s="4" t="str">
        <f>IF($M$135="","",$M$135)</f>
        <v/>
      </c>
      <c r="W137" s="4" t="str">
        <f>IF($O$135="","",$O$135)</f>
        <v/>
      </c>
      <c r="X137" s="4">
        <f>J137</f>
        <v>320</v>
      </c>
    </row>
    <row r="138" spans="2:24" ht="30" x14ac:dyDescent="0.25">
      <c r="B138" s="4">
        <v>234</v>
      </c>
      <c r="C138" s="4" t="s">
        <v>95</v>
      </c>
      <c r="D138" s="4" t="s">
        <v>96</v>
      </c>
      <c r="E138" s="4">
        <v>2311</v>
      </c>
      <c r="F138" s="4" t="s">
        <v>37</v>
      </c>
      <c r="G138" s="4" t="s">
        <v>29</v>
      </c>
      <c r="H138" s="4" t="s">
        <v>113</v>
      </c>
      <c r="I138" s="4" t="s">
        <v>114</v>
      </c>
      <c r="J138" s="4">
        <v>320</v>
      </c>
      <c r="K138" t="str">
        <f>TEXT(TIMEVALUE(H138)-TIMEVALUE(I137)+(TIMEVALUE(H138)&lt;TIMEVALUE(I137)),"[h]:mm")</f>
        <v>0:35</v>
      </c>
      <c r="L138" s="4" t="s">
        <v>93</v>
      </c>
      <c r="O138" t="str">
        <f>"LIM-"&amp;G137&amp;"-LIM   LA "&amp;E137&amp;" ("&amp;LEFT(H137,5)&amp;"-"&amp;LEFT(I137,5)&amp;" hrs)  /  LA "&amp;E138&amp;" ("&amp;LEFT(H138,5)&amp;"-"&amp;LEFT(I138,5)&amp;" hrs)"</f>
        <v>LIM-CIX-LIM   LA 2310 (18:15-19:45 hrs)  /  LA 2311 (20:20-21:45 hrs)</v>
      </c>
    </row>
    <row r="139" spans="2:24" x14ac:dyDescent="0.25">
      <c r="J139" s="7" t="s">
        <v>43</v>
      </c>
      <c r="K139" s="8" t="str">
        <f>TEXT(TIMEVALUE(I138)-TIMEVALUE(H135)+(I138&lt;H135),"[h]:mm")</f>
        <v>7:35</v>
      </c>
    </row>
    <row r="141" spans="2:24" ht="30" x14ac:dyDescent="0.25">
      <c r="B141" s="3" t="s">
        <v>9</v>
      </c>
      <c r="C141" s="3" t="s">
        <v>17</v>
      </c>
      <c r="D141" s="3" t="s">
        <v>18</v>
      </c>
      <c r="E141" s="3" t="s">
        <v>19</v>
      </c>
      <c r="F141" s="3" t="s">
        <v>20</v>
      </c>
      <c r="G141" s="3" t="s">
        <v>21</v>
      </c>
      <c r="H141" s="3" t="s">
        <v>22</v>
      </c>
      <c r="I141" s="3" t="s">
        <v>23</v>
      </c>
      <c r="J141" s="3" t="s">
        <v>24</v>
      </c>
      <c r="K141" s="3" t="s">
        <v>25</v>
      </c>
      <c r="L141" s="3" t="s">
        <v>26</v>
      </c>
    </row>
    <row r="142" spans="2:24" ht="30" x14ac:dyDescent="0.25">
      <c r="B142" s="4">
        <v>220</v>
      </c>
      <c r="C142" s="4" t="s">
        <v>95</v>
      </c>
      <c r="D142" s="4" t="s">
        <v>96</v>
      </c>
      <c r="E142" s="4">
        <v>2154</v>
      </c>
      <c r="F142" s="4" t="s">
        <v>29</v>
      </c>
      <c r="G142" s="4" t="s">
        <v>30</v>
      </c>
      <c r="H142" s="4" t="s">
        <v>75</v>
      </c>
      <c r="I142" s="4" t="s">
        <v>85</v>
      </c>
      <c r="J142" s="4">
        <v>320</v>
      </c>
      <c r="L142" s="4" t="s">
        <v>33</v>
      </c>
      <c r="M142" s="5"/>
      <c r="O142" s="5"/>
      <c r="Q142" s="4">
        <f>B142</f>
        <v>220</v>
      </c>
      <c r="R142" s="4" t="str">
        <f>C142</f>
        <v>02/10/2026</v>
      </c>
      <c r="S142" s="4" t="str">
        <f>D142</f>
        <v>viernes</v>
      </c>
      <c r="T142" s="4" t="str">
        <f>E142&amp;"/"&amp;E143</f>
        <v>2154/2155</v>
      </c>
      <c r="U142" s="4" t="str">
        <f>F142&amp;"-"&amp;G142&amp;"-"&amp;F142</f>
        <v>LIM-CUZ-LIM</v>
      </c>
      <c r="V142" s="4" t="str">
        <f>IF($M$142="","",$M$142)</f>
        <v/>
      </c>
      <c r="W142" s="4" t="str">
        <f>IF($O$142="","",$O$142)</f>
        <v/>
      </c>
      <c r="X142" s="4">
        <f>J142</f>
        <v>320</v>
      </c>
    </row>
    <row r="143" spans="2:24" ht="30" x14ac:dyDescent="0.25">
      <c r="B143" s="4">
        <v>220</v>
      </c>
      <c r="C143" s="4" t="s">
        <v>95</v>
      </c>
      <c r="D143" s="4" t="s">
        <v>96</v>
      </c>
      <c r="E143" s="4">
        <v>2155</v>
      </c>
      <c r="F143" s="4" t="s">
        <v>30</v>
      </c>
      <c r="G143" s="4" t="s">
        <v>29</v>
      </c>
      <c r="H143" s="4" t="s">
        <v>86</v>
      </c>
      <c r="I143" s="4" t="s">
        <v>78</v>
      </c>
      <c r="J143" s="4">
        <v>320</v>
      </c>
      <c r="K143" t="str">
        <f>TEXT(TIMEVALUE(H143)-TIMEVALUE(I142)+(TIMEVALUE(H143)&lt;TIMEVALUE(I142)),"[h]:mm")</f>
        <v>0:40</v>
      </c>
      <c r="L143" s="4" t="s">
        <v>36</v>
      </c>
      <c r="O143" t="str">
        <f>"LIM-"&amp;G142&amp;"-LIM   LA "&amp;E142&amp;" ("&amp;LEFT(H142,5)&amp;"-"&amp;LEFT(I142,5)&amp;" hrs)  /  LA "&amp;E143&amp;" ("&amp;LEFT(H143,5)&amp;"-"&amp;LEFT(I143,5)&amp;" hrs)"</f>
        <v>LIM-CUZ-LIM   LA 2154 (14:45-16:05 hrs)  /  LA 2155 (16:45-18:20 hrs)</v>
      </c>
    </row>
    <row r="144" spans="2:24" x14ac:dyDescent="0.25">
      <c r="J144" s="7" t="s">
        <v>43</v>
      </c>
      <c r="K144" s="8" t="str">
        <f>TEXT(TIMEVALUE(I143)-TIMEVALUE(H142)+(I143&lt;H142),"[h]:mm")</f>
        <v>3:35</v>
      </c>
    </row>
    <row r="146" spans="2:24" ht="30" x14ac:dyDescent="0.25">
      <c r="B146" s="3" t="s">
        <v>9</v>
      </c>
      <c r="C146" s="3" t="s">
        <v>17</v>
      </c>
      <c r="D146" s="3" t="s">
        <v>18</v>
      </c>
      <c r="E146" s="3" t="s">
        <v>19</v>
      </c>
      <c r="F146" s="3" t="s">
        <v>20</v>
      </c>
      <c r="G146" s="3" t="s">
        <v>21</v>
      </c>
      <c r="H146" s="3" t="s">
        <v>22</v>
      </c>
      <c r="I146" s="3" t="s">
        <v>23</v>
      </c>
      <c r="J146" s="3" t="s">
        <v>24</v>
      </c>
      <c r="K146" s="3" t="s">
        <v>25</v>
      </c>
      <c r="L146" s="3" t="s">
        <v>26</v>
      </c>
    </row>
    <row r="147" spans="2:24" ht="30" x14ac:dyDescent="0.25">
      <c r="B147" s="4">
        <v>221</v>
      </c>
      <c r="C147" s="4" t="s">
        <v>95</v>
      </c>
      <c r="D147" s="4" t="s">
        <v>96</v>
      </c>
      <c r="E147" s="4">
        <v>2154</v>
      </c>
      <c r="F147" s="4" t="s">
        <v>29</v>
      </c>
      <c r="G147" s="4" t="s">
        <v>30</v>
      </c>
      <c r="H147" s="4" t="s">
        <v>75</v>
      </c>
      <c r="I147" s="4" t="s">
        <v>85</v>
      </c>
      <c r="J147" s="4">
        <v>320</v>
      </c>
      <c r="L147" s="4" t="s">
        <v>33</v>
      </c>
      <c r="M147" s="5"/>
      <c r="O147" s="5"/>
      <c r="Q147" s="4">
        <f>B147</f>
        <v>221</v>
      </c>
      <c r="R147" s="4" t="str">
        <f>C147</f>
        <v>02/10/2026</v>
      </c>
      <c r="S147" s="4" t="str">
        <f>D147</f>
        <v>viernes</v>
      </c>
      <c r="T147" s="4" t="str">
        <f>E147&amp;"/"&amp;E148</f>
        <v>2154/2155</v>
      </c>
      <c r="U147" s="4" t="str">
        <f>F147&amp;"-"&amp;G147&amp;"-"&amp;F147</f>
        <v>LIM-CUZ-LIM</v>
      </c>
      <c r="V147" s="4" t="str">
        <f>IF($M$147="","",$M$147)</f>
        <v/>
      </c>
      <c r="W147" s="4" t="str">
        <f>IF($O$147="","",$O$147)</f>
        <v/>
      </c>
      <c r="X147" s="4">
        <f>J147</f>
        <v>320</v>
      </c>
    </row>
    <row r="148" spans="2:24" ht="30" x14ac:dyDescent="0.25">
      <c r="B148" s="4">
        <v>221</v>
      </c>
      <c r="C148" s="4" t="s">
        <v>95</v>
      </c>
      <c r="D148" s="4" t="s">
        <v>96</v>
      </c>
      <c r="E148" s="4">
        <v>2155</v>
      </c>
      <c r="F148" s="4" t="s">
        <v>30</v>
      </c>
      <c r="G148" s="4" t="s">
        <v>29</v>
      </c>
      <c r="H148" s="4" t="s">
        <v>86</v>
      </c>
      <c r="I148" s="4" t="s">
        <v>78</v>
      </c>
      <c r="J148" s="4">
        <v>320</v>
      </c>
      <c r="K148" t="str">
        <f>TEXT(TIMEVALUE(H148)-TIMEVALUE(I147)+(TIMEVALUE(H148)&lt;TIMEVALUE(I147)),"[h]:mm")</f>
        <v>0:40</v>
      </c>
      <c r="L148" s="4" t="s">
        <v>36</v>
      </c>
      <c r="O148" t="str">
        <f>"LIM-"&amp;G147&amp;"-LIM   LA "&amp;E147&amp;" ("&amp;LEFT(H147,5)&amp;"-"&amp;LEFT(I147,5)&amp;" hrs)  /  LA "&amp;E148&amp;" ("&amp;LEFT(H148,5)&amp;"-"&amp;LEFT(I148,5)&amp;" hrs)"</f>
        <v>LIM-CUZ-LIM   LA 2154 (14:45-16:05 hrs)  /  LA 2155 (16:45-18:20 hrs)</v>
      </c>
    </row>
    <row r="149" spans="2:24" x14ac:dyDescent="0.25">
      <c r="J149" s="7" t="s">
        <v>43</v>
      </c>
      <c r="K149" s="8" t="str">
        <f>TEXT(TIMEVALUE(I148)-TIMEVALUE(H147)+(I148&lt;H147),"[h]:mm")</f>
        <v>3:35</v>
      </c>
    </row>
    <row r="151" spans="2:24" ht="30" x14ac:dyDescent="0.25">
      <c r="B151" s="3" t="s">
        <v>9</v>
      </c>
      <c r="C151" s="3" t="s">
        <v>17</v>
      </c>
      <c r="D151" s="3" t="s">
        <v>18</v>
      </c>
      <c r="E151" s="3" t="s">
        <v>19</v>
      </c>
      <c r="F151" s="3" t="s">
        <v>20</v>
      </c>
      <c r="G151" s="3" t="s">
        <v>21</v>
      </c>
      <c r="H151" s="3" t="s">
        <v>22</v>
      </c>
      <c r="I151" s="3" t="s">
        <v>23</v>
      </c>
      <c r="J151" s="3" t="s">
        <v>24</v>
      </c>
      <c r="K151" s="3" t="s">
        <v>25</v>
      </c>
      <c r="L151" s="3" t="s">
        <v>26</v>
      </c>
    </row>
    <row r="152" spans="2:24" ht="30" x14ac:dyDescent="0.25">
      <c r="B152" s="4">
        <v>224</v>
      </c>
      <c r="C152" s="4" t="s">
        <v>95</v>
      </c>
      <c r="D152" s="4" t="s">
        <v>96</v>
      </c>
      <c r="E152" s="4">
        <v>2360</v>
      </c>
      <c r="F152" s="4" t="s">
        <v>29</v>
      </c>
      <c r="G152" s="4" t="s">
        <v>58</v>
      </c>
      <c r="H152" s="4" t="s">
        <v>59</v>
      </c>
      <c r="I152" s="4" t="s">
        <v>60</v>
      </c>
      <c r="J152" s="4">
        <v>320</v>
      </c>
      <c r="L152" s="4" t="s">
        <v>61</v>
      </c>
      <c r="M152" s="5"/>
      <c r="O152" s="5"/>
      <c r="Q152" s="4">
        <f>B152</f>
        <v>224</v>
      </c>
      <c r="R152" s="4" t="str">
        <f>C152</f>
        <v>02/10/2026</v>
      </c>
      <c r="S152" s="4" t="str">
        <f>D152</f>
        <v>viernes</v>
      </c>
      <c r="T152" s="4" t="str">
        <f>E152&amp;"/"&amp;E153</f>
        <v>2360/2361</v>
      </c>
      <c r="U152" s="4" t="str">
        <f>F152&amp;"-"&amp;G152&amp;"-"&amp;F152</f>
        <v>LIM-PCL-LIM</v>
      </c>
      <c r="V152" s="4" t="str">
        <f>IF($M$152="","",$M$152)</f>
        <v/>
      </c>
      <c r="W152" s="4" t="str">
        <f>IF($O$152="","",$O$152)</f>
        <v/>
      </c>
      <c r="X152" s="4">
        <f>J152</f>
        <v>320</v>
      </c>
    </row>
    <row r="153" spans="2:24" ht="30" x14ac:dyDescent="0.25">
      <c r="B153" s="4">
        <v>224</v>
      </c>
      <c r="C153" s="4" t="s">
        <v>95</v>
      </c>
      <c r="D153" s="4" t="s">
        <v>96</v>
      </c>
      <c r="E153" s="4">
        <v>2361</v>
      </c>
      <c r="F153" s="4" t="s">
        <v>58</v>
      </c>
      <c r="G153" s="4" t="s">
        <v>29</v>
      </c>
      <c r="H153" s="4" t="s">
        <v>53</v>
      </c>
      <c r="I153" s="4" t="s">
        <v>62</v>
      </c>
      <c r="J153" s="4">
        <v>320</v>
      </c>
      <c r="K153" t="str">
        <f>TEXT(TIMEVALUE(H153)-TIMEVALUE(I152)+(TIMEVALUE(H153)&lt;TIMEVALUE(I152)),"[h]:mm")</f>
        <v>0:40</v>
      </c>
      <c r="L153" s="4" t="s">
        <v>61</v>
      </c>
      <c r="O153" t="str">
        <f>"LIM-"&amp;G152&amp;"-LIM   LA "&amp;E152&amp;" ("&amp;LEFT(H152,5)&amp;"-"&amp;LEFT(I152,5)&amp;" hrs)  /  LA "&amp;E153&amp;" ("&amp;LEFT(H153,5)&amp;"-"&amp;LEFT(I153,5)&amp;" hrs)"</f>
        <v>LIM-PCL-LIM   LA 2360 (15:25-16:40 hrs)  /  LA 2361 (17:20-18:35 hrs)</v>
      </c>
    </row>
    <row r="154" spans="2:24" x14ac:dyDescent="0.25">
      <c r="J154" s="7" t="s">
        <v>43</v>
      </c>
      <c r="K154" s="8" t="str">
        <f>TEXT(TIMEVALUE(I153)-TIMEVALUE(H152)+(I153&lt;H152),"[h]:mm")</f>
        <v>3:10</v>
      </c>
    </row>
    <row r="156" spans="2:24" ht="30" x14ac:dyDescent="0.25">
      <c r="B156" s="3" t="s">
        <v>9</v>
      </c>
      <c r="C156" s="3" t="s">
        <v>17</v>
      </c>
      <c r="D156" s="3" t="s">
        <v>18</v>
      </c>
      <c r="E156" s="3" t="s">
        <v>19</v>
      </c>
      <c r="F156" s="3" t="s">
        <v>20</v>
      </c>
      <c r="G156" s="3" t="s">
        <v>21</v>
      </c>
      <c r="H156" s="3" t="s">
        <v>22</v>
      </c>
      <c r="I156" s="3" t="s">
        <v>23</v>
      </c>
      <c r="J156" s="3" t="s">
        <v>24</v>
      </c>
      <c r="K156" s="3" t="s">
        <v>25</v>
      </c>
      <c r="L156" s="3" t="s">
        <v>26</v>
      </c>
    </row>
    <row r="157" spans="2:24" ht="30" x14ac:dyDescent="0.25">
      <c r="B157" s="4">
        <v>225</v>
      </c>
      <c r="C157" s="4" t="s">
        <v>95</v>
      </c>
      <c r="D157" s="4" t="s">
        <v>96</v>
      </c>
      <c r="E157" s="4">
        <v>2360</v>
      </c>
      <c r="F157" s="4" t="s">
        <v>29</v>
      </c>
      <c r="G157" s="4" t="s">
        <v>58</v>
      </c>
      <c r="H157" s="4" t="s">
        <v>59</v>
      </c>
      <c r="I157" s="4" t="s">
        <v>60</v>
      </c>
      <c r="J157" s="4">
        <v>320</v>
      </c>
      <c r="L157" s="4" t="s">
        <v>61</v>
      </c>
      <c r="M157" s="5"/>
      <c r="O157" s="5"/>
      <c r="Q157" s="4">
        <f>B157</f>
        <v>225</v>
      </c>
      <c r="R157" s="4" t="str">
        <f>C157</f>
        <v>02/10/2026</v>
      </c>
      <c r="S157" s="4" t="str">
        <f>D157</f>
        <v>viernes</v>
      </c>
      <c r="T157" s="4" t="str">
        <f>E157&amp;"/"&amp;E158</f>
        <v>2360/2361</v>
      </c>
      <c r="U157" s="4" t="str">
        <f>F157&amp;"-"&amp;G157&amp;"-"&amp;F157</f>
        <v>LIM-PCL-LIM</v>
      </c>
      <c r="V157" s="4" t="str">
        <f>IF($M$157="","",$M$157)</f>
        <v/>
      </c>
      <c r="W157" s="4" t="str">
        <f>IF($O$157="","",$O$157)</f>
        <v/>
      </c>
      <c r="X157" s="4">
        <f>J157</f>
        <v>320</v>
      </c>
    </row>
    <row r="158" spans="2:24" ht="30" x14ac:dyDescent="0.25">
      <c r="B158" s="4">
        <v>225</v>
      </c>
      <c r="C158" s="4" t="s">
        <v>95</v>
      </c>
      <c r="D158" s="4" t="s">
        <v>96</v>
      </c>
      <c r="E158" s="4">
        <v>2361</v>
      </c>
      <c r="F158" s="4" t="s">
        <v>58</v>
      </c>
      <c r="G158" s="4" t="s">
        <v>29</v>
      </c>
      <c r="H158" s="4" t="s">
        <v>53</v>
      </c>
      <c r="I158" s="4" t="s">
        <v>62</v>
      </c>
      <c r="J158" s="4">
        <v>320</v>
      </c>
      <c r="K158" t="str">
        <f>TEXT(TIMEVALUE(H158)-TIMEVALUE(I157)+(TIMEVALUE(H158)&lt;TIMEVALUE(I157)),"[h]:mm")</f>
        <v>0:40</v>
      </c>
      <c r="L158" s="4" t="s">
        <v>61</v>
      </c>
      <c r="O158" t="str">
        <f>"LIM-"&amp;G157&amp;"-LIM   LA "&amp;E157&amp;" ("&amp;LEFT(H157,5)&amp;"-"&amp;LEFT(I157,5)&amp;" hrs)  /  LA "&amp;E158&amp;" ("&amp;LEFT(H158,5)&amp;"-"&amp;LEFT(I158,5)&amp;" hrs)"</f>
        <v>LIM-PCL-LIM   LA 2360 (15:25-16:40 hrs)  /  LA 2361 (17:20-18:35 hrs)</v>
      </c>
    </row>
    <row r="159" spans="2:24" x14ac:dyDescent="0.25">
      <c r="J159" s="7" t="s">
        <v>43</v>
      </c>
      <c r="K159" s="8" t="str">
        <f>TEXT(TIMEVALUE(I158)-TIMEVALUE(H157)+(I158&lt;H157),"[h]:mm")</f>
        <v>3:10</v>
      </c>
    </row>
    <row r="161" spans="2:24" ht="30" x14ac:dyDescent="0.25">
      <c r="B161" s="3" t="s">
        <v>9</v>
      </c>
      <c r="C161" s="3" t="s">
        <v>17</v>
      </c>
      <c r="D161" s="3" t="s">
        <v>18</v>
      </c>
      <c r="E161" s="3" t="s">
        <v>19</v>
      </c>
      <c r="F161" s="3" t="s">
        <v>20</v>
      </c>
      <c r="G161" s="3" t="s">
        <v>21</v>
      </c>
      <c r="H161" s="3" t="s">
        <v>22</v>
      </c>
      <c r="I161" s="3" t="s">
        <v>23</v>
      </c>
      <c r="J161" s="3" t="s">
        <v>24</v>
      </c>
      <c r="K161" s="3" t="s">
        <v>25</v>
      </c>
      <c r="L161" s="3" t="s">
        <v>26</v>
      </c>
    </row>
    <row r="162" spans="2:24" ht="30" x14ac:dyDescent="0.25">
      <c r="B162" s="4">
        <v>226</v>
      </c>
      <c r="C162" s="4" t="s">
        <v>95</v>
      </c>
      <c r="D162" s="4" t="s">
        <v>96</v>
      </c>
      <c r="E162" s="4">
        <v>2312</v>
      </c>
      <c r="F162" s="4" t="s">
        <v>29</v>
      </c>
      <c r="G162" s="4" t="s">
        <v>37</v>
      </c>
      <c r="H162" s="4" t="s">
        <v>89</v>
      </c>
      <c r="I162" s="4" t="s">
        <v>77</v>
      </c>
      <c r="J162" s="4">
        <v>320</v>
      </c>
      <c r="L162" s="4" t="s">
        <v>40</v>
      </c>
      <c r="M162" s="5"/>
      <c r="O162" s="5"/>
      <c r="Q162" s="4">
        <f>B162</f>
        <v>226</v>
      </c>
      <c r="R162" s="4" t="str">
        <f>C162</f>
        <v>02/10/2026</v>
      </c>
      <c r="S162" s="4" t="str">
        <f>D162</f>
        <v>viernes</v>
      </c>
      <c r="T162" s="4" t="str">
        <f>E162&amp;"/"&amp;E163</f>
        <v>2312/2313</v>
      </c>
      <c r="U162" s="4" t="str">
        <f>F162&amp;"-"&amp;G162&amp;"-"&amp;F162</f>
        <v>LIM-CIX-LIM</v>
      </c>
      <c r="V162" s="4" t="str">
        <f>IF($M$162="","",$M$162)</f>
        <v/>
      </c>
      <c r="W162" s="4" t="str">
        <f>IF($O$162="","",$O$162)</f>
        <v/>
      </c>
      <c r="X162" s="4">
        <f>J162</f>
        <v>320</v>
      </c>
    </row>
    <row r="163" spans="2:24" ht="30" x14ac:dyDescent="0.25">
      <c r="B163" s="4">
        <v>226</v>
      </c>
      <c r="C163" s="4" t="s">
        <v>95</v>
      </c>
      <c r="D163" s="4" t="s">
        <v>96</v>
      </c>
      <c r="E163" s="4">
        <v>2313</v>
      </c>
      <c r="F163" s="4" t="s">
        <v>37</v>
      </c>
      <c r="G163" s="4" t="s">
        <v>29</v>
      </c>
      <c r="H163" s="4" t="s">
        <v>84</v>
      </c>
      <c r="I163" s="4" t="s">
        <v>90</v>
      </c>
      <c r="J163" s="4">
        <v>320</v>
      </c>
      <c r="K163" t="str">
        <f>TEXT(TIMEVALUE(H163)-TIMEVALUE(I162)+(TIMEVALUE(H163)&lt;TIMEVALUE(I162)),"[h]:mm")</f>
        <v>0:45</v>
      </c>
      <c r="L163" s="4" t="s">
        <v>33</v>
      </c>
      <c r="O163" t="str">
        <f>"LIM-"&amp;G162&amp;"-LIM   LA "&amp;E162&amp;" ("&amp;LEFT(H162,5)&amp;"-"&amp;LEFT(I162,5)&amp;" hrs)  /  LA "&amp;E163&amp;" ("&amp;LEFT(H163,5)&amp;"-"&amp;LEFT(I163,5)&amp;" hrs)"</f>
        <v>LIM-CIX-LIM   LA 2312 (15:35-17:05 hrs)  /  LA 2313 (17:50-19:10 hrs)</v>
      </c>
    </row>
    <row r="164" spans="2:24" x14ac:dyDescent="0.25">
      <c r="J164" s="7" t="s">
        <v>43</v>
      </c>
      <c r="K164" s="8" t="str">
        <f>TEXT(TIMEVALUE(I163)-TIMEVALUE(H162)+(I163&lt;H162),"[h]:mm")</f>
        <v>3:35</v>
      </c>
    </row>
    <row r="166" spans="2:24" ht="30" x14ac:dyDescent="0.25">
      <c r="B166" s="3" t="s">
        <v>9</v>
      </c>
      <c r="C166" s="3" t="s">
        <v>17</v>
      </c>
      <c r="D166" s="3" t="s">
        <v>18</v>
      </c>
      <c r="E166" s="3" t="s">
        <v>19</v>
      </c>
      <c r="F166" s="3" t="s">
        <v>20</v>
      </c>
      <c r="G166" s="3" t="s">
        <v>21</v>
      </c>
      <c r="H166" s="3" t="s">
        <v>22</v>
      </c>
      <c r="I166" s="3" t="s">
        <v>23</v>
      </c>
      <c r="J166" s="3" t="s">
        <v>24</v>
      </c>
      <c r="K166" s="3" t="s">
        <v>25</v>
      </c>
      <c r="L166" s="3" t="s">
        <v>26</v>
      </c>
    </row>
    <row r="167" spans="2:24" ht="30" x14ac:dyDescent="0.25">
      <c r="B167" s="4">
        <v>227</v>
      </c>
      <c r="C167" s="4" t="s">
        <v>95</v>
      </c>
      <c r="D167" s="4" t="s">
        <v>96</v>
      </c>
      <c r="E167" s="4">
        <v>2301</v>
      </c>
      <c r="F167" s="4" t="s">
        <v>29</v>
      </c>
      <c r="G167" s="4" t="s">
        <v>91</v>
      </c>
      <c r="H167" s="4" t="s">
        <v>92</v>
      </c>
      <c r="I167" s="4" t="s">
        <v>77</v>
      </c>
      <c r="J167" s="4">
        <v>319</v>
      </c>
      <c r="L167" s="4" t="s">
        <v>93</v>
      </c>
      <c r="M167" s="5"/>
      <c r="O167" s="5"/>
      <c r="Q167" s="4">
        <f>B167</f>
        <v>227</v>
      </c>
      <c r="R167" s="4" t="str">
        <f>C167</f>
        <v>02/10/2026</v>
      </c>
      <c r="S167" s="4" t="str">
        <f>D167</f>
        <v>viernes</v>
      </c>
      <c r="T167" s="4" t="str">
        <f>E167&amp;"/"&amp;E168</f>
        <v>2301/2300</v>
      </c>
      <c r="U167" s="4" t="str">
        <f>F167&amp;"-"&amp;G167&amp;"-"&amp;F167</f>
        <v>LIM-TPP-LIM</v>
      </c>
      <c r="V167" s="4" t="str">
        <f>IF($M$167="","",$M$167)</f>
        <v/>
      </c>
      <c r="W167" s="4" t="str">
        <f>IF($O$167="","",$O$167)</f>
        <v/>
      </c>
      <c r="X167" s="4">
        <f>J167</f>
        <v>319</v>
      </c>
    </row>
    <row r="168" spans="2:24" ht="30" x14ac:dyDescent="0.25">
      <c r="B168" s="4">
        <v>227</v>
      </c>
      <c r="C168" s="4" t="s">
        <v>95</v>
      </c>
      <c r="D168" s="4" t="s">
        <v>96</v>
      </c>
      <c r="E168" s="4">
        <v>2300</v>
      </c>
      <c r="F168" s="4" t="s">
        <v>91</v>
      </c>
      <c r="G168" s="4" t="s">
        <v>29</v>
      </c>
      <c r="H168" s="4" t="s">
        <v>84</v>
      </c>
      <c r="I168" s="4" t="s">
        <v>94</v>
      </c>
      <c r="J168" s="4">
        <v>319</v>
      </c>
      <c r="K168" t="str">
        <f>TEXT(TIMEVALUE(H168)-TIMEVALUE(I167)+(TIMEVALUE(H168)&lt;TIMEVALUE(I167)),"[h]:mm")</f>
        <v>0:45</v>
      </c>
      <c r="L168" s="4" t="s">
        <v>93</v>
      </c>
      <c r="O168" t="str">
        <f>"LIM-"&amp;G167&amp;"-LIM   LA "&amp;E167&amp;" ("&amp;LEFT(H167,5)&amp;"-"&amp;LEFT(I167,5)&amp;" hrs)  /  LA "&amp;E168&amp;" ("&amp;LEFT(H168,5)&amp;"-"&amp;LEFT(I168,5)&amp;" hrs)"</f>
        <v>LIM-TPP-LIM   LA 2301 (15:40-17:05 hrs)  /  LA 2300 (17:50-19:15 hrs)</v>
      </c>
    </row>
    <row r="169" spans="2:24" x14ac:dyDescent="0.25">
      <c r="J169" s="7" t="s">
        <v>43</v>
      </c>
      <c r="K169" s="8" t="str">
        <f>TEXT(TIMEVALUE(I168)-TIMEVALUE(H167)+(I168&lt;H167),"[h]:mm")</f>
        <v>3:35</v>
      </c>
    </row>
    <row r="171" spans="2:24" ht="30" x14ac:dyDescent="0.25">
      <c r="B171" s="3" t="s">
        <v>9</v>
      </c>
      <c r="C171" s="3" t="s">
        <v>17</v>
      </c>
      <c r="D171" s="3" t="s">
        <v>18</v>
      </c>
      <c r="E171" s="3" t="s">
        <v>19</v>
      </c>
      <c r="F171" s="3" t="s">
        <v>20</v>
      </c>
      <c r="G171" s="3" t="s">
        <v>21</v>
      </c>
      <c r="H171" s="3" t="s">
        <v>22</v>
      </c>
      <c r="I171" s="3" t="s">
        <v>23</v>
      </c>
      <c r="J171" s="3" t="s">
        <v>24</v>
      </c>
      <c r="K171" s="3" t="s">
        <v>25</v>
      </c>
      <c r="L171" s="3" t="s">
        <v>26</v>
      </c>
    </row>
    <row r="172" spans="2:24" ht="30" x14ac:dyDescent="0.25">
      <c r="B172" s="4">
        <v>236</v>
      </c>
      <c r="C172" s="4" t="s">
        <v>95</v>
      </c>
      <c r="D172" s="4" t="s">
        <v>96</v>
      </c>
      <c r="E172" s="4">
        <v>2221</v>
      </c>
      <c r="F172" s="4" t="s">
        <v>29</v>
      </c>
      <c r="G172" s="4" t="s">
        <v>30</v>
      </c>
      <c r="H172" s="4" t="s">
        <v>115</v>
      </c>
      <c r="I172" s="4" t="s">
        <v>116</v>
      </c>
      <c r="J172" s="4">
        <v>320</v>
      </c>
      <c r="L172" s="4" t="s">
        <v>33</v>
      </c>
      <c r="M172" s="5"/>
      <c r="O172" s="5"/>
      <c r="Q172" s="4">
        <f>B172</f>
        <v>236</v>
      </c>
      <c r="R172" s="4" t="str">
        <f>C172</f>
        <v>02/10/2026</v>
      </c>
      <c r="S172" s="4" t="str">
        <f>D172</f>
        <v>viernes</v>
      </c>
      <c r="T172" s="4" t="str">
        <f>E172&amp;"/"&amp;E173</f>
        <v>2221/2222</v>
      </c>
      <c r="U172" s="4" t="str">
        <f>F172&amp;"-"&amp;G172&amp;"-"&amp;F172</f>
        <v>LIM-CUZ-LIM</v>
      </c>
      <c r="V172" s="4" t="str">
        <f>IF($M$172="","",$M$172)</f>
        <v/>
      </c>
      <c r="W172" s="4" t="str">
        <f>IF($O$172="","",$O$172)</f>
        <v/>
      </c>
      <c r="X172" s="4">
        <f>J172</f>
        <v>320</v>
      </c>
    </row>
    <row r="173" spans="2:24" ht="30" x14ac:dyDescent="0.25">
      <c r="B173" s="4">
        <v>236</v>
      </c>
      <c r="C173" s="4" t="s">
        <v>95</v>
      </c>
      <c r="D173" s="4" t="s">
        <v>96</v>
      </c>
      <c r="E173" s="4">
        <v>2222</v>
      </c>
      <c r="F173" s="4" t="s">
        <v>30</v>
      </c>
      <c r="G173" s="4" t="s">
        <v>29</v>
      </c>
      <c r="H173" s="4" t="s">
        <v>117</v>
      </c>
      <c r="I173" s="4" t="s">
        <v>36</v>
      </c>
      <c r="J173" s="4">
        <v>320</v>
      </c>
      <c r="K173" t="str">
        <f>TEXT(TIMEVALUE(H173)-TIMEVALUE(I172)+(TIMEVALUE(H173)&lt;TIMEVALUE(I172)),"[h]:mm")</f>
        <v>0:40</v>
      </c>
      <c r="L173" s="4" t="s">
        <v>40</v>
      </c>
      <c r="O173" t="str">
        <f>"LIM-"&amp;G172&amp;"-LIM   LA "&amp;E172&amp;" ("&amp;LEFT(H172,5)&amp;"-"&amp;LEFT(I172,5)&amp;" hrs)  /  LA "&amp;E173&amp;" ("&amp;LEFT(H173,5)&amp;"-"&amp;LEFT(I173,5)&amp;" hrs)"</f>
        <v>LIM-CUZ-LIM   LA 2221 (22:05-23:25 hrs)  /  LA 2222 (00:05-01:35 hrs)</v>
      </c>
    </row>
    <row r="174" spans="2:24" x14ac:dyDescent="0.25">
      <c r="J174" s="7" t="s">
        <v>43</v>
      </c>
      <c r="K174" s="8" t="str">
        <f>TEXT(TIMEVALUE(I173)-TIMEVALUE(H172)+(I173&lt;H172),"[h]:mm")</f>
        <v>3:30</v>
      </c>
    </row>
    <row r="176" spans="2:24" ht="30" x14ac:dyDescent="0.25">
      <c r="B176" s="3" t="s">
        <v>9</v>
      </c>
      <c r="C176" s="3" t="s">
        <v>17</v>
      </c>
      <c r="D176" s="3" t="s">
        <v>18</v>
      </c>
      <c r="E176" s="3" t="s">
        <v>19</v>
      </c>
      <c r="F176" s="3" t="s">
        <v>20</v>
      </c>
      <c r="G176" s="3" t="s">
        <v>21</v>
      </c>
      <c r="H176" s="3" t="s">
        <v>22</v>
      </c>
      <c r="I176" s="3" t="s">
        <v>23</v>
      </c>
      <c r="J176" s="3" t="s">
        <v>24</v>
      </c>
      <c r="K176" s="3" t="s">
        <v>25</v>
      </c>
      <c r="L176" s="3" t="s">
        <v>26</v>
      </c>
    </row>
    <row r="177" spans="2:24" ht="30" x14ac:dyDescent="0.25">
      <c r="B177" s="4">
        <v>284</v>
      </c>
      <c r="C177" s="4" t="s">
        <v>118</v>
      </c>
      <c r="D177" s="4" t="s">
        <v>119</v>
      </c>
      <c r="E177" s="4">
        <v>2299</v>
      </c>
      <c r="F177" s="4" t="s">
        <v>29</v>
      </c>
      <c r="G177" s="4" t="s">
        <v>50</v>
      </c>
      <c r="H177" s="4" t="s">
        <v>64</v>
      </c>
      <c r="I177" s="4" t="s">
        <v>35</v>
      </c>
      <c r="J177" s="4">
        <v>320</v>
      </c>
      <c r="L177" s="4" t="s">
        <v>33</v>
      </c>
      <c r="M177" s="5"/>
      <c r="O177" s="5"/>
      <c r="Q177" s="4">
        <f>B177</f>
        <v>284</v>
      </c>
      <c r="R177" s="4" t="str">
        <f>C177</f>
        <v>03/10/2026</v>
      </c>
      <c r="S177" s="4" t="str">
        <f>D177</f>
        <v>sábado</v>
      </c>
      <c r="T177" s="4" t="str">
        <f>E177&amp;"/"&amp;E178</f>
        <v>2299/2298</v>
      </c>
      <c r="U177" s="4" t="str">
        <f>F177&amp;"-"&amp;G177&amp;"-"&amp;F177</f>
        <v>LIM-CJA-LIM</v>
      </c>
      <c r="V177" s="4" t="str">
        <f>IF($M$177="","",$M$177)</f>
        <v/>
      </c>
      <c r="W177" s="4" t="str">
        <f>IF($O$177="","",$O$177)</f>
        <v/>
      </c>
      <c r="X177" s="4">
        <f>J177</f>
        <v>320</v>
      </c>
    </row>
    <row r="178" spans="2:24" ht="30" x14ac:dyDescent="0.25">
      <c r="B178" s="4">
        <v>284</v>
      </c>
      <c r="C178" s="4" t="s">
        <v>118</v>
      </c>
      <c r="D178" s="4" t="s">
        <v>119</v>
      </c>
      <c r="E178" s="4">
        <v>2298</v>
      </c>
      <c r="F178" s="4" t="s">
        <v>50</v>
      </c>
      <c r="G178" s="4" t="s">
        <v>29</v>
      </c>
      <c r="H178" s="4" t="s">
        <v>72</v>
      </c>
      <c r="I178" s="4" t="s">
        <v>73</v>
      </c>
      <c r="J178" s="4">
        <v>320</v>
      </c>
      <c r="K178" t="str">
        <f>TEXT(TIMEVALUE(H178)-TIMEVALUE(I177)+(TIMEVALUE(H178)&lt;TIMEVALUE(I177)),"[h]:mm")</f>
        <v>0:45</v>
      </c>
      <c r="L178" s="4" t="s">
        <v>74</v>
      </c>
      <c r="O178" t="str">
        <f>"LIM-"&amp;G177&amp;"-LIM   LA "&amp;E177&amp;" ("&amp;LEFT(H177,5)&amp;"-"&amp;LEFT(I177,5)&amp;" hrs)  /  LA "&amp;E178&amp;" ("&amp;LEFT(H178,5)&amp;"-"&amp;LEFT(I178,5)&amp;" hrs)"</f>
        <v>LIM-CJA-LIM   LA 2299 (11:35-12:55 hrs)  /  LA 2298 (13:40-14:50 hrs)</v>
      </c>
    </row>
    <row r="179" spans="2:24" x14ac:dyDescent="0.25">
      <c r="J179" s="7" t="s">
        <v>43</v>
      </c>
      <c r="K179" s="8" t="str">
        <f>TEXT(TIMEVALUE(I178)-TIMEVALUE(H177)+(I178&lt;H177),"[h]:mm")</f>
        <v>3:15</v>
      </c>
    </row>
    <row r="181" spans="2:24" ht="30" x14ac:dyDescent="0.25">
      <c r="B181" s="3" t="s">
        <v>9</v>
      </c>
      <c r="C181" s="3" t="s">
        <v>17</v>
      </c>
      <c r="D181" s="3" t="s">
        <v>18</v>
      </c>
      <c r="E181" s="3" t="s">
        <v>19</v>
      </c>
      <c r="F181" s="3" t="s">
        <v>20</v>
      </c>
      <c r="G181" s="3" t="s">
        <v>21</v>
      </c>
      <c r="H181" s="3" t="s">
        <v>22</v>
      </c>
      <c r="I181" s="3" t="s">
        <v>23</v>
      </c>
      <c r="J181" s="3" t="s">
        <v>24</v>
      </c>
      <c r="K181" s="3" t="s">
        <v>25</v>
      </c>
      <c r="L181" s="3" t="s">
        <v>26</v>
      </c>
    </row>
    <row r="182" spans="2:24" ht="30" x14ac:dyDescent="0.25">
      <c r="B182" s="4">
        <v>286</v>
      </c>
      <c r="C182" s="4" t="s">
        <v>118</v>
      </c>
      <c r="D182" s="4" t="s">
        <v>119</v>
      </c>
      <c r="E182" s="4">
        <v>2061</v>
      </c>
      <c r="F182" s="4" t="s">
        <v>29</v>
      </c>
      <c r="G182" s="4" t="s">
        <v>30</v>
      </c>
      <c r="H182" s="4" t="s">
        <v>103</v>
      </c>
      <c r="I182" s="4" t="s">
        <v>120</v>
      </c>
      <c r="J182" s="4">
        <v>320</v>
      </c>
      <c r="L182" s="4" t="s">
        <v>33</v>
      </c>
      <c r="M182" s="5"/>
      <c r="O182" s="5"/>
      <c r="Q182" s="4">
        <f>B182</f>
        <v>286</v>
      </c>
      <c r="R182" s="4" t="str">
        <f>C182</f>
        <v>03/10/2026</v>
      </c>
      <c r="S182" s="4" t="str">
        <f>D182</f>
        <v>sábado</v>
      </c>
      <c r="T182" s="4" t="str">
        <f>E182&amp;"/"&amp;E183</f>
        <v>2061/2062</v>
      </c>
      <c r="U182" s="4" t="str">
        <f>F182&amp;"-"&amp;G182&amp;"-"&amp;F182</f>
        <v>LIM-CUZ-LIM</v>
      </c>
      <c r="V182" s="4" t="str">
        <f>IF($M$182="","",$M$182)</f>
        <v/>
      </c>
      <c r="W182" s="4" t="str">
        <f>IF($O$182="","",$O$182)</f>
        <v/>
      </c>
      <c r="X182" s="4">
        <f>J182</f>
        <v>320</v>
      </c>
    </row>
    <row r="183" spans="2:24" ht="30" x14ac:dyDescent="0.25">
      <c r="B183" s="4">
        <v>286</v>
      </c>
      <c r="C183" s="4" t="s">
        <v>118</v>
      </c>
      <c r="D183" s="4" t="s">
        <v>119</v>
      </c>
      <c r="E183" s="4">
        <v>2062</v>
      </c>
      <c r="F183" s="4" t="s">
        <v>30</v>
      </c>
      <c r="G183" s="4" t="s">
        <v>29</v>
      </c>
      <c r="H183" s="4" t="s">
        <v>72</v>
      </c>
      <c r="I183" s="4" t="s">
        <v>51</v>
      </c>
      <c r="J183" s="4">
        <v>320</v>
      </c>
      <c r="K183" t="str">
        <f>TEXT(TIMEVALUE(H183)-TIMEVALUE(I182)+(TIMEVALUE(H183)&lt;TIMEVALUE(I182)),"[h]:mm")</f>
        <v>0:40</v>
      </c>
      <c r="L183" s="4" t="s">
        <v>36</v>
      </c>
      <c r="O183" t="str">
        <f>"LIM-"&amp;G182&amp;"-LIM   LA "&amp;E182&amp;" ("&amp;LEFT(H182,5)&amp;"-"&amp;LEFT(I182,5)&amp;" hrs)  /  LA "&amp;E183&amp;" ("&amp;LEFT(H183,5)&amp;"-"&amp;LEFT(I183,5)&amp;" hrs)"</f>
        <v>LIM-CUZ-LIM   LA 2061 (11:40-13:00 hrs)  /  LA 2062 (13:40-15:15 hrs)</v>
      </c>
    </row>
    <row r="184" spans="2:24" ht="30" x14ac:dyDescent="0.25">
      <c r="B184" s="4">
        <v>313</v>
      </c>
      <c r="C184" s="4" t="s">
        <v>118</v>
      </c>
      <c r="D184" s="4" t="s">
        <v>119</v>
      </c>
      <c r="E184" s="4">
        <v>2276</v>
      </c>
      <c r="F184" s="4" t="s">
        <v>29</v>
      </c>
      <c r="G184" s="4" t="s">
        <v>30</v>
      </c>
      <c r="H184" s="4" t="s">
        <v>52</v>
      </c>
      <c r="I184" s="4" t="s">
        <v>121</v>
      </c>
      <c r="J184" s="4">
        <v>320</v>
      </c>
      <c r="K184" s="6" t="str">
        <f>TEXT(TIMEVALUE(H184)-TIMEVALUE(I183)+(TIMEVALUE(H184)&lt;TIMEVALUE(I183)),"[h]:mm")</f>
        <v>1:20</v>
      </c>
      <c r="L184" s="4" t="s">
        <v>33</v>
      </c>
      <c r="M184" t="str">
        <f>IF($M$182="","",$M$182)</f>
        <v/>
      </c>
      <c r="O184" t="str">
        <f>IF($O$182="","",$O$182)</f>
        <v/>
      </c>
      <c r="Q184" s="4">
        <f>B184</f>
        <v>313</v>
      </c>
      <c r="R184" s="4" t="str">
        <f>C184</f>
        <v>03/10/2026</v>
      </c>
      <c r="S184" s="4" t="str">
        <f>D184</f>
        <v>sábado</v>
      </c>
      <c r="T184" s="4" t="str">
        <f>E184&amp;"/"&amp;E185</f>
        <v>2276/2277</v>
      </c>
      <c r="U184" s="4" t="str">
        <f>F184&amp;"-"&amp;G184&amp;"-"&amp;F184</f>
        <v>LIM-CUZ-LIM</v>
      </c>
      <c r="V184" s="4" t="str">
        <f>IF($M$182="","",$M$182)</f>
        <v/>
      </c>
      <c r="W184" s="4" t="str">
        <f>IF($O$182="","",$O$182)</f>
        <v/>
      </c>
      <c r="X184" s="4">
        <f>J184</f>
        <v>320</v>
      </c>
    </row>
    <row r="185" spans="2:24" ht="30" x14ac:dyDescent="0.25">
      <c r="B185" s="4">
        <v>313</v>
      </c>
      <c r="C185" s="4" t="s">
        <v>118</v>
      </c>
      <c r="D185" s="4" t="s">
        <v>119</v>
      </c>
      <c r="E185" s="4">
        <v>2277</v>
      </c>
      <c r="F185" s="4" t="s">
        <v>30</v>
      </c>
      <c r="G185" s="4" t="s">
        <v>29</v>
      </c>
      <c r="H185" s="4" t="s">
        <v>62</v>
      </c>
      <c r="I185" s="4" t="s">
        <v>122</v>
      </c>
      <c r="J185" s="4">
        <v>320</v>
      </c>
      <c r="K185" t="str">
        <f>TEXT(TIMEVALUE(H185)-TIMEVALUE(I184)+(TIMEVALUE(H185)&lt;TIMEVALUE(I184)),"[h]:mm")</f>
        <v>0:40</v>
      </c>
      <c r="L185" s="4" t="s">
        <v>36</v>
      </c>
      <c r="O185" t="str">
        <f>"LIM-"&amp;G184&amp;"-LIM   LA "&amp;E184&amp;" ("&amp;LEFT(H184,5)&amp;"-"&amp;LEFT(I184,5)&amp;" hrs)  /  LA "&amp;E185&amp;" ("&amp;LEFT(H185,5)&amp;"-"&amp;LEFT(I185,5)&amp;" hrs)"</f>
        <v>LIM-CUZ-LIM   LA 2276 (16:35-17:55 hrs)  /  LA 2277 (18:35-20:10 hrs)</v>
      </c>
    </row>
    <row r="186" spans="2:24" x14ac:dyDescent="0.25">
      <c r="J186" s="7" t="s">
        <v>43</v>
      </c>
      <c r="K186" s="8" t="str">
        <f>TEXT(TIMEVALUE(I185)-TIMEVALUE(H182)+(I185&lt;H182),"[h]:mm")</f>
        <v>8:30</v>
      </c>
    </row>
    <row r="188" spans="2:24" ht="30" x14ac:dyDescent="0.25">
      <c r="B188" s="3" t="s">
        <v>9</v>
      </c>
      <c r="C188" s="3" t="s">
        <v>17</v>
      </c>
      <c r="D188" s="3" t="s">
        <v>18</v>
      </c>
      <c r="E188" s="3" t="s">
        <v>19</v>
      </c>
      <c r="F188" s="3" t="s">
        <v>20</v>
      </c>
      <c r="G188" s="3" t="s">
        <v>21</v>
      </c>
      <c r="H188" s="3" t="s">
        <v>22</v>
      </c>
      <c r="I188" s="3" t="s">
        <v>23</v>
      </c>
      <c r="J188" s="3" t="s">
        <v>24</v>
      </c>
      <c r="K188" s="3" t="s">
        <v>25</v>
      </c>
      <c r="L188" s="3" t="s">
        <v>26</v>
      </c>
    </row>
    <row r="189" spans="2:24" ht="30" x14ac:dyDescent="0.25">
      <c r="B189" s="4">
        <v>291</v>
      </c>
      <c r="C189" s="4" t="s">
        <v>118</v>
      </c>
      <c r="D189" s="4" t="s">
        <v>119</v>
      </c>
      <c r="E189" s="4">
        <v>2120</v>
      </c>
      <c r="F189" s="4" t="s">
        <v>29</v>
      </c>
      <c r="G189" s="4" t="s">
        <v>30</v>
      </c>
      <c r="H189" s="4" t="s">
        <v>123</v>
      </c>
      <c r="I189" s="4" t="s">
        <v>82</v>
      </c>
      <c r="J189" s="4">
        <v>320</v>
      </c>
      <c r="L189" s="4" t="s">
        <v>33</v>
      </c>
      <c r="M189" s="5"/>
      <c r="O189" s="5"/>
      <c r="Q189" s="4">
        <f>B189</f>
        <v>291</v>
      </c>
      <c r="R189" s="4" t="str">
        <f>C189</f>
        <v>03/10/2026</v>
      </c>
      <c r="S189" s="4" t="str">
        <f>D189</f>
        <v>sábado</v>
      </c>
      <c r="T189" s="4" t="str">
        <f>E189&amp;"/"&amp;E190</f>
        <v>2120/2121</v>
      </c>
      <c r="U189" s="4" t="str">
        <f>F189&amp;"-"&amp;G189&amp;"-"&amp;F189</f>
        <v>LIM-CUZ-LIM</v>
      </c>
      <c r="V189" s="4" t="str">
        <f>IF($M$189="","",$M$189)</f>
        <v/>
      </c>
      <c r="W189" s="4" t="str">
        <f>IF($O$189="","",$O$189)</f>
        <v/>
      </c>
      <c r="X189" s="4">
        <f>J189</f>
        <v>320</v>
      </c>
    </row>
    <row r="190" spans="2:24" ht="30" x14ac:dyDescent="0.25">
      <c r="B190" s="4">
        <v>291</v>
      </c>
      <c r="C190" s="4" t="s">
        <v>118</v>
      </c>
      <c r="D190" s="4" t="s">
        <v>119</v>
      </c>
      <c r="E190" s="4">
        <v>2121</v>
      </c>
      <c r="F190" s="4" t="s">
        <v>30</v>
      </c>
      <c r="G190" s="4" t="s">
        <v>29</v>
      </c>
      <c r="H190" s="4" t="s">
        <v>124</v>
      </c>
      <c r="I190" s="4" t="s">
        <v>90</v>
      </c>
      <c r="J190" s="4">
        <v>320</v>
      </c>
      <c r="K190" t="str">
        <f>TEXT(TIMEVALUE(H190)-TIMEVALUE(I189)+(TIMEVALUE(H190)&lt;TIMEVALUE(I189)),"[h]:mm")</f>
        <v>3:40</v>
      </c>
      <c r="L190" s="4" t="s">
        <v>36</v>
      </c>
      <c r="O190" t="str">
        <f>"LIM-"&amp;G189&amp;"-LIM   LA "&amp;E189&amp;" ("&amp;LEFT(H189,5)&amp;"-"&amp;LEFT(I189,5)&amp;" hrs)  /  LA "&amp;E190&amp;" ("&amp;LEFT(H190,5)&amp;"-"&amp;LEFT(I190,5)&amp;" hrs)"</f>
        <v>LIM-CUZ-LIM   LA 2120 (12:35-13:55 hrs)  /  LA 2121 (17:35-19:10 hrs)</v>
      </c>
    </row>
    <row r="191" spans="2:24" x14ac:dyDescent="0.25">
      <c r="J191" s="7" t="s">
        <v>43</v>
      </c>
      <c r="K191" s="8" t="str">
        <f>TEXT(TIMEVALUE(I190)-TIMEVALUE(H189)+(I190&lt;H189),"[h]:mm")</f>
        <v>6:35</v>
      </c>
    </row>
    <row r="193" spans="2:24" ht="30" x14ac:dyDescent="0.25">
      <c r="B193" s="3" t="s">
        <v>9</v>
      </c>
      <c r="C193" s="3" t="s">
        <v>17</v>
      </c>
      <c r="D193" s="3" t="s">
        <v>18</v>
      </c>
      <c r="E193" s="3" t="s">
        <v>19</v>
      </c>
      <c r="F193" s="3" t="s">
        <v>20</v>
      </c>
      <c r="G193" s="3" t="s">
        <v>21</v>
      </c>
      <c r="H193" s="3" t="s">
        <v>22</v>
      </c>
      <c r="I193" s="3" t="s">
        <v>23</v>
      </c>
      <c r="J193" s="3" t="s">
        <v>24</v>
      </c>
      <c r="K193" s="3" t="s">
        <v>25</v>
      </c>
      <c r="L193" s="3" t="s">
        <v>26</v>
      </c>
    </row>
    <row r="194" spans="2:24" ht="30" x14ac:dyDescent="0.25">
      <c r="B194" s="4">
        <v>296</v>
      </c>
      <c r="C194" s="4" t="s">
        <v>118</v>
      </c>
      <c r="D194" s="4" t="s">
        <v>119</v>
      </c>
      <c r="E194" s="4">
        <v>2234</v>
      </c>
      <c r="F194" s="4" t="s">
        <v>29</v>
      </c>
      <c r="G194" s="4" t="s">
        <v>63</v>
      </c>
      <c r="H194" s="4" t="s">
        <v>106</v>
      </c>
      <c r="I194" s="4" t="s">
        <v>59</v>
      </c>
      <c r="J194" s="4">
        <v>320</v>
      </c>
      <c r="L194" s="4" t="s">
        <v>66</v>
      </c>
      <c r="M194" s="5"/>
      <c r="O194" s="5"/>
      <c r="Q194" s="4">
        <f>B194</f>
        <v>296</v>
      </c>
      <c r="R194" s="4" t="str">
        <f>C194</f>
        <v>03/10/2026</v>
      </c>
      <c r="S194" s="4" t="str">
        <f>D194</f>
        <v>sábado</v>
      </c>
      <c r="T194" s="4" t="str">
        <f>E194&amp;"/"&amp;E195</f>
        <v>2234/2235</v>
      </c>
      <c r="U194" s="4" t="str">
        <f>F194&amp;"-"&amp;G194&amp;"-"&amp;F194</f>
        <v>LIM-IQT-LIM</v>
      </c>
      <c r="V194" s="4" t="str">
        <f>IF($M$194="","",$M$194)</f>
        <v/>
      </c>
      <c r="W194" s="4" t="str">
        <f>IF($O$194="","",$O$194)</f>
        <v/>
      </c>
      <c r="X194" s="4">
        <f>J194</f>
        <v>320</v>
      </c>
    </row>
    <row r="195" spans="2:24" ht="30" x14ac:dyDescent="0.25">
      <c r="B195" s="4">
        <v>296</v>
      </c>
      <c r="C195" s="4" t="s">
        <v>118</v>
      </c>
      <c r="D195" s="4" t="s">
        <v>119</v>
      </c>
      <c r="E195" s="4">
        <v>2235</v>
      </c>
      <c r="F195" s="4" t="s">
        <v>63</v>
      </c>
      <c r="G195" s="4" t="s">
        <v>29</v>
      </c>
      <c r="H195" s="4" t="s">
        <v>85</v>
      </c>
      <c r="I195" s="4" t="s">
        <v>121</v>
      </c>
      <c r="J195" s="4">
        <v>320</v>
      </c>
      <c r="K195" t="str">
        <f>TEXT(TIMEVALUE(H195)-TIMEVALUE(I194)+(TIMEVALUE(H195)&lt;TIMEVALUE(I194)),"[h]:mm")</f>
        <v>0:40</v>
      </c>
      <c r="L195" s="4" t="s">
        <v>66</v>
      </c>
      <c r="O195" t="str">
        <f>"LIM-"&amp;G194&amp;"-LIM   LA "&amp;E194&amp;" ("&amp;LEFT(H194,5)&amp;"-"&amp;LEFT(I194,5)&amp;" hrs)  /  LA "&amp;E195&amp;" ("&amp;LEFT(H195,5)&amp;"-"&amp;LEFT(I195,5)&amp;" hrs)"</f>
        <v>LIM-IQT-LIM   LA 2234 (13:35-15:25 hrs)  /  LA 2235 (16:05-17:55 hrs)</v>
      </c>
    </row>
    <row r="196" spans="2:24" x14ac:dyDescent="0.25">
      <c r="J196" s="7" t="s">
        <v>43</v>
      </c>
      <c r="K196" s="8" t="str">
        <f>TEXT(TIMEVALUE(I195)-TIMEVALUE(H194)+(I195&lt;H194),"[h]:mm")</f>
        <v>4:20</v>
      </c>
    </row>
    <row r="198" spans="2:24" ht="30" x14ac:dyDescent="0.25">
      <c r="B198" s="3" t="s">
        <v>9</v>
      </c>
      <c r="C198" s="3" t="s">
        <v>17</v>
      </c>
      <c r="D198" s="3" t="s">
        <v>18</v>
      </c>
      <c r="E198" s="3" t="s">
        <v>19</v>
      </c>
      <c r="F198" s="3" t="s">
        <v>20</v>
      </c>
      <c r="G198" s="3" t="s">
        <v>21</v>
      </c>
      <c r="H198" s="3" t="s">
        <v>22</v>
      </c>
      <c r="I198" s="3" t="s">
        <v>23</v>
      </c>
      <c r="J198" s="3" t="s">
        <v>24</v>
      </c>
      <c r="K198" s="3" t="s">
        <v>25</v>
      </c>
      <c r="L198" s="3" t="s">
        <v>26</v>
      </c>
    </row>
    <row r="199" spans="2:24" ht="30" x14ac:dyDescent="0.25">
      <c r="B199" s="4">
        <v>298</v>
      </c>
      <c r="C199" s="4" t="s">
        <v>118</v>
      </c>
      <c r="D199" s="4" t="s">
        <v>119</v>
      </c>
      <c r="E199" s="4">
        <v>2152</v>
      </c>
      <c r="F199" s="4" t="s">
        <v>29</v>
      </c>
      <c r="G199" s="4" t="s">
        <v>37</v>
      </c>
      <c r="H199" s="4" t="s">
        <v>38</v>
      </c>
      <c r="I199" s="4" t="s">
        <v>39</v>
      </c>
      <c r="J199" s="4">
        <v>320</v>
      </c>
      <c r="L199" s="4" t="s">
        <v>40</v>
      </c>
      <c r="M199" s="5"/>
      <c r="O199" s="5"/>
      <c r="Q199" s="4">
        <f>B199</f>
        <v>298</v>
      </c>
      <c r="R199" s="4" t="str">
        <f>C199</f>
        <v>03/10/2026</v>
      </c>
      <c r="S199" s="4" t="str">
        <f>D199</f>
        <v>sábado</v>
      </c>
      <c r="T199" s="4" t="str">
        <f>E199&amp;"/"&amp;E200</f>
        <v>2152/2153</v>
      </c>
      <c r="U199" s="4" t="str">
        <f>F199&amp;"-"&amp;G199&amp;"-"&amp;F199</f>
        <v>LIM-CIX-LIM</v>
      </c>
      <c r="V199" s="4" t="str">
        <f>IF($M$199="","",$M$199)</f>
        <v/>
      </c>
      <c r="W199" s="4" t="str">
        <f>IF($O$199="","",$O$199)</f>
        <v/>
      </c>
      <c r="X199" s="4">
        <f>J199</f>
        <v>320</v>
      </c>
    </row>
    <row r="200" spans="2:24" ht="30" x14ac:dyDescent="0.25">
      <c r="B200" s="4">
        <v>298</v>
      </c>
      <c r="C200" s="4" t="s">
        <v>118</v>
      </c>
      <c r="D200" s="4" t="s">
        <v>119</v>
      </c>
      <c r="E200" s="4">
        <v>2153</v>
      </c>
      <c r="F200" s="4" t="s">
        <v>37</v>
      </c>
      <c r="G200" s="4" t="s">
        <v>29</v>
      </c>
      <c r="H200" s="4" t="s">
        <v>41</v>
      </c>
      <c r="I200" s="4" t="s">
        <v>42</v>
      </c>
      <c r="J200" s="4">
        <v>320</v>
      </c>
      <c r="K200" t="str">
        <f>TEXT(TIMEVALUE(H200)-TIMEVALUE(I199)+(TIMEVALUE(H200)&lt;TIMEVALUE(I199)),"[h]:mm")</f>
        <v>0:35</v>
      </c>
      <c r="L200" s="4" t="s">
        <v>33</v>
      </c>
      <c r="O200" t="str">
        <f>"LIM-"&amp;G199&amp;"-LIM   LA "&amp;E199&amp;" ("&amp;LEFT(H199,5)&amp;"-"&amp;LEFT(I199,5)&amp;" hrs)  /  LA "&amp;E200&amp;" ("&amp;LEFT(H200,5)&amp;"-"&amp;LEFT(I200,5)&amp;" hrs)"</f>
        <v>LIM-CIX-LIM   LA 2152 (13:50-15:20 hrs)  /  LA 2153 (15:55-17:15 hrs)</v>
      </c>
    </row>
    <row r="201" spans="2:24" ht="30" x14ac:dyDescent="0.25">
      <c r="B201" s="4">
        <v>318</v>
      </c>
      <c r="C201" s="4" t="s">
        <v>118</v>
      </c>
      <c r="D201" s="4" t="s">
        <v>119</v>
      </c>
      <c r="E201" s="4">
        <v>2310</v>
      </c>
      <c r="F201" s="4" t="s">
        <v>29</v>
      </c>
      <c r="G201" s="4" t="s">
        <v>37</v>
      </c>
      <c r="H201" s="4" t="s">
        <v>111</v>
      </c>
      <c r="I201" s="4" t="s">
        <v>112</v>
      </c>
      <c r="J201" s="4">
        <v>320</v>
      </c>
      <c r="K201" s="6" t="str">
        <f>TEXT(TIMEVALUE(H201)-TIMEVALUE(I200)+(TIMEVALUE(H201)&lt;TIMEVALUE(I200)),"[h]:mm")</f>
        <v>1:00</v>
      </c>
      <c r="L201" s="4" t="s">
        <v>40</v>
      </c>
      <c r="M201" t="str">
        <f>IF($M$199="","",$M$199)</f>
        <v/>
      </c>
      <c r="O201" t="str">
        <f>IF($O$199="","",$O$199)</f>
        <v/>
      </c>
      <c r="Q201" s="4">
        <f>B201</f>
        <v>318</v>
      </c>
      <c r="R201" s="4" t="str">
        <f>C201</f>
        <v>03/10/2026</v>
      </c>
      <c r="S201" s="4" t="str">
        <f>D201</f>
        <v>sábado</v>
      </c>
      <c r="T201" s="4" t="str">
        <f>E201&amp;"/"&amp;E202</f>
        <v>2310/2311</v>
      </c>
      <c r="U201" s="4" t="str">
        <f>F201&amp;"-"&amp;G201&amp;"-"&amp;F201</f>
        <v>LIM-CIX-LIM</v>
      </c>
      <c r="V201" s="4" t="str">
        <f>IF($M$199="","",$M$199)</f>
        <v/>
      </c>
      <c r="W201" s="4" t="str">
        <f>IF($O$199="","",$O$199)</f>
        <v/>
      </c>
      <c r="X201" s="4">
        <f>J201</f>
        <v>320</v>
      </c>
    </row>
    <row r="202" spans="2:24" ht="30" x14ac:dyDescent="0.25">
      <c r="B202" s="4">
        <v>318</v>
      </c>
      <c r="C202" s="4" t="s">
        <v>118</v>
      </c>
      <c r="D202" s="4" t="s">
        <v>119</v>
      </c>
      <c r="E202" s="4">
        <v>2311</v>
      </c>
      <c r="F202" s="4" t="s">
        <v>37</v>
      </c>
      <c r="G202" s="4" t="s">
        <v>29</v>
      </c>
      <c r="H202" s="4" t="s">
        <v>113</v>
      </c>
      <c r="I202" s="4" t="s">
        <v>114</v>
      </c>
      <c r="J202" s="4">
        <v>320</v>
      </c>
      <c r="K202" t="str">
        <f>TEXT(TIMEVALUE(H202)-TIMEVALUE(I201)+(TIMEVALUE(H202)&lt;TIMEVALUE(I201)),"[h]:mm")</f>
        <v>0:35</v>
      </c>
      <c r="L202" s="4" t="s">
        <v>93</v>
      </c>
      <c r="O202" t="str">
        <f>"LIM-"&amp;G201&amp;"-LIM   LA "&amp;E201&amp;" ("&amp;LEFT(H201,5)&amp;"-"&amp;LEFT(I201,5)&amp;" hrs)  /  LA "&amp;E202&amp;" ("&amp;LEFT(H202,5)&amp;"-"&amp;LEFT(I202,5)&amp;" hrs)"</f>
        <v>LIM-CIX-LIM   LA 2310 (18:15-19:45 hrs)  /  LA 2311 (20:20-21:45 hrs)</v>
      </c>
    </row>
    <row r="203" spans="2:24" x14ac:dyDescent="0.25">
      <c r="J203" s="7" t="s">
        <v>43</v>
      </c>
      <c r="K203" s="8" t="str">
        <f>TEXT(TIMEVALUE(I202)-TIMEVALUE(H199)+(I202&lt;H199),"[h]:mm")</f>
        <v>7:55</v>
      </c>
    </row>
    <row r="205" spans="2:24" ht="30" x14ac:dyDescent="0.25">
      <c r="B205" s="3" t="s">
        <v>9</v>
      </c>
      <c r="C205" s="3" t="s">
        <v>17</v>
      </c>
      <c r="D205" s="3" t="s">
        <v>18</v>
      </c>
      <c r="E205" s="3" t="s">
        <v>19</v>
      </c>
      <c r="F205" s="3" t="s">
        <v>20</v>
      </c>
      <c r="G205" s="3" t="s">
        <v>21</v>
      </c>
      <c r="H205" s="3" t="s">
        <v>22</v>
      </c>
      <c r="I205" s="3" t="s">
        <v>23</v>
      </c>
      <c r="J205" s="3" t="s">
        <v>24</v>
      </c>
      <c r="K205" s="3" t="s">
        <v>25</v>
      </c>
      <c r="L205" s="3" t="s">
        <v>26</v>
      </c>
    </row>
    <row r="206" spans="2:24" ht="30" x14ac:dyDescent="0.25">
      <c r="B206" s="4">
        <v>299</v>
      </c>
      <c r="C206" s="4" t="s">
        <v>118</v>
      </c>
      <c r="D206" s="4" t="s">
        <v>119</v>
      </c>
      <c r="E206" s="4">
        <v>2087</v>
      </c>
      <c r="F206" s="4" t="s">
        <v>29</v>
      </c>
      <c r="G206" s="4" t="s">
        <v>91</v>
      </c>
      <c r="H206" s="4" t="s">
        <v>67</v>
      </c>
      <c r="I206" s="4" t="s">
        <v>76</v>
      </c>
      <c r="J206" s="4">
        <v>320</v>
      </c>
      <c r="L206" s="4" t="s">
        <v>93</v>
      </c>
      <c r="M206" s="5"/>
      <c r="O206" s="5"/>
      <c r="Q206" s="4">
        <f>B206</f>
        <v>299</v>
      </c>
      <c r="R206" s="4" t="str">
        <f>C206</f>
        <v>03/10/2026</v>
      </c>
      <c r="S206" s="4" t="str">
        <f>D206</f>
        <v>sábado</v>
      </c>
      <c r="T206" s="4" t="str">
        <f>E206&amp;"/"&amp;E207</f>
        <v>2087/2088</v>
      </c>
      <c r="U206" s="4" t="str">
        <f>F206&amp;"-"&amp;G206&amp;"-"&amp;F206</f>
        <v>LIM-TPP-LIM</v>
      </c>
      <c r="V206" s="4" t="str">
        <f>IF($M$206="","",$M$206)</f>
        <v/>
      </c>
      <c r="W206" s="4" t="str">
        <f>IF($O$206="","",$O$206)</f>
        <v/>
      </c>
      <c r="X206" s="4">
        <f>J206</f>
        <v>320</v>
      </c>
    </row>
    <row r="207" spans="2:24" ht="30" x14ac:dyDescent="0.25">
      <c r="B207" s="4">
        <v>299</v>
      </c>
      <c r="C207" s="4" t="s">
        <v>118</v>
      </c>
      <c r="D207" s="4" t="s">
        <v>119</v>
      </c>
      <c r="E207" s="4">
        <v>2088</v>
      </c>
      <c r="F207" s="4" t="s">
        <v>91</v>
      </c>
      <c r="G207" s="4" t="s">
        <v>29</v>
      </c>
      <c r="H207" s="4" t="s">
        <v>85</v>
      </c>
      <c r="I207" s="4" t="s">
        <v>100</v>
      </c>
      <c r="J207" s="4">
        <v>320</v>
      </c>
      <c r="K207" t="str">
        <f>TEXT(TIMEVALUE(H207)-TIMEVALUE(I206)+(TIMEVALUE(H207)&lt;TIMEVALUE(I206)),"[h]:mm")</f>
        <v>0:35</v>
      </c>
      <c r="L207" s="4" t="s">
        <v>93</v>
      </c>
      <c r="O207" t="str">
        <f>"LIM-"&amp;G206&amp;"-LIM   LA "&amp;E206&amp;" ("&amp;LEFT(H206,5)&amp;"-"&amp;LEFT(I206,5)&amp;" hrs)  /  LA "&amp;E207&amp;" ("&amp;LEFT(H207,5)&amp;"-"&amp;LEFT(I207,5)&amp;" hrs)"</f>
        <v>LIM-TPP-LIM   LA 2087 (14:05-15:30 hrs)  /  LA 2088 (16:05-17:30 hrs)</v>
      </c>
    </row>
    <row r="208" spans="2:24" x14ac:dyDescent="0.25">
      <c r="J208" s="7" t="s">
        <v>43</v>
      </c>
      <c r="K208" s="8" t="str">
        <f>TEXT(TIMEVALUE(I207)-TIMEVALUE(H206)+(I207&lt;H206),"[h]:mm")</f>
        <v>3:25</v>
      </c>
    </row>
    <row r="210" spans="2:24" ht="30" x14ac:dyDescent="0.25">
      <c r="B210" s="3" t="s">
        <v>9</v>
      </c>
      <c r="C210" s="3" t="s">
        <v>17</v>
      </c>
      <c r="D210" s="3" t="s">
        <v>18</v>
      </c>
      <c r="E210" s="3" t="s">
        <v>19</v>
      </c>
      <c r="F210" s="3" t="s">
        <v>20</v>
      </c>
      <c r="G210" s="3" t="s">
        <v>21</v>
      </c>
      <c r="H210" s="3" t="s">
        <v>22</v>
      </c>
      <c r="I210" s="3" t="s">
        <v>23</v>
      </c>
      <c r="J210" s="3" t="s">
        <v>24</v>
      </c>
      <c r="K210" s="3" t="s">
        <v>25</v>
      </c>
      <c r="L210" s="3" t="s">
        <v>26</v>
      </c>
    </row>
    <row r="211" spans="2:24" ht="30" x14ac:dyDescent="0.25">
      <c r="B211" s="4">
        <v>300</v>
      </c>
      <c r="C211" s="4" t="s">
        <v>118</v>
      </c>
      <c r="D211" s="4" t="s">
        <v>119</v>
      </c>
      <c r="E211" s="4">
        <v>2295</v>
      </c>
      <c r="F211" s="4" t="s">
        <v>29</v>
      </c>
      <c r="G211" s="4" t="s">
        <v>50</v>
      </c>
      <c r="H211" s="4" t="s">
        <v>110</v>
      </c>
      <c r="I211" s="4" t="s">
        <v>76</v>
      </c>
      <c r="J211" s="4">
        <v>320</v>
      </c>
      <c r="L211" s="4" t="s">
        <v>33</v>
      </c>
      <c r="M211" s="5"/>
      <c r="O211" s="5"/>
      <c r="Q211" s="4">
        <f>B211</f>
        <v>300</v>
      </c>
      <c r="R211" s="4" t="str">
        <f>C211</f>
        <v>03/10/2026</v>
      </c>
      <c r="S211" s="4" t="str">
        <f>D211</f>
        <v>sábado</v>
      </c>
      <c r="T211" s="4" t="str">
        <f>E211&amp;"/"&amp;E212</f>
        <v>2295/2294</v>
      </c>
      <c r="U211" s="4" t="str">
        <f>F211&amp;"-"&amp;G211&amp;"-"&amp;F211</f>
        <v>LIM-CJA-LIM</v>
      </c>
      <c r="V211" s="4" t="str">
        <f>IF($M$211="","",$M$211)</f>
        <v/>
      </c>
      <c r="W211" s="4" t="str">
        <f>IF($O$211="","",$O$211)</f>
        <v/>
      </c>
      <c r="X211" s="4">
        <f>J211</f>
        <v>320</v>
      </c>
    </row>
    <row r="212" spans="2:24" ht="30" x14ac:dyDescent="0.25">
      <c r="B212" s="4">
        <v>300</v>
      </c>
      <c r="C212" s="4" t="s">
        <v>118</v>
      </c>
      <c r="D212" s="4" t="s">
        <v>119</v>
      </c>
      <c r="E212" s="4">
        <v>2294</v>
      </c>
      <c r="F212" s="4" t="s">
        <v>50</v>
      </c>
      <c r="G212" s="4" t="s">
        <v>29</v>
      </c>
      <c r="H212" s="4" t="s">
        <v>83</v>
      </c>
      <c r="I212" s="4" t="s">
        <v>42</v>
      </c>
      <c r="J212" s="4">
        <v>320</v>
      </c>
      <c r="K212" t="str">
        <f>TEXT(TIMEVALUE(H212)-TIMEVALUE(I211)+(TIMEVALUE(H212)&lt;TIMEVALUE(I211)),"[h]:mm")</f>
        <v>0:40</v>
      </c>
      <c r="L212" s="4" t="s">
        <v>55</v>
      </c>
      <c r="O212" t="str">
        <f>"LIM-"&amp;G211&amp;"-LIM   LA "&amp;E211&amp;" ("&amp;LEFT(H211,5)&amp;"-"&amp;LEFT(I211,5)&amp;" hrs)  /  LA "&amp;E212&amp;" ("&amp;LEFT(H212,5)&amp;"-"&amp;LEFT(I212,5)&amp;" hrs)"</f>
        <v>LIM-CJA-LIM   LA 2295 (14:10-15:30 hrs)  /  LA 2294 (16:10-17:15 hrs)</v>
      </c>
    </row>
    <row r="213" spans="2:24" x14ac:dyDescent="0.25">
      <c r="J213" s="7" t="s">
        <v>43</v>
      </c>
      <c r="K213" s="8" t="str">
        <f>TEXT(TIMEVALUE(I212)-TIMEVALUE(H211)+(I212&lt;H211),"[h]:mm")</f>
        <v>3:05</v>
      </c>
    </row>
    <row r="215" spans="2:24" ht="30" x14ac:dyDescent="0.25">
      <c r="B215" s="3" t="s">
        <v>9</v>
      </c>
      <c r="C215" s="3" t="s">
        <v>17</v>
      </c>
      <c r="D215" s="3" t="s">
        <v>18</v>
      </c>
      <c r="E215" s="3" t="s">
        <v>19</v>
      </c>
      <c r="F215" s="3" t="s">
        <v>20</v>
      </c>
      <c r="G215" s="3" t="s">
        <v>21</v>
      </c>
      <c r="H215" s="3" t="s">
        <v>22</v>
      </c>
      <c r="I215" s="3" t="s">
        <v>23</v>
      </c>
      <c r="J215" s="3" t="s">
        <v>24</v>
      </c>
      <c r="K215" s="3" t="s">
        <v>25</v>
      </c>
      <c r="L215" s="3" t="s">
        <v>26</v>
      </c>
    </row>
    <row r="216" spans="2:24" ht="30" x14ac:dyDescent="0.25">
      <c r="B216" s="4">
        <v>302</v>
      </c>
      <c r="C216" s="4" t="s">
        <v>118</v>
      </c>
      <c r="D216" s="4" t="s">
        <v>119</v>
      </c>
      <c r="E216" s="4">
        <v>2264</v>
      </c>
      <c r="F216" s="4" t="s">
        <v>29</v>
      </c>
      <c r="G216" s="4" t="s">
        <v>44</v>
      </c>
      <c r="H216" s="4" t="s">
        <v>87</v>
      </c>
      <c r="I216" s="4" t="s">
        <v>60</v>
      </c>
      <c r="J216" s="4">
        <v>319</v>
      </c>
      <c r="L216" s="4" t="s">
        <v>47</v>
      </c>
      <c r="M216" s="5"/>
      <c r="O216" s="5"/>
      <c r="Q216" s="4">
        <f>B216</f>
        <v>302</v>
      </c>
      <c r="R216" s="4" t="str">
        <f>C216</f>
        <v>03/10/2026</v>
      </c>
      <c r="S216" s="4" t="str">
        <f>D216</f>
        <v>sábado</v>
      </c>
      <c r="T216" s="4" t="str">
        <f>E216&amp;"/"&amp;E217</f>
        <v>2264/2265</v>
      </c>
      <c r="U216" s="4" t="str">
        <f>F216&amp;"-"&amp;G216&amp;"-"&amp;F216</f>
        <v>LIM-PEM-LIM</v>
      </c>
      <c r="V216" s="4" t="str">
        <f>IF($M$216="","",$M$216)</f>
        <v/>
      </c>
      <c r="W216" s="4" t="str">
        <f>IF($O$216="","",$O$216)</f>
        <v/>
      </c>
      <c r="X216" s="4">
        <f>J216</f>
        <v>319</v>
      </c>
    </row>
    <row r="217" spans="2:24" ht="30" x14ac:dyDescent="0.25">
      <c r="B217" s="4">
        <v>302</v>
      </c>
      <c r="C217" s="4" t="s">
        <v>118</v>
      </c>
      <c r="D217" s="4" t="s">
        <v>119</v>
      </c>
      <c r="E217" s="4">
        <v>2265</v>
      </c>
      <c r="F217" s="4" t="s">
        <v>44</v>
      </c>
      <c r="G217" s="4" t="s">
        <v>29</v>
      </c>
      <c r="H217" s="4" t="s">
        <v>53</v>
      </c>
      <c r="I217" s="4" t="s">
        <v>88</v>
      </c>
      <c r="J217" s="4">
        <v>319</v>
      </c>
      <c r="K217" t="str">
        <f>TEXT(TIMEVALUE(H217)-TIMEVALUE(I216)+(TIMEVALUE(H217)&lt;TIMEVALUE(I216)),"[h]:mm")</f>
        <v>0:40</v>
      </c>
      <c r="L217" s="4" t="s">
        <v>36</v>
      </c>
      <c r="O217" t="str">
        <f>"LIM-"&amp;G216&amp;"-LIM   LA "&amp;E216&amp;" ("&amp;LEFT(H216,5)&amp;"-"&amp;LEFT(I216,5)&amp;" hrs)  /  LA "&amp;E217&amp;" ("&amp;LEFT(H217,5)&amp;"-"&amp;LEFT(I217,5)&amp;" hrs)"</f>
        <v>LIM-PEM-LIM   LA 2264 (14:55-16:40 hrs)  /  LA 2265 (17:20-18:55 hrs)</v>
      </c>
    </row>
    <row r="218" spans="2:24" x14ac:dyDescent="0.25">
      <c r="J218" s="7" t="s">
        <v>43</v>
      </c>
      <c r="K218" s="8" t="str">
        <f>TEXT(TIMEVALUE(I217)-TIMEVALUE(H216)+(I217&lt;H216),"[h]:mm")</f>
        <v>4:00</v>
      </c>
    </row>
    <row r="220" spans="2:24" ht="30" x14ac:dyDescent="0.25">
      <c r="B220" s="3" t="s">
        <v>9</v>
      </c>
      <c r="C220" s="3" t="s">
        <v>17</v>
      </c>
      <c r="D220" s="3" t="s">
        <v>18</v>
      </c>
      <c r="E220" s="3" t="s">
        <v>19</v>
      </c>
      <c r="F220" s="3" t="s">
        <v>20</v>
      </c>
      <c r="G220" s="3" t="s">
        <v>21</v>
      </c>
      <c r="H220" s="3" t="s">
        <v>22</v>
      </c>
      <c r="I220" s="3" t="s">
        <v>23</v>
      </c>
      <c r="J220" s="3" t="s">
        <v>24</v>
      </c>
      <c r="K220" s="3" t="s">
        <v>25</v>
      </c>
      <c r="L220" s="3" t="s">
        <v>26</v>
      </c>
    </row>
    <row r="221" spans="2:24" ht="30" x14ac:dyDescent="0.25">
      <c r="B221" s="4">
        <v>303</v>
      </c>
      <c r="C221" s="4" t="s">
        <v>118</v>
      </c>
      <c r="D221" s="4" t="s">
        <v>119</v>
      </c>
      <c r="E221" s="4">
        <v>2338</v>
      </c>
      <c r="F221" s="4" t="s">
        <v>29</v>
      </c>
      <c r="G221" s="4" t="s">
        <v>125</v>
      </c>
      <c r="H221" s="4" t="s">
        <v>109</v>
      </c>
      <c r="I221" s="4" t="s">
        <v>86</v>
      </c>
      <c r="J221" s="4">
        <v>320</v>
      </c>
      <c r="L221" s="4" t="s">
        <v>47</v>
      </c>
      <c r="M221" s="5"/>
      <c r="O221" s="5"/>
      <c r="Q221" s="4">
        <f>B221</f>
        <v>303</v>
      </c>
      <c r="R221" s="4" t="str">
        <f>C221</f>
        <v>03/10/2026</v>
      </c>
      <c r="S221" s="4" t="str">
        <f>D221</f>
        <v>sábado</v>
      </c>
      <c r="T221" s="4" t="str">
        <f>E221&amp;"/"&amp;E222</f>
        <v>2338/2339</v>
      </c>
      <c r="U221" s="4" t="str">
        <f>F221&amp;"-"&amp;G221&amp;"-"&amp;F221</f>
        <v>LIM-PIU-LIM</v>
      </c>
      <c r="V221" s="4" t="str">
        <f>IF($M$221="","",$M$221)</f>
        <v/>
      </c>
      <c r="W221" s="4" t="str">
        <f>IF($O$221="","",$O$221)</f>
        <v/>
      </c>
      <c r="X221" s="4">
        <f>J221</f>
        <v>320</v>
      </c>
    </row>
    <row r="222" spans="2:24" ht="30" x14ac:dyDescent="0.25">
      <c r="B222" s="4">
        <v>303</v>
      </c>
      <c r="C222" s="4" t="s">
        <v>118</v>
      </c>
      <c r="D222" s="4" t="s">
        <v>119</v>
      </c>
      <c r="E222" s="4">
        <v>2339</v>
      </c>
      <c r="F222" s="4" t="s">
        <v>125</v>
      </c>
      <c r="G222" s="4" t="s">
        <v>29</v>
      </c>
      <c r="H222" s="4" t="s">
        <v>53</v>
      </c>
      <c r="I222" s="4" t="s">
        <v>88</v>
      </c>
      <c r="J222" s="4">
        <v>320</v>
      </c>
      <c r="K222" t="str">
        <f>TEXT(TIMEVALUE(H222)-TIMEVALUE(I221)+(TIMEVALUE(H222)&lt;TIMEVALUE(I221)),"[h]:mm")</f>
        <v>0:35</v>
      </c>
      <c r="L222" s="4" t="s">
        <v>36</v>
      </c>
      <c r="O222" t="str">
        <f>"LIM-"&amp;G221&amp;"-LIM   LA "&amp;E221&amp;" ("&amp;LEFT(H221,5)&amp;"-"&amp;LEFT(I221,5)&amp;" hrs)  /  LA "&amp;E222&amp;" ("&amp;LEFT(H222,5)&amp;"-"&amp;LEFT(I222,5)&amp;" hrs)"</f>
        <v>LIM-PIU-LIM   LA 2338 (15:00-16:45 hrs)  /  LA 2339 (17:20-18:55 hrs)</v>
      </c>
    </row>
    <row r="223" spans="2:24" x14ac:dyDescent="0.25">
      <c r="J223" s="7" t="s">
        <v>43</v>
      </c>
      <c r="K223" s="8" t="str">
        <f>TEXT(TIMEVALUE(I222)-TIMEVALUE(H221)+(I222&lt;H221),"[h]:mm")</f>
        <v>3:55</v>
      </c>
    </row>
    <row r="225" spans="2:24" ht="30" x14ac:dyDescent="0.25">
      <c r="B225" s="3" t="s">
        <v>9</v>
      </c>
      <c r="C225" s="3" t="s">
        <v>17</v>
      </c>
      <c r="D225" s="3" t="s">
        <v>18</v>
      </c>
      <c r="E225" s="3" t="s">
        <v>19</v>
      </c>
      <c r="F225" s="3" t="s">
        <v>20</v>
      </c>
      <c r="G225" s="3" t="s">
        <v>21</v>
      </c>
      <c r="H225" s="3" t="s">
        <v>22</v>
      </c>
      <c r="I225" s="3" t="s">
        <v>23</v>
      </c>
      <c r="J225" s="3" t="s">
        <v>24</v>
      </c>
      <c r="K225" s="3" t="s">
        <v>25</v>
      </c>
      <c r="L225" s="3" t="s">
        <v>26</v>
      </c>
    </row>
    <row r="226" spans="2:24" ht="30" x14ac:dyDescent="0.25">
      <c r="B226" s="4">
        <v>304</v>
      </c>
      <c r="C226" s="4" t="s">
        <v>118</v>
      </c>
      <c r="D226" s="4" t="s">
        <v>119</v>
      </c>
      <c r="E226" s="4">
        <v>2338</v>
      </c>
      <c r="F226" s="4" t="s">
        <v>29</v>
      </c>
      <c r="G226" s="4" t="s">
        <v>125</v>
      </c>
      <c r="H226" s="4" t="s">
        <v>109</v>
      </c>
      <c r="I226" s="4" t="s">
        <v>86</v>
      </c>
      <c r="J226" s="4">
        <v>320</v>
      </c>
      <c r="L226" s="4" t="s">
        <v>47</v>
      </c>
      <c r="M226" s="5"/>
      <c r="O226" s="5"/>
      <c r="Q226" s="4">
        <f>B226</f>
        <v>304</v>
      </c>
      <c r="R226" s="4" t="str">
        <f>C226</f>
        <v>03/10/2026</v>
      </c>
      <c r="S226" s="4" t="str">
        <f>D226</f>
        <v>sábado</v>
      </c>
      <c r="T226" s="4" t="str">
        <f>E226&amp;"/"&amp;E227</f>
        <v>2338/2339</v>
      </c>
      <c r="U226" s="4" t="str">
        <f>F226&amp;"-"&amp;G226&amp;"-"&amp;F226</f>
        <v>LIM-PIU-LIM</v>
      </c>
      <c r="V226" s="4" t="str">
        <f>IF($M$226="","",$M$226)</f>
        <v/>
      </c>
      <c r="W226" s="4" t="str">
        <f>IF($O$226="","",$O$226)</f>
        <v/>
      </c>
      <c r="X226" s="4">
        <f>J226</f>
        <v>320</v>
      </c>
    </row>
    <row r="227" spans="2:24" ht="30" x14ac:dyDescent="0.25">
      <c r="B227" s="4">
        <v>304</v>
      </c>
      <c r="C227" s="4" t="s">
        <v>118</v>
      </c>
      <c r="D227" s="4" t="s">
        <v>119</v>
      </c>
      <c r="E227" s="4">
        <v>2339</v>
      </c>
      <c r="F227" s="4" t="s">
        <v>125</v>
      </c>
      <c r="G227" s="4" t="s">
        <v>29</v>
      </c>
      <c r="H227" s="4" t="s">
        <v>53</v>
      </c>
      <c r="I227" s="4" t="s">
        <v>88</v>
      </c>
      <c r="J227" s="4">
        <v>320</v>
      </c>
      <c r="K227" t="str">
        <f>TEXT(TIMEVALUE(H227)-TIMEVALUE(I226)+(TIMEVALUE(H227)&lt;TIMEVALUE(I226)),"[h]:mm")</f>
        <v>0:35</v>
      </c>
      <c r="L227" s="4" t="s">
        <v>36</v>
      </c>
      <c r="O227" t="str">
        <f>"LIM-"&amp;G226&amp;"-LIM   LA "&amp;E226&amp;" ("&amp;LEFT(H226,5)&amp;"-"&amp;LEFT(I226,5)&amp;" hrs)  /  LA "&amp;E227&amp;" ("&amp;LEFT(H227,5)&amp;"-"&amp;LEFT(I227,5)&amp;" hrs)"</f>
        <v>LIM-PIU-LIM   LA 2338 (15:00-16:45 hrs)  /  LA 2339 (17:20-18:55 hrs)</v>
      </c>
    </row>
    <row r="228" spans="2:24" x14ac:dyDescent="0.25">
      <c r="J228" s="7" t="s">
        <v>43</v>
      </c>
      <c r="K228" s="8" t="str">
        <f>TEXT(TIMEVALUE(I227)-TIMEVALUE(H226)+(I227&lt;H226),"[h]:mm")</f>
        <v>3:55</v>
      </c>
    </row>
    <row r="230" spans="2:24" ht="30" x14ac:dyDescent="0.25">
      <c r="B230" s="3" t="s">
        <v>9</v>
      </c>
      <c r="C230" s="3" t="s">
        <v>17</v>
      </c>
      <c r="D230" s="3" t="s">
        <v>18</v>
      </c>
      <c r="E230" s="3" t="s">
        <v>19</v>
      </c>
      <c r="F230" s="3" t="s">
        <v>20</v>
      </c>
      <c r="G230" s="3" t="s">
        <v>21</v>
      </c>
      <c r="H230" s="3" t="s">
        <v>22</v>
      </c>
      <c r="I230" s="3" t="s">
        <v>23</v>
      </c>
      <c r="J230" s="3" t="s">
        <v>24</v>
      </c>
      <c r="K230" s="3" t="s">
        <v>25</v>
      </c>
      <c r="L230" s="3" t="s">
        <v>26</v>
      </c>
    </row>
    <row r="231" spans="2:24" ht="30" x14ac:dyDescent="0.25">
      <c r="B231" s="4">
        <v>305</v>
      </c>
      <c r="C231" s="4" t="s">
        <v>118</v>
      </c>
      <c r="D231" s="4" t="s">
        <v>119</v>
      </c>
      <c r="E231" s="4">
        <v>2113</v>
      </c>
      <c r="F231" s="4" t="s">
        <v>29</v>
      </c>
      <c r="G231" s="4" t="s">
        <v>56</v>
      </c>
      <c r="H231" s="4" t="s">
        <v>126</v>
      </c>
      <c r="I231" s="4" t="s">
        <v>52</v>
      </c>
      <c r="J231" s="4">
        <v>320</v>
      </c>
      <c r="L231" s="4" t="s">
        <v>40</v>
      </c>
      <c r="M231" s="5"/>
      <c r="O231" s="5"/>
      <c r="Q231" s="4">
        <f>B231</f>
        <v>305</v>
      </c>
      <c r="R231" s="4" t="str">
        <f>C231</f>
        <v>03/10/2026</v>
      </c>
      <c r="S231" s="4" t="str">
        <f>D231</f>
        <v>sábado</v>
      </c>
      <c r="T231" s="4" t="str">
        <f>E231&amp;"/"&amp;E232</f>
        <v>2113/2112</v>
      </c>
      <c r="U231" s="4" t="str">
        <f>F231&amp;"-"&amp;G231&amp;"-"&amp;F231</f>
        <v>LIM-AQP-LIM</v>
      </c>
      <c r="V231" s="4" t="str">
        <f>IF($M$231="","",$M$231)</f>
        <v/>
      </c>
      <c r="W231" s="4" t="str">
        <f>IF($O$231="","",$O$231)</f>
        <v/>
      </c>
      <c r="X231" s="4">
        <f>J231</f>
        <v>320</v>
      </c>
    </row>
    <row r="232" spans="2:24" ht="30" x14ac:dyDescent="0.25">
      <c r="B232" s="4">
        <v>305</v>
      </c>
      <c r="C232" s="4" t="s">
        <v>118</v>
      </c>
      <c r="D232" s="4" t="s">
        <v>119</v>
      </c>
      <c r="E232" s="4">
        <v>2112</v>
      </c>
      <c r="F232" s="4" t="s">
        <v>56</v>
      </c>
      <c r="G232" s="4" t="s">
        <v>29</v>
      </c>
      <c r="H232" s="4" t="s">
        <v>42</v>
      </c>
      <c r="I232" s="4" t="s">
        <v>88</v>
      </c>
      <c r="J232" s="4">
        <v>320</v>
      </c>
      <c r="K232" t="str">
        <f>TEXT(TIMEVALUE(H232)-TIMEVALUE(I231)+(TIMEVALUE(H232)&lt;TIMEVALUE(I231)),"[h]:mm")</f>
        <v>0:40</v>
      </c>
      <c r="L232" s="4" t="s">
        <v>71</v>
      </c>
      <c r="O232" t="str">
        <f>"LIM-"&amp;G231&amp;"-LIM   LA "&amp;E231&amp;" ("&amp;LEFT(H231,5)&amp;"-"&amp;LEFT(I231,5)&amp;" hrs)  /  LA "&amp;E232&amp;" ("&amp;LEFT(H232,5)&amp;"-"&amp;LEFT(I232,5)&amp;" hrs)"</f>
        <v>LIM-AQP-LIM   LA 2113 (15:05-16:35 hrs)  /  LA 2112 (17:15-18:55 hrs)</v>
      </c>
    </row>
    <row r="233" spans="2:24" x14ac:dyDescent="0.25">
      <c r="J233" s="7" t="s">
        <v>43</v>
      </c>
      <c r="K233" s="8" t="str">
        <f>TEXT(TIMEVALUE(I232)-TIMEVALUE(H231)+(I232&lt;H231),"[h]:mm")</f>
        <v>3:50</v>
      </c>
    </row>
    <row r="235" spans="2:24" ht="30" x14ac:dyDescent="0.25">
      <c r="B235" s="3" t="s">
        <v>9</v>
      </c>
      <c r="C235" s="3" t="s">
        <v>17</v>
      </c>
      <c r="D235" s="3" t="s">
        <v>18</v>
      </c>
      <c r="E235" s="3" t="s">
        <v>19</v>
      </c>
      <c r="F235" s="3" t="s">
        <v>20</v>
      </c>
      <c r="G235" s="3" t="s">
        <v>21</v>
      </c>
      <c r="H235" s="3" t="s">
        <v>22</v>
      </c>
      <c r="I235" s="3" t="s">
        <v>23</v>
      </c>
      <c r="J235" s="3" t="s">
        <v>24</v>
      </c>
      <c r="K235" s="3" t="s">
        <v>25</v>
      </c>
      <c r="L235" s="3" t="s">
        <v>26</v>
      </c>
    </row>
    <row r="236" spans="2:24" ht="30" x14ac:dyDescent="0.25">
      <c r="B236" s="4">
        <v>307</v>
      </c>
      <c r="C236" s="4" t="s">
        <v>118</v>
      </c>
      <c r="D236" s="4" t="s">
        <v>119</v>
      </c>
      <c r="E236" s="4">
        <v>2297</v>
      </c>
      <c r="F236" s="4" t="s">
        <v>29</v>
      </c>
      <c r="G236" s="4" t="s">
        <v>50</v>
      </c>
      <c r="H236" s="4" t="s">
        <v>51</v>
      </c>
      <c r="I236" s="4" t="s">
        <v>52</v>
      </c>
      <c r="J236" s="4">
        <v>320</v>
      </c>
      <c r="L236" s="4" t="s">
        <v>33</v>
      </c>
      <c r="M236" s="5"/>
      <c r="O236" s="5"/>
      <c r="Q236" s="4">
        <f>B236</f>
        <v>307</v>
      </c>
      <c r="R236" s="4" t="str">
        <f>C236</f>
        <v>03/10/2026</v>
      </c>
      <c r="S236" s="4" t="str">
        <f>D236</f>
        <v>sábado</v>
      </c>
      <c r="T236" s="4" t="str">
        <f>E236&amp;"/"&amp;E237</f>
        <v>2297/2296</v>
      </c>
      <c r="U236" s="4" t="str">
        <f>F236&amp;"-"&amp;G236&amp;"-"&amp;F236</f>
        <v>LIM-CJA-LIM</v>
      </c>
      <c r="V236" s="4" t="str">
        <f>IF($M$236="","",$M$236)</f>
        <v/>
      </c>
      <c r="W236" s="4" t="str">
        <f>IF($O$236="","",$O$236)</f>
        <v/>
      </c>
      <c r="X236" s="4">
        <f>J236</f>
        <v>320</v>
      </c>
    </row>
    <row r="237" spans="2:24" ht="30" x14ac:dyDescent="0.25">
      <c r="B237" s="4">
        <v>307</v>
      </c>
      <c r="C237" s="4" t="s">
        <v>118</v>
      </c>
      <c r="D237" s="4" t="s">
        <v>119</v>
      </c>
      <c r="E237" s="4">
        <v>2296</v>
      </c>
      <c r="F237" s="4" t="s">
        <v>50</v>
      </c>
      <c r="G237" s="4" t="s">
        <v>29</v>
      </c>
      <c r="H237" s="4" t="s">
        <v>53</v>
      </c>
      <c r="I237" s="4" t="s">
        <v>54</v>
      </c>
      <c r="J237" s="4">
        <v>320</v>
      </c>
      <c r="K237" t="str">
        <f>TEXT(TIMEVALUE(H237)-TIMEVALUE(I236)+(TIMEVALUE(H237)&lt;TIMEVALUE(I236)),"[h]:mm")</f>
        <v>0:45</v>
      </c>
      <c r="L237" s="4" t="s">
        <v>55</v>
      </c>
      <c r="O237" t="str">
        <f>"LIM-"&amp;G236&amp;"-LIM   LA "&amp;E236&amp;" ("&amp;LEFT(H236,5)&amp;"-"&amp;LEFT(I236,5)&amp;" hrs)  /  LA "&amp;E237&amp;" ("&amp;LEFT(H237,5)&amp;"-"&amp;LEFT(I237,5)&amp;" hrs)"</f>
        <v>LIM-CJA-LIM   LA 2297 (15:15-16:35 hrs)  /  LA 2296 (17:20-18:25 hrs)</v>
      </c>
    </row>
    <row r="238" spans="2:24" x14ac:dyDescent="0.25">
      <c r="J238" s="7" t="s">
        <v>43</v>
      </c>
      <c r="K238" s="8" t="str">
        <f>TEXT(TIMEVALUE(I237)-TIMEVALUE(H236)+(I237&lt;H236),"[h]:mm")</f>
        <v>3:10</v>
      </c>
    </row>
    <row r="240" spans="2:24" ht="30" x14ac:dyDescent="0.25">
      <c r="B240" s="3" t="s">
        <v>9</v>
      </c>
      <c r="C240" s="3" t="s">
        <v>17</v>
      </c>
      <c r="D240" s="3" t="s">
        <v>18</v>
      </c>
      <c r="E240" s="3" t="s">
        <v>19</v>
      </c>
      <c r="F240" s="3" t="s">
        <v>20</v>
      </c>
      <c r="G240" s="3" t="s">
        <v>21</v>
      </c>
      <c r="H240" s="3" t="s">
        <v>22</v>
      </c>
      <c r="I240" s="3" t="s">
        <v>23</v>
      </c>
      <c r="J240" s="3" t="s">
        <v>24</v>
      </c>
      <c r="K240" s="3" t="s">
        <v>25</v>
      </c>
      <c r="L240" s="3" t="s">
        <v>26</v>
      </c>
    </row>
    <row r="241" spans="2:24" ht="30" x14ac:dyDescent="0.25">
      <c r="B241" s="4">
        <v>308</v>
      </c>
      <c r="C241" s="4" t="s">
        <v>118</v>
      </c>
      <c r="D241" s="4" t="s">
        <v>119</v>
      </c>
      <c r="E241" s="4">
        <v>2360</v>
      </c>
      <c r="F241" s="4" t="s">
        <v>29</v>
      </c>
      <c r="G241" s="4" t="s">
        <v>58</v>
      </c>
      <c r="H241" s="4" t="s">
        <v>59</v>
      </c>
      <c r="I241" s="4" t="s">
        <v>60</v>
      </c>
      <c r="J241" s="4">
        <v>319</v>
      </c>
      <c r="L241" s="4" t="s">
        <v>61</v>
      </c>
      <c r="M241" s="5"/>
      <c r="O241" s="5"/>
      <c r="Q241" s="4">
        <f>B241</f>
        <v>308</v>
      </c>
      <c r="R241" s="4" t="str">
        <f>C241</f>
        <v>03/10/2026</v>
      </c>
      <c r="S241" s="4" t="str">
        <f>D241</f>
        <v>sábado</v>
      </c>
      <c r="T241" s="4" t="str">
        <f>E241&amp;"/"&amp;E242</f>
        <v>2360/2361</v>
      </c>
      <c r="U241" s="4" t="str">
        <f>F241&amp;"-"&amp;G241&amp;"-"&amp;F241</f>
        <v>LIM-PCL-LIM</v>
      </c>
      <c r="V241" s="4" t="str">
        <f>IF($M$241="","",$M$241)</f>
        <v/>
      </c>
      <c r="W241" s="4" t="str">
        <f>IF($O$241="","",$O$241)</f>
        <v/>
      </c>
      <c r="X241" s="4">
        <f>J241</f>
        <v>319</v>
      </c>
    </row>
    <row r="242" spans="2:24" ht="30" x14ac:dyDescent="0.25">
      <c r="B242" s="4">
        <v>308</v>
      </c>
      <c r="C242" s="4" t="s">
        <v>118</v>
      </c>
      <c r="D242" s="4" t="s">
        <v>119</v>
      </c>
      <c r="E242" s="4">
        <v>2361</v>
      </c>
      <c r="F242" s="4" t="s">
        <v>58</v>
      </c>
      <c r="G242" s="4" t="s">
        <v>29</v>
      </c>
      <c r="H242" s="4" t="s">
        <v>53</v>
      </c>
      <c r="I242" s="4" t="s">
        <v>62</v>
      </c>
      <c r="J242" s="4">
        <v>319</v>
      </c>
      <c r="K242" t="str">
        <f>TEXT(TIMEVALUE(H242)-TIMEVALUE(I241)+(TIMEVALUE(H242)&lt;TIMEVALUE(I241)),"[h]:mm")</f>
        <v>0:40</v>
      </c>
      <c r="L242" s="4" t="s">
        <v>61</v>
      </c>
      <c r="O242" t="str">
        <f>"LIM-"&amp;G241&amp;"-LIM   LA "&amp;E241&amp;" ("&amp;LEFT(H241,5)&amp;"-"&amp;LEFT(I241,5)&amp;" hrs)  /  LA "&amp;E242&amp;" ("&amp;LEFT(H242,5)&amp;"-"&amp;LEFT(I242,5)&amp;" hrs)"</f>
        <v>LIM-PCL-LIM   LA 2360 (15:25-16:40 hrs)  /  LA 2361 (17:20-18:35 hrs)</v>
      </c>
    </row>
    <row r="243" spans="2:24" x14ac:dyDescent="0.25">
      <c r="J243" s="7" t="s">
        <v>43</v>
      </c>
      <c r="K243" s="8" t="str">
        <f>TEXT(TIMEVALUE(I242)-TIMEVALUE(H241)+(I242&lt;H241),"[h]:mm")</f>
        <v>3:10</v>
      </c>
    </row>
    <row r="245" spans="2:24" ht="30" x14ac:dyDescent="0.25">
      <c r="B245" s="3" t="s">
        <v>9</v>
      </c>
      <c r="C245" s="3" t="s">
        <v>17</v>
      </c>
      <c r="D245" s="3" t="s">
        <v>18</v>
      </c>
      <c r="E245" s="3" t="s">
        <v>19</v>
      </c>
      <c r="F245" s="3" t="s">
        <v>20</v>
      </c>
      <c r="G245" s="3" t="s">
        <v>21</v>
      </c>
      <c r="H245" s="3" t="s">
        <v>22</v>
      </c>
      <c r="I245" s="3" t="s">
        <v>23</v>
      </c>
      <c r="J245" s="3" t="s">
        <v>24</v>
      </c>
      <c r="K245" s="3" t="s">
        <v>25</v>
      </c>
      <c r="L245" s="3" t="s">
        <v>26</v>
      </c>
    </row>
    <row r="246" spans="2:24" ht="30" x14ac:dyDescent="0.25">
      <c r="B246" s="4">
        <v>309</v>
      </c>
      <c r="C246" s="4" t="s">
        <v>118</v>
      </c>
      <c r="D246" s="4" t="s">
        <v>119</v>
      </c>
      <c r="E246" s="4">
        <v>2312</v>
      </c>
      <c r="F246" s="4" t="s">
        <v>29</v>
      </c>
      <c r="G246" s="4" t="s">
        <v>37</v>
      </c>
      <c r="H246" s="4" t="s">
        <v>89</v>
      </c>
      <c r="I246" s="4" t="s">
        <v>77</v>
      </c>
      <c r="J246" s="4">
        <v>320</v>
      </c>
      <c r="L246" s="4" t="s">
        <v>40</v>
      </c>
      <c r="M246" s="5"/>
      <c r="O246" s="5"/>
      <c r="Q246" s="4">
        <f>B246</f>
        <v>309</v>
      </c>
      <c r="R246" s="4" t="str">
        <f>C246</f>
        <v>03/10/2026</v>
      </c>
      <c r="S246" s="4" t="str">
        <f>D246</f>
        <v>sábado</v>
      </c>
      <c r="T246" s="4" t="str">
        <f>E246&amp;"/"&amp;E247</f>
        <v>2312/2313</v>
      </c>
      <c r="U246" s="4" t="str">
        <f>F246&amp;"-"&amp;G246&amp;"-"&amp;F246</f>
        <v>LIM-CIX-LIM</v>
      </c>
      <c r="V246" s="4" t="str">
        <f>IF($M$246="","",$M$246)</f>
        <v/>
      </c>
      <c r="W246" s="4" t="str">
        <f>IF($O$246="","",$O$246)</f>
        <v/>
      </c>
      <c r="X246" s="4">
        <f>J246</f>
        <v>320</v>
      </c>
    </row>
    <row r="247" spans="2:24" ht="30" x14ac:dyDescent="0.25">
      <c r="B247" s="4">
        <v>309</v>
      </c>
      <c r="C247" s="4" t="s">
        <v>118</v>
      </c>
      <c r="D247" s="4" t="s">
        <v>119</v>
      </c>
      <c r="E247" s="4">
        <v>2313</v>
      </c>
      <c r="F247" s="4" t="s">
        <v>37</v>
      </c>
      <c r="G247" s="4" t="s">
        <v>29</v>
      </c>
      <c r="H247" s="4" t="s">
        <v>84</v>
      </c>
      <c r="I247" s="4" t="s">
        <v>90</v>
      </c>
      <c r="J247" s="4">
        <v>320</v>
      </c>
      <c r="K247" t="str">
        <f>TEXT(TIMEVALUE(H247)-TIMEVALUE(I246)+(TIMEVALUE(H247)&lt;TIMEVALUE(I246)),"[h]:mm")</f>
        <v>0:45</v>
      </c>
      <c r="L247" s="4" t="s">
        <v>33</v>
      </c>
      <c r="O247" t="str">
        <f>"LIM-"&amp;G246&amp;"-LIM   LA "&amp;E246&amp;" ("&amp;LEFT(H246,5)&amp;"-"&amp;LEFT(I246,5)&amp;" hrs)  /  LA "&amp;E247&amp;" ("&amp;LEFT(H247,5)&amp;"-"&amp;LEFT(I247,5)&amp;" hrs)"</f>
        <v>LIM-CIX-LIM   LA 2312 (15:35-17:05 hrs)  /  LA 2313 (17:50-19:10 hrs)</v>
      </c>
    </row>
    <row r="248" spans="2:24" x14ac:dyDescent="0.25">
      <c r="J248" s="7" t="s">
        <v>43</v>
      </c>
      <c r="K248" s="8" t="str">
        <f>TEXT(TIMEVALUE(I247)-TIMEVALUE(H246)+(I247&lt;H246),"[h]:mm")</f>
        <v>3:35</v>
      </c>
    </row>
    <row r="250" spans="2:24" ht="30" x14ac:dyDescent="0.25">
      <c r="B250" s="3" t="s">
        <v>9</v>
      </c>
      <c r="C250" s="3" t="s">
        <v>17</v>
      </c>
      <c r="D250" s="3" t="s">
        <v>18</v>
      </c>
      <c r="E250" s="3" t="s">
        <v>19</v>
      </c>
      <c r="F250" s="3" t="s">
        <v>20</v>
      </c>
      <c r="G250" s="3" t="s">
        <v>21</v>
      </c>
      <c r="H250" s="3" t="s">
        <v>22</v>
      </c>
      <c r="I250" s="3" t="s">
        <v>23</v>
      </c>
      <c r="J250" s="3" t="s">
        <v>24</v>
      </c>
      <c r="K250" s="3" t="s">
        <v>25</v>
      </c>
      <c r="L250" s="3" t="s">
        <v>26</v>
      </c>
    </row>
    <row r="251" spans="2:24" ht="30" x14ac:dyDescent="0.25">
      <c r="B251" s="4">
        <v>310</v>
      </c>
      <c r="C251" s="4" t="s">
        <v>118</v>
      </c>
      <c r="D251" s="4" t="s">
        <v>119</v>
      </c>
      <c r="E251" s="4">
        <v>2301</v>
      </c>
      <c r="F251" s="4" t="s">
        <v>29</v>
      </c>
      <c r="G251" s="4" t="s">
        <v>91</v>
      </c>
      <c r="H251" s="4" t="s">
        <v>92</v>
      </c>
      <c r="I251" s="4" t="s">
        <v>77</v>
      </c>
      <c r="J251" s="4">
        <v>320</v>
      </c>
      <c r="L251" s="4" t="s">
        <v>93</v>
      </c>
      <c r="M251" s="5"/>
      <c r="O251" s="5"/>
      <c r="Q251" s="4">
        <f>B251</f>
        <v>310</v>
      </c>
      <c r="R251" s="4" t="str">
        <f>C251</f>
        <v>03/10/2026</v>
      </c>
      <c r="S251" s="4" t="str">
        <f>D251</f>
        <v>sábado</v>
      </c>
      <c r="T251" s="4" t="str">
        <f>E251&amp;"/"&amp;E252</f>
        <v>2301/2300</v>
      </c>
      <c r="U251" s="4" t="str">
        <f>F251&amp;"-"&amp;G251&amp;"-"&amp;F251</f>
        <v>LIM-TPP-LIM</v>
      </c>
      <c r="V251" s="4" t="str">
        <f>IF($M$251="","",$M$251)</f>
        <v/>
      </c>
      <c r="W251" s="4" t="str">
        <f>IF($O$251="","",$O$251)</f>
        <v/>
      </c>
      <c r="X251" s="4">
        <f>J251</f>
        <v>320</v>
      </c>
    </row>
    <row r="252" spans="2:24" ht="30" x14ac:dyDescent="0.25">
      <c r="B252" s="4">
        <v>310</v>
      </c>
      <c r="C252" s="4" t="s">
        <v>118</v>
      </c>
      <c r="D252" s="4" t="s">
        <v>119</v>
      </c>
      <c r="E252" s="4">
        <v>2300</v>
      </c>
      <c r="F252" s="4" t="s">
        <v>91</v>
      </c>
      <c r="G252" s="4" t="s">
        <v>29</v>
      </c>
      <c r="H252" s="4" t="s">
        <v>84</v>
      </c>
      <c r="I252" s="4" t="s">
        <v>94</v>
      </c>
      <c r="J252" s="4">
        <v>320</v>
      </c>
      <c r="K252" t="str">
        <f>TEXT(TIMEVALUE(H252)-TIMEVALUE(I251)+(TIMEVALUE(H252)&lt;TIMEVALUE(I251)),"[h]:mm")</f>
        <v>0:45</v>
      </c>
      <c r="L252" s="4" t="s">
        <v>93</v>
      </c>
      <c r="O252" t="str">
        <f>"LIM-"&amp;G251&amp;"-LIM   LA "&amp;E251&amp;" ("&amp;LEFT(H251,5)&amp;"-"&amp;LEFT(I251,5)&amp;" hrs)  /  LA "&amp;E252&amp;" ("&amp;LEFT(H252,5)&amp;"-"&amp;LEFT(I252,5)&amp;" hrs)"</f>
        <v>LIM-TPP-LIM   LA 2301 (15:40-17:05 hrs)  /  LA 2300 (17:50-19:15 hrs)</v>
      </c>
    </row>
    <row r="253" spans="2:24" x14ac:dyDescent="0.25">
      <c r="J253" s="7" t="s">
        <v>43</v>
      </c>
      <c r="K253" s="8" t="str">
        <f>TEXT(TIMEVALUE(I252)-TIMEVALUE(H251)+(I252&lt;H251),"[h]:mm")</f>
        <v>3:35</v>
      </c>
    </row>
    <row r="255" spans="2:24" ht="30" x14ac:dyDescent="0.25">
      <c r="B255" s="3" t="s">
        <v>9</v>
      </c>
      <c r="C255" s="3" t="s">
        <v>17</v>
      </c>
      <c r="D255" s="3" t="s">
        <v>18</v>
      </c>
      <c r="E255" s="3" t="s">
        <v>19</v>
      </c>
      <c r="F255" s="3" t="s">
        <v>20</v>
      </c>
      <c r="G255" s="3" t="s">
        <v>21</v>
      </c>
      <c r="H255" s="3" t="s">
        <v>22</v>
      </c>
      <c r="I255" s="3" t="s">
        <v>23</v>
      </c>
      <c r="J255" s="3" t="s">
        <v>24</v>
      </c>
      <c r="K255" s="3" t="s">
        <v>25</v>
      </c>
      <c r="L255" s="3" t="s">
        <v>26</v>
      </c>
    </row>
    <row r="256" spans="2:24" ht="30" x14ac:dyDescent="0.25">
      <c r="B256" s="4">
        <v>314</v>
      </c>
      <c r="C256" s="4" t="s">
        <v>118</v>
      </c>
      <c r="D256" s="4" t="s">
        <v>119</v>
      </c>
      <c r="E256" s="4">
        <v>2213</v>
      </c>
      <c r="F256" s="4" t="s">
        <v>29</v>
      </c>
      <c r="G256" s="4" t="s">
        <v>37</v>
      </c>
      <c r="H256" s="4" t="s">
        <v>53</v>
      </c>
      <c r="I256" s="4" t="s">
        <v>127</v>
      </c>
      <c r="J256" s="4">
        <v>320</v>
      </c>
      <c r="L256" s="4" t="s">
        <v>40</v>
      </c>
      <c r="M256" s="5"/>
      <c r="O256" s="5"/>
      <c r="Q256" s="4">
        <f>B256</f>
        <v>314</v>
      </c>
      <c r="R256" s="4" t="str">
        <f>C256</f>
        <v>03/10/2026</v>
      </c>
      <c r="S256" s="4" t="str">
        <f>D256</f>
        <v>sábado</v>
      </c>
      <c r="T256" s="4" t="str">
        <f>E256&amp;"/"&amp;E257</f>
        <v>2213/2214</v>
      </c>
      <c r="U256" s="4" t="str">
        <f>F256&amp;"-"&amp;G256&amp;"-"&amp;F256</f>
        <v>LIM-CIX-LIM</v>
      </c>
      <c r="V256" s="4" t="str">
        <f>IF($M$256="","",$M$256)</f>
        <v/>
      </c>
      <c r="W256" s="4" t="str">
        <f>IF($O$256="","",$O$256)</f>
        <v/>
      </c>
      <c r="X256" s="4">
        <f>J256</f>
        <v>320</v>
      </c>
    </row>
    <row r="257" spans="2:24" ht="30" x14ac:dyDescent="0.25">
      <c r="B257" s="4">
        <v>314</v>
      </c>
      <c r="C257" s="4" t="s">
        <v>118</v>
      </c>
      <c r="D257" s="4" t="s">
        <v>119</v>
      </c>
      <c r="E257" s="4">
        <v>2214</v>
      </c>
      <c r="F257" s="4" t="s">
        <v>37</v>
      </c>
      <c r="G257" s="4" t="s">
        <v>29</v>
      </c>
      <c r="H257" s="4" t="s">
        <v>128</v>
      </c>
      <c r="I257" s="4" t="s">
        <v>129</v>
      </c>
      <c r="J257" s="4">
        <v>320</v>
      </c>
      <c r="K257" t="str">
        <f>TEXT(TIMEVALUE(H257)-TIMEVALUE(I256)+(TIMEVALUE(H257)&lt;TIMEVALUE(I256)),"[h]:mm")</f>
        <v>0:35</v>
      </c>
      <c r="L257" s="4" t="s">
        <v>61</v>
      </c>
      <c r="O257" t="str">
        <f>"LIM-"&amp;G256&amp;"-LIM   LA "&amp;E256&amp;" ("&amp;LEFT(H256,5)&amp;"-"&amp;LEFT(I256,5)&amp;" hrs)  /  LA "&amp;E257&amp;" ("&amp;LEFT(H257,5)&amp;"-"&amp;LEFT(I257,5)&amp;" hrs)"</f>
        <v>LIM-CIX-LIM   LA 2213 (17:20-18:50 hrs)  /  LA 2214 (19:25-20:40 hrs)</v>
      </c>
    </row>
    <row r="258" spans="2:24" x14ac:dyDescent="0.25">
      <c r="J258" s="7" t="s">
        <v>43</v>
      </c>
      <c r="K258" s="8" t="str">
        <f>TEXT(TIMEVALUE(I257)-TIMEVALUE(H256)+(I257&lt;H256),"[h]:mm")</f>
        <v>3:20</v>
      </c>
    </row>
    <row r="260" spans="2:24" ht="30" x14ac:dyDescent="0.25">
      <c r="B260" s="3" t="s">
        <v>9</v>
      </c>
      <c r="C260" s="3" t="s">
        <v>17</v>
      </c>
      <c r="D260" s="3" t="s">
        <v>18</v>
      </c>
      <c r="E260" s="3" t="s">
        <v>19</v>
      </c>
      <c r="F260" s="3" t="s">
        <v>20</v>
      </c>
      <c r="G260" s="3" t="s">
        <v>21</v>
      </c>
      <c r="H260" s="3" t="s">
        <v>22</v>
      </c>
      <c r="I260" s="3" t="s">
        <v>23</v>
      </c>
      <c r="J260" s="3" t="s">
        <v>24</v>
      </c>
      <c r="K260" s="3" t="s">
        <v>25</v>
      </c>
      <c r="L260" s="3" t="s">
        <v>26</v>
      </c>
    </row>
    <row r="261" spans="2:24" ht="30" x14ac:dyDescent="0.25">
      <c r="B261" s="4">
        <v>319</v>
      </c>
      <c r="C261" s="4" t="s">
        <v>118</v>
      </c>
      <c r="D261" s="4" t="s">
        <v>119</v>
      </c>
      <c r="E261" s="4">
        <v>2200</v>
      </c>
      <c r="F261" s="4" t="s">
        <v>29</v>
      </c>
      <c r="G261" s="4" t="s">
        <v>30</v>
      </c>
      <c r="H261" s="4" t="s">
        <v>130</v>
      </c>
      <c r="I261" s="4" t="s">
        <v>131</v>
      </c>
      <c r="J261" s="4">
        <v>320</v>
      </c>
      <c r="L261" s="4" t="s">
        <v>33</v>
      </c>
      <c r="M261" s="5"/>
      <c r="O261" s="5"/>
      <c r="Q261" s="4">
        <f>B261</f>
        <v>319</v>
      </c>
      <c r="R261" s="4" t="str">
        <f>C261</f>
        <v>03/10/2026</v>
      </c>
      <c r="S261" s="4" t="str">
        <f>D261</f>
        <v>sábado</v>
      </c>
      <c r="T261" s="4" t="str">
        <f>E261&amp;"/"&amp;E262</f>
        <v>2200/2201</v>
      </c>
      <c r="U261" s="4" t="str">
        <f>F261&amp;"-"&amp;G261&amp;"-"&amp;F261</f>
        <v>LIM-CUZ-LIM</v>
      </c>
      <c r="V261" s="4" t="str">
        <f>IF($M$261="","",$M$261)</f>
        <v/>
      </c>
      <c r="W261" s="4" t="str">
        <f>IF($O$261="","",$O$261)</f>
        <v/>
      </c>
      <c r="X261" s="4">
        <f>J261</f>
        <v>320</v>
      </c>
    </row>
    <row r="262" spans="2:24" ht="30" x14ac:dyDescent="0.25">
      <c r="B262" s="4">
        <v>319</v>
      </c>
      <c r="C262" s="4" t="s">
        <v>118</v>
      </c>
      <c r="D262" s="4" t="s">
        <v>119</v>
      </c>
      <c r="E262" s="4">
        <v>2201</v>
      </c>
      <c r="F262" s="4" t="s">
        <v>30</v>
      </c>
      <c r="G262" s="4" t="s">
        <v>29</v>
      </c>
      <c r="H262" s="4" t="s">
        <v>132</v>
      </c>
      <c r="I262" s="4" t="s">
        <v>133</v>
      </c>
      <c r="J262" s="4">
        <v>320</v>
      </c>
      <c r="K262" t="str">
        <f>TEXT(TIMEVALUE(H262)-TIMEVALUE(I261)+(TIMEVALUE(H262)&lt;TIMEVALUE(I261)),"[h]:mm")</f>
        <v>0:45</v>
      </c>
      <c r="L262" s="4" t="s">
        <v>40</v>
      </c>
      <c r="O262" t="str">
        <f>"LIM-"&amp;G261&amp;"-LIM   LA "&amp;E261&amp;" ("&amp;LEFT(H261,5)&amp;"-"&amp;LEFT(I261,5)&amp;" hrs)  /  LA "&amp;E262&amp;" ("&amp;LEFT(H262,5)&amp;"-"&amp;LEFT(I262,5)&amp;" hrs)"</f>
        <v>LIM-CUZ-LIM   LA 2200 (21:15-22:35 hrs)  /  LA 2201 (23:20-00:50 hrs)</v>
      </c>
    </row>
    <row r="263" spans="2:24" x14ac:dyDescent="0.25">
      <c r="J263" s="7" t="s">
        <v>43</v>
      </c>
      <c r="K263" s="8" t="str">
        <f>TEXT(TIMEVALUE(I262)-TIMEVALUE(H261)+(I262&lt;H261),"[h]:mm")</f>
        <v>3:35</v>
      </c>
    </row>
    <row r="265" spans="2:24" ht="30" x14ac:dyDescent="0.25">
      <c r="B265" s="3" t="s">
        <v>9</v>
      </c>
      <c r="C265" s="3" t="s">
        <v>17</v>
      </c>
      <c r="D265" s="3" t="s">
        <v>18</v>
      </c>
      <c r="E265" s="3" t="s">
        <v>19</v>
      </c>
      <c r="F265" s="3" t="s">
        <v>20</v>
      </c>
      <c r="G265" s="3" t="s">
        <v>21</v>
      </c>
      <c r="H265" s="3" t="s">
        <v>22</v>
      </c>
      <c r="I265" s="3" t="s">
        <v>23</v>
      </c>
      <c r="J265" s="3" t="s">
        <v>24</v>
      </c>
      <c r="K265" s="3" t="s">
        <v>25</v>
      </c>
      <c r="L265" s="3" t="s">
        <v>26</v>
      </c>
    </row>
    <row r="266" spans="2:24" ht="30" x14ac:dyDescent="0.25">
      <c r="B266" s="4">
        <v>365</v>
      </c>
      <c r="C266" s="4" t="s">
        <v>134</v>
      </c>
      <c r="D266" s="4" t="s">
        <v>135</v>
      </c>
      <c r="E266" s="4">
        <v>2260</v>
      </c>
      <c r="F266" s="4" t="s">
        <v>29</v>
      </c>
      <c r="G266" s="4" t="s">
        <v>44</v>
      </c>
      <c r="H266" s="4" t="s">
        <v>45</v>
      </c>
      <c r="I266" s="4" t="s">
        <v>46</v>
      </c>
      <c r="J266" s="4">
        <v>320</v>
      </c>
      <c r="L266" s="4" t="s">
        <v>47</v>
      </c>
      <c r="M266" s="5"/>
      <c r="O266" s="5"/>
      <c r="Q266" s="4">
        <f>B266</f>
        <v>365</v>
      </c>
      <c r="R266" s="4" t="str">
        <f>C266</f>
        <v>04/10/2026</v>
      </c>
      <c r="S266" s="4" t="str">
        <f>D266</f>
        <v>domingo</v>
      </c>
      <c r="T266" s="4" t="str">
        <f>E266&amp;"/"&amp;E267</f>
        <v>2260/2261</v>
      </c>
      <c r="U266" s="4" t="str">
        <f>F266&amp;"-"&amp;G266&amp;"-"&amp;F266</f>
        <v>LIM-PEM-LIM</v>
      </c>
      <c r="V266" s="4" t="str">
        <f>IF($M$266="","",$M$266)</f>
        <v/>
      </c>
      <c r="W266" s="4" t="str">
        <f>IF($O$266="","",$O$266)</f>
        <v/>
      </c>
      <c r="X266" s="4">
        <f>J266</f>
        <v>320</v>
      </c>
    </row>
    <row r="267" spans="2:24" ht="30" x14ac:dyDescent="0.25">
      <c r="B267" s="4">
        <v>365</v>
      </c>
      <c r="C267" s="4" t="s">
        <v>134</v>
      </c>
      <c r="D267" s="4" t="s">
        <v>135</v>
      </c>
      <c r="E267" s="4">
        <v>2261</v>
      </c>
      <c r="F267" s="4" t="s">
        <v>44</v>
      </c>
      <c r="G267" s="4" t="s">
        <v>29</v>
      </c>
      <c r="H267" s="4" t="s">
        <v>48</v>
      </c>
      <c r="I267" s="4" t="s">
        <v>49</v>
      </c>
      <c r="J267" s="4">
        <v>320</v>
      </c>
      <c r="K267" t="str">
        <f>TEXT(TIMEVALUE(H267)-TIMEVALUE(I266)+(TIMEVALUE(H267)&lt;TIMEVALUE(I266)),"[h]:mm")</f>
        <v>0:40</v>
      </c>
      <c r="L267" s="4" t="s">
        <v>36</v>
      </c>
      <c r="O267" t="str">
        <f>"LIM-"&amp;G266&amp;"-LIM   LA "&amp;E266&amp;" ("&amp;LEFT(H266,5)&amp;"-"&amp;LEFT(I266,5)&amp;" hrs)  /  LA "&amp;E267&amp;" ("&amp;LEFT(H267,5)&amp;"-"&amp;LEFT(I267,5)&amp;" hrs)"</f>
        <v>LIM-PEM-LIM   LA 2260 (10:20-12:05 hrs)  /  LA 2261 (12:45-14:20 hrs)</v>
      </c>
    </row>
    <row r="268" spans="2:24" ht="30" x14ac:dyDescent="0.25">
      <c r="B268" s="4">
        <v>392</v>
      </c>
      <c r="C268" s="4" t="s">
        <v>134</v>
      </c>
      <c r="D268" s="4" t="s">
        <v>135</v>
      </c>
      <c r="E268" s="4">
        <v>2297</v>
      </c>
      <c r="F268" s="4" t="s">
        <v>29</v>
      </c>
      <c r="G268" s="4" t="s">
        <v>50</v>
      </c>
      <c r="H268" s="4" t="s">
        <v>51</v>
      </c>
      <c r="I268" s="4" t="s">
        <v>52</v>
      </c>
      <c r="J268" s="4">
        <v>320</v>
      </c>
      <c r="K268" s="6" t="str">
        <f>TEXT(TIMEVALUE(H268)-TIMEVALUE(I267)+(TIMEVALUE(H268)&lt;TIMEVALUE(I267)),"[h]:mm")</f>
        <v>0:55</v>
      </c>
      <c r="L268" s="4" t="s">
        <v>33</v>
      </c>
      <c r="M268" t="str">
        <f>IF($M$266="","",$M$266)</f>
        <v/>
      </c>
      <c r="O268" t="str">
        <f>IF($O$266="","",$O$266)</f>
        <v/>
      </c>
      <c r="Q268" s="4">
        <f>B268</f>
        <v>392</v>
      </c>
      <c r="R268" s="4" t="str">
        <f>C268</f>
        <v>04/10/2026</v>
      </c>
      <c r="S268" s="4" t="str">
        <f>D268</f>
        <v>domingo</v>
      </c>
      <c r="T268" s="4" t="str">
        <f>E268&amp;"/"&amp;E269</f>
        <v>2297/2296</v>
      </c>
      <c r="U268" s="4" t="str">
        <f>F268&amp;"-"&amp;G268&amp;"-"&amp;F268</f>
        <v>LIM-CJA-LIM</v>
      </c>
      <c r="V268" s="4" t="str">
        <f>IF($M$266="","",$M$266)</f>
        <v/>
      </c>
      <c r="W268" s="4" t="str">
        <f>IF($O$266="","",$O$266)</f>
        <v/>
      </c>
      <c r="X268" s="4">
        <f>J268</f>
        <v>320</v>
      </c>
    </row>
    <row r="269" spans="2:24" ht="30" x14ac:dyDescent="0.25">
      <c r="B269" s="4">
        <v>392</v>
      </c>
      <c r="C269" s="4" t="s">
        <v>134</v>
      </c>
      <c r="D269" s="4" t="s">
        <v>135</v>
      </c>
      <c r="E269" s="4">
        <v>2296</v>
      </c>
      <c r="F269" s="4" t="s">
        <v>50</v>
      </c>
      <c r="G269" s="4" t="s">
        <v>29</v>
      </c>
      <c r="H269" s="4" t="s">
        <v>53</v>
      </c>
      <c r="I269" s="4" t="s">
        <v>54</v>
      </c>
      <c r="J269" s="4">
        <v>320</v>
      </c>
      <c r="K269" t="str">
        <f>TEXT(TIMEVALUE(H269)-TIMEVALUE(I268)+(TIMEVALUE(H269)&lt;TIMEVALUE(I268)),"[h]:mm")</f>
        <v>0:45</v>
      </c>
      <c r="L269" s="4" t="s">
        <v>55</v>
      </c>
      <c r="O269" t="str">
        <f>"LIM-"&amp;G268&amp;"-LIM   LA "&amp;E268&amp;" ("&amp;LEFT(H268,5)&amp;"-"&amp;LEFT(I268,5)&amp;" hrs)  /  LA "&amp;E269&amp;" ("&amp;LEFT(H269,5)&amp;"-"&amp;LEFT(I269,5)&amp;" hrs)"</f>
        <v>LIM-CJA-LIM   LA 2297 (15:15-16:35 hrs)  /  LA 2296 (17:20-18:25 hrs)</v>
      </c>
    </row>
    <row r="270" spans="2:24" x14ac:dyDescent="0.25">
      <c r="J270" s="7" t="s">
        <v>43</v>
      </c>
      <c r="K270" s="8" t="str">
        <f>TEXT(TIMEVALUE(I269)-TIMEVALUE(H266)+(I269&lt;H266),"[h]:mm")</f>
        <v>8:05</v>
      </c>
    </row>
    <row r="272" spans="2:24" ht="30" x14ac:dyDescent="0.25">
      <c r="B272" s="3" t="s">
        <v>9</v>
      </c>
      <c r="C272" s="3" t="s">
        <v>17</v>
      </c>
      <c r="D272" s="3" t="s">
        <v>18</v>
      </c>
      <c r="E272" s="3" t="s">
        <v>19</v>
      </c>
      <c r="F272" s="3" t="s">
        <v>20</v>
      </c>
      <c r="G272" s="3" t="s">
        <v>21</v>
      </c>
      <c r="H272" s="3" t="s">
        <v>22</v>
      </c>
      <c r="I272" s="3" t="s">
        <v>23</v>
      </c>
      <c r="J272" s="3" t="s">
        <v>24</v>
      </c>
      <c r="K272" s="3" t="s">
        <v>25</v>
      </c>
      <c r="L272" s="3" t="s">
        <v>26</v>
      </c>
    </row>
    <row r="273" spans="2:24" ht="30" x14ac:dyDescent="0.25">
      <c r="B273" s="4">
        <v>370</v>
      </c>
      <c r="C273" s="4" t="s">
        <v>134</v>
      </c>
      <c r="D273" s="4" t="s">
        <v>135</v>
      </c>
      <c r="E273" s="4">
        <v>2111</v>
      </c>
      <c r="F273" s="4" t="s">
        <v>29</v>
      </c>
      <c r="G273" s="4" t="s">
        <v>56</v>
      </c>
      <c r="H273" s="4" t="s">
        <v>103</v>
      </c>
      <c r="I273" s="4" t="s">
        <v>104</v>
      </c>
      <c r="J273" s="4">
        <v>320</v>
      </c>
      <c r="L273" s="4" t="s">
        <v>40</v>
      </c>
      <c r="M273" s="5"/>
      <c r="O273" s="5"/>
      <c r="Q273" s="4">
        <f>B273</f>
        <v>370</v>
      </c>
      <c r="R273" s="4" t="str">
        <f>C273</f>
        <v>04/10/2026</v>
      </c>
      <c r="S273" s="4" t="str">
        <f>D273</f>
        <v>domingo</v>
      </c>
      <c r="T273" s="4" t="str">
        <f>E273&amp;"/"&amp;E274</f>
        <v>2111/2110</v>
      </c>
      <c r="U273" s="4" t="str">
        <f>F273&amp;"-"&amp;G273&amp;"-"&amp;F273</f>
        <v>LIM-AQP-LIM</v>
      </c>
      <c r="V273" s="4" t="str">
        <f>IF($M$273="","",$M$273)</f>
        <v/>
      </c>
      <c r="W273" s="4" t="str">
        <f>IF($O$273="","",$O$273)</f>
        <v/>
      </c>
      <c r="X273" s="4">
        <f>J273</f>
        <v>320</v>
      </c>
    </row>
    <row r="274" spans="2:24" ht="30" x14ac:dyDescent="0.25">
      <c r="B274" s="4">
        <v>370</v>
      </c>
      <c r="C274" s="4" t="s">
        <v>134</v>
      </c>
      <c r="D274" s="4" t="s">
        <v>135</v>
      </c>
      <c r="E274" s="4">
        <v>2110</v>
      </c>
      <c r="F274" s="4" t="s">
        <v>56</v>
      </c>
      <c r="G274" s="4" t="s">
        <v>29</v>
      </c>
      <c r="H274" s="4" t="s">
        <v>136</v>
      </c>
      <c r="I274" s="4" t="s">
        <v>92</v>
      </c>
      <c r="J274" s="4">
        <v>320</v>
      </c>
      <c r="K274" t="str">
        <f>TEXT(TIMEVALUE(H274)-TIMEVALUE(I273)+(TIMEVALUE(H274)&lt;TIMEVALUE(I273)),"[h]:mm")</f>
        <v>0:50</v>
      </c>
      <c r="L274" s="4" t="s">
        <v>71</v>
      </c>
      <c r="O274" t="str">
        <f>"LIM-"&amp;G273&amp;"-LIM   LA "&amp;E273&amp;" ("&amp;LEFT(H273,5)&amp;"-"&amp;LEFT(I273,5)&amp;" hrs)  /  LA "&amp;E274&amp;" ("&amp;LEFT(H274,5)&amp;"-"&amp;LEFT(I274,5)&amp;" hrs)"</f>
        <v>LIM-AQP-LIM   LA 2111 (11:40-13:10 hrs)  /  LA 2110 (14:00-15:40 hrs)</v>
      </c>
    </row>
    <row r="275" spans="2:24" x14ac:dyDescent="0.25">
      <c r="J275" s="7" t="s">
        <v>43</v>
      </c>
      <c r="K275" s="8" t="str">
        <f>TEXT(TIMEVALUE(I274)-TIMEVALUE(H273)+(I274&lt;H273),"[h]:mm")</f>
        <v>4:00</v>
      </c>
    </row>
    <row r="277" spans="2:24" ht="30" x14ac:dyDescent="0.25">
      <c r="B277" s="3" t="s">
        <v>9</v>
      </c>
      <c r="C277" s="3" t="s">
        <v>17</v>
      </c>
      <c r="D277" s="3" t="s">
        <v>18</v>
      </c>
      <c r="E277" s="3" t="s">
        <v>19</v>
      </c>
      <c r="F277" s="3" t="s">
        <v>20</v>
      </c>
      <c r="G277" s="3" t="s">
        <v>21</v>
      </c>
      <c r="H277" s="3" t="s">
        <v>22</v>
      </c>
      <c r="I277" s="3" t="s">
        <v>23</v>
      </c>
      <c r="J277" s="3" t="s">
        <v>24</v>
      </c>
      <c r="K277" s="3" t="s">
        <v>25</v>
      </c>
      <c r="L277" s="3" t="s">
        <v>26</v>
      </c>
    </row>
    <row r="278" spans="2:24" ht="30" x14ac:dyDescent="0.25">
      <c r="B278" s="4">
        <v>371</v>
      </c>
      <c r="C278" s="4" t="s">
        <v>134</v>
      </c>
      <c r="D278" s="4" t="s">
        <v>135</v>
      </c>
      <c r="E278" s="4">
        <v>2061</v>
      </c>
      <c r="F278" s="4" t="s">
        <v>29</v>
      </c>
      <c r="G278" s="4" t="s">
        <v>30</v>
      </c>
      <c r="H278" s="4" t="s">
        <v>103</v>
      </c>
      <c r="I278" s="4" t="s">
        <v>120</v>
      </c>
      <c r="J278" s="4">
        <v>320</v>
      </c>
      <c r="L278" s="4" t="s">
        <v>33</v>
      </c>
      <c r="M278" s="5"/>
      <c r="O278" s="5"/>
      <c r="Q278" s="4">
        <f>B278</f>
        <v>371</v>
      </c>
      <c r="R278" s="4" t="str">
        <f>C278</f>
        <v>04/10/2026</v>
      </c>
      <c r="S278" s="4" t="str">
        <f>D278</f>
        <v>domingo</v>
      </c>
      <c r="T278" s="4" t="str">
        <f>E278&amp;"/"&amp;E279</f>
        <v>2061/2062</v>
      </c>
      <c r="U278" s="4" t="str">
        <f>F278&amp;"-"&amp;G278&amp;"-"&amp;F278</f>
        <v>LIM-CUZ-LIM</v>
      </c>
      <c r="V278" s="4" t="str">
        <f>IF($M$278="","",$M$278)</f>
        <v/>
      </c>
      <c r="W278" s="4" t="str">
        <f>IF($O$278="","",$O$278)</f>
        <v/>
      </c>
      <c r="X278" s="4">
        <f>J278</f>
        <v>320</v>
      </c>
    </row>
    <row r="279" spans="2:24" ht="30" x14ac:dyDescent="0.25">
      <c r="B279" s="4">
        <v>371</v>
      </c>
      <c r="C279" s="4" t="s">
        <v>134</v>
      </c>
      <c r="D279" s="4" t="s">
        <v>135</v>
      </c>
      <c r="E279" s="4">
        <v>2062</v>
      </c>
      <c r="F279" s="4" t="s">
        <v>30</v>
      </c>
      <c r="G279" s="4" t="s">
        <v>29</v>
      </c>
      <c r="H279" s="4" t="s">
        <v>72</v>
      </c>
      <c r="I279" s="4" t="s">
        <v>51</v>
      </c>
      <c r="J279" s="4">
        <v>320</v>
      </c>
      <c r="K279" t="str">
        <f>TEXT(TIMEVALUE(H279)-TIMEVALUE(I278)+(TIMEVALUE(H279)&lt;TIMEVALUE(I278)),"[h]:mm")</f>
        <v>0:40</v>
      </c>
      <c r="L279" s="4" t="s">
        <v>36</v>
      </c>
      <c r="O279" t="str">
        <f>"LIM-"&amp;G278&amp;"-LIM   LA "&amp;E278&amp;" ("&amp;LEFT(H278,5)&amp;"-"&amp;LEFT(I278,5)&amp;" hrs)  /  LA "&amp;E279&amp;" ("&amp;LEFT(H279,5)&amp;"-"&amp;LEFT(I279,5)&amp;" hrs)"</f>
        <v>LIM-CUZ-LIM   LA 2061 (11:40-13:00 hrs)  /  LA 2062 (13:40-15:15 hrs)</v>
      </c>
    </row>
    <row r="280" spans="2:24" ht="30" x14ac:dyDescent="0.25">
      <c r="B280" s="4">
        <v>398</v>
      </c>
      <c r="C280" s="4" t="s">
        <v>134</v>
      </c>
      <c r="D280" s="4" t="s">
        <v>135</v>
      </c>
      <c r="E280" s="4">
        <v>2127</v>
      </c>
      <c r="F280" s="4" t="s">
        <v>29</v>
      </c>
      <c r="G280" s="4" t="s">
        <v>30</v>
      </c>
      <c r="H280" s="4" t="s">
        <v>83</v>
      </c>
      <c r="I280" s="4" t="s">
        <v>100</v>
      </c>
      <c r="J280" s="4">
        <v>320</v>
      </c>
      <c r="K280" s="6" t="str">
        <f>TEXT(TIMEVALUE(H280)-TIMEVALUE(I279)+(TIMEVALUE(H280)&lt;TIMEVALUE(I279)),"[h]:mm")</f>
        <v>0:55</v>
      </c>
      <c r="L280" s="4" t="s">
        <v>33</v>
      </c>
      <c r="M280" t="str">
        <f>IF($M$278="","",$M$278)</f>
        <v/>
      </c>
      <c r="O280" t="str">
        <f>IF($O$278="","",$O$278)</f>
        <v/>
      </c>
      <c r="Q280" s="4">
        <f>B280</f>
        <v>398</v>
      </c>
      <c r="R280" s="4" t="str">
        <f>C280</f>
        <v>04/10/2026</v>
      </c>
      <c r="S280" s="4" t="str">
        <f>D280</f>
        <v>domingo</v>
      </c>
      <c r="T280" s="4" t="str">
        <f>E280&amp;"/"&amp;E281</f>
        <v>2127/2026</v>
      </c>
      <c r="U280" s="4" t="str">
        <f>F280&amp;"-"&amp;G280&amp;"-"&amp;F280</f>
        <v>LIM-CUZ-LIM</v>
      </c>
      <c r="V280" s="4" t="str">
        <f>IF($M$278="","",$M$278)</f>
        <v/>
      </c>
      <c r="W280" s="4" t="str">
        <f>IF($O$278="","",$O$278)</f>
        <v/>
      </c>
      <c r="X280" s="4">
        <f>J280</f>
        <v>320</v>
      </c>
    </row>
    <row r="281" spans="2:24" ht="30" x14ac:dyDescent="0.25">
      <c r="B281" s="4">
        <v>398</v>
      </c>
      <c r="C281" s="4" t="s">
        <v>134</v>
      </c>
      <c r="D281" s="4" t="s">
        <v>135</v>
      </c>
      <c r="E281" s="4">
        <v>2026</v>
      </c>
      <c r="F281" s="4" t="s">
        <v>30</v>
      </c>
      <c r="G281" s="4" t="s">
        <v>29</v>
      </c>
      <c r="H281" s="4" t="s">
        <v>101</v>
      </c>
      <c r="I281" s="4" t="s">
        <v>102</v>
      </c>
      <c r="J281" s="4">
        <v>320</v>
      </c>
      <c r="K281" t="str">
        <f>TEXT(TIMEVALUE(H281)-TIMEVALUE(I280)+(TIMEVALUE(H281)&lt;TIMEVALUE(I280)),"[h]:mm")</f>
        <v>0:40</v>
      </c>
      <c r="L281" s="4" t="s">
        <v>71</v>
      </c>
      <c r="O281" t="str">
        <f>"LIM-"&amp;G280&amp;"-LIM   LA "&amp;E280&amp;" ("&amp;LEFT(H280,5)&amp;"-"&amp;LEFT(I280,5)&amp;" hrs)  /  LA "&amp;E281&amp;" ("&amp;LEFT(H281,5)&amp;"-"&amp;LEFT(I281,5)&amp;" hrs)"</f>
        <v>LIM-CUZ-LIM   LA 2127 (16:10-17:30 hrs)  /  LA 2026 (18:10-19:50 hrs)</v>
      </c>
    </row>
    <row r="282" spans="2:24" x14ac:dyDescent="0.25">
      <c r="J282" s="7" t="s">
        <v>43</v>
      </c>
      <c r="K282" s="8" t="str">
        <f>TEXT(TIMEVALUE(I281)-TIMEVALUE(H278)+(I281&lt;H278),"[h]:mm")</f>
        <v>8:10</v>
      </c>
    </row>
    <row r="284" spans="2:24" ht="30" x14ac:dyDescent="0.25">
      <c r="B284" s="3" t="s">
        <v>9</v>
      </c>
      <c r="C284" s="3" t="s">
        <v>17</v>
      </c>
      <c r="D284" s="3" t="s">
        <v>18</v>
      </c>
      <c r="E284" s="3" t="s">
        <v>19</v>
      </c>
      <c r="F284" s="3" t="s">
        <v>20</v>
      </c>
      <c r="G284" s="3" t="s">
        <v>21</v>
      </c>
      <c r="H284" s="3" t="s">
        <v>22</v>
      </c>
      <c r="I284" s="3" t="s">
        <v>23</v>
      </c>
      <c r="J284" s="3" t="s">
        <v>24</v>
      </c>
      <c r="K284" s="3" t="s">
        <v>25</v>
      </c>
      <c r="L284" s="3" t="s">
        <v>26</v>
      </c>
    </row>
    <row r="285" spans="2:24" ht="30" x14ac:dyDescent="0.25">
      <c r="B285" s="4">
        <v>383</v>
      </c>
      <c r="C285" s="4" t="s">
        <v>134</v>
      </c>
      <c r="D285" s="4" t="s">
        <v>135</v>
      </c>
      <c r="E285" s="4">
        <v>2232</v>
      </c>
      <c r="F285" s="4" t="s">
        <v>29</v>
      </c>
      <c r="G285" s="4" t="s">
        <v>30</v>
      </c>
      <c r="H285" s="4" t="s">
        <v>82</v>
      </c>
      <c r="I285" s="4" t="s">
        <v>51</v>
      </c>
      <c r="J285" s="4">
        <v>320</v>
      </c>
      <c r="L285" s="4" t="s">
        <v>33</v>
      </c>
      <c r="M285" s="5"/>
      <c r="O285" s="5"/>
      <c r="Q285" s="4">
        <f>B285</f>
        <v>383</v>
      </c>
      <c r="R285" s="4" t="str">
        <f>C285</f>
        <v>04/10/2026</v>
      </c>
      <c r="S285" s="4" t="str">
        <f>D285</f>
        <v>domingo</v>
      </c>
      <c r="T285" s="4" t="str">
        <f>E285&amp;"/"&amp;E286</f>
        <v>2232/2233</v>
      </c>
      <c r="U285" s="4" t="str">
        <f>F285&amp;"-"&amp;G285&amp;"-"&amp;F285</f>
        <v>LIM-CUZ-LIM</v>
      </c>
      <c r="V285" s="4" t="str">
        <f>IF($M$285="","",$M$285)</f>
        <v/>
      </c>
      <c r="W285" s="4" t="str">
        <f>IF($O$285="","",$O$285)</f>
        <v/>
      </c>
      <c r="X285" s="4">
        <f>J285</f>
        <v>320</v>
      </c>
    </row>
    <row r="286" spans="2:24" ht="30" x14ac:dyDescent="0.25">
      <c r="B286" s="4">
        <v>383</v>
      </c>
      <c r="C286" s="4" t="s">
        <v>134</v>
      </c>
      <c r="D286" s="4" t="s">
        <v>135</v>
      </c>
      <c r="E286" s="4">
        <v>2233</v>
      </c>
      <c r="F286" s="4" t="s">
        <v>30</v>
      </c>
      <c r="G286" s="4" t="s">
        <v>29</v>
      </c>
      <c r="H286" s="4" t="s">
        <v>41</v>
      </c>
      <c r="I286" s="4" t="s">
        <v>124</v>
      </c>
      <c r="J286" s="4">
        <v>320</v>
      </c>
      <c r="K286" t="str">
        <f>TEXT(TIMEVALUE(H286)-TIMEVALUE(I285)+(TIMEVALUE(H286)&lt;TIMEVALUE(I285)),"[h]:mm")</f>
        <v>0:40</v>
      </c>
      <c r="L286" s="4" t="s">
        <v>71</v>
      </c>
      <c r="O286" t="str">
        <f>"LIM-"&amp;G285&amp;"-LIM   LA "&amp;E285&amp;" ("&amp;LEFT(H285,5)&amp;"-"&amp;LEFT(I285,5)&amp;" hrs)  /  LA "&amp;E286&amp;" ("&amp;LEFT(H286,5)&amp;"-"&amp;LEFT(I286,5)&amp;" hrs)"</f>
        <v>LIM-CUZ-LIM   LA 2232 (13:55-15:15 hrs)  /  LA 2233 (15:55-17:35 hrs)</v>
      </c>
    </row>
    <row r="287" spans="2:24" x14ac:dyDescent="0.25">
      <c r="J287" s="7" t="s">
        <v>43</v>
      </c>
      <c r="K287" s="8" t="str">
        <f>TEXT(TIMEVALUE(I286)-TIMEVALUE(H285)+(I286&lt;H285),"[h]:mm")</f>
        <v>3:40</v>
      </c>
    </row>
    <row r="289" spans="2:24" ht="30" x14ac:dyDescent="0.25">
      <c r="B289" s="3" t="s">
        <v>9</v>
      </c>
      <c r="C289" s="3" t="s">
        <v>17</v>
      </c>
      <c r="D289" s="3" t="s">
        <v>18</v>
      </c>
      <c r="E289" s="3" t="s">
        <v>19</v>
      </c>
      <c r="F289" s="3" t="s">
        <v>20</v>
      </c>
      <c r="G289" s="3" t="s">
        <v>21</v>
      </c>
      <c r="H289" s="3" t="s">
        <v>22</v>
      </c>
      <c r="I289" s="3" t="s">
        <v>23</v>
      </c>
      <c r="J289" s="3" t="s">
        <v>24</v>
      </c>
      <c r="K289" s="3" t="s">
        <v>25</v>
      </c>
      <c r="L289" s="3" t="s">
        <v>26</v>
      </c>
    </row>
    <row r="290" spans="2:24" ht="30" x14ac:dyDescent="0.25">
      <c r="B290" s="4">
        <v>384</v>
      </c>
      <c r="C290" s="4" t="s">
        <v>134</v>
      </c>
      <c r="D290" s="4" t="s">
        <v>135</v>
      </c>
      <c r="E290" s="4">
        <v>2295</v>
      </c>
      <c r="F290" s="4" t="s">
        <v>29</v>
      </c>
      <c r="G290" s="4" t="s">
        <v>50</v>
      </c>
      <c r="H290" s="4" t="s">
        <v>110</v>
      </c>
      <c r="I290" s="4" t="s">
        <v>76</v>
      </c>
      <c r="J290" s="4">
        <v>320</v>
      </c>
      <c r="L290" s="4" t="s">
        <v>33</v>
      </c>
      <c r="M290" s="5"/>
      <c r="O290" s="5"/>
      <c r="Q290" s="4">
        <f>B290</f>
        <v>384</v>
      </c>
      <c r="R290" s="4" t="str">
        <f>C290</f>
        <v>04/10/2026</v>
      </c>
      <c r="S290" s="4" t="str">
        <f>D290</f>
        <v>domingo</v>
      </c>
      <c r="T290" s="4" t="str">
        <f>E290&amp;"/"&amp;E291</f>
        <v>2295/2294</v>
      </c>
      <c r="U290" s="4" t="str">
        <f>F290&amp;"-"&amp;G290&amp;"-"&amp;F290</f>
        <v>LIM-CJA-LIM</v>
      </c>
      <c r="V290" s="4" t="str">
        <f>IF($M$290="","",$M$290)</f>
        <v/>
      </c>
      <c r="W290" s="4" t="str">
        <f>IF($O$290="","",$O$290)</f>
        <v/>
      </c>
      <c r="X290" s="4">
        <f>J290</f>
        <v>320</v>
      </c>
    </row>
    <row r="291" spans="2:24" ht="30" x14ac:dyDescent="0.25">
      <c r="B291" s="4">
        <v>384</v>
      </c>
      <c r="C291" s="4" t="s">
        <v>134</v>
      </c>
      <c r="D291" s="4" t="s">
        <v>135</v>
      </c>
      <c r="E291" s="4">
        <v>2294</v>
      </c>
      <c r="F291" s="4" t="s">
        <v>50</v>
      </c>
      <c r="G291" s="4" t="s">
        <v>29</v>
      </c>
      <c r="H291" s="4" t="s">
        <v>83</v>
      </c>
      <c r="I291" s="4" t="s">
        <v>42</v>
      </c>
      <c r="J291" s="4">
        <v>320</v>
      </c>
      <c r="K291" t="str">
        <f>TEXT(TIMEVALUE(H291)-TIMEVALUE(I290)+(TIMEVALUE(H291)&lt;TIMEVALUE(I290)),"[h]:mm")</f>
        <v>0:40</v>
      </c>
      <c r="L291" s="4" t="s">
        <v>55</v>
      </c>
      <c r="O291" t="str">
        <f>"LIM-"&amp;G290&amp;"-LIM   LA "&amp;E290&amp;" ("&amp;LEFT(H290,5)&amp;"-"&amp;LEFT(I290,5)&amp;" hrs)  /  LA "&amp;E291&amp;" ("&amp;LEFT(H291,5)&amp;"-"&amp;LEFT(I291,5)&amp;" hrs)"</f>
        <v>LIM-CJA-LIM   LA 2295 (14:10-15:30 hrs)  /  LA 2294 (16:10-17:15 hrs)</v>
      </c>
    </row>
    <row r="292" spans="2:24" x14ac:dyDescent="0.25">
      <c r="J292" s="7" t="s">
        <v>43</v>
      </c>
      <c r="K292" s="8" t="str">
        <f>TEXT(TIMEVALUE(I291)-TIMEVALUE(H290)+(I291&lt;H290),"[h]:mm")</f>
        <v>3:05</v>
      </c>
    </row>
    <row r="294" spans="2:24" ht="30" x14ac:dyDescent="0.25">
      <c r="B294" s="3" t="s">
        <v>9</v>
      </c>
      <c r="C294" s="3" t="s">
        <v>17</v>
      </c>
      <c r="D294" s="3" t="s">
        <v>18</v>
      </c>
      <c r="E294" s="3" t="s">
        <v>19</v>
      </c>
      <c r="F294" s="3" t="s">
        <v>20</v>
      </c>
      <c r="G294" s="3" t="s">
        <v>21</v>
      </c>
      <c r="H294" s="3" t="s">
        <v>22</v>
      </c>
      <c r="I294" s="3" t="s">
        <v>23</v>
      </c>
      <c r="J294" s="3" t="s">
        <v>24</v>
      </c>
      <c r="K294" s="3" t="s">
        <v>25</v>
      </c>
      <c r="L294" s="3" t="s">
        <v>26</v>
      </c>
    </row>
    <row r="295" spans="2:24" ht="30" x14ac:dyDescent="0.25">
      <c r="B295" s="4">
        <v>385</v>
      </c>
      <c r="C295" s="4" t="s">
        <v>134</v>
      </c>
      <c r="D295" s="4" t="s">
        <v>135</v>
      </c>
      <c r="E295" s="4">
        <v>2295</v>
      </c>
      <c r="F295" s="4" t="s">
        <v>29</v>
      </c>
      <c r="G295" s="4" t="s">
        <v>50</v>
      </c>
      <c r="H295" s="4" t="s">
        <v>110</v>
      </c>
      <c r="I295" s="4" t="s">
        <v>76</v>
      </c>
      <c r="J295" s="4">
        <v>320</v>
      </c>
      <c r="L295" s="4" t="s">
        <v>33</v>
      </c>
      <c r="M295" s="5"/>
      <c r="O295" s="5"/>
      <c r="Q295" s="4">
        <f>B295</f>
        <v>385</v>
      </c>
      <c r="R295" s="4" t="str">
        <f>C295</f>
        <v>04/10/2026</v>
      </c>
      <c r="S295" s="4" t="str">
        <f>D295</f>
        <v>domingo</v>
      </c>
      <c r="T295" s="4" t="str">
        <f>E295&amp;"/"&amp;E296</f>
        <v>2295/2294</v>
      </c>
      <c r="U295" s="4" t="str">
        <f>F295&amp;"-"&amp;G295&amp;"-"&amp;F295</f>
        <v>LIM-CJA-LIM</v>
      </c>
      <c r="V295" s="4" t="str">
        <f>IF($M$295="","",$M$295)</f>
        <v/>
      </c>
      <c r="W295" s="4" t="str">
        <f>IF($O$295="","",$O$295)</f>
        <v/>
      </c>
      <c r="X295" s="4">
        <f>J295</f>
        <v>320</v>
      </c>
    </row>
    <row r="296" spans="2:24" ht="30" x14ac:dyDescent="0.25">
      <c r="B296" s="4">
        <v>385</v>
      </c>
      <c r="C296" s="4" t="s">
        <v>134</v>
      </c>
      <c r="D296" s="4" t="s">
        <v>135</v>
      </c>
      <c r="E296" s="4">
        <v>2294</v>
      </c>
      <c r="F296" s="4" t="s">
        <v>50</v>
      </c>
      <c r="G296" s="4" t="s">
        <v>29</v>
      </c>
      <c r="H296" s="4" t="s">
        <v>83</v>
      </c>
      <c r="I296" s="4" t="s">
        <v>42</v>
      </c>
      <c r="J296" s="4">
        <v>320</v>
      </c>
      <c r="K296" t="str">
        <f>TEXT(TIMEVALUE(H296)-TIMEVALUE(I295)+(TIMEVALUE(H296)&lt;TIMEVALUE(I295)),"[h]:mm")</f>
        <v>0:40</v>
      </c>
      <c r="L296" s="4" t="s">
        <v>55</v>
      </c>
      <c r="O296" t="str">
        <f>"LIM-"&amp;G295&amp;"-LIM   LA "&amp;E295&amp;" ("&amp;LEFT(H295,5)&amp;"-"&amp;LEFT(I295,5)&amp;" hrs)  /  LA "&amp;E296&amp;" ("&amp;LEFT(H296,5)&amp;"-"&amp;LEFT(I296,5)&amp;" hrs)"</f>
        <v>LIM-CJA-LIM   LA 2295 (14:10-15:30 hrs)  /  LA 2294 (16:10-17:15 hrs)</v>
      </c>
    </row>
    <row r="297" spans="2:24" x14ac:dyDescent="0.25">
      <c r="J297" s="7" t="s">
        <v>43</v>
      </c>
      <c r="K297" s="8" t="str">
        <f>TEXT(TIMEVALUE(I296)-TIMEVALUE(H295)+(I296&lt;H295),"[h]:mm")</f>
        <v>3:05</v>
      </c>
    </row>
    <row r="299" spans="2:24" ht="30" x14ac:dyDescent="0.25">
      <c r="B299" s="3" t="s">
        <v>9</v>
      </c>
      <c r="C299" s="3" t="s">
        <v>17</v>
      </c>
      <c r="D299" s="3" t="s">
        <v>18</v>
      </c>
      <c r="E299" s="3" t="s">
        <v>19</v>
      </c>
      <c r="F299" s="3" t="s">
        <v>20</v>
      </c>
      <c r="G299" s="3" t="s">
        <v>21</v>
      </c>
      <c r="H299" s="3" t="s">
        <v>22</v>
      </c>
      <c r="I299" s="3" t="s">
        <v>23</v>
      </c>
      <c r="J299" s="3" t="s">
        <v>24</v>
      </c>
      <c r="K299" s="3" t="s">
        <v>25</v>
      </c>
      <c r="L299" s="3" t="s">
        <v>26</v>
      </c>
    </row>
    <row r="300" spans="2:24" ht="30" x14ac:dyDescent="0.25">
      <c r="B300" s="4">
        <v>387</v>
      </c>
      <c r="C300" s="4" t="s">
        <v>134</v>
      </c>
      <c r="D300" s="4" t="s">
        <v>135</v>
      </c>
      <c r="E300" s="4">
        <v>2154</v>
      </c>
      <c r="F300" s="4" t="s">
        <v>29</v>
      </c>
      <c r="G300" s="4" t="s">
        <v>30</v>
      </c>
      <c r="H300" s="4" t="s">
        <v>75</v>
      </c>
      <c r="I300" s="4" t="s">
        <v>85</v>
      </c>
      <c r="J300" s="4">
        <v>320</v>
      </c>
      <c r="L300" s="4" t="s">
        <v>33</v>
      </c>
      <c r="M300" s="5"/>
      <c r="O300" s="5"/>
      <c r="Q300" s="4">
        <f>B300</f>
        <v>387</v>
      </c>
      <c r="R300" s="4" t="str">
        <f>C300</f>
        <v>04/10/2026</v>
      </c>
      <c r="S300" s="4" t="str">
        <f>D300</f>
        <v>domingo</v>
      </c>
      <c r="T300" s="4" t="str">
        <f>E300&amp;"/"&amp;E301</f>
        <v>2154/2155</v>
      </c>
      <c r="U300" s="4" t="str">
        <f>F300&amp;"-"&amp;G300&amp;"-"&amp;F300</f>
        <v>LIM-CUZ-LIM</v>
      </c>
      <c r="V300" s="4" t="str">
        <f>IF($M$300="","",$M$300)</f>
        <v/>
      </c>
      <c r="W300" s="4" t="str">
        <f>IF($O$300="","",$O$300)</f>
        <v/>
      </c>
      <c r="X300" s="4">
        <f>J300</f>
        <v>320</v>
      </c>
    </row>
    <row r="301" spans="2:24" ht="30" x14ac:dyDescent="0.25">
      <c r="B301" s="4">
        <v>387</v>
      </c>
      <c r="C301" s="4" t="s">
        <v>134</v>
      </c>
      <c r="D301" s="4" t="s">
        <v>135</v>
      </c>
      <c r="E301" s="4">
        <v>2155</v>
      </c>
      <c r="F301" s="4" t="s">
        <v>30</v>
      </c>
      <c r="G301" s="4" t="s">
        <v>29</v>
      </c>
      <c r="H301" s="4" t="s">
        <v>86</v>
      </c>
      <c r="I301" s="4" t="s">
        <v>78</v>
      </c>
      <c r="J301" s="4">
        <v>320</v>
      </c>
      <c r="K301" t="str">
        <f>TEXT(TIMEVALUE(H301)-TIMEVALUE(I300)+(TIMEVALUE(H301)&lt;TIMEVALUE(I300)),"[h]:mm")</f>
        <v>0:40</v>
      </c>
      <c r="L301" s="4" t="s">
        <v>36</v>
      </c>
      <c r="O301" t="str">
        <f>"LIM-"&amp;G300&amp;"-LIM   LA "&amp;E300&amp;" ("&amp;LEFT(H300,5)&amp;"-"&amp;LEFT(I300,5)&amp;" hrs)  /  LA "&amp;E301&amp;" ("&amp;LEFT(H301,5)&amp;"-"&amp;LEFT(I301,5)&amp;" hrs)"</f>
        <v>LIM-CUZ-LIM   LA 2154 (14:45-16:05 hrs)  /  LA 2155 (16:45-18:20 hrs)</v>
      </c>
    </row>
    <row r="302" spans="2:24" x14ac:dyDescent="0.25">
      <c r="J302" s="7" t="s">
        <v>43</v>
      </c>
      <c r="K302" s="8" t="str">
        <f>TEXT(TIMEVALUE(I301)-TIMEVALUE(H300)+(I301&lt;H300),"[h]:mm")</f>
        <v>3:35</v>
      </c>
    </row>
    <row r="304" spans="2:24" ht="30" x14ac:dyDescent="0.25">
      <c r="B304" s="3" t="s">
        <v>9</v>
      </c>
      <c r="C304" s="3" t="s">
        <v>17</v>
      </c>
      <c r="D304" s="3" t="s">
        <v>18</v>
      </c>
      <c r="E304" s="3" t="s">
        <v>19</v>
      </c>
      <c r="F304" s="3" t="s">
        <v>20</v>
      </c>
      <c r="G304" s="3" t="s">
        <v>21</v>
      </c>
      <c r="H304" s="3" t="s">
        <v>22</v>
      </c>
      <c r="I304" s="3" t="s">
        <v>23</v>
      </c>
      <c r="J304" s="3" t="s">
        <v>24</v>
      </c>
      <c r="K304" s="3" t="s">
        <v>25</v>
      </c>
      <c r="L304" s="3" t="s">
        <v>26</v>
      </c>
    </row>
    <row r="305" spans="2:24" ht="30" x14ac:dyDescent="0.25">
      <c r="B305" s="4">
        <v>388</v>
      </c>
      <c r="C305" s="4" t="s">
        <v>134</v>
      </c>
      <c r="D305" s="4" t="s">
        <v>135</v>
      </c>
      <c r="E305" s="4">
        <v>2338</v>
      </c>
      <c r="F305" s="4" t="s">
        <v>29</v>
      </c>
      <c r="G305" s="4" t="s">
        <v>125</v>
      </c>
      <c r="H305" s="4" t="s">
        <v>109</v>
      </c>
      <c r="I305" s="4" t="s">
        <v>86</v>
      </c>
      <c r="J305" s="4">
        <v>320</v>
      </c>
      <c r="L305" s="4" t="s">
        <v>47</v>
      </c>
      <c r="M305" s="5"/>
      <c r="O305" s="5"/>
      <c r="Q305" s="4">
        <f>B305</f>
        <v>388</v>
      </c>
      <c r="R305" s="4" t="str">
        <f>C305</f>
        <v>04/10/2026</v>
      </c>
      <c r="S305" s="4" t="str">
        <f>D305</f>
        <v>domingo</v>
      </c>
      <c r="T305" s="4" t="str">
        <f>E305&amp;"/"&amp;E306</f>
        <v>2338/2339</v>
      </c>
      <c r="U305" s="4" t="str">
        <f>F305&amp;"-"&amp;G305&amp;"-"&amp;F305</f>
        <v>LIM-PIU-LIM</v>
      </c>
      <c r="V305" s="4" t="str">
        <f>IF($M$305="","",$M$305)</f>
        <v/>
      </c>
      <c r="W305" s="4" t="str">
        <f>IF($O$305="","",$O$305)</f>
        <v/>
      </c>
      <c r="X305" s="4">
        <f>J305</f>
        <v>320</v>
      </c>
    </row>
    <row r="306" spans="2:24" ht="30" x14ac:dyDescent="0.25">
      <c r="B306" s="4">
        <v>388</v>
      </c>
      <c r="C306" s="4" t="s">
        <v>134</v>
      </c>
      <c r="D306" s="4" t="s">
        <v>135</v>
      </c>
      <c r="E306" s="4">
        <v>2339</v>
      </c>
      <c r="F306" s="4" t="s">
        <v>125</v>
      </c>
      <c r="G306" s="4" t="s">
        <v>29</v>
      </c>
      <c r="H306" s="4" t="s">
        <v>53</v>
      </c>
      <c r="I306" s="4" t="s">
        <v>88</v>
      </c>
      <c r="J306" s="4">
        <v>320</v>
      </c>
      <c r="K306" t="str">
        <f>TEXT(TIMEVALUE(H306)-TIMEVALUE(I305)+(TIMEVALUE(H306)&lt;TIMEVALUE(I305)),"[h]:mm")</f>
        <v>0:35</v>
      </c>
      <c r="L306" s="4" t="s">
        <v>36</v>
      </c>
      <c r="O306" t="str">
        <f>"LIM-"&amp;G305&amp;"-LIM   LA "&amp;E305&amp;" ("&amp;LEFT(H305,5)&amp;"-"&amp;LEFT(I305,5)&amp;" hrs)  /  LA "&amp;E306&amp;" ("&amp;LEFT(H306,5)&amp;"-"&amp;LEFT(I306,5)&amp;" hrs)"</f>
        <v>LIM-PIU-LIM   LA 2338 (15:00-16:45 hrs)  /  LA 2339 (17:20-18:55 hrs)</v>
      </c>
    </row>
    <row r="307" spans="2:24" x14ac:dyDescent="0.25">
      <c r="J307" s="7" t="s">
        <v>43</v>
      </c>
      <c r="K307" s="8" t="str">
        <f>TEXT(TIMEVALUE(I306)-TIMEVALUE(H305)+(I306&lt;H305),"[h]:mm")</f>
        <v>3:55</v>
      </c>
    </row>
    <row r="309" spans="2:24" ht="30" x14ac:dyDescent="0.25">
      <c r="B309" s="3" t="s">
        <v>9</v>
      </c>
      <c r="C309" s="3" t="s">
        <v>17</v>
      </c>
      <c r="D309" s="3" t="s">
        <v>18</v>
      </c>
      <c r="E309" s="3" t="s">
        <v>19</v>
      </c>
      <c r="F309" s="3" t="s">
        <v>20</v>
      </c>
      <c r="G309" s="3" t="s">
        <v>21</v>
      </c>
      <c r="H309" s="3" t="s">
        <v>22</v>
      </c>
      <c r="I309" s="3" t="s">
        <v>23</v>
      </c>
      <c r="J309" s="3" t="s">
        <v>24</v>
      </c>
      <c r="K309" s="3" t="s">
        <v>25</v>
      </c>
      <c r="L309" s="3" t="s">
        <v>26</v>
      </c>
    </row>
    <row r="310" spans="2:24" ht="30" x14ac:dyDescent="0.25">
      <c r="B310" s="4">
        <v>389</v>
      </c>
      <c r="C310" s="4" t="s">
        <v>134</v>
      </c>
      <c r="D310" s="4" t="s">
        <v>135</v>
      </c>
      <c r="E310" s="4">
        <v>2338</v>
      </c>
      <c r="F310" s="4" t="s">
        <v>29</v>
      </c>
      <c r="G310" s="4" t="s">
        <v>125</v>
      </c>
      <c r="H310" s="4" t="s">
        <v>109</v>
      </c>
      <c r="I310" s="4" t="s">
        <v>86</v>
      </c>
      <c r="J310" s="4">
        <v>320</v>
      </c>
      <c r="L310" s="4" t="s">
        <v>47</v>
      </c>
      <c r="M310" s="5"/>
      <c r="O310" s="5"/>
      <c r="Q310" s="4">
        <f>B310</f>
        <v>389</v>
      </c>
      <c r="R310" s="4" t="str">
        <f>C310</f>
        <v>04/10/2026</v>
      </c>
      <c r="S310" s="4" t="str">
        <f>D310</f>
        <v>domingo</v>
      </c>
      <c r="T310" s="4" t="str">
        <f>E310&amp;"/"&amp;E311</f>
        <v>2338/2339</v>
      </c>
      <c r="U310" s="4" t="str">
        <f>F310&amp;"-"&amp;G310&amp;"-"&amp;F310</f>
        <v>LIM-PIU-LIM</v>
      </c>
      <c r="V310" s="4" t="str">
        <f>IF($M$310="","",$M$310)</f>
        <v/>
      </c>
      <c r="W310" s="4" t="str">
        <f>IF($O$310="","",$O$310)</f>
        <v/>
      </c>
      <c r="X310" s="4">
        <f>J310</f>
        <v>320</v>
      </c>
    </row>
    <row r="311" spans="2:24" ht="30" x14ac:dyDescent="0.25">
      <c r="B311" s="4">
        <v>389</v>
      </c>
      <c r="C311" s="4" t="s">
        <v>134</v>
      </c>
      <c r="D311" s="4" t="s">
        <v>135</v>
      </c>
      <c r="E311" s="4">
        <v>2339</v>
      </c>
      <c r="F311" s="4" t="s">
        <v>125</v>
      </c>
      <c r="G311" s="4" t="s">
        <v>29</v>
      </c>
      <c r="H311" s="4" t="s">
        <v>53</v>
      </c>
      <c r="I311" s="4" t="s">
        <v>88</v>
      </c>
      <c r="J311" s="4">
        <v>320</v>
      </c>
      <c r="K311" t="str">
        <f>TEXT(TIMEVALUE(H311)-TIMEVALUE(I310)+(TIMEVALUE(H311)&lt;TIMEVALUE(I310)),"[h]:mm")</f>
        <v>0:35</v>
      </c>
      <c r="L311" s="4" t="s">
        <v>36</v>
      </c>
      <c r="O311" t="str">
        <f>"LIM-"&amp;G310&amp;"-LIM   LA "&amp;E310&amp;" ("&amp;LEFT(H310,5)&amp;"-"&amp;LEFT(I310,5)&amp;" hrs)  /  LA "&amp;E311&amp;" ("&amp;LEFT(H311,5)&amp;"-"&amp;LEFT(I311,5)&amp;" hrs)"</f>
        <v>LIM-PIU-LIM   LA 2338 (15:00-16:45 hrs)  /  LA 2339 (17:20-18:55 hrs)</v>
      </c>
    </row>
    <row r="312" spans="2:24" x14ac:dyDescent="0.25">
      <c r="J312" s="7" t="s">
        <v>43</v>
      </c>
      <c r="K312" s="8" t="str">
        <f>TEXT(TIMEVALUE(I311)-TIMEVALUE(H310)+(I311&lt;H310),"[h]:mm")</f>
        <v>3:55</v>
      </c>
    </row>
    <row r="314" spans="2:24" ht="30" x14ac:dyDescent="0.25">
      <c r="B314" s="3" t="s">
        <v>9</v>
      </c>
      <c r="C314" s="3" t="s">
        <v>17</v>
      </c>
      <c r="D314" s="3" t="s">
        <v>18</v>
      </c>
      <c r="E314" s="3" t="s">
        <v>19</v>
      </c>
      <c r="F314" s="3" t="s">
        <v>20</v>
      </c>
      <c r="G314" s="3" t="s">
        <v>21</v>
      </c>
      <c r="H314" s="3" t="s">
        <v>22</v>
      </c>
      <c r="I314" s="3" t="s">
        <v>23</v>
      </c>
      <c r="J314" s="3" t="s">
        <v>24</v>
      </c>
      <c r="K314" s="3" t="s">
        <v>25</v>
      </c>
      <c r="L314" s="3" t="s">
        <v>26</v>
      </c>
    </row>
    <row r="315" spans="2:24" ht="30" x14ac:dyDescent="0.25">
      <c r="B315" s="4">
        <v>390</v>
      </c>
      <c r="C315" s="4" t="s">
        <v>134</v>
      </c>
      <c r="D315" s="4" t="s">
        <v>135</v>
      </c>
      <c r="E315" s="4">
        <v>2113</v>
      </c>
      <c r="F315" s="4" t="s">
        <v>29</v>
      </c>
      <c r="G315" s="4" t="s">
        <v>56</v>
      </c>
      <c r="H315" s="4" t="s">
        <v>126</v>
      </c>
      <c r="I315" s="4" t="s">
        <v>52</v>
      </c>
      <c r="J315" s="4">
        <v>319</v>
      </c>
      <c r="L315" s="4" t="s">
        <v>40</v>
      </c>
      <c r="M315" s="5"/>
      <c r="O315" s="5"/>
      <c r="Q315" s="4">
        <f>B315</f>
        <v>390</v>
      </c>
      <c r="R315" s="4" t="str">
        <f>C315</f>
        <v>04/10/2026</v>
      </c>
      <c r="S315" s="4" t="str">
        <f>D315</f>
        <v>domingo</v>
      </c>
      <c r="T315" s="4" t="str">
        <f>E315&amp;"/"&amp;E316</f>
        <v>2113/2112</v>
      </c>
      <c r="U315" s="4" t="str">
        <f>F315&amp;"-"&amp;G315&amp;"-"&amp;F315</f>
        <v>LIM-AQP-LIM</v>
      </c>
      <c r="V315" s="4" t="str">
        <f>IF($M$315="","",$M$315)</f>
        <v/>
      </c>
      <c r="W315" s="4" t="str">
        <f>IF($O$315="","",$O$315)</f>
        <v/>
      </c>
      <c r="X315" s="4">
        <f>J315</f>
        <v>319</v>
      </c>
    </row>
    <row r="316" spans="2:24" ht="30" x14ac:dyDescent="0.25">
      <c r="B316" s="4">
        <v>390</v>
      </c>
      <c r="C316" s="4" t="s">
        <v>134</v>
      </c>
      <c r="D316" s="4" t="s">
        <v>135</v>
      </c>
      <c r="E316" s="4">
        <v>2112</v>
      </c>
      <c r="F316" s="4" t="s">
        <v>56</v>
      </c>
      <c r="G316" s="4" t="s">
        <v>29</v>
      </c>
      <c r="H316" s="4" t="s">
        <v>42</v>
      </c>
      <c r="I316" s="4" t="s">
        <v>88</v>
      </c>
      <c r="J316" s="4">
        <v>319</v>
      </c>
      <c r="K316" t="str">
        <f>TEXT(TIMEVALUE(H316)-TIMEVALUE(I315)+(TIMEVALUE(H316)&lt;TIMEVALUE(I315)),"[h]:mm")</f>
        <v>0:40</v>
      </c>
      <c r="L316" s="4" t="s">
        <v>71</v>
      </c>
      <c r="O316" t="str">
        <f>"LIM-"&amp;G315&amp;"-LIM   LA "&amp;E315&amp;" ("&amp;LEFT(H315,5)&amp;"-"&amp;LEFT(I315,5)&amp;" hrs)  /  LA "&amp;E316&amp;" ("&amp;LEFT(H316,5)&amp;"-"&amp;LEFT(I316,5)&amp;" hrs)"</f>
        <v>LIM-AQP-LIM   LA 2113 (15:05-16:35 hrs)  /  LA 2112 (17:15-18:55 hrs)</v>
      </c>
    </row>
    <row r="317" spans="2:24" x14ac:dyDescent="0.25">
      <c r="J317" s="7" t="s">
        <v>43</v>
      </c>
      <c r="K317" s="8" t="str">
        <f>TEXT(TIMEVALUE(I316)-TIMEVALUE(H315)+(I316&lt;H315),"[h]:mm")</f>
        <v>3:50</v>
      </c>
    </row>
    <row r="319" spans="2:24" ht="30" x14ac:dyDescent="0.25">
      <c r="B319" s="3" t="s">
        <v>9</v>
      </c>
      <c r="C319" s="3" t="s">
        <v>17</v>
      </c>
      <c r="D319" s="3" t="s">
        <v>18</v>
      </c>
      <c r="E319" s="3" t="s">
        <v>19</v>
      </c>
      <c r="F319" s="3" t="s">
        <v>20</v>
      </c>
      <c r="G319" s="3" t="s">
        <v>21</v>
      </c>
      <c r="H319" s="3" t="s">
        <v>22</v>
      </c>
      <c r="I319" s="3" t="s">
        <v>23</v>
      </c>
      <c r="J319" s="3" t="s">
        <v>24</v>
      </c>
      <c r="K319" s="3" t="s">
        <v>25</v>
      </c>
      <c r="L319" s="3" t="s">
        <v>26</v>
      </c>
    </row>
    <row r="320" spans="2:24" ht="30" x14ac:dyDescent="0.25">
      <c r="B320" s="4">
        <v>393</v>
      </c>
      <c r="C320" s="4" t="s">
        <v>134</v>
      </c>
      <c r="D320" s="4" t="s">
        <v>135</v>
      </c>
      <c r="E320" s="4">
        <v>2297</v>
      </c>
      <c r="F320" s="4" t="s">
        <v>29</v>
      </c>
      <c r="G320" s="4" t="s">
        <v>50</v>
      </c>
      <c r="H320" s="4" t="s">
        <v>51</v>
      </c>
      <c r="I320" s="4" t="s">
        <v>52</v>
      </c>
      <c r="J320" s="4">
        <v>320</v>
      </c>
      <c r="L320" s="4" t="s">
        <v>33</v>
      </c>
      <c r="M320" s="5"/>
      <c r="O320" s="5"/>
      <c r="Q320" s="4">
        <f>B320</f>
        <v>393</v>
      </c>
      <c r="R320" s="4" t="str">
        <f>C320</f>
        <v>04/10/2026</v>
      </c>
      <c r="S320" s="4" t="str">
        <f>D320</f>
        <v>domingo</v>
      </c>
      <c r="T320" s="4" t="str">
        <f>E320&amp;"/"&amp;E321</f>
        <v>2297/2296</v>
      </c>
      <c r="U320" s="4" t="str">
        <f>F320&amp;"-"&amp;G320&amp;"-"&amp;F320</f>
        <v>LIM-CJA-LIM</v>
      </c>
      <c r="V320" s="4" t="str">
        <f>IF($M$320="","",$M$320)</f>
        <v/>
      </c>
      <c r="W320" s="4" t="str">
        <f>IF($O$320="","",$O$320)</f>
        <v/>
      </c>
      <c r="X320" s="4">
        <f>J320</f>
        <v>320</v>
      </c>
    </row>
    <row r="321" spans="2:24" ht="30" x14ac:dyDescent="0.25">
      <c r="B321" s="4">
        <v>393</v>
      </c>
      <c r="C321" s="4" t="s">
        <v>134</v>
      </c>
      <c r="D321" s="4" t="s">
        <v>135</v>
      </c>
      <c r="E321" s="4">
        <v>2296</v>
      </c>
      <c r="F321" s="4" t="s">
        <v>50</v>
      </c>
      <c r="G321" s="4" t="s">
        <v>29</v>
      </c>
      <c r="H321" s="4" t="s">
        <v>53</v>
      </c>
      <c r="I321" s="4" t="s">
        <v>54</v>
      </c>
      <c r="J321" s="4">
        <v>320</v>
      </c>
      <c r="K321" t="str">
        <f>TEXT(TIMEVALUE(H321)-TIMEVALUE(I320)+(TIMEVALUE(H321)&lt;TIMEVALUE(I320)),"[h]:mm")</f>
        <v>0:45</v>
      </c>
      <c r="L321" s="4" t="s">
        <v>55</v>
      </c>
      <c r="O321" t="str">
        <f>"LIM-"&amp;G320&amp;"-LIM   LA "&amp;E320&amp;" ("&amp;LEFT(H320,5)&amp;"-"&amp;LEFT(I320,5)&amp;" hrs)  /  LA "&amp;E321&amp;" ("&amp;LEFT(H321,5)&amp;"-"&amp;LEFT(I321,5)&amp;" hrs)"</f>
        <v>LIM-CJA-LIM   LA 2297 (15:15-16:35 hrs)  /  LA 2296 (17:20-18:25 hrs)</v>
      </c>
    </row>
    <row r="322" spans="2:24" x14ac:dyDescent="0.25">
      <c r="J322" s="7" t="s">
        <v>43</v>
      </c>
      <c r="K322" s="8" t="str">
        <f>TEXT(TIMEVALUE(I321)-TIMEVALUE(H320)+(I321&lt;H320),"[h]:mm")</f>
        <v>3:10</v>
      </c>
    </row>
    <row r="324" spans="2:24" ht="30" x14ac:dyDescent="0.25">
      <c r="B324" s="3" t="s">
        <v>9</v>
      </c>
      <c r="C324" s="3" t="s">
        <v>17</v>
      </c>
      <c r="D324" s="3" t="s">
        <v>18</v>
      </c>
      <c r="E324" s="3" t="s">
        <v>19</v>
      </c>
      <c r="F324" s="3" t="s">
        <v>20</v>
      </c>
      <c r="G324" s="3" t="s">
        <v>21</v>
      </c>
      <c r="H324" s="3" t="s">
        <v>22</v>
      </c>
      <c r="I324" s="3" t="s">
        <v>23</v>
      </c>
      <c r="J324" s="3" t="s">
        <v>24</v>
      </c>
      <c r="K324" s="3" t="s">
        <v>25</v>
      </c>
      <c r="L324" s="3" t="s">
        <v>26</v>
      </c>
    </row>
    <row r="325" spans="2:24" ht="30" x14ac:dyDescent="0.25">
      <c r="B325" s="4">
        <v>394</v>
      </c>
      <c r="C325" s="4" t="s">
        <v>134</v>
      </c>
      <c r="D325" s="4" t="s">
        <v>135</v>
      </c>
      <c r="E325" s="4">
        <v>2360</v>
      </c>
      <c r="F325" s="4" t="s">
        <v>29</v>
      </c>
      <c r="G325" s="4" t="s">
        <v>58</v>
      </c>
      <c r="H325" s="4" t="s">
        <v>59</v>
      </c>
      <c r="I325" s="4" t="s">
        <v>60</v>
      </c>
      <c r="J325" s="4">
        <v>319</v>
      </c>
      <c r="L325" s="4" t="s">
        <v>61</v>
      </c>
      <c r="M325" s="5"/>
      <c r="O325" s="5"/>
      <c r="Q325" s="4">
        <f>B325</f>
        <v>394</v>
      </c>
      <c r="R325" s="4" t="str">
        <f>C325</f>
        <v>04/10/2026</v>
      </c>
      <c r="S325" s="4" t="str">
        <f>D325</f>
        <v>domingo</v>
      </c>
      <c r="T325" s="4" t="str">
        <f>E325&amp;"/"&amp;E326</f>
        <v>2360/2361</v>
      </c>
      <c r="U325" s="4" t="str">
        <f>F325&amp;"-"&amp;G325&amp;"-"&amp;F325</f>
        <v>LIM-PCL-LIM</v>
      </c>
      <c r="V325" s="4" t="str">
        <f>IF($M$325="","",$M$325)</f>
        <v/>
      </c>
      <c r="W325" s="4" t="str">
        <f>IF($O$325="","",$O$325)</f>
        <v/>
      </c>
      <c r="X325" s="4">
        <f>J325</f>
        <v>319</v>
      </c>
    </row>
    <row r="326" spans="2:24" ht="30" x14ac:dyDescent="0.25">
      <c r="B326" s="4">
        <v>394</v>
      </c>
      <c r="C326" s="4" t="s">
        <v>134</v>
      </c>
      <c r="D326" s="4" t="s">
        <v>135</v>
      </c>
      <c r="E326" s="4">
        <v>2361</v>
      </c>
      <c r="F326" s="4" t="s">
        <v>58</v>
      </c>
      <c r="G326" s="4" t="s">
        <v>29</v>
      </c>
      <c r="H326" s="4" t="s">
        <v>53</v>
      </c>
      <c r="I326" s="4" t="s">
        <v>62</v>
      </c>
      <c r="J326" s="4">
        <v>319</v>
      </c>
      <c r="K326" t="str">
        <f>TEXT(TIMEVALUE(H326)-TIMEVALUE(I325)+(TIMEVALUE(H326)&lt;TIMEVALUE(I325)),"[h]:mm")</f>
        <v>0:40</v>
      </c>
      <c r="L326" s="4" t="s">
        <v>61</v>
      </c>
      <c r="O326" t="str">
        <f>"LIM-"&amp;G325&amp;"-LIM   LA "&amp;E325&amp;" ("&amp;LEFT(H325,5)&amp;"-"&amp;LEFT(I325,5)&amp;" hrs)  /  LA "&amp;E326&amp;" ("&amp;LEFT(H326,5)&amp;"-"&amp;LEFT(I326,5)&amp;" hrs)"</f>
        <v>LIM-PCL-LIM   LA 2360 (15:25-16:40 hrs)  /  LA 2361 (17:20-18:35 hrs)</v>
      </c>
    </row>
    <row r="327" spans="2:24" x14ac:dyDescent="0.25">
      <c r="J327" s="7" t="s">
        <v>43</v>
      </c>
      <c r="K327" s="8" t="str">
        <f>TEXT(TIMEVALUE(I326)-TIMEVALUE(H325)+(I326&lt;H325),"[h]:mm")</f>
        <v>3:10</v>
      </c>
    </row>
    <row r="329" spans="2:24" ht="30" x14ac:dyDescent="0.25">
      <c r="B329" s="3" t="s">
        <v>9</v>
      </c>
      <c r="C329" s="3" t="s">
        <v>17</v>
      </c>
      <c r="D329" s="3" t="s">
        <v>18</v>
      </c>
      <c r="E329" s="3" t="s">
        <v>19</v>
      </c>
      <c r="F329" s="3" t="s">
        <v>20</v>
      </c>
      <c r="G329" s="3" t="s">
        <v>21</v>
      </c>
      <c r="H329" s="3" t="s">
        <v>22</v>
      </c>
      <c r="I329" s="3" t="s">
        <v>23</v>
      </c>
      <c r="J329" s="3" t="s">
        <v>24</v>
      </c>
      <c r="K329" s="3" t="s">
        <v>25</v>
      </c>
      <c r="L329" s="3" t="s">
        <v>26</v>
      </c>
    </row>
    <row r="330" spans="2:24" ht="30" x14ac:dyDescent="0.25">
      <c r="B330" s="4">
        <v>395</v>
      </c>
      <c r="C330" s="4" t="s">
        <v>134</v>
      </c>
      <c r="D330" s="4" t="s">
        <v>135</v>
      </c>
      <c r="E330" s="4">
        <v>2312</v>
      </c>
      <c r="F330" s="4" t="s">
        <v>29</v>
      </c>
      <c r="G330" s="4" t="s">
        <v>37</v>
      </c>
      <c r="H330" s="4" t="s">
        <v>89</v>
      </c>
      <c r="I330" s="4" t="s">
        <v>77</v>
      </c>
      <c r="J330" s="4">
        <v>320</v>
      </c>
      <c r="L330" s="4" t="s">
        <v>40</v>
      </c>
      <c r="M330" s="5"/>
      <c r="O330" s="5"/>
      <c r="Q330" s="4">
        <f>B330</f>
        <v>395</v>
      </c>
      <c r="R330" s="4" t="str">
        <f>C330</f>
        <v>04/10/2026</v>
      </c>
      <c r="S330" s="4" t="str">
        <f>D330</f>
        <v>domingo</v>
      </c>
      <c r="T330" s="4" t="str">
        <f>E330&amp;"/"&amp;E331</f>
        <v>2312/2313</v>
      </c>
      <c r="U330" s="4" t="str">
        <f>F330&amp;"-"&amp;G330&amp;"-"&amp;F330</f>
        <v>LIM-CIX-LIM</v>
      </c>
      <c r="V330" s="4" t="str">
        <f>IF($M$330="","",$M$330)</f>
        <v/>
      </c>
      <c r="W330" s="4" t="str">
        <f>IF($O$330="","",$O$330)</f>
        <v/>
      </c>
      <c r="X330" s="4">
        <f>J330</f>
        <v>320</v>
      </c>
    </row>
    <row r="331" spans="2:24" ht="30" x14ac:dyDescent="0.25">
      <c r="B331" s="4">
        <v>395</v>
      </c>
      <c r="C331" s="4" t="s">
        <v>134</v>
      </c>
      <c r="D331" s="4" t="s">
        <v>135</v>
      </c>
      <c r="E331" s="4">
        <v>2313</v>
      </c>
      <c r="F331" s="4" t="s">
        <v>37</v>
      </c>
      <c r="G331" s="4" t="s">
        <v>29</v>
      </c>
      <c r="H331" s="4" t="s">
        <v>84</v>
      </c>
      <c r="I331" s="4" t="s">
        <v>90</v>
      </c>
      <c r="J331" s="4">
        <v>320</v>
      </c>
      <c r="K331" t="str">
        <f>TEXT(TIMEVALUE(H331)-TIMEVALUE(I330)+(TIMEVALUE(H331)&lt;TIMEVALUE(I330)),"[h]:mm")</f>
        <v>0:45</v>
      </c>
      <c r="L331" s="4" t="s">
        <v>33</v>
      </c>
      <c r="O331" t="str">
        <f>"LIM-"&amp;G330&amp;"-LIM   LA "&amp;E330&amp;" ("&amp;LEFT(H330,5)&amp;"-"&amp;LEFT(I330,5)&amp;" hrs)  /  LA "&amp;E331&amp;" ("&amp;LEFT(H331,5)&amp;"-"&amp;LEFT(I331,5)&amp;" hrs)"</f>
        <v>LIM-CIX-LIM   LA 2312 (15:35-17:05 hrs)  /  LA 2313 (17:50-19:10 hrs)</v>
      </c>
    </row>
    <row r="332" spans="2:24" x14ac:dyDescent="0.25">
      <c r="J332" s="7" t="s">
        <v>43</v>
      </c>
      <c r="K332" s="8" t="str">
        <f>TEXT(TIMEVALUE(I331)-TIMEVALUE(H330)+(I331&lt;H330),"[h]:mm")</f>
        <v>3:35</v>
      </c>
    </row>
    <row r="334" spans="2:24" ht="30" x14ac:dyDescent="0.25">
      <c r="B334" s="3" t="s">
        <v>9</v>
      </c>
      <c r="C334" s="3" t="s">
        <v>17</v>
      </c>
      <c r="D334" s="3" t="s">
        <v>18</v>
      </c>
      <c r="E334" s="3" t="s">
        <v>19</v>
      </c>
      <c r="F334" s="3" t="s">
        <v>20</v>
      </c>
      <c r="G334" s="3" t="s">
        <v>21</v>
      </c>
      <c r="H334" s="3" t="s">
        <v>22</v>
      </c>
      <c r="I334" s="3" t="s">
        <v>23</v>
      </c>
      <c r="J334" s="3" t="s">
        <v>24</v>
      </c>
      <c r="K334" s="3" t="s">
        <v>25</v>
      </c>
      <c r="L334" s="3" t="s">
        <v>26</v>
      </c>
    </row>
    <row r="335" spans="2:24" ht="30" x14ac:dyDescent="0.25">
      <c r="B335" s="4">
        <v>396</v>
      </c>
      <c r="C335" s="4" t="s">
        <v>134</v>
      </c>
      <c r="D335" s="4" t="s">
        <v>135</v>
      </c>
      <c r="E335" s="4">
        <v>2312</v>
      </c>
      <c r="F335" s="4" t="s">
        <v>29</v>
      </c>
      <c r="G335" s="4" t="s">
        <v>37</v>
      </c>
      <c r="H335" s="4" t="s">
        <v>89</v>
      </c>
      <c r="I335" s="4" t="s">
        <v>77</v>
      </c>
      <c r="J335" s="4">
        <v>320</v>
      </c>
      <c r="L335" s="4" t="s">
        <v>40</v>
      </c>
      <c r="M335" s="5"/>
      <c r="O335" s="5"/>
      <c r="Q335" s="4">
        <f>B335</f>
        <v>396</v>
      </c>
      <c r="R335" s="4" t="str">
        <f>C335</f>
        <v>04/10/2026</v>
      </c>
      <c r="S335" s="4" t="str">
        <f>D335</f>
        <v>domingo</v>
      </c>
      <c r="T335" s="4" t="str">
        <f>E335&amp;"/"&amp;E336</f>
        <v>2312/2313</v>
      </c>
      <c r="U335" s="4" t="str">
        <f>F335&amp;"-"&amp;G335&amp;"-"&amp;F335</f>
        <v>LIM-CIX-LIM</v>
      </c>
      <c r="V335" s="4" t="str">
        <f>IF($M$335="","",$M$335)</f>
        <v/>
      </c>
      <c r="W335" s="4" t="str">
        <f>IF($O$335="","",$O$335)</f>
        <v/>
      </c>
      <c r="X335" s="4">
        <f>J335</f>
        <v>320</v>
      </c>
    </row>
    <row r="336" spans="2:24" ht="30" x14ac:dyDescent="0.25">
      <c r="B336" s="4">
        <v>396</v>
      </c>
      <c r="C336" s="4" t="s">
        <v>134</v>
      </c>
      <c r="D336" s="4" t="s">
        <v>135</v>
      </c>
      <c r="E336" s="4">
        <v>2313</v>
      </c>
      <c r="F336" s="4" t="s">
        <v>37</v>
      </c>
      <c r="G336" s="4" t="s">
        <v>29</v>
      </c>
      <c r="H336" s="4" t="s">
        <v>84</v>
      </c>
      <c r="I336" s="4" t="s">
        <v>90</v>
      </c>
      <c r="J336" s="4">
        <v>320</v>
      </c>
      <c r="K336" t="str">
        <f>TEXT(TIMEVALUE(H336)-TIMEVALUE(I335)+(TIMEVALUE(H336)&lt;TIMEVALUE(I335)),"[h]:mm")</f>
        <v>0:45</v>
      </c>
      <c r="L336" s="4" t="s">
        <v>33</v>
      </c>
      <c r="O336" t="str">
        <f>"LIM-"&amp;G335&amp;"-LIM   LA "&amp;E335&amp;" ("&amp;LEFT(H335,5)&amp;"-"&amp;LEFT(I335,5)&amp;" hrs)  /  LA "&amp;E336&amp;" ("&amp;LEFT(H336,5)&amp;"-"&amp;LEFT(I336,5)&amp;" hrs)"</f>
        <v>LIM-CIX-LIM   LA 2312 (15:35-17:05 hrs)  /  LA 2313 (17:50-19:10 hrs)</v>
      </c>
    </row>
    <row r="337" spans="2:24" x14ac:dyDescent="0.25">
      <c r="J337" s="7" t="s">
        <v>43</v>
      </c>
      <c r="K337" s="8" t="str">
        <f>TEXT(TIMEVALUE(I336)-TIMEVALUE(H335)+(I336&lt;H335),"[h]:mm")</f>
        <v>3:35</v>
      </c>
    </row>
    <row r="339" spans="2:24" ht="30" x14ac:dyDescent="0.25">
      <c r="B339" s="3" t="s">
        <v>9</v>
      </c>
      <c r="C339" s="3" t="s">
        <v>17</v>
      </c>
      <c r="D339" s="3" t="s">
        <v>18</v>
      </c>
      <c r="E339" s="3" t="s">
        <v>19</v>
      </c>
      <c r="F339" s="3" t="s">
        <v>20</v>
      </c>
      <c r="G339" s="3" t="s">
        <v>21</v>
      </c>
      <c r="H339" s="3" t="s">
        <v>22</v>
      </c>
      <c r="I339" s="3" t="s">
        <v>23</v>
      </c>
      <c r="J339" s="3" t="s">
        <v>24</v>
      </c>
      <c r="K339" s="3" t="s">
        <v>25</v>
      </c>
      <c r="L339" s="3" t="s">
        <v>26</v>
      </c>
    </row>
    <row r="340" spans="2:24" ht="30" x14ac:dyDescent="0.25">
      <c r="B340" s="4">
        <v>441</v>
      </c>
      <c r="C340" s="4" t="s">
        <v>137</v>
      </c>
      <c r="D340" s="4" t="s">
        <v>138</v>
      </c>
      <c r="E340" s="4">
        <v>2123</v>
      </c>
      <c r="F340" s="4" t="s">
        <v>29</v>
      </c>
      <c r="G340" s="4" t="s">
        <v>56</v>
      </c>
      <c r="H340" s="4" t="s">
        <v>139</v>
      </c>
      <c r="I340" s="4" t="s">
        <v>140</v>
      </c>
      <c r="J340" s="4">
        <v>320</v>
      </c>
      <c r="L340" s="4" t="s">
        <v>40</v>
      </c>
      <c r="M340" s="5"/>
      <c r="O340" s="5"/>
      <c r="Q340" s="4">
        <f>B340</f>
        <v>441</v>
      </c>
      <c r="R340" s="4" t="str">
        <f>C340</f>
        <v>05/10/2026</v>
      </c>
      <c r="S340" s="4" t="str">
        <f>D340</f>
        <v>lunes</v>
      </c>
      <c r="T340" s="4" t="str">
        <f>E340&amp;"/"&amp;E341</f>
        <v>2123/2124</v>
      </c>
      <c r="U340" s="4" t="str">
        <f>F340&amp;"-"&amp;G340&amp;"-"&amp;F340</f>
        <v>LIM-AQP-LIM</v>
      </c>
      <c r="V340" s="4" t="str">
        <f>IF($M$340="","",$M$340)</f>
        <v/>
      </c>
      <c r="W340" s="4" t="str">
        <f>IF($O$340="","",$O$340)</f>
        <v/>
      </c>
      <c r="X340" s="4">
        <f>J340</f>
        <v>320</v>
      </c>
    </row>
    <row r="341" spans="2:24" ht="30" x14ac:dyDescent="0.25">
      <c r="B341" s="4">
        <v>441</v>
      </c>
      <c r="C341" s="4" t="s">
        <v>137</v>
      </c>
      <c r="D341" s="4" t="s">
        <v>138</v>
      </c>
      <c r="E341" s="4">
        <v>2124</v>
      </c>
      <c r="F341" s="4" t="s">
        <v>56</v>
      </c>
      <c r="G341" s="4" t="s">
        <v>29</v>
      </c>
      <c r="H341" s="4" t="s">
        <v>141</v>
      </c>
      <c r="I341" s="4" t="s">
        <v>142</v>
      </c>
      <c r="J341" s="4">
        <v>320</v>
      </c>
      <c r="K341" t="str">
        <f>TEXT(TIMEVALUE(H341)-TIMEVALUE(I340)+(TIMEVALUE(H341)&lt;TIMEVALUE(I340)),"[h]:mm")</f>
        <v>0:45</v>
      </c>
      <c r="L341" s="4" t="s">
        <v>36</v>
      </c>
      <c r="O341" t="str">
        <f>"LIM-"&amp;G340&amp;"-LIM   LA "&amp;E340&amp;" ("&amp;LEFT(H340,5)&amp;"-"&amp;LEFT(I340,5)&amp;" hrs)  /  LA "&amp;E341&amp;" ("&amp;LEFT(H341,5)&amp;"-"&amp;LEFT(I341,5)&amp;" hrs)"</f>
        <v>LIM-AQP-LIM   LA 2123 (09:15-10:45 hrs)  /  LA 2124 (11:30-13:05 hrs)</v>
      </c>
    </row>
    <row r="342" spans="2:24" ht="30" x14ac:dyDescent="0.25">
      <c r="B342" s="4">
        <v>464</v>
      </c>
      <c r="C342" s="4" t="s">
        <v>137</v>
      </c>
      <c r="D342" s="4" t="s">
        <v>138</v>
      </c>
      <c r="E342" s="4">
        <v>2295</v>
      </c>
      <c r="F342" s="4" t="s">
        <v>29</v>
      </c>
      <c r="G342" s="4" t="s">
        <v>50</v>
      </c>
      <c r="H342" s="4" t="s">
        <v>110</v>
      </c>
      <c r="I342" s="4" t="s">
        <v>76</v>
      </c>
      <c r="J342" s="4">
        <v>320</v>
      </c>
      <c r="K342" s="6" t="str">
        <f>TEXT(TIMEVALUE(H342)-TIMEVALUE(I341)+(TIMEVALUE(H342)&lt;TIMEVALUE(I341)),"[h]:mm")</f>
        <v>1:05</v>
      </c>
      <c r="L342" s="4" t="s">
        <v>33</v>
      </c>
      <c r="M342" t="str">
        <f>IF($M$340="","",$M$340)</f>
        <v/>
      </c>
      <c r="O342" t="str">
        <f>IF($O$340="","",$O$340)</f>
        <v/>
      </c>
      <c r="Q342" s="4">
        <f>B342</f>
        <v>464</v>
      </c>
      <c r="R342" s="4" t="str">
        <f>C342</f>
        <v>05/10/2026</v>
      </c>
      <c r="S342" s="4" t="str">
        <f>D342</f>
        <v>lunes</v>
      </c>
      <c r="T342" s="4" t="str">
        <f>E342&amp;"/"&amp;E343</f>
        <v>2295/2294</v>
      </c>
      <c r="U342" s="4" t="str">
        <f>F342&amp;"-"&amp;G342&amp;"-"&amp;F342</f>
        <v>LIM-CJA-LIM</v>
      </c>
      <c r="V342" s="4" t="str">
        <f>IF($M$340="","",$M$340)</f>
        <v/>
      </c>
      <c r="W342" s="4" t="str">
        <f>IF($O$340="","",$O$340)</f>
        <v/>
      </c>
      <c r="X342" s="4">
        <f>J342</f>
        <v>320</v>
      </c>
    </row>
    <row r="343" spans="2:24" ht="30" x14ac:dyDescent="0.25">
      <c r="B343" s="4">
        <v>464</v>
      </c>
      <c r="C343" s="4" t="s">
        <v>137</v>
      </c>
      <c r="D343" s="4" t="s">
        <v>138</v>
      </c>
      <c r="E343" s="4">
        <v>2294</v>
      </c>
      <c r="F343" s="4" t="s">
        <v>50</v>
      </c>
      <c r="G343" s="4" t="s">
        <v>29</v>
      </c>
      <c r="H343" s="4" t="s">
        <v>83</v>
      </c>
      <c r="I343" s="4" t="s">
        <v>42</v>
      </c>
      <c r="J343" s="4">
        <v>320</v>
      </c>
      <c r="K343" t="str">
        <f>TEXT(TIMEVALUE(H343)-TIMEVALUE(I342)+(TIMEVALUE(H343)&lt;TIMEVALUE(I342)),"[h]:mm")</f>
        <v>0:40</v>
      </c>
      <c r="L343" s="4" t="s">
        <v>55</v>
      </c>
      <c r="O343" t="str">
        <f>"LIM-"&amp;G342&amp;"-LIM   LA "&amp;E342&amp;" ("&amp;LEFT(H342,5)&amp;"-"&amp;LEFT(I342,5)&amp;" hrs)  /  LA "&amp;E343&amp;" ("&amp;LEFT(H343,5)&amp;"-"&amp;LEFT(I343,5)&amp;" hrs)"</f>
        <v>LIM-CJA-LIM   LA 2295 (14:10-15:30 hrs)  /  LA 2294 (16:10-17:15 hrs)</v>
      </c>
    </row>
    <row r="344" spans="2:24" x14ac:dyDescent="0.25">
      <c r="J344" s="7" t="s">
        <v>43</v>
      </c>
      <c r="K344" s="8" t="str">
        <f>TEXT(TIMEVALUE(I343)-TIMEVALUE(H340)+(I343&lt;H340),"[h]:mm")</f>
        <v>8:00</v>
      </c>
    </row>
    <row r="346" spans="2:24" ht="30" x14ac:dyDescent="0.25">
      <c r="B346" s="3" t="s">
        <v>9</v>
      </c>
      <c r="C346" s="3" t="s">
        <v>17</v>
      </c>
      <c r="D346" s="3" t="s">
        <v>18</v>
      </c>
      <c r="E346" s="3" t="s">
        <v>19</v>
      </c>
      <c r="F346" s="3" t="s">
        <v>20</v>
      </c>
      <c r="G346" s="3" t="s">
        <v>21</v>
      </c>
      <c r="H346" s="3" t="s">
        <v>22</v>
      </c>
      <c r="I346" s="3" t="s">
        <v>23</v>
      </c>
      <c r="J346" s="3" t="s">
        <v>24</v>
      </c>
      <c r="K346" s="3" t="s">
        <v>25</v>
      </c>
      <c r="L346" s="3" t="s">
        <v>26</v>
      </c>
    </row>
    <row r="347" spans="2:24" ht="30" x14ac:dyDescent="0.25">
      <c r="B347" s="4">
        <v>444</v>
      </c>
      <c r="C347" s="4" t="s">
        <v>137</v>
      </c>
      <c r="D347" s="4" t="s">
        <v>138</v>
      </c>
      <c r="E347" s="4">
        <v>2075</v>
      </c>
      <c r="F347" s="4" t="s">
        <v>29</v>
      </c>
      <c r="G347" s="4" t="s">
        <v>30</v>
      </c>
      <c r="H347" s="4" t="s">
        <v>97</v>
      </c>
      <c r="I347" s="4" t="s">
        <v>98</v>
      </c>
      <c r="J347" s="4">
        <v>319</v>
      </c>
      <c r="L347" s="4" t="s">
        <v>33</v>
      </c>
      <c r="M347" s="5"/>
      <c r="O347" s="5"/>
      <c r="Q347" s="4">
        <f>B347</f>
        <v>444</v>
      </c>
      <c r="R347" s="4" t="str">
        <f>C347</f>
        <v>05/10/2026</v>
      </c>
      <c r="S347" s="4" t="str">
        <f>D347</f>
        <v>lunes</v>
      </c>
      <c r="T347" s="4" t="str">
        <f>E347&amp;"/"&amp;E348</f>
        <v>2075/2076</v>
      </c>
      <c r="U347" s="4" t="str">
        <f>F347&amp;"-"&amp;G347&amp;"-"&amp;F347</f>
        <v>LIM-CUZ-LIM</v>
      </c>
      <c r="V347" s="4" t="str">
        <f>IF($M$347="","",$M$347)</f>
        <v/>
      </c>
      <c r="W347" s="4" t="str">
        <f>IF($O$347="","",$O$347)</f>
        <v/>
      </c>
      <c r="X347" s="4">
        <f>J347</f>
        <v>319</v>
      </c>
    </row>
    <row r="348" spans="2:24" ht="30" x14ac:dyDescent="0.25">
      <c r="B348" s="4">
        <v>444</v>
      </c>
      <c r="C348" s="4" t="s">
        <v>137</v>
      </c>
      <c r="D348" s="4" t="s">
        <v>138</v>
      </c>
      <c r="E348" s="4">
        <v>2076</v>
      </c>
      <c r="F348" s="4" t="s">
        <v>30</v>
      </c>
      <c r="G348" s="4" t="s">
        <v>29</v>
      </c>
      <c r="H348" s="4" t="s">
        <v>48</v>
      </c>
      <c r="I348" s="4" t="s">
        <v>49</v>
      </c>
      <c r="J348" s="4">
        <v>319</v>
      </c>
      <c r="K348" t="str">
        <f>TEXT(TIMEVALUE(H348)-TIMEVALUE(I347)+(TIMEVALUE(H348)&lt;TIMEVALUE(I347)),"[h]:mm")</f>
        <v>0:35</v>
      </c>
      <c r="L348" s="4" t="s">
        <v>36</v>
      </c>
      <c r="O348" t="str">
        <f>"LIM-"&amp;G347&amp;"-LIM   LA "&amp;E347&amp;" ("&amp;LEFT(H347,5)&amp;"-"&amp;LEFT(I347,5)&amp;" hrs)  /  LA "&amp;E348&amp;" ("&amp;LEFT(H348,5)&amp;"-"&amp;LEFT(I348,5)&amp;" hrs)"</f>
        <v>LIM-CUZ-LIM   LA 2075 (10:50-12:10 hrs)  /  LA 2076 (12:45-14:20 hrs)</v>
      </c>
    </row>
    <row r="349" spans="2:24" ht="30" x14ac:dyDescent="0.25">
      <c r="B349" s="4">
        <v>470</v>
      </c>
      <c r="C349" s="4" t="s">
        <v>137</v>
      </c>
      <c r="D349" s="4" t="s">
        <v>138</v>
      </c>
      <c r="E349" s="4">
        <v>2297</v>
      </c>
      <c r="F349" s="4" t="s">
        <v>29</v>
      </c>
      <c r="G349" s="4" t="s">
        <v>50</v>
      </c>
      <c r="H349" s="4" t="s">
        <v>51</v>
      </c>
      <c r="I349" s="4" t="s">
        <v>52</v>
      </c>
      <c r="J349" s="4">
        <v>319</v>
      </c>
      <c r="K349" s="6" t="str">
        <f>TEXT(TIMEVALUE(H349)-TIMEVALUE(I348)+(TIMEVALUE(H349)&lt;TIMEVALUE(I348)),"[h]:mm")</f>
        <v>0:55</v>
      </c>
      <c r="L349" s="4" t="s">
        <v>33</v>
      </c>
      <c r="M349" t="str">
        <f>IF($M$347="","",$M$347)</f>
        <v/>
      </c>
      <c r="O349" t="str">
        <f>IF($O$347="","",$O$347)</f>
        <v/>
      </c>
      <c r="Q349" s="4">
        <f>B349</f>
        <v>470</v>
      </c>
      <c r="R349" s="4" t="str">
        <f>C349</f>
        <v>05/10/2026</v>
      </c>
      <c r="S349" s="4" t="str">
        <f>D349</f>
        <v>lunes</v>
      </c>
      <c r="T349" s="4" t="str">
        <f>E349&amp;"/"&amp;E350</f>
        <v>2297/2296</v>
      </c>
      <c r="U349" s="4" t="str">
        <f>F349&amp;"-"&amp;G349&amp;"-"&amp;F349</f>
        <v>LIM-CJA-LIM</v>
      </c>
      <c r="V349" s="4" t="str">
        <f>IF($M$347="","",$M$347)</f>
        <v/>
      </c>
      <c r="W349" s="4" t="str">
        <f>IF($O$347="","",$O$347)</f>
        <v/>
      </c>
      <c r="X349" s="4">
        <f>J349</f>
        <v>319</v>
      </c>
    </row>
    <row r="350" spans="2:24" ht="30" x14ac:dyDescent="0.25">
      <c r="B350" s="4">
        <v>470</v>
      </c>
      <c r="C350" s="4" t="s">
        <v>137</v>
      </c>
      <c r="D350" s="4" t="s">
        <v>138</v>
      </c>
      <c r="E350" s="4">
        <v>2296</v>
      </c>
      <c r="F350" s="4" t="s">
        <v>50</v>
      </c>
      <c r="G350" s="4" t="s">
        <v>29</v>
      </c>
      <c r="H350" s="4" t="s">
        <v>53</v>
      </c>
      <c r="I350" s="4" t="s">
        <v>54</v>
      </c>
      <c r="J350" s="4">
        <v>319</v>
      </c>
      <c r="K350" t="str">
        <f>TEXT(TIMEVALUE(H350)-TIMEVALUE(I349)+(TIMEVALUE(H350)&lt;TIMEVALUE(I349)),"[h]:mm")</f>
        <v>0:45</v>
      </c>
      <c r="L350" s="4" t="s">
        <v>55</v>
      </c>
      <c r="O350" t="str">
        <f>"LIM-"&amp;G349&amp;"-LIM   LA "&amp;E349&amp;" ("&amp;LEFT(H349,5)&amp;"-"&amp;LEFT(I349,5)&amp;" hrs)  /  LA "&amp;E350&amp;" ("&amp;LEFT(H350,5)&amp;"-"&amp;LEFT(I350,5)&amp;" hrs)"</f>
        <v>LIM-CJA-LIM   LA 2297 (15:15-16:35 hrs)  /  LA 2296 (17:20-18:25 hrs)</v>
      </c>
    </row>
    <row r="351" spans="2:24" x14ac:dyDescent="0.25">
      <c r="J351" s="7" t="s">
        <v>43</v>
      </c>
      <c r="K351" s="8" t="str">
        <f>TEXT(TIMEVALUE(I350)-TIMEVALUE(H347)+(I350&lt;H347),"[h]:mm")</f>
        <v>7:35</v>
      </c>
    </row>
    <row r="353" spans="2:24" ht="30" x14ac:dyDescent="0.25">
      <c r="B353" s="3" t="s">
        <v>9</v>
      </c>
      <c r="C353" s="3" t="s">
        <v>17</v>
      </c>
      <c r="D353" s="3" t="s">
        <v>18</v>
      </c>
      <c r="E353" s="3" t="s">
        <v>19</v>
      </c>
      <c r="F353" s="3" t="s">
        <v>20</v>
      </c>
      <c r="G353" s="3" t="s">
        <v>21</v>
      </c>
      <c r="H353" s="3" t="s">
        <v>22</v>
      </c>
      <c r="I353" s="3" t="s">
        <v>23</v>
      </c>
      <c r="J353" s="3" t="s">
        <v>24</v>
      </c>
      <c r="K353" s="3" t="s">
        <v>25</v>
      </c>
      <c r="L353" s="3" t="s">
        <v>26</v>
      </c>
    </row>
    <row r="354" spans="2:24" ht="30" x14ac:dyDescent="0.25">
      <c r="B354" s="4">
        <v>446</v>
      </c>
      <c r="C354" s="4" t="s">
        <v>137</v>
      </c>
      <c r="D354" s="4" t="s">
        <v>138</v>
      </c>
      <c r="E354" s="4">
        <v>2057</v>
      </c>
      <c r="F354" s="4" t="s">
        <v>29</v>
      </c>
      <c r="G354" s="4" t="s">
        <v>30</v>
      </c>
      <c r="H354" s="4" t="s">
        <v>143</v>
      </c>
      <c r="I354" s="4" t="s">
        <v>123</v>
      </c>
      <c r="J354" s="4">
        <v>320</v>
      </c>
      <c r="L354" s="4" t="s">
        <v>33</v>
      </c>
      <c r="M354" s="5"/>
      <c r="O354" s="5"/>
      <c r="Q354" s="4">
        <f>B354</f>
        <v>446</v>
      </c>
      <c r="R354" s="4" t="str">
        <f>C354</f>
        <v>05/10/2026</v>
      </c>
      <c r="S354" s="4" t="str">
        <f>D354</f>
        <v>lunes</v>
      </c>
      <c r="T354" s="4" t="str">
        <f>E354&amp;"/"&amp;E355</f>
        <v>2057/2058</v>
      </c>
      <c r="U354" s="4" t="str">
        <f>F354&amp;"-"&amp;G354&amp;"-"&amp;F354</f>
        <v>LIM-CUZ-LIM</v>
      </c>
      <c r="V354" s="4" t="str">
        <f>IF($M$354="","",$M$354)</f>
        <v/>
      </c>
      <c r="W354" s="4" t="str">
        <f>IF($O$354="","",$O$354)</f>
        <v/>
      </c>
      <c r="X354" s="4">
        <f>J354</f>
        <v>320</v>
      </c>
    </row>
    <row r="355" spans="2:24" ht="30" x14ac:dyDescent="0.25">
      <c r="B355" s="4">
        <v>446</v>
      </c>
      <c r="C355" s="4" t="s">
        <v>137</v>
      </c>
      <c r="D355" s="4" t="s">
        <v>138</v>
      </c>
      <c r="E355" s="4">
        <v>2058</v>
      </c>
      <c r="F355" s="4" t="s">
        <v>30</v>
      </c>
      <c r="G355" s="4" t="s">
        <v>29</v>
      </c>
      <c r="H355" s="4" t="s">
        <v>104</v>
      </c>
      <c r="I355" s="4" t="s">
        <v>75</v>
      </c>
      <c r="J355" s="4">
        <v>320</v>
      </c>
      <c r="K355" t="str">
        <f>TEXT(TIMEVALUE(H355)-TIMEVALUE(I354)+(TIMEVALUE(H355)&lt;TIMEVALUE(I354)),"[h]:mm")</f>
        <v>0:35</v>
      </c>
      <c r="L355" s="4" t="s">
        <v>36</v>
      </c>
      <c r="O355" t="str">
        <f>"LIM-"&amp;G354&amp;"-LIM   LA "&amp;E354&amp;" ("&amp;LEFT(H354,5)&amp;"-"&amp;LEFT(I354,5)&amp;" hrs)  /  LA "&amp;E355&amp;" ("&amp;LEFT(H355,5)&amp;"-"&amp;LEFT(I355,5)&amp;" hrs)"</f>
        <v>LIM-CUZ-LIM   LA 2057 (11:15-12:35 hrs)  /  LA 2058 (13:10-14:45 hrs)</v>
      </c>
    </row>
    <row r="356" spans="2:24" ht="30" x14ac:dyDescent="0.25">
      <c r="B356" s="4">
        <v>475</v>
      </c>
      <c r="C356" s="4" t="s">
        <v>137</v>
      </c>
      <c r="D356" s="4" t="s">
        <v>138</v>
      </c>
      <c r="E356" s="4">
        <v>2127</v>
      </c>
      <c r="F356" s="4" t="s">
        <v>29</v>
      </c>
      <c r="G356" s="4" t="s">
        <v>30</v>
      </c>
      <c r="H356" s="4" t="s">
        <v>83</v>
      </c>
      <c r="I356" s="4" t="s">
        <v>100</v>
      </c>
      <c r="J356" s="4">
        <v>319</v>
      </c>
      <c r="K356" s="6" t="str">
        <f>TEXT(TIMEVALUE(H356)-TIMEVALUE(I355)+(TIMEVALUE(H356)&lt;TIMEVALUE(I355)),"[h]:mm")</f>
        <v>1:25</v>
      </c>
      <c r="L356" s="4" t="s">
        <v>33</v>
      </c>
      <c r="M356" t="str">
        <f>IF($M$354="","",$M$354)</f>
        <v/>
      </c>
      <c r="O356" t="str">
        <f>IF($O$354="","",$O$354)</f>
        <v/>
      </c>
      <c r="Q356" s="4">
        <f>B356</f>
        <v>475</v>
      </c>
      <c r="R356" s="4" t="str">
        <f>C356</f>
        <v>05/10/2026</v>
      </c>
      <c r="S356" s="4" t="str">
        <f>D356</f>
        <v>lunes</v>
      </c>
      <c r="T356" s="4" t="str">
        <f>E356&amp;"/"&amp;E357</f>
        <v>2127/2026</v>
      </c>
      <c r="U356" s="4" t="str">
        <f>F356&amp;"-"&amp;G356&amp;"-"&amp;F356</f>
        <v>LIM-CUZ-LIM</v>
      </c>
      <c r="V356" s="4" t="str">
        <f>IF($M$354="","",$M$354)</f>
        <v/>
      </c>
      <c r="W356" s="4" t="str">
        <f>IF($O$354="","",$O$354)</f>
        <v/>
      </c>
      <c r="X356" s="4">
        <f>J356</f>
        <v>319</v>
      </c>
    </row>
    <row r="357" spans="2:24" ht="30" x14ac:dyDescent="0.25">
      <c r="B357" s="4">
        <v>475</v>
      </c>
      <c r="C357" s="4" t="s">
        <v>137</v>
      </c>
      <c r="D357" s="4" t="s">
        <v>138</v>
      </c>
      <c r="E357" s="4">
        <v>2026</v>
      </c>
      <c r="F357" s="4" t="s">
        <v>30</v>
      </c>
      <c r="G357" s="4" t="s">
        <v>29</v>
      </c>
      <c r="H357" s="4" t="s">
        <v>101</v>
      </c>
      <c r="I357" s="4" t="s">
        <v>102</v>
      </c>
      <c r="J357" s="4">
        <v>319</v>
      </c>
      <c r="K357" t="str">
        <f>TEXT(TIMEVALUE(H357)-TIMEVALUE(I356)+(TIMEVALUE(H357)&lt;TIMEVALUE(I356)),"[h]:mm")</f>
        <v>0:40</v>
      </c>
      <c r="L357" s="4" t="s">
        <v>71</v>
      </c>
      <c r="O357" t="str">
        <f>"LIM-"&amp;G356&amp;"-LIM   LA "&amp;E356&amp;" ("&amp;LEFT(H356,5)&amp;"-"&amp;LEFT(I356,5)&amp;" hrs)  /  LA "&amp;E357&amp;" ("&amp;LEFT(H357,5)&amp;"-"&amp;LEFT(I357,5)&amp;" hrs)"</f>
        <v>LIM-CUZ-LIM   LA 2127 (16:10-17:30 hrs)  /  LA 2026 (18:10-19:50 hrs)</v>
      </c>
    </row>
    <row r="358" spans="2:24" x14ac:dyDescent="0.25">
      <c r="J358" s="7" t="s">
        <v>43</v>
      </c>
      <c r="K358" s="8" t="str">
        <f>TEXT(TIMEVALUE(I357)-TIMEVALUE(H354)+(I357&lt;H354),"[h]:mm")</f>
        <v>8:35</v>
      </c>
    </row>
    <row r="360" spans="2:24" ht="30" x14ac:dyDescent="0.25">
      <c r="B360" s="3" t="s">
        <v>9</v>
      </c>
      <c r="C360" s="3" t="s">
        <v>17</v>
      </c>
      <c r="D360" s="3" t="s">
        <v>18</v>
      </c>
      <c r="E360" s="3" t="s">
        <v>19</v>
      </c>
      <c r="F360" s="3" t="s">
        <v>20</v>
      </c>
      <c r="G360" s="3" t="s">
        <v>21</v>
      </c>
      <c r="H360" s="3" t="s">
        <v>22</v>
      </c>
      <c r="I360" s="3" t="s">
        <v>23</v>
      </c>
      <c r="J360" s="3" t="s">
        <v>24</v>
      </c>
      <c r="K360" s="3" t="s">
        <v>25</v>
      </c>
      <c r="L360" s="3" t="s">
        <v>26</v>
      </c>
    </row>
    <row r="361" spans="2:24" ht="30" x14ac:dyDescent="0.25">
      <c r="B361" s="4">
        <v>448</v>
      </c>
      <c r="C361" s="4" t="s">
        <v>137</v>
      </c>
      <c r="D361" s="4" t="s">
        <v>138</v>
      </c>
      <c r="E361" s="4">
        <v>2019</v>
      </c>
      <c r="F361" s="4" t="s">
        <v>29</v>
      </c>
      <c r="G361" s="4" t="s">
        <v>63</v>
      </c>
      <c r="H361" s="4" t="s">
        <v>64</v>
      </c>
      <c r="I361" s="4" t="s">
        <v>65</v>
      </c>
      <c r="J361" s="4">
        <v>320</v>
      </c>
      <c r="L361" s="4" t="s">
        <v>66</v>
      </c>
      <c r="M361" s="5"/>
      <c r="O361" s="5"/>
      <c r="Q361" s="4">
        <f>B361</f>
        <v>448</v>
      </c>
      <c r="R361" s="4" t="str">
        <f>C361</f>
        <v>05/10/2026</v>
      </c>
      <c r="S361" s="4" t="str">
        <f>D361</f>
        <v>lunes</v>
      </c>
      <c r="T361" s="4" t="str">
        <f>E361&amp;"/"&amp;E362</f>
        <v>2019/2038</v>
      </c>
      <c r="U361" s="4" t="str">
        <f>F361&amp;"-"&amp;G361&amp;"-"&amp;F361</f>
        <v>LIM-IQT-LIM</v>
      </c>
      <c r="V361" s="4" t="str">
        <f>IF($M$361="","",$M$361)</f>
        <v/>
      </c>
      <c r="W361" s="4" t="str">
        <f>IF($O$361="","",$O$361)</f>
        <v/>
      </c>
      <c r="X361" s="4">
        <f>J361</f>
        <v>320</v>
      </c>
    </row>
    <row r="362" spans="2:24" ht="30" x14ac:dyDescent="0.25">
      <c r="B362" s="4">
        <v>448</v>
      </c>
      <c r="C362" s="4" t="s">
        <v>137</v>
      </c>
      <c r="D362" s="4" t="s">
        <v>138</v>
      </c>
      <c r="E362" s="4">
        <v>2038</v>
      </c>
      <c r="F362" s="4" t="s">
        <v>63</v>
      </c>
      <c r="G362" s="4" t="s">
        <v>29</v>
      </c>
      <c r="H362" s="4" t="s">
        <v>67</v>
      </c>
      <c r="I362" s="4" t="s">
        <v>41</v>
      </c>
      <c r="J362" s="4">
        <v>320</v>
      </c>
      <c r="K362" t="str">
        <f>TEXT(TIMEVALUE(H362)-TIMEVALUE(I361)+(TIMEVALUE(H362)&lt;TIMEVALUE(I361)),"[h]:mm")</f>
        <v>0:40</v>
      </c>
      <c r="L362" s="4" t="s">
        <v>66</v>
      </c>
      <c r="O362" t="str">
        <f>"LIM-"&amp;G361&amp;"-LIM   LA "&amp;E361&amp;" ("&amp;LEFT(H361,5)&amp;"-"&amp;LEFT(I361,5)&amp;" hrs)  /  LA "&amp;E362&amp;" ("&amp;LEFT(H362,5)&amp;"-"&amp;LEFT(I362,5)&amp;" hrs)"</f>
        <v>LIM-IQT-LIM   LA 2019 (11:35-13:25 hrs)  /  LA 2038 (14:05-15:55 hrs)</v>
      </c>
    </row>
    <row r="363" spans="2:24" x14ac:dyDescent="0.25">
      <c r="J363" s="7" t="s">
        <v>43</v>
      </c>
      <c r="K363" s="8" t="str">
        <f>TEXT(TIMEVALUE(I362)-TIMEVALUE(H361)+(I362&lt;H361),"[h]:mm")</f>
        <v>4:20</v>
      </c>
    </row>
    <row r="365" spans="2:24" ht="30" x14ac:dyDescent="0.25">
      <c r="B365" s="3" t="s">
        <v>9</v>
      </c>
      <c r="C365" s="3" t="s">
        <v>17</v>
      </c>
      <c r="D365" s="3" t="s">
        <v>18</v>
      </c>
      <c r="E365" s="3" t="s">
        <v>19</v>
      </c>
      <c r="F365" s="3" t="s">
        <v>20</v>
      </c>
      <c r="G365" s="3" t="s">
        <v>21</v>
      </c>
      <c r="H365" s="3" t="s">
        <v>22</v>
      </c>
      <c r="I365" s="3" t="s">
        <v>23</v>
      </c>
      <c r="J365" s="3" t="s">
        <v>24</v>
      </c>
      <c r="K365" s="3" t="s">
        <v>25</v>
      </c>
      <c r="L365" s="3" t="s">
        <v>26</v>
      </c>
    </row>
    <row r="366" spans="2:24" ht="30" x14ac:dyDescent="0.25">
      <c r="B366" s="4">
        <v>452</v>
      </c>
      <c r="C366" s="4" t="s">
        <v>137</v>
      </c>
      <c r="D366" s="4" t="s">
        <v>138</v>
      </c>
      <c r="E366" s="4">
        <v>2316</v>
      </c>
      <c r="F366" s="4" t="s">
        <v>29</v>
      </c>
      <c r="G366" s="4" t="s">
        <v>125</v>
      </c>
      <c r="H366" s="4" t="s">
        <v>103</v>
      </c>
      <c r="I366" s="4" t="s">
        <v>65</v>
      </c>
      <c r="J366" s="4">
        <v>320</v>
      </c>
      <c r="L366" s="4" t="s">
        <v>47</v>
      </c>
      <c r="M366" s="5"/>
      <c r="O366" s="5"/>
      <c r="Q366" s="4">
        <f>B366</f>
        <v>452</v>
      </c>
      <c r="R366" s="4" t="str">
        <f>C366</f>
        <v>05/10/2026</v>
      </c>
      <c r="S366" s="4" t="str">
        <f>D366</f>
        <v>lunes</v>
      </c>
      <c r="T366" s="4" t="str">
        <f>E366&amp;"/"&amp;E367</f>
        <v>2316/2317</v>
      </c>
      <c r="U366" s="4" t="str">
        <f>F366&amp;"-"&amp;G366&amp;"-"&amp;F366</f>
        <v>LIM-PIU-LIM</v>
      </c>
      <c r="V366" s="4" t="str">
        <f>IF($M$366="","",$M$366)</f>
        <v/>
      </c>
      <c r="W366" s="4" t="str">
        <f>IF($O$366="","",$O$366)</f>
        <v/>
      </c>
      <c r="X366" s="4">
        <f>J366</f>
        <v>320</v>
      </c>
    </row>
    <row r="367" spans="2:24" ht="30" x14ac:dyDescent="0.25">
      <c r="B367" s="4">
        <v>452</v>
      </c>
      <c r="C367" s="4" t="s">
        <v>137</v>
      </c>
      <c r="D367" s="4" t="s">
        <v>138</v>
      </c>
      <c r="E367" s="4">
        <v>2317</v>
      </c>
      <c r="F367" s="4" t="s">
        <v>125</v>
      </c>
      <c r="G367" s="4" t="s">
        <v>29</v>
      </c>
      <c r="H367" s="4" t="s">
        <v>67</v>
      </c>
      <c r="I367" s="4" t="s">
        <v>92</v>
      </c>
      <c r="J367" s="4">
        <v>320</v>
      </c>
      <c r="K367" t="str">
        <f>TEXT(TIMEVALUE(H367)-TIMEVALUE(I366)+(TIMEVALUE(H367)&lt;TIMEVALUE(I366)),"[h]:mm")</f>
        <v>0:40</v>
      </c>
      <c r="L367" s="4" t="s">
        <v>36</v>
      </c>
      <c r="O367" t="str">
        <f>"LIM-"&amp;G366&amp;"-LIM   LA "&amp;E366&amp;" ("&amp;LEFT(H366,5)&amp;"-"&amp;LEFT(I366,5)&amp;" hrs)  /  LA "&amp;E367&amp;" ("&amp;LEFT(H367,5)&amp;"-"&amp;LEFT(I367,5)&amp;" hrs)"</f>
        <v>LIM-PIU-LIM   LA 2316 (11:40-13:25 hrs)  /  LA 2317 (14:05-15:40 hrs)</v>
      </c>
    </row>
    <row r="368" spans="2:24" x14ac:dyDescent="0.25">
      <c r="J368" s="7" t="s">
        <v>43</v>
      </c>
      <c r="K368" s="8" t="str">
        <f>TEXT(TIMEVALUE(I367)-TIMEVALUE(H366)+(I367&lt;H366),"[h]:mm")</f>
        <v>4:00</v>
      </c>
    </row>
    <row r="370" spans="2:24" ht="30" x14ac:dyDescent="0.25">
      <c r="B370" s="3" t="s">
        <v>9</v>
      </c>
      <c r="C370" s="3" t="s">
        <v>17</v>
      </c>
      <c r="D370" s="3" t="s">
        <v>18</v>
      </c>
      <c r="E370" s="3" t="s">
        <v>19</v>
      </c>
      <c r="F370" s="3" t="s">
        <v>20</v>
      </c>
      <c r="G370" s="3" t="s">
        <v>21</v>
      </c>
      <c r="H370" s="3" t="s">
        <v>22</v>
      </c>
      <c r="I370" s="3" t="s">
        <v>23</v>
      </c>
      <c r="J370" s="3" t="s">
        <v>24</v>
      </c>
      <c r="K370" s="3" t="s">
        <v>25</v>
      </c>
      <c r="L370" s="3" t="s">
        <v>26</v>
      </c>
    </row>
    <row r="371" spans="2:24" ht="30" x14ac:dyDescent="0.25">
      <c r="B371" s="4">
        <v>450</v>
      </c>
      <c r="C371" s="4" t="s">
        <v>137</v>
      </c>
      <c r="D371" s="4" t="s">
        <v>138</v>
      </c>
      <c r="E371" s="4">
        <v>2061</v>
      </c>
      <c r="F371" s="4" t="s">
        <v>29</v>
      </c>
      <c r="G371" s="4" t="s">
        <v>30</v>
      </c>
      <c r="H371" s="4" t="s">
        <v>103</v>
      </c>
      <c r="I371" s="4" t="s">
        <v>120</v>
      </c>
      <c r="J371" s="4">
        <v>320</v>
      </c>
      <c r="L371" s="4" t="s">
        <v>33</v>
      </c>
      <c r="M371" s="5"/>
      <c r="O371" s="5"/>
      <c r="Q371" s="4">
        <f>B371</f>
        <v>450</v>
      </c>
      <c r="R371" s="4" t="str">
        <f>C371</f>
        <v>05/10/2026</v>
      </c>
      <c r="S371" s="4" t="str">
        <f>D371</f>
        <v>lunes</v>
      </c>
      <c r="T371" s="4" t="str">
        <f>E371&amp;"/"&amp;E372</f>
        <v>2061/2062</v>
      </c>
      <c r="U371" s="4" t="str">
        <f>F371&amp;"-"&amp;G371&amp;"-"&amp;F371</f>
        <v>LIM-CUZ-LIM</v>
      </c>
      <c r="V371" s="4" t="str">
        <f>IF($M$371="","",$M$371)</f>
        <v/>
      </c>
      <c r="W371" s="4" t="str">
        <f>IF($O$371="","",$O$371)</f>
        <v/>
      </c>
      <c r="X371" s="4">
        <f>J371</f>
        <v>320</v>
      </c>
    </row>
    <row r="372" spans="2:24" ht="30" x14ac:dyDescent="0.25">
      <c r="B372" s="4">
        <v>450</v>
      </c>
      <c r="C372" s="4" t="s">
        <v>137</v>
      </c>
      <c r="D372" s="4" t="s">
        <v>138</v>
      </c>
      <c r="E372" s="4">
        <v>2062</v>
      </c>
      <c r="F372" s="4" t="s">
        <v>30</v>
      </c>
      <c r="G372" s="4" t="s">
        <v>29</v>
      </c>
      <c r="H372" s="4" t="s">
        <v>72</v>
      </c>
      <c r="I372" s="4" t="s">
        <v>51</v>
      </c>
      <c r="J372" s="4">
        <v>320</v>
      </c>
      <c r="K372" t="str">
        <f>TEXT(TIMEVALUE(H372)-TIMEVALUE(I371)+(TIMEVALUE(H372)&lt;TIMEVALUE(I371)),"[h]:mm")</f>
        <v>0:40</v>
      </c>
      <c r="L372" s="4" t="s">
        <v>36</v>
      </c>
      <c r="O372" t="str">
        <f>"LIM-"&amp;G371&amp;"-LIM   LA "&amp;E371&amp;" ("&amp;LEFT(H371,5)&amp;"-"&amp;LEFT(I371,5)&amp;" hrs)  /  LA "&amp;E372&amp;" ("&amp;LEFT(H372,5)&amp;"-"&amp;LEFT(I372,5)&amp;" hrs)"</f>
        <v>LIM-CUZ-LIM   LA 2061 (11:40-13:00 hrs)  /  LA 2062 (13:40-15:15 hrs)</v>
      </c>
    </row>
    <row r="373" spans="2:24" x14ac:dyDescent="0.25">
      <c r="J373" s="7" t="s">
        <v>43</v>
      </c>
      <c r="K373" s="8" t="str">
        <f>TEXT(TIMEVALUE(I372)-TIMEVALUE(H371)+(I372&lt;H371),"[h]:mm")</f>
        <v>3:35</v>
      </c>
    </row>
    <row r="375" spans="2:24" ht="30" x14ac:dyDescent="0.25">
      <c r="B375" s="3" t="s">
        <v>9</v>
      </c>
      <c r="C375" s="3" t="s">
        <v>17</v>
      </c>
      <c r="D375" s="3" t="s">
        <v>18</v>
      </c>
      <c r="E375" s="3" t="s">
        <v>19</v>
      </c>
      <c r="F375" s="3" t="s">
        <v>20</v>
      </c>
      <c r="G375" s="3" t="s">
        <v>21</v>
      </c>
      <c r="H375" s="3" t="s">
        <v>22</v>
      </c>
      <c r="I375" s="3" t="s">
        <v>23</v>
      </c>
      <c r="J375" s="3" t="s">
        <v>24</v>
      </c>
      <c r="K375" s="3" t="s">
        <v>25</v>
      </c>
      <c r="L375" s="3" t="s">
        <v>26</v>
      </c>
    </row>
    <row r="376" spans="2:24" ht="30" x14ac:dyDescent="0.25">
      <c r="B376" s="4">
        <v>451</v>
      </c>
      <c r="C376" s="4" t="s">
        <v>137</v>
      </c>
      <c r="D376" s="4" t="s">
        <v>138</v>
      </c>
      <c r="E376" s="4">
        <v>2111</v>
      </c>
      <c r="F376" s="4" t="s">
        <v>29</v>
      </c>
      <c r="G376" s="4" t="s">
        <v>56</v>
      </c>
      <c r="H376" s="4" t="s">
        <v>103</v>
      </c>
      <c r="I376" s="4" t="s">
        <v>104</v>
      </c>
      <c r="J376" s="4">
        <v>320</v>
      </c>
      <c r="L376" s="4" t="s">
        <v>40</v>
      </c>
      <c r="M376" s="5"/>
      <c r="O376" s="5"/>
      <c r="Q376" s="4">
        <f>B376</f>
        <v>451</v>
      </c>
      <c r="R376" s="4" t="str">
        <f>C376</f>
        <v>05/10/2026</v>
      </c>
      <c r="S376" s="4" t="str">
        <f>D376</f>
        <v>lunes</v>
      </c>
      <c r="T376" s="4" t="str">
        <f>E376&amp;"/"&amp;E377</f>
        <v>2111/2110</v>
      </c>
      <c r="U376" s="4" t="str">
        <f>F376&amp;"-"&amp;G376&amp;"-"&amp;F376</f>
        <v>LIM-AQP-LIM</v>
      </c>
      <c r="V376" s="4" t="str">
        <f>IF($M$376="","",$M$376)</f>
        <v/>
      </c>
      <c r="W376" s="4" t="str">
        <f>IF($O$376="","",$O$376)</f>
        <v/>
      </c>
      <c r="X376" s="4">
        <f>J376</f>
        <v>320</v>
      </c>
    </row>
    <row r="377" spans="2:24" ht="30" x14ac:dyDescent="0.25">
      <c r="B377" s="4">
        <v>451</v>
      </c>
      <c r="C377" s="4" t="s">
        <v>137</v>
      </c>
      <c r="D377" s="4" t="s">
        <v>138</v>
      </c>
      <c r="E377" s="4">
        <v>2110</v>
      </c>
      <c r="F377" s="4" t="s">
        <v>56</v>
      </c>
      <c r="G377" s="4" t="s">
        <v>29</v>
      </c>
      <c r="H377" s="4" t="s">
        <v>84</v>
      </c>
      <c r="I377" s="4" t="s">
        <v>105</v>
      </c>
      <c r="J377" s="4">
        <v>320</v>
      </c>
      <c r="K377" t="str">
        <f>TEXT(TIMEVALUE(H377)-TIMEVALUE(I376)+(TIMEVALUE(H377)&lt;TIMEVALUE(I376)),"[h]:mm")</f>
        <v>4:40</v>
      </c>
      <c r="L377" s="4" t="s">
        <v>71</v>
      </c>
      <c r="O377" t="str">
        <f>"LIM-"&amp;G376&amp;"-LIM   LA "&amp;E376&amp;" ("&amp;LEFT(H376,5)&amp;"-"&amp;LEFT(I376,5)&amp;" hrs)  /  LA "&amp;E377&amp;" ("&amp;LEFT(H377,5)&amp;"-"&amp;LEFT(I377,5)&amp;" hrs)"</f>
        <v>LIM-AQP-LIM   LA 2111 (11:40-13:10 hrs)  /  LA 2110 (17:50-19:30 hrs)</v>
      </c>
    </row>
    <row r="378" spans="2:24" x14ac:dyDescent="0.25">
      <c r="J378" s="7" t="s">
        <v>43</v>
      </c>
      <c r="K378" s="8" t="str">
        <f>TEXT(TIMEVALUE(I377)-TIMEVALUE(H376)+(I377&lt;H376),"[h]:mm")</f>
        <v>7:50</v>
      </c>
    </row>
    <row r="380" spans="2:24" ht="30" x14ac:dyDescent="0.25">
      <c r="B380" s="3" t="s">
        <v>9</v>
      </c>
      <c r="C380" s="3" t="s">
        <v>17</v>
      </c>
      <c r="D380" s="3" t="s">
        <v>18</v>
      </c>
      <c r="E380" s="3" t="s">
        <v>19</v>
      </c>
      <c r="F380" s="3" t="s">
        <v>20</v>
      </c>
      <c r="G380" s="3" t="s">
        <v>21</v>
      </c>
      <c r="H380" s="3" t="s">
        <v>22</v>
      </c>
      <c r="I380" s="3" t="s">
        <v>23</v>
      </c>
      <c r="J380" s="3" t="s">
        <v>24</v>
      </c>
      <c r="K380" s="3" t="s">
        <v>25</v>
      </c>
      <c r="L380" s="3" t="s">
        <v>26</v>
      </c>
    </row>
    <row r="381" spans="2:24" ht="30" x14ac:dyDescent="0.25">
      <c r="B381" s="4">
        <v>457</v>
      </c>
      <c r="C381" s="4" t="s">
        <v>137</v>
      </c>
      <c r="D381" s="4" t="s">
        <v>138</v>
      </c>
      <c r="E381" s="4">
        <v>2043</v>
      </c>
      <c r="F381" s="4" t="s">
        <v>29</v>
      </c>
      <c r="G381" s="4" t="s">
        <v>56</v>
      </c>
      <c r="H381" s="4" t="s">
        <v>48</v>
      </c>
      <c r="I381" s="4" t="s">
        <v>107</v>
      </c>
      <c r="J381" s="4">
        <v>320</v>
      </c>
      <c r="L381" s="4" t="s">
        <v>40</v>
      </c>
      <c r="M381" s="5"/>
      <c r="O381" s="5"/>
      <c r="Q381" s="4">
        <f>B381</f>
        <v>457</v>
      </c>
      <c r="R381" s="4" t="str">
        <f>C381</f>
        <v>05/10/2026</v>
      </c>
      <c r="S381" s="4" t="str">
        <f>D381</f>
        <v>lunes</v>
      </c>
      <c r="T381" s="4" t="str">
        <f>E381&amp;"/"&amp;E382</f>
        <v>2043/2044</v>
      </c>
      <c r="U381" s="4" t="str">
        <f>F381&amp;"-"&amp;G381&amp;"-"&amp;F381</f>
        <v>LIM-AQP-LIM</v>
      </c>
      <c r="V381" s="4" t="str">
        <f>IF($M$381="","",$M$381)</f>
        <v/>
      </c>
      <c r="W381" s="4" t="str">
        <f>IF($O$381="","",$O$381)</f>
        <v/>
      </c>
      <c r="X381" s="4">
        <f>J381</f>
        <v>320</v>
      </c>
    </row>
    <row r="382" spans="2:24" ht="30" x14ac:dyDescent="0.25">
      <c r="B382" s="4">
        <v>457</v>
      </c>
      <c r="C382" s="4" t="s">
        <v>137</v>
      </c>
      <c r="D382" s="4" t="s">
        <v>138</v>
      </c>
      <c r="E382" s="4">
        <v>2044</v>
      </c>
      <c r="F382" s="4" t="s">
        <v>56</v>
      </c>
      <c r="G382" s="4" t="s">
        <v>29</v>
      </c>
      <c r="H382" s="4" t="s">
        <v>109</v>
      </c>
      <c r="I382" s="4" t="s">
        <v>52</v>
      </c>
      <c r="J382" s="4">
        <v>320</v>
      </c>
      <c r="K382" t="str">
        <f>TEXT(TIMEVALUE(H382)-TIMEVALUE(I381)+(TIMEVALUE(H382)&lt;TIMEVALUE(I381)),"[h]:mm")</f>
        <v>0:45</v>
      </c>
      <c r="L382" s="4" t="s">
        <v>36</v>
      </c>
      <c r="O382" t="str">
        <f>"LIM-"&amp;G381&amp;"-LIM   LA "&amp;E381&amp;" ("&amp;LEFT(H381,5)&amp;"-"&amp;LEFT(I381,5)&amp;" hrs)  /  LA "&amp;E382&amp;" ("&amp;LEFT(H382,5)&amp;"-"&amp;LEFT(I382,5)&amp;" hrs)"</f>
        <v>LIM-AQP-LIM   LA 2043 (12:45-14:15 hrs)  /  LA 2044 (15:00-16:35 hrs)</v>
      </c>
    </row>
    <row r="383" spans="2:24" x14ac:dyDescent="0.25">
      <c r="J383" s="7" t="s">
        <v>43</v>
      </c>
      <c r="K383" s="8" t="str">
        <f>TEXT(TIMEVALUE(I382)-TIMEVALUE(H381)+(I382&lt;H381),"[h]:mm")</f>
        <v>3:50</v>
      </c>
    </row>
    <row r="385" spans="2:24" ht="30" x14ac:dyDescent="0.25">
      <c r="B385" s="3" t="s">
        <v>9</v>
      </c>
      <c r="C385" s="3" t="s">
        <v>17</v>
      </c>
      <c r="D385" s="3" t="s">
        <v>18</v>
      </c>
      <c r="E385" s="3" t="s">
        <v>19</v>
      </c>
      <c r="F385" s="3" t="s">
        <v>20</v>
      </c>
      <c r="G385" s="3" t="s">
        <v>21</v>
      </c>
      <c r="H385" s="3" t="s">
        <v>22</v>
      </c>
      <c r="I385" s="3" t="s">
        <v>23</v>
      </c>
      <c r="J385" s="3" t="s">
        <v>24</v>
      </c>
      <c r="K385" s="3" t="s">
        <v>25</v>
      </c>
      <c r="L385" s="3" t="s">
        <v>26</v>
      </c>
    </row>
    <row r="386" spans="2:24" ht="30" x14ac:dyDescent="0.25">
      <c r="B386" s="4">
        <v>458</v>
      </c>
      <c r="C386" s="4" t="s">
        <v>137</v>
      </c>
      <c r="D386" s="4" t="s">
        <v>138</v>
      </c>
      <c r="E386" s="4">
        <v>2308</v>
      </c>
      <c r="F386" s="4" t="s">
        <v>29</v>
      </c>
      <c r="G386" s="4" t="s">
        <v>125</v>
      </c>
      <c r="H386" s="4" t="s">
        <v>144</v>
      </c>
      <c r="I386" s="4" t="s">
        <v>145</v>
      </c>
      <c r="J386" s="4">
        <v>320</v>
      </c>
      <c r="L386" s="4" t="s">
        <v>47</v>
      </c>
      <c r="M386" s="5"/>
      <c r="O386" s="5"/>
      <c r="Q386" s="4">
        <f>B386</f>
        <v>458</v>
      </c>
      <c r="R386" s="4" t="str">
        <f>C386</f>
        <v>05/10/2026</v>
      </c>
      <c r="S386" s="4" t="str">
        <f>D386</f>
        <v>lunes</v>
      </c>
      <c r="T386" s="4" t="str">
        <f>E386&amp;"/"&amp;E387</f>
        <v>2308/2309</v>
      </c>
      <c r="U386" s="4" t="str">
        <f>F386&amp;"-"&amp;G386&amp;"-"&amp;F386</f>
        <v>LIM-PIU-LIM</v>
      </c>
      <c r="V386" s="4" t="str">
        <f>IF($M$386="","",$M$386)</f>
        <v/>
      </c>
      <c r="W386" s="4" t="str">
        <f>IF($O$386="","",$O$386)</f>
        <v/>
      </c>
      <c r="X386" s="4">
        <f>J386</f>
        <v>320</v>
      </c>
    </row>
    <row r="387" spans="2:24" ht="30" x14ac:dyDescent="0.25">
      <c r="B387" s="4">
        <v>458</v>
      </c>
      <c r="C387" s="4" t="s">
        <v>137</v>
      </c>
      <c r="D387" s="4" t="s">
        <v>138</v>
      </c>
      <c r="E387" s="4">
        <v>2309</v>
      </c>
      <c r="F387" s="4" t="s">
        <v>125</v>
      </c>
      <c r="G387" s="4" t="s">
        <v>29</v>
      </c>
      <c r="H387" s="4" t="s">
        <v>146</v>
      </c>
      <c r="I387" s="4" t="s">
        <v>60</v>
      </c>
      <c r="J387" s="4">
        <v>320</v>
      </c>
      <c r="K387" t="str">
        <f>TEXT(TIMEVALUE(H387)-TIMEVALUE(I386)+(TIMEVALUE(H387)&lt;TIMEVALUE(I386)),"[h]:mm")</f>
        <v>0:35</v>
      </c>
      <c r="L387" s="4" t="s">
        <v>40</v>
      </c>
      <c r="O387" t="str">
        <f>"LIM-"&amp;G386&amp;"-LIM   LA "&amp;E386&amp;" ("&amp;LEFT(H386,5)&amp;"-"&amp;LEFT(I386,5)&amp;" hrs)  /  LA "&amp;E387&amp;" ("&amp;LEFT(H387,5)&amp;"-"&amp;LEFT(I387,5)&amp;" hrs)"</f>
        <v>LIM-PIU-LIM   LA 2308 (12:50-14:35 hrs)  /  LA 2309 (15:10-16:40 hrs)</v>
      </c>
    </row>
    <row r="388" spans="2:24" x14ac:dyDescent="0.25">
      <c r="J388" s="7" t="s">
        <v>43</v>
      </c>
      <c r="K388" s="8" t="str">
        <f>TEXT(TIMEVALUE(I387)-TIMEVALUE(H386)+(I387&lt;H386),"[h]:mm")</f>
        <v>3:50</v>
      </c>
    </row>
    <row r="390" spans="2:24" ht="30" x14ac:dyDescent="0.25">
      <c r="B390" s="3" t="s">
        <v>9</v>
      </c>
      <c r="C390" s="3" t="s">
        <v>17</v>
      </c>
      <c r="D390" s="3" t="s">
        <v>18</v>
      </c>
      <c r="E390" s="3" t="s">
        <v>19</v>
      </c>
      <c r="F390" s="3" t="s">
        <v>20</v>
      </c>
      <c r="G390" s="3" t="s">
        <v>21</v>
      </c>
      <c r="H390" s="3" t="s">
        <v>22</v>
      </c>
      <c r="I390" s="3" t="s">
        <v>23</v>
      </c>
      <c r="J390" s="3" t="s">
        <v>24</v>
      </c>
      <c r="K390" s="3" t="s">
        <v>25</v>
      </c>
      <c r="L390" s="3" t="s">
        <v>26</v>
      </c>
    </row>
    <row r="391" spans="2:24" ht="30" x14ac:dyDescent="0.25">
      <c r="B391" s="4">
        <v>467</v>
      </c>
      <c r="C391" s="4" t="s">
        <v>137</v>
      </c>
      <c r="D391" s="4" t="s">
        <v>138</v>
      </c>
      <c r="E391" s="4">
        <v>2264</v>
      </c>
      <c r="F391" s="4" t="s">
        <v>29</v>
      </c>
      <c r="G391" s="4" t="s">
        <v>44</v>
      </c>
      <c r="H391" s="4" t="s">
        <v>87</v>
      </c>
      <c r="I391" s="4" t="s">
        <v>60</v>
      </c>
      <c r="J391" s="4">
        <v>320</v>
      </c>
      <c r="L391" s="4" t="s">
        <v>47</v>
      </c>
      <c r="M391" s="5"/>
      <c r="O391" s="5"/>
      <c r="Q391" s="4">
        <f>B391</f>
        <v>467</v>
      </c>
      <c r="R391" s="4" t="str">
        <f>C391</f>
        <v>05/10/2026</v>
      </c>
      <c r="S391" s="4" t="str">
        <f>D391</f>
        <v>lunes</v>
      </c>
      <c r="T391" s="4" t="str">
        <f>E391&amp;"/"&amp;E392</f>
        <v>2264/2265</v>
      </c>
      <c r="U391" s="4" t="str">
        <f>F391&amp;"-"&amp;G391&amp;"-"&amp;F391</f>
        <v>LIM-PEM-LIM</v>
      </c>
      <c r="V391" s="4" t="str">
        <f>IF($M$391="","",$M$391)</f>
        <v/>
      </c>
      <c r="W391" s="4" t="str">
        <f>IF($O$391="","",$O$391)</f>
        <v/>
      </c>
      <c r="X391" s="4">
        <f>J391</f>
        <v>320</v>
      </c>
    </row>
    <row r="392" spans="2:24" ht="30" x14ac:dyDescent="0.25">
      <c r="B392" s="4">
        <v>467</v>
      </c>
      <c r="C392" s="4" t="s">
        <v>137</v>
      </c>
      <c r="D392" s="4" t="s">
        <v>138</v>
      </c>
      <c r="E392" s="4">
        <v>2265</v>
      </c>
      <c r="F392" s="4" t="s">
        <v>44</v>
      </c>
      <c r="G392" s="4" t="s">
        <v>29</v>
      </c>
      <c r="H392" s="4" t="s">
        <v>53</v>
      </c>
      <c r="I392" s="4" t="s">
        <v>88</v>
      </c>
      <c r="J392" s="4">
        <v>320</v>
      </c>
      <c r="K392" t="str">
        <f>TEXT(TIMEVALUE(H392)-TIMEVALUE(I391)+(TIMEVALUE(H392)&lt;TIMEVALUE(I391)),"[h]:mm")</f>
        <v>0:40</v>
      </c>
      <c r="L392" s="4" t="s">
        <v>36</v>
      </c>
      <c r="O392" t="str">
        <f>"LIM-"&amp;G391&amp;"-LIM   LA "&amp;E391&amp;" ("&amp;LEFT(H391,5)&amp;"-"&amp;LEFT(I391,5)&amp;" hrs)  /  LA "&amp;E392&amp;" ("&amp;LEFT(H392,5)&amp;"-"&amp;LEFT(I392,5)&amp;" hrs)"</f>
        <v>LIM-PEM-LIM   LA 2264 (14:55-16:40 hrs)  /  LA 2265 (17:20-18:55 hrs)</v>
      </c>
    </row>
    <row r="393" spans="2:24" x14ac:dyDescent="0.25">
      <c r="J393" s="7" t="s">
        <v>43</v>
      </c>
      <c r="K393" s="8" t="str">
        <f>TEXT(TIMEVALUE(I392)-TIMEVALUE(H391)+(I392&lt;H391),"[h]:mm")</f>
        <v>4:00</v>
      </c>
    </row>
    <row r="395" spans="2:24" ht="30" x14ac:dyDescent="0.25">
      <c r="B395" s="3" t="s">
        <v>9</v>
      </c>
      <c r="C395" s="3" t="s">
        <v>17</v>
      </c>
      <c r="D395" s="3" t="s">
        <v>18</v>
      </c>
      <c r="E395" s="3" t="s">
        <v>19</v>
      </c>
      <c r="F395" s="3" t="s">
        <v>20</v>
      </c>
      <c r="G395" s="3" t="s">
        <v>21</v>
      </c>
      <c r="H395" s="3" t="s">
        <v>22</v>
      </c>
      <c r="I395" s="3" t="s">
        <v>23</v>
      </c>
      <c r="J395" s="3" t="s">
        <v>24</v>
      </c>
      <c r="K395" s="3" t="s">
        <v>25</v>
      </c>
      <c r="L395" s="3" t="s">
        <v>26</v>
      </c>
    </row>
    <row r="396" spans="2:24" ht="30" x14ac:dyDescent="0.25">
      <c r="B396" s="4">
        <v>468</v>
      </c>
      <c r="C396" s="4" t="s">
        <v>137</v>
      </c>
      <c r="D396" s="4" t="s">
        <v>138</v>
      </c>
      <c r="E396" s="4">
        <v>2113</v>
      </c>
      <c r="F396" s="4" t="s">
        <v>29</v>
      </c>
      <c r="G396" s="4" t="s">
        <v>56</v>
      </c>
      <c r="H396" s="4" t="s">
        <v>126</v>
      </c>
      <c r="I396" s="4" t="s">
        <v>52</v>
      </c>
      <c r="J396" s="4">
        <v>320</v>
      </c>
      <c r="L396" s="4" t="s">
        <v>40</v>
      </c>
      <c r="M396" s="5"/>
      <c r="O396" s="5"/>
      <c r="Q396" s="4">
        <f>B396</f>
        <v>468</v>
      </c>
      <c r="R396" s="4" t="str">
        <f>C396</f>
        <v>05/10/2026</v>
      </c>
      <c r="S396" s="4" t="str">
        <f>D396</f>
        <v>lunes</v>
      </c>
      <c r="T396" s="4" t="str">
        <f>E396&amp;"/"&amp;E397</f>
        <v>2113/2112</v>
      </c>
      <c r="U396" s="4" t="str">
        <f>F396&amp;"-"&amp;G396&amp;"-"&amp;F396</f>
        <v>LIM-AQP-LIM</v>
      </c>
      <c r="V396" s="4" t="str">
        <f>IF($M$396="","",$M$396)</f>
        <v/>
      </c>
      <c r="W396" s="4" t="str">
        <f>IF($O$396="","",$O$396)</f>
        <v/>
      </c>
      <c r="X396" s="4">
        <f>J396</f>
        <v>320</v>
      </c>
    </row>
    <row r="397" spans="2:24" ht="30" x14ac:dyDescent="0.25">
      <c r="B397" s="4">
        <v>468</v>
      </c>
      <c r="C397" s="4" t="s">
        <v>137</v>
      </c>
      <c r="D397" s="4" t="s">
        <v>138</v>
      </c>
      <c r="E397" s="4">
        <v>2112</v>
      </c>
      <c r="F397" s="4" t="s">
        <v>56</v>
      </c>
      <c r="G397" s="4" t="s">
        <v>29</v>
      </c>
      <c r="H397" s="4" t="s">
        <v>42</v>
      </c>
      <c r="I397" s="4" t="s">
        <v>88</v>
      </c>
      <c r="J397" s="4">
        <v>320</v>
      </c>
      <c r="K397" t="str">
        <f>TEXT(TIMEVALUE(H397)-TIMEVALUE(I396)+(TIMEVALUE(H397)&lt;TIMEVALUE(I396)),"[h]:mm")</f>
        <v>0:40</v>
      </c>
      <c r="L397" s="4" t="s">
        <v>71</v>
      </c>
      <c r="O397" t="str">
        <f>"LIM-"&amp;G396&amp;"-LIM   LA "&amp;E396&amp;" ("&amp;LEFT(H396,5)&amp;"-"&amp;LEFT(I396,5)&amp;" hrs)  /  LA "&amp;E397&amp;" ("&amp;LEFT(H397,5)&amp;"-"&amp;LEFT(I397,5)&amp;" hrs)"</f>
        <v>LIM-AQP-LIM   LA 2113 (15:05-16:35 hrs)  /  LA 2112 (17:15-18:55 hrs)</v>
      </c>
    </row>
    <row r="398" spans="2:24" x14ac:dyDescent="0.25">
      <c r="J398" s="7" t="s">
        <v>43</v>
      </c>
      <c r="K398" s="8" t="str">
        <f>TEXT(TIMEVALUE(I397)-TIMEVALUE(H396)+(I397&lt;H396),"[h]:mm")</f>
        <v>3:50</v>
      </c>
    </row>
    <row r="400" spans="2:24" ht="30" x14ac:dyDescent="0.25">
      <c r="B400" s="3" t="s">
        <v>9</v>
      </c>
      <c r="C400" s="3" t="s">
        <v>17</v>
      </c>
      <c r="D400" s="3" t="s">
        <v>18</v>
      </c>
      <c r="E400" s="3" t="s">
        <v>19</v>
      </c>
      <c r="F400" s="3" t="s">
        <v>20</v>
      </c>
      <c r="G400" s="3" t="s">
        <v>21</v>
      </c>
      <c r="H400" s="3" t="s">
        <v>22</v>
      </c>
      <c r="I400" s="3" t="s">
        <v>23</v>
      </c>
      <c r="J400" s="3" t="s">
        <v>24</v>
      </c>
      <c r="K400" s="3" t="s">
        <v>25</v>
      </c>
      <c r="L400" s="3" t="s">
        <v>26</v>
      </c>
    </row>
    <row r="401" spans="2:24" ht="30" x14ac:dyDescent="0.25">
      <c r="B401" s="4">
        <v>469</v>
      </c>
      <c r="C401" s="4" t="s">
        <v>137</v>
      </c>
      <c r="D401" s="4" t="s">
        <v>138</v>
      </c>
      <c r="E401" s="4">
        <v>2113</v>
      </c>
      <c r="F401" s="4" t="s">
        <v>29</v>
      </c>
      <c r="G401" s="4" t="s">
        <v>56</v>
      </c>
      <c r="H401" s="4" t="s">
        <v>126</v>
      </c>
      <c r="I401" s="4" t="s">
        <v>52</v>
      </c>
      <c r="J401" s="4">
        <v>320</v>
      </c>
      <c r="L401" s="4" t="s">
        <v>40</v>
      </c>
      <c r="M401" s="5"/>
      <c r="O401" s="5"/>
      <c r="Q401" s="4">
        <f>B401</f>
        <v>469</v>
      </c>
      <c r="R401" s="4" t="str">
        <f>C401</f>
        <v>05/10/2026</v>
      </c>
      <c r="S401" s="4" t="str">
        <f>D401</f>
        <v>lunes</v>
      </c>
      <c r="T401" s="4" t="str">
        <f>E401&amp;"/"&amp;E402</f>
        <v>2113/2112</v>
      </c>
      <c r="U401" s="4" t="str">
        <f>F401&amp;"-"&amp;G401&amp;"-"&amp;F401</f>
        <v>LIM-AQP-LIM</v>
      </c>
      <c r="V401" s="4" t="str">
        <f>IF($M$401="","",$M$401)</f>
        <v/>
      </c>
      <c r="W401" s="4" t="str">
        <f>IF($O$401="","",$O$401)</f>
        <v/>
      </c>
      <c r="X401" s="4">
        <f>J401</f>
        <v>320</v>
      </c>
    </row>
    <row r="402" spans="2:24" ht="30" x14ac:dyDescent="0.25">
      <c r="B402" s="4">
        <v>469</v>
      </c>
      <c r="C402" s="4" t="s">
        <v>137</v>
      </c>
      <c r="D402" s="4" t="s">
        <v>138</v>
      </c>
      <c r="E402" s="4">
        <v>2112</v>
      </c>
      <c r="F402" s="4" t="s">
        <v>56</v>
      </c>
      <c r="G402" s="4" t="s">
        <v>29</v>
      </c>
      <c r="H402" s="4" t="s">
        <v>42</v>
      </c>
      <c r="I402" s="4" t="s">
        <v>88</v>
      </c>
      <c r="J402" s="4">
        <v>320</v>
      </c>
      <c r="K402" t="str">
        <f>TEXT(TIMEVALUE(H402)-TIMEVALUE(I401)+(TIMEVALUE(H402)&lt;TIMEVALUE(I401)),"[h]:mm")</f>
        <v>0:40</v>
      </c>
      <c r="L402" s="4" t="s">
        <v>71</v>
      </c>
      <c r="O402" t="str">
        <f>"LIM-"&amp;G401&amp;"-LIM   LA "&amp;E401&amp;" ("&amp;LEFT(H401,5)&amp;"-"&amp;LEFT(I401,5)&amp;" hrs)  /  LA "&amp;E402&amp;" ("&amp;LEFT(H402,5)&amp;"-"&amp;LEFT(I402,5)&amp;" hrs)"</f>
        <v>LIM-AQP-LIM   LA 2113 (15:05-16:35 hrs)  /  LA 2112 (17:15-18:55 hrs)</v>
      </c>
    </row>
    <row r="403" spans="2:24" x14ac:dyDescent="0.25">
      <c r="J403" s="7" t="s">
        <v>43</v>
      </c>
      <c r="K403" s="8" t="str">
        <f>TEXT(TIMEVALUE(I402)-TIMEVALUE(H401)+(I402&lt;H401),"[h]:mm")</f>
        <v>3:50</v>
      </c>
    </row>
    <row r="405" spans="2:24" ht="30" x14ac:dyDescent="0.25">
      <c r="B405" s="3" t="s">
        <v>9</v>
      </c>
      <c r="C405" s="3" t="s">
        <v>17</v>
      </c>
      <c r="D405" s="3" t="s">
        <v>18</v>
      </c>
      <c r="E405" s="3" t="s">
        <v>19</v>
      </c>
      <c r="F405" s="3" t="s">
        <v>20</v>
      </c>
      <c r="G405" s="3" t="s">
        <v>21</v>
      </c>
      <c r="H405" s="3" t="s">
        <v>22</v>
      </c>
      <c r="I405" s="3" t="s">
        <v>23</v>
      </c>
      <c r="J405" s="3" t="s">
        <v>24</v>
      </c>
      <c r="K405" s="3" t="s">
        <v>25</v>
      </c>
      <c r="L405" s="3" t="s">
        <v>26</v>
      </c>
    </row>
    <row r="406" spans="2:24" ht="30" x14ac:dyDescent="0.25">
      <c r="B406" s="4">
        <v>471</v>
      </c>
      <c r="C406" s="4" t="s">
        <v>137</v>
      </c>
      <c r="D406" s="4" t="s">
        <v>138</v>
      </c>
      <c r="E406" s="4">
        <v>2360</v>
      </c>
      <c r="F406" s="4" t="s">
        <v>29</v>
      </c>
      <c r="G406" s="4" t="s">
        <v>58</v>
      </c>
      <c r="H406" s="4" t="s">
        <v>59</v>
      </c>
      <c r="I406" s="4" t="s">
        <v>60</v>
      </c>
      <c r="J406" s="4">
        <v>320</v>
      </c>
      <c r="L406" s="4" t="s">
        <v>61</v>
      </c>
      <c r="M406" s="5"/>
      <c r="O406" s="5"/>
      <c r="Q406" s="4">
        <f>B406</f>
        <v>471</v>
      </c>
      <c r="R406" s="4" t="str">
        <f>C406</f>
        <v>05/10/2026</v>
      </c>
      <c r="S406" s="4" t="str">
        <f>D406</f>
        <v>lunes</v>
      </c>
      <c r="T406" s="4" t="str">
        <f>E406&amp;"/"&amp;E407</f>
        <v>2360/2361</v>
      </c>
      <c r="U406" s="4" t="str">
        <f>F406&amp;"-"&amp;G406&amp;"-"&amp;F406</f>
        <v>LIM-PCL-LIM</v>
      </c>
      <c r="V406" s="4" t="str">
        <f>IF($M$406="","",$M$406)</f>
        <v/>
      </c>
      <c r="W406" s="4" t="str">
        <f>IF($O$406="","",$O$406)</f>
        <v/>
      </c>
      <c r="X406" s="4">
        <f>J406</f>
        <v>320</v>
      </c>
    </row>
    <row r="407" spans="2:24" ht="30" x14ac:dyDescent="0.25">
      <c r="B407" s="4">
        <v>471</v>
      </c>
      <c r="C407" s="4" t="s">
        <v>137</v>
      </c>
      <c r="D407" s="4" t="s">
        <v>138</v>
      </c>
      <c r="E407" s="4">
        <v>2361</v>
      </c>
      <c r="F407" s="4" t="s">
        <v>58</v>
      </c>
      <c r="G407" s="4" t="s">
        <v>29</v>
      </c>
      <c r="H407" s="4" t="s">
        <v>53</v>
      </c>
      <c r="I407" s="4" t="s">
        <v>62</v>
      </c>
      <c r="J407" s="4">
        <v>320</v>
      </c>
      <c r="K407" t="str">
        <f>TEXT(TIMEVALUE(H407)-TIMEVALUE(I406)+(TIMEVALUE(H407)&lt;TIMEVALUE(I406)),"[h]:mm")</f>
        <v>0:40</v>
      </c>
      <c r="L407" s="4" t="s">
        <v>61</v>
      </c>
      <c r="O407" t="str">
        <f>"LIM-"&amp;G406&amp;"-LIM   LA "&amp;E406&amp;" ("&amp;LEFT(H406,5)&amp;"-"&amp;LEFT(I406,5)&amp;" hrs)  /  LA "&amp;E407&amp;" ("&amp;LEFT(H407,5)&amp;"-"&amp;LEFT(I407,5)&amp;" hrs)"</f>
        <v>LIM-PCL-LIM   LA 2360 (15:25-16:40 hrs)  /  LA 2361 (17:20-18:35 hrs)</v>
      </c>
    </row>
    <row r="408" spans="2:24" x14ac:dyDescent="0.25">
      <c r="J408" s="7" t="s">
        <v>43</v>
      </c>
      <c r="K408" s="8" t="str">
        <f>TEXT(TIMEVALUE(I407)-TIMEVALUE(H406)+(I407&lt;H406),"[h]:mm")</f>
        <v>3:10</v>
      </c>
    </row>
    <row r="410" spans="2:24" ht="30" x14ac:dyDescent="0.25">
      <c r="B410" s="3" t="s">
        <v>9</v>
      </c>
      <c r="C410" s="3" t="s">
        <v>17</v>
      </c>
      <c r="D410" s="3" t="s">
        <v>18</v>
      </c>
      <c r="E410" s="3" t="s">
        <v>19</v>
      </c>
      <c r="F410" s="3" t="s">
        <v>20</v>
      </c>
      <c r="G410" s="3" t="s">
        <v>21</v>
      </c>
      <c r="H410" s="3" t="s">
        <v>22</v>
      </c>
      <c r="I410" s="3" t="s">
        <v>23</v>
      </c>
      <c r="J410" s="3" t="s">
        <v>24</v>
      </c>
      <c r="K410" s="3" t="s">
        <v>25</v>
      </c>
      <c r="L410" s="3" t="s">
        <v>26</v>
      </c>
    </row>
    <row r="411" spans="2:24" ht="30" x14ac:dyDescent="0.25">
      <c r="B411" s="4">
        <v>472</v>
      </c>
      <c r="C411" s="4" t="s">
        <v>137</v>
      </c>
      <c r="D411" s="4" t="s">
        <v>138</v>
      </c>
      <c r="E411" s="4">
        <v>2312</v>
      </c>
      <c r="F411" s="4" t="s">
        <v>29</v>
      </c>
      <c r="G411" s="4" t="s">
        <v>37</v>
      </c>
      <c r="H411" s="4" t="s">
        <v>89</v>
      </c>
      <c r="I411" s="4" t="s">
        <v>77</v>
      </c>
      <c r="J411" s="4">
        <v>320</v>
      </c>
      <c r="L411" s="4" t="s">
        <v>40</v>
      </c>
      <c r="M411" s="5"/>
      <c r="O411" s="5"/>
      <c r="Q411" s="4">
        <f>B411</f>
        <v>472</v>
      </c>
      <c r="R411" s="4" t="str">
        <f>C411</f>
        <v>05/10/2026</v>
      </c>
      <c r="S411" s="4" t="str">
        <f>D411</f>
        <v>lunes</v>
      </c>
      <c r="T411" s="4" t="str">
        <f>E411&amp;"/"&amp;E412</f>
        <v>2312/2313</v>
      </c>
      <c r="U411" s="4" t="str">
        <f>F411&amp;"-"&amp;G411&amp;"-"&amp;F411</f>
        <v>LIM-CIX-LIM</v>
      </c>
      <c r="V411" s="4" t="str">
        <f>IF($M$411="","",$M$411)</f>
        <v/>
      </c>
      <c r="W411" s="4" t="str">
        <f>IF($O$411="","",$O$411)</f>
        <v/>
      </c>
      <c r="X411" s="4">
        <f>J411</f>
        <v>320</v>
      </c>
    </row>
    <row r="412" spans="2:24" ht="30" x14ac:dyDescent="0.25">
      <c r="B412" s="4">
        <v>472</v>
      </c>
      <c r="C412" s="4" t="s">
        <v>137</v>
      </c>
      <c r="D412" s="4" t="s">
        <v>138</v>
      </c>
      <c r="E412" s="4">
        <v>2313</v>
      </c>
      <c r="F412" s="4" t="s">
        <v>37</v>
      </c>
      <c r="G412" s="4" t="s">
        <v>29</v>
      </c>
      <c r="H412" s="4" t="s">
        <v>84</v>
      </c>
      <c r="I412" s="4" t="s">
        <v>90</v>
      </c>
      <c r="J412" s="4">
        <v>320</v>
      </c>
      <c r="K412" t="str">
        <f>TEXT(TIMEVALUE(H412)-TIMEVALUE(I411)+(TIMEVALUE(H412)&lt;TIMEVALUE(I411)),"[h]:mm")</f>
        <v>0:45</v>
      </c>
      <c r="L412" s="4" t="s">
        <v>33</v>
      </c>
      <c r="O412" t="str">
        <f>"LIM-"&amp;G411&amp;"-LIM   LA "&amp;E411&amp;" ("&amp;LEFT(H411,5)&amp;"-"&amp;LEFT(I411,5)&amp;" hrs)  /  LA "&amp;E412&amp;" ("&amp;LEFT(H412,5)&amp;"-"&amp;LEFT(I412,5)&amp;" hrs)"</f>
        <v>LIM-CIX-LIM   LA 2312 (15:35-17:05 hrs)  /  LA 2313 (17:50-19:10 hrs)</v>
      </c>
    </row>
    <row r="413" spans="2:24" x14ac:dyDescent="0.25">
      <c r="J413" s="7" t="s">
        <v>43</v>
      </c>
      <c r="K413" s="8" t="str">
        <f>TEXT(TIMEVALUE(I412)-TIMEVALUE(H411)+(I412&lt;H411),"[h]:mm")</f>
        <v>3:35</v>
      </c>
    </row>
    <row r="415" spans="2:24" ht="30" x14ac:dyDescent="0.25">
      <c r="B415" s="3" t="s">
        <v>9</v>
      </c>
      <c r="C415" s="3" t="s">
        <v>17</v>
      </c>
      <c r="D415" s="3" t="s">
        <v>18</v>
      </c>
      <c r="E415" s="3" t="s">
        <v>19</v>
      </c>
      <c r="F415" s="3" t="s">
        <v>20</v>
      </c>
      <c r="G415" s="3" t="s">
        <v>21</v>
      </c>
      <c r="H415" s="3" t="s">
        <v>22</v>
      </c>
      <c r="I415" s="3" t="s">
        <v>23</v>
      </c>
      <c r="J415" s="3" t="s">
        <v>24</v>
      </c>
      <c r="K415" s="3" t="s">
        <v>25</v>
      </c>
      <c r="L415" s="3" t="s">
        <v>26</v>
      </c>
    </row>
    <row r="416" spans="2:24" ht="30" x14ac:dyDescent="0.25">
      <c r="B416" s="4">
        <v>478</v>
      </c>
      <c r="C416" s="4" t="s">
        <v>137</v>
      </c>
      <c r="D416" s="4" t="s">
        <v>138</v>
      </c>
      <c r="E416" s="4">
        <v>2310</v>
      </c>
      <c r="F416" s="4" t="s">
        <v>29</v>
      </c>
      <c r="G416" s="4" t="s">
        <v>37</v>
      </c>
      <c r="H416" s="4" t="s">
        <v>111</v>
      </c>
      <c r="I416" s="4" t="s">
        <v>112</v>
      </c>
      <c r="J416" s="4">
        <v>320</v>
      </c>
      <c r="L416" s="4" t="s">
        <v>40</v>
      </c>
      <c r="M416" s="5"/>
      <c r="O416" s="5"/>
      <c r="Q416" s="4">
        <f>B416</f>
        <v>478</v>
      </c>
      <c r="R416" s="4" t="str">
        <f>C416</f>
        <v>05/10/2026</v>
      </c>
      <c r="S416" s="4" t="str">
        <f>D416</f>
        <v>lunes</v>
      </c>
      <c r="T416" s="4" t="str">
        <f>E416&amp;"/"&amp;E417</f>
        <v>2310/2311</v>
      </c>
      <c r="U416" s="4" t="str">
        <f>F416&amp;"-"&amp;G416&amp;"-"&amp;F416</f>
        <v>LIM-CIX-LIM</v>
      </c>
      <c r="V416" s="4" t="str">
        <f>IF($M$416="","",$M$416)</f>
        <v/>
      </c>
      <c r="W416" s="4" t="str">
        <f>IF($O$416="","",$O$416)</f>
        <v/>
      </c>
      <c r="X416" s="4">
        <f>J416</f>
        <v>320</v>
      </c>
    </row>
    <row r="417" spans="2:24" ht="30" x14ac:dyDescent="0.25">
      <c r="B417" s="4">
        <v>478</v>
      </c>
      <c r="C417" s="4" t="s">
        <v>137</v>
      </c>
      <c r="D417" s="4" t="s">
        <v>138</v>
      </c>
      <c r="E417" s="4">
        <v>2311</v>
      </c>
      <c r="F417" s="4" t="s">
        <v>37</v>
      </c>
      <c r="G417" s="4" t="s">
        <v>29</v>
      </c>
      <c r="H417" s="4" t="s">
        <v>113</v>
      </c>
      <c r="I417" s="4" t="s">
        <v>114</v>
      </c>
      <c r="J417" s="4">
        <v>320</v>
      </c>
      <c r="K417" t="str">
        <f>TEXT(TIMEVALUE(H417)-TIMEVALUE(I416)+(TIMEVALUE(H417)&lt;TIMEVALUE(I416)),"[h]:mm")</f>
        <v>0:35</v>
      </c>
      <c r="L417" s="4" t="s">
        <v>93</v>
      </c>
      <c r="O417" t="str">
        <f>"LIM-"&amp;G416&amp;"-LIM   LA "&amp;E416&amp;" ("&amp;LEFT(H416,5)&amp;"-"&amp;LEFT(I416,5)&amp;" hrs)  /  LA "&amp;E417&amp;" ("&amp;LEFT(H417,5)&amp;"-"&amp;LEFT(I417,5)&amp;" hrs)"</f>
        <v>LIM-CIX-LIM   LA 2310 (18:15-19:45 hrs)  /  LA 2311 (20:20-21:45 hrs)</v>
      </c>
    </row>
    <row r="418" spans="2:24" x14ac:dyDescent="0.25">
      <c r="J418" s="7" t="s">
        <v>43</v>
      </c>
      <c r="K418" s="8" t="str">
        <f>TEXT(TIMEVALUE(I417)-TIMEVALUE(H416)+(I417&lt;H416),"[h]:mm")</f>
        <v>3:30</v>
      </c>
    </row>
    <row r="420" spans="2:24" ht="30" x14ac:dyDescent="0.25">
      <c r="B420" s="3" t="s">
        <v>9</v>
      </c>
      <c r="C420" s="3" t="s">
        <v>17</v>
      </c>
      <c r="D420" s="3" t="s">
        <v>18</v>
      </c>
      <c r="E420" s="3" t="s">
        <v>19</v>
      </c>
      <c r="F420" s="3" t="s">
        <v>20</v>
      </c>
      <c r="G420" s="3" t="s">
        <v>21</v>
      </c>
      <c r="H420" s="3" t="s">
        <v>22</v>
      </c>
      <c r="I420" s="3" t="s">
        <v>23</v>
      </c>
      <c r="J420" s="3" t="s">
        <v>24</v>
      </c>
      <c r="K420" s="3" t="s">
        <v>25</v>
      </c>
      <c r="L420" s="3" t="s">
        <v>26</v>
      </c>
    </row>
    <row r="421" spans="2:24" ht="30" x14ac:dyDescent="0.25">
      <c r="B421" s="4">
        <v>479</v>
      </c>
      <c r="C421" s="4" t="s">
        <v>137</v>
      </c>
      <c r="D421" s="4" t="s">
        <v>138</v>
      </c>
      <c r="E421" s="4">
        <v>2091</v>
      </c>
      <c r="F421" s="4" t="s">
        <v>29</v>
      </c>
      <c r="G421" s="4" t="s">
        <v>91</v>
      </c>
      <c r="H421" s="4" t="s">
        <v>147</v>
      </c>
      <c r="I421" s="4" t="s">
        <v>148</v>
      </c>
      <c r="J421" s="4">
        <v>320</v>
      </c>
      <c r="L421" s="4" t="s">
        <v>93</v>
      </c>
      <c r="M421" s="5"/>
      <c r="O421" s="5"/>
      <c r="Q421" s="4">
        <f>B421</f>
        <v>479</v>
      </c>
      <c r="R421" s="4" t="str">
        <f>C421</f>
        <v>05/10/2026</v>
      </c>
      <c r="S421" s="4" t="str">
        <f>D421</f>
        <v>lunes</v>
      </c>
      <c r="T421" s="4" t="str">
        <f>E421&amp;"/"&amp;E422</f>
        <v>2091/2092</v>
      </c>
      <c r="U421" s="4" t="str">
        <f>F421&amp;"-"&amp;G421&amp;"-"&amp;F421</f>
        <v>LIM-TPP-LIM</v>
      </c>
      <c r="V421" s="4" t="str">
        <f>IF($M$421="","",$M$421)</f>
        <v/>
      </c>
      <c r="W421" s="4" t="str">
        <f>IF($O$421="","",$O$421)</f>
        <v/>
      </c>
      <c r="X421" s="4">
        <f>J421</f>
        <v>320</v>
      </c>
    </row>
    <row r="422" spans="2:24" ht="30" x14ac:dyDescent="0.25">
      <c r="B422" s="4">
        <v>479</v>
      </c>
      <c r="C422" s="4" t="s">
        <v>137</v>
      </c>
      <c r="D422" s="4" t="s">
        <v>138</v>
      </c>
      <c r="E422" s="4">
        <v>2092</v>
      </c>
      <c r="F422" s="4" t="s">
        <v>91</v>
      </c>
      <c r="G422" s="4" t="s">
        <v>29</v>
      </c>
      <c r="H422" s="4" t="s">
        <v>149</v>
      </c>
      <c r="I422" s="4" t="s">
        <v>150</v>
      </c>
      <c r="J422" s="4">
        <v>320</v>
      </c>
      <c r="K422" t="str">
        <f>TEXT(TIMEVALUE(H422)-TIMEVALUE(I421)+(TIMEVALUE(H422)&lt;TIMEVALUE(I421)),"[h]:mm")</f>
        <v>0:35</v>
      </c>
      <c r="L422" s="4" t="s">
        <v>40</v>
      </c>
      <c r="O422" t="str">
        <f>"LIM-"&amp;G421&amp;"-LIM   LA "&amp;E421&amp;" ("&amp;LEFT(H421,5)&amp;"-"&amp;LEFT(I421,5)&amp;" hrs)  /  LA "&amp;E422&amp;" ("&amp;LEFT(H422,5)&amp;"-"&amp;LEFT(I422,5)&amp;" hrs)"</f>
        <v>LIM-TPP-LIM   LA 2091 (18:30-19:55 hrs)  /  LA 2092 (20:30-22:00 hrs)</v>
      </c>
    </row>
    <row r="423" spans="2:24" x14ac:dyDescent="0.25">
      <c r="J423" s="7" t="s">
        <v>43</v>
      </c>
      <c r="K423" s="8" t="str">
        <f>TEXT(TIMEVALUE(I422)-TIMEVALUE(H421)+(I422&lt;H421),"[h]:mm")</f>
        <v>3:30</v>
      </c>
    </row>
    <row r="425" spans="2:24" ht="30" x14ac:dyDescent="0.25">
      <c r="B425" s="3" t="s">
        <v>9</v>
      </c>
      <c r="C425" s="3" t="s">
        <v>17</v>
      </c>
      <c r="D425" s="3" t="s">
        <v>18</v>
      </c>
      <c r="E425" s="3" t="s">
        <v>19</v>
      </c>
      <c r="F425" s="3" t="s">
        <v>20</v>
      </c>
      <c r="G425" s="3" t="s">
        <v>21</v>
      </c>
      <c r="H425" s="3" t="s">
        <v>22</v>
      </c>
      <c r="I425" s="3" t="s">
        <v>23</v>
      </c>
      <c r="J425" s="3" t="s">
        <v>24</v>
      </c>
      <c r="K425" s="3" t="s">
        <v>25</v>
      </c>
      <c r="L425" s="3" t="s">
        <v>26</v>
      </c>
    </row>
    <row r="426" spans="2:24" ht="30" x14ac:dyDescent="0.25">
      <c r="B426" s="4">
        <v>480</v>
      </c>
      <c r="C426" s="4" t="s">
        <v>137</v>
      </c>
      <c r="D426" s="4" t="s">
        <v>138</v>
      </c>
      <c r="E426" s="4">
        <v>2117</v>
      </c>
      <c r="F426" s="4" t="s">
        <v>29</v>
      </c>
      <c r="G426" s="4" t="s">
        <v>56</v>
      </c>
      <c r="H426" s="4" t="s">
        <v>62</v>
      </c>
      <c r="I426" s="4" t="s">
        <v>151</v>
      </c>
      <c r="J426" s="4">
        <v>319</v>
      </c>
      <c r="L426" s="4" t="s">
        <v>40</v>
      </c>
      <c r="M426" s="5"/>
      <c r="O426" s="5"/>
      <c r="Q426" s="4">
        <f>B426</f>
        <v>480</v>
      </c>
      <c r="R426" s="4" t="str">
        <f>C426</f>
        <v>05/10/2026</v>
      </c>
      <c r="S426" s="4" t="str">
        <f>D426</f>
        <v>lunes</v>
      </c>
      <c r="T426" s="4" t="str">
        <f>E426&amp;"/"&amp;E427</f>
        <v>2117/2116</v>
      </c>
      <c r="U426" s="4" t="str">
        <f>F426&amp;"-"&amp;G426&amp;"-"&amp;F426</f>
        <v>LIM-AQP-LIM</v>
      </c>
      <c r="V426" s="4" t="str">
        <f>IF($M$426="","",$M$426)</f>
        <v/>
      </c>
      <c r="W426" s="4" t="str">
        <f>IF($O$426="","",$O$426)</f>
        <v/>
      </c>
      <c r="X426" s="4">
        <f>J426</f>
        <v>319</v>
      </c>
    </row>
    <row r="427" spans="2:24" ht="30" x14ac:dyDescent="0.25">
      <c r="B427" s="4">
        <v>480</v>
      </c>
      <c r="C427" s="4" t="s">
        <v>137</v>
      </c>
      <c r="D427" s="4" t="s">
        <v>138</v>
      </c>
      <c r="E427" s="4">
        <v>2116</v>
      </c>
      <c r="F427" s="4" t="s">
        <v>56</v>
      </c>
      <c r="G427" s="4" t="s">
        <v>29</v>
      </c>
      <c r="H427" s="4" t="s">
        <v>129</v>
      </c>
      <c r="I427" s="4" t="s">
        <v>152</v>
      </c>
      <c r="J427" s="4">
        <v>319</v>
      </c>
      <c r="K427" t="str">
        <f>TEXT(TIMEVALUE(H427)-TIMEVALUE(I426)+(TIMEVALUE(H427)&lt;TIMEVALUE(I426)),"[h]:mm")</f>
        <v>0:35</v>
      </c>
      <c r="L427" s="4" t="s">
        <v>71</v>
      </c>
      <c r="O427" t="str">
        <f>"LIM-"&amp;G426&amp;"-LIM   LA "&amp;E426&amp;" ("&amp;LEFT(H426,5)&amp;"-"&amp;LEFT(I426,5)&amp;" hrs)  /  LA "&amp;E427&amp;" ("&amp;LEFT(H427,5)&amp;"-"&amp;LEFT(I427,5)&amp;" hrs)"</f>
        <v>LIM-AQP-LIM   LA 2117 (18:35-20:05 hrs)  /  LA 2116 (20:40-22:20 hrs)</v>
      </c>
    </row>
    <row r="428" spans="2:24" x14ac:dyDescent="0.25">
      <c r="J428" s="7" t="s">
        <v>43</v>
      </c>
      <c r="K428" s="8" t="str">
        <f>TEXT(TIMEVALUE(I427)-TIMEVALUE(H426)+(I427&lt;H426),"[h]:mm")</f>
        <v>3:45</v>
      </c>
    </row>
    <row r="430" spans="2:24" ht="30" x14ac:dyDescent="0.25">
      <c r="B430" s="3" t="s">
        <v>9</v>
      </c>
      <c r="C430" s="3" t="s">
        <v>17</v>
      </c>
      <c r="D430" s="3" t="s">
        <v>18</v>
      </c>
      <c r="E430" s="3" t="s">
        <v>19</v>
      </c>
      <c r="F430" s="3" t="s">
        <v>20</v>
      </c>
      <c r="G430" s="3" t="s">
        <v>21</v>
      </c>
      <c r="H430" s="3" t="s">
        <v>22</v>
      </c>
      <c r="I430" s="3" t="s">
        <v>23</v>
      </c>
      <c r="J430" s="3" t="s">
        <v>24</v>
      </c>
      <c r="K430" s="3" t="s">
        <v>25</v>
      </c>
      <c r="L430" s="3" t="s">
        <v>26</v>
      </c>
    </row>
    <row r="431" spans="2:24" ht="30" x14ac:dyDescent="0.25">
      <c r="B431" s="4">
        <v>524</v>
      </c>
      <c r="C431" s="4" t="s">
        <v>153</v>
      </c>
      <c r="D431" s="4" t="s">
        <v>154</v>
      </c>
      <c r="E431" s="4">
        <v>2007</v>
      </c>
      <c r="F431" s="4" t="s">
        <v>29</v>
      </c>
      <c r="G431" s="4" t="s">
        <v>30</v>
      </c>
      <c r="H431" s="4" t="s">
        <v>31</v>
      </c>
      <c r="I431" s="4" t="s">
        <v>32</v>
      </c>
      <c r="J431" s="4">
        <v>320</v>
      </c>
      <c r="L431" s="4" t="s">
        <v>33</v>
      </c>
      <c r="M431" s="5"/>
      <c r="O431" s="5"/>
      <c r="Q431" s="4">
        <f>B431</f>
        <v>524</v>
      </c>
      <c r="R431" s="4" t="str">
        <f>C431</f>
        <v>06/10/2026</v>
      </c>
      <c r="S431" s="4" t="str">
        <f>D431</f>
        <v>martes</v>
      </c>
      <c r="T431" s="4" t="str">
        <f>E431&amp;"/"&amp;E432</f>
        <v>2007/2008</v>
      </c>
      <c r="U431" s="4" t="str">
        <f>F431&amp;"-"&amp;G431&amp;"-"&amp;F431</f>
        <v>LIM-CUZ-LIM</v>
      </c>
      <c r="V431" s="4" t="str">
        <f>IF($M$431="","",$M$431)</f>
        <v/>
      </c>
      <c r="W431" s="4" t="str">
        <f>IF($O$431="","",$O$431)</f>
        <v/>
      </c>
      <c r="X431" s="4">
        <f>J431</f>
        <v>320</v>
      </c>
    </row>
    <row r="432" spans="2:24" ht="30" x14ac:dyDescent="0.25">
      <c r="B432" s="4">
        <v>524</v>
      </c>
      <c r="C432" s="4" t="s">
        <v>153</v>
      </c>
      <c r="D432" s="4" t="s">
        <v>154</v>
      </c>
      <c r="E432" s="4">
        <v>2008</v>
      </c>
      <c r="F432" s="4" t="s">
        <v>30</v>
      </c>
      <c r="G432" s="4" t="s">
        <v>29</v>
      </c>
      <c r="H432" s="4" t="s">
        <v>34</v>
      </c>
      <c r="I432" s="4" t="s">
        <v>35</v>
      </c>
      <c r="J432" s="4">
        <v>320</v>
      </c>
      <c r="K432" t="str">
        <f>TEXT(TIMEVALUE(H432)-TIMEVALUE(I431)+(TIMEVALUE(H432)&lt;TIMEVALUE(I431)),"[h]:mm")</f>
        <v>0:50</v>
      </c>
      <c r="L432" s="4" t="s">
        <v>36</v>
      </c>
      <c r="O432" t="str">
        <f>"LIM-"&amp;G431&amp;"-LIM   LA "&amp;E431&amp;" ("&amp;LEFT(H431,5)&amp;"-"&amp;LEFT(I431,5)&amp;" hrs)  /  LA "&amp;E432&amp;" ("&amp;LEFT(H432,5)&amp;"-"&amp;LEFT(I432,5)&amp;" hrs)"</f>
        <v>LIM-CUZ-LIM   LA 2007 (09:10-10:30 hrs)  /  LA 2008 (11:20-12:55 hrs)</v>
      </c>
    </row>
    <row r="433" spans="2:24" ht="30" x14ac:dyDescent="0.25">
      <c r="B433" s="4">
        <v>544</v>
      </c>
      <c r="C433" s="4" t="s">
        <v>153</v>
      </c>
      <c r="D433" s="4" t="s">
        <v>154</v>
      </c>
      <c r="E433" s="4">
        <v>2295</v>
      </c>
      <c r="F433" s="4" t="s">
        <v>29</v>
      </c>
      <c r="G433" s="4" t="s">
        <v>50</v>
      </c>
      <c r="H433" s="4" t="s">
        <v>110</v>
      </c>
      <c r="I433" s="4" t="s">
        <v>76</v>
      </c>
      <c r="J433" s="4">
        <v>319</v>
      </c>
      <c r="K433" s="6" t="str">
        <f>TEXT(TIMEVALUE(H433)-TIMEVALUE(I432)+(TIMEVALUE(H433)&lt;TIMEVALUE(I432)),"[h]:mm")</f>
        <v>1:15</v>
      </c>
      <c r="L433" s="4" t="s">
        <v>33</v>
      </c>
      <c r="M433" t="str">
        <f>IF($M$431="","",$M$431)</f>
        <v/>
      </c>
      <c r="O433" t="str">
        <f>IF($O$431="","",$O$431)</f>
        <v/>
      </c>
      <c r="Q433" s="4">
        <f>B433</f>
        <v>544</v>
      </c>
      <c r="R433" s="4" t="str">
        <f>C433</f>
        <v>06/10/2026</v>
      </c>
      <c r="S433" s="4" t="str">
        <f>D433</f>
        <v>martes</v>
      </c>
      <c r="T433" s="4" t="str">
        <f>E433&amp;"/"&amp;E434</f>
        <v>2295/2294</v>
      </c>
      <c r="U433" s="4" t="str">
        <f>F433&amp;"-"&amp;G433&amp;"-"&amp;F433</f>
        <v>LIM-CJA-LIM</v>
      </c>
      <c r="V433" s="4" t="str">
        <f>IF($M$431="","",$M$431)</f>
        <v/>
      </c>
      <c r="W433" s="4" t="str">
        <f>IF($O$431="","",$O$431)</f>
        <v/>
      </c>
      <c r="X433" s="4">
        <f>J433</f>
        <v>319</v>
      </c>
    </row>
    <row r="434" spans="2:24" ht="30" x14ac:dyDescent="0.25">
      <c r="B434" s="4">
        <v>544</v>
      </c>
      <c r="C434" s="4" t="s">
        <v>153</v>
      </c>
      <c r="D434" s="4" t="s">
        <v>154</v>
      </c>
      <c r="E434" s="4">
        <v>2294</v>
      </c>
      <c r="F434" s="4" t="s">
        <v>50</v>
      </c>
      <c r="G434" s="4" t="s">
        <v>29</v>
      </c>
      <c r="H434" s="4" t="s">
        <v>83</v>
      </c>
      <c r="I434" s="4" t="s">
        <v>42</v>
      </c>
      <c r="J434" s="4">
        <v>319</v>
      </c>
      <c r="K434" t="str">
        <f>TEXT(TIMEVALUE(H434)-TIMEVALUE(I433)+(TIMEVALUE(H434)&lt;TIMEVALUE(I433)),"[h]:mm")</f>
        <v>0:40</v>
      </c>
      <c r="L434" s="4" t="s">
        <v>55</v>
      </c>
      <c r="O434" t="str">
        <f>"LIM-"&amp;G433&amp;"-LIM   LA "&amp;E433&amp;" ("&amp;LEFT(H433,5)&amp;"-"&amp;LEFT(I433,5)&amp;" hrs)  /  LA "&amp;E434&amp;" ("&amp;LEFT(H434,5)&amp;"-"&amp;LEFT(I434,5)&amp;" hrs)"</f>
        <v>LIM-CJA-LIM   LA 2295 (14:10-15:30 hrs)  /  LA 2294 (16:10-17:15 hrs)</v>
      </c>
    </row>
    <row r="435" spans="2:24" x14ac:dyDescent="0.25">
      <c r="J435" s="7" t="s">
        <v>43</v>
      </c>
      <c r="K435" s="8" t="str">
        <f>TEXT(TIMEVALUE(I434)-TIMEVALUE(H431)+(I434&lt;H431),"[h]:mm")</f>
        <v>8:05</v>
      </c>
    </row>
    <row r="437" spans="2:24" ht="30" x14ac:dyDescent="0.25">
      <c r="B437" s="3" t="s">
        <v>9</v>
      </c>
      <c r="C437" s="3" t="s">
        <v>17</v>
      </c>
      <c r="D437" s="3" t="s">
        <v>18</v>
      </c>
      <c r="E437" s="3" t="s">
        <v>19</v>
      </c>
      <c r="F437" s="3" t="s">
        <v>20</v>
      </c>
      <c r="G437" s="3" t="s">
        <v>21</v>
      </c>
      <c r="H437" s="3" t="s">
        <v>22</v>
      </c>
      <c r="I437" s="3" t="s">
        <v>23</v>
      </c>
      <c r="J437" s="3" t="s">
        <v>24</v>
      </c>
      <c r="K437" s="3" t="s">
        <v>25</v>
      </c>
      <c r="L437" s="3" t="s">
        <v>26</v>
      </c>
    </row>
    <row r="438" spans="2:24" ht="30" x14ac:dyDescent="0.25">
      <c r="B438" s="4">
        <v>528</v>
      </c>
      <c r="C438" s="4" t="s">
        <v>153</v>
      </c>
      <c r="D438" s="4" t="s">
        <v>154</v>
      </c>
      <c r="E438" s="4">
        <v>2075</v>
      </c>
      <c r="F438" s="4" t="s">
        <v>29</v>
      </c>
      <c r="G438" s="4" t="s">
        <v>30</v>
      </c>
      <c r="H438" s="4" t="s">
        <v>97</v>
      </c>
      <c r="I438" s="4" t="s">
        <v>98</v>
      </c>
      <c r="J438" s="4">
        <v>319</v>
      </c>
      <c r="L438" s="4" t="s">
        <v>33</v>
      </c>
      <c r="M438" s="5"/>
      <c r="O438" s="5"/>
      <c r="Q438" s="4">
        <f>B438</f>
        <v>528</v>
      </c>
      <c r="R438" s="4" t="str">
        <f>C438</f>
        <v>06/10/2026</v>
      </c>
      <c r="S438" s="4" t="str">
        <f>D438</f>
        <v>martes</v>
      </c>
      <c r="T438" s="4" t="str">
        <f>E438&amp;"/"&amp;E439</f>
        <v>2075/2076</v>
      </c>
      <c r="U438" s="4" t="str">
        <f>F438&amp;"-"&amp;G438&amp;"-"&amp;F438</f>
        <v>LIM-CUZ-LIM</v>
      </c>
      <c r="V438" s="4" t="str">
        <f>IF($M$438="","",$M$438)</f>
        <v/>
      </c>
      <c r="W438" s="4" t="str">
        <f>IF($O$438="","",$O$438)</f>
        <v/>
      </c>
      <c r="X438" s="4">
        <f>J438</f>
        <v>319</v>
      </c>
    </row>
    <row r="439" spans="2:24" ht="30" x14ac:dyDescent="0.25">
      <c r="B439" s="4">
        <v>528</v>
      </c>
      <c r="C439" s="4" t="s">
        <v>153</v>
      </c>
      <c r="D439" s="4" t="s">
        <v>154</v>
      </c>
      <c r="E439" s="4">
        <v>2076</v>
      </c>
      <c r="F439" s="4" t="s">
        <v>30</v>
      </c>
      <c r="G439" s="4" t="s">
        <v>29</v>
      </c>
      <c r="H439" s="4" t="s">
        <v>48</v>
      </c>
      <c r="I439" s="4" t="s">
        <v>49</v>
      </c>
      <c r="J439" s="4">
        <v>319</v>
      </c>
      <c r="K439" t="str">
        <f>TEXT(TIMEVALUE(H439)-TIMEVALUE(I438)+(TIMEVALUE(H439)&lt;TIMEVALUE(I438)),"[h]:mm")</f>
        <v>0:35</v>
      </c>
      <c r="L439" s="4" t="s">
        <v>36</v>
      </c>
      <c r="O439" t="str">
        <f>"LIM-"&amp;G438&amp;"-LIM   LA "&amp;E438&amp;" ("&amp;LEFT(H438,5)&amp;"-"&amp;LEFT(I438,5)&amp;" hrs)  /  LA "&amp;E439&amp;" ("&amp;LEFT(H439,5)&amp;"-"&amp;LEFT(I439,5)&amp;" hrs)"</f>
        <v>LIM-CUZ-LIM   LA 2075 (10:50-12:10 hrs)  /  LA 2076 (12:45-14:20 hrs)</v>
      </c>
    </row>
    <row r="440" spans="2:24" ht="30" x14ac:dyDescent="0.25">
      <c r="B440" s="4">
        <v>550</v>
      </c>
      <c r="C440" s="4" t="s">
        <v>153</v>
      </c>
      <c r="D440" s="4" t="s">
        <v>154</v>
      </c>
      <c r="E440" s="4">
        <v>2297</v>
      </c>
      <c r="F440" s="4" t="s">
        <v>29</v>
      </c>
      <c r="G440" s="4" t="s">
        <v>50</v>
      </c>
      <c r="H440" s="4" t="s">
        <v>51</v>
      </c>
      <c r="I440" s="4" t="s">
        <v>52</v>
      </c>
      <c r="J440" s="4">
        <v>320</v>
      </c>
      <c r="K440" s="6" t="str">
        <f>TEXT(TIMEVALUE(H440)-TIMEVALUE(I439)+(TIMEVALUE(H440)&lt;TIMEVALUE(I439)),"[h]:mm")</f>
        <v>0:55</v>
      </c>
      <c r="L440" s="4" t="s">
        <v>33</v>
      </c>
      <c r="M440" t="str">
        <f>IF($M$438="","",$M$438)</f>
        <v/>
      </c>
      <c r="O440" t="str">
        <f>IF($O$438="","",$O$438)</f>
        <v/>
      </c>
      <c r="Q440" s="4">
        <f>B440</f>
        <v>550</v>
      </c>
      <c r="R440" s="4" t="str">
        <f>C440</f>
        <v>06/10/2026</v>
      </c>
      <c r="S440" s="4" t="str">
        <f>D440</f>
        <v>martes</v>
      </c>
      <c r="T440" s="4" t="str">
        <f>E440&amp;"/"&amp;E441</f>
        <v>2297/2296</v>
      </c>
      <c r="U440" s="4" t="str">
        <f>F440&amp;"-"&amp;G440&amp;"-"&amp;F440</f>
        <v>LIM-CJA-LIM</v>
      </c>
      <c r="V440" s="4" t="str">
        <f>IF($M$438="","",$M$438)</f>
        <v/>
      </c>
      <c r="W440" s="4" t="str">
        <f>IF($O$438="","",$O$438)</f>
        <v/>
      </c>
      <c r="X440" s="4">
        <f>J440</f>
        <v>320</v>
      </c>
    </row>
    <row r="441" spans="2:24" ht="30" x14ac:dyDescent="0.25">
      <c r="B441" s="4">
        <v>550</v>
      </c>
      <c r="C441" s="4" t="s">
        <v>153</v>
      </c>
      <c r="D441" s="4" t="s">
        <v>154</v>
      </c>
      <c r="E441" s="4">
        <v>2296</v>
      </c>
      <c r="F441" s="4" t="s">
        <v>50</v>
      </c>
      <c r="G441" s="4" t="s">
        <v>29</v>
      </c>
      <c r="H441" s="4" t="s">
        <v>53</v>
      </c>
      <c r="I441" s="4" t="s">
        <v>54</v>
      </c>
      <c r="J441" s="4">
        <v>320</v>
      </c>
      <c r="K441" t="str">
        <f>TEXT(TIMEVALUE(H441)-TIMEVALUE(I440)+(TIMEVALUE(H441)&lt;TIMEVALUE(I440)),"[h]:mm")</f>
        <v>0:45</v>
      </c>
      <c r="L441" s="4" t="s">
        <v>55</v>
      </c>
      <c r="O441" t="str">
        <f>"LIM-"&amp;G440&amp;"-LIM   LA "&amp;E440&amp;" ("&amp;LEFT(H440,5)&amp;"-"&amp;LEFT(I440,5)&amp;" hrs)  /  LA "&amp;E441&amp;" ("&amp;LEFT(H441,5)&amp;"-"&amp;LEFT(I441,5)&amp;" hrs)"</f>
        <v>LIM-CJA-LIM   LA 2297 (15:15-16:35 hrs)  /  LA 2296 (17:20-18:25 hrs)</v>
      </c>
    </row>
    <row r="442" spans="2:24" x14ac:dyDescent="0.25">
      <c r="J442" s="7" t="s">
        <v>43</v>
      </c>
      <c r="K442" s="8" t="str">
        <f>TEXT(TIMEVALUE(I441)-TIMEVALUE(H438)+(I441&lt;H438),"[h]:mm")</f>
        <v>7:35</v>
      </c>
    </row>
    <row r="444" spans="2:24" ht="30" x14ac:dyDescent="0.25">
      <c r="B444" s="3" t="s">
        <v>9</v>
      </c>
      <c r="C444" s="3" t="s">
        <v>17</v>
      </c>
      <c r="D444" s="3" t="s">
        <v>18</v>
      </c>
      <c r="E444" s="3" t="s">
        <v>19</v>
      </c>
      <c r="F444" s="3" t="s">
        <v>20</v>
      </c>
      <c r="G444" s="3" t="s">
        <v>21</v>
      </c>
      <c r="H444" s="3" t="s">
        <v>22</v>
      </c>
      <c r="I444" s="3" t="s">
        <v>23</v>
      </c>
      <c r="J444" s="3" t="s">
        <v>24</v>
      </c>
      <c r="K444" s="3" t="s">
        <v>25</v>
      </c>
      <c r="L444" s="3" t="s">
        <v>26</v>
      </c>
    </row>
    <row r="445" spans="2:24" ht="30" x14ac:dyDescent="0.25">
      <c r="B445" s="4">
        <v>531</v>
      </c>
      <c r="C445" s="4" t="s">
        <v>153</v>
      </c>
      <c r="D445" s="4" t="s">
        <v>154</v>
      </c>
      <c r="E445" s="4">
        <v>2061</v>
      </c>
      <c r="F445" s="4" t="s">
        <v>29</v>
      </c>
      <c r="G445" s="4" t="s">
        <v>30</v>
      </c>
      <c r="H445" s="4" t="s">
        <v>103</v>
      </c>
      <c r="I445" s="4" t="s">
        <v>120</v>
      </c>
      <c r="J445" s="4">
        <v>320</v>
      </c>
      <c r="L445" s="4" t="s">
        <v>33</v>
      </c>
      <c r="M445" s="5"/>
      <c r="O445" s="5"/>
      <c r="Q445" s="4">
        <f>B445</f>
        <v>531</v>
      </c>
      <c r="R445" s="4" t="str">
        <f>C445</f>
        <v>06/10/2026</v>
      </c>
      <c r="S445" s="4" t="str">
        <f>D445</f>
        <v>martes</v>
      </c>
      <c r="T445" s="4" t="str">
        <f>E445&amp;"/"&amp;E446</f>
        <v>2061/2062</v>
      </c>
      <c r="U445" s="4" t="str">
        <f>F445&amp;"-"&amp;G445&amp;"-"&amp;F445</f>
        <v>LIM-CUZ-LIM</v>
      </c>
      <c r="V445" s="4" t="str">
        <f>IF($M$445="","",$M$445)</f>
        <v/>
      </c>
      <c r="W445" s="4" t="str">
        <f>IF($O$445="","",$O$445)</f>
        <v/>
      </c>
      <c r="X445" s="4">
        <f>J445</f>
        <v>320</v>
      </c>
    </row>
    <row r="446" spans="2:24" ht="30" x14ac:dyDescent="0.25">
      <c r="B446" s="4">
        <v>531</v>
      </c>
      <c r="C446" s="4" t="s">
        <v>153</v>
      </c>
      <c r="D446" s="4" t="s">
        <v>154</v>
      </c>
      <c r="E446" s="4">
        <v>2062</v>
      </c>
      <c r="F446" s="4" t="s">
        <v>30</v>
      </c>
      <c r="G446" s="4" t="s">
        <v>29</v>
      </c>
      <c r="H446" s="4" t="s">
        <v>72</v>
      </c>
      <c r="I446" s="4" t="s">
        <v>51</v>
      </c>
      <c r="J446" s="4">
        <v>320</v>
      </c>
      <c r="K446" t="str">
        <f>TEXT(TIMEVALUE(H446)-TIMEVALUE(I445)+(TIMEVALUE(H446)&lt;TIMEVALUE(I445)),"[h]:mm")</f>
        <v>0:40</v>
      </c>
      <c r="L446" s="4" t="s">
        <v>36</v>
      </c>
      <c r="O446" t="str">
        <f>"LIM-"&amp;G445&amp;"-LIM   LA "&amp;E445&amp;" ("&amp;LEFT(H445,5)&amp;"-"&amp;LEFT(I445,5)&amp;" hrs)  /  LA "&amp;E446&amp;" ("&amp;LEFT(H446,5)&amp;"-"&amp;LEFT(I446,5)&amp;" hrs)"</f>
        <v>LIM-CUZ-LIM   LA 2061 (11:40-13:00 hrs)  /  LA 2062 (13:40-15:15 hrs)</v>
      </c>
    </row>
    <row r="447" spans="2:24" ht="30" x14ac:dyDescent="0.25">
      <c r="B447" s="4">
        <v>555</v>
      </c>
      <c r="C447" s="4" t="s">
        <v>153</v>
      </c>
      <c r="D447" s="4" t="s">
        <v>154</v>
      </c>
      <c r="E447" s="4">
        <v>2276</v>
      </c>
      <c r="F447" s="4" t="s">
        <v>29</v>
      </c>
      <c r="G447" s="4" t="s">
        <v>30</v>
      </c>
      <c r="H447" s="4" t="s">
        <v>52</v>
      </c>
      <c r="I447" s="4" t="s">
        <v>121</v>
      </c>
      <c r="J447" s="4">
        <v>319</v>
      </c>
      <c r="K447" s="6" t="str">
        <f>TEXT(TIMEVALUE(H447)-TIMEVALUE(I446)+(TIMEVALUE(H447)&lt;TIMEVALUE(I446)),"[h]:mm")</f>
        <v>1:20</v>
      </c>
      <c r="L447" s="4" t="s">
        <v>33</v>
      </c>
      <c r="M447" t="str">
        <f>IF($M$445="","",$M$445)</f>
        <v/>
      </c>
      <c r="O447" t="str">
        <f>IF($O$445="","",$O$445)</f>
        <v/>
      </c>
      <c r="Q447" s="4">
        <f>B447</f>
        <v>555</v>
      </c>
      <c r="R447" s="4" t="str">
        <f>C447</f>
        <v>06/10/2026</v>
      </c>
      <c r="S447" s="4" t="str">
        <f>D447</f>
        <v>martes</v>
      </c>
      <c r="T447" s="4" t="str">
        <f>E447&amp;"/"&amp;E448</f>
        <v>2276/2277</v>
      </c>
      <c r="U447" s="4" t="str">
        <f>F447&amp;"-"&amp;G447&amp;"-"&amp;F447</f>
        <v>LIM-CUZ-LIM</v>
      </c>
      <c r="V447" s="4" t="str">
        <f>IF($M$445="","",$M$445)</f>
        <v/>
      </c>
      <c r="W447" s="4" t="str">
        <f>IF($O$445="","",$O$445)</f>
        <v/>
      </c>
      <c r="X447" s="4">
        <f>J447</f>
        <v>319</v>
      </c>
    </row>
    <row r="448" spans="2:24" ht="30" x14ac:dyDescent="0.25">
      <c r="B448" s="4">
        <v>555</v>
      </c>
      <c r="C448" s="4" t="s">
        <v>153</v>
      </c>
      <c r="D448" s="4" t="s">
        <v>154</v>
      </c>
      <c r="E448" s="4">
        <v>2277</v>
      </c>
      <c r="F448" s="4" t="s">
        <v>30</v>
      </c>
      <c r="G448" s="4" t="s">
        <v>29</v>
      </c>
      <c r="H448" s="4" t="s">
        <v>127</v>
      </c>
      <c r="I448" s="4" t="s">
        <v>155</v>
      </c>
      <c r="J448" s="4">
        <v>319</v>
      </c>
      <c r="K448" t="str">
        <f>TEXT(TIMEVALUE(H448)-TIMEVALUE(I447)+(TIMEVALUE(H448)&lt;TIMEVALUE(I447)),"[h]:mm")</f>
        <v>0:55</v>
      </c>
      <c r="L448" s="4" t="s">
        <v>36</v>
      </c>
      <c r="O448" t="str">
        <f>"LIM-"&amp;G447&amp;"-LIM   LA "&amp;E447&amp;" ("&amp;LEFT(H447,5)&amp;"-"&amp;LEFT(I447,5)&amp;" hrs)  /  LA "&amp;E448&amp;" ("&amp;LEFT(H448,5)&amp;"-"&amp;LEFT(I448,5)&amp;" hrs)"</f>
        <v>LIM-CUZ-LIM   LA 2276 (16:35-17:55 hrs)  /  LA 2277 (18:50-20:25 hrs)</v>
      </c>
    </row>
    <row r="449" spans="2:24" x14ac:dyDescent="0.25">
      <c r="J449" s="7" t="s">
        <v>43</v>
      </c>
      <c r="K449" s="8" t="str">
        <f>TEXT(TIMEVALUE(I448)-TIMEVALUE(H445)+(I448&lt;H445),"[h]:mm")</f>
        <v>8:45</v>
      </c>
    </row>
    <row r="451" spans="2:24" ht="30" x14ac:dyDescent="0.25">
      <c r="B451" s="3" t="s">
        <v>9</v>
      </c>
      <c r="C451" s="3" t="s">
        <v>17</v>
      </c>
      <c r="D451" s="3" t="s">
        <v>18</v>
      </c>
      <c r="E451" s="3" t="s">
        <v>19</v>
      </c>
      <c r="F451" s="3" t="s">
        <v>20</v>
      </c>
      <c r="G451" s="3" t="s">
        <v>21</v>
      </c>
      <c r="H451" s="3" t="s">
        <v>22</v>
      </c>
      <c r="I451" s="3" t="s">
        <v>23</v>
      </c>
      <c r="J451" s="3" t="s">
        <v>24</v>
      </c>
      <c r="K451" s="3" t="s">
        <v>25</v>
      </c>
      <c r="L451" s="3" t="s">
        <v>26</v>
      </c>
    </row>
    <row r="452" spans="2:24" ht="30" x14ac:dyDescent="0.25">
      <c r="B452" s="4">
        <v>535</v>
      </c>
      <c r="C452" s="4" t="s">
        <v>153</v>
      </c>
      <c r="D452" s="4" t="s">
        <v>154</v>
      </c>
      <c r="E452" s="4">
        <v>2120</v>
      </c>
      <c r="F452" s="4" t="s">
        <v>29</v>
      </c>
      <c r="G452" s="4" t="s">
        <v>30</v>
      </c>
      <c r="H452" s="4" t="s">
        <v>123</v>
      </c>
      <c r="I452" s="4" t="s">
        <v>82</v>
      </c>
      <c r="J452" s="4">
        <v>320</v>
      </c>
      <c r="L452" s="4" t="s">
        <v>33</v>
      </c>
      <c r="M452" s="5"/>
      <c r="O452" s="5"/>
      <c r="Q452" s="4">
        <f>B452</f>
        <v>535</v>
      </c>
      <c r="R452" s="4" t="str">
        <f>C452</f>
        <v>06/10/2026</v>
      </c>
      <c r="S452" s="4" t="str">
        <f>D452</f>
        <v>martes</v>
      </c>
      <c r="T452" s="4" t="str">
        <f>E452&amp;"/"&amp;E453</f>
        <v>2120/2121</v>
      </c>
      <c r="U452" s="4" t="str">
        <f>F452&amp;"-"&amp;G452&amp;"-"&amp;F452</f>
        <v>LIM-CUZ-LIM</v>
      </c>
      <c r="V452" s="4" t="str">
        <f>IF($M$452="","",$M$452)</f>
        <v/>
      </c>
      <c r="W452" s="4" t="str">
        <f>IF($O$452="","",$O$452)</f>
        <v/>
      </c>
      <c r="X452" s="4">
        <f>J452</f>
        <v>320</v>
      </c>
    </row>
    <row r="453" spans="2:24" ht="30" x14ac:dyDescent="0.25">
      <c r="B453" s="4">
        <v>535</v>
      </c>
      <c r="C453" s="4" t="s">
        <v>153</v>
      </c>
      <c r="D453" s="4" t="s">
        <v>154</v>
      </c>
      <c r="E453" s="4">
        <v>2121</v>
      </c>
      <c r="F453" s="4" t="s">
        <v>30</v>
      </c>
      <c r="G453" s="4" t="s">
        <v>29</v>
      </c>
      <c r="H453" s="4" t="s">
        <v>124</v>
      </c>
      <c r="I453" s="4" t="s">
        <v>90</v>
      </c>
      <c r="J453" s="4">
        <v>320</v>
      </c>
      <c r="K453" t="str">
        <f>TEXT(TIMEVALUE(H453)-TIMEVALUE(I452)+(TIMEVALUE(H453)&lt;TIMEVALUE(I452)),"[h]:mm")</f>
        <v>3:40</v>
      </c>
      <c r="L453" s="4" t="s">
        <v>36</v>
      </c>
      <c r="O453" t="str">
        <f>"LIM-"&amp;G452&amp;"-LIM   LA "&amp;E452&amp;" ("&amp;LEFT(H452,5)&amp;"-"&amp;LEFT(I452,5)&amp;" hrs)  /  LA "&amp;E453&amp;" ("&amp;LEFT(H453,5)&amp;"-"&amp;LEFT(I453,5)&amp;" hrs)"</f>
        <v>LIM-CUZ-LIM   LA 2120 (12:35-13:55 hrs)  /  LA 2121 (17:35-19:10 hrs)</v>
      </c>
    </row>
    <row r="454" spans="2:24" x14ac:dyDescent="0.25">
      <c r="J454" s="7" t="s">
        <v>43</v>
      </c>
      <c r="K454" s="8" t="str">
        <f>TEXT(TIMEVALUE(I453)-TIMEVALUE(H452)+(I453&lt;H452),"[h]:mm")</f>
        <v>6:35</v>
      </c>
    </row>
    <row r="456" spans="2:24" ht="30" x14ac:dyDescent="0.25">
      <c r="B456" s="3" t="s">
        <v>9</v>
      </c>
      <c r="C456" s="3" t="s">
        <v>17</v>
      </c>
      <c r="D456" s="3" t="s">
        <v>18</v>
      </c>
      <c r="E456" s="3" t="s">
        <v>19</v>
      </c>
      <c r="F456" s="3" t="s">
        <v>20</v>
      </c>
      <c r="G456" s="3" t="s">
        <v>21</v>
      </c>
      <c r="H456" s="3" t="s">
        <v>22</v>
      </c>
      <c r="I456" s="3" t="s">
        <v>23</v>
      </c>
      <c r="J456" s="3" t="s">
        <v>24</v>
      </c>
      <c r="K456" s="3" t="s">
        <v>25</v>
      </c>
      <c r="L456" s="3" t="s">
        <v>26</v>
      </c>
    </row>
    <row r="457" spans="2:24" ht="30" x14ac:dyDescent="0.25">
      <c r="B457" s="4">
        <v>537</v>
      </c>
      <c r="C457" s="4" t="s">
        <v>153</v>
      </c>
      <c r="D457" s="4" t="s">
        <v>154</v>
      </c>
      <c r="E457" s="4">
        <v>2308</v>
      </c>
      <c r="F457" s="4" t="s">
        <v>29</v>
      </c>
      <c r="G457" s="4" t="s">
        <v>125</v>
      </c>
      <c r="H457" s="4" t="s">
        <v>144</v>
      </c>
      <c r="I457" s="4" t="s">
        <v>145</v>
      </c>
      <c r="J457" s="4">
        <v>320</v>
      </c>
      <c r="L457" s="4" t="s">
        <v>47</v>
      </c>
      <c r="M457" s="5"/>
      <c r="O457" s="5"/>
      <c r="Q457" s="4">
        <f>B457</f>
        <v>537</v>
      </c>
      <c r="R457" s="4" t="str">
        <f>C457</f>
        <v>06/10/2026</v>
      </c>
      <c r="S457" s="4" t="str">
        <f>D457</f>
        <v>martes</v>
      </c>
      <c r="T457" s="4" t="str">
        <f>E457&amp;"/"&amp;E458</f>
        <v>2308/2309</v>
      </c>
      <c r="U457" s="4" t="str">
        <f>F457&amp;"-"&amp;G457&amp;"-"&amp;F457</f>
        <v>LIM-PIU-LIM</v>
      </c>
      <c r="V457" s="4" t="str">
        <f>IF($M$457="","",$M$457)</f>
        <v/>
      </c>
      <c r="W457" s="4" t="str">
        <f>IF($O$457="","",$O$457)</f>
        <v/>
      </c>
      <c r="X457" s="4">
        <f>J457</f>
        <v>320</v>
      </c>
    </row>
    <row r="458" spans="2:24" ht="30" x14ac:dyDescent="0.25">
      <c r="B458" s="4">
        <v>537</v>
      </c>
      <c r="C458" s="4" t="s">
        <v>153</v>
      </c>
      <c r="D458" s="4" t="s">
        <v>154</v>
      </c>
      <c r="E458" s="4">
        <v>2309</v>
      </c>
      <c r="F458" s="4" t="s">
        <v>125</v>
      </c>
      <c r="G458" s="4" t="s">
        <v>29</v>
      </c>
      <c r="H458" s="4" t="s">
        <v>146</v>
      </c>
      <c r="I458" s="4" t="s">
        <v>60</v>
      </c>
      <c r="J458" s="4">
        <v>320</v>
      </c>
      <c r="K458" t="str">
        <f>TEXT(TIMEVALUE(H458)-TIMEVALUE(I457)+(TIMEVALUE(H458)&lt;TIMEVALUE(I457)),"[h]:mm")</f>
        <v>0:35</v>
      </c>
      <c r="L458" s="4" t="s">
        <v>40</v>
      </c>
      <c r="O458" t="str">
        <f>"LIM-"&amp;G457&amp;"-LIM   LA "&amp;E457&amp;" ("&amp;LEFT(H457,5)&amp;"-"&amp;LEFT(I457,5)&amp;" hrs)  /  LA "&amp;E458&amp;" ("&amp;LEFT(H458,5)&amp;"-"&amp;LEFT(I458,5)&amp;" hrs)"</f>
        <v>LIM-PIU-LIM   LA 2308 (12:50-14:35 hrs)  /  LA 2309 (15:10-16:40 hrs)</v>
      </c>
    </row>
    <row r="459" spans="2:24" ht="30" x14ac:dyDescent="0.25">
      <c r="B459" s="4">
        <v>558</v>
      </c>
      <c r="C459" s="4" t="s">
        <v>153</v>
      </c>
      <c r="D459" s="4" t="s">
        <v>154</v>
      </c>
      <c r="E459" s="4">
        <v>2236</v>
      </c>
      <c r="F459" s="4" t="s">
        <v>29</v>
      </c>
      <c r="G459" s="4" t="s">
        <v>125</v>
      </c>
      <c r="H459" s="4" t="s">
        <v>156</v>
      </c>
      <c r="I459" s="4" t="s">
        <v>79</v>
      </c>
      <c r="J459" s="4">
        <v>320</v>
      </c>
      <c r="K459" s="6" t="str">
        <f>TEXT(TIMEVALUE(H459)-TIMEVALUE(I458)+(TIMEVALUE(H459)&lt;TIMEVALUE(I458)),"[h]:mm")</f>
        <v>1:20</v>
      </c>
      <c r="L459" s="4" t="s">
        <v>71</v>
      </c>
      <c r="M459" t="str">
        <f>IF($M$457="","",$M$457)</f>
        <v/>
      </c>
      <c r="O459" t="str">
        <f>IF($O$457="","",$O$457)</f>
        <v/>
      </c>
      <c r="Q459" s="4">
        <f>B459</f>
        <v>558</v>
      </c>
      <c r="R459" s="4" t="str">
        <f>C459</f>
        <v>06/10/2026</v>
      </c>
      <c r="S459" s="4" t="str">
        <f>D459</f>
        <v>martes</v>
      </c>
      <c r="T459" s="4" t="str">
        <f>E459&amp;"/"&amp;E460</f>
        <v>2236/2237</v>
      </c>
      <c r="U459" s="4" t="str">
        <f>F459&amp;"-"&amp;G459&amp;"-"&amp;F459</f>
        <v>LIM-PIU-LIM</v>
      </c>
      <c r="V459" s="4" t="str">
        <f>IF($M$457="","",$M$457)</f>
        <v/>
      </c>
      <c r="W459" s="4" t="str">
        <f>IF($O$457="","",$O$457)</f>
        <v/>
      </c>
      <c r="X459" s="4">
        <f>J459</f>
        <v>320</v>
      </c>
    </row>
    <row r="460" spans="2:24" ht="30" x14ac:dyDescent="0.25">
      <c r="B460" s="4">
        <v>558</v>
      </c>
      <c r="C460" s="4" t="s">
        <v>153</v>
      </c>
      <c r="D460" s="4" t="s">
        <v>154</v>
      </c>
      <c r="E460" s="4">
        <v>2237</v>
      </c>
      <c r="F460" s="4" t="s">
        <v>125</v>
      </c>
      <c r="G460" s="4" t="s">
        <v>29</v>
      </c>
      <c r="H460" s="4" t="s">
        <v>157</v>
      </c>
      <c r="I460" s="4" t="s">
        <v>158</v>
      </c>
      <c r="J460" s="4">
        <v>320</v>
      </c>
      <c r="K460" t="str">
        <f>TEXT(TIMEVALUE(H460)-TIMEVALUE(I459)+(TIMEVALUE(H460)&lt;TIMEVALUE(I459)),"[h]:mm")</f>
        <v>0:35</v>
      </c>
      <c r="L460" s="4" t="s">
        <v>36</v>
      </c>
      <c r="O460" t="str">
        <f>"LIM-"&amp;G459&amp;"-LIM   LA "&amp;E459&amp;" ("&amp;LEFT(H459,5)&amp;"-"&amp;LEFT(I459,5)&amp;" hrs)  /  LA "&amp;E460&amp;" ("&amp;LEFT(H460,5)&amp;"-"&amp;LEFT(I460,5)&amp;" hrs)"</f>
        <v>LIM-PIU-LIM   LA 2236 (18:00-19:40 hrs)  /  LA 2237 (20:15-21:50 hrs)</v>
      </c>
    </row>
    <row r="461" spans="2:24" x14ac:dyDescent="0.25">
      <c r="J461" s="7" t="s">
        <v>43</v>
      </c>
      <c r="K461" s="8" t="str">
        <f>TEXT(TIMEVALUE(I460)-TIMEVALUE(H457)+(I460&lt;H457),"[h]:mm")</f>
        <v>9:00</v>
      </c>
    </row>
    <row r="463" spans="2:24" ht="30" x14ac:dyDescent="0.25">
      <c r="B463" s="3" t="s">
        <v>9</v>
      </c>
      <c r="C463" s="3" t="s">
        <v>17</v>
      </c>
      <c r="D463" s="3" t="s">
        <v>18</v>
      </c>
      <c r="E463" s="3" t="s">
        <v>19</v>
      </c>
      <c r="F463" s="3" t="s">
        <v>20</v>
      </c>
      <c r="G463" s="3" t="s">
        <v>21</v>
      </c>
      <c r="H463" s="3" t="s">
        <v>22</v>
      </c>
      <c r="I463" s="3" t="s">
        <v>23</v>
      </c>
      <c r="J463" s="3" t="s">
        <v>24</v>
      </c>
      <c r="K463" s="3" t="s">
        <v>25</v>
      </c>
      <c r="L463" s="3" t="s">
        <v>26</v>
      </c>
    </row>
    <row r="464" spans="2:24" ht="30" x14ac:dyDescent="0.25">
      <c r="B464" s="4">
        <v>542</v>
      </c>
      <c r="C464" s="4" t="s">
        <v>153</v>
      </c>
      <c r="D464" s="4" t="s">
        <v>154</v>
      </c>
      <c r="E464" s="4">
        <v>2028</v>
      </c>
      <c r="F464" s="4" t="s">
        <v>29</v>
      </c>
      <c r="G464" s="4" t="s">
        <v>30</v>
      </c>
      <c r="H464" s="4" t="s">
        <v>65</v>
      </c>
      <c r="I464" s="4" t="s">
        <v>75</v>
      </c>
      <c r="J464" s="4">
        <v>320</v>
      </c>
      <c r="L464" s="4" t="s">
        <v>33</v>
      </c>
      <c r="M464" s="5"/>
      <c r="O464" s="5"/>
      <c r="Q464" s="4">
        <f>B464</f>
        <v>542</v>
      </c>
      <c r="R464" s="4" t="str">
        <f>C464</f>
        <v>06/10/2026</v>
      </c>
      <c r="S464" s="4" t="str">
        <f>D464</f>
        <v>martes</v>
      </c>
      <c r="T464" s="4" t="str">
        <f>E464&amp;"/"&amp;E465</f>
        <v>2028/2029</v>
      </c>
      <c r="U464" s="4" t="str">
        <f>F464&amp;"-"&amp;G464&amp;"-"&amp;F464</f>
        <v>LIM-CUZ-LIM</v>
      </c>
      <c r="V464" s="4" t="str">
        <f>IF($M$464="","",$M$464)</f>
        <v/>
      </c>
      <c r="W464" s="4" t="str">
        <f>IF($O$464="","",$O$464)</f>
        <v/>
      </c>
      <c r="X464" s="4">
        <f>J464</f>
        <v>320</v>
      </c>
    </row>
    <row r="465" spans="2:24" ht="30" x14ac:dyDescent="0.25">
      <c r="B465" s="4">
        <v>542</v>
      </c>
      <c r="C465" s="4" t="s">
        <v>153</v>
      </c>
      <c r="D465" s="4" t="s">
        <v>154</v>
      </c>
      <c r="E465" s="4">
        <v>2029</v>
      </c>
      <c r="F465" s="4" t="s">
        <v>30</v>
      </c>
      <c r="G465" s="4" t="s">
        <v>29</v>
      </c>
      <c r="H465" s="4" t="s">
        <v>76</v>
      </c>
      <c r="I465" s="4" t="s">
        <v>77</v>
      </c>
      <c r="J465" s="4">
        <v>320</v>
      </c>
      <c r="K465" t="str">
        <f>TEXT(TIMEVALUE(H465)-TIMEVALUE(I464)+(TIMEVALUE(H465)&lt;TIMEVALUE(I464)),"[h]:mm")</f>
        <v>0:45</v>
      </c>
      <c r="L465" s="4" t="s">
        <v>36</v>
      </c>
      <c r="O465" t="str">
        <f>"LIM-"&amp;G464&amp;"-LIM   LA "&amp;E464&amp;" ("&amp;LEFT(H464,5)&amp;"-"&amp;LEFT(I464,5)&amp;" hrs)  /  LA "&amp;E465&amp;" ("&amp;LEFT(H465,5)&amp;"-"&amp;LEFT(I465,5)&amp;" hrs)"</f>
        <v>LIM-CUZ-LIM   LA 2028 (13:25-14:45 hrs)  /  LA 2029 (15:30-17:05 hrs)</v>
      </c>
    </row>
    <row r="466" spans="2:24" ht="30" x14ac:dyDescent="0.25">
      <c r="B466" s="4">
        <v>559</v>
      </c>
      <c r="C466" s="4" t="s">
        <v>153</v>
      </c>
      <c r="D466" s="4" t="s">
        <v>154</v>
      </c>
      <c r="E466" s="4">
        <v>2310</v>
      </c>
      <c r="F466" s="4" t="s">
        <v>29</v>
      </c>
      <c r="G466" s="4" t="s">
        <v>37</v>
      </c>
      <c r="H466" s="4" t="s">
        <v>111</v>
      </c>
      <c r="I466" s="4" t="s">
        <v>112</v>
      </c>
      <c r="J466" s="4">
        <v>320</v>
      </c>
      <c r="K466" s="6" t="str">
        <f>TEXT(TIMEVALUE(H466)-TIMEVALUE(I465)+(TIMEVALUE(H466)&lt;TIMEVALUE(I465)),"[h]:mm")</f>
        <v>1:10</v>
      </c>
      <c r="L466" s="4" t="s">
        <v>40</v>
      </c>
      <c r="M466" t="str">
        <f>IF($M$464="","",$M$464)</f>
        <v/>
      </c>
      <c r="O466" t="str">
        <f>IF($O$464="","",$O$464)</f>
        <v/>
      </c>
      <c r="Q466" s="4">
        <f>B466</f>
        <v>559</v>
      </c>
      <c r="R466" s="4" t="str">
        <f>C466</f>
        <v>06/10/2026</v>
      </c>
      <c r="S466" s="4" t="str">
        <f>D466</f>
        <v>martes</v>
      </c>
      <c r="T466" s="4" t="str">
        <f>E466&amp;"/"&amp;E467</f>
        <v>2310/2311</v>
      </c>
      <c r="U466" s="4" t="str">
        <f>F466&amp;"-"&amp;G466&amp;"-"&amp;F466</f>
        <v>LIM-CIX-LIM</v>
      </c>
      <c r="V466" s="4" t="str">
        <f>IF($M$464="","",$M$464)</f>
        <v/>
      </c>
      <c r="W466" s="4" t="str">
        <f>IF($O$464="","",$O$464)</f>
        <v/>
      </c>
      <c r="X466" s="4">
        <f>J466</f>
        <v>320</v>
      </c>
    </row>
    <row r="467" spans="2:24" ht="30" x14ac:dyDescent="0.25">
      <c r="B467" s="4">
        <v>559</v>
      </c>
      <c r="C467" s="4" t="s">
        <v>153</v>
      </c>
      <c r="D467" s="4" t="s">
        <v>154</v>
      </c>
      <c r="E467" s="4">
        <v>2311</v>
      </c>
      <c r="F467" s="4" t="s">
        <v>37</v>
      </c>
      <c r="G467" s="4" t="s">
        <v>29</v>
      </c>
      <c r="H467" s="4" t="s">
        <v>113</v>
      </c>
      <c r="I467" s="4" t="s">
        <v>114</v>
      </c>
      <c r="J467" s="4">
        <v>320</v>
      </c>
      <c r="K467" t="str">
        <f>TEXT(TIMEVALUE(H467)-TIMEVALUE(I466)+(TIMEVALUE(H467)&lt;TIMEVALUE(I466)),"[h]:mm")</f>
        <v>0:35</v>
      </c>
      <c r="L467" s="4" t="s">
        <v>93</v>
      </c>
      <c r="O467" t="str">
        <f>"LIM-"&amp;G466&amp;"-LIM   LA "&amp;E466&amp;" ("&amp;LEFT(H466,5)&amp;"-"&amp;LEFT(I466,5)&amp;" hrs)  /  LA "&amp;E467&amp;" ("&amp;LEFT(H467,5)&amp;"-"&amp;LEFT(I467,5)&amp;" hrs)"</f>
        <v>LIM-CIX-LIM   LA 2310 (18:15-19:45 hrs)  /  LA 2311 (20:20-21:45 hrs)</v>
      </c>
    </row>
    <row r="468" spans="2:24" x14ac:dyDescent="0.25">
      <c r="J468" s="7" t="s">
        <v>43</v>
      </c>
      <c r="K468" s="8" t="str">
        <f>TEXT(TIMEVALUE(I467)-TIMEVALUE(H464)+(I467&lt;H464),"[h]:mm")</f>
        <v>8:20</v>
      </c>
    </row>
    <row r="470" spans="2:24" ht="30" x14ac:dyDescent="0.25">
      <c r="B470" s="3" t="s">
        <v>9</v>
      </c>
      <c r="C470" s="3" t="s">
        <v>17</v>
      </c>
      <c r="D470" s="3" t="s">
        <v>18</v>
      </c>
      <c r="E470" s="3" t="s">
        <v>19</v>
      </c>
      <c r="F470" s="3" t="s">
        <v>20</v>
      </c>
      <c r="G470" s="3" t="s">
        <v>21</v>
      </c>
      <c r="H470" s="3" t="s">
        <v>22</v>
      </c>
      <c r="I470" s="3" t="s">
        <v>23</v>
      </c>
      <c r="J470" s="3" t="s">
        <v>24</v>
      </c>
      <c r="K470" s="3" t="s">
        <v>25</v>
      </c>
      <c r="L470" s="3" t="s">
        <v>26</v>
      </c>
    </row>
    <row r="471" spans="2:24" ht="30" x14ac:dyDescent="0.25">
      <c r="B471" s="4">
        <v>546</v>
      </c>
      <c r="C471" s="4" t="s">
        <v>153</v>
      </c>
      <c r="D471" s="4" t="s">
        <v>154</v>
      </c>
      <c r="E471" s="4">
        <v>2264</v>
      </c>
      <c r="F471" s="4" t="s">
        <v>29</v>
      </c>
      <c r="G471" s="4" t="s">
        <v>44</v>
      </c>
      <c r="H471" s="4" t="s">
        <v>87</v>
      </c>
      <c r="I471" s="4" t="s">
        <v>60</v>
      </c>
      <c r="J471" s="4">
        <v>320</v>
      </c>
      <c r="L471" s="4" t="s">
        <v>47</v>
      </c>
      <c r="M471" s="5"/>
      <c r="O471" s="5"/>
      <c r="Q471" s="4">
        <f>B471</f>
        <v>546</v>
      </c>
      <c r="R471" s="4" t="str">
        <f>C471</f>
        <v>06/10/2026</v>
      </c>
      <c r="S471" s="4" t="str">
        <f>D471</f>
        <v>martes</v>
      </c>
      <c r="T471" s="4" t="str">
        <f>E471&amp;"/"&amp;E472</f>
        <v>2264/2265</v>
      </c>
      <c r="U471" s="4" t="str">
        <f>F471&amp;"-"&amp;G471&amp;"-"&amp;F471</f>
        <v>LIM-PEM-LIM</v>
      </c>
      <c r="V471" s="4" t="str">
        <f>IF($M$471="","",$M$471)</f>
        <v/>
      </c>
      <c r="W471" s="4" t="str">
        <f>IF($O$471="","",$O$471)</f>
        <v/>
      </c>
      <c r="X471" s="4">
        <f>J471</f>
        <v>320</v>
      </c>
    </row>
    <row r="472" spans="2:24" ht="30" x14ac:dyDescent="0.25">
      <c r="B472" s="4">
        <v>546</v>
      </c>
      <c r="C472" s="4" t="s">
        <v>153</v>
      </c>
      <c r="D472" s="4" t="s">
        <v>154</v>
      </c>
      <c r="E472" s="4">
        <v>2265</v>
      </c>
      <c r="F472" s="4" t="s">
        <v>44</v>
      </c>
      <c r="G472" s="4" t="s">
        <v>29</v>
      </c>
      <c r="H472" s="4" t="s">
        <v>53</v>
      </c>
      <c r="I472" s="4" t="s">
        <v>88</v>
      </c>
      <c r="J472" s="4">
        <v>320</v>
      </c>
      <c r="K472" t="str">
        <f>TEXT(TIMEVALUE(H472)-TIMEVALUE(I471)+(TIMEVALUE(H472)&lt;TIMEVALUE(I471)),"[h]:mm")</f>
        <v>0:40</v>
      </c>
      <c r="L472" s="4" t="s">
        <v>36</v>
      </c>
      <c r="O472" t="str">
        <f>"LIM-"&amp;G471&amp;"-LIM   LA "&amp;E471&amp;" ("&amp;LEFT(H471,5)&amp;"-"&amp;LEFT(I471,5)&amp;" hrs)  /  LA "&amp;E472&amp;" ("&amp;LEFT(H472,5)&amp;"-"&amp;LEFT(I472,5)&amp;" hrs)"</f>
        <v>LIM-PEM-LIM   LA 2264 (14:55-16:40 hrs)  /  LA 2265 (17:20-18:55 hrs)</v>
      </c>
    </row>
    <row r="473" spans="2:24" ht="30" x14ac:dyDescent="0.25">
      <c r="B473" s="4">
        <v>561</v>
      </c>
      <c r="C473" s="4" t="s">
        <v>153</v>
      </c>
      <c r="D473" s="4" t="s">
        <v>154</v>
      </c>
      <c r="E473" s="4">
        <v>2278</v>
      </c>
      <c r="F473" s="4" t="s">
        <v>29</v>
      </c>
      <c r="G473" s="4" t="s">
        <v>37</v>
      </c>
      <c r="H473" s="4" t="s">
        <v>122</v>
      </c>
      <c r="I473" s="4" t="s">
        <v>159</v>
      </c>
      <c r="J473" s="4">
        <v>320</v>
      </c>
      <c r="K473" s="6" t="str">
        <f>TEXT(TIMEVALUE(H473)-TIMEVALUE(I472)+(TIMEVALUE(H473)&lt;TIMEVALUE(I472)),"[h]:mm")</f>
        <v>1:15</v>
      </c>
      <c r="L473" s="4" t="s">
        <v>40</v>
      </c>
      <c r="M473" t="str">
        <f>IF($M$471="","",$M$471)</f>
        <v/>
      </c>
      <c r="O473" t="str">
        <f>IF($O$471="","",$O$471)</f>
        <v/>
      </c>
      <c r="Q473" s="4">
        <f>B473</f>
        <v>561</v>
      </c>
      <c r="R473" s="4" t="str">
        <f>C473</f>
        <v>06/10/2026</v>
      </c>
      <c r="S473" s="4" t="str">
        <f>D473</f>
        <v>martes</v>
      </c>
      <c r="T473" s="4" t="str">
        <f>E473&amp;"/"&amp;E474</f>
        <v>2278/2279</v>
      </c>
      <c r="U473" s="4" t="str">
        <f>F473&amp;"-"&amp;G473&amp;"-"&amp;F473</f>
        <v>LIM-CIX-LIM</v>
      </c>
      <c r="V473" s="4" t="str">
        <f>IF($M$471="","",$M$471)</f>
        <v/>
      </c>
      <c r="W473" s="4" t="str">
        <f>IF($O$471="","",$O$471)</f>
        <v/>
      </c>
      <c r="X473" s="4">
        <f>J473</f>
        <v>320</v>
      </c>
    </row>
    <row r="474" spans="2:24" ht="30" x14ac:dyDescent="0.25">
      <c r="B474" s="4">
        <v>561</v>
      </c>
      <c r="C474" s="4" t="s">
        <v>153</v>
      </c>
      <c r="D474" s="4" t="s">
        <v>154</v>
      </c>
      <c r="E474" s="4">
        <v>2279</v>
      </c>
      <c r="F474" s="4" t="s">
        <v>37</v>
      </c>
      <c r="G474" s="4" t="s">
        <v>29</v>
      </c>
      <c r="H474" s="4" t="s">
        <v>160</v>
      </c>
      <c r="I474" s="4" t="s">
        <v>161</v>
      </c>
      <c r="J474" s="4">
        <v>320</v>
      </c>
      <c r="K474" t="str">
        <f>TEXT(TIMEVALUE(H474)-TIMEVALUE(I473)+(TIMEVALUE(H474)&lt;TIMEVALUE(I473)),"[h]:mm")</f>
        <v>0:35</v>
      </c>
      <c r="L474" s="4" t="s">
        <v>93</v>
      </c>
      <c r="O474" t="str">
        <f>"LIM-"&amp;G473&amp;"-LIM   LA "&amp;E473&amp;" ("&amp;LEFT(H473,5)&amp;"-"&amp;LEFT(I473,5)&amp;" hrs)  /  LA "&amp;E474&amp;" ("&amp;LEFT(H474,5)&amp;"-"&amp;LEFT(I474,5)&amp;" hrs)"</f>
        <v>LIM-CIX-LIM   LA 2278 (20:10-21:40 hrs)  /  LA 2279 (22:15-23:40 hrs)</v>
      </c>
    </row>
    <row r="475" spans="2:24" x14ac:dyDescent="0.25">
      <c r="J475" s="7" t="s">
        <v>43</v>
      </c>
      <c r="K475" s="8" t="str">
        <f>TEXT(TIMEVALUE(I474)-TIMEVALUE(H471)+(I474&lt;H471),"[h]:mm")</f>
        <v>8:45</v>
      </c>
    </row>
    <row r="477" spans="2:24" ht="30" x14ac:dyDescent="0.25">
      <c r="B477" s="3" t="s">
        <v>9</v>
      </c>
      <c r="C477" s="3" t="s">
        <v>17</v>
      </c>
      <c r="D477" s="3" t="s">
        <v>18</v>
      </c>
      <c r="E477" s="3" t="s">
        <v>19</v>
      </c>
      <c r="F477" s="3" t="s">
        <v>20</v>
      </c>
      <c r="G477" s="3" t="s">
        <v>21</v>
      </c>
      <c r="H477" s="3" t="s">
        <v>22</v>
      </c>
      <c r="I477" s="3" t="s">
        <v>23</v>
      </c>
      <c r="J477" s="3" t="s">
        <v>24</v>
      </c>
      <c r="K477" s="3" t="s">
        <v>25</v>
      </c>
      <c r="L477" s="3" t="s">
        <v>26</v>
      </c>
    </row>
    <row r="478" spans="2:24" ht="30" x14ac:dyDescent="0.25">
      <c r="B478" s="4">
        <v>547</v>
      </c>
      <c r="C478" s="4" t="s">
        <v>153</v>
      </c>
      <c r="D478" s="4" t="s">
        <v>154</v>
      </c>
      <c r="E478" s="4">
        <v>2338</v>
      </c>
      <c r="F478" s="4" t="s">
        <v>29</v>
      </c>
      <c r="G478" s="4" t="s">
        <v>125</v>
      </c>
      <c r="H478" s="4" t="s">
        <v>109</v>
      </c>
      <c r="I478" s="4" t="s">
        <v>86</v>
      </c>
      <c r="J478" s="4">
        <v>320</v>
      </c>
      <c r="L478" s="4" t="s">
        <v>47</v>
      </c>
      <c r="M478" s="5"/>
      <c r="O478" s="5"/>
      <c r="Q478" s="4">
        <f>B478</f>
        <v>547</v>
      </c>
      <c r="R478" s="4" t="str">
        <f>C478</f>
        <v>06/10/2026</v>
      </c>
      <c r="S478" s="4" t="str">
        <f>D478</f>
        <v>martes</v>
      </c>
      <c r="T478" s="4" t="str">
        <f>E478&amp;"/"&amp;E479</f>
        <v>2338/2339</v>
      </c>
      <c r="U478" s="4" t="str">
        <f>F478&amp;"-"&amp;G478&amp;"-"&amp;F478</f>
        <v>LIM-PIU-LIM</v>
      </c>
      <c r="V478" s="4" t="str">
        <f>IF($M$478="","",$M$478)</f>
        <v/>
      </c>
      <c r="W478" s="4" t="str">
        <f>IF($O$478="","",$O$478)</f>
        <v/>
      </c>
      <c r="X478" s="4">
        <f>J478</f>
        <v>320</v>
      </c>
    </row>
    <row r="479" spans="2:24" ht="30" x14ac:dyDescent="0.25">
      <c r="B479" s="4">
        <v>547</v>
      </c>
      <c r="C479" s="4" t="s">
        <v>153</v>
      </c>
      <c r="D479" s="4" t="s">
        <v>154</v>
      </c>
      <c r="E479" s="4">
        <v>2339</v>
      </c>
      <c r="F479" s="4" t="s">
        <v>125</v>
      </c>
      <c r="G479" s="4" t="s">
        <v>29</v>
      </c>
      <c r="H479" s="4" t="s">
        <v>53</v>
      </c>
      <c r="I479" s="4" t="s">
        <v>88</v>
      </c>
      <c r="J479" s="4">
        <v>320</v>
      </c>
      <c r="K479" t="str">
        <f>TEXT(TIMEVALUE(H479)-TIMEVALUE(I478)+(TIMEVALUE(H479)&lt;TIMEVALUE(I478)),"[h]:mm")</f>
        <v>0:35</v>
      </c>
      <c r="L479" s="4" t="s">
        <v>36</v>
      </c>
      <c r="O479" t="str">
        <f>"LIM-"&amp;G478&amp;"-LIM   LA "&amp;E478&amp;" ("&amp;LEFT(H478,5)&amp;"-"&amp;LEFT(I478,5)&amp;" hrs)  /  LA "&amp;E479&amp;" ("&amp;LEFT(H479,5)&amp;"-"&amp;LEFT(I479,5)&amp;" hrs)"</f>
        <v>LIM-PIU-LIM   LA 2338 (15:00-16:45 hrs)  /  LA 2339 (17:20-18:55 hrs)</v>
      </c>
    </row>
    <row r="480" spans="2:24" x14ac:dyDescent="0.25">
      <c r="J480" s="7" t="s">
        <v>43</v>
      </c>
      <c r="K480" s="8" t="str">
        <f>TEXT(TIMEVALUE(I479)-TIMEVALUE(H478)+(I479&lt;H478),"[h]:mm")</f>
        <v>3:55</v>
      </c>
    </row>
    <row r="482" spans="2:24" ht="30" x14ac:dyDescent="0.25">
      <c r="B482" s="3" t="s">
        <v>9</v>
      </c>
      <c r="C482" s="3" t="s">
        <v>17</v>
      </c>
      <c r="D482" s="3" t="s">
        <v>18</v>
      </c>
      <c r="E482" s="3" t="s">
        <v>19</v>
      </c>
      <c r="F482" s="3" t="s">
        <v>20</v>
      </c>
      <c r="G482" s="3" t="s">
        <v>21</v>
      </c>
      <c r="H482" s="3" t="s">
        <v>22</v>
      </c>
      <c r="I482" s="3" t="s">
        <v>23</v>
      </c>
      <c r="J482" s="3" t="s">
        <v>24</v>
      </c>
      <c r="K482" s="3" t="s">
        <v>25</v>
      </c>
      <c r="L482" s="3" t="s">
        <v>26</v>
      </c>
    </row>
    <row r="483" spans="2:24" ht="30" x14ac:dyDescent="0.25">
      <c r="B483" s="4">
        <v>548</v>
      </c>
      <c r="C483" s="4" t="s">
        <v>153</v>
      </c>
      <c r="D483" s="4" t="s">
        <v>154</v>
      </c>
      <c r="E483" s="4">
        <v>2113</v>
      </c>
      <c r="F483" s="4" t="s">
        <v>29</v>
      </c>
      <c r="G483" s="4" t="s">
        <v>56</v>
      </c>
      <c r="H483" s="4" t="s">
        <v>126</v>
      </c>
      <c r="I483" s="4" t="s">
        <v>52</v>
      </c>
      <c r="J483" s="4">
        <v>319</v>
      </c>
      <c r="L483" s="4" t="s">
        <v>40</v>
      </c>
      <c r="M483" s="5"/>
      <c r="O483" s="5"/>
      <c r="Q483" s="4">
        <f>B483</f>
        <v>548</v>
      </c>
      <c r="R483" s="4" t="str">
        <f>C483</f>
        <v>06/10/2026</v>
      </c>
      <c r="S483" s="4" t="str">
        <f>D483</f>
        <v>martes</v>
      </c>
      <c r="T483" s="4" t="str">
        <f>E483&amp;"/"&amp;E484</f>
        <v>2113/2112</v>
      </c>
      <c r="U483" s="4" t="str">
        <f>F483&amp;"-"&amp;G483&amp;"-"&amp;F483</f>
        <v>LIM-AQP-LIM</v>
      </c>
      <c r="V483" s="4" t="str">
        <f>IF($M$483="","",$M$483)</f>
        <v/>
      </c>
      <c r="W483" s="4" t="str">
        <f>IF($O$483="","",$O$483)</f>
        <v/>
      </c>
      <c r="X483" s="4">
        <f>J483</f>
        <v>319</v>
      </c>
    </row>
    <row r="484" spans="2:24" ht="30" x14ac:dyDescent="0.25">
      <c r="B484" s="4">
        <v>548</v>
      </c>
      <c r="C484" s="4" t="s">
        <v>153</v>
      </c>
      <c r="D484" s="4" t="s">
        <v>154</v>
      </c>
      <c r="E484" s="4">
        <v>2112</v>
      </c>
      <c r="F484" s="4" t="s">
        <v>56</v>
      </c>
      <c r="G484" s="4" t="s">
        <v>29</v>
      </c>
      <c r="H484" s="4" t="s">
        <v>42</v>
      </c>
      <c r="I484" s="4" t="s">
        <v>88</v>
      </c>
      <c r="J484" s="4">
        <v>319</v>
      </c>
      <c r="K484" t="str">
        <f>TEXT(TIMEVALUE(H484)-TIMEVALUE(I483)+(TIMEVALUE(H484)&lt;TIMEVALUE(I483)),"[h]:mm")</f>
        <v>0:40</v>
      </c>
      <c r="L484" s="4" t="s">
        <v>71</v>
      </c>
      <c r="O484" t="str">
        <f>"LIM-"&amp;G483&amp;"-LIM   LA "&amp;E483&amp;" ("&amp;LEFT(H483,5)&amp;"-"&amp;LEFT(I483,5)&amp;" hrs)  /  LA "&amp;E484&amp;" ("&amp;LEFT(H484,5)&amp;"-"&amp;LEFT(I484,5)&amp;" hrs)"</f>
        <v>LIM-AQP-LIM   LA 2113 (15:05-16:35 hrs)  /  LA 2112 (17:15-18:55 hrs)</v>
      </c>
    </row>
    <row r="485" spans="2:24" x14ac:dyDescent="0.25">
      <c r="J485" s="7" t="s">
        <v>43</v>
      </c>
      <c r="K485" s="8" t="str">
        <f>TEXT(TIMEVALUE(I484)-TIMEVALUE(H483)+(I484&lt;H483),"[h]:mm")</f>
        <v>3:50</v>
      </c>
    </row>
    <row r="487" spans="2:24" ht="30" x14ac:dyDescent="0.25">
      <c r="B487" s="3" t="s">
        <v>9</v>
      </c>
      <c r="C487" s="3" t="s">
        <v>17</v>
      </c>
      <c r="D487" s="3" t="s">
        <v>18</v>
      </c>
      <c r="E487" s="3" t="s">
        <v>19</v>
      </c>
      <c r="F487" s="3" t="s">
        <v>20</v>
      </c>
      <c r="G487" s="3" t="s">
        <v>21</v>
      </c>
      <c r="H487" s="3" t="s">
        <v>22</v>
      </c>
      <c r="I487" s="3" t="s">
        <v>23</v>
      </c>
      <c r="J487" s="3" t="s">
        <v>24</v>
      </c>
      <c r="K487" s="3" t="s">
        <v>25</v>
      </c>
      <c r="L487" s="3" t="s">
        <v>26</v>
      </c>
    </row>
    <row r="488" spans="2:24" ht="30" x14ac:dyDescent="0.25">
      <c r="B488" s="4">
        <v>551</v>
      </c>
      <c r="C488" s="4" t="s">
        <v>153</v>
      </c>
      <c r="D488" s="4" t="s">
        <v>154</v>
      </c>
      <c r="E488" s="4">
        <v>2360</v>
      </c>
      <c r="F488" s="4" t="s">
        <v>29</v>
      </c>
      <c r="G488" s="4" t="s">
        <v>58</v>
      </c>
      <c r="H488" s="4" t="s">
        <v>59</v>
      </c>
      <c r="I488" s="4" t="s">
        <v>60</v>
      </c>
      <c r="J488" s="4">
        <v>320</v>
      </c>
      <c r="L488" s="4" t="s">
        <v>61</v>
      </c>
      <c r="M488" s="5"/>
      <c r="O488" s="5"/>
      <c r="Q488" s="4">
        <f>B488</f>
        <v>551</v>
      </c>
      <c r="R488" s="4" t="str">
        <f>C488</f>
        <v>06/10/2026</v>
      </c>
      <c r="S488" s="4" t="str">
        <f>D488</f>
        <v>martes</v>
      </c>
      <c r="T488" s="4" t="str">
        <f>E488&amp;"/"&amp;E489</f>
        <v>2360/2361</v>
      </c>
      <c r="U488" s="4" t="str">
        <f>F488&amp;"-"&amp;G488&amp;"-"&amp;F488</f>
        <v>LIM-PCL-LIM</v>
      </c>
      <c r="V488" s="4" t="str">
        <f>IF($M$488="","",$M$488)</f>
        <v/>
      </c>
      <c r="W488" s="4" t="str">
        <f>IF($O$488="","",$O$488)</f>
        <v/>
      </c>
      <c r="X488" s="4">
        <f>J488</f>
        <v>320</v>
      </c>
    </row>
    <row r="489" spans="2:24" ht="30" x14ac:dyDescent="0.25">
      <c r="B489" s="4">
        <v>551</v>
      </c>
      <c r="C489" s="4" t="s">
        <v>153</v>
      </c>
      <c r="D489" s="4" t="s">
        <v>154</v>
      </c>
      <c r="E489" s="4">
        <v>2361</v>
      </c>
      <c r="F489" s="4" t="s">
        <v>58</v>
      </c>
      <c r="G489" s="4" t="s">
        <v>29</v>
      </c>
      <c r="H489" s="4" t="s">
        <v>53</v>
      </c>
      <c r="I489" s="4" t="s">
        <v>62</v>
      </c>
      <c r="J489" s="4">
        <v>320</v>
      </c>
      <c r="K489" t="str">
        <f>TEXT(TIMEVALUE(H489)-TIMEVALUE(I488)+(TIMEVALUE(H489)&lt;TIMEVALUE(I488)),"[h]:mm")</f>
        <v>0:40</v>
      </c>
      <c r="L489" s="4" t="s">
        <v>61</v>
      </c>
      <c r="O489" t="str">
        <f>"LIM-"&amp;G488&amp;"-LIM   LA "&amp;E488&amp;" ("&amp;LEFT(H488,5)&amp;"-"&amp;LEFT(I488,5)&amp;" hrs)  /  LA "&amp;E489&amp;" ("&amp;LEFT(H489,5)&amp;"-"&amp;LEFT(I489,5)&amp;" hrs)"</f>
        <v>LIM-PCL-LIM   LA 2360 (15:25-16:40 hrs)  /  LA 2361 (17:20-18:35 hrs)</v>
      </c>
    </row>
    <row r="490" spans="2:24" x14ac:dyDescent="0.25">
      <c r="J490" s="7" t="s">
        <v>43</v>
      </c>
      <c r="K490" s="8" t="str">
        <f>TEXT(TIMEVALUE(I489)-TIMEVALUE(H488)+(I489&lt;H488),"[h]:mm")</f>
        <v>3:10</v>
      </c>
    </row>
    <row r="492" spans="2:24" ht="30" x14ac:dyDescent="0.25">
      <c r="B492" s="3" t="s">
        <v>9</v>
      </c>
      <c r="C492" s="3" t="s">
        <v>17</v>
      </c>
      <c r="D492" s="3" t="s">
        <v>18</v>
      </c>
      <c r="E492" s="3" t="s">
        <v>19</v>
      </c>
      <c r="F492" s="3" t="s">
        <v>20</v>
      </c>
      <c r="G492" s="3" t="s">
        <v>21</v>
      </c>
      <c r="H492" s="3" t="s">
        <v>22</v>
      </c>
      <c r="I492" s="3" t="s">
        <v>23</v>
      </c>
      <c r="J492" s="3" t="s">
        <v>24</v>
      </c>
      <c r="K492" s="3" t="s">
        <v>25</v>
      </c>
      <c r="L492" s="3" t="s">
        <v>26</v>
      </c>
    </row>
    <row r="493" spans="2:24" ht="30" x14ac:dyDescent="0.25">
      <c r="B493" s="4">
        <v>552</v>
      </c>
      <c r="C493" s="4" t="s">
        <v>153</v>
      </c>
      <c r="D493" s="4" t="s">
        <v>154</v>
      </c>
      <c r="E493" s="4">
        <v>2312</v>
      </c>
      <c r="F493" s="4" t="s">
        <v>29</v>
      </c>
      <c r="G493" s="4" t="s">
        <v>37</v>
      </c>
      <c r="H493" s="4" t="s">
        <v>89</v>
      </c>
      <c r="I493" s="4" t="s">
        <v>77</v>
      </c>
      <c r="J493" s="4">
        <v>320</v>
      </c>
      <c r="L493" s="4" t="s">
        <v>40</v>
      </c>
      <c r="M493" s="5"/>
      <c r="O493" s="5"/>
      <c r="Q493" s="4">
        <f>B493</f>
        <v>552</v>
      </c>
      <c r="R493" s="4" t="str">
        <f>C493</f>
        <v>06/10/2026</v>
      </c>
      <c r="S493" s="4" t="str">
        <f>D493</f>
        <v>martes</v>
      </c>
      <c r="T493" s="4" t="str">
        <f>E493&amp;"/"&amp;E494</f>
        <v>2312/2313</v>
      </c>
      <c r="U493" s="4" t="str">
        <f>F493&amp;"-"&amp;G493&amp;"-"&amp;F493</f>
        <v>LIM-CIX-LIM</v>
      </c>
      <c r="V493" s="4" t="str">
        <f>IF($M$493="","",$M$493)</f>
        <v/>
      </c>
      <c r="W493" s="4" t="str">
        <f>IF($O$493="","",$O$493)</f>
        <v/>
      </c>
      <c r="X493" s="4">
        <f>J493</f>
        <v>320</v>
      </c>
    </row>
    <row r="494" spans="2:24" ht="30" x14ac:dyDescent="0.25">
      <c r="B494" s="4">
        <v>552</v>
      </c>
      <c r="C494" s="4" t="s">
        <v>153</v>
      </c>
      <c r="D494" s="4" t="s">
        <v>154</v>
      </c>
      <c r="E494" s="4">
        <v>2313</v>
      </c>
      <c r="F494" s="4" t="s">
        <v>37</v>
      </c>
      <c r="G494" s="4" t="s">
        <v>29</v>
      </c>
      <c r="H494" s="4" t="s">
        <v>84</v>
      </c>
      <c r="I494" s="4" t="s">
        <v>90</v>
      </c>
      <c r="J494" s="4">
        <v>320</v>
      </c>
      <c r="K494" t="str">
        <f>TEXT(TIMEVALUE(H494)-TIMEVALUE(I493)+(TIMEVALUE(H494)&lt;TIMEVALUE(I493)),"[h]:mm")</f>
        <v>0:45</v>
      </c>
      <c r="L494" s="4" t="s">
        <v>33</v>
      </c>
      <c r="O494" t="str">
        <f>"LIM-"&amp;G493&amp;"-LIM   LA "&amp;E493&amp;" ("&amp;LEFT(H493,5)&amp;"-"&amp;LEFT(I493,5)&amp;" hrs)  /  LA "&amp;E494&amp;" ("&amp;LEFT(H494,5)&amp;"-"&amp;LEFT(I494,5)&amp;" hrs)"</f>
        <v>LIM-CIX-LIM   LA 2312 (15:35-17:05 hrs)  /  LA 2313 (17:50-19:10 hrs)</v>
      </c>
    </row>
    <row r="495" spans="2:24" x14ac:dyDescent="0.25">
      <c r="J495" s="7" t="s">
        <v>43</v>
      </c>
      <c r="K495" s="8" t="str">
        <f>TEXT(TIMEVALUE(I494)-TIMEVALUE(H493)+(I494&lt;H493),"[h]:mm")</f>
        <v>3:35</v>
      </c>
    </row>
    <row r="497" spans="2:24" ht="30" x14ac:dyDescent="0.25">
      <c r="B497" s="3" t="s">
        <v>9</v>
      </c>
      <c r="C497" s="3" t="s">
        <v>17</v>
      </c>
      <c r="D497" s="3" t="s">
        <v>18</v>
      </c>
      <c r="E497" s="3" t="s">
        <v>19</v>
      </c>
      <c r="F497" s="3" t="s">
        <v>20</v>
      </c>
      <c r="G497" s="3" t="s">
        <v>21</v>
      </c>
      <c r="H497" s="3" t="s">
        <v>22</v>
      </c>
      <c r="I497" s="3" t="s">
        <v>23</v>
      </c>
      <c r="J497" s="3" t="s">
        <v>24</v>
      </c>
      <c r="K497" s="3" t="s">
        <v>25</v>
      </c>
      <c r="L497" s="3" t="s">
        <v>26</v>
      </c>
    </row>
    <row r="498" spans="2:24" ht="30" x14ac:dyDescent="0.25">
      <c r="B498" s="4">
        <v>556</v>
      </c>
      <c r="C498" s="4" t="s">
        <v>153</v>
      </c>
      <c r="D498" s="4" t="s">
        <v>154</v>
      </c>
      <c r="E498" s="4">
        <v>2115</v>
      </c>
      <c r="F498" s="4" t="s">
        <v>29</v>
      </c>
      <c r="G498" s="4" t="s">
        <v>56</v>
      </c>
      <c r="H498" s="4" t="s">
        <v>42</v>
      </c>
      <c r="I498" s="4" t="s">
        <v>68</v>
      </c>
      <c r="J498" s="4">
        <v>320</v>
      </c>
      <c r="L498" s="4" t="s">
        <v>40</v>
      </c>
      <c r="M498" s="5"/>
      <c r="O498" s="5"/>
      <c r="Q498" s="4">
        <f>B498</f>
        <v>556</v>
      </c>
      <c r="R498" s="4" t="str">
        <f>C498</f>
        <v>06/10/2026</v>
      </c>
      <c r="S498" s="4" t="str">
        <f>D498</f>
        <v>martes</v>
      </c>
      <c r="T498" s="4" t="str">
        <f>E498&amp;"/"&amp;E499</f>
        <v>2115/2114</v>
      </c>
      <c r="U498" s="4" t="str">
        <f>F498&amp;"-"&amp;G498&amp;"-"&amp;F498</f>
        <v>LIM-AQP-LIM</v>
      </c>
      <c r="V498" s="4" t="str">
        <f>IF($M$498="","",$M$498)</f>
        <v/>
      </c>
      <c r="W498" s="4" t="str">
        <f>IF($O$498="","",$O$498)</f>
        <v/>
      </c>
      <c r="X498" s="4">
        <f>J498</f>
        <v>320</v>
      </c>
    </row>
    <row r="499" spans="2:24" ht="30" x14ac:dyDescent="0.25">
      <c r="B499" s="4">
        <v>556</v>
      </c>
      <c r="C499" s="4" t="s">
        <v>153</v>
      </c>
      <c r="D499" s="4" t="s">
        <v>154</v>
      </c>
      <c r="E499" s="4">
        <v>2114</v>
      </c>
      <c r="F499" s="4" t="s">
        <v>56</v>
      </c>
      <c r="G499" s="4" t="s">
        <v>29</v>
      </c>
      <c r="H499" s="4" t="s">
        <v>69</v>
      </c>
      <c r="I499" s="4" t="s">
        <v>70</v>
      </c>
      <c r="J499" s="4">
        <v>320</v>
      </c>
      <c r="K499" t="str">
        <f>TEXT(TIMEVALUE(H499)-TIMEVALUE(I498)+(TIMEVALUE(H499)&lt;TIMEVALUE(I498)),"[h]:mm")</f>
        <v>0:35</v>
      </c>
      <c r="L499" s="4" t="s">
        <v>71</v>
      </c>
      <c r="O499" t="str">
        <f>"LIM-"&amp;G498&amp;"-LIM   LA "&amp;E498&amp;" ("&amp;LEFT(H498,5)&amp;"-"&amp;LEFT(I498,5)&amp;" hrs)  /  LA "&amp;E499&amp;" ("&amp;LEFT(H499,5)&amp;"-"&amp;LEFT(I499,5)&amp;" hrs)"</f>
        <v>LIM-AQP-LIM   LA 2115 (17:15-18:45 hrs)  /  LA 2114 (19:20-21:00 hrs)</v>
      </c>
    </row>
    <row r="500" spans="2:24" x14ac:dyDescent="0.25">
      <c r="J500" s="7" t="s">
        <v>43</v>
      </c>
      <c r="K500" s="8" t="str">
        <f>TEXT(TIMEVALUE(I499)-TIMEVALUE(H498)+(I499&lt;H498),"[h]:mm")</f>
        <v>3:45</v>
      </c>
    </row>
    <row r="502" spans="2:24" ht="30" x14ac:dyDescent="0.25">
      <c r="B502" s="3" t="s">
        <v>9</v>
      </c>
      <c r="C502" s="3" t="s">
        <v>17</v>
      </c>
      <c r="D502" s="3" t="s">
        <v>18</v>
      </c>
      <c r="E502" s="3" t="s">
        <v>19</v>
      </c>
      <c r="F502" s="3" t="s">
        <v>20</v>
      </c>
      <c r="G502" s="3" t="s">
        <v>21</v>
      </c>
      <c r="H502" s="3" t="s">
        <v>22</v>
      </c>
      <c r="I502" s="3" t="s">
        <v>23</v>
      </c>
      <c r="J502" s="3" t="s">
        <v>24</v>
      </c>
      <c r="K502" s="3" t="s">
        <v>25</v>
      </c>
      <c r="L502" s="3" t="s">
        <v>26</v>
      </c>
    </row>
    <row r="503" spans="2:24" ht="30" x14ac:dyDescent="0.25">
      <c r="B503" s="4">
        <v>557</v>
      </c>
      <c r="C503" s="4" t="s">
        <v>153</v>
      </c>
      <c r="D503" s="4" t="s">
        <v>154</v>
      </c>
      <c r="E503" s="4">
        <v>2115</v>
      </c>
      <c r="F503" s="4" t="s">
        <v>29</v>
      </c>
      <c r="G503" s="4" t="s">
        <v>56</v>
      </c>
      <c r="H503" s="4" t="s">
        <v>42</v>
      </c>
      <c r="I503" s="4" t="s">
        <v>68</v>
      </c>
      <c r="J503" s="4">
        <v>320</v>
      </c>
      <c r="L503" s="4" t="s">
        <v>40</v>
      </c>
      <c r="M503" s="5"/>
      <c r="O503" s="5"/>
      <c r="Q503" s="4">
        <f>B503</f>
        <v>557</v>
      </c>
      <c r="R503" s="4" t="str">
        <f>C503</f>
        <v>06/10/2026</v>
      </c>
      <c r="S503" s="4" t="str">
        <f>D503</f>
        <v>martes</v>
      </c>
      <c r="T503" s="4" t="str">
        <f>E503&amp;"/"&amp;E504</f>
        <v>2115/2114</v>
      </c>
      <c r="U503" s="4" t="str">
        <f>F503&amp;"-"&amp;G503&amp;"-"&amp;F503</f>
        <v>LIM-AQP-LIM</v>
      </c>
      <c r="V503" s="4" t="str">
        <f>IF($M$503="","",$M$503)</f>
        <v/>
      </c>
      <c r="W503" s="4" t="str">
        <f>IF($O$503="","",$O$503)</f>
        <v/>
      </c>
      <c r="X503" s="4">
        <f>J503</f>
        <v>320</v>
      </c>
    </row>
    <row r="504" spans="2:24" ht="30" x14ac:dyDescent="0.25">
      <c r="B504" s="4">
        <v>557</v>
      </c>
      <c r="C504" s="4" t="s">
        <v>153</v>
      </c>
      <c r="D504" s="4" t="s">
        <v>154</v>
      </c>
      <c r="E504" s="4">
        <v>2114</v>
      </c>
      <c r="F504" s="4" t="s">
        <v>56</v>
      </c>
      <c r="G504" s="4" t="s">
        <v>29</v>
      </c>
      <c r="H504" s="4" t="s">
        <v>69</v>
      </c>
      <c r="I504" s="4" t="s">
        <v>70</v>
      </c>
      <c r="J504" s="4">
        <v>320</v>
      </c>
      <c r="K504" t="str">
        <f>TEXT(TIMEVALUE(H504)-TIMEVALUE(I503)+(TIMEVALUE(H504)&lt;TIMEVALUE(I503)),"[h]:mm")</f>
        <v>0:35</v>
      </c>
      <c r="L504" s="4" t="s">
        <v>71</v>
      </c>
      <c r="O504" t="str">
        <f>"LIM-"&amp;G503&amp;"-LIM   LA "&amp;E503&amp;" ("&amp;LEFT(H503,5)&amp;"-"&amp;LEFT(I503,5)&amp;" hrs)  /  LA "&amp;E504&amp;" ("&amp;LEFT(H504,5)&amp;"-"&amp;LEFT(I504,5)&amp;" hrs)"</f>
        <v>LIM-AQP-LIM   LA 2115 (17:15-18:45 hrs)  /  LA 2114 (19:20-21:00 hrs)</v>
      </c>
    </row>
    <row r="505" spans="2:24" x14ac:dyDescent="0.25">
      <c r="J505" s="7" t="s">
        <v>43</v>
      </c>
      <c r="K505" s="8" t="str">
        <f>TEXT(TIMEVALUE(I504)-TIMEVALUE(H503)+(I504&lt;H503),"[h]:mm")</f>
        <v>3:45</v>
      </c>
    </row>
    <row r="507" spans="2:24" ht="30" x14ac:dyDescent="0.25">
      <c r="B507" s="3" t="s">
        <v>9</v>
      </c>
      <c r="C507" s="3" t="s">
        <v>17</v>
      </c>
      <c r="D507" s="3" t="s">
        <v>18</v>
      </c>
      <c r="E507" s="3" t="s">
        <v>19</v>
      </c>
      <c r="F507" s="3" t="s">
        <v>20</v>
      </c>
      <c r="G507" s="3" t="s">
        <v>21</v>
      </c>
      <c r="H507" s="3" t="s">
        <v>22</v>
      </c>
      <c r="I507" s="3" t="s">
        <v>23</v>
      </c>
      <c r="J507" s="3" t="s">
        <v>24</v>
      </c>
      <c r="K507" s="3" t="s">
        <v>25</v>
      </c>
      <c r="L507" s="3" t="s">
        <v>26</v>
      </c>
    </row>
    <row r="508" spans="2:24" ht="30" x14ac:dyDescent="0.25">
      <c r="B508" s="4">
        <v>560</v>
      </c>
      <c r="C508" s="4" t="s">
        <v>153</v>
      </c>
      <c r="D508" s="4" t="s">
        <v>154</v>
      </c>
      <c r="E508" s="4">
        <v>2091</v>
      </c>
      <c r="F508" s="4" t="s">
        <v>29</v>
      </c>
      <c r="G508" s="4" t="s">
        <v>91</v>
      </c>
      <c r="H508" s="4" t="s">
        <v>147</v>
      </c>
      <c r="I508" s="4" t="s">
        <v>148</v>
      </c>
      <c r="J508" s="4">
        <v>320</v>
      </c>
      <c r="L508" s="4" t="s">
        <v>93</v>
      </c>
      <c r="M508" s="5"/>
      <c r="O508" s="5"/>
      <c r="Q508" s="4">
        <f>B508</f>
        <v>560</v>
      </c>
      <c r="R508" s="4" t="str">
        <f>C508</f>
        <v>06/10/2026</v>
      </c>
      <c r="S508" s="4" t="str">
        <f>D508</f>
        <v>martes</v>
      </c>
      <c r="T508" s="4" t="str">
        <f>E508&amp;"/"&amp;E509</f>
        <v>2091/2092</v>
      </c>
      <c r="U508" s="4" t="str">
        <f>F508&amp;"-"&amp;G508&amp;"-"&amp;F508</f>
        <v>LIM-TPP-LIM</v>
      </c>
      <c r="V508" s="4" t="str">
        <f>IF($M$508="","",$M$508)</f>
        <v/>
      </c>
      <c r="W508" s="4" t="str">
        <f>IF($O$508="","",$O$508)</f>
        <v/>
      </c>
      <c r="X508" s="4">
        <f>J508</f>
        <v>320</v>
      </c>
    </row>
    <row r="509" spans="2:24" ht="30" x14ac:dyDescent="0.25">
      <c r="B509" s="4">
        <v>560</v>
      </c>
      <c r="C509" s="4" t="s">
        <v>153</v>
      </c>
      <c r="D509" s="4" t="s">
        <v>154</v>
      </c>
      <c r="E509" s="4">
        <v>2092</v>
      </c>
      <c r="F509" s="4" t="s">
        <v>91</v>
      </c>
      <c r="G509" s="4" t="s">
        <v>29</v>
      </c>
      <c r="H509" s="4" t="s">
        <v>149</v>
      </c>
      <c r="I509" s="4" t="s">
        <v>150</v>
      </c>
      <c r="J509" s="4">
        <v>320</v>
      </c>
      <c r="K509" t="str">
        <f>TEXT(TIMEVALUE(H509)-TIMEVALUE(I508)+(TIMEVALUE(H509)&lt;TIMEVALUE(I508)),"[h]:mm")</f>
        <v>0:35</v>
      </c>
      <c r="L509" s="4" t="s">
        <v>40</v>
      </c>
      <c r="O509" t="str">
        <f>"LIM-"&amp;G508&amp;"-LIM   LA "&amp;E508&amp;" ("&amp;LEFT(H508,5)&amp;"-"&amp;LEFT(I508,5)&amp;" hrs)  /  LA "&amp;E509&amp;" ("&amp;LEFT(H509,5)&amp;"-"&amp;LEFT(I509,5)&amp;" hrs)"</f>
        <v>LIM-TPP-LIM   LA 2091 (18:30-19:55 hrs)  /  LA 2092 (20:30-22:00 hrs)</v>
      </c>
    </row>
    <row r="510" spans="2:24" x14ac:dyDescent="0.25">
      <c r="J510" s="7" t="s">
        <v>43</v>
      </c>
      <c r="K510" s="8" t="str">
        <f>TEXT(TIMEVALUE(I509)-TIMEVALUE(H508)+(I509&lt;H508),"[h]:mm")</f>
        <v>3:30</v>
      </c>
    </row>
    <row r="512" spans="2:24" ht="30" x14ac:dyDescent="0.25">
      <c r="B512" s="3" t="s">
        <v>9</v>
      </c>
      <c r="C512" s="3" t="s">
        <v>17</v>
      </c>
      <c r="D512" s="3" t="s">
        <v>18</v>
      </c>
      <c r="E512" s="3" t="s">
        <v>19</v>
      </c>
      <c r="F512" s="3" t="s">
        <v>20</v>
      </c>
      <c r="G512" s="3" t="s">
        <v>21</v>
      </c>
      <c r="H512" s="3" t="s">
        <v>22</v>
      </c>
      <c r="I512" s="3" t="s">
        <v>23</v>
      </c>
      <c r="J512" s="3" t="s">
        <v>24</v>
      </c>
      <c r="K512" s="3" t="s">
        <v>25</v>
      </c>
      <c r="L512" s="3" t="s">
        <v>26</v>
      </c>
    </row>
    <row r="513" spans="2:24" ht="30" x14ac:dyDescent="0.25">
      <c r="B513" s="4">
        <v>562</v>
      </c>
      <c r="C513" s="4" t="s">
        <v>153</v>
      </c>
      <c r="D513" s="4" t="s">
        <v>154</v>
      </c>
      <c r="E513" s="4">
        <v>2164</v>
      </c>
      <c r="F513" s="4" t="s">
        <v>29</v>
      </c>
      <c r="G513" s="4" t="s">
        <v>63</v>
      </c>
      <c r="H513" s="4" t="s">
        <v>162</v>
      </c>
      <c r="I513" s="4" t="s">
        <v>132</v>
      </c>
      <c r="J513" s="4">
        <v>320</v>
      </c>
      <c r="L513" s="4" t="s">
        <v>66</v>
      </c>
      <c r="M513" s="5"/>
      <c r="O513" s="5"/>
      <c r="Q513" s="4">
        <f>B513</f>
        <v>562</v>
      </c>
      <c r="R513" s="4" t="str">
        <f>C513</f>
        <v>06/10/2026</v>
      </c>
      <c r="S513" s="4" t="str">
        <f>D513</f>
        <v>martes</v>
      </c>
      <c r="T513" s="4" t="str">
        <f>E513&amp;"/"&amp;E514</f>
        <v>2164/2165</v>
      </c>
      <c r="U513" s="4" t="str">
        <f>F513&amp;"-"&amp;G513&amp;"-"&amp;F513</f>
        <v>LIM-IQT-LIM</v>
      </c>
      <c r="V513" s="4" t="str">
        <f>IF($M$513="","",$M$513)</f>
        <v/>
      </c>
      <c r="W513" s="4" t="str">
        <f>IF($O$513="","",$O$513)</f>
        <v/>
      </c>
      <c r="X513" s="4">
        <f>J513</f>
        <v>320</v>
      </c>
    </row>
    <row r="514" spans="2:24" ht="30" x14ac:dyDescent="0.25">
      <c r="B514" s="4">
        <v>562</v>
      </c>
      <c r="C514" s="4" t="s">
        <v>153</v>
      </c>
      <c r="D514" s="4" t="s">
        <v>154</v>
      </c>
      <c r="E514" s="4">
        <v>2165</v>
      </c>
      <c r="F514" s="4" t="s">
        <v>63</v>
      </c>
      <c r="G514" s="4" t="s">
        <v>29</v>
      </c>
      <c r="H514" s="4" t="s">
        <v>117</v>
      </c>
      <c r="I514" s="4" t="s">
        <v>163</v>
      </c>
      <c r="J514" s="4">
        <v>320</v>
      </c>
      <c r="K514" t="str">
        <f>TEXT(TIMEVALUE(H514)-TIMEVALUE(I513)+(TIMEVALUE(H514)&lt;TIMEVALUE(I513)),"[h]:mm")</f>
        <v>0:45</v>
      </c>
      <c r="L514" s="4" t="s">
        <v>66</v>
      </c>
      <c r="O514" t="str">
        <f>"LIM-"&amp;G513&amp;"-LIM   LA "&amp;E513&amp;" ("&amp;LEFT(H513,5)&amp;"-"&amp;LEFT(I513,5)&amp;" hrs)  /  LA "&amp;E514&amp;" ("&amp;LEFT(H514,5)&amp;"-"&amp;LEFT(I514,5)&amp;" hrs)"</f>
        <v>LIM-IQT-LIM   LA 2164 (21:30-23:20 hrs)  /  LA 2165 (00:05-01:55 hrs)</v>
      </c>
    </row>
    <row r="515" spans="2:24" x14ac:dyDescent="0.25">
      <c r="J515" s="7" t="s">
        <v>43</v>
      </c>
      <c r="K515" s="8" t="str">
        <f>TEXT(TIMEVALUE(I514)-TIMEVALUE(H513)+(I514&lt;H513),"[h]:mm")</f>
        <v>4:25</v>
      </c>
    </row>
    <row r="517" spans="2:24" ht="30" x14ac:dyDescent="0.25">
      <c r="B517" s="3" t="s">
        <v>9</v>
      </c>
      <c r="C517" s="3" t="s">
        <v>17</v>
      </c>
      <c r="D517" s="3" t="s">
        <v>18</v>
      </c>
      <c r="E517" s="3" t="s">
        <v>19</v>
      </c>
      <c r="F517" s="3" t="s">
        <v>20</v>
      </c>
      <c r="G517" s="3" t="s">
        <v>21</v>
      </c>
      <c r="H517" s="3" t="s">
        <v>22</v>
      </c>
      <c r="I517" s="3" t="s">
        <v>23</v>
      </c>
      <c r="J517" s="3" t="s">
        <v>24</v>
      </c>
      <c r="K517" s="3" t="s">
        <v>25</v>
      </c>
      <c r="L517" s="3" t="s">
        <v>26</v>
      </c>
    </row>
    <row r="518" spans="2:24" ht="30" x14ac:dyDescent="0.25">
      <c r="B518" s="4">
        <v>607</v>
      </c>
      <c r="C518" s="4" t="s">
        <v>164</v>
      </c>
      <c r="D518" s="4" t="s">
        <v>165</v>
      </c>
      <c r="E518" s="4">
        <v>2299</v>
      </c>
      <c r="F518" s="4" t="s">
        <v>29</v>
      </c>
      <c r="G518" s="4" t="s">
        <v>50</v>
      </c>
      <c r="H518" s="4" t="s">
        <v>64</v>
      </c>
      <c r="I518" s="4" t="s">
        <v>35</v>
      </c>
      <c r="J518" s="4">
        <v>319</v>
      </c>
      <c r="L518" s="4" t="s">
        <v>33</v>
      </c>
      <c r="M518" s="5"/>
      <c r="O518" s="5"/>
      <c r="Q518" s="4">
        <f>B518</f>
        <v>607</v>
      </c>
      <c r="R518" s="4" t="str">
        <f>C518</f>
        <v>07/10/2026</v>
      </c>
      <c r="S518" s="4" t="str">
        <f>D518</f>
        <v>miércoles</v>
      </c>
      <c r="T518" s="4" t="str">
        <f>E518&amp;"/"&amp;E519</f>
        <v>2299/2298</v>
      </c>
      <c r="U518" s="4" t="str">
        <f>F518&amp;"-"&amp;G518&amp;"-"&amp;F518</f>
        <v>LIM-CJA-LIM</v>
      </c>
      <c r="V518" s="4" t="str">
        <f>IF($M$518="","",$M$518)</f>
        <v/>
      </c>
      <c r="W518" s="4" t="str">
        <f>IF($O$518="","",$O$518)</f>
        <v/>
      </c>
      <c r="X518" s="4">
        <f>J518</f>
        <v>319</v>
      </c>
    </row>
    <row r="519" spans="2:24" ht="30" x14ac:dyDescent="0.25">
      <c r="B519" s="4">
        <v>607</v>
      </c>
      <c r="C519" s="4" t="s">
        <v>164</v>
      </c>
      <c r="D519" s="4" t="s">
        <v>165</v>
      </c>
      <c r="E519" s="4">
        <v>2298</v>
      </c>
      <c r="F519" s="4" t="s">
        <v>50</v>
      </c>
      <c r="G519" s="4" t="s">
        <v>29</v>
      </c>
      <c r="H519" s="4" t="s">
        <v>99</v>
      </c>
      <c r="I519" s="4" t="s">
        <v>87</v>
      </c>
      <c r="J519" s="4">
        <v>319</v>
      </c>
      <c r="K519" t="str">
        <f>TEXT(TIMEVALUE(H519)-TIMEVALUE(I518)+(TIMEVALUE(H519)&lt;TIMEVALUE(I518)),"[h]:mm")</f>
        <v>0:50</v>
      </c>
      <c r="L519" s="4" t="s">
        <v>74</v>
      </c>
      <c r="O519" t="str">
        <f>"LIM-"&amp;G518&amp;"-LIM   LA "&amp;E518&amp;" ("&amp;LEFT(H518,5)&amp;"-"&amp;LEFT(I518,5)&amp;" hrs)  /  LA "&amp;E519&amp;" ("&amp;LEFT(H519,5)&amp;"-"&amp;LEFT(I519,5)&amp;" hrs)"</f>
        <v>LIM-CJA-LIM   LA 2299 (11:35-12:55 hrs)  /  LA 2298 (13:45-14:55 hrs)</v>
      </c>
    </row>
    <row r="520" spans="2:24" ht="30" x14ac:dyDescent="0.25">
      <c r="B520" s="4">
        <v>639</v>
      </c>
      <c r="C520" s="4" t="s">
        <v>164</v>
      </c>
      <c r="D520" s="4" t="s">
        <v>165</v>
      </c>
      <c r="E520" s="4">
        <v>2127</v>
      </c>
      <c r="F520" s="4" t="s">
        <v>29</v>
      </c>
      <c r="G520" s="4" t="s">
        <v>30</v>
      </c>
      <c r="H520" s="4" t="s">
        <v>83</v>
      </c>
      <c r="I520" s="4" t="s">
        <v>100</v>
      </c>
      <c r="J520" s="4">
        <v>320</v>
      </c>
      <c r="K520" s="6" t="str">
        <f>TEXT(TIMEVALUE(H520)-TIMEVALUE(I519)+(TIMEVALUE(H520)&lt;TIMEVALUE(I519)),"[h]:mm")</f>
        <v>1:15</v>
      </c>
      <c r="L520" s="4" t="s">
        <v>33</v>
      </c>
      <c r="M520" t="str">
        <f>IF($M$518="","",$M$518)</f>
        <v/>
      </c>
      <c r="O520" t="str">
        <f>IF($O$518="","",$O$518)</f>
        <v/>
      </c>
      <c r="Q520" s="4">
        <f>B520</f>
        <v>639</v>
      </c>
      <c r="R520" s="4" t="str">
        <f>C520</f>
        <v>07/10/2026</v>
      </c>
      <c r="S520" s="4" t="str">
        <f>D520</f>
        <v>miércoles</v>
      </c>
      <c r="T520" s="4" t="str">
        <f>E520&amp;"/"&amp;E521</f>
        <v>2127/2026</v>
      </c>
      <c r="U520" s="4" t="str">
        <f>F520&amp;"-"&amp;G520&amp;"-"&amp;F520</f>
        <v>LIM-CUZ-LIM</v>
      </c>
      <c r="V520" s="4" t="str">
        <f>IF($M$518="","",$M$518)</f>
        <v/>
      </c>
      <c r="W520" s="4" t="str">
        <f>IF($O$518="","",$O$518)</f>
        <v/>
      </c>
      <c r="X520" s="4">
        <f>J520</f>
        <v>320</v>
      </c>
    </row>
    <row r="521" spans="2:24" ht="30" x14ac:dyDescent="0.25">
      <c r="B521" s="4">
        <v>639</v>
      </c>
      <c r="C521" s="4" t="s">
        <v>164</v>
      </c>
      <c r="D521" s="4" t="s">
        <v>165</v>
      </c>
      <c r="E521" s="4">
        <v>2026</v>
      </c>
      <c r="F521" s="4" t="s">
        <v>30</v>
      </c>
      <c r="G521" s="4" t="s">
        <v>29</v>
      </c>
      <c r="H521" s="4" t="s">
        <v>101</v>
      </c>
      <c r="I521" s="4" t="s">
        <v>102</v>
      </c>
      <c r="J521" s="4">
        <v>320</v>
      </c>
      <c r="K521" t="str">
        <f>TEXT(TIMEVALUE(H521)-TIMEVALUE(I520)+(TIMEVALUE(H521)&lt;TIMEVALUE(I520)),"[h]:mm")</f>
        <v>0:40</v>
      </c>
      <c r="L521" s="4" t="s">
        <v>71</v>
      </c>
      <c r="O521" t="str">
        <f>"LIM-"&amp;G520&amp;"-LIM   LA "&amp;E520&amp;" ("&amp;LEFT(H520,5)&amp;"-"&amp;LEFT(I520,5)&amp;" hrs)  /  LA "&amp;E521&amp;" ("&amp;LEFT(H521,5)&amp;"-"&amp;LEFT(I521,5)&amp;" hrs)"</f>
        <v>LIM-CUZ-LIM   LA 2127 (16:10-17:30 hrs)  /  LA 2026 (18:10-19:50 hrs)</v>
      </c>
    </row>
    <row r="522" spans="2:24" x14ac:dyDescent="0.25">
      <c r="J522" s="7" t="s">
        <v>43</v>
      </c>
      <c r="K522" s="8" t="str">
        <f>TEXT(TIMEVALUE(I521)-TIMEVALUE(H518)+(I521&lt;H518),"[h]:mm")</f>
        <v>8:15</v>
      </c>
    </row>
    <row r="524" spans="2:24" ht="30" x14ac:dyDescent="0.25">
      <c r="B524" s="3" t="s">
        <v>9</v>
      </c>
      <c r="C524" s="3" t="s">
        <v>17</v>
      </c>
      <c r="D524" s="3" t="s">
        <v>18</v>
      </c>
      <c r="E524" s="3" t="s">
        <v>19</v>
      </c>
      <c r="F524" s="3" t="s">
        <v>20</v>
      </c>
      <c r="G524" s="3" t="s">
        <v>21</v>
      </c>
      <c r="H524" s="3" t="s">
        <v>22</v>
      </c>
      <c r="I524" s="3" t="s">
        <v>23</v>
      </c>
      <c r="J524" s="3" t="s">
        <v>24</v>
      </c>
      <c r="K524" s="3" t="s">
        <v>25</v>
      </c>
      <c r="L524" s="3" t="s">
        <v>26</v>
      </c>
    </row>
    <row r="525" spans="2:24" ht="30" x14ac:dyDescent="0.25">
      <c r="B525" s="4">
        <v>609</v>
      </c>
      <c r="C525" s="4" t="s">
        <v>164</v>
      </c>
      <c r="D525" s="4" t="s">
        <v>165</v>
      </c>
      <c r="E525" s="4">
        <v>2061</v>
      </c>
      <c r="F525" s="4" t="s">
        <v>29</v>
      </c>
      <c r="G525" s="4" t="s">
        <v>30</v>
      </c>
      <c r="H525" s="4" t="s">
        <v>103</v>
      </c>
      <c r="I525" s="4" t="s">
        <v>120</v>
      </c>
      <c r="J525" s="4">
        <v>320</v>
      </c>
      <c r="L525" s="4" t="s">
        <v>33</v>
      </c>
      <c r="M525" s="5"/>
      <c r="O525" s="5"/>
      <c r="Q525" s="4">
        <f>B525</f>
        <v>609</v>
      </c>
      <c r="R525" s="4" t="str">
        <f>C525</f>
        <v>07/10/2026</v>
      </c>
      <c r="S525" s="4" t="str">
        <f>D525</f>
        <v>miércoles</v>
      </c>
      <c r="T525" s="4" t="str">
        <f>E525&amp;"/"&amp;E526</f>
        <v>2061/2062</v>
      </c>
      <c r="U525" s="4" t="str">
        <f>F525&amp;"-"&amp;G525&amp;"-"&amp;F525</f>
        <v>LIM-CUZ-LIM</v>
      </c>
      <c r="V525" s="4" t="str">
        <f>IF($M$525="","",$M$525)</f>
        <v/>
      </c>
      <c r="W525" s="4" t="str">
        <f>IF($O$525="","",$O$525)</f>
        <v/>
      </c>
      <c r="X525" s="4">
        <f>J525</f>
        <v>320</v>
      </c>
    </row>
    <row r="526" spans="2:24" ht="30" x14ac:dyDescent="0.25">
      <c r="B526" s="4">
        <v>609</v>
      </c>
      <c r="C526" s="4" t="s">
        <v>164</v>
      </c>
      <c r="D526" s="4" t="s">
        <v>165</v>
      </c>
      <c r="E526" s="4">
        <v>2062</v>
      </c>
      <c r="F526" s="4" t="s">
        <v>30</v>
      </c>
      <c r="G526" s="4" t="s">
        <v>29</v>
      </c>
      <c r="H526" s="4" t="s">
        <v>72</v>
      </c>
      <c r="I526" s="4" t="s">
        <v>51</v>
      </c>
      <c r="J526" s="4">
        <v>320</v>
      </c>
      <c r="K526" t="str">
        <f>TEXT(TIMEVALUE(H526)-TIMEVALUE(I525)+(TIMEVALUE(H526)&lt;TIMEVALUE(I525)),"[h]:mm")</f>
        <v>0:40</v>
      </c>
      <c r="L526" s="4" t="s">
        <v>36</v>
      </c>
      <c r="O526" t="str">
        <f>"LIM-"&amp;G525&amp;"-LIM   LA "&amp;E525&amp;" ("&amp;LEFT(H525,5)&amp;"-"&amp;LEFT(I525,5)&amp;" hrs)  /  LA "&amp;E526&amp;" ("&amp;LEFT(H526,5)&amp;"-"&amp;LEFT(I526,5)&amp;" hrs)"</f>
        <v>LIM-CUZ-LIM   LA 2061 (11:40-13:00 hrs)  /  LA 2062 (13:40-15:15 hrs)</v>
      </c>
    </row>
    <row r="527" spans="2:24" ht="30" x14ac:dyDescent="0.25">
      <c r="B527" s="4">
        <v>640</v>
      </c>
      <c r="C527" s="4" t="s">
        <v>164</v>
      </c>
      <c r="D527" s="4" t="s">
        <v>165</v>
      </c>
      <c r="E527" s="4">
        <v>2127</v>
      </c>
      <c r="F527" s="4" t="s">
        <v>29</v>
      </c>
      <c r="G527" s="4" t="s">
        <v>30</v>
      </c>
      <c r="H527" s="4" t="s">
        <v>83</v>
      </c>
      <c r="I527" s="4" t="s">
        <v>100</v>
      </c>
      <c r="J527" s="4">
        <v>320</v>
      </c>
      <c r="K527" s="6" t="str">
        <f>TEXT(TIMEVALUE(H527)-TIMEVALUE(I526)+(TIMEVALUE(H527)&lt;TIMEVALUE(I526)),"[h]:mm")</f>
        <v>0:55</v>
      </c>
      <c r="L527" s="4" t="s">
        <v>33</v>
      </c>
      <c r="M527" t="str">
        <f>IF($M$525="","",$M$525)</f>
        <v/>
      </c>
      <c r="O527" t="str">
        <f>IF($O$525="","",$O$525)</f>
        <v/>
      </c>
      <c r="Q527" s="4">
        <f>B527</f>
        <v>640</v>
      </c>
      <c r="R527" s="4" t="str">
        <f>C527</f>
        <v>07/10/2026</v>
      </c>
      <c r="S527" s="4" t="str">
        <f>D527</f>
        <v>miércoles</v>
      </c>
      <c r="T527" s="4" t="str">
        <f>E527&amp;"/"&amp;E528</f>
        <v>2127/2026</v>
      </c>
      <c r="U527" s="4" t="str">
        <f>F527&amp;"-"&amp;G527&amp;"-"&amp;F527</f>
        <v>LIM-CUZ-LIM</v>
      </c>
      <c r="V527" s="4" t="str">
        <f>IF($M$525="","",$M$525)</f>
        <v/>
      </c>
      <c r="W527" s="4" t="str">
        <f>IF($O$525="","",$O$525)</f>
        <v/>
      </c>
      <c r="X527" s="4">
        <f>J527</f>
        <v>320</v>
      </c>
    </row>
    <row r="528" spans="2:24" ht="30" x14ac:dyDescent="0.25">
      <c r="B528" s="4">
        <v>640</v>
      </c>
      <c r="C528" s="4" t="s">
        <v>164</v>
      </c>
      <c r="D528" s="4" t="s">
        <v>165</v>
      </c>
      <c r="E528" s="4">
        <v>2026</v>
      </c>
      <c r="F528" s="4" t="s">
        <v>30</v>
      </c>
      <c r="G528" s="4" t="s">
        <v>29</v>
      </c>
      <c r="H528" s="4" t="s">
        <v>101</v>
      </c>
      <c r="I528" s="4" t="s">
        <v>102</v>
      </c>
      <c r="J528" s="4">
        <v>320</v>
      </c>
      <c r="K528" t="str">
        <f>TEXT(TIMEVALUE(H528)-TIMEVALUE(I527)+(TIMEVALUE(H528)&lt;TIMEVALUE(I527)),"[h]:mm")</f>
        <v>0:40</v>
      </c>
      <c r="L528" s="4" t="s">
        <v>71</v>
      </c>
      <c r="O528" t="str">
        <f>"LIM-"&amp;G527&amp;"-LIM   LA "&amp;E527&amp;" ("&amp;LEFT(H527,5)&amp;"-"&amp;LEFT(I527,5)&amp;" hrs)  /  LA "&amp;E528&amp;" ("&amp;LEFT(H528,5)&amp;"-"&amp;LEFT(I528,5)&amp;" hrs)"</f>
        <v>LIM-CUZ-LIM   LA 2127 (16:10-17:30 hrs)  /  LA 2026 (18:10-19:50 hrs)</v>
      </c>
    </row>
    <row r="529" spans="2:24" x14ac:dyDescent="0.25">
      <c r="J529" s="7" t="s">
        <v>43</v>
      </c>
      <c r="K529" s="8" t="str">
        <f>TEXT(TIMEVALUE(I528)-TIMEVALUE(H525)+(I528&lt;H525),"[h]:mm")</f>
        <v>8:10</v>
      </c>
    </row>
    <row r="531" spans="2:24" ht="30" x14ac:dyDescent="0.25">
      <c r="B531" s="3" t="s">
        <v>9</v>
      </c>
      <c r="C531" s="3" t="s">
        <v>17</v>
      </c>
      <c r="D531" s="3" t="s">
        <v>18</v>
      </c>
      <c r="E531" s="3" t="s">
        <v>19</v>
      </c>
      <c r="F531" s="3" t="s">
        <v>20</v>
      </c>
      <c r="G531" s="3" t="s">
        <v>21</v>
      </c>
      <c r="H531" s="3" t="s">
        <v>22</v>
      </c>
      <c r="I531" s="3" t="s">
        <v>23</v>
      </c>
      <c r="J531" s="3" t="s">
        <v>24</v>
      </c>
      <c r="K531" s="3" t="s">
        <v>25</v>
      </c>
      <c r="L531" s="3" t="s">
        <v>26</v>
      </c>
    </row>
    <row r="532" spans="2:24" ht="30" x14ac:dyDescent="0.25">
      <c r="B532" s="4">
        <v>611</v>
      </c>
      <c r="C532" s="4" t="s">
        <v>164</v>
      </c>
      <c r="D532" s="4" t="s">
        <v>165</v>
      </c>
      <c r="E532" s="4">
        <v>2356</v>
      </c>
      <c r="F532" s="4" t="s">
        <v>29</v>
      </c>
      <c r="G532" s="4" t="s">
        <v>30</v>
      </c>
      <c r="H532" s="4" t="s">
        <v>98</v>
      </c>
      <c r="I532" s="4" t="s">
        <v>106</v>
      </c>
      <c r="J532" s="4">
        <v>320</v>
      </c>
      <c r="L532" s="4" t="s">
        <v>93</v>
      </c>
      <c r="M532" s="5"/>
      <c r="O532" s="5"/>
      <c r="Q532" s="4">
        <f>B532</f>
        <v>611</v>
      </c>
      <c r="R532" s="4" t="str">
        <f>C532</f>
        <v>07/10/2026</v>
      </c>
      <c r="S532" s="4" t="str">
        <f>D532</f>
        <v>miércoles</v>
      </c>
      <c r="T532" s="4" t="str">
        <f>E532&amp;"/"&amp;E533</f>
        <v>2356/2357</v>
      </c>
      <c r="U532" s="4" t="str">
        <f>F532&amp;"-"&amp;G532&amp;"-"&amp;F532</f>
        <v>LIM-CUZ-LIM</v>
      </c>
      <c r="V532" s="4" t="str">
        <f>IF($M$532="","",$M$532)</f>
        <v/>
      </c>
      <c r="W532" s="4" t="str">
        <f>IF($O$532="","",$O$532)</f>
        <v/>
      </c>
      <c r="X532" s="4">
        <f>J532</f>
        <v>320</v>
      </c>
    </row>
    <row r="533" spans="2:24" ht="30" x14ac:dyDescent="0.25">
      <c r="B533" s="4">
        <v>611</v>
      </c>
      <c r="C533" s="4" t="s">
        <v>164</v>
      </c>
      <c r="D533" s="4" t="s">
        <v>165</v>
      </c>
      <c r="E533" s="4">
        <v>2357</v>
      </c>
      <c r="F533" s="4" t="s">
        <v>30</v>
      </c>
      <c r="G533" s="4" t="s">
        <v>29</v>
      </c>
      <c r="H533" s="4" t="s">
        <v>107</v>
      </c>
      <c r="I533" s="4" t="s">
        <v>108</v>
      </c>
      <c r="J533" s="4">
        <v>320</v>
      </c>
      <c r="K533" t="str">
        <f>TEXT(TIMEVALUE(H533)-TIMEVALUE(I532)+(TIMEVALUE(H533)&lt;TIMEVALUE(I532)),"[h]:mm")</f>
        <v>0:40</v>
      </c>
      <c r="L533" s="4" t="s">
        <v>36</v>
      </c>
      <c r="O533" t="str">
        <f>"LIM-"&amp;G532&amp;"-LIM   LA "&amp;E532&amp;" ("&amp;LEFT(H532,5)&amp;"-"&amp;LEFT(I532,5)&amp;" hrs)  /  LA "&amp;E533&amp;" ("&amp;LEFT(H533,5)&amp;"-"&amp;LEFT(I533,5)&amp;" hrs)"</f>
        <v>LIM-CUZ-LIM   LA 2356 (12:10-13:35 hrs)  /  LA 2357 (14:15-15:50 hrs)</v>
      </c>
    </row>
    <row r="534" spans="2:24" x14ac:dyDescent="0.25">
      <c r="J534" s="7" t="s">
        <v>43</v>
      </c>
      <c r="K534" s="8" t="str">
        <f>TEXT(TIMEVALUE(I533)-TIMEVALUE(H532)+(I533&lt;H532),"[h]:mm")</f>
        <v>3:40</v>
      </c>
    </row>
    <row r="536" spans="2:24" ht="30" x14ac:dyDescent="0.25">
      <c r="B536" s="3" t="s">
        <v>9</v>
      </c>
      <c r="C536" s="3" t="s">
        <v>17</v>
      </c>
      <c r="D536" s="3" t="s">
        <v>18</v>
      </c>
      <c r="E536" s="3" t="s">
        <v>19</v>
      </c>
      <c r="F536" s="3" t="s">
        <v>20</v>
      </c>
      <c r="G536" s="3" t="s">
        <v>21</v>
      </c>
      <c r="H536" s="3" t="s">
        <v>22</v>
      </c>
      <c r="I536" s="3" t="s">
        <v>23</v>
      </c>
      <c r="J536" s="3" t="s">
        <v>24</v>
      </c>
      <c r="K536" s="3" t="s">
        <v>25</v>
      </c>
      <c r="L536" s="3" t="s">
        <v>26</v>
      </c>
    </row>
    <row r="537" spans="2:24" ht="30" x14ac:dyDescent="0.25">
      <c r="B537" s="4">
        <v>615</v>
      </c>
      <c r="C537" s="4" t="s">
        <v>164</v>
      </c>
      <c r="D537" s="4" t="s">
        <v>165</v>
      </c>
      <c r="E537" s="4">
        <v>2043</v>
      </c>
      <c r="F537" s="4" t="s">
        <v>29</v>
      </c>
      <c r="G537" s="4" t="s">
        <v>56</v>
      </c>
      <c r="H537" s="4" t="s">
        <v>48</v>
      </c>
      <c r="I537" s="4" t="s">
        <v>107</v>
      </c>
      <c r="J537" s="4">
        <v>319</v>
      </c>
      <c r="L537" s="4" t="s">
        <v>40</v>
      </c>
      <c r="M537" s="5"/>
      <c r="O537" s="5"/>
      <c r="Q537" s="4">
        <f>B537</f>
        <v>615</v>
      </c>
      <c r="R537" s="4" t="str">
        <f>C537</f>
        <v>07/10/2026</v>
      </c>
      <c r="S537" s="4" t="str">
        <f>D537</f>
        <v>miércoles</v>
      </c>
      <c r="T537" s="4" t="str">
        <f>E537&amp;"/"&amp;E538</f>
        <v>2043/2044</v>
      </c>
      <c r="U537" s="4" t="str">
        <f>F537&amp;"-"&amp;G537&amp;"-"&amp;F537</f>
        <v>LIM-AQP-LIM</v>
      </c>
      <c r="V537" s="4" t="str">
        <f>IF($M$537="","",$M$537)</f>
        <v/>
      </c>
      <c r="W537" s="4" t="str">
        <f>IF($O$537="","",$O$537)</f>
        <v/>
      </c>
      <c r="X537" s="4">
        <f>J537</f>
        <v>319</v>
      </c>
    </row>
    <row r="538" spans="2:24" ht="30" x14ac:dyDescent="0.25">
      <c r="B538" s="4">
        <v>615</v>
      </c>
      <c r="C538" s="4" t="s">
        <v>164</v>
      </c>
      <c r="D538" s="4" t="s">
        <v>165</v>
      </c>
      <c r="E538" s="4">
        <v>2044</v>
      </c>
      <c r="F538" s="4" t="s">
        <v>56</v>
      </c>
      <c r="G538" s="4" t="s">
        <v>29</v>
      </c>
      <c r="H538" s="4" t="s">
        <v>109</v>
      </c>
      <c r="I538" s="4" t="s">
        <v>52</v>
      </c>
      <c r="J538" s="4">
        <v>319</v>
      </c>
      <c r="K538" t="str">
        <f>TEXT(TIMEVALUE(H538)-TIMEVALUE(I537)+(TIMEVALUE(H538)&lt;TIMEVALUE(I537)),"[h]:mm")</f>
        <v>0:45</v>
      </c>
      <c r="L538" s="4" t="s">
        <v>36</v>
      </c>
      <c r="O538" t="str">
        <f>"LIM-"&amp;G537&amp;"-LIM   LA "&amp;E537&amp;" ("&amp;LEFT(H537,5)&amp;"-"&amp;LEFT(I537,5)&amp;" hrs)  /  LA "&amp;E538&amp;" ("&amp;LEFT(H538,5)&amp;"-"&amp;LEFT(I538,5)&amp;" hrs)"</f>
        <v>LIM-AQP-LIM   LA 2043 (12:45-14:15 hrs)  /  LA 2044 (15:00-16:35 hrs)</v>
      </c>
    </row>
    <row r="539" spans="2:24" ht="30" x14ac:dyDescent="0.25">
      <c r="B539" s="4">
        <v>641</v>
      </c>
      <c r="C539" s="4" t="s">
        <v>164</v>
      </c>
      <c r="D539" s="4" t="s">
        <v>165</v>
      </c>
      <c r="E539" s="4">
        <v>2556</v>
      </c>
      <c r="F539" s="4" t="s">
        <v>29</v>
      </c>
      <c r="G539" s="4" t="s">
        <v>125</v>
      </c>
      <c r="H539" s="4" t="s">
        <v>100</v>
      </c>
      <c r="I539" s="4" t="s">
        <v>90</v>
      </c>
      <c r="J539" s="4">
        <v>320</v>
      </c>
      <c r="K539" s="6" t="str">
        <f>TEXT(TIMEVALUE(H539)-TIMEVALUE(I538)+(TIMEVALUE(H539)&lt;TIMEVALUE(I538)),"[h]:mm")</f>
        <v>0:55</v>
      </c>
      <c r="L539" s="4" t="s">
        <v>71</v>
      </c>
      <c r="M539" t="str">
        <f>IF($M$537="","",$M$537)</f>
        <v/>
      </c>
      <c r="O539" t="str">
        <f>IF($O$537="","",$O$537)</f>
        <v/>
      </c>
      <c r="Q539" s="4">
        <f>B539</f>
        <v>641</v>
      </c>
      <c r="R539" s="4" t="str">
        <f>C539</f>
        <v>07/10/2026</v>
      </c>
      <c r="S539" s="4" t="str">
        <f>D539</f>
        <v>miércoles</v>
      </c>
      <c r="T539" s="4" t="str">
        <f>E539&amp;"/"&amp;E540</f>
        <v>2556/2557</v>
      </c>
      <c r="U539" s="4" t="str">
        <f>F539&amp;"-"&amp;G539&amp;"-"&amp;F539</f>
        <v>LIM-PIU-LIM</v>
      </c>
      <c r="V539" s="4" t="str">
        <f>IF($M$537="","",$M$537)</f>
        <v/>
      </c>
      <c r="W539" s="4" t="str">
        <f>IF($O$537="","",$O$537)</f>
        <v/>
      </c>
      <c r="X539" s="4">
        <f>J539</f>
        <v>320</v>
      </c>
    </row>
    <row r="540" spans="2:24" ht="30" x14ac:dyDescent="0.25">
      <c r="B540" s="4">
        <v>641</v>
      </c>
      <c r="C540" s="4" t="s">
        <v>164</v>
      </c>
      <c r="D540" s="4" t="s">
        <v>165</v>
      </c>
      <c r="E540" s="4">
        <v>2557</v>
      </c>
      <c r="F540" s="4" t="s">
        <v>125</v>
      </c>
      <c r="G540" s="4" t="s">
        <v>29</v>
      </c>
      <c r="H540" s="4" t="s">
        <v>112</v>
      </c>
      <c r="I540" s="4" t="s">
        <v>130</v>
      </c>
      <c r="J540" s="4">
        <v>320</v>
      </c>
      <c r="K540" t="str">
        <f>TEXT(TIMEVALUE(H540)-TIMEVALUE(I539)+(TIMEVALUE(H540)&lt;TIMEVALUE(I539)),"[h]:mm")</f>
        <v>0:35</v>
      </c>
      <c r="L540" s="4" t="s">
        <v>40</v>
      </c>
      <c r="O540" t="str">
        <f>"LIM-"&amp;G539&amp;"-LIM   LA "&amp;E539&amp;" ("&amp;LEFT(H539,5)&amp;"-"&amp;LEFT(I539,5)&amp;" hrs)  /  LA "&amp;E540&amp;" ("&amp;LEFT(H540,5)&amp;"-"&amp;LEFT(I540,5)&amp;" hrs)"</f>
        <v>LIM-PIU-LIM   LA 2556 (17:30-19:10 hrs)  /  LA 2557 (19:45-21:15 hrs)</v>
      </c>
    </row>
    <row r="541" spans="2:24" x14ac:dyDescent="0.25">
      <c r="J541" s="7" t="s">
        <v>43</v>
      </c>
      <c r="K541" s="8" t="str">
        <f>TEXT(TIMEVALUE(I540)-TIMEVALUE(H537)+(I540&lt;H537),"[h]:mm")</f>
        <v>8:30</v>
      </c>
    </row>
    <row r="543" spans="2:24" ht="30" x14ac:dyDescent="0.25">
      <c r="B543" s="3" t="s">
        <v>9</v>
      </c>
      <c r="C543" s="3" t="s">
        <v>17</v>
      </c>
      <c r="D543" s="3" t="s">
        <v>18</v>
      </c>
      <c r="E543" s="3" t="s">
        <v>19</v>
      </c>
      <c r="F543" s="3" t="s">
        <v>20</v>
      </c>
      <c r="G543" s="3" t="s">
        <v>21</v>
      </c>
      <c r="H543" s="3" t="s">
        <v>22</v>
      </c>
      <c r="I543" s="3" t="s">
        <v>23</v>
      </c>
      <c r="J543" s="3" t="s">
        <v>24</v>
      </c>
      <c r="K543" s="3" t="s">
        <v>25</v>
      </c>
      <c r="L543" s="3" t="s">
        <v>26</v>
      </c>
    </row>
    <row r="544" spans="2:24" ht="30" x14ac:dyDescent="0.25">
      <c r="B544" s="4">
        <v>619</v>
      </c>
      <c r="C544" s="4" t="s">
        <v>164</v>
      </c>
      <c r="D544" s="4" t="s">
        <v>165</v>
      </c>
      <c r="E544" s="4">
        <v>2028</v>
      </c>
      <c r="F544" s="4" t="s">
        <v>29</v>
      </c>
      <c r="G544" s="4" t="s">
        <v>30</v>
      </c>
      <c r="H544" s="4" t="s">
        <v>65</v>
      </c>
      <c r="I544" s="4" t="s">
        <v>75</v>
      </c>
      <c r="J544" s="4">
        <v>319</v>
      </c>
      <c r="L544" s="4" t="s">
        <v>33</v>
      </c>
      <c r="M544" s="5"/>
      <c r="O544" s="5"/>
      <c r="Q544" s="4">
        <f>B544</f>
        <v>619</v>
      </c>
      <c r="R544" s="4" t="str">
        <f>C544</f>
        <v>07/10/2026</v>
      </c>
      <c r="S544" s="4" t="str">
        <f>D544</f>
        <v>miércoles</v>
      </c>
      <c r="T544" s="4" t="str">
        <f>E544&amp;"/"&amp;E545</f>
        <v>2028/2029</v>
      </c>
      <c r="U544" s="4" t="str">
        <f>F544&amp;"-"&amp;G544&amp;"-"&amp;F544</f>
        <v>LIM-CUZ-LIM</v>
      </c>
      <c r="V544" s="4" t="str">
        <f>IF($M$544="","",$M$544)</f>
        <v/>
      </c>
      <c r="W544" s="4" t="str">
        <f>IF($O$544="","",$O$544)</f>
        <v/>
      </c>
      <c r="X544" s="4">
        <f>J544</f>
        <v>319</v>
      </c>
    </row>
    <row r="545" spans="2:24" ht="30" x14ac:dyDescent="0.25">
      <c r="B545" s="4">
        <v>619</v>
      </c>
      <c r="C545" s="4" t="s">
        <v>164</v>
      </c>
      <c r="D545" s="4" t="s">
        <v>165</v>
      </c>
      <c r="E545" s="4">
        <v>2029</v>
      </c>
      <c r="F545" s="4" t="s">
        <v>30</v>
      </c>
      <c r="G545" s="4" t="s">
        <v>29</v>
      </c>
      <c r="H545" s="4" t="s">
        <v>76</v>
      </c>
      <c r="I545" s="4" t="s">
        <v>77</v>
      </c>
      <c r="J545" s="4">
        <v>319</v>
      </c>
      <c r="K545" t="str">
        <f>TEXT(TIMEVALUE(H545)-TIMEVALUE(I544)+(TIMEVALUE(H545)&lt;TIMEVALUE(I544)),"[h]:mm")</f>
        <v>0:45</v>
      </c>
      <c r="L545" s="4" t="s">
        <v>36</v>
      </c>
      <c r="O545" t="str">
        <f>"LIM-"&amp;G544&amp;"-LIM   LA "&amp;E544&amp;" ("&amp;LEFT(H544,5)&amp;"-"&amp;LEFT(I544,5)&amp;" hrs)  /  LA "&amp;E545&amp;" ("&amp;LEFT(H545,5)&amp;"-"&amp;LEFT(I545,5)&amp;" hrs)"</f>
        <v>LIM-CUZ-LIM   LA 2028 (13:25-14:45 hrs)  /  LA 2029 (15:30-17:05 hrs)</v>
      </c>
    </row>
    <row r="546" spans="2:24" ht="30" x14ac:dyDescent="0.25">
      <c r="B546" s="4">
        <v>642</v>
      </c>
      <c r="C546" s="4" t="s">
        <v>164</v>
      </c>
      <c r="D546" s="4" t="s">
        <v>165</v>
      </c>
      <c r="E546" s="4">
        <v>2236</v>
      </c>
      <c r="F546" s="4" t="s">
        <v>29</v>
      </c>
      <c r="G546" s="4" t="s">
        <v>125</v>
      </c>
      <c r="H546" s="4" t="s">
        <v>156</v>
      </c>
      <c r="I546" s="4" t="s">
        <v>79</v>
      </c>
      <c r="J546" s="4">
        <v>319</v>
      </c>
      <c r="K546" s="6" t="str">
        <f>TEXT(TIMEVALUE(H546)-TIMEVALUE(I545)+(TIMEVALUE(H546)&lt;TIMEVALUE(I545)),"[h]:mm")</f>
        <v>0:55</v>
      </c>
      <c r="L546" s="4" t="s">
        <v>71</v>
      </c>
      <c r="M546" t="str">
        <f>IF($M$544="","",$M$544)</f>
        <v/>
      </c>
      <c r="O546" t="str">
        <f>IF($O$544="","",$O$544)</f>
        <v/>
      </c>
      <c r="Q546" s="4">
        <f>B546</f>
        <v>642</v>
      </c>
      <c r="R546" s="4" t="str">
        <f>C546</f>
        <v>07/10/2026</v>
      </c>
      <c r="S546" s="4" t="str">
        <f>D546</f>
        <v>miércoles</v>
      </c>
      <c r="T546" s="4" t="str">
        <f>E546&amp;"/"&amp;E547</f>
        <v>2236/2237</v>
      </c>
      <c r="U546" s="4" t="str">
        <f>F546&amp;"-"&amp;G546&amp;"-"&amp;F546</f>
        <v>LIM-PIU-LIM</v>
      </c>
      <c r="V546" s="4" t="str">
        <f>IF($M$544="","",$M$544)</f>
        <v/>
      </c>
      <c r="W546" s="4" t="str">
        <f>IF($O$544="","",$O$544)</f>
        <v/>
      </c>
      <c r="X546" s="4">
        <f>J546</f>
        <v>319</v>
      </c>
    </row>
    <row r="547" spans="2:24" ht="30" x14ac:dyDescent="0.25">
      <c r="B547" s="4">
        <v>642</v>
      </c>
      <c r="C547" s="4" t="s">
        <v>164</v>
      </c>
      <c r="D547" s="4" t="s">
        <v>165</v>
      </c>
      <c r="E547" s="4">
        <v>2237</v>
      </c>
      <c r="F547" s="4" t="s">
        <v>125</v>
      </c>
      <c r="G547" s="4" t="s">
        <v>29</v>
      </c>
      <c r="H547" s="4" t="s">
        <v>157</v>
      </c>
      <c r="I547" s="4" t="s">
        <v>158</v>
      </c>
      <c r="J547" s="4">
        <v>319</v>
      </c>
      <c r="K547" t="str">
        <f>TEXT(TIMEVALUE(H547)-TIMEVALUE(I546)+(TIMEVALUE(H547)&lt;TIMEVALUE(I546)),"[h]:mm")</f>
        <v>0:35</v>
      </c>
      <c r="L547" s="4" t="s">
        <v>36</v>
      </c>
      <c r="O547" t="str">
        <f>"LIM-"&amp;G546&amp;"-LIM   LA "&amp;E546&amp;" ("&amp;LEFT(H546,5)&amp;"-"&amp;LEFT(I546,5)&amp;" hrs)  /  LA "&amp;E547&amp;" ("&amp;LEFT(H547,5)&amp;"-"&amp;LEFT(I547,5)&amp;" hrs)"</f>
        <v>LIM-PIU-LIM   LA 2236 (18:00-19:40 hrs)  /  LA 2237 (20:15-21:50 hrs)</v>
      </c>
    </row>
    <row r="548" spans="2:24" x14ac:dyDescent="0.25">
      <c r="J548" s="7" t="s">
        <v>43</v>
      </c>
      <c r="K548" s="8" t="str">
        <f>TEXT(TIMEVALUE(I547)-TIMEVALUE(H544)+(I547&lt;H544),"[h]:mm")</f>
        <v>8:25</v>
      </c>
    </row>
    <row r="550" spans="2:24" ht="30" x14ac:dyDescent="0.25">
      <c r="B550" s="3" t="s">
        <v>9</v>
      </c>
      <c r="C550" s="3" t="s">
        <v>17</v>
      </c>
      <c r="D550" s="3" t="s">
        <v>18</v>
      </c>
      <c r="E550" s="3" t="s">
        <v>19</v>
      </c>
      <c r="F550" s="3" t="s">
        <v>20</v>
      </c>
      <c r="G550" s="3" t="s">
        <v>21</v>
      </c>
      <c r="H550" s="3" t="s">
        <v>22</v>
      </c>
      <c r="I550" s="3" t="s">
        <v>23</v>
      </c>
      <c r="J550" s="3" t="s">
        <v>24</v>
      </c>
      <c r="K550" s="3" t="s">
        <v>25</v>
      </c>
      <c r="L550" s="3" t="s">
        <v>26</v>
      </c>
    </row>
    <row r="551" spans="2:24" ht="30" x14ac:dyDescent="0.25">
      <c r="B551" s="4">
        <v>621</v>
      </c>
      <c r="C551" s="4" t="s">
        <v>164</v>
      </c>
      <c r="D551" s="4" t="s">
        <v>165</v>
      </c>
      <c r="E551" s="4">
        <v>2232</v>
      </c>
      <c r="F551" s="4" t="s">
        <v>29</v>
      </c>
      <c r="G551" s="4" t="s">
        <v>30</v>
      </c>
      <c r="H551" s="4" t="s">
        <v>82</v>
      </c>
      <c r="I551" s="4" t="s">
        <v>51</v>
      </c>
      <c r="J551" s="4">
        <v>320</v>
      </c>
      <c r="L551" s="4" t="s">
        <v>33</v>
      </c>
      <c r="M551" s="5"/>
      <c r="O551" s="5"/>
      <c r="Q551" s="4">
        <f>B551</f>
        <v>621</v>
      </c>
      <c r="R551" s="4" t="str">
        <f>C551</f>
        <v>07/10/2026</v>
      </c>
      <c r="S551" s="4" t="str">
        <f>D551</f>
        <v>miércoles</v>
      </c>
      <c r="T551" s="4" t="str">
        <f>E551&amp;"/"&amp;E552</f>
        <v>2232/2233</v>
      </c>
      <c r="U551" s="4" t="str">
        <f>F551&amp;"-"&amp;G551&amp;"-"&amp;F551</f>
        <v>LIM-CUZ-LIM</v>
      </c>
      <c r="V551" s="4" t="str">
        <f>IF($M$551="","",$M$551)</f>
        <v/>
      </c>
      <c r="W551" s="4" t="str">
        <f>IF($O$551="","",$O$551)</f>
        <v/>
      </c>
      <c r="X551" s="4">
        <f>J551</f>
        <v>320</v>
      </c>
    </row>
    <row r="552" spans="2:24" ht="30" x14ac:dyDescent="0.25">
      <c r="B552" s="4">
        <v>621</v>
      </c>
      <c r="C552" s="4" t="s">
        <v>164</v>
      </c>
      <c r="D552" s="4" t="s">
        <v>165</v>
      </c>
      <c r="E552" s="4">
        <v>2233</v>
      </c>
      <c r="F552" s="4" t="s">
        <v>30</v>
      </c>
      <c r="G552" s="4" t="s">
        <v>29</v>
      </c>
      <c r="H552" s="4" t="s">
        <v>41</v>
      </c>
      <c r="I552" s="4" t="s">
        <v>124</v>
      </c>
      <c r="J552" s="4">
        <v>320</v>
      </c>
      <c r="K552" t="str">
        <f>TEXT(TIMEVALUE(H552)-TIMEVALUE(I551)+(TIMEVALUE(H552)&lt;TIMEVALUE(I551)),"[h]:mm")</f>
        <v>0:40</v>
      </c>
      <c r="L552" s="4" t="s">
        <v>71</v>
      </c>
      <c r="O552" t="str">
        <f>"LIM-"&amp;G551&amp;"-LIM   LA "&amp;E551&amp;" ("&amp;LEFT(H551,5)&amp;"-"&amp;LEFT(I551,5)&amp;" hrs)  /  LA "&amp;E552&amp;" ("&amp;LEFT(H552,5)&amp;"-"&amp;LEFT(I552,5)&amp;" hrs)"</f>
        <v>LIM-CUZ-LIM   LA 2232 (13:55-15:15 hrs)  /  LA 2233 (15:55-17:35 hrs)</v>
      </c>
    </row>
    <row r="553" spans="2:24" ht="30" x14ac:dyDescent="0.25">
      <c r="B553" s="4">
        <v>644</v>
      </c>
      <c r="C553" s="4" t="s">
        <v>164</v>
      </c>
      <c r="D553" s="4" t="s">
        <v>165</v>
      </c>
      <c r="E553" s="4">
        <v>2117</v>
      </c>
      <c r="F553" s="4" t="s">
        <v>29</v>
      </c>
      <c r="G553" s="4" t="s">
        <v>56</v>
      </c>
      <c r="H553" s="4" t="s">
        <v>62</v>
      </c>
      <c r="I553" s="4" t="s">
        <v>151</v>
      </c>
      <c r="J553" s="4">
        <v>320</v>
      </c>
      <c r="K553" s="6" t="str">
        <f>TEXT(TIMEVALUE(H553)-TIMEVALUE(I552)+(TIMEVALUE(H553)&lt;TIMEVALUE(I552)),"[h]:mm")</f>
        <v>1:00</v>
      </c>
      <c r="L553" s="4" t="s">
        <v>40</v>
      </c>
      <c r="M553" t="str">
        <f>IF($M$551="","",$M$551)</f>
        <v/>
      </c>
      <c r="O553" t="str">
        <f>IF($O$551="","",$O$551)</f>
        <v/>
      </c>
      <c r="Q553" s="4">
        <f>B553</f>
        <v>644</v>
      </c>
      <c r="R553" s="4" t="str">
        <f>C553</f>
        <v>07/10/2026</v>
      </c>
      <c r="S553" s="4" t="str">
        <f>D553</f>
        <v>miércoles</v>
      </c>
      <c r="T553" s="4" t="str">
        <f>E553&amp;"/"&amp;E554</f>
        <v>2117/2116</v>
      </c>
      <c r="U553" s="4" t="str">
        <f>F553&amp;"-"&amp;G553&amp;"-"&amp;F553</f>
        <v>LIM-AQP-LIM</v>
      </c>
      <c r="V553" s="4" t="str">
        <f>IF($M$551="","",$M$551)</f>
        <v/>
      </c>
      <c r="W553" s="4" t="str">
        <f>IF($O$551="","",$O$551)</f>
        <v/>
      </c>
      <c r="X553" s="4">
        <f>J553</f>
        <v>320</v>
      </c>
    </row>
    <row r="554" spans="2:24" ht="30" x14ac:dyDescent="0.25">
      <c r="B554" s="4">
        <v>644</v>
      </c>
      <c r="C554" s="4" t="s">
        <v>164</v>
      </c>
      <c r="D554" s="4" t="s">
        <v>165</v>
      </c>
      <c r="E554" s="4">
        <v>2116</v>
      </c>
      <c r="F554" s="4" t="s">
        <v>56</v>
      </c>
      <c r="G554" s="4" t="s">
        <v>29</v>
      </c>
      <c r="H554" s="4" t="s">
        <v>129</v>
      </c>
      <c r="I554" s="4" t="s">
        <v>152</v>
      </c>
      <c r="J554" s="4">
        <v>320</v>
      </c>
      <c r="K554" t="str">
        <f>TEXT(TIMEVALUE(H554)-TIMEVALUE(I553)+(TIMEVALUE(H554)&lt;TIMEVALUE(I553)),"[h]:mm")</f>
        <v>0:35</v>
      </c>
      <c r="L554" s="4" t="s">
        <v>71</v>
      </c>
      <c r="O554" t="str">
        <f>"LIM-"&amp;G553&amp;"-LIM   LA "&amp;E553&amp;" ("&amp;LEFT(H553,5)&amp;"-"&amp;LEFT(I553,5)&amp;" hrs)  /  LA "&amp;E554&amp;" ("&amp;LEFT(H554,5)&amp;"-"&amp;LEFT(I554,5)&amp;" hrs)"</f>
        <v>LIM-AQP-LIM   LA 2117 (18:35-20:05 hrs)  /  LA 2116 (20:40-22:20 hrs)</v>
      </c>
    </row>
    <row r="555" spans="2:24" x14ac:dyDescent="0.25">
      <c r="J555" s="7" t="s">
        <v>43</v>
      </c>
      <c r="K555" s="8" t="str">
        <f>TEXT(TIMEVALUE(I554)-TIMEVALUE(H551)+(I554&lt;H551),"[h]:mm")</f>
        <v>8:25</v>
      </c>
    </row>
    <row r="557" spans="2:24" ht="30" x14ac:dyDescent="0.25">
      <c r="B557" s="3" t="s">
        <v>9</v>
      </c>
      <c r="C557" s="3" t="s">
        <v>17</v>
      </c>
      <c r="D557" s="3" t="s">
        <v>18</v>
      </c>
      <c r="E557" s="3" t="s">
        <v>19</v>
      </c>
      <c r="F557" s="3" t="s">
        <v>20</v>
      </c>
      <c r="G557" s="3" t="s">
        <v>21</v>
      </c>
      <c r="H557" s="3" t="s">
        <v>22</v>
      </c>
      <c r="I557" s="3" t="s">
        <v>23</v>
      </c>
      <c r="J557" s="3" t="s">
        <v>24</v>
      </c>
      <c r="K557" s="3" t="s">
        <v>25</v>
      </c>
      <c r="L557" s="3" t="s">
        <v>26</v>
      </c>
    </row>
    <row r="558" spans="2:24" ht="30" x14ac:dyDescent="0.25">
      <c r="B558" s="4">
        <v>622</v>
      </c>
      <c r="C558" s="4" t="s">
        <v>164</v>
      </c>
      <c r="D558" s="4" t="s">
        <v>165</v>
      </c>
      <c r="E558" s="4">
        <v>2055</v>
      </c>
      <c r="F558" s="4" t="s">
        <v>29</v>
      </c>
      <c r="G558" s="4" t="s">
        <v>56</v>
      </c>
      <c r="H558" s="4" t="s">
        <v>82</v>
      </c>
      <c r="I558" s="4" t="s">
        <v>59</v>
      </c>
      <c r="J558" s="4">
        <v>319</v>
      </c>
      <c r="L558" s="4" t="s">
        <v>40</v>
      </c>
      <c r="M558" s="5"/>
      <c r="O558" s="5"/>
      <c r="Q558" s="4">
        <f>B558</f>
        <v>622</v>
      </c>
      <c r="R558" s="4" t="str">
        <f>C558</f>
        <v>07/10/2026</v>
      </c>
      <c r="S558" s="4" t="str">
        <f>D558</f>
        <v>miércoles</v>
      </c>
      <c r="T558" s="4" t="str">
        <f>E558&amp;"/"&amp;E559</f>
        <v>2055/2056</v>
      </c>
      <c r="U558" s="4" t="str">
        <f>F558&amp;"-"&amp;G558&amp;"-"&amp;F558</f>
        <v>LIM-AQP-LIM</v>
      </c>
      <c r="V558" s="4" t="str">
        <f>IF($M$558="","",$M$558)</f>
        <v/>
      </c>
      <c r="W558" s="4" t="str">
        <f>IF($O$558="","",$O$558)</f>
        <v/>
      </c>
      <c r="X558" s="4">
        <f>J558</f>
        <v>319</v>
      </c>
    </row>
    <row r="559" spans="2:24" ht="30" x14ac:dyDescent="0.25">
      <c r="B559" s="4">
        <v>622</v>
      </c>
      <c r="C559" s="4" t="s">
        <v>164</v>
      </c>
      <c r="D559" s="4" t="s">
        <v>165</v>
      </c>
      <c r="E559" s="4">
        <v>2056</v>
      </c>
      <c r="F559" s="4" t="s">
        <v>56</v>
      </c>
      <c r="G559" s="4" t="s">
        <v>29</v>
      </c>
      <c r="H559" s="4" t="s">
        <v>83</v>
      </c>
      <c r="I559" s="4" t="s">
        <v>84</v>
      </c>
      <c r="J559" s="4">
        <v>319</v>
      </c>
      <c r="K559" t="str">
        <f>TEXT(TIMEVALUE(H559)-TIMEVALUE(I558)+(TIMEVALUE(H559)&lt;TIMEVALUE(I558)),"[h]:mm")</f>
        <v>0:45</v>
      </c>
      <c r="L559" s="4" t="s">
        <v>71</v>
      </c>
      <c r="O559" t="str">
        <f>"LIM-"&amp;G558&amp;"-LIM   LA "&amp;E558&amp;" ("&amp;LEFT(H558,5)&amp;"-"&amp;LEFT(I558,5)&amp;" hrs)  /  LA "&amp;E559&amp;" ("&amp;LEFT(H559,5)&amp;"-"&amp;LEFT(I559,5)&amp;" hrs)"</f>
        <v>LIM-AQP-LIM   LA 2055 (13:55-15:25 hrs)  /  LA 2056 (16:10-17:50 hrs)</v>
      </c>
    </row>
    <row r="560" spans="2:24" x14ac:dyDescent="0.25">
      <c r="J560" s="7" t="s">
        <v>43</v>
      </c>
      <c r="K560" s="8" t="str">
        <f>TEXT(TIMEVALUE(I559)-TIMEVALUE(H558)+(I559&lt;H558),"[h]:mm")</f>
        <v>3:55</v>
      </c>
    </row>
    <row r="562" spans="2:24" ht="30" x14ac:dyDescent="0.25">
      <c r="B562" s="3" t="s">
        <v>9</v>
      </c>
      <c r="C562" s="3" t="s">
        <v>17</v>
      </c>
      <c r="D562" s="3" t="s">
        <v>18</v>
      </c>
      <c r="E562" s="3" t="s">
        <v>19</v>
      </c>
      <c r="F562" s="3" t="s">
        <v>20</v>
      </c>
      <c r="G562" s="3" t="s">
        <v>21</v>
      </c>
      <c r="H562" s="3" t="s">
        <v>22</v>
      </c>
      <c r="I562" s="3" t="s">
        <v>23</v>
      </c>
      <c r="J562" s="3" t="s">
        <v>24</v>
      </c>
      <c r="K562" s="3" t="s">
        <v>25</v>
      </c>
      <c r="L562" s="3" t="s">
        <v>26</v>
      </c>
    </row>
    <row r="563" spans="2:24" ht="30" x14ac:dyDescent="0.25">
      <c r="B563" s="4">
        <v>623</v>
      </c>
      <c r="C563" s="4" t="s">
        <v>164</v>
      </c>
      <c r="D563" s="4" t="s">
        <v>165</v>
      </c>
      <c r="E563" s="4">
        <v>2087</v>
      </c>
      <c r="F563" s="4" t="s">
        <v>29</v>
      </c>
      <c r="G563" s="4" t="s">
        <v>91</v>
      </c>
      <c r="H563" s="4" t="s">
        <v>67</v>
      </c>
      <c r="I563" s="4" t="s">
        <v>76</v>
      </c>
      <c r="J563" s="4">
        <v>320</v>
      </c>
      <c r="L563" s="4" t="s">
        <v>93</v>
      </c>
      <c r="M563" s="5"/>
      <c r="O563" s="5"/>
      <c r="Q563" s="4">
        <f>B563</f>
        <v>623</v>
      </c>
      <c r="R563" s="4" t="str">
        <f>C563</f>
        <v>07/10/2026</v>
      </c>
      <c r="S563" s="4" t="str">
        <f>D563</f>
        <v>miércoles</v>
      </c>
      <c r="T563" s="4" t="str">
        <f>E563&amp;"/"&amp;E564</f>
        <v>2087/2088</v>
      </c>
      <c r="U563" s="4" t="str">
        <f>F563&amp;"-"&amp;G563&amp;"-"&amp;F563</f>
        <v>LIM-TPP-LIM</v>
      </c>
      <c r="V563" s="4" t="str">
        <f>IF($M$563="","",$M$563)</f>
        <v/>
      </c>
      <c r="W563" s="4" t="str">
        <f>IF($O$563="","",$O$563)</f>
        <v/>
      </c>
      <c r="X563" s="4">
        <f>J563</f>
        <v>320</v>
      </c>
    </row>
    <row r="564" spans="2:24" ht="30" x14ac:dyDescent="0.25">
      <c r="B564" s="4">
        <v>623</v>
      </c>
      <c r="C564" s="4" t="s">
        <v>164</v>
      </c>
      <c r="D564" s="4" t="s">
        <v>165</v>
      </c>
      <c r="E564" s="4">
        <v>2088</v>
      </c>
      <c r="F564" s="4" t="s">
        <v>91</v>
      </c>
      <c r="G564" s="4" t="s">
        <v>29</v>
      </c>
      <c r="H564" s="4" t="s">
        <v>85</v>
      </c>
      <c r="I564" s="4" t="s">
        <v>100</v>
      </c>
      <c r="J564" s="4">
        <v>320</v>
      </c>
      <c r="K564" t="str">
        <f>TEXT(TIMEVALUE(H564)-TIMEVALUE(I563)+(TIMEVALUE(H564)&lt;TIMEVALUE(I563)),"[h]:mm")</f>
        <v>0:35</v>
      </c>
      <c r="L564" s="4" t="s">
        <v>93</v>
      </c>
      <c r="O564" t="str">
        <f>"LIM-"&amp;G563&amp;"-LIM   LA "&amp;E563&amp;" ("&amp;LEFT(H563,5)&amp;"-"&amp;LEFT(I563,5)&amp;" hrs)  /  LA "&amp;E564&amp;" ("&amp;LEFT(H564,5)&amp;"-"&amp;LEFT(I564,5)&amp;" hrs)"</f>
        <v>LIM-TPP-LIM   LA 2087 (14:05-15:30 hrs)  /  LA 2088 (16:05-17:30 hrs)</v>
      </c>
    </row>
    <row r="565" spans="2:24" x14ac:dyDescent="0.25">
      <c r="J565" s="7" t="s">
        <v>43</v>
      </c>
      <c r="K565" s="8" t="str">
        <f>TEXT(TIMEVALUE(I564)-TIMEVALUE(H563)+(I564&lt;H563),"[h]:mm")</f>
        <v>3:25</v>
      </c>
    </row>
    <row r="567" spans="2:24" ht="30" x14ac:dyDescent="0.25">
      <c r="B567" s="3" t="s">
        <v>9</v>
      </c>
      <c r="C567" s="3" t="s">
        <v>17</v>
      </c>
      <c r="D567" s="3" t="s">
        <v>18</v>
      </c>
      <c r="E567" s="3" t="s">
        <v>19</v>
      </c>
      <c r="F567" s="3" t="s">
        <v>20</v>
      </c>
      <c r="G567" s="3" t="s">
        <v>21</v>
      </c>
      <c r="H567" s="3" t="s">
        <v>22</v>
      </c>
      <c r="I567" s="3" t="s">
        <v>23</v>
      </c>
      <c r="J567" s="3" t="s">
        <v>24</v>
      </c>
      <c r="K567" s="3" t="s">
        <v>25</v>
      </c>
      <c r="L567" s="3" t="s">
        <v>26</v>
      </c>
    </row>
    <row r="568" spans="2:24" ht="30" x14ac:dyDescent="0.25">
      <c r="B568" s="4">
        <v>624</v>
      </c>
      <c r="C568" s="4" t="s">
        <v>164</v>
      </c>
      <c r="D568" s="4" t="s">
        <v>165</v>
      </c>
      <c r="E568" s="4">
        <v>2087</v>
      </c>
      <c r="F568" s="4" t="s">
        <v>29</v>
      </c>
      <c r="G568" s="4" t="s">
        <v>91</v>
      </c>
      <c r="H568" s="4" t="s">
        <v>67</v>
      </c>
      <c r="I568" s="4" t="s">
        <v>76</v>
      </c>
      <c r="J568" s="4">
        <v>320</v>
      </c>
      <c r="L568" s="4" t="s">
        <v>93</v>
      </c>
      <c r="M568" s="5"/>
      <c r="O568" s="5"/>
      <c r="Q568" s="4">
        <f>B568</f>
        <v>624</v>
      </c>
      <c r="R568" s="4" t="str">
        <f>C568</f>
        <v>07/10/2026</v>
      </c>
      <c r="S568" s="4" t="str">
        <f>D568</f>
        <v>miércoles</v>
      </c>
      <c r="T568" s="4" t="str">
        <f>E568&amp;"/"&amp;E569</f>
        <v>2087/2088</v>
      </c>
      <c r="U568" s="4" t="str">
        <f>F568&amp;"-"&amp;G568&amp;"-"&amp;F568</f>
        <v>LIM-TPP-LIM</v>
      </c>
      <c r="V568" s="4" t="str">
        <f>IF($M$568="","",$M$568)</f>
        <v/>
      </c>
      <c r="W568" s="4" t="str">
        <f>IF($O$568="","",$O$568)</f>
        <v/>
      </c>
      <c r="X568" s="4">
        <f>J568</f>
        <v>320</v>
      </c>
    </row>
    <row r="569" spans="2:24" ht="30" x14ac:dyDescent="0.25">
      <c r="B569" s="4">
        <v>624</v>
      </c>
      <c r="C569" s="4" t="s">
        <v>164</v>
      </c>
      <c r="D569" s="4" t="s">
        <v>165</v>
      </c>
      <c r="E569" s="4">
        <v>2088</v>
      </c>
      <c r="F569" s="4" t="s">
        <v>91</v>
      </c>
      <c r="G569" s="4" t="s">
        <v>29</v>
      </c>
      <c r="H569" s="4" t="s">
        <v>85</v>
      </c>
      <c r="I569" s="4" t="s">
        <v>100</v>
      </c>
      <c r="J569" s="4">
        <v>320</v>
      </c>
      <c r="K569" t="str">
        <f>TEXT(TIMEVALUE(H569)-TIMEVALUE(I568)+(TIMEVALUE(H569)&lt;TIMEVALUE(I568)),"[h]:mm")</f>
        <v>0:35</v>
      </c>
      <c r="L569" s="4" t="s">
        <v>93</v>
      </c>
      <c r="O569" t="str">
        <f>"LIM-"&amp;G568&amp;"-LIM   LA "&amp;E568&amp;" ("&amp;LEFT(H568,5)&amp;"-"&amp;LEFT(I568,5)&amp;" hrs)  /  LA "&amp;E569&amp;" ("&amp;LEFT(H569,5)&amp;"-"&amp;LEFT(I569,5)&amp;" hrs)"</f>
        <v>LIM-TPP-LIM   LA 2087 (14:05-15:30 hrs)  /  LA 2088 (16:05-17:30 hrs)</v>
      </c>
    </row>
    <row r="570" spans="2:24" x14ac:dyDescent="0.25">
      <c r="J570" s="7" t="s">
        <v>43</v>
      </c>
      <c r="K570" s="8" t="str">
        <f>TEXT(TIMEVALUE(I569)-TIMEVALUE(H568)+(I569&lt;H568),"[h]:mm")</f>
        <v>3:25</v>
      </c>
    </row>
    <row r="572" spans="2:24" ht="30" x14ac:dyDescent="0.25">
      <c r="B572" s="3" t="s">
        <v>9</v>
      </c>
      <c r="C572" s="3" t="s">
        <v>17</v>
      </c>
      <c r="D572" s="3" t="s">
        <v>18</v>
      </c>
      <c r="E572" s="3" t="s">
        <v>19</v>
      </c>
      <c r="F572" s="3" t="s">
        <v>20</v>
      </c>
      <c r="G572" s="3" t="s">
        <v>21</v>
      </c>
      <c r="H572" s="3" t="s">
        <v>22</v>
      </c>
      <c r="I572" s="3" t="s">
        <v>23</v>
      </c>
      <c r="J572" s="3" t="s">
        <v>24</v>
      </c>
      <c r="K572" s="3" t="s">
        <v>25</v>
      </c>
      <c r="L572" s="3" t="s">
        <v>26</v>
      </c>
    </row>
    <row r="573" spans="2:24" ht="30" x14ac:dyDescent="0.25">
      <c r="B573" s="4">
        <v>625</v>
      </c>
      <c r="C573" s="4" t="s">
        <v>164</v>
      </c>
      <c r="D573" s="4" t="s">
        <v>165</v>
      </c>
      <c r="E573" s="4">
        <v>2295</v>
      </c>
      <c r="F573" s="4" t="s">
        <v>29</v>
      </c>
      <c r="G573" s="4" t="s">
        <v>50</v>
      </c>
      <c r="H573" s="4" t="s">
        <v>110</v>
      </c>
      <c r="I573" s="4" t="s">
        <v>76</v>
      </c>
      <c r="J573" s="4">
        <v>320</v>
      </c>
      <c r="L573" s="4" t="s">
        <v>33</v>
      </c>
      <c r="M573" s="5"/>
      <c r="O573" s="5"/>
      <c r="Q573" s="4">
        <f>B573</f>
        <v>625</v>
      </c>
      <c r="R573" s="4" t="str">
        <f>C573</f>
        <v>07/10/2026</v>
      </c>
      <c r="S573" s="4" t="str">
        <f>D573</f>
        <v>miércoles</v>
      </c>
      <c r="T573" s="4" t="str">
        <f>E573&amp;"/"&amp;E574</f>
        <v>2295/2294</v>
      </c>
      <c r="U573" s="4" t="str">
        <f>F573&amp;"-"&amp;G573&amp;"-"&amp;F573</f>
        <v>LIM-CJA-LIM</v>
      </c>
      <c r="V573" s="4" t="str">
        <f>IF($M$573="","",$M$573)</f>
        <v/>
      </c>
      <c r="W573" s="4" t="str">
        <f>IF($O$573="","",$O$573)</f>
        <v/>
      </c>
      <c r="X573" s="4">
        <f>J573</f>
        <v>320</v>
      </c>
    </row>
    <row r="574" spans="2:24" ht="30" x14ac:dyDescent="0.25">
      <c r="B574" s="4">
        <v>625</v>
      </c>
      <c r="C574" s="4" t="s">
        <v>164</v>
      </c>
      <c r="D574" s="4" t="s">
        <v>165</v>
      </c>
      <c r="E574" s="4">
        <v>2294</v>
      </c>
      <c r="F574" s="4" t="s">
        <v>50</v>
      </c>
      <c r="G574" s="4" t="s">
        <v>29</v>
      </c>
      <c r="H574" s="4" t="s">
        <v>83</v>
      </c>
      <c r="I574" s="4" t="s">
        <v>42</v>
      </c>
      <c r="J574" s="4">
        <v>320</v>
      </c>
      <c r="K574" t="str">
        <f>TEXT(TIMEVALUE(H574)-TIMEVALUE(I573)+(TIMEVALUE(H574)&lt;TIMEVALUE(I573)),"[h]:mm")</f>
        <v>0:40</v>
      </c>
      <c r="L574" s="4" t="s">
        <v>55</v>
      </c>
      <c r="O574" t="str">
        <f>"LIM-"&amp;G573&amp;"-LIM   LA "&amp;E573&amp;" ("&amp;LEFT(H573,5)&amp;"-"&amp;LEFT(I573,5)&amp;" hrs)  /  LA "&amp;E574&amp;" ("&amp;LEFT(H574,5)&amp;"-"&amp;LEFT(I574,5)&amp;" hrs)"</f>
        <v>LIM-CJA-LIM   LA 2295 (14:10-15:30 hrs)  /  LA 2294 (16:10-17:15 hrs)</v>
      </c>
    </row>
    <row r="575" spans="2:24" ht="30" x14ac:dyDescent="0.25">
      <c r="B575" s="4">
        <v>643</v>
      </c>
      <c r="C575" s="4" t="s">
        <v>164</v>
      </c>
      <c r="D575" s="4" t="s">
        <v>165</v>
      </c>
      <c r="E575" s="4">
        <v>2310</v>
      </c>
      <c r="F575" s="4" t="s">
        <v>29</v>
      </c>
      <c r="G575" s="4" t="s">
        <v>37</v>
      </c>
      <c r="H575" s="4" t="s">
        <v>111</v>
      </c>
      <c r="I575" s="4" t="s">
        <v>112</v>
      </c>
      <c r="J575" s="4">
        <v>320</v>
      </c>
      <c r="K575" s="6" t="str">
        <f>TEXT(TIMEVALUE(H575)-TIMEVALUE(I574)+(TIMEVALUE(H575)&lt;TIMEVALUE(I574)),"[h]:mm")</f>
        <v>1:00</v>
      </c>
      <c r="L575" s="4" t="s">
        <v>40</v>
      </c>
      <c r="M575" t="str">
        <f>IF($M$573="","",$M$573)</f>
        <v/>
      </c>
      <c r="O575" t="str">
        <f>IF($O$573="","",$O$573)</f>
        <v/>
      </c>
      <c r="Q575" s="4">
        <f>B575</f>
        <v>643</v>
      </c>
      <c r="R575" s="4" t="str">
        <f>C575</f>
        <v>07/10/2026</v>
      </c>
      <c r="S575" s="4" t="str">
        <f>D575</f>
        <v>miércoles</v>
      </c>
      <c r="T575" s="4" t="str">
        <f>E575&amp;"/"&amp;E576</f>
        <v>2310/2311</v>
      </c>
      <c r="U575" s="4" t="str">
        <f>F575&amp;"-"&amp;G575&amp;"-"&amp;F575</f>
        <v>LIM-CIX-LIM</v>
      </c>
      <c r="V575" s="4" t="str">
        <f>IF($M$573="","",$M$573)</f>
        <v/>
      </c>
      <c r="W575" s="4" t="str">
        <f>IF($O$573="","",$O$573)</f>
        <v/>
      </c>
      <c r="X575" s="4">
        <f>J575</f>
        <v>320</v>
      </c>
    </row>
    <row r="576" spans="2:24" ht="30" x14ac:dyDescent="0.25">
      <c r="B576" s="4">
        <v>643</v>
      </c>
      <c r="C576" s="4" t="s">
        <v>164</v>
      </c>
      <c r="D576" s="4" t="s">
        <v>165</v>
      </c>
      <c r="E576" s="4">
        <v>2311</v>
      </c>
      <c r="F576" s="4" t="s">
        <v>37</v>
      </c>
      <c r="G576" s="4" t="s">
        <v>29</v>
      </c>
      <c r="H576" s="4" t="s">
        <v>113</v>
      </c>
      <c r="I576" s="4" t="s">
        <v>114</v>
      </c>
      <c r="J576" s="4">
        <v>320</v>
      </c>
      <c r="K576" t="str">
        <f>TEXT(TIMEVALUE(H576)-TIMEVALUE(I575)+(TIMEVALUE(H576)&lt;TIMEVALUE(I575)),"[h]:mm")</f>
        <v>0:35</v>
      </c>
      <c r="L576" s="4" t="s">
        <v>93</v>
      </c>
      <c r="O576" t="str">
        <f>"LIM-"&amp;G575&amp;"-LIM   LA "&amp;E575&amp;" ("&amp;LEFT(H575,5)&amp;"-"&amp;LEFT(I575,5)&amp;" hrs)  /  LA "&amp;E576&amp;" ("&amp;LEFT(H576,5)&amp;"-"&amp;LEFT(I576,5)&amp;" hrs)"</f>
        <v>LIM-CIX-LIM   LA 2310 (18:15-19:45 hrs)  /  LA 2311 (20:20-21:45 hrs)</v>
      </c>
    </row>
    <row r="577" spans="2:24" x14ac:dyDescent="0.25">
      <c r="J577" s="7" t="s">
        <v>43</v>
      </c>
      <c r="K577" s="8" t="str">
        <f>TEXT(TIMEVALUE(I576)-TIMEVALUE(H573)+(I576&lt;H573),"[h]:mm")</f>
        <v>7:35</v>
      </c>
    </row>
    <row r="579" spans="2:24" ht="30" x14ac:dyDescent="0.25">
      <c r="B579" s="3" t="s">
        <v>9</v>
      </c>
      <c r="C579" s="3" t="s">
        <v>17</v>
      </c>
      <c r="D579" s="3" t="s">
        <v>18</v>
      </c>
      <c r="E579" s="3" t="s">
        <v>19</v>
      </c>
      <c r="F579" s="3" t="s">
        <v>20</v>
      </c>
      <c r="G579" s="3" t="s">
        <v>21</v>
      </c>
      <c r="H579" s="3" t="s">
        <v>22</v>
      </c>
      <c r="I579" s="3" t="s">
        <v>23</v>
      </c>
      <c r="J579" s="3" t="s">
        <v>24</v>
      </c>
      <c r="K579" s="3" t="s">
        <v>25</v>
      </c>
      <c r="L579" s="3" t="s">
        <v>26</v>
      </c>
    </row>
    <row r="580" spans="2:24" ht="30" x14ac:dyDescent="0.25">
      <c r="B580" s="4">
        <v>627</v>
      </c>
      <c r="C580" s="4" t="s">
        <v>164</v>
      </c>
      <c r="D580" s="4" t="s">
        <v>165</v>
      </c>
      <c r="E580" s="4">
        <v>2154</v>
      </c>
      <c r="F580" s="4" t="s">
        <v>29</v>
      </c>
      <c r="G580" s="4" t="s">
        <v>30</v>
      </c>
      <c r="H580" s="4" t="s">
        <v>75</v>
      </c>
      <c r="I580" s="4" t="s">
        <v>85</v>
      </c>
      <c r="J580" s="4">
        <v>320</v>
      </c>
      <c r="L580" s="4" t="s">
        <v>33</v>
      </c>
      <c r="M580" s="5"/>
      <c r="O580" s="5"/>
      <c r="Q580" s="4">
        <f>B580</f>
        <v>627</v>
      </c>
      <c r="R580" s="4" t="str">
        <f>C580</f>
        <v>07/10/2026</v>
      </c>
      <c r="S580" s="4" t="str">
        <f>D580</f>
        <v>miércoles</v>
      </c>
      <c r="T580" s="4" t="str">
        <f>E580&amp;"/"&amp;E581</f>
        <v>2154/2155</v>
      </c>
      <c r="U580" s="4" t="str">
        <f>F580&amp;"-"&amp;G580&amp;"-"&amp;F580</f>
        <v>LIM-CUZ-LIM</v>
      </c>
      <c r="V580" s="4" t="str">
        <f>IF($M$580="","",$M$580)</f>
        <v/>
      </c>
      <c r="W580" s="4" t="str">
        <f>IF($O$580="","",$O$580)</f>
        <v/>
      </c>
      <c r="X580" s="4">
        <f>J580</f>
        <v>320</v>
      </c>
    </row>
    <row r="581" spans="2:24" ht="30" x14ac:dyDescent="0.25">
      <c r="B581" s="4">
        <v>627</v>
      </c>
      <c r="C581" s="4" t="s">
        <v>164</v>
      </c>
      <c r="D581" s="4" t="s">
        <v>165</v>
      </c>
      <c r="E581" s="4">
        <v>2155</v>
      </c>
      <c r="F581" s="4" t="s">
        <v>30</v>
      </c>
      <c r="G581" s="4" t="s">
        <v>29</v>
      </c>
      <c r="H581" s="4" t="s">
        <v>86</v>
      </c>
      <c r="I581" s="4" t="s">
        <v>78</v>
      </c>
      <c r="J581" s="4">
        <v>320</v>
      </c>
      <c r="K581" t="str">
        <f>TEXT(TIMEVALUE(H581)-TIMEVALUE(I580)+(TIMEVALUE(H581)&lt;TIMEVALUE(I580)),"[h]:mm")</f>
        <v>0:40</v>
      </c>
      <c r="L581" s="4" t="s">
        <v>36</v>
      </c>
      <c r="O581" t="str">
        <f>"LIM-"&amp;G580&amp;"-LIM   LA "&amp;E580&amp;" ("&amp;LEFT(H580,5)&amp;"-"&amp;LEFT(I580,5)&amp;" hrs)  /  LA "&amp;E581&amp;" ("&amp;LEFT(H581,5)&amp;"-"&amp;LEFT(I581,5)&amp;" hrs)"</f>
        <v>LIM-CUZ-LIM   LA 2154 (14:45-16:05 hrs)  /  LA 2155 (16:45-18:20 hrs)</v>
      </c>
    </row>
    <row r="582" spans="2:24" x14ac:dyDescent="0.25">
      <c r="J582" s="7" t="s">
        <v>43</v>
      </c>
      <c r="K582" s="8" t="str">
        <f>TEXT(TIMEVALUE(I581)-TIMEVALUE(H580)+(I581&lt;H580),"[h]:mm")</f>
        <v>3:35</v>
      </c>
    </row>
    <row r="584" spans="2:24" ht="30" x14ac:dyDescent="0.25">
      <c r="B584" s="3" t="s">
        <v>9</v>
      </c>
      <c r="C584" s="3" t="s">
        <v>17</v>
      </c>
      <c r="D584" s="3" t="s">
        <v>18</v>
      </c>
      <c r="E584" s="3" t="s">
        <v>19</v>
      </c>
      <c r="F584" s="3" t="s">
        <v>20</v>
      </c>
      <c r="G584" s="3" t="s">
        <v>21</v>
      </c>
      <c r="H584" s="3" t="s">
        <v>22</v>
      </c>
      <c r="I584" s="3" t="s">
        <v>23</v>
      </c>
      <c r="J584" s="3" t="s">
        <v>24</v>
      </c>
      <c r="K584" s="3" t="s">
        <v>25</v>
      </c>
      <c r="L584" s="3" t="s">
        <v>26</v>
      </c>
    </row>
    <row r="585" spans="2:24" ht="30" x14ac:dyDescent="0.25">
      <c r="B585" s="4">
        <v>628</v>
      </c>
      <c r="C585" s="4" t="s">
        <v>164</v>
      </c>
      <c r="D585" s="4" t="s">
        <v>165</v>
      </c>
      <c r="E585" s="4">
        <v>2264</v>
      </c>
      <c r="F585" s="4" t="s">
        <v>29</v>
      </c>
      <c r="G585" s="4" t="s">
        <v>44</v>
      </c>
      <c r="H585" s="4" t="s">
        <v>87</v>
      </c>
      <c r="I585" s="4" t="s">
        <v>60</v>
      </c>
      <c r="J585" s="4">
        <v>319</v>
      </c>
      <c r="L585" s="4" t="s">
        <v>47</v>
      </c>
      <c r="M585" s="5"/>
      <c r="O585" s="5"/>
      <c r="Q585" s="4">
        <f>B585</f>
        <v>628</v>
      </c>
      <c r="R585" s="4" t="str">
        <f>C585</f>
        <v>07/10/2026</v>
      </c>
      <c r="S585" s="4" t="str">
        <f>D585</f>
        <v>miércoles</v>
      </c>
      <c r="T585" s="4" t="str">
        <f>E585&amp;"/"&amp;E586</f>
        <v>2264/2265</v>
      </c>
      <c r="U585" s="4" t="str">
        <f>F585&amp;"-"&amp;G585&amp;"-"&amp;F585</f>
        <v>LIM-PEM-LIM</v>
      </c>
      <c r="V585" s="4" t="str">
        <f>IF($M$585="","",$M$585)</f>
        <v/>
      </c>
      <c r="W585" s="4" t="str">
        <f>IF($O$585="","",$O$585)</f>
        <v/>
      </c>
      <c r="X585" s="4">
        <f>J585</f>
        <v>319</v>
      </c>
    </row>
    <row r="586" spans="2:24" ht="30" x14ac:dyDescent="0.25">
      <c r="B586" s="4">
        <v>628</v>
      </c>
      <c r="C586" s="4" t="s">
        <v>164</v>
      </c>
      <c r="D586" s="4" t="s">
        <v>165</v>
      </c>
      <c r="E586" s="4">
        <v>2265</v>
      </c>
      <c r="F586" s="4" t="s">
        <v>44</v>
      </c>
      <c r="G586" s="4" t="s">
        <v>29</v>
      </c>
      <c r="H586" s="4" t="s">
        <v>53</v>
      </c>
      <c r="I586" s="4" t="s">
        <v>88</v>
      </c>
      <c r="J586" s="4">
        <v>319</v>
      </c>
      <c r="K586" t="str">
        <f>TEXT(TIMEVALUE(H586)-TIMEVALUE(I585)+(TIMEVALUE(H586)&lt;TIMEVALUE(I585)),"[h]:mm")</f>
        <v>0:40</v>
      </c>
      <c r="L586" s="4" t="s">
        <v>36</v>
      </c>
      <c r="O586" t="str">
        <f>"LIM-"&amp;G585&amp;"-LIM   LA "&amp;E585&amp;" ("&amp;LEFT(H585,5)&amp;"-"&amp;LEFT(I585,5)&amp;" hrs)  /  LA "&amp;E586&amp;" ("&amp;LEFT(H586,5)&amp;"-"&amp;LEFT(I586,5)&amp;" hrs)"</f>
        <v>LIM-PEM-LIM   LA 2264 (14:55-16:40 hrs)  /  LA 2265 (17:20-18:55 hrs)</v>
      </c>
    </row>
    <row r="587" spans="2:24" x14ac:dyDescent="0.25">
      <c r="J587" s="7" t="s">
        <v>43</v>
      </c>
      <c r="K587" s="8" t="str">
        <f>TEXT(TIMEVALUE(I586)-TIMEVALUE(H585)+(I586&lt;H585),"[h]:mm")</f>
        <v>4:00</v>
      </c>
    </row>
    <row r="589" spans="2:24" ht="30" x14ac:dyDescent="0.25">
      <c r="B589" s="3" t="s">
        <v>9</v>
      </c>
      <c r="C589" s="3" t="s">
        <v>17</v>
      </c>
      <c r="D589" s="3" t="s">
        <v>18</v>
      </c>
      <c r="E589" s="3" t="s">
        <v>19</v>
      </c>
      <c r="F589" s="3" t="s">
        <v>20</v>
      </c>
      <c r="G589" s="3" t="s">
        <v>21</v>
      </c>
      <c r="H589" s="3" t="s">
        <v>22</v>
      </c>
      <c r="I589" s="3" t="s">
        <v>23</v>
      </c>
      <c r="J589" s="3" t="s">
        <v>24</v>
      </c>
      <c r="K589" s="3" t="s">
        <v>25</v>
      </c>
      <c r="L589" s="3" t="s">
        <v>26</v>
      </c>
    </row>
    <row r="590" spans="2:24" ht="30" x14ac:dyDescent="0.25">
      <c r="B590" s="4">
        <v>629</v>
      </c>
      <c r="C590" s="4" t="s">
        <v>164</v>
      </c>
      <c r="D590" s="4" t="s">
        <v>165</v>
      </c>
      <c r="E590" s="4">
        <v>2338</v>
      </c>
      <c r="F590" s="4" t="s">
        <v>29</v>
      </c>
      <c r="G590" s="4" t="s">
        <v>125</v>
      </c>
      <c r="H590" s="4" t="s">
        <v>109</v>
      </c>
      <c r="I590" s="4" t="s">
        <v>86</v>
      </c>
      <c r="J590" s="4">
        <v>320</v>
      </c>
      <c r="L590" s="4" t="s">
        <v>47</v>
      </c>
      <c r="M590" s="5"/>
      <c r="O590" s="5"/>
      <c r="Q590" s="4">
        <f>B590</f>
        <v>629</v>
      </c>
      <c r="R590" s="4" t="str">
        <f>C590</f>
        <v>07/10/2026</v>
      </c>
      <c r="S590" s="4" t="str">
        <f>D590</f>
        <v>miércoles</v>
      </c>
      <c r="T590" s="4" t="str">
        <f>E590&amp;"/"&amp;E591</f>
        <v>2338/2339</v>
      </c>
      <c r="U590" s="4" t="str">
        <f>F590&amp;"-"&amp;G590&amp;"-"&amp;F590</f>
        <v>LIM-PIU-LIM</v>
      </c>
      <c r="V590" s="4" t="str">
        <f>IF($M$590="","",$M$590)</f>
        <v/>
      </c>
      <c r="W590" s="4" t="str">
        <f>IF($O$590="","",$O$590)</f>
        <v/>
      </c>
      <c r="X590" s="4">
        <f>J590</f>
        <v>320</v>
      </c>
    </row>
    <row r="591" spans="2:24" ht="30" x14ac:dyDescent="0.25">
      <c r="B591" s="4">
        <v>629</v>
      </c>
      <c r="C591" s="4" t="s">
        <v>164</v>
      </c>
      <c r="D591" s="4" t="s">
        <v>165</v>
      </c>
      <c r="E591" s="4">
        <v>2339</v>
      </c>
      <c r="F591" s="4" t="s">
        <v>125</v>
      </c>
      <c r="G591" s="4" t="s">
        <v>29</v>
      </c>
      <c r="H591" s="4" t="s">
        <v>53</v>
      </c>
      <c r="I591" s="4" t="s">
        <v>88</v>
      </c>
      <c r="J591" s="4">
        <v>320</v>
      </c>
      <c r="K591" t="str">
        <f>TEXT(TIMEVALUE(H591)-TIMEVALUE(I590)+(TIMEVALUE(H591)&lt;TIMEVALUE(I590)),"[h]:mm")</f>
        <v>0:35</v>
      </c>
      <c r="L591" s="4" t="s">
        <v>36</v>
      </c>
      <c r="O591" t="str">
        <f>"LIM-"&amp;G590&amp;"-LIM   LA "&amp;E590&amp;" ("&amp;LEFT(H590,5)&amp;"-"&amp;LEFT(I590,5)&amp;" hrs)  /  LA "&amp;E591&amp;" ("&amp;LEFT(H591,5)&amp;"-"&amp;LEFT(I591,5)&amp;" hrs)"</f>
        <v>LIM-PIU-LIM   LA 2338 (15:00-16:45 hrs)  /  LA 2339 (17:20-18:55 hrs)</v>
      </c>
    </row>
    <row r="592" spans="2:24" x14ac:dyDescent="0.25">
      <c r="J592" s="7" t="s">
        <v>43</v>
      </c>
      <c r="K592" s="8" t="str">
        <f>TEXT(TIMEVALUE(I591)-TIMEVALUE(H590)+(I591&lt;H590),"[h]:mm")</f>
        <v>3:55</v>
      </c>
    </row>
    <row r="594" spans="2:24" ht="30" x14ac:dyDescent="0.25">
      <c r="B594" s="3" t="s">
        <v>9</v>
      </c>
      <c r="C594" s="3" t="s">
        <v>17</v>
      </c>
      <c r="D594" s="3" t="s">
        <v>18</v>
      </c>
      <c r="E594" s="3" t="s">
        <v>19</v>
      </c>
      <c r="F594" s="3" t="s">
        <v>20</v>
      </c>
      <c r="G594" s="3" t="s">
        <v>21</v>
      </c>
      <c r="H594" s="3" t="s">
        <v>22</v>
      </c>
      <c r="I594" s="3" t="s">
        <v>23</v>
      </c>
      <c r="J594" s="3" t="s">
        <v>24</v>
      </c>
      <c r="K594" s="3" t="s">
        <v>25</v>
      </c>
      <c r="L594" s="3" t="s">
        <v>26</v>
      </c>
    </row>
    <row r="595" spans="2:24" ht="30" x14ac:dyDescent="0.25">
      <c r="B595" s="4">
        <v>630</v>
      </c>
      <c r="C595" s="4" t="s">
        <v>164</v>
      </c>
      <c r="D595" s="4" t="s">
        <v>165</v>
      </c>
      <c r="E595" s="4">
        <v>2113</v>
      </c>
      <c r="F595" s="4" t="s">
        <v>29</v>
      </c>
      <c r="G595" s="4" t="s">
        <v>56</v>
      </c>
      <c r="H595" s="4" t="s">
        <v>126</v>
      </c>
      <c r="I595" s="4" t="s">
        <v>52</v>
      </c>
      <c r="J595" s="4">
        <v>320</v>
      </c>
      <c r="L595" s="4" t="s">
        <v>40</v>
      </c>
      <c r="M595" s="5"/>
      <c r="O595" s="5"/>
      <c r="Q595" s="4">
        <f>B595</f>
        <v>630</v>
      </c>
      <c r="R595" s="4" t="str">
        <f>C595</f>
        <v>07/10/2026</v>
      </c>
      <c r="S595" s="4" t="str">
        <f>D595</f>
        <v>miércoles</v>
      </c>
      <c r="T595" s="4" t="str">
        <f>E595&amp;"/"&amp;E596</f>
        <v>2113/2112</v>
      </c>
      <c r="U595" s="4" t="str">
        <f>F595&amp;"-"&amp;G595&amp;"-"&amp;F595</f>
        <v>LIM-AQP-LIM</v>
      </c>
      <c r="V595" s="4" t="str">
        <f>IF($M$595="","",$M$595)</f>
        <v/>
      </c>
      <c r="W595" s="4" t="str">
        <f>IF($O$595="","",$O$595)</f>
        <v/>
      </c>
      <c r="X595" s="4">
        <f>J595</f>
        <v>320</v>
      </c>
    </row>
    <row r="596" spans="2:24" ht="30" x14ac:dyDescent="0.25">
      <c r="B596" s="4">
        <v>630</v>
      </c>
      <c r="C596" s="4" t="s">
        <v>164</v>
      </c>
      <c r="D596" s="4" t="s">
        <v>165</v>
      </c>
      <c r="E596" s="4">
        <v>2112</v>
      </c>
      <c r="F596" s="4" t="s">
        <v>56</v>
      </c>
      <c r="G596" s="4" t="s">
        <v>29</v>
      </c>
      <c r="H596" s="4" t="s">
        <v>42</v>
      </c>
      <c r="I596" s="4" t="s">
        <v>88</v>
      </c>
      <c r="J596" s="4">
        <v>320</v>
      </c>
      <c r="K596" t="str">
        <f>TEXT(TIMEVALUE(H596)-TIMEVALUE(I595)+(TIMEVALUE(H596)&lt;TIMEVALUE(I595)),"[h]:mm")</f>
        <v>0:40</v>
      </c>
      <c r="L596" s="4" t="s">
        <v>71</v>
      </c>
      <c r="O596" t="str">
        <f>"LIM-"&amp;G595&amp;"-LIM   LA "&amp;E595&amp;" ("&amp;LEFT(H595,5)&amp;"-"&amp;LEFT(I595,5)&amp;" hrs)  /  LA "&amp;E596&amp;" ("&amp;LEFT(H596,5)&amp;"-"&amp;LEFT(I596,5)&amp;" hrs)"</f>
        <v>LIM-AQP-LIM   LA 2113 (15:05-16:35 hrs)  /  LA 2112 (17:15-18:55 hrs)</v>
      </c>
    </row>
    <row r="597" spans="2:24" x14ac:dyDescent="0.25">
      <c r="J597" s="7" t="s">
        <v>43</v>
      </c>
      <c r="K597" s="8" t="str">
        <f>TEXT(TIMEVALUE(I596)-TIMEVALUE(H595)+(I596&lt;H595),"[h]:mm")</f>
        <v>3:50</v>
      </c>
    </row>
    <row r="599" spans="2:24" ht="30" x14ac:dyDescent="0.25">
      <c r="B599" s="3" t="s">
        <v>9</v>
      </c>
      <c r="C599" s="3" t="s">
        <v>17</v>
      </c>
      <c r="D599" s="3" t="s">
        <v>18</v>
      </c>
      <c r="E599" s="3" t="s">
        <v>19</v>
      </c>
      <c r="F599" s="3" t="s">
        <v>20</v>
      </c>
      <c r="G599" s="3" t="s">
        <v>21</v>
      </c>
      <c r="H599" s="3" t="s">
        <v>22</v>
      </c>
      <c r="I599" s="3" t="s">
        <v>23</v>
      </c>
      <c r="J599" s="3" t="s">
        <v>24</v>
      </c>
      <c r="K599" s="3" t="s">
        <v>25</v>
      </c>
      <c r="L599" s="3" t="s">
        <v>26</v>
      </c>
    </row>
    <row r="600" spans="2:24" ht="30" x14ac:dyDescent="0.25">
      <c r="B600" s="4">
        <v>632</v>
      </c>
      <c r="C600" s="4" t="s">
        <v>164</v>
      </c>
      <c r="D600" s="4" t="s">
        <v>165</v>
      </c>
      <c r="E600" s="4">
        <v>2297</v>
      </c>
      <c r="F600" s="4" t="s">
        <v>29</v>
      </c>
      <c r="G600" s="4" t="s">
        <v>50</v>
      </c>
      <c r="H600" s="4" t="s">
        <v>51</v>
      </c>
      <c r="I600" s="4" t="s">
        <v>52</v>
      </c>
      <c r="J600" s="4">
        <v>320</v>
      </c>
      <c r="L600" s="4" t="s">
        <v>33</v>
      </c>
      <c r="M600" s="5"/>
      <c r="O600" s="5"/>
      <c r="Q600" s="4">
        <f>B600</f>
        <v>632</v>
      </c>
      <c r="R600" s="4" t="str">
        <f>C600</f>
        <v>07/10/2026</v>
      </c>
      <c r="S600" s="4" t="str">
        <f>D600</f>
        <v>miércoles</v>
      </c>
      <c r="T600" s="4" t="str">
        <f>E600&amp;"/"&amp;E601</f>
        <v>2297/2296</v>
      </c>
      <c r="U600" s="4" t="str">
        <f>F600&amp;"-"&amp;G600&amp;"-"&amp;F600</f>
        <v>LIM-CJA-LIM</v>
      </c>
      <c r="V600" s="4" t="str">
        <f>IF($M$600="","",$M$600)</f>
        <v/>
      </c>
      <c r="W600" s="4" t="str">
        <f>IF($O$600="","",$O$600)</f>
        <v/>
      </c>
      <c r="X600" s="4">
        <f>J600</f>
        <v>320</v>
      </c>
    </row>
    <row r="601" spans="2:24" ht="30" x14ac:dyDescent="0.25">
      <c r="B601" s="4">
        <v>632</v>
      </c>
      <c r="C601" s="4" t="s">
        <v>164</v>
      </c>
      <c r="D601" s="4" t="s">
        <v>165</v>
      </c>
      <c r="E601" s="4">
        <v>2296</v>
      </c>
      <c r="F601" s="4" t="s">
        <v>50</v>
      </c>
      <c r="G601" s="4" t="s">
        <v>29</v>
      </c>
      <c r="H601" s="4" t="s">
        <v>53</v>
      </c>
      <c r="I601" s="4" t="s">
        <v>54</v>
      </c>
      <c r="J601" s="4">
        <v>320</v>
      </c>
      <c r="K601" t="str">
        <f>TEXT(TIMEVALUE(H601)-TIMEVALUE(I600)+(TIMEVALUE(H601)&lt;TIMEVALUE(I600)),"[h]:mm")</f>
        <v>0:45</v>
      </c>
      <c r="L601" s="4" t="s">
        <v>55</v>
      </c>
      <c r="O601" t="str">
        <f>"LIM-"&amp;G600&amp;"-LIM   LA "&amp;E600&amp;" ("&amp;LEFT(H600,5)&amp;"-"&amp;LEFT(I600,5)&amp;" hrs)  /  LA "&amp;E601&amp;" ("&amp;LEFT(H601,5)&amp;"-"&amp;LEFT(I601,5)&amp;" hrs)"</f>
        <v>LIM-CJA-LIM   LA 2297 (15:15-16:35 hrs)  /  LA 2296 (17:20-18:25 hrs)</v>
      </c>
    </row>
    <row r="602" spans="2:24" x14ac:dyDescent="0.25">
      <c r="J602" s="7" t="s">
        <v>43</v>
      </c>
      <c r="K602" s="8" t="str">
        <f>TEXT(TIMEVALUE(I601)-TIMEVALUE(H600)+(I601&lt;H600),"[h]:mm")</f>
        <v>3:10</v>
      </c>
    </row>
    <row r="604" spans="2:24" ht="30" x14ac:dyDescent="0.25">
      <c r="B604" s="3" t="s">
        <v>9</v>
      </c>
      <c r="C604" s="3" t="s">
        <v>17</v>
      </c>
      <c r="D604" s="3" t="s">
        <v>18</v>
      </c>
      <c r="E604" s="3" t="s">
        <v>19</v>
      </c>
      <c r="F604" s="3" t="s">
        <v>20</v>
      </c>
      <c r="G604" s="3" t="s">
        <v>21</v>
      </c>
      <c r="H604" s="3" t="s">
        <v>22</v>
      </c>
      <c r="I604" s="3" t="s">
        <v>23</v>
      </c>
      <c r="J604" s="3" t="s">
        <v>24</v>
      </c>
      <c r="K604" s="3" t="s">
        <v>25</v>
      </c>
      <c r="L604" s="3" t="s">
        <v>26</v>
      </c>
    </row>
    <row r="605" spans="2:24" ht="30" x14ac:dyDescent="0.25">
      <c r="B605" s="4">
        <v>633</v>
      </c>
      <c r="C605" s="4" t="s">
        <v>164</v>
      </c>
      <c r="D605" s="4" t="s">
        <v>165</v>
      </c>
      <c r="E605" s="4">
        <v>2360</v>
      </c>
      <c r="F605" s="4" t="s">
        <v>29</v>
      </c>
      <c r="G605" s="4" t="s">
        <v>58</v>
      </c>
      <c r="H605" s="4" t="s">
        <v>59</v>
      </c>
      <c r="I605" s="4" t="s">
        <v>60</v>
      </c>
      <c r="J605" s="4">
        <v>319</v>
      </c>
      <c r="L605" s="4" t="s">
        <v>61</v>
      </c>
      <c r="M605" s="5"/>
      <c r="O605" s="5"/>
      <c r="Q605" s="4">
        <f>B605</f>
        <v>633</v>
      </c>
      <c r="R605" s="4" t="str">
        <f>C605</f>
        <v>07/10/2026</v>
      </c>
      <c r="S605" s="4" t="str">
        <f>D605</f>
        <v>miércoles</v>
      </c>
      <c r="T605" s="4" t="str">
        <f>E605&amp;"/"&amp;E606</f>
        <v>2360/2361</v>
      </c>
      <c r="U605" s="4" t="str">
        <f>F605&amp;"-"&amp;G605&amp;"-"&amp;F605</f>
        <v>LIM-PCL-LIM</v>
      </c>
      <c r="V605" s="4" t="str">
        <f>IF($M$605="","",$M$605)</f>
        <v/>
      </c>
      <c r="W605" s="4" t="str">
        <f>IF($O$605="","",$O$605)</f>
        <v/>
      </c>
      <c r="X605" s="4">
        <f>J605</f>
        <v>319</v>
      </c>
    </row>
    <row r="606" spans="2:24" ht="30" x14ac:dyDescent="0.25">
      <c r="B606" s="4">
        <v>633</v>
      </c>
      <c r="C606" s="4" t="s">
        <v>164</v>
      </c>
      <c r="D606" s="4" t="s">
        <v>165</v>
      </c>
      <c r="E606" s="4">
        <v>2361</v>
      </c>
      <c r="F606" s="4" t="s">
        <v>58</v>
      </c>
      <c r="G606" s="4" t="s">
        <v>29</v>
      </c>
      <c r="H606" s="4" t="s">
        <v>53</v>
      </c>
      <c r="I606" s="4" t="s">
        <v>62</v>
      </c>
      <c r="J606" s="4">
        <v>319</v>
      </c>
      <c r="K606" t="str">
        <f>TEXT(TIMEVALUE(H606)-TIMEVALUE(I605)+(TIMEVALUE(H606)&lt;TIMEVALUE(I605)),"[h]:mm")</f>
        <v>0:40</v>
      </c>
      <c r="L606" s="4" t="s">
        <v>61</v>
      </c>
      <c r="O606" t="str">
        <f>"LIM-"&amp;G605&amp;"-LIM   LA "&amp;E605&amp;" ("&amp;LEFT(H605,5)&amp;"-"&amp;LEFT(I605,5)&amp;" hrs)  /  LA "&amp;E606&amp;" ("&amp;LEFT(H606,5)&amp;"-"&amp;LEFT(I606,5)&amp;" hrs)"</f>
        <v>LIM-PCL-LIM   LA 2360 (15:25-16:40 hrs)  /  LA 2361 (17:20-18:35 hrs)</v>
      </c>
    </row>
    <row r="607" spans="2:24" x14ac:dyDescent="0.25">
      <c r="J607" s="7" t="s">
        <v>43</v>
      </c>
      <c r="K607" s="8" t="str">
        <f>TEXT(TIMEVALUE(I606)-TIMEVALUE(H605)+(I606&lt;H605),"[h]:mm")</f>
        <v>3:10</v>
      </c>
    </row>
    <row r="609" spans="2:24" ht="30" x14ac:dyDescent="0.25">
      <c r="B609" s="3" t="s">
        <v>9</v>
      </c>
      <c r="C609" s="3" t="s">
        <v>17</v>
      </c>
      <c r="D609" s="3" t="s">
        <v>18</v>
      </c>
      <c r="E609" s="3" t="s">
        <v>19</v>
      </c>
      <c r="F609" s="3" t="s">
        <v>20</v>
      </c>
      <c r="G609" s="3" t="s">
        <v>21</v>
      </c>
      <c r="H609" s="3" t="s">
        <v>22</v>
      </c>
      <c r="I609" s="3" t="s">
        <v>23</v>
      </c>
      <c r="J609" s="3" t="s">
        <v>24</v>
      </c>
      <c r="K609" s="3" t="s">
        <v>25</v>
      </c>
      <c r="L609" s="3" t="s">
        <v>26</v>
      </c>
    </row>
    <row r="610" spans="2:24" ht="30" x14ac:dyDescent="0.25">
      <c r="B610" s="4">
        <v>634</v>
      </c>
      <c r="C610" s="4" t="s">
        <v>164</v>
      </c>
      <c r="D610" s="4" t="s">
        <v>165</v>
      </c>
      <c r="E610" s="4">
        <v>2312</v>
      </c>
      <c r="F610" s="4" t="s">
        <v>29</v>
      </c>
      <c r="G610" s="4" t="s">
        <v>37</v>
      </c>
      <c r="H610" s="4" t="s">
        <v>89</v>
      </c>
      <c r="I610" s="4" t="s">
        <v>77</v>
      </c>
      <c r="J610" s="4">
        <v>320</v>
      </c>
      <c r="L610" s="4" t="s">
        <v>40</v>
      </c>
      <c r="M610" s="5"/>
      <c r="O610" s="5"/>
      <c r="Q610" s="4">
        <f>B610</f>
        <v>634</v>
      </c>
      <c r="R610" s="4" t="str">
        <f>C610</f>
        <v>07/10/2026</v>
      </c>
      <c r="S610" s="4" t="str">
        <f>D610</f>
        <v>miércoles</v>
      </c>
      <c r="T610" s="4" t="str">
        <f>E610&amp;"/"&amp;E611</f>
        <v>2312/2313</v>
      </c>
      <c r="U610" s="4" t="str">
        <f>F610&amp;"-"&amp;G610&amp;"-"&amp;F610</f>
        <v>LIM-CIX-LIM</v>
      </c>
      <c r="V610" s="4" t="str">
        <f>IF($M$610="","",$M$610)</f>
        <v/>
      </c>
      <c r="W610" s="4" t="str">
        <f>IF($O$610="","",$O$610)</f>
        <v/>
      </c>
      <c r="X610" s="4">
        <f>J610</f>
        <v>320</v>
      </c>
    </row>
    <row r="611" spans="2:24" ht="30" x14ac:dyDescent="0.25">
      <c r="B611" s="4">
        <v>634</v>
      </c>
      <c r="C611" s="4" t="s">
        <v>164</v>
      </c>
      <c r="D611" s="4" t="s">
        <v>165</v>
      </c>
      <c r="E611" s="4">
        <v>2313</v>
      </c>
      <c r="F611" s="4" t="s">
        <v>37</v>
      </c>
      <c r="G611" s="4" t="s">
        <v>29</v>
      </c>
      <c r="H611" s="4" t="s">
        <v>84</v>
      </c>
      <c r="I611" s="4" t="s">
        <v>90</v>
      </c>
      <c r="J611" s="4">
        <v>320</v>
      </c>
      <c r="K611" t="str">
        <f>TEXT(TIMEVALUE(H611)-TIMEVALUE(I610)+(TIMEVALUE(H611)&lt;TIMEVALUE(I610)),"[h]:mm")</f>
        <v>0:45</v>
      </c>
      <c r="L611" s="4" t="s">
        <v>33</v>
      </c>
      <c r="O611" t="str">
        <f>"LIM-"&amp;G610&amp;"-LIM   LA "&amp;E610&amp;" ("&amp;LEFT(H610,5)&amp;"-"&amp;LEFT(I610,5)&amp;" hrs)  /  LA "&amp;E611&amp;" ("&amp;LEFT(H611,5)&amp;"-"&amp;LEFT(I611,5)&amp;" hrs)"</f>
        <v>LIM-CIX-LIM   LA 2312 (15:35-17:05 hrs)  /  LA 2313 (17:50-19:10 hrs)</v>
      </c>
    </row>
    <row r="612" spans="2:24" x14ac:dyDescent="0.25">
      <c r="J612" s="7" t="s">
        <v>43</v>
      </c>
      <c r="K612" s="8" t="str">
        <f>TEXT(TIMEVALUE(I611)-TIMEVALUE(H610)+(I611&lt;H610),"[h]:mm")</f>
        <v>3:35</v>
      </c>
    </row>
    <row r="614" spans="2:24" ht="30" x14ac:dyDescent="0.25">
      <c r="B614" s="3" t="s">
        <v>9</v>
      </c>
      <c r="C614" s="3" t="s">
        <v>17</v>
      </c>
      <c r="D614" s="3" t="s">
        <v>18</v>
      </c>
      <c r="E614" s="3" t="s">
        <v>19</v>
      </c>
      <c r="F614" s="3" t="s">
        <v>20</v>
      </c>
      <c r="G614" s="3" t="s">
        <v>21</v>
      </c>
      <c r="H614" s="3" t="s">
        <v>22</v>
      </c>
      <c r="I614" s="3" t="s">
        <v>23</v>
      </c>
      <c r="J614" s="3" t="s">
        <v>24</v>
      </c>
      <c r="K614" s="3" t="s">
        <v>25</v>
      </c>
      <c r="L614" s="3" t="s">
        <v>26</v>
      </c>
    </row>
    <row r="615" spans="2:24" ht="30" x14ac:dyDescent="0.25">
      <c r="B615" s="4">
        <v>635</v>
      </c>
      <c r="C615" s="4" t="s">
        <v>164</v>
      </c>
      <c r="D615" s="4" t="s">
        <v>165</v>
      </c>
      <c r="E615" s="4">
        <v>2301</v>
      </c>
      <c r="F615" s="4" t="s">
        <v>29</v>
      </c>
      <c r="G615" s="4" t="s">
        <v>91</v>
      </c>
      <c r="H615" s="4" t="s">
        <v>92</v>
      </c>
      <c r="I615" s="4" t="s">
        <v>77</v>
      </c>
      <c r="J615" s="4">
        <v>320</v>
      </c>
      <c r="L615" s="4" t="s">
        <v>93</v>
      </c>
      <c r="M615" s="5"/>
      <c r="O615" s="5"/>
      <c r="Q615" s="4">
        <f>B615</f>
        <v>635</v>
      </c>
      <c r="R615" s="4" t="str">
        <f>C615</f>
        <v>07/10/2026</v>
      </c>
      <c r="S615" s="4" t="str">
        <f>D615</f>
        <v>miércoles</v>
      </c>
      <c r="T615" s="4" t="str">
        <f>E615&amp;"/"&amp;E616</f>
        <v>2301/2300</v>
      </c>
      <c r="U615" s="4" t="str">
        <f>F615&amp;"-"&amp;G615&amp;"-"&amp;F615</f>
        <v>LIM-TPP-LIM</v>
      </c>
      <c r="V615" s="4" t="str">
        <f>IF($M$615="","",$M$615)</f>
        <v/>
      </c>
      <c r="W615" s="4" t="str">
        <f>IF($O$615="","",$O$615)</f>
        <v/>
      </c>
      <c r="X615" s="4">
        <f>J615</f>
        <v>320</v>
      </c>
    </row>
    <row r="616" spans="2:24" ht="30" x14ac:dyDescent="0.25">
      <c r="B616" s="4">
        <v>635</v>
      </c>
      <c r="C616" s="4" t="s">
        <v>164</v>
      </c>
      <c r="D616" s="4" t="s">
        <v>165</v>
      </c>
      <c r="E616" s="4">
        <v>2300</v>
      </c>
      <c r="F616" s="4" t="s">
        <v>91</v>
      </c>
      <c r="G616" s="4" t="s">
        <v>29</v>
      </c>
      <c r="H616" s="4" t="s">
        <v>84</v>
      </c>
      <c r="I616" s="4" t="s">
        <v>94</v>
      </c>
      <c r="J616" s="4">
        <v>320</v>
      </c>
      <c r="K616" t="str">
        <f>TEXT(TIMEVALUE(H616)-TIMEVALUE(I615)+(TIMEVALUE(H616)&lt;TIMEVALUE(I615)),"[h]:mm")</f>
        <v>0:45</v>
      </c>
      <c r="L616" s="4" t="s">
        <v>93</v>
      </c>
      <c r="O616" t="str">
        <f>"LIM-"&amp;G615&amp;"-LIM   LA "&amp;E615&amp;" ("&amp;LEFT(H615,5)&amp;"-"&amp;LEFT(I615,5)&amp;" hrs)  /  LA "&amp;E616&amp;" ("&amp;LEFT(H616,5)&amp;"-"&amp;LEFT(I616,5)&amp;" hrs)"</f>
        <v>LIM-TPP-LIM   LA 2301 (15:40-17:05 hrs)  /  LA 2300 (17:50-19:15 hrs)</v>
      </c>
    </row>
    <row r="617" spans="2:24" x14ac:dyDescent="0.25">
      <c r="J617" s="7" t="s">
        <v>43</v>
      </c>
      <c r="K617" s="8" t="str">
        <f>TEXT(TIMEVALUE(I616)-TIMEVALUE(H615)+(I616&lt;H615),"[h]:mm")</f>
        <v>3:35</v>
      </c>
    </row>
    <row r="619" spans="2:24" ht="30" x14ac:dyDescent="0.25">
      <c r="B619" s="3" t="s">
        <v>9</v>
      </c>
      <c r="C619" s="3" t="s">
        <v>17</v>
      </c>
      <c r="D619" s="3" t="s">
        <v>18</v>
      </c>
      <c r="E619" s="3" t="s">
        <v>19</v>
      </c>
      <c r="F619" s="3" t="s">
        <v>20</v>
      </c>
      <c r="G619" s="3" t="s">
        <v>21</v>
      </c>
      <c r="H619" s="3" t="s">
        <v>22</v>
      </c>
      <c r="I619" s="3" t="s">
        <v>23</v>
      </c>
      <c r="J619" s="3" t="s">
        <v>24</v>
      </c>
      <c r="K619" s="3" t="s">
        <v>25</v>
      </c>
      <c r="L619" s="3" t="s">
        <v>26</v>
      </c>
    </row>
    <row r="620" spans="2:24" ht="30" x14ac:dyDescent="0.25">
      <c r="B620" s="4">
        <v>693</v>
      </c>
      <c r="C620" s="4" t="s">
        <v>166</v>
      </c>
      <c r="D620" s="4" t="s">
        <v>28</v>
      </c>
      <c r="E620" s="4">
        <v>2061</v>
      </c>
      <c r="F620" s="4" t="s">
        <v>29</v>
      </c>
      <c r="G620" s="4" t="s">
        <v>30</v>
      </c>
      <c r="H620" s="4" t="s">
        <v>103</v>
      </c>
      <c r="I620" s="4" t="s">
        <v>120</v>
      </c>
      <c r="J620" s="4">
        <v>320</v>
      </c>
      <c r="L620" s="4" t="s">
        <v>33</v>
      </c>
      <c r="M620" s="5"/>
      <c r="O620" s="5"/>
      <c r="Q620" s="4">
        <f>B620</f>
        <v>693</v>
      </c>
      <c r="R620" s="4" t="str">
        <f>C620</f>
        <v>08/10/2026</v>
      </c>
      <c r="S620" s="4" t="str">
        <f>D620</f>
        <v>jueves</v>
      </c>
      <c r="T620" s="4" t="str">
        <f>E620&amp;"/"&amp;E621</f>
        <v>2061/2062</v>
      </c>
      <c r="U620" s="4" t="str">
        <f>F620&amp;"-"&amp;G620&amp;"-"&amp;F620</f>
        <v>LIM-CUZ-LIM</v>
      </c>
      <c r="V620" s="4" t="str">
        <f>IF($M$620="","",$M$620)</f>
        <v/>
      </c>
      <c r="W620" s="4" t="str">
        <f>IF($O$620="","",$O$620)</f>
        <v/>
      </c>
      <c r="X620" s="4">
        <f>J620</f>
        <v>320</v>
      </c>
    </row>
    <row r="621" spans="2:24" ht="30" x14ac:dyDescent="0.25">
      <c r="B621" s="4">
        <v>693</v>
      </c>
      <c r="C621" s="4" t="s">
        <v>166</v>
      </c>
      <c r="D621" s="4" t="s">
        <v>28</v>
      </c>
      <c r="E621" s="4">
        <v>2062</v>
      </c>
      <c r="F621" s="4" t="s">
        <v>30</v>
      </c>
      <c r="G621" s="4" t="s">
        <v>29</v>
      </c>
      <c r="H621" s="4" t="s">
        <v>72</v>
      </c>
      <c r="I621" s="4" t="s">
        <v>51</v>
      </c>
      <c r="J621" s="4">
        <v>320</v>
      </c>
      <c r="K621" t="str">
        <f>TEXT(TIMEVALUE(H621)-TIMEVALUE(I620)+(TIMEVALUE(H621)&lt;TIMEVALUE(I620)),"[h]:mm")</f>
        <v>0:40</v>
      </c>
      <c r="L621" s="4" t="s">
        <v>36</v>
      </c>
      <c r="O621" t="str">
        <f>"LIM-"&amp;G620&amp;"-LIM   LA "&amp;E620&amp;" ("&amp;LEFT(H620,5)&amp;"-"&amp;LEFT(I620,5)&amp;" hrs)  /  LA "&amp;E621&amp;" ("&amp;LEFT(H621,5)&amp;"-"&amp;LEFT(I621,5)&amp;" hrs)"</f>
        <v>LIM-CUZ-LIM   LA 2061 (11:40-13:00 hrs)  /  LA 2062 (13:40-15:15 hrs)</v>
      </c>
    </row>
    <row r="622" spans="2:24" x14ac:dyDescent="0.25">
      <c r="J622" s="7" t="s">
        <v>43</v>
      </c>
      <c r="K622" s="8" t="str">
        <f>TEXT(TIMEVALUE(I621)-TIMEVALUE(H620)+(I621&lt;H620),"[h]:mm")</f>
        <v>3:35</v>
      </c>
    </row>
    <row r="624" spans="2:24" ht="30" x14ac:dyDescent="0.25">
      <c r="B624" s="3" t="s">
        <v>9</v>
      </c>
      <c r="C624" s="3" t="s">
        <v>17</v>
      </c>
      <c r="D624" s="3" t="s">
        <v>18</v>
      </c>
      <c r="E624" s="3" t="s">
        <v>19</v>
      </c>
      <c r="F624" s="3" t="s">
        <v>20</v>
      </c>
      <c r="G624" s="3" t="s">
        <v>21</v>
      </c>
      <c r="H624" s="3" t="s">
        <v>22</v>
      </c>
      <c r="I624" s="3" t="s">
        <v>23</v>
      </c>
      <c r="J624" s="3" t="s">
        <v>24</v>
      </c>
      <c r="K624" s="3" t="s">
        <v>25</v>
      </c>
      <c r="L624" s="3" t="s">
        <v>26</v>
      </c>
    </row>
    <row r="625" spans="2:24" ht="30" x14ac:dyDescent="0.25">
      <c r="B625" s="4">
        <v>699</v>
      </c>
      <c r="C625" s="4" t="s">
        <v>166</v>
      </c>
      <c r="D625" s="4" t="s">
        <v>28</v>
      </c>
      <c r="E625" s="4">
        <v>2120</v>
      </c>
      <c r="F625" s="4" t="s">
        <v>29</v>
      </c>
      <c r="G625" s="4" t="s">
        <v>30</v>
      </c>
      <c r="H625" s="4" t="s">
        <v>123</v>
      </c>
      <c r="I625" s="4" t="s">
        <v>82</v>
      </c>
      <c r="J625" s="4">
        <v>320</v>
      </c>
      <c r="L625" s="4" t="s">
        <v>33</v>
      </c>
      <c r="M625" s="5"/>
      <c r="O625" s="5"/>
      <c r="Q625" s="4">
        <f>B625</f>
        <v>699</v>
      </c>
      <c r="R625" s="4" t="str">
        <f>C625</f>
        <v>08/10/2026</v>
      </c>
      <c r="S625" s="4" t="str">
        <f>D625</f>
        <v>jueves</v>
      </c>
      <c r="T625" s="4" t="str">
        <f>E625&amp;"/"&amp;E626</f>
        <v>2120/2121</v>
      </c>
      <c r="U625" s="4" t="str">
        <f>F625&amp;"-"&amp;G625&amp;"-"&amp;F625</f>
        <v>LIM-CUZ-LIM</v>
      </c>
      <c r="V625" s="4" t="str">
        <f>IF($M$625="","",$M$625)</f>
        <v/>
      </c>
      <c r="W625" s="4" t="str">
        <f>IF($O$625="","",$O$625)</f>
        <v/>
      </c>
      <c r="X625" s="4">
        <f>J625</f>
        <v>320</v>
      </c>
    </row>
    <row r="626" spans="2:24" ht="30" x14ac:dyDescent="0.25">
      <c r="B626" s="4">
        <v>699</v>
      </c>
      <c r="C626" s="4" t="s">
        <v>166</v>
      </c>
      <c r="D626" s="4" t="s">
        <v>28</v>
      </c>
      <c r="E626" s="4">
        <v>2121</v>
      </c>
      <c r="F626" s="4" t="s">
        <v>30</v>
      </c>
      <c r="G626" s="4" t="s">
        <v>29</v>
      </c>
      <c r="H626" s="4" t="s">
        <v>124</v>
      </c>
      <c r="I626" s="4" t="s">
        <v>90</v>
      </c>
      <c r="J626" s="4">
        <v>320</v>
      </c>
      <c r="K626" t="str">
        <f>TEXT(TIMEVALUE(H626)-TIMEVALUE(I625)+(TIMEVALUE(H626)&lt;TIMEVALUE(I625)),"[h]:mm")</f>
        <v>3:40</v>
      </c>
      <c r="L626" s="4" t="s">
        <v>36</v>
      </c>
      <c r="O626" t="str">
        <f>"LIM-"&amp;G625&amp;"-LIM   LA "&amp;E625&amp;" ("&amp;LEFT(H625,5)&amp;"-"&amp;LEFT(I625,5)&amp;" hrs)  /  LA "&amp;E626&amp;" ("&amp;LEFT(H626,5)&amp;"-"&amp;LEFT(I626,5)&amp;" hrs)"</f>
        <v>LIM-CUZ-LIM   LA 2120 (12:35-13:55 hrs)  /  LA 2121 (17:35-19:10 hrs)</v>
      </c>
    </row>
    <row r="627" spans="2:24" ht="30" x14ac:dyDescent="0.25">
      <c r="B627" s="4">
        <v>729</v>
      </c>
      <c r="C627" s="4" t="s">
        <v>166</v>
      </c>
      <c r="D627" s="4" t="s">
        <v>28</v>
      </c>
      <c r="E627" s="4">
        <v>2580</v>
      </c>
      <c r="F627" s="4" t="s">
        <v>29</v>
      </c>
      <c r="G627" s="4" t="s">
        <v>58</v>
      </c>
      <c r="H627" s="4" t="s">
        <v>151</v>
      </c>
      <c r="I627" s="4" t="s">
        <v>80</v>
      </c>
      <c r="J627" s="4">
        <v>320</v>
      </c>
      <c r="K627" s="6" t="str">
        <f>TEXT(TIMEVALUE(H627)-TIMEVALUE(I626)+(TIMEVALUE(H627)&lt;TIMEVALUE(I626)),"[h]:mm")</f>
        <v>0:55</v>
      </c>
      <c r="L627" s="4" t="s">
        <v>61</v>
      </c>
      <c r="M627" t="str">
        <f>IF($M$625="","",$M$625)</f>
        <v/>
      </c>
      <c r="O627" t="str">
        <f>IF($O$625="","",$O$625)</f>
        <v/>
      </c>
      <c r="Q627" s="4">
        <f>B627</f>
        <v>729</v>
      </c>
      <c r="R627" s="4" t="str">
        <f>C627</f>
        <v>08/10/2026</v>
      </c>
      <c r="S627" s="4" t="str">
        <f>D627</f>
        <v>jueves</v>
      </c>
      <c r="T627" s="4" t="str">
        <f>E627&amp;"/"&amp;E628</f>
        <v>2580/2581</v>
      </c>
      <c r="U627" s="4" t="str">
        <f>F627&amp;"-"&amp;G627&amp;"-"&amp;F627</f>
        <v>LIM-PCL-LIM</v>
      </c>
      <c r="V627" s="4" t="str">
        <f>IF($M$625="","",$M$625)</f>
        <v/>
      </c>
      <c r="W627" s="4" t="str">
        <f>IF($O$625="","",$O$625)</f>
        <v/>
      </c>
      <c r="X627" s="4">
        <f>J627</f>
        <v>320</v>
      </c>
    </row>
    <row r="628" spans="2:24" ht="30" x14ac:dyDescent="0.25">
      <c r="B628" s="4">
        <v>729</v>
      </c>
      <c r="C628" s="4" t="s">
        <v>166</v>
      </c>
      <c r="D628" s="4" t="s">
        <v>28</v>
      </c>
      <c r="E628" s="4">
        <v>2581</v>
      </c>
      <c r="F628" s="4" t="s">
        <v>58</v>
      </c>
      <c r="G628" s="4" t="s">
        <v>29</v>
      </c>
      <c r="H628" s="4" t="s">
        <v>150</v>
      </c>
      <c r="I628" s="4" t="s">
        <v>132</v>
      </c>
      <c r="J628" s="4">
        <v>320</v>
      </c>
      <c r="K628" t="str">
        <f>TEXT(TIMEVALUE(H628)-TIMEVALUE(I627)+(TIMEVALUE(H628)&lt;TIMEVALUE(I627)),"[h]:mm")</f>
        <v>0:40</v>
      </c>
      <c r="L628" s="4" t="s">
        <v>33</v>
      </c>
      <c r="O628" t="str">
        <f>"LIM-"&amp;G627&amp;"-LIM   LA "&amp;E627&amp;" ("&amp;LEFT(H627,5)&amp;"-"&amp;LEFT(I627,5)&amp;" hrs)  /  LA "&amp;E628&amp;" ("&amp;LEFT(H628,5)&amp;"-"&amp;LEFT(I628,5)&amp;" hrs)"</f>
        <v>LIM-PCL-LIM   LA 2580 (20:05-21:20 hrs)  /  LA 2581 (22:00-23:20 hrs)</v>
      </c>
    </row>
    <row r="629" spans="2:24" x14ac:dyDescent="0.25">
      <c r="J629" s="7" t="s">
        <v>43</v>
      </c>
      <c r="K629" s="8" t="str">
        <f>TEXT(TIMEVALUE(I628)-TIMEVALUE(H625)+(I628&lt;H625),"[h]:mm")</f>
        <v>10:45</v>
      </c>
    </row>
    <row r="631" spans="2:24" ht="30" x14ac:dyDescent="0.25">
      <c r="B631" s="3" t="s">
        <v>9</v>
      </c>
      <c r="C631" s="3" t="s">
        <v>17</v>
      </c>
      <c r="D631" s="3" t="s">
        <v>18</v>
      </c>
      <c r="E631" s="3" t="s">
        <v>19</v>
      </c>
      <c r="F631" s="3" t="s">
        <v>20</v>
      </c>
      <c r="G631" s="3" t="s">
        <v>21</v>
      </c>
      <c r="H631" s="3" t="s">
        <v>22</v>
      </c>
      <c r="I631" s="3" t="s">
        <v>23</v>
      </c>
      <c r="J631" s="3" t="s">
        <v>24</v>
      </c>
      <c r="K631" s="3" t="s">
        <v>25</v>
      </c>
      <c r="L631" s="3" t="s">
        <v>26</v>
      </c>
    </row>
    <row r="632" spans="2:24" ht="30" x14ac:dyDescent="0.25">
      <c r="B632" s="4">
        <v>701</v>
      </c>
      <c r="C632" s="4" t="s">
        <v>166</v>
      </c>
      <c r="D632" s="4" t="s">
        <v>28</v>
      </c>
      <c r="E632" s="4">
        <v>2043</v>
      </c>
      <c r="F632" s="4" t="s">
        <v>29</v>
      </c>
      <c r="G632" s="4" t="s">
        <v>56</v>
      </c>
      <c r="H632" s="4" t="s">
        <v>48</v>
      </c>
      <c r="I632" s="4" t="s">
        <v>107</v>
      </c>
      <c r="J632" s="4">
        <v>320</v>
      </c>
      <c r="L632" s="4" t="s">
        <v>40</v>
      </c>
      <c r="M632" s="5"/>
      <c r="O632" s="5"/>
      <c r="Q632" s="4">
        <f>B632</f>
        <v>701</v>
      </c>
      <c r="R632" s="4" t="str">
        <f>C632</f>
        <v>08/10/2026</v>
      </c>
      <c r="S632" s="4" t="str">
        <f>D632</f>
        <v>jueves</v>
      </c>
      <c r="T632" s="4" t="str">
        <f>E632&amp;"/"&amp;E633</f>
        <v>2043/2044</v>
      </c>
      <c r="U632" s="4" t="str">
        <f>F632&amp;"-"&amp;G632&amp;"-"&amp;F632</f>
        <v>LIM-AQP-LIM</v>
      </c>
      <c r="V632" s="4" t="str">
        <f>IF($M$632="","",$M$632)</f>
        <v/>
      </c>
      <c r="W632" s="4" t="str">
        <f>IF($O$632="","",$O$632)</f>
        <v/>
      </c>
      <c r="X632" s="4">
        <f>J632</f>
        <v>320</v>
      </c>
    </row>
    <row r="633" spans="2:24" ht="30" x14ac:dyDescent="0.25">
      <c r="B633" s="4">
        <v>701</v>
      </c>
      <c r="C633" s="4" t="s">
        <v>166</v>
      </c>
      <c r="D633" s="4" t="s">
        <v>28</v>
      </c>
      <c r="E633" s="4">
        <v>2044</v>
      </c>
      <c r="F633" s="4" t="s">
        <v>56</v>
      </c>
      <c r="G633" s="4" t="s">
        <v>29</v>
      </c>
      <c r="H633" s="4" t="s">
        <v>109</v>
      </c>
      <c r="I633" s="4" t="s">
        <v>52</v>
      </c>
      <c r="J633" s="4">
        <v>320</v>
      </c>
      <c r="K633" t="str">
        <f>TEXT(TIMEVALUE(H633)-TIMEVALUE(I632)+(TIMEVALUE(H633)&lt;TIMEVALUE(I632)),"[h]:mm")</f>
        <v>0:45</v>
      </c>
      <c r="L633" s="4" t="s">
        <v>36</v>
      </c>
      <c r="O633" t="str">
        <f>"LIM-"&amp;G632&amp;"-LIM   LA "&amp;E632&amp;" ("&amp;LEFT(H632,5)&amp;"-"&amp;LEFT(I632,5)&amp;" hrs)  /  LA "&amp;E633&amp;" ("&amp;LEFT(H633,5)&amp;"-"&amp;LEFT(I633,5)&amp;" hrs)"</f>
        <v>LIM-AQP-LIM   LA 2043 (12:45-14:15 hrs)  /  LA 2044 (15:00-16:35 hrs)</v>
      </c>
    </row>
    <row r="634" spans="2:24" x14ac:dyDescent="0.25">
      <c r="J634" s="7" t="s">
        <v>43</v>
      </c>
      <c r="K634" s="8" t="str">
        <f>TEXT(TIMEVALUE(I633)-TIMEVALUE(H632)+(I633&lt;H632),"[h]:mm")</f>
        <v>3:50</v>
      </c>
    </row>
    <row r="636" spans="2:24" ht="30" x14ac:dyDescent="0.25">
      <c r="B636" s="3" t="s">
        <v>9</v>
      </c>
      <c r="C636" s="3" t="s">
        <v>17</v>
      </c>
      <c r="D636" s="3" t="s">
        <v>18</v>
      </c>
      <c r="E636" s="3" t="s">
        <v>19</v>
      </c>
      <c r="F636" s="3" t="s">
        <v>20</v>
      </c>
      <c r="G636" s="3" t="s">
        <v>21</v>
      </c>
      <c r="H636" s="3" t="s">
        <v>22</v>
      </c>
      <c r="I636" s="3" t="s">
        <v>23</v>
      </c>
      <c r="J636" s="3" t="s">
        <v>24</v>
      </c>
      <c r="K636" s="3" t="s">
        <v>25</v>
      </c>
      <c r="L636" s="3" t="s">
        <v>26</v>
      </c>
    </row>
    <row r="637" spans="2:24" ht="30" x14ac:dyDescent="0.25">
      <c r="B637" s="4">
        <v>702</v>
      </c>
      <c r="C637" s="4" t="s">
        <v>166</v>
      </c>
      <c r="D637" s="4" t="s">
        <v>28</v>
      </c>
      <c r="E637" s="4">
        <v>2308</v>
      </c>
      <c r="F637" s="4" t="s">
        <v>29</v>
      </c>
      <c r="G637" s="4" t="s">
        <v>125</v>
      </c>
      <c r="H637" s="4" t="s">
        <v>144</v>
      </c>
      <c r="I637" s="4" t="s">
        <v>145</v>
      </c>
      <c r="J637" s="4">
        <v>320</v>
      </c>
      <c r="L637" s="4" t="s">
        <v>47</v>
      </c>
      <c r="M637" s="5"/>
      <c r="O637" s="5"/>
      <c r="Q637" s="4">
        <f>B637</f>
        <v>702</v>
      </c>
      <c r="R637" s="4" t="str">
        <f>C637</f>
        <v>08/10/2026</v>
      </c>
      <c r="S637" s="4" t="str">
        <f>D637</f>
        <v>jueves</v>
      </c>
      <c r="T637" s="4" t="str">
        <f>E637&amp;"/"&amp;E638</f>
        <v>2308/2309</v>
      </c>
      <c r="U637" s="4" t="str">
        <f>F637&amp;"-"&amp;G637&amp;"-"&amp;F637</f>
        <v>LIM-PIU-LIM</v>
      </c>
      <c r="V637" s="4" t="str">
        <f>IF($M$637="","",$M$637)</f>
        <v/>
      </c>
      <c r="W637" s="4" t="str">
        <f>IF($O$637="","",$O$637)</f>
        <v/>
      </c>
      <c r="X637" s="4">
        <f>J637</f>
        <v>320</v>
      </c>
    </row>
    <row r="638" spans="2:24" ht="30" x14ac:dyDescent="0.25">
      <c r="B638" s="4">
        <v>702</v>
      </c>
      <c r="C638" s="4" t="s">
        <v>166</v>
      </c>
      <c r="D638" s="4" t="s">
        <v>28</v>
      </c>
      <c r="E638" s="4">
        <v>2309</v>
      </c>
      <c r="F638" s="4" t="s">
        <v>125</v>
      </c>
      <c r="G638" s="4" t="s">
        <v>29</v>
      </c>
      <c r="H638" s="4" t="s">
        <v>146</v>
      </c>
      <c r="I638" s="4" t="s">
        <v>60</v>
      </c>
      <c r="J638" s="4">
        <v>320</v>
      </c>
      <c r="K638" t="str">
        <f>TEXT(TIMEVALUE(H638)-TIMEVALUE(I637)+(TIMEVALUE(H638)&lt;TIMEVALUE(I637)),"[h]:mm")</f>
        <v>0:35</v>
      </c>
      <c r="L638" s="4" t="s">
        <v>40</v>
      </c>
      <c r="O638" t="str">
        <f>"LIM-"&amp;G637&amp;"-LIM   LA "&amp;E637&amp;" ("&amp;LEFT(H637,5)&amp;"-"&amp;LEFT(I637,5)&amp;" hrs)  /  LA "&amp;E638&amp;" ("&amp;LEFT(H638,5)&amp;"-"&amp;LEFT(I638,5)&amp;" hrs)"</f>
        <v>LIM-PIU-LIM   LA 2308 (12:50-14:35 hrs)  /  LA 2309 (15:10-16:40 hrs)</v>
      </c>
    </row>
    <row r="639" spans="2:24" x14ac:dyDescent="0.25">
      <c r="J639" s="7" t="s">
        <v>43</v>
      </c>
      <c r="K639" s="8" t="str">
        <f>TEXT(TIMEVALUE(I638)-TIMEVALUE(H637)+(I638&lt;H637),"[h]:mm")</f>
        <v>3:50</v>
      </c>
    </row>
    <row r="641" spans="2:24" ht="30" x14ac:dyDescent="0.25">
      <c r="B641" s="3" t="s">
        <v>9</v>
      </c>
      <c r="C641" s="3" t="s">
        <v>17</v>
      </c>
      <c r="D641" s="3" t="s">
        <v>18</v>
      </c>
      <c r="E641" s="3" t="s">
        <v>19</v>
      </c>
      <c r="F641" s="3" t="s">
        <v>20</v>
      </c>
      <c r="G641" s="3" t="s">
        <v>21</v>
      </c>
      <c r="H641" s="3" t="s">
        <v>22</v>
      </c>
      <c r="I641" s="3" t="s">
        <v>23</v>
      </c>
      <c r="J641" s="3" t="s">
        <v>24</v>
      </c>
      <c r="K641" s="3" t="s">
        <v>25</v>
      </c>
      <c r="L641" s="3" t="s">
        <v>26</v>
      </c>
    </row>
    <row r="642" spans="2:24" ht="30" x14ac:dyDescent="0.25">
      <c r="B642" s="4">
        <v>707</v>
      </c>
      <c r="C642" s="4" t="s">
        <v>166</v>
      </c>
      <c r="D642" s="4" t="s">
        <v>28</v>
      </c>
      <c r="E642" s="4">
        <v>2234</v>
      </c>
      <c r="F642" s="4" t="s">
        <v>29</v>
      </c>
      <c r="G642" s="4" t="s">
        <v>63</v>
      </c>
      <c r="H642" s="4" t="s">
        <v>106</v>
      </c>
      <c r="I642" s="4" t="s">
        <v>59</v>
      </c>
      <c r="J642" s="4">
        <v>320</v>
      </c>
      <c r="L642" s="4" t="s">
        <v>66</v>
      </c>
      <c r="M642" s="5"/>
      <c r="O642" s="5"/>
      <c r="Q642" s="4">
        <f>B642</f>
        <v>707</v>
      </c>
      <c r="R642" s="4" t="str">
        <f>C642</f>
        <v>08/10/2026</v>
      </c>
      <c r="S642" s="4" t="str">
        <f>D642</f>
        <v>jueves</v>
      </c>
      <c r="T642" s="4" t="str">
        <f>E642&amp;"/"&amp;E643</f>
        <v>2234/2235</v>
      </c>
      <c r="U642" s="4" t="str">
        <f>F642&amp;"-"&amp;G642&amp;"-"&amp;F642</f>
        <v>LIM-IQT-LIM</v>
      </c>
      <c r="V642" s="4" t="str">
        <f>IF($M$642="","",$M$642)</f>
        <v/>
      </c>
      <c r="W642" s="4" t="str">
        <f>IF($O$642="","",$O$642)</f>
        <v/>
      </c>
      <c r="X642" s="4">
        <f>J642</f>
        <v>320</v>
      </c>
    </row>
    <row r="643" spans="2:24" ht="30" x14ac:dyDescent="0.25">
      <c r="B643" s="4">
        <v>707</v>
      </c>
      <c r="C643" s="4" t="s">
        <v>166</v>
      </c>
      <c r="D643" s="4" t="s">
        <v>28</v>
      </c>
      <c r="E643" s="4">
        <v>2235</v>
      </c>
      <c r="F643" s="4" t="s">
        <v>63</v>
      </c>
      <c r="G643" s="4" t="s">
        <v>29</v>
      </c>
      <c r="H643" s="4" t="s">
        <v>85</v>
      </c>
      <c r="I643" s="4" t="s">
        <v>121</v>
      </c>
      <c r="J643" s="4">
        <v>320</v>
      </c>
      <c r="K643" t="str">
        <f>TEXT(TIMEVALUE(H643)-TIMEVALUE(I642)+(TIMEVALUE(H643)&lt;TIMEVALUE(I642)),"[h]:mm")</f>
        <v>0:40</v>
      </c>
      <c r="L643" s="4" t="s">
        <v>66</v>
      </c>
      <c r="O643" t="str">
        <f>"LIM-"&amp;G642&amp;"-LIM   LA "&amp;E642&amp;" ("&amp;LEFT(H642,5)&amp;"-"&amp;LEFT(I642,5)&amp;" hrs)  /  LA "&amp;E643&amp;" ("&amp;LEFT(H643,5)&amp;"-"&amp;LEFT(I643,5)&amp;" hrs)"</f>
        <v>LIM-IQT-LIM   LA 2234 (13:35-15:25 hrs)  /  LA 2235 (16:05-17:55 hrs)</v>
      </c>
    </row>
    <row r="644" spans="2:24" x14ac:dyDescent="0.25">
      <c r="J644" s="7" t="s">
        <v>43</v>
      </c>
      <c r="K644" s="8" t="str">
        <f>TEXT(TIMEVALUE(I643)-TIMEVALUE(H642)+(I643&lt;H642),"[h]:mm")</f>
        <v>4:20</v>
      </c>
    </row>
    <row r="646" spans="2:24" ht="30" x14ac:dyDescent="0.25">
      <c r="B646" s="3" t="s">
        <v>9</v>
      </c>
      <c r="C646" s="3" t="s">
        <v>17</v>
      </c>
      <c r="D646" s="3" t="s">
        <v>18</v>
      </c>
      <c r="E646" s="3" t="s">
        <v>19</v>
      </c>
      <c r="F646" s="3" t="s">
        <v>20</v>
      </c>
      <c r="G646" s="3" t="s">
        <v>21</v>
      </c>
      <c r="H646" s="3" t="s">
        <v>22</v>
      </c>
      <c r="I646" s="3" t="s">
        <v>23</v>
      </c>
      <c r="J646" s="3" t="s">
        <v>24</v>
      </c>
      <c r="K646" s="3" t="s">
        <v>25</v>
      </c>
      <c r="L646" s="3" t="s">
        <v>26</v>
      </c>
    </row>
    <row r="647" spans="2:24" ht="30" x14ac:dyDescent="0.25">
      <c r="B647" s="4">
        <v>709</v>
      </c>
      <c r="C647" s="4" t="s">
        <v>166</v>
      </c>
      <c r="D647" s="4" t="s">
        <v>28</v>
      </c>
      <c r="E647" s="4">
        <v>2055</v>
      </c>
      <c r="F647" s="4" t="s">
        <v>29</v>
      </c>
      <c r="G647" s="4" t="s">
        <v>56</v>
      </c>
      <c r="H647" s="4" t="s">
        <v>82</v>
      </c>
      <c r="I647" s="4" t="s">
        <v>59</v>
      </c>
      <c r="J647" s="4">
        <v>320</v>
      </c>
      <c r="L647" s="4" t="s">
        <v>40</v>
      </c>
      <c r="M647" s="5"/>
      <c r="O647" s="5"/>
      <c r="Q647" s="4">
        <f>B647</f>
        <v>709</v>
      </c>
      <c r="R647" s="4" t="str">
        <f>C647</f>
        <v>08/10/2026</v>
      </c>
      <c r="S647" s="4" t="str">
        <f>D647</f>
        <v>jueves</v>
      </c>
      <c r="T647" s="4" t="str">
        <f>E647&amp;"/"&amp;E648</f>
        <v>2055/2056</v>
      </c>
      <c r="U647" s="4" t="str">
        <f>F647&amp;"-"&amp;G647&amp;"-"&amp;F647</f>
        <v>LIM-AQP-LIM</v>
      </c>
      <c r="V647" s="4" t="str">
        <f>IF($M$647="","",$M$647)</f>
        <v/>
      </c>
      <c r="W647" s="4" t="str">
        <f>IF($O$647="","",$O$647)</f>
        <v/>
      </c>
      <c r="X647" s="4">
        <f>J647</f>
        <v>320</v>
      </c>
    </row>
    <row r="648" spans="2:24" ht="30" x14ac:dyDescent="0.25">
      <c r="B648" s="4">
        <v>709</v>
      </c>
      <c r="C648" s="4" t="s">
        <v>166</v>
      </c>
      <c r="D648" s="4" t="s">
        <v>28</v>
      </c>
      <c r="E648" s="4">
        <v>2056</v>
      </c>
      <c r="F648" s="4" t="s">
        <v>56</v>
      </c>
      <c r="G648" s="4" t="s">
        <v>29</v>
      </c>
      <c r="H648" s="4" t="s">
        <v>83</v>
      </c>
      <c r="I648" s="4" t="s">
        <v>84</v>
      </c>
      <c r="J648" s="4">
        <v>320</v>
      </c>
      <c r="K648" t="str">
        <f>TEXT(TIMEVALUE(H648)-TIMEVALUE(I647)+(TIMEVALUE(H648)&lt;TIMEVALUE(I647)),"[h]:mm")</f>
        <v>0:45</v>
      </c>
      <c r="L648" s="4" t="s">
        <v>71</v>
      </c>
      <c r="O648" t="str">
        <f>"LIM-"&amp;G647&amp;"-LIM   LA "&amp;E647&amp;" ("&amp;LEFT(H647,5)&amp;"-"&amp;LEFT(I647,5)&amp;" hrs)  /  LA "&amp;E648&amp;" ("&amp;LEFT(H648,5)&amp;"-"&amp;LEFT(I648,5)&amp;" hrs)"</f>
        <v>LIM-AQP-LIM   LA 2055 (13:55-15:25 hrs)  /  LA 2056 (16:10-17:50 hrs)</v>
      </c>
    </row>
    <row r="649" spans="2:24" x14ac:dyDescent="0.25">
      <c r="J649" s="7" t="s">
        <v>43</v>
      </c>
      <c r="K649" s="8" t="str">
        <f>TEXT(TIMEVALUE(I648)-TIMEVALUE(H647)+(I648&lt;H647),"[h]:mm")</f>
        <v>3:55</v>
      </c>
    </row>
    <row r="651" spans="2:24" ht="30" x14ac:dyDescent="0.25">
      <c r="B651" s="3" t="s">
        <v>9</v>
      </c>
      <c r="C651" s="3" t="s">
        <v>17</v>
      </c>
      <c r="D651" s="3" t="s">
        <v>18</v>
      </c>
      <c r="E651" s="3" t="s">
        <v>19</v>
      </c>
      <c r="F651" s="3" t="s">
        <v>20</v>
      </c>
      <c r="G651" s="3" t="s">
        <v>21</v>
      </c>
      <c r="H651" s="3" t="s">
        <v>22</v>
      </c>
      <c r="I651" s="3" t="s">
        <v>23</v>
      </c>
      <c r="J651" s="3" t="s">
        <v>24</v>
      </c>
      <c r="K651" s="3" t="s">
        <v>25</v>
      </c>
      <c r="L651" s="3" t="s">
        <v>26</v>
      </c>
    </row>
    <row r="652" spans="2:24" ht="30" x14ac:dyDescent="0.25">
      <c r="B652" s="4">
        <v>712</v>
      </c>
      <c r="C652" s="4" t="s">
        <v>166</v>
      </c>
      <c r="D652" s="4" t="s">
        <v>28</v>
      </c>
      <c r="E652" s="4">
        <v>2154</v>
      </c>
      <c r="F652" s="4" t="s">
        <v>29</v>
      </c>
      <c r="G652" s="4" t="s">
        <v>30</v>
      </c>
      <c r="H652" s="4" t="s">
        <v>75</v>
      </c>
      <c r="I652" s="4" t="s">
        <v>85</v>
      </c>
      <c r="J652" s="4">
        <v>320</v>
      </c>
      <c r="L652" s="4" t="s">
        <v>33</v>
      </c>
      <c r="M652" s="5"/>
      <c r="O652" s="5"/>
      <c r="Q652" s="4">
        <f>B652</f>
        <v>712</v>
      </c>
      <c r="R652" s="4" t="str">
        <f>C652</f>
        <v>08/10/2026</v>
      </c>
      <c r="S652" s="4" t="str">
        <f>D652</f>
        <v>jueves</v>
      </c>
      <c r="T652" s="4" t="str">
        <f>E652&amp;"/"&amp;E653</f>
        <v>2154/2155</v>
      </c>
      <c r="U652" s="4" t="str">
        <f>F652&amp;"-"&amp;G652&amp;"-"&amp;F652</f>
        <v>LIM-CUZ-LIM</v>
      </c>
      <c r="V652" s="4" t="str">
        <f>IF($M$652="","",$M$652)</f>
        <v/>
      </c>
      <c r="W652" s="4" t="str">
        <f>IF($O$652="","",$O$652)</f>
        <v/>
      </c>
      <c r="X652" s="4">
        <f>J652</f>
        <v>320</v>
      </c>
    </row>
    <row r="653" spans="2:24" ht="30" x14ac:dyDescent="0.25">
      <c r="B653" s="4">
        <v>712</v>
      </c>
      <c r="C653" s="4" t="s">
        <v>166</v>
      </c>
      <c r="D653" s="4" t="s">
        <v>28</v>
      </c>
      <c r="E653" s="4">
        <v>2155</v>
      </c>
      <c r="F653" s="4" t="s">
        <v>30</v>
      </c>
      <c r="G653" s="4" t="s">
        <v>29</v>
      </c>
      <c r="H653" s="4" t="s">
        <v>86</v>
      </c>
      <c r="I653" s="4" t="s">
        <v>78</v>
      </c>
      <c r="J653" s="4">
        <v>320</v>
      </c>
      <c r="K653" t="str">
        <f>TEXT(TIMEVALUE(H653)-TIMEVALUE(I652)+(TIMEVALUE(H653)&lt;TIMEVALUE(I652)),"[h]:mm")</f>
        <v>0:40</v>
      </c>
      <c r="L653" s="4" t="s">
        <v>36</v>
      </c>
      <c r="O653" t="str">
        <f>"LIM-"&amp;G652&amp;"-LIM   LA "&amp;E652&amp;" ("&amp;LEFT(H652,5)&amp;"-"&amp;LEFT(I652,5)&amp;" hrs)  /  LA "&amp;E653&amp;" ("&amp;LEFT(H653,5)&amp;"-"&amp;LEFT(I653,5)&amp;" hrs)"</f>
        <v>LIM-CUZ-LIM   LA 2154 (14:45-16:05 hrs)  /  LA 2155 (16:45-18:20 hrs)</v>
      </c>
    </row>
    <row r="654" spans="2:24" x14ac:dyDescent="0.25">
      <c r="J654" s="7" t="s">
        <v>43</v>
      </c>
      <c r="K654" s="8" t="str">
        <f>TEXT(TIMEVALUE(I653)-TIMEVALUE(H652)+(I653&lt;H652),"[h]:mm")</f>
        <v>3:35</v>
      </c>
    </row>
    <row r="656" spans="2:24" ht="30" x14ac:dyDescent="0.25">
      <c r="B656" s="3" t="s">
        <v>9</v>
      </c>
      <c r="C656" s="3" t="s">
        <v>17</v>
      </c>
      <c r="D656" s="3" t="s">
        <v>18</v>
      </c>
      <c r="E656" s="3" t="s">
        <v>19</v>
      </c>
      <c r="F656" s="3" t="s">
        <v>20</v>
      </c>
      <c r="G656" s="3" t="s">
        <v>21</v>
      </c>
      <c r="H656" s="3" t="s">
        <v>22</v>
      </c>
      <c r="I656" s="3" t="s">
        <v>23</v>
      </c>
      <c r="J656" s="3" t="s">
        <v>24</v>
      </c>
      <c r="K656" s="3" t="s">
        <v>25</v>
      </c>
      <c r="L656" s="3" t="s">
        <v>26</v>
      </c>
    </row>
    <row r="657" spans="2:24" ht="30" x14ac:dyDescent="0.25">
      <c r="B657" s="4">
        <v>713</v>
      </c>
      <c r="C657" s="4" t="s">
        <v>166</v>
      </c>
      <c r="D657" s="4" t="s">
        <v>28</v>
      </c>
      <c r="E657" s="4">
        <v>2154</v>
      </c>
      <c r="F657" s="4" t="s">
        <v>29</v>
      </c>
      <c r="G657" s="4" t="s">
        <v>30</v>
      </c>
      <c r="H657" s="4" t="s">
        <v>75</v>
      </c>
      <c r="I657" s="4" t="s">
        <v>85</v>
      </c>
      <c r="J657" s="4">
        <v>320</v>
      </c>
      <c r="L657" s="4" t="s">
        <v>33</v>
      </c>
      <c r="M657" s="5"/>
      <c r="O657" s="5"/>
      <c r="Q657" s="4">
        <f>B657</f>
        <v>713</v>
      </c>
      <c r="R657" s="4" t="str">
        <f>C657</f>
        <v>08/10/2026</v>
      </c>
      <c r="S657" s="4" t="str">
        <f>D657</f>
        <v>jueves</v>
      </c>
      <c r="T657" s="4" t="str">
        <f>E657&amp;"/"&amp;E658</f>
        <v>2154/2155</v>
      </c>
      <c r="U657" s="4" t="str">
        <f>F657&amp;"-"&amp;G657&amp;"-"&amp;F657</f>
        <v>LIM-CUZ-LIM</v>
      </c>
      <c r="V657" s="4" t="str">
        <f>IF($M$657="","",$M$657)</f>
        <v/>
      </c>
      <c r="W657" s="4" t="str">
        <f>IF($O$657="","",$O$657)</f>
        <v/>
      </c>
      <c r="X657" s="4">
        <f>J657</f>
        <v>320</v>
      </c>
    </row>
    <row r="658" spans="2:24" ht="30" x14ac:dyDescent="0.25">
      <c r="B658" s="4">
        <v>713</v>
      </c>
      <c r="C658" s="4" t="s">
        <v>166</v>
      </c>
      <c r="D658" s="4" t="s">
        <v>28</v>
      </c>
      <c r="E658" s="4">
        <v>2155</v>
      </c>
      <c r="F658" s="4" t="s">
        <v>30</v>
      </c>
      <c r="G658" s="4" t="s">
        <v>29</v>
      </c>
      <c r="H658" s="4" t="s">
        <v>86</v>
      </c>
      <c r="I658" s="4" t="s">
        <v>78</v>
      </c>
      <c r="J658" s="4">
        <v>320</v>
      </c>
      <c r="K658" t="str">
        <f>TEXT(TIMEVALUE(H658)-TIMEVALUE(I657)+(TIMEVALUE(H658)&lt;TIMEVALUE(I657)),"[h]:mm")</f>
        <v>0:40</v>
      </c>
      <c r="L658" s="4" t="s">
        <v>36</v>
      </c>
      <c r="O658" t="str">
        <f>"LIM-"&amp;G657&amp;"-LIM   LA "&amp;E657&amp;" ("&amp;LEFT(H657,5)&amp;"-"&amp;LEFT(I657,5)&amp;" hrs)  /  LA "&amp;E658&amp;" ("&amp;LEFT(H658,5)&amp;"-"&amp;LEFT(I658,5)&amp;" hrs)"</f>
        <v>LIM-CUZ-LIM   LA 2154 (14:45-16:05 hrs)  /  LA 2155 (16:45-18:20 hrs)</v>
      </c>
    </row>
    <row r="659" spans="2:24" x14ac:dyDescent="0.25">
      <c r="J659" s="7" t="s">
        <v>43</v>
      </c>
      <c r="K659" s="8" t="str">
        <f>TEXT(TIMEVALUE(I658)-TIMEVALUE(H657)+(I658&lt;H657),"[h]:mm")</f>
        <v>3:35</v>
      </c>
    </row>
    <row r="661" spans="2:24" ht="30" x14ac:dyDescent="0.25">
      <c r="B661" s="3" t="s">
        <v>9</v>
      </c>
      <c r="C661" s="3" t="s">
        <v>17</v>
      </c>
      <c r="D661" s="3" t="s">
        <v>18</v>
      </c>
      <c r="E661" s="3" t="s">
        <v>19</v>
      </c>
      <c r="F661" s="3" t="s">
        <v>20</v>
      </c>
      <c r="G661" s="3" t="s">
        <v>21</v>
      </c>
      <c r="H661" s="3" t="s">
        <v>22</v>
      </c>
      <c r="I661" s="3" t="s">
        <v>23</v>
      </c>
      <c r="J661" s="3" t="s">
        <v>24</v>
      </c>
      <c r="K661" s="3" t="s">
        <v>25</v>
      </c>
      <c r="L661" s="3" t="s">
        <v>26</v>
      </c>
    </row>
    <row r="662" spans="2:24" ht="30" x14ac:dyDescent="0.25">
      <c r="B662" s="4">
        <v>714</v>
      </c>
      <c r="C662" s="4" t="s">
        <v>166</v>
      </c>
      <c r="D662" s="4" t="s">
        <v>28</v>
      </c>
      <c r="E662" s="4">
        <v>2264</v>
      </c>
      <c r="F662" s="4" t="s">
        <v>29</v>
      </c>
      <c r="G662" s="4" t="s">
        <v>44</v>
      </c>
      <c r="H662" s="4" t="s">
        <v>87</v>
      </c>
      <c r="I662" s="4" t="s">
        <v>60</v>
      </c>
      <c r="J662" s="4">
        <v>319</v>
      </c>
      <c r="L662" s="4" t="s">
        <v>47</v>
      </c>
      <c r="M662" s="5"/>
      <c r="O662" s="5"/>
      <c r="Q662" s="4">
        <f>B662</f>
        <v>714</v>
      </c>
      <c r="R662" s="4" t="str">
        <f>C662</f>
        <v>08/10/2026</v>
      </c>
      <c r="S662" s="4" t="str">
        <f>D662</f>
        <v>jueves</v>
      </c>
      <c r="T662" s="4" t="str">
        <f>E662&amp;"/"&amp;E663</f>
        <v>2264/2265</v>
      </c>
      <c r="U662" s="4" t="str">
        <f>F662&amp;"-"&amp;G662&amp;"-"&amp;F662</f>
        <v>LIM-PEM-LIM</v>
      </c>
      <c r="V662" s="4" t="str">
        <f>IF($M$662="","",$M$662)</f>
        <v/>
      </c>
      <c r="W662" s="4" t="str">
        <f>IF($O$662="","",$O$662)</f>
        <v/>
      </c>
      <c r="X662" s="4">
        <f>J662</f>
        <v>319</v>
      </c>
    </row>
    <row r="663" spans="2:24" ht="30" x14ac:dyDescent="0.25">
      <c r="B663" s="4">
        <v>714</v>
      </c>
      <c r="C663" s="4" t="s">
        <v>166</v>
      </c>
      <c r="D663" s="4" t="s">
        <v>28</v>
      </c>
      <c r="E663" s="4">
        <v>2265</v>
      </c>
      <c r="F663" s="4" t="s">
        <v>44</v>
      </c>
      <c r="G663" s="4" t="s">
        <v>29</v>
      </c>
      <c r="H663" s="4" t="s">
        <v>53</v>
      </c>
      <c r="I663" s="4" t="s">
        <v>88</v>
      </c>
      <c r="J663" s="4">
        <v>319</v>
      </c>
      <c r="K663" t="str">
        <f>TEXT(TIMEVALUE(H663)-TIMEVALUE(I662)+(TIMEVALUE(H663)&lt;TIMEVALUE(I662)),"[h]:mm")</f>
        <v>0:40</v>
      </c>
      <c r="L663" s="4" t="s">
        <v>36</v>
      </c>
      <c r="O663" t="str">
        <f>"LIM-"&amp;G662&amp;"-LIM   LA "&amp;E662&amp;" ("&amp;LEFT(H662,5)&amp;"-"&amp;LEFT(I662,5)&amp;" hrs)  /  LA "&amp;E663&amp;" ("&amp;LEFT(H663,5)&amp;"-"&amp;LEFT(I663,5)&amp;" hrs)"</f>
        <v>LIM-PEM-LIM   LA 2264 (14:55-16:40 hrs)  /  LA 2265 (17:20-18:55 hrs)</v>
      </c>
    </row>
    <row r="664" spans="2:24" x14ac:dyDescent="0.25">
      <c r="J664" s="7" t="s">
        <v>43</v>
      </c>
      <c r="K664" s="8" t="str">
        <f>TEXT(TIMEVALUE(I663)-TIMEVALUE(H662)+(I663&lt;H662),"[h]:mm")</f>
        <v>4:00</v>
      </c>
    </row>
    <row r="666" spans="2:24" ht="30" x14ac:dyDescent="0.25">
      <c r="B666" s="3" t="s">
        <v>9</v>
      </c>
      <c r="C666" s="3" t="s">
        <v>17</v>
      </c>
      <c r="D666" s="3" t="s">
        <v>18</v>
      </c>
      <c r="E666" s="3" t="s">
        <v>19</v>
      </c>
      <c r="F666" s="3" t="s">
        <v>20</v>
      </c>
      <c r="G666" s="3" t="s">
        <v>21</v>
      </c>
      <c r="H666" s="3" t="s">
        <v>22</v>
      </c>
      <c r="I666" s="3" t="s">
        <v>23</v>
      </c>
      <c r="J666" s="3" t="s">
        <v>24</v>
      </c>
      <c r="K666" s="3" t="s">
        <v>25</v>
      </c>
      <c r="L666" s="3" t="s">
        <v>26</v>
      </c>
    </row>
    <row r="667" spans="2:24" ht="30" x14ac:dyDescent="0.25">
      <c r="B667" s="4">
        <v>715</v>
      </c>
      <c r="C667" s="4" t="s">
        <v>166</v>
      </c>
      <c r="D667" s="4" t="s">
        <v>28</v>
      </c>
      <c r="E667" s="4">
        <v>2338</v>
      </c>
      <c r="F667" s="4" t="s">
        <v>29</v>
      </c>
      <c r="G667" s="4" t="s">
        <v>125</v>
      </c>
      <c r="H667" s="4" t="s">
        <v>109</v>
      </c>
      <c r="I667" s="4" t="s">
        <v>86</v>
      </c>
      <c r="J667" s="4">
        <v>320</v>
      </c>
      <c r="L667" s="4" t="s">
        <v>47</v>
      </c>
      <c r="M667" s="5"/>
      <c r="O667" s="5"/>
      <c r="Q667" s="4">
        <f>B667</f>
        <v>715</v>
      </c>
      <c r="R667" s="4" t="str">
        <f>C667</f>
        <v>08/10/2026</v>
      </c>
      <c r="S667" s="4" t="str">
        <f>D667</f>
        <v>jueves</v>
      </c>
      <c r="T667" s="4" t="str">
        <f>E667&amp;"/"&amp;E668</f>
        <v>2338/2339</v>
      </c>
      <c r="U667" s="4" t="str">
        <f>F667&amp;"-"&amp;G667&amp;"-"&amp;F667</f>
        <v>LIM-PIU-LIM</v>
      </c>
      <c r="V667" s="4" t="str">
        <f>IF($M$667="","",$M$667)</f>
        <v/>
      </c>
      <c r="W667" s="4" t="str">
        <f>IF($O$667="","",$O$667)</f>
        <v/>
      </c>
      <c r="X667" s="4">
        <f>J667</f>
        <v>320</v>
      </c>
    </row>
    <row r="668" spans="2:24" ht="30" x14ac:dyDescent="0.25">
      <c r="B668" s="4">
        <v>715</v>
      </c>
      <c r="C668" s="4" t="s">
        <v>166</v>
      </c>
      <c r="D668" s="4" t="s">
        <v>28</v>
      </c>
      <c r="E668" s="4">
        <v>2339</v>
      </c>
      <c r="F668" s="4" t="s">
        <v>125</v>
      </c>
      <c r="G668" s="4" t="s">
        <v>29</v>
      </c>
      <c r="H668" s="4" t="s">
        <v>53</v>
      </c>
      <c r="I668" s="4" t="s">
        <v>88</v>
      </c>
      <c r="J668" s="4">
        <v>320</v>
      </c>
      <c r="K668" t="str">
        <f>TEXT(TIMEVALUE(H668)-TIMEVALUE(I667)+(TIMEVALUE(H668)&lt;TIMEVALUE(I667)),"[h]:mm")</f>
        <v>0:35</v>
      </c>
      <c r="L668" s="4" t="s">
        <v>36</v>
      </c>
      <c r="O668" t="str">
        <f>"LIM-"&amp;G667&amp;"-LIM   LA "&amp;E667&amp;" ("&amp;LEFT(H667,5)&amp;"-"&amp;LEFT(I667,5)&amp;" hrs)  /  LA "&amp;E668&amp;" ("&amp;LEFT(H668,5)&amp;"-"&amp;LEFT(I668,5)&amp;" hrs)"</f>
        <v>LIM-PIU-LIM   LA 2338 (15:00-16:45 hrs)  /  LA 2339 (17:20-18:55 hrs)</v>
      </c>
    </row>
    <row r="669" spans="2:24" x14ac:dyDescent="0.25">
      <c r="J669" s="7" t="s">
        <v>43</v>
      </c>
      <c r="K669" s="8" t="str">
        <f>TEXT(TIMEVALUE(I668)-TIMEVALUE(H667)+(I668&lt;H667),"[h]:mm")</f>
        <v>3:55</v>
      </c>
    </row>
    <row r="671" spans="2:24" ht="30" x14ac:dyDescent="0.25">
      <c r="B671" s="3" t="s">
        <v>9</v>
      </c>
      <c r="C671" s="3" t="s">
        <v>17</v>
      </c>
      <c r="D671" s="3" t="s">
        <v>18</v>
      </c>
      <c r="E671" s="3" t="s">
        <v>19</v>
      </c>
      <c r="F671" s="3" t="s">
        <v>20</v>
      </c>
      <c r="G671" s="3" t="s">
        <v>21</v>
      </c>
      <c r="H671" s="3" t="s">
        <v>22</v>
      </c>
      <c r="I671" s="3" t="s">
        <v>23</v>
      </c>
      <c r="J671" s="3" t="s">
        <v>24</v>
      </c>
      <c r="K671" s="3" t="s">
        <v>25</v>
      </c>
      <c r="L671" s="3" t="s">
        <v>26</v>
      </c>
    </row>
    <row r="672" spans="2:24" ht="30" x14ac:dyDescent="0.25">
      <c r="B672" s="4">
        <v>716</v>
      </c>
      <c r="C672" s="4" t="s">
        <v>166</v>
      </c>
      <c r="D672" s="4" t="s">
        <v>28</v>
      </c>
      <c r="E672" s="4">
        <v>2113</v>
      </c>
      <c r="F672" s="4" t="s">
        <v>29</v>
      </c>
      <c r="G672" s="4" t="s">
        <v>56</v>
      </c>
      <c r="H672" s="4" t="s">
        <v>126</v>
      </c>
      <c r="I672" s="4" t="s">
        <v>52</v>
      </c>
      <c r="J672" s="4">
        <v>320</v>
      </c>
      <c r="L672" s="4" t="s">
        <v>40</v>
      </c>
      <c r="M672" s="5"/>
      <c r="O672" s="5"/>
      <c r="Q672" s="4">
        <f>B672</f>
        <v>716</v>
      </c>
      <c r="R672" s="4" t="str">
        <f>C672</f>
        <v>08/10/2026</v>
      </c>
      <c r="S672" s="4" t="str">
        <f>D672</f>
        <v>jueves</v>
      </c>
      <c r="T672" s="4" t="str">
        <f>E672&amp;"/"&amp;E673</f>
        <v>2113/2112</v>
      </c>
      <c r="U672" s="4" t="str">
        <f>F672&amp;"-"&amp;G672&amp;"-"&amp;F672</f>
        <v>LIM-AQP-LIM</v>
      </c>
      <c r="V672" s="4" t="str">
        <f>IF($M$672="","",$M$672)</f>
        <v/>
      </c>
      <c r="W672" s="4" t="str">
        <f>IF($O$672="","",$O$672)</f>
        <v/>
      </c>
      <c r="X672" s="4">
        <f>J672</f>
        <v>320</v>
      </c>
    </row>
    <row r="673" spans="2:24" ht="30" x14ac:dyDescent="0.25">
      <c r="B673" s="4">
        <v>716</v>
      </c>
      <c r="C673" s="4" t="s">
        <v>166</v>
      </c>
      <c r="D673" s="4" t="s">
        <v>28</v>
      </c>
      <c r="E673" s="4">
        <v>2112</v>
      </c>
      <c r="F673" s="4" t="s">
        <v>56</v>
      </c>
      <c r="G673" s="4" t="s">
        <v>29</v>
      </c>
      <c r="H673" s="4" t="s">
        <v>42</v>
      </c>
      <c r="I673" s="4" t="s">
        <v>88</v>
      </c>
      <c r="J673" s="4">
        <v>320</v>
      </c>
      <c r="K673" t="str">
        <f>TEXT(TIMEVALUE(H673)-TIMEVALUE(I672)+(TIMEVALUE(H673)&lt;TIMEVALUE(I672)),"[h]:mm")</f>
        <v>0:40</v>
      </c>
      <c r="L673" s="4" t="s">
        <v>71</v>
      </c>
      <c r="O673" t="str">
        <f>"LIM-"&amp;G672&amp;"-LIM   LA "&amp;E672&amp;" ("&amp;LEFT(H672,5)&amp;"-"&amp;LEFT(I672,5)&amp;" hrs)  /  LA "&amp;E673&amp;" ("&amp;LEFT(H673,5)&amp;"-"&amp;LEFT(I673,5)&amp;" hrs)"</f>
        <v>LIM-AQP-LIM   LA 2113 (15:05-16:35 hrs)  /  LA 2112 (17:15-18:55 hrs)</v>
      </c>
    </row>
    <row r="674" spans="2:24" x14ac:dyDescent="0.25">
      <c r="J674" s="7" t="s">
        <v>43</v>
      </c>
      <c r="K674" s="8" t="str">
        <f>TEXT(TIMEVALUE(I673)-TIMEVALUE(H672)+(I673&lt;H672),"[h]:mm")</f>
        <v>3:50</v>
      </c>
    </row>
    <row r="676" spans="2:24" ht="30" x14ac:dyDescent="0.25">
      <c r="B676" s="3" t="s">
        <v>9</v>
      </c>
      <c r="C676" s="3" t="s">
        <v>17</v>
      </c>
      <c r="D676" s="3" t="s">
        <v>18</v>
      </c>
      <c r="E676" s="3" t="s">
        <v>19</v>
      </c>
      <c r="F676" s="3" t="s">
        <v>20</v>
      </c>
      <c r="G676" s="3" t="s">
        <v>21</v>
      </c>
      <c r="H676" s="3" t="s">
        <v>22</v>
      </c>
      <c r="I676" s="3" t="s">
        <v>23</v>
      </c>
      <c r="J676" s="3" t="s">
        <v>24</v>
      </c>
      <c r="K676" s="3" t="s">
        <v>25</v>
      </c>
      <c r="L676" s="3" t="s">
        <v>26</v>
      </c>
    </row>
    <row r="677" spans="2:24" ht="30" x14ac:dyDescent="0.25">
      <c r="B677" s="4">
        <v>717</v>
      </c>
      <c r="C677" s="4" t="s">
        <v>166</v>
      </c>
      <c r="D677" s="4" t="s">
        <v>28</v>
      </c>
      <c r="E677" s="4">
        <v>2113</v>
      </c>
      <c r="F677" s="4" t="s">
        <v>29</v>
      </c>
      <c r="G677" s="4" t="s">
        <v>56</v>
      </c>
      <c r="H677" s="4" t="s">
        <v>126</v>
      </c>
      <c r="I677" s="4" t="s">
        <v>52</v>
      </c>
      <c r="J677" s="4">
        <v>320</v>
      </c>
      <c r="L677" s="4" t="s">
        <v>40</v>
      </c>
      <c r="M677" s="5"/>
      <c r="O677" s="5"/>
      <c r="Q677" s="4">
        <f>B677</f>
        <v>717</v>
      </c>
      <c r="R677" s="4" t="str">
        <f>C677</f>
        <v>08/10/2026</v>
      </c>
      <c r="S677" s="4" t="str">
        <f>D677</f>
        <v>jueves</v>
      </c>
      <c r="T677" s="4" t="str">
        <f>E677&amp;"/"&amp;E678</f>
        <v>2113/2112</v>
      </c>
      <c r="U677" s="4" t="str">
        <f>F677&amp;"-"&amp;G677&amp;"-"&amp;F677</f>
        <v>LIM-AQP-LIM</v>
      </c>
      <c r="V677" s="4" t="str">
        <f>IF($M$677="","",$M$677)</f>
        <v/>
      </c>
      <c r="W677" s="4" t="str">
        <f>IF($O$677="","",$O$677)</f>
        <v/>
      </c>
      <c r="X677" s="4">
        <f>J677</f>
        <v>320</v>
      </c>
    </row>
    <row r="678" spans="2:24" ht="30" x14ac:dyDescent="0.25">
      <c r="B678" s="4">
        <v>717</v>
      </c>
      <c r="C678" s="4" t="s">
        <v>166</v>
      </c>
      <c r="D678" s="4" t="s">
        <v>28</v>
      </c>
      <c r="E678" s="4">
        <v>2112</v>
      </c>
      <c r="F678" s="4" t="s">
        <v>56</v>
      </c>
      <c r="G678" s="4" t="s">
        <v>29</v>
      </c>
      <c r="H678" s="4" t="s">
        <v>42</v>
      </c>
      <c r="I678" s="4" t="s">
        <v>88</v>
      </c>
      <c r="J678" s="4">
        <v>320</v>
      </c>
      <c r="K678" t="str">
        <f>TEXT(TIMEVALUE(H678)-TIMEVALUE(I677)+(TIMEVALUE(H678)&lt;TIMEVALUE(I677)),"[h]:mm")</f>
        <v>0:40</v>
      </c>
      <c r="L678" s="4" t="s">
        <v>71</v>
      </c>
      <c r="O678" t="str">
        <f>"LIM-"&amp;G677&amp;"-LIM   LA "&amp;E677&amp;" ("&amp;LEFT(H677,5)&amp;"-"&amp;LEFT(I677,5)&amp;" hrs)  /  LA "&amp;E678&amp;" ("&amp;LEFT(H678,5)&amp;"-"&amp;LEFT(I678,5)&amp;" hrs)"</f>
        <v>LIM-AQP-LIM   LA 2113 (15:05-16:35 hrs)  /  LA 2112 (17:15-18:55 hrs)</v>
      </c>
    </row>
    <row r="679" spans="2:24" x14ac:dyDescent="0.25">
      <c r="J679" s="7" t="s">
        <v>43</v>
      </c>
      <c r="K679" s="8" t="str">
        <f>TEXT(TIMEVALUE(I678)-TIMEVALUE(H677)+(I678&lt;H677),"[h]:mm")</f>
        <v>3:50</v>
      </c>
    </row>
    <row r="681" spans="2:24" ht="30" x14ac:dyDescent="0.25">
      <c r="B681" s="3" t="s">
        <v>9</v>
      </c>
      <c r="C681" s="3" t="s">
        <v>17</v>
      </c>
      <c r="D681" s="3" t="s">
        <v>18</v>
      </c>
      <c r="E681" s="3" t="s">
        <v>19</v>
      </c>
      <c r="F681" s="3" t="s">
        <v>20</v>
      </c>
      <c r="G681" s="3" t="s">
        <v>21</v>
      </c>
      <c r="H681" s="3" t="s">
        <v>22</v>
      </c>
      <c r="I681" s="3" t="s">
        <v>23</v>
      </c>
      <c r="J681" s="3" t="s">
        <v>24</v>
      </c>
      <c r="K681" s="3" t="s">
        <v>25</v>
      </c>
      <c r="L681" s="3" t="s">
        <v>26</v>
      </c>
    </row>
    <row r="682" spans="2:24" ht="30" x14ac:dyDescent="0.25">
      <c r="B682" s="4">
        <v>719</v>
      </c>
      <c r="C682" s="4" t="s">
        <v>166</v>
      </c>
      <c r="D682" s="4" t="s">
        <v>28</v>
      </c>
      <c r="E682" s="4">
        <v>2297</v>
      </c>
      <c r="F682" s="4" t="s">
        <v>29</v>
      </c>
      <c r="G682" s="4" t="s">
        <v>50</v>
      </c>
      <c r="H682" s="4" t="s">
        <v>51</v>
      </c>
      <c r="I682" s="4" t="s">
        <v>52</v>
      </c>
      <c r="J682" s="4">
        <v>320</v>
      </c>
      <c r="L682" s="4" t="s">
        <v>33</v>
      </c>
      <c r="M682" s="5"/>
      <c r="O682" s="5"/>
      <c r="Q682" s="4">
        <f>B682</f>
        <v>719</v>
      </c>
      <c r="R682" s="4" t="str">
        <f>C682</f>
        <v>08/10/2026</v>
      </c>
      <c r="S682" s="4" t="str">
        <f>D682</f>
        <v>jueves</v>
      </c>
      <c r="T682" s="4" t="str">
        <f>E682&amp;"/"&amp;E683</f>
        <v>2297/2296</v>
      </c>
      <c r="U682" s="4" t="str">
        <f>F682&amp;"-"&amp;G682&amp;"-"&amp;F682</f>
        <v>LIM-CJA-LIM</v>
      </c>
      <c r="V682" s="4" t="str">
        <f>IF($M$682="","",$M$682)</f>
        <v/>
      </c>
      <c r="W682" s="4" t="str">
        <f>IF($O$682="","",$O$682)</f>
        <v/>
      </c>
      <c r="X682" s="4">
        <f>J682</f>
        <v>320</v>
      </c>
    </row>
    <row r="683" spans="2:24" ht="30" x14ac:dyDescent="0.25">
      <c r="B683" s="4">
        <v>719</v>
      </c>
      <c r="C683" s="4" t="s">
        <v>166</v>
      </c>
      <c r="D683" s="4" t="s">
        <v>28</v>
      </c>
      <c r="E683" s="4">
        <v>2296</v>
      </c>
      <c r="F683" s="4" t="s">
        <v>50</v>
      </c>
      <c r="G683" s="4" t="s">
        <v>29</v>
      </c>
      <c r="H683" s="4" t="s">
        <v>53</v>
      </c>
      <c r="I683" s="4" t="s">
        <v>54</v>
      </c>
      <c r="J683" s="4">
        <v>320</v>
      </c>
      <c r="K683" t="str">
        <f>TEXT(TIMEVALUE(H683)-TIMEVALUE(I682)+(TIMEVALUE(H683)&lt;TIMEVALUE(I682)),"[h]:mm")</f>
        <v>0:45</v>
      </c>
      <c r="L683" s="4" t="s">
        <v>55</v>
      </c>
      <c r="O683" t="str">
        <f>"LIM-"&amp;G682&amp;"-LIM   LA "&amp;E682&amp;" ("&amp;LEFT(H682,5)&amp;"-"&amp;LEFT(I682,5)&amp;" hrs)  /  LA "&amp;E683&amp;" ("&amp;LEFT(H683,5)&amp;"-"&amp;LEFT(I683,5)&amp;" hrs)"</f>
        <v>LIM-CJA-LIM   LA 2297 (15:15-16:35 hrs)  /  LA 2296 (17:20-18:25 hrs)</v>
      </c>
    </row>
    <row r="684" spans="2:24" x14ac:dyDescent="0.25">
      <c r="J684" s="7" t="s">
        <v>43</v>
      </c>
      <c r="K684" s="8" t="str">
        <f>TEXT(TIMEVALUE(I683)-TIMEVALUE(H682)+(I683&lt;H682),"[h]:mm")</f>
        <v>3:10</v>
      </c>
    </row>
    <row r="686" spans="2:24" ht="30" x14ac:dyDescent="0.25">
      <c r="B686" s="3" t="s">
        <v>9</v>
      </c>
      <c r="C686" s="3" t="s">
        <v>17</v>
      </c>
      <c r="D686" s="3" t="s">
        <v>18</v>
      </c>
      <c r="E686" s="3" t="s">
        <v>19</v>
      </c>
      <c r="F686" s="3" t="s">
        <v>20</v>
      </c>
      <c r="G686" s="3" t="s">
        <v>21</v>
      </c>
      <c r="H686" s="3" t="s">
        <v>22</v>
      </c>
      <c r="I686" s="3" t="s">
        <v>23</v>
      </c>
      <c r="J686" s="3" t="s">
        <v>24</v>
      </c>
      <c r="K686" s="3" t="s">
        <v>25</v>
      </c>
      <c r="L686" s="3" t="s">
        <v>26</v>
      </c>
    </row>
    <row r="687" spans="2:24" ht="30" x14ac:dyDescent="0.25">
      <c r="B687" s="4">
        <v>720</v>
      </c>
      <c r="C687" s="4" t="s">
        <v>166</v>
      </c>
      <c r="D687" s="4" t="s">
        <v>28</v>
      </c>
      <c r="E687" s="4">
        <v>2297</v>
      </c>
      <c r="F687" s="4" t="s">
        <v>29</v>
      </c>
      <c r="G687" s="4" t="s">
        <v>50</v>
      </c>
      <c r="H687" s="4" t="s">
        <v>51</v>
      </c>
      <c r="I687" s="4" t="s">
        <v>52</v>
      </c>
      <c r="J687" s="4">
        <v>320</v>
      </c>
      <c r="L687" s="4" t="s">
        <v>33</v>
      </c>
      <c r="M687" s="5"/>
      <c r="O687" s="5"/>
      <c r="Q687" s="4">
        <f>B687</f>
        <v>720</v>
      </c>
      <c r="R687" s="4" t="str">
        <f>C687</f>
        <v>08/10/2026</v>
      </c>
      <c r="S687" s="4" t="str">
        <f>D687</f>
        <v>jueves</v>
      </c>
      <c r="T687" s="4" t="str">
        <f>E687&amp;"/"&amp;E688</f>
        <v>2297/2296</v>
      </c>
      <c r="U687" s="4" t="str">
        <f>F687&amp;"-"&amp;G687&amp;"-"&amp;F687</f>
        <v>LIM-CJA-LIM</v>
      </c>
      <c r="V687" s="4" t="str">
        <f>IF($M$687="","",$M$687)</f>
        <v/>
      </c>
      <c r="W687" s="4" t="str">
        <f>IF($O$687="","",$O$687)</f>
        <v/>
      </c>
      <c r="X687" s="4">
        <f>J687</f>
        <v>320</v>
      </c>
    </row>
    <row r="688" spans="2:24" ht="30" x14ac:dyDescent="0.25">
      <c r="B688" s="4">
        <v>720</v>
      </c>
      <c r="C688" s="4" t="s">
        <v>166</v>
      </c>
      <c r="D688" s="4" t="s">
        <v>28</v>
      </c>
      <c r="E688" s="4">
        <v>2296</v>
      </c>
      <c r="F688" s="4" t="s">
        <v>50</v>
      </c>
      <c r="G688" s="4" t="s">
        <v>29</v>
      </c>
      <c r="H688" s="4" t="s">
        <v>53</v>
      </c>
      <c r="I688" s="4" t="s">
        <v>54</v>
      </c>
      <c r="J688" s="4">
        <v>320</v>
      </c>
      <c r="K688" t="str">
        <f>TEXT(TIMEVALUE(H688)-TIMEVALUE(I687)+(TIMEVALUE(H688)&lt;TIMEVALUE(I687)),"[h]:mm")</f>
        <v>0:45</v>
      </c>
      <c r="L688" s="4" t="s">
        <v>55</v>
      </c>
      <c r="O688" t="str">
        <f>"LIM-"&amp;G687&amp;"-LIM   LA "&amp;E687&amp;" ("&amp;LEFT(H687,5)&amp;"-"&amp;LEFT(I687,5)&amp;" hrs)  /  LA "&amp;E688&amp;" ("&amp;LEFT(H688,5)&amp;"-"&amp;LEFT(I688,5)&amp;" hrs)"</f>
        <v>LIM-CJA-LIM   LA 2297 (15:15-16:35 hrs)  /  LA 2296 (17:20-18:25 hrs)</v>
      </c>
    </row>
    <row r="689" spans="2:24" x14ac:dyDescent="0.25">
      <c r="J689" s="7" t="s">
        <v>43</v>
      </c>
      <c r="K689" s="8" t="str">
        <f>TEXT(TIMEVALUE(I688)-TIMEVALUE(H687)+(I688&lt;H687),"[h]:mm")</f>
        <v>3:10</v>
      </c>
    </row>
    <row r="691" spans="2:24" ht="30" x14ac:dyDescent="0.25">
      <c r="B691" s="3" t="s">
        <v>9</v>
      </c>
      <c r="C691" s="3" t="s">
        <v>17</v>
      </c>
      <c r="D691" s="3" t="s">
        <v>18</v>
      </c>
      <c r="E691" s="3" t="s">
        <v>19</v>
      </c>
      <c r="F691" s="3" t="s">
        <v>20</v>
      </c>
      <c r="G691" s="3" t="s">
        <v>21</v>
      </c>
      <c r="H691" s="3" t="s">
        <v>22</v>
      </c>
      <c r="I691" s="3" t="s">
        <v>23</v>
      </c>
      <c r="J691" s="3" t="s">
        <v>24</v>
      </c>
      <c r="K691" s="3" t="s">
        <v>25</v>
      </c>
      <c r="L691" s="3" t="s">
        <v>26</v>
      </c>
    </row>
    <row r="692" spans="2:24" ht="30" x14ac:dyDescent="0.25">
      <c r="B692" s="4">
        <v>721</v>
      </c>
      <c r="C692" s="4" t="s">
        <v>166</v>
      </c>
      <c r="D692" s="4" t="s">
        <v>28</v>
      </c>
      <c r="E692" s="4">
        <v>2312</v>
      </c>
      <c r="F692" s="4" t="s">
        <v>29</v>
      </c>
      <c r="G692" s="4" t="s">
        <v>37</v>
      </c>
      <c r="H692" s="4" t="s">
        <v>89</v>
      </c>
      <c r="I692" s="4" t="s">
        <v>77</v>
      </c>
      <c r="J692" s="4">
        <v>320</v>
      </c>
      <c r="L692" s="4" t="s">
        <v>40</v>
      </c>
      <c r="M692" s="5"/>
      <c r="O692" s="5"/>
      <c r="Q692" s="4">
        <f>B692</f>
        <v>721</v>
      </c>
      <c r="R692" s="4" t="str">
        <f>C692</f>
        <v>08/10/2026</v>
      </c>
      <c r="S692" s="4" t="str">
        <f>D692</f>
        <v>jueves</v>
      </c>
      <c r="T692" s="4" t="str">
        <f>E692&amp;"/"&amp;E693</f>
        <v>2312/2313</v>
      </c>
      <c r="U692" s="4" t="str">
        <f>F692&amp;"-"&amp;G692&amp;"-"&amp;F692</f>
        <v>LIM-CIX-LIM</v>
      </c>
      <c r="V692" s="4" t="str">
        <f>IF($M$692="","",$M$692)</f>
        <v/>
      </c>
      <c r="W692" s="4" t="str">
        <f>IF($O$692="","",$O$692)</f>
        <v/>
      </c>
      <c r="X692" s="4">
        <f>J692</f>
        <v>320</v>
      </c>
    </row>
    <row r="693" spans="2:24" ht="30" x14ac:dyDescent="0.25">
      <c r="B693" s="4">
        <v>721</v>
      </c>
      <c r="C693" s="4" t="s">
        <v>166</v>
      </c>
      <c r="D693" s="4" t="s">
        <v>28</v>
      </c>
      <c r="E693" s="4">
        <v>2313</v>
      </c>
      <c r="F693" s="4" t="s">
        <v>37</v>
      </c>
      <c r="G693" s="4" t="s">
        <v>29</v>
      </c>
      <c r="H693" s="4" t="s">
        <v>84</v>
      </c>
      <c r="I693" s="4" t="s">
        <v>90</v>
      </c>
      <c r="J693" s="4">
        <v>320</v>
      </c>
      <c r="K693" t="str">
        <f>TEXT(TIMEVALUE(H693)-TIMEVALUE(I692)+(TIMEVALUE(H693)&lt;TIMEVALUE(I692)),"[h]:mm")</f>
        <v>0:45</v>
      </c>
      <c r="L693" s="4" t="s">
        <v>33</v>
      </c>
      <c r="O693" t="str">
        <f>"LIM-"&amp;G692&amp;"-LIM   LA "&amp;E692&amp;" ("&amp;LEFT(H692,5)&amp;"-"&amp;LEFT(I692,5)&amp;" hrs)  /  LA "&amp;E693&amp;" ("&amp;LEFT(H693,5)&amp;"-"&amp;LEFT(I693,5)&amp;" hrs)"</f>
        <v>LIM-CIX-LIM   LA 2312 (15:35-17:05 hrs)  /  LA 2313 (17:50-19:10 hrs)</v>
      </c>
    </row>
    <row r="694" spans="2:24" x14ac:dyDescent="0.25">
      <c r="J694" s="7" t="s">
        <v>43</v>
      </c>
      <c r="K694" s="8" t="str">
        <f>TEXT(TIMEVALUE(I693)-TIMEVALUE(H692)+(I693&lt;H692),"[h]:mm")</f>
        <v>3:35</v>
      </c>
    </row>
    <row r="696" spans="2:24" ht="30" x14ac:dyDescent="0.25">
      <c r="B696" s="3" t="s">
        <v>9</v>
      </c>
      <c r="C696" s="3" t="s">
        <v>17</v>
      </c>
      <c r="D696" s="3" t="s">
        <v>18</v>
      </c>
      <c r="E696" s="3" t="s">
        <v>19</v>
      </c>
      <c r="F696" s="3" t="s">
        <v>20</v>
      </c>
      <c r="G696" s="3" t="s">
        <v>21</v>
      </c>
      <c r="H696" s="3" t="s">
        <v>22</v>
      </c>
      <c r="I696" s="3" t="s">
        <v>23</v>
      </c>
      <c r="J696" s="3" t="s">
        <v>24</v>
      </c>
      <c r="K696" s="3" t="s">
        <v>25</v>
      </c>
      <c r="L696" s="3" t="s">
        <v>26</v>
      </c>
    </row>
    <row r="697" spans="2:24" ht="30" x14ac:dyDescent="0.25">
      <c r="B697" s="4">
        <v>722</v>
      </c>
      <c r="C697" s="4" t="s">
        <v>166</v>
      </c>
      <c r="D697" s="4" t="s">
        <v>28</v>
      </c>
      <c r="E697" s="4">
        <v>2312</v>
      </c>
      <c r="F697" s="4" t="s">
        <v>29</v>
      </c>
      <c r="G697" s="4" t="s">
        <v>37</v>
      </c>
      <c r="H697" s="4" t="s">
        <v>89</v>
      </c>
      <c r="I697" s="4" t="s">
        <v>77</v>
      </c>
      <c r="J697" s="4">
        <v>320</v>
      </c>
      <c r="L697" s="4" t="s">
        <v>40</v>
      </c>
      <c r="M697" s="5"/>
      <c r="O697" s="5"/>
      <c r="Q697" s="4">
        <f>B697</f>
        <v>722</v>
      </c>
      <c r="R697" s="4" t="str">
        <f>C697</f>
        <v>08/10/2026</v>
      </c>
      <c r="S697" s="4" t="str">
        <f>D697</f>
        <v>jueves</v>
      </c>
      <c r="T697" s="4" t="str">
        <f>E697&amp;"/"&amp;E698</f>
        <v>2312/2313</v>
      </c>
      <c r="U697" s="4" t="str">
        <f>F697&amp;"-"&amp;G697&amp;"-"&amp;F697</f>
        <v>LIM-CIX-LIM</v>
      </c>
      <c r="V697" s="4" t="str">
        <f>IF($M$697="","",$M$697)</f>
        <v/>
      </c>
      <c r="W697" s="4" t="str">
        <f>IF($O$697="","",$O$697)</f>
        <v/>
      </c>
      <c r="X697" s="4">
        <f>J697</f>
        <v>320</v>
      </c>
    </row>
    <row r="698" spans="2:24" ht="30" x14ac:dyDescent="0.25">
      <c r="B698" s="4">
        <v>722</v>
      </c>
      <c r="C698" s="4" t="s">
        <v>166</v>
      </c>
      <c r="D698" s="4" t="s">
        <v>28</v>
      </c>
      <c r="E698" s="4">
        <v>2313</v>
      </c>
      <c r="F698" s="4" t="s">
        <v>37</v>
      </c>
      <c r="G698" s="4" t="s">
        <v>29</v>
      </c>
      <c r="H698" s="4" t="s">
        <v>84</v>
      </c>
      <c r="I698" s="4" t="s">
        <v>90</v>
      </c>
      <c r="J698" s="4">
        <v>320</v>
      </c>
      <c r="K698" t="str">
        <f>TEXT(TIMEVALUE(H698)-TIMEVALUE(I697)+(TIMEVALUE(H698)&lt;TIMEVALUE(I697)),"[h]:mm")</f>
        <v>0:45</v>
      </c>
      <c r="L698" s="4" t="s">
        <v>33</v>
      </c>
      <c r="O698" t="str">
        <f>"LIM-"&amp;G697&amp;"-LIM   LA "&amp;E697&amp;" ("&amp;LEFT(H697,5)&amp;"-"&amp;LEFT(I697,5)&amp;" hrs)  /  LA "&amp;E698&amp;" ("&amp;LEFT(H698,5)&amp;"-"&amp;LEFT(I698,5)&amp;" hrs)"</f>
        <v>LIM-CIX-LIM   LA 2312 (15:35-17:05 hrs)  /  LA 2313 (17:50-19:10 hrs)</v>
      </c>
    </row>
    <row r="699" spans="2:24" x14ac:dyDescent="0.25">
      <c r="J699" s="7" t="s">
        <v>43</v>
      </c>
      <c r="K699" s="8" t="str">
        <f>TEXT(TIMEVALUE(I698)-TIMEVALUE(H697)+(I698&lt;H697),"[h]:mm")</f>
        <v>3:35</v>
      </c>
    </row>
    <row r="701" spans="2:24" ht="30" x14ac:dyDescent="0.25">
      <c r="B701" s="3" t="s">
        <v>9</v>
      </c>
      <c r="C701" s="3" t="s">
        <v>17</v>
      </c>
      <c r="D701" s="3" t="s">
        <v>18</v>
      </c>
      <c r="E701" s="3" t="s">
        <v>19</v>
      </c>
      <c r="F701" s="3" t="s">
        <v>20</v>
      </c>
      <c r="G701" s="3" t="s">
        <v>21</v>
      </c>
      <c r="H701" s="3" t="s">
        <v>22</v>
      </c>
      <c r="I701" s="3" t="s">
        <v>23</v>
      </c>
      <c r="J701" s="3" t="s">
        <v>24</v>
      </c>
      <c r="K701" s="3" t="s">
        <v>25</v>
      </c>
      <c r="L701" s="3" t="s">
        <v>26</v>
      </c>
    </row>
    <row r="702" spans="2:24" ht="30" x14ac:dyDescent="0.25">
      <c r="B702" s="4">
        <v>723</v>
      </c>
      <c r="C702" s="4" t="s">
        <v>166</v>
      </c>
      <c r="D702" s="4" t="s">
        <v>28</v>
      </c>
      <c r="E702" s="4">
        <v>2301</v>
      </c>
      <c r="F702" s="4" t="s">
        <v>29</v>
      </c>
      <c r="G702" s="4" t="s">
        <v>91</v>
      </c>
      <c r="H702" s="4" t="s">
        <v>92</v>
      </c>
      <c r="I702" s="4" t="s">
        <v>77</v>
      </c>
      <c r="J702" s="4">
        <v>320</v>
      </c>
      <c r="L702" s="4" t="s">
        <v>93</v>
      </c>
      <c r="M702" s="5"/>
      <c r="O702" s="5"/>
      <c r="Q702" s="4">
        <f>B702</f>
        <v>723</v>
      </c>
      <c r="R702" s="4" t="str">
        <f>C702</f>
        <v>08/10/2026</v>
      </c>
      <c r="S702" s="4" t="str">
        <f>D702</f>
        <v>jueves</v>
      </c>
      <c r="T702" s="4" t="str">
        <f>E702&amp;"/"&amp;E703</f>
        <v>2301/2300</v>
      </c>
      <c r="U702" s="4" t="str">
        <f>F702&amp;"-"&amp;G702&amp;"-"&amp;F702</f>
        <v>LIM-TPP-LIM</v>
      </c>
      <c r="V702" s="4" t="str">
        <f>IF($M$702="","",$M$702)</f>
        <v/>
      </c>
      <c r="W702" s="4" t="str">
        <f>IF($O$702="","",$O$702)</f>
        <v/>
      </c>
      <c r="X702" s="4">
        <f>J702</f>
        <v>320</v>
      </c>
    </row>
    <row r="703" spans="2:24" ht="30" x14ac:dyDescent="0.25">
      <c r="B703" s="4">
        <v>723</v>
      </c>
      <c r="C703" s="4" t="s">
        <v>166</v>
      </c>
      <c r="D703" s="4" t="s">
        <v>28</v>
      </c>
      <c r="E703" s="4">
        <v>2300</v>
      </c>
      <c r="F703" s="4" t="s">
        <v>91</v>
      </c>
      <c r="G703" s="4" t="s">
        <v>29</v>
      </c>
      <c r="H703" s="4" t="s">
        <v>84</v>
      </c>
      <c r="I703" s="4" t="s">
        <v>94</v>
      </c>
      <c r="J703" s="4">
        <v>320</v>
      </c>
      <c r="K703" t="str">
        <f>TEXT(TIMEVALUE(H703)-TIMEVALUE(I702)+(TIMEVALUE(H703)&lt;TIMEVALUE(I702)),"[h]:mm")</f>
        <v>0:45</v>
      </c>
      <c r="L703" s="4" t="s">
        <v>93</v>
      </c>
      <c r="O703" t="str">
        <f>"LIM-"&amp;G702&amp;"-LIM   LA "&amp;E702&amp;" ("&amp;LEFT(H702,5)&amp;"-"&amp;LEFT(I702,5)&amp;" hrs)  /  LA "&amp;E703&amp;" ("&amp;LEFT(H703,5)&amp;"-"&amp;LEFT(I703,5)&amp;" hrs)"</f>
        <v>LIM-TPP-LIM   LA 2301 (15:40-17:05 hrs)  /  LA 2300 (17:50-19:15 hrs)</v>
      </c>
    </row>
    <row r="704" spans="2:24" x14ac:dyDescent="0.25">
      <c r="J704" s="7" t="s">
        <v>43</v>
      </c>
      <c r="K704" s="8" t="str">
        <f>TEXT(TIMEVALUE(I703)-TIMEVALUE(H702)+(I703&lt;H702),"[h]:mm")</f>
        <v>3:35</v>
      </c>
    </row>
    <row r="706" spans="2:24" ht="30" x14ac:dyDescent="0.25">
      <c r="B706" s="3" t="s">
        <v>9</v>
      </c>
      <c r="C706" s="3" t="s">
        <v>17</v>
      </c>
      <c r="D706" s="3" t="s">
        <v>18</v>
      </c>
      <c r="E706" s="3" t="s">
        <v>19</v>
      </c>
      <c r="F706" s="3" t="s">
        <v>20</v>
      </c>
      <c r="G706" s="3" t="s">
        <v>21</v>
      </c>
      <c r="H706" s="3" t="s">
        <v>22</v>
      </c>
      <c r="I706" s="3" t="s">
        <v>23</v>
      </c>
      <c r="J706" s="3" t="s">
        <v>24</v>
      </c>
      <c r="K706" s="3" t="s">
        <v>25</v>
      </c>
      <c r="L706" s="3" t="s">
        <v>26</v>
      </c>
    </row>
    <row r="707" spans="2:24" ht="30" x14ac:dyDescent="0.25">
      <c r="B707" s="4">
        <v>727</v>
      </c>
      <c r="C707" s="4" t="s">
        <v>166</v>
      </c>
      <c r="D707" s="4" t="s">
        <v>28</v>
      </c>
      <c r="E707" s="4">
        <v>2115</v>
      </c>
      <c r="F707" s="4" t="s">
        <v>29</v>
      </c>
      <c r="G707" s="4" t="s">
        <v>56</v>
      </c>
      <c r="H707" s="4" t="s">
        <v>42</v>
      </c>
      <c r="I707" s="4" t="s">
        <v>68</v>
      </c>
      <c r="J707" s="4">
        <v>320</v>
      </c>
      <c r="L707" s="4" t="s">
        <v>40</v>
      </c>
      <c r="M707" s="5"/>
      <c r="O707" s="5"/>
      <c r="Q707" s="4">
        <f>B707</f>
        <v>727</v>
      </c>
      <c r="R707" s="4" t="str">
        <f>C707</f>
        <v>08/10/2026</v>
      </c>
      <c r="S707" s="4" t="str">
        <f>D707</f>
        <v>jueves</v>
      </c>
      <c r="T707" s="4" t="str">
        <f>E707&amp;"/"&amp;E708</f>
        <v>2115/2114</v>
      </c>
      <c r="U707" s="4" t="str">
        <f>F707&amp;"-"&amp;G707&amp;"-"&amp;F707</f>
        <v>LIM-AQP-LIM</v>
      </c>
      <c r="V707" s="4" t="str">
        <f>IF($M$707="","",$M$707)</f>
        <v/>
      </c>
      <c r="W707" s="4" t="str">
        <f>IF($O$707="","",$O$707)</f>
        <v/>
      </c>
      <c r="X707" s="4">
        <f>J707</f>
        <v>320</v>
      </c>
    </row>
    <row r="708" spans="2:24" ht="30" x14ac:dyDescent="0.25">
      <c r="B708" s="4">
        <v>727</v>
      </c>
      <c r="C708" s="4" t="s">
        <v>166</v>
      </c>
      <c r="D708" s="4" t="s">
        <v>28</v>
      </c>
      <c r="E708" s="4">
        <v>2114</v>
      </c>
      <c r="F708" s="4" t="s">
        <v>56</v>
      </c>
      <c r="G708" s="4" t="s">
        <v>29</v>
      </c>
      <c r="H708" s="4" t="s">
        <v>69</v>
      </c>
      <c r="I708" s="4" t="s">
        <v>70</v>
      </c>
      <c r="J708" s="4">
        <v>320</v>
      </c>
      <c r="K708" t="str">
        <f>TEXT(TIMEVALUE(H708)-TIMEVALUE(I707)+(TIMEVALUE(H708)&lt;TIMEVALUE(I707)),"[h]:mm")</f>
        <v>0:35</v>
      </c>
      <c r="L708" s="4" t="s">
        <v>71</v>
      </c>
      <c r="O708" t="str">
        <f>"LIM-"&amp;G707&amp;"-LIM   LA "&amp;E707&amp;" ("&amp;LEFT(H707,5)&amp;"-"&amp;LEFT(I707,5)&amp;" hrs)  /  LA "&amp;E708&amp;" ("&amp;LEFT(H708,5)&amp;"-"&amp;LEFT(I708,5)&amp;" hrs)"</f>
        <v>LIM-AQP-LIM   LA 2115 (17:15-18:45 hrs)  /  LA 2114 (19:20-21:00 hrs)</v>
      </c>
    </row>
    <row r="709" spans="2:24" x14ac:dyDescent="0.25">
      <c r="J709" s="7" t="s">
        <v>43</v>
      </c>
      <c r="K709" s="8" t="str">
        <f>TEXT(TIMEVALUE(I708)-TIMEVALUE(H707)+(I708&lt;H707),"[h]:mm")</f>
        <v>3:45</v>
      </c>
    </row>
    <row r="711" spans="2:24" ht="30" x14ac:dyDescent="0.25">
      <c r="B711" s="3" t="s">
        <v>9</v>
      </c>
      <c r="C711" s="3" t="s">
        <v>17</v>
      </c>
      <c r="D711" s="3" t="s">
        <v>18</v>
      </c>
      <c r="E711" s="3" t="s">
        <v>19</v>
      </c>
      <c r="F711" s="3" t="s">
        <v>20</v>
      </c>
      <c r="G711" s="3" t="s">
        <v>21</v>
      </c>
      <c r="H711" s="3" t="s">
        <v>22</v>
      </c>
      <c r="I711" s="3" t="s">
        <v>23</v>
      </c>
      <c r="J711" s="3" t="s">
        <v>24</v>
      </c>
      <c r="K711" s="3" t="s">
        <v>25</v>
      </c>
      <c r="L711" s="3" t="s">
        <v>26</v>
      </c>
    </row>
    <row r="712" spans="2:24" ht="30" x14ac:dyDescent="0.25">
      <c r="B712" s="4">
        <v>775</v>
      </c>
      <c r="C712" s="4" t="s">
        <v>167</v>
      </c>
      <c r="D712" s="4" t="s">
        <v>96</v>
      </c>
      <c r="E712" s="4">
        <v>2007</v>
      </c>
      <c r="F712" s="4" t="s">
        <v>29</v>
      </c>
      <c r="G712" s="4" t="s">
        <v>30</v>
      </c>
      <c r="H712" s="4" t="s">
        <v>31</v>
      </c>
      <c r="I712" s="4" t="s">
        <v>32</v>
      </c>
      <c r="J712" s="4">
        <v>319</v>
      </c>
      <c r="L712" s="4" t="s">
        <v>33</v>
      </c>
      <c r="M712" s="5"/>
      <c r="O712" s="5"/>
      <c r="Q712" s="4">
        <f>B712</f>
        <v>775</v>
      </c>
      <c r="R712" s="4" t="str">
        <f>C712</f>
        <v>09/10/2026</v>
      </c>
      <c r="S712" s="4" t="str">
        <f>D712</f>
        <v>viernes</v>
      </c>
      <c r="T712" s="4" t="str">
        <f>E712&amp;"/"&amp;E713</f>
        <v>2007/2008</v>
      </c>
      <c r="U712" s="4" t="str">
        <f>F712&amp;"-"&amp;G712&amp;"-"&amp;F712</f>
        <v>LIM-CUZ-LIM</v>
      </c>
      <c r="V712" s="4" t="str">
        <f>IF($M$712="","",$M$712)</f>
        <v/>
      </c>
      <c r="W712" s="4" t="str">
        <f>IF($O$712="","",$O$712)</f>
        <v/>
      </c>
      <c r="X712" s="4">
        <f>J712</f>
        <v>319</v>
      </c>
    </row>
    <row r="713" spans="2:24" ht="30" x14ac:dyDescent="0.25">
      <c r="B713" s="4">
        <v>775</v>
      </c>
      <c r="C713" s="4" t="s">
        <v>167</v>
      </c>
      <c r="D713" s="4" t="s">
        <v>96</v>
      </c>
      <c r="E713" s="4">
        <v>2008</v>
      </c>
      <c r="F713" s="4" t="s">
        <v>30</v>
      </c>
      <c r="G713" s="4" t="s">
        <v>29</v>
      </c>
      <c r="H713" s="4" t="s">
        <v>34</v>
      </c>
      <c r="I713" s="4" t="s">
        <v>35</v>
      </c>
      <c r="J713" s="4">
        <v>319</v>
      </c>
      <c r="K713" t="str">
        <f>TEXT(TIMEVALUE(H713)-TIMEVALUE(I712)+(TIMEVALUE(H713)&lt;TIMEVALUE(I712)),"[h]:mm")</f>
        <v>0:50</v>
      </c>
      <c r="L713" s="4" t="s">
        <v>36</v>
      </c>
      <c r="O713" t="str">
        <f>"LIM-"&amp;G712&amp;"-LIM   LA "&amp;E712&amp;" ("&amp;LEFT(H712,5)&amp;"-"&amp;LEFT(I712,5)&amp;" hrs)  /  LA "&amp;E713&amp;" ("&amp;LEFT(H713,5)&amp;"-"&amp;LEFT(I713,5)&amp;" hrs)"</f>
        <v>LIM-CUZ-LIM   LA 2007 (09:10-10:30 hrs)  /  LA 2008 (11:20-12:55 hrs)</v>
      </c>
    </row>
    <row r="714" spans="2:24" ht="30" x14ac:dyDescent="0.25">
      <c r="B714" s="4">
        <v>801</v>
      </c>
      <c r="C714" s="4" t="s">
        <v>167</v>
      </c>
      <c r="D714" s="4" t="s">
        <v>96</v>
      </c>
      <c r="E714" s="4">
        <v>2087</v>
      </c>
      <c r="F714" s="4" t="s">
        <v>29</v>
      </c>
      <c r="G714" s="4" t="s">
        <v>91</v>
      </c>
      <c r="H714" s="4" t="s">
        <v>67</v>
      </c>
      <c r="I714" s="4" t="s">
        <v>76</v>
      </c>
      <c r="J714" s="4">
        <v>320</v>
      </c>
      <c r="K714" s="6" t="str">
        <f>TEXT(TIMEVALUE(H714)-TIMEVALUE(I713)+(TIMEVALUE(H714)&lt;TIMEVALUE(I713)),"[h]:mm")</f>
        <v>1:10</v>
      </c>
      <c r="L714" s="4" t="s">
        <v>93</v>
      </c>
      <c r="M714" t="str">
        <f>IF($M$712="","",$M$712)</f>
        <v/>
      </c>
      <c r="O714" t="str">
        <f>IF($O$712="","",$O$712)</f>
        <v/>
      </c>
      <c r="Q714" s="4">
        <f>B714</f>
        <v>801</v>
      </c>
      <c r="R714" s="4" t="str">
        <f>C714</f>
        <v>09/10/2026</v>
      </c>
      <c r="S714" s="4" t="str">
        <f>D714</f>
        <v>viernes</v>
      </c>
      <c r="T714" s="4" t="str">
        <f>E714&amp;"/"&amp;E715</f>
        <v>2087/2088</v>
      </c>
      <c r="U714" s="4" t="str">
        <f>F714&amp;"-"&amp;G714&amp;"-"&amp;F714</f>
        <v>LIM-TPP-LIM</v>
      </c>
      <c r="V714" s="4" t="str">
        <f>IF($M$712="","",$M$712)</f>
        <v/>
      </c>
      <c r="W714" s="4" t="str">
        <f>IF($O$712="","",$O$712)</f>
        <v/>
      </c>
      <c r="X714" s="4">
        <f>J714</f>
        <v>320</v>
      </c>
    </row>
    <row r="715" spans="2:24" ht="30" x14ac:dyDescent="0.25">
      <c r="B715" s="4">
        <v>801</v>
      </c>
      <c r="C715" s="4" t="s">
        <v>167</v>
      </c>
      <c r="D715" s="4" t="s">
        <v>96</v>
      </c>
      <c r="E715" s="4">
        <v>2088</v>
      </c>
      <c r="F715" s="4" t="s">
        <v>91</v>
      </c>
      <c r="G715" s="4" t="s">
        <v>29</v>
      </c>
      <c r="H715" s="4" t="s">
        <v>85</v>
      </c>
      <c r="I715" s="4" t="s">
        <v>100</v>
      </c>
      <c r="J715" s="4">
        <v>320</v>
      </c>
      <c r="K715" t="str">
        <f>TEXT(TIMEVALUE(H715)-TIMEVALUE(I714)+(TIMEVALUE(H715)&lt;TIMEVALUE(I714)),"[h]:mm")</f>
        <v>0:35</v>
      </c>
      <c r="L715" s="4" t="s">
        <v>93</v>
      </c>
      <c r="O715" t="str">
        <f>"LIM-"&amp;G714&amp;"-LIM   LA "&amp;E714&amp;" ("&amp;LEFT(H714,5)&amp;"-"&amp;LEFT(I714,5)&amp;" hrs)  /  LA "&amp;E715&amp;" ("&amp;LEFT(H715,5)&amp;"-"&amp;LEFT(I715,5)&amp;" hrs)"</f>
        <v>LIM-TPP-LIM   LA 2087 (14:05-15:30 hrs)  /  LA 2088 (16:05-17:30 hrs)</v>
      </c>
    </row>
    <row r="716" spans="2:24" x14ac:dyDescent="0.25">
      <c r="J716" s="7" t="s">
        <v>43</v>
      </c>
      <c r="K716" s="8" t="str">
        <f>TEXT(TIMEVALUE(I715)-TIMEVALUE(H712)+(I715&lt;H712),"[h]:mm")</f>
        <v>8:20</v>
      </c>
    </row>
    <row r="718" spans="2:24" ht="30" x14ac:dyDescent="0.25">
      <c r="B718" s="3" t="s">
        <v>9</v>
      </c>
      <c r="C718" s="3" t="s">
        <v>17</v>
      </c>
      <c r="D718" s="3" t="s">
        <v>18</v>
      </c>
      <c r="E718" s="3" t="s">
        <v>19</v>
      </c>
      <c r="F718" s="3" t="s">
        <v>20</v>
      </c>
      <c r="G718" s="3" t="s">
        <v>21</v>
      </c>
      <c r="H718" s="3" t="s">
        <v>22</v>
      </c>
      <c r="I718" s="3" t="s">
        <v>23</v>
      </c>
      <c r="J718" s="3" t="s">
        <v>24</v>
      </c>
      <c r="K718" s="3" t="s">
        <v>25</v>
      </c>
      <c r="L718" s="3" t="s">
        <v>26</v>
      </c>
    </row>
    <row r="719" spans="2:24" ht="30" x14ac:dyDescent="0.25">
      <c r="B719" s="4">
        <v>779</v>
      </c>
      <c r="C719" s="4" t="s">
        <v>167</v>
      </c>
      <c r="D719" s="4" t="s">
        <v>96</v>
      </c>
      <c r="E719" s="4">
        <v>2260</v>
      </c>
      <c r="F719" s="4" t="s">
        <v>29</v>
      </c>
      <c r="G719" s="4" t="s">
        <v>44</v>
      </c>
      <c r="H719" s="4" t="s">
        <v>45</v>
      </c>
      <c r="I719" s="4" t="s">
        <v>46</v>
      </c>
      <c r="J719" s="4">
        <v>320</v>
      </c>
      <c r="L719" s="4" t="s">
        <v>47</v>
      </c>
      <c r="M719" s="5"/>
      <c r="O719" s="5"/>
      <c r="Q719" s="4">
        <f>B719</f>
        <v>779</v>
      </c>
      <c r="R719" s="4" t="str">
        <f>C719</f>
        <v>09/10/2026</v>
      </c>
      <c r="S719" s="4" t="str">
        <f>D719</f>
        <v>viernes</v>
      </c>
      <c r="T719" s="4" t="str">
        <f>E719&amp;"/"&amp;E720</f>
        <v>2260/2261</v>
      </c>
      <c r="U719" s="4" t="str">
        <f>F719&amp;"-"&amp;G719&amp;"-"&amp;F719</f>
        <v>LIM-PEM-LIM</v>
      </c>
      <c r="V719" s="4" t="str">
        <f>IF($M$719="","",$M$719)</f>
        <v/>
      </c>
      <c r="W719" s="4" t="str">
        <f>IF($O$719="","",$O$719)</f>
        <v/>
      </c>
      <c r="X719" s="4">
        <f>J719</f>
        <v>320</v>
      </c>
    </row>
    <row r="720" spans="2:24" ht="30" x14ac:dyDescent="0.25">
      <c r="B720" s="4">
        <v>779</v>
      </c>
      <c r="C720" s="4" t="s">
        <v>167</v>
      </c>
      <c r="D720" s="4" t="s">
        <v>96</v>
      </c>
      <c r="E720" s="4">
        <v>2261</v>
      </c>
      <c r="F720" s="4" t="s">
        <v>44</v>
      </c>
      <c r="G720" s="4" t="s">
        <v>29</v>
      </c>
      <c r="H720" s="4" t="s">
        <v>48</v>
      </c>
      <c r="I720" s="4" t="s">
        <v>49</v>
      </c>
      <c r="J720" s="4">
        <v>320</v>
      </c>
      <c r="K720" t="str">
        <f>TEXT(TIMEVALUE(H720)-TIMEVALUE(I719)+(TIMEVALUE(H720)&lt;TIMEVALUE(I719)),"[h]:mm")</f>
        <v>0:40</v>
      </c>
      <c r="L720" s="4" t="s">
        <v>36</v>
      </c>
      <c r="O720" t="str">
        <f>"LIM-"&amp;G719&amp;"-LIM   LA "&amp;E719&amp;" ("&amp;LEFT(H719,5)&amp;"-"&amp;LEFT(I719,5)&amp;" hrs)  /  LA "&amp;E720&amp;" ("&amp;LEFT(H720,5)&amp;"-"&amp;LEFT(I720,5)&amp;" hrs)"</f>
        <v>LIM-PEM-LIM   LA 2260 (10:20-12:05 hrs)  /  LA 2261 (12:45-14:20 hrs)</v>
      </c>
    </row>
    <row r="721" spans="2:24" ht="30" x14ac:dyDescent="0.25">
      <c r="B721" s="4">
        <v>808</v>
      </c>
      <c r="C721" s="4" t="s">
        <v>167</v>
      </c>
      <c r="D721" s="4" t="s">
        <v>96</v>
      </c>
      <c r="E721" s="4">
        <v>2297</v>
      </c>
      <c r="F721" s="4" t="s">
        <v>29</v>
      </c>
      <c r="G721" s="4" t="s">
        <v>50</v>
      </c>
      <c r="H721" s="4" t="s">
        <v>51</v>
      </c>
      <c r="I721" s="4" t="s">
        <v>52</v>
      </c>
      <c r="J721" s="4">
        <v>320</v>
      </c>
      <c r="K721" s="6" t="str">
        <f>TEXT(TIMEVALUE(H721)-TIMEVALUE(I720)+(TIMEVALUE(H721)&lt;TIMEVALUE(I720)),"[h]:mm")</f>
        <v>0:55</v>
      </c>
      <c r="L721" s="4" t="s">
        <v>33</v>
      </c>
      <c r="M721" t="str">
        <f>IF($M$719="","",$M$719)</f>
        <v/>
      </c>
      <c r="O721" t="str">
        <f>IF($O$719="","",$O$719)</f>
        <v/>
      </c>
      <c r="Q721" s="4">
        <f>B721</f>
        <v>808</v>
      </c>
      <c r="R721" s="4" t="str">
        <f>C721</f>
        <v>09/10/2026</v>
      </c>
      <c r="S721" s="4" t="str">
        <f>D721</f>
        <v>viernes</v>
      </c>
      <c r="T721" s="4" t="str">
        <f>E721&amp;"/"&amp;E722</f>
        <v>2297/2296</v>
      </c>
      <c r="U721" s="4" t="str">
        <f>F721&amp;"-"&amp;G721&amp;"-"&amp;F721</f>
        <v>LIM-CJA-LIM</v>
      </c>
      <c r="V721" s="4" t="str">
        <f>IF($M$719="","",$M$719)</f>
        <v/>
      </c>
      <c r="W721" s="4" t="str">
        <f>IF($O$719="","",$O$719)</f>
        <v/>
      </c>
      <c r="X721" s="4">
        <f>J721</f>
        <v>320</v>
      </c>
    </row>
    <row r="722" spans="2:24" ht="30" x14ac:dyDescent="0.25">
      <c r="B722" s="4">
        <v>808</v>
      </c>
      <c r="C722" s="4" t="s">
        <v>167</v>
      </c>
      <c r="D722" s="4" t="s">
        <v>96</v>
      </c>
      <c r="E722" s="4">
        <v>2296</v>
      </c>
      <c r="F722" s="4" t="s">
        <v>50</v>
      </c>
      <c r="G722" s="4" t="s">
        <v>29</v>
      </c>
      <c r="H722" s="4" t="s">
        <v>53</v>
      </c>
      <c r="I722" s="4" t="s">
        <v>54</v>
      </c>
      <c r="J722" s="4">
        <v>320</v>
      </c>
      <c r="K722" t="str">
        <f>TEXT(TIMEVALUE(H722)-TIMEVALUE(I721)+(TIMEVALUE(H722)&lt;TIMEVALUE(I721)),"[h]:mm")</f>
        <v>0:45</v>
      </c>
      <c r="L722" s="4" t="s">
        <v>55</v>
      </c>
      <c r="O722" t="str">
        <f>"LIM-"&amp;G721&amp;"-LIM   LA "&amp;E721&amp;" ("&amp;LEFT(H721,5)&amp;"-"&amp;LEFT(I721,5)&amp;" hrs)  /  LA "&amp;E722&amp;" ("&amp;LEFT(H722,5)&amp;"-"&amp;LEFT(I722,5)&amp;" hrs)"</f>
        <v>LIM-CJA-LIM   LA 2297 (15:15-16:35 hrs)  /  LA 2296 (17:20-18:25 hrs)</v>
      </c>
    </row>
    <row r="723" spans="2:24" x14ac:dyDescent="0.25">
      <c r="J723" s="7" t="s">
        <v>43</v>
      </c>
      <c r="K723" s="8" t="str">
        <f>TEXT(TIMEVALUE(I722)-TIMEVALUE(H719)+(I722&lt;H719),"[h]:mm")</f>
        <v>8:05</v>
      </c>
    </row>
    <row r="725" spans="2:24" ht="30" x14ac:dyDescent="0.25">
      <c r="B725" s="3" t="s">
        <v>9</v>
      </c>
      <c r="C725" s="3" t="s">
        <v>17</v>
      </c>
      <c r="D725" s="3" t="s">
        <v>18</v>
      </c>
      <c r="E725" s="3" t="s">
        <v>19</v>
      </c>
      <c r="F725" s="3" t="s">
        <v>20</v>
      </c>
      <c r="G725" s="3" t="s">
        <v>21</v>
      </c>
      <c r="H725" s="3" t="s">
        <v>22</v>
      </c>
      <c r="I725" s="3" t="s">
        <v>23</v>
      </c>
      <c r="J725" s="3" t="s">
        <v>24</v>
      </c>
      <c r="K725" s="3" t="s">
        <v>25</v>
      </c>
      <c r="L725" s="3" t="s">
        <v>26</v>
      </c>
    </row>
    <row r="726" spans="2:24" ht="30" x14ac:dyDescent="0.25">
      <c r="B726" s="4">
        <v>780</v>
      </c>
      <c r="C726" s="4" t="s">
        <v>167</v>
      </c>
      <c r="D726" s="4" t="s">
        <v>96</v>
      </c>
      <c r="E726" s="4">
        <v>2260</v>
      </c>
      <c r="F726" s="4" t="s">
        <v>29</v>
      </c>
      <c r="G726" s="4" t="s">
        <v>44</v>
      </c>
      <c r="H726" s="4" t="s">
        <v>45</v>
      </c>
      <c r="I726" s="4" t="s">
        <v>46</v>
      </c>
      <c r="J726" s="4">
        <v>320</v>
      </c>
      <c r="L726" s="4" t="s">
        <v>47</v>
      </c>
      <c r="M726" s="5"/>
      <c r="O726" s="5"/>
      <c r="Q726" s="4">
        <f>B726</f>
        <v>780</v>
      </c>
      <c r="R726" s="4" t="str">
        <f>C726</f>
        <v>09/10/2026</v>
      </c>
      <c r="S726" s="4" t="str">
        <f>D726</f>
        <v>viernes</v>
      </c>
      <c r="T726" s="4" t="str">
        <f>E726&amp;"/"&amp;E727</f>
        <v>2260/2261</v>
      </c>
      <c r="U726" s="4" t="str">
        <f>F726&amp;"-"&amp;G726&amp;"-"&amp;F726</f>
        <v>LIM-PEM-LIM</v>
      </c>
      <c r="V726" s="4" t="str">
        <f>IF($M$726="","",$M$726)</f>
        <v/>
      </c>
      <c r="W726" s="4" t="str">
        <f>IF($O$726="","",$O$726)</f>
        <v/>
      </c>
      <c r="X726" s="4">
        <f>J726</f>
        <v>320</v>
      </c>
    </row>
    <row r="727" spans="2:24" ht="30" x14ac:dyDescent="0.25">
      <c r="B727" s="4">
        <v>780</v>
      </c>
      <c r="C727" s="4" t="s">
        <v>167</v>
      </c>
      <c r="D727" s="4" t="s">
        <v>96</v>
      </c>
      <c r="E727" s="4">
        <v>2261</v>
      </c>
      <c r="F727" s="4" t="s">
        <v>44</v>
      </c>
      <c r="G727" s="4" t="s">
        <v>29</v>
      </c>
      <c r="H727" s="4" t="s">
        <v>48</v>
      </c>
      <c r="I727" s="4" t="s">
        <v>49</v>
      </c>
      <c r="J727" s="4">
        <v>320</v>
      </c>
      <c r="K727" t="str">
        <f>TEXT(TIMEVALUE(H727)-TIMEVALUE(I726)+(TIMEVALUE(H727)&lt;TIMEVALUE(I726)),"[h]:mm")</f>
        <v>0:40</v>
      </c>
      <c r="L727" s="4" t="s">
        <v>36</v>
      </c>
      <c r="O727" t="str">
        <f>"LIM-"&amp;G726&amp;"-LIM   LA "&amp;E726&amp;" ("&amp;LEFT(H726,5)&amp;"-"&amp;LEFT(I726,5)&amp;" hrs)  /  LA "&amp;E727&amp;" ("&amp;LEFT(H727,5)&amp;"-"&amp;LEFT(I727,5)&amp;" hrs)"</f>
        <v>LIM-PEM-LIM   LA 2260 (10:20-12:05 hrs)  /  LA 2261 (12:45-14:20 hrs)</v>
      </c>
    </row>
    <row r="728" spans="2:24" ht="30" x14ac:dyDescent="0.25">
      <c r="B728" s="4">
        <v>809</v>
      </c>
      <c r="C728" s="4" t="s">
        <v>167</v>
      </c>
      <c r="D728" s="4" t="s">
        <v>96</v>
      </c>
      <c r="E728" s="4">
        <v>2360</v>
      </c>
      <c r="F728" s="4" t="s">
        <v>29</v>
      </c>
      <c r="G728" s="4" t="s">
        <v>58</v>
      </c>
      <c r="H728" s="4" t="s">
        <v>59</v>
      </c>
      <c r="I728" s="4" t="s">
        <v>60</v>
      </c>
      <c r="J728" s="4">
        <v>320</v>
      </c>
      <c r="K728" s="6" t="str">
        <f>TEXT(TIMEVALUE(H728)-TIMEVALUE(I727)+(TIMEVALUE(H728)&lt;TIMEVALUE(I727)),"[h]:mm")</f>
        <v>1:05</v>
      </c>
      <c r="L728" s="4" t="s">
        <v>61</v>
      </c>
      <c r="M728" t="str">
        <f>IF($M$726="","",$M$726)</f>
        <v/>
      </c>
      <c r="O728" t="str">
        <f>IF($O$726="","",$O$726)</f>
        <v/>
      </c>
      <c r="Q728" s="4">
        <f>B728</f>
        <v>809</v>
      </c>
      <c r="R728" s="4" t="str">
        <f>C728</f>
        <v>09/10/2026</v>
      </c>
      <c r="S728" s="4" t="str">
        <f>D728</f>
        <v>viernes</v>
      </c>
      <c r="T728" s="4" t="str">
        <f>E728&amp;"/"&amp;E729</f>
        <v>2360/2361</v>
      </c>
      <c r="U728" s="4" t="str">
        <f>F728&amp;"-"&amp;G728&amp;"-"&amp;F728</f>
        <v>LIM-PCL-LIM</v>
      </c>
      <c r="V728" s="4" t="str">
        <f>IF($M$726="","",$M$726)</f>
        <v/>
      </c>
      <c r="W728" s="4" t="str">
        <f>IF($O$726="","",$O$726)</f>
        <v/>
      </c>
      <c r="X728" s="4">
        <f>J728</f>
        <v>320</v>
      </c>
    </row>
    <row r="729" spans="2:24" ht="30" x14ac:dyDescent="0.25">
      <c r="B729" s="4">
        <v>809</v>
      </c>
      <c r="C729" s="4" t="s">
        <v>167</v>
      </c>
      <c r="D729" s="4" t="s">
        <v>96</v>
      </c>
      <c r="E729" s="4">
        <v>2361</v>
      </c>
      <c r="F729" s="4" t="s">
        <v>58</v>
      </c>
      <c r="G729" s="4" t="s">
        <v>29</v>
      </c>
      <c r="H729" s="4" t="s">
        <v>53</v>
      </c>
      <c r="I729" s="4" t="s">
        <v>62</v>
      </c>
      <c r="J729" s="4">
        <v>320</v>
      </c>
      <c r="K729" t="str">
        <f>TEXT(TIMEVALUE(H729)-TIMEVALUE(I728)+(TIMEVALUE(H729)&lt;TIMEVALUE(I728)),"[h]:mm")</f>
        <v>0:40</v>
      </c>
      <c r="L729" s="4" t="s">
        <v>61</v>
      </c>
      <c r="O729" t="str">
        <f>"LIM-"&amp;G728&amp;"-LIM   LA "&amp;E728&amp;" ("&amp;LEFT(H728,5)&amp;"-"&amp;LEFT(I728,5)&amp;" hrs)  /  LA "&amp;E729&amp;" ("&amp;LEFT(H729,5)&amp;"-"&amp;LEFT(I729,5)&amp;" hrs)"</f>
        <v>LIM-PCL-LIM   LA 2360 (15:25-16:40 hrs)  /  LA 2361 (17:20-18:35 hrs)</v>
      </c>
    </row>
    <row r="730" spans="2:24" x14ac:dyDescent="0.25">
      <c r="J730" s="7" t="s">
        <v>43</v>
      </c>
      <c r="K730" s="8" t="str">
        <f>TEXT(TIMEVALUE(I729)-TIMEVALUE(H726)+(I729&lt;H726),"[h]:mm")</f>
        <v>8:15</v>
      </c>
    </row>
    <row r="732" spans="2:24" ht="30" x14ac:dyDescent="0.25">
      <c r="B732" s="3" t="s">
        <v>9</v>
      </c>
      <c r="C732" s="3" t="s">
        <v>17</v>
      </c>
      <c r="D732" s="3" t="s">
        <v>18</v>
      </c>
      <c r="E732" s="3" t="s">
        <v>19</v>
      </c>
      <c r="F732" s="3" t="s">
        <v>20</v>
      </c>
      <c r="G732" s="3" t="s">
        <v>21</v>
      </c>
      <c r="H732" s="3" t="s">
        <v>22</v>
      </c>
      <c r="I732" s="3" t="s">
        <v>23</v>
      </c>
      <c r="J732" s="3" t="s">
        <v>24</v>
      </c>
      <c r="K732" s="3" t="s">
        <v>25</v>
      </c>
      <c r="L732" s="3" t="s">
        <v>26</v>
      </c>
    </row>
    <row r="733" spans="2:24" ht="30" x14ac:dyDescent="0.25">
      <c r="B733" s="4">
        <v>782</v>
      </c>
      <c r="C733" s="4" t="s">
        <v>167</v>
      </c>
      <c r="D733" s="4" t="s">
        <v>96</v>
      </c>
      <c r="E733" s="4">
        <v>2019</v>
      </c>
      <c r="F733" s="4" t="s">
        <v>29</v>
      </c>
      <c r="G733" s="4" t="s">
        <v>63</v>
      </c>
      <c r="H733" s="4" t="s">
        <v>64</v>
      </c>
      <c r="I733" s="4" t="s">
        <v>65</v>
      </c>
      <c r="J733" s="4">
        <v>320</v>
      </c>
      <c r="L733" s="4" t="s">
        <v>66</v>
      </c>
      <c r="M733" s="5"/>
      <c r="O733" s="5"/>
      <c r="Q733" s="4">
        <f>B733</f>
        <v>782</v>
      </c>
      <c r="R733" s="4" t="str">
        <f>C733</f>
        <v>09/10/2026</v>
      </c>
      <c r="S733" s="4" t="str">
        <f>D733</f>
        <v>viernes</v>
      </c>
      <c r="T733" s="4" t="str">
        <f>E733&amp;"/"&amp;E734</f>
        <v>2019/2038</v>
      </c>
      <c r="U733" s="4" t="str">
        <f>F733&amp;"-"&amp;G733&amp;"-"&amp;F733</f>
        <v>LIM-IQT-LIM</v>
      </c>
      <c r="V733" s="4" t="str">
        <f>IF($M$733="","",$M$733)</f>
        <v/>
      </c>
      <c r="W733" s="4" t="str">
        <f>IF($O$733="","",$O$733)</f>
        <v/>
      </c>
      <c r="X733" s="4">
        <f>J733</f>
        <v>320</v>
      </c>
    </row>
    <row r="734" spans="2:24" ht="30" x14ac:dyDescent="0.25">
      <c r="B734" s="4">
        <v>782</v>
      </c>
      <c r="C734" s="4" t="s">
        <v>167</v>
      </c>
      <c r="D734" s="4" t="s">
        <v>96</v>
      </c>
      <c r="E734" s="4">
        <v>2038</v>
      </c>
      <c r="F734" s="4" t="s">
        <v>63</v>
      </c>
      <c r="G734" s="4" t="s">
        <v>29</v>
      </c>
      <c r="H734" s="4" t="s">
        <v>67</v>
      </c>
      <c r="I734" s="4" t="s">
        <v>41</v>
      </c>
      <c r="J734" s="4">
        <v>320</v>
      </c>
      <c r="K734" t="str">
        <f>TEXT(TIMEVALUE(H734)-TIMEVALUE(I733)+(TIMEVALUE(H734)&lt;TIMEVALUE(I733)),"[h]:mm")</f>
        <v>0:40</v>
      </c>
      <c r="L734" s="4" t="s">
        <v>66</v>
      </c>
      <c r="O734" t="str">
        <f>"LIM-"&amp;G733&amp;"-LIM   LA "&amp;E733&amp;" ("&amp;LEFT(H733,5)&amp;"-"&amp;LEFT(I733,5)&amp;" hrs)  /  LA "&amp;E734&amp;" ("&amp;LEFT(H734,5)&amp;"-"&amp;LEFT(I734,5)&amp;" hrs)"</f>
        <v>LIM-IQT-LIM   LA 2019 (11:35-13:25 hrs)  /  LA 2038 (14:05-15:55 hrs)</v>
      </c>
    </row>
    <row r="735" spans="2:24" ht="30" x14ac:dyDescent="0.25">
      <c r="B735" s="4">
        <v>817</v>
      </c>
      <c r="C735" s="4" t="s">
        <v>167</v>
      </c>
      <c r="D735" s="4" t="s">
        <v>96</v>
      </c>
      <c r="E735" s="4">
        <v>2213</v>
      </c>
      <c r="F735" s="4" t="s">
        <v>29</v>
      </c>
      <c r="G735" s="4" t="s">
        <v>37</v>
      </c>
      <c r="H735" s="4" t="s">
        <v>53</v>
      </c>
      <c r="I735" s="4" t="s">
        <v>127</v>
      </c>
      <c r="J735" s="4">
        <v>320</v>
      </c>
      <c r="K735" s="6" t="str">
        <f>TEXT(TIMEVALUE(H735)-TIMEVALUE(I734)+(TIMEVALUE(H735)&lt;TIMEVALUE(I734)),"[h]:mm")</f>
        <v>1:25</v>
      </c>
      <c r="L735" s="4" t="s">
        <v>40</v>
      </c>
      <c r="M735" t="str">
        <f>IF($M$733="","",$M$733)</f>
        <v/>
      </c>
      <c r="O735" t="str">
        <f>IF($O$733="","",$O$733)</f>
        <v/>
      </c>
      <c r="Q735" s="4">
        <f>B735</f>
        <v>817</v>
      </c>
      <c r="R735" s="4" t="str">
        <f>C735</f>
        <v>09/10/2026</v>
      </c>
      <c r="S735" s="4" t="str">
        <f>D735</f>
        <v>viernes</v>
      </c>
      <c r="T735" s="4" t="str">
        <f>E735&amp;"/"&amp;E736</f>
        <v>2213/2214</v>
      </c>
      <c r="U735" s="4" t="str">
        <f>F735&amp;"-"&amp;G735&amp;"-"&amp;F735</f>
        <v>LIM-CIX-LIM</v>
      </c>
      <c r="V735" s="4" t="str">
        <f>IF($M$733="","",$M$733)</f>
        <v/>
      </c>
      <c r="W735" s="4" t="str">
        <f>IF($O$733="","",$O$733)</f>
        <v/>
      </c>
      <c r="X735" s="4">
        <f>J735</f>
        <v>320</v>
      </c>
    </row>
    <row r="736" spans="2:24" ht="30" x14ac:dyDescent="0.25">
      <c r="B736" s="4">
        <v>817</v>
      </c>
      <c r="C736" s="4" t="s">
        <v>167</v>
      </c>
      <c r="D736" s="4" t="s">
        <v>96</v>
      </c>
      <c r="E736" s="4">
        <v>2214</v>
      </c>
      <c r="F736" s="4" t="s">
        <v>37</v>
      </c>
      <c r="G736" s="4" t="s">
        <v>29</v>
      </c>
      <c r="H736" s="4" t="s">
        <v>128</v>
      </c>
      <c r="I736" s="4" t="s">
        <v>129</v>
      </c>
      <c r="J736" s="4">
        <v>320</v>
      </c>
      <c r="K736" t="str">
        <f>TEXT(TIMEVALUE(H736)-TIMEVALUE(I735)+(TIMEVALUE(H736)&lt;TIMEVALUE(I735)),"[h]:mm")</f>
        <v>0:35</v>
      </c>
      <c r="L736" s="4" t="s">
        <v>61</v>
      </c>
      <c r="O736" t="str">
        <f>"LIM-"&amp;G735&amp;"-LIM   LA "&amp;E735&amp;" ("&amp;LEFT(H735,5)&amp;"-"&amp;LEFT(I735,5)&amp;" hrs)  /  LA "&amp;E736&amp;" ("&amp;LEFT(H736,5)&amp;"-"&amp;LEFT(I736,5)&amp;" hrs)"</f>
        <v>LIM-CIX-LIM   LA 2213 (17:20-18:50 hrs)  /  LA 2214 (19:25-20:40 hrs)</v>
      </c>
    </row>
    <row r="737" spans="2:24" x14ac:dyDescent="0.25">
      <c r="J737" s="7" t="s">
        <v>43</v>
      </c>
      <c r="K737" s="8" t="str">
        <f>TEXT(TIMEVALUE(I736)-TIMEVALUE(H733)+(I736&lt;H733),"[h]:mm")</f>
        <v>9:05</v>
      </c>
    </row>
    <row r="739" spans="2:24" ht="30" x14ac:dyDescent="0.25">
      <c r="B739" s="3" t="s">
        <v>9</v>
      </c>
      <c r="C739" s="3" t="s">
        <v>17</v>
      </c>
      <c r="D739" s="3" t="s">
        <v>18</v>
      </c>
      <c r="E739" s="3" t="s">
        <v>19</v>
      </c>
      <c r="F739" s="3" t="s">
        <v>20</v>
      </c>
      <c r="G739" s="3" t="s">
        <v>21</v>
      </c>
      <c r="H739" s="3" t="s">
        <v>22</v>
      </c>
      <c r="I739" s="3" t="s">
        <v>23</v>
      </c>
      <c r="J739" s="3" t="s">
        <v>24</v>
      </c>
      <c r="K739" s="3" t="s">
        <v>25</v>
      </c>
      <c r="L739" s="3" t="s">
        <v>26</v>
      </c>
    </row>
    <row r="740" spans="2:24" ht="30" x14ac:dyDescent="0.25">
      <c r="B740" s="4">
        <v>784</v>
      </c>
      <c r="C740" s="4" t="s">
        <v>167</v>
      </c>
      <c r="D740" s="4" t="s">
        <v>96</v>
      </c>
      <c r="E740" s="4">
        <v>2111</v>
      </c>
      <c r="F740" s="4" t="s">
        <v>29</v>
      </c>
      <c r="G740" s="4" t="s">
        <v>56</v>
      </c>
      <c r="H740" s="4" t="s">
        <v>103</v>
      </c>
      <c r="I740" s="4" t="s">
        <v>104</v>
      </c>
      <c r="J740" s="4">
        <v>319</v>
      </c>
      <c r="L740" s="4" t="s">
        <v>40</v>
      </c>
      <c r="M740" s="5"/>
      <c r="O740" s="5"/>
      <c r="Q740" s="4">
        <f>B740</f>
        <v>784</v>
      </c>
      <c r="R740" s="4" t="str">
        <f>C740</f>
        <v>09/10/2026</v>
      </c>
      <c r="S740" s="4" t="str">
        <f>D740</f>
        <v>viernes</v>
      </c>
      <c r="T740" s="4" t="str">
        <f>E740&amp;"/"&amp;E741</f>
        <v>2111/2110</v>
      </c>
      <c r="U740" s="4" t="str">
        <f>F740&amp;"-"&amp;G740&amp;"-"&amp;F740</f>
        <v>LIM-AQP-LIM</v>
      </c>
      <c r="V740" s="4" t="str">
        <f>IF($M$740="","",$M$740)</f>
        <v/>
      </c>
      <c r="W740" s="4" t="str">
        <f>IF($O$740="","",$O$740)</f>
        <v/>
      </c>
      <c r="X740" s="4">
        <f>J740</f>
        <v>319</v>
      </c>
    </row>
    <row r="741" spans="2:24" ht="30" x14ac:dyDescent="0.25">
      <c r="B741" s="4">
        <v>784</v>
      </c>
      <c r="C741" s="4" t="s">
        <v>167</v>
      </c>
      <c r="D741" s="4" t="s">
        <v>96</v>
      </c>
      <c r="E741" s="4">
        <v>2110</v>
      </c>
      <c r="F741" s="4" t="s">
        <v>56</v>
      </c>
      <c r="G741" s="4" t="s">
        <v>29</v>
      </c>
      <c r="H741" s="4" t="s">
        <v>84</v>
      </c>
      <c r="I741" s="4" t="s">
        <v>105</v>
      </c>
      <c r="J741" s="4">
        <v>319</v>
      </c>
      <c r="K741" t="str">
        <f>TEXT(TIMEVALUE(H741)-TIMEVALUE(I740)+(TIMEVALUE(H741)&lt;TIMEVALUE(I740)),"[h]:mm")</f>
        <v>4:40</v>
      </c>
      <c r="L741" s="4" t="s">
        <v>71</v>
      </c>
      <c r="O741" t="str">
        <f>"LIM-"&amp;G740&amp;"-LIM   LA "&amp;E740&amp;" ("&amp;LEFT(H740,5)&amp;"-"&amp;LEFT(I740,5)&amp;" hrs)  /  LA "&amp;E741&amp;" ("&amp;LEFT(H741,5)&amp;"-"&amp;LEFT(I741,5)&amp;" hrs)"</f>
        <v>LIM-AQP-LIM   LA 2111 (11:40-13:10 hrs)  /  LA 2110 (17:50-19:30 hrs)</v>
      </c>
    </row>
    <row r="742" spans="2:24" x14ac:dyDescent="0.25">
      <c r="J742" s="7" t="s">
        <v>43</v>
      </c>
      <c r="K742" s="8" t="str">
        <f>TEXT(TIMEVALUE(I741)-TIMEVALUE(H740)+(I741&lt;H740),"[h]:mm")</f>
        <v>7:50</v>
      </c>
    </row>
    <row r="744" spans="2:24" ht="30" x14ac:dyDescent="0.25">
      <c r="B744" s="3" t="s">
        <v>9</v>
      </c>
      <c r="C744" s="3" t="s">
        <v>17</v>
      </c>
      <c r="D744" s="3" t="s">
        <v>18</v>
      </c>
      <c r="E744" s="3" t="s">
        <v>19</v>
      </c>
      <c r="F744" s="3" t="s">
        <v>20</v>
      </c>
      <c r="G744" s="3" t="s">
        <v>21</v>
      </c>
      <c r="H744" s="3" t="s">
        <v>22</v>
      </c>
      <c r="I744" s="3" t="s">
        <v>23</v>
      </c>
      <c r="J744" s="3" t="s">
        <v>24</v>
      </c>
      <c r="K744" s="3" t="s">
        <v>25</v>
      </c>
      <c r="L744" s="3" t="s">
        <v>26</v>
      </c>
    </row>
    <row r="745" spans="2:24" ht="30" x14ac:dyDescent="0.25">
      <c r="B745" s="4">
        <v>786</v>
      </c>
      <c r="C745" s="4" t="s">
        <v>167</v>
      </c>
      <c r="D745" s="4" t="s">
        <v>96</v>
      </c>
      <c r="E745" s="4">
        <v>2356</v>
      </c>
      <c r="F745" s="4" t="s">
        <v>29</v>
      </c>
      <c r="G745" s="4" t="s">
        <v>30</v>
      </c>
      <c r="H745" s="4" t="s">
        <v>98</v>
      </c>
      <c r="I745" s="4" t="s">
        <v>106</v>
      </c>
      <c r="J745" s="4">
        <v>319</v>
      </c>
      <c r="L745" s="4" t="s">
        <v>93</v>
      </c>
      <c r="M745" s="5"/>
      <c r="O745" s="5"/>
      <c r="Q745" s="4">
        <f>B745</f>
        <v>786</v>
      </c>
      <c r="R745" s="4" t="str">
        <f>C745</f>
        <v>09/10/2026</v>
      </c>
      <c r="S745" s="4" t="str">
        <f>D745</f>
        <v>viernes</v>
      </c>
      <c r="T745" s="4" t="str">
        <f>E745&amp;"/"&amp;E746</f>
        <v>2356/2357</v>
      </c>
      <c r="U745" s="4" t="str">
        <f>F745&amp;"-"&amp;G745&amp;"-"&amp;F745</f>
        <v>LIM-CUZ-LIM</v>
      </c>
      <c r="V745" s="4" t="str">
        <f>IF($M$745="","",$M$745)</f>
        <v/>
      </c>
      <c r="W745" s="4" t="str">
        <f>IF($O$745="","",$O$745)</f>
        <v/>
      </c>
      <c r="X745" s="4">
        <f>J745</f>
        <v>319</v>
      </c>
    </row>
    <row r="746" spans="2:24" ht="30" x14ac:dyDescent="0.25">
      <c r="B746" s="4">
        <v>786</v>
      </c>
      <c r="C746" s="4" t="s">
        <v>167</v>
      </c>
      <c r="D746" s="4" t="s">
        <v>96</v>
      </c>
      <c r="E746" s="4">
        <v>2357</v>
      </c>
      <c r="F746" s="4" t="s">
        <v>30</v>
      </c>
      <c r="G746" s="4" t="s">
        <v>29</v>
      </c>
      <c r="H746" s="4" t="s">
        <v>107</v>
      </c>
      <c r="I746" s="4" t="s">
        <v>108</v>
      </c>
      <c r="J746" s="4">
        <v>319</v>
      </c>
      <c r="K746" t="str">
        <f>TEXT(TIMEVALUE(H746)-TIMEVALUE(I745)+(TIMEVALUE(H746)&lt;TIMEVALUE(I745)),"[h]:mm")</f>
        <v>0:40</v>
      </c>
      <c r="L746" s="4" t="s">
        <v>36</v>
      </c>
      <c r="O746" t="str">
        <f>"LIM-"&amp;G745&amp;"-LIM   LA "&amp;E745&amp;" ("&amp;LEFT(H745,5)&amp;"-"&amp;LEFT(I745,5)&amp;" hrs)  /  LA "&amp;E746&amp;" ("&amp;LEFT(H746,5)&amp;"-"&amp;LEFT(I746,5)&amp;" hrs)"</f>
        <v>LIM-CUZ-LIM   LA 2356 (12:10-13:35 hrs)  /  LA 2357 (14:15-15:50 hrs)</v>
      </c>
    </row>
    <row r="747" spans="2:24" x14ac:dyDescent="0.25">
      <c r="J747" s="7" t="s">
        <v>43</v>
      </c>
      <c r="K747" s="8" t="str">
        <f>TEXT(TIMEVALUE(I746)-TIMEVALUE(H745)+(I746&lt;H745),"[h]:mm")</f>
        <v>3:40</v>
      </c>
    </row>
    <row r="749" spans="2:24" ht="30" x14ac:dyDescent="0.25">
      <c r="B749" s="3" t="s">
        <v>9</v>
      </c>
      <c r="C749" s="3" t="s">
        <v>17</v>
      </c>
      <c r="D749" s="3" t="s">
        <v>18</v>
      </c>
      <c r="E749" s="3" t="s">
        <v>19</v>
      </c>
      <c r="F749" s="3" t="s">
        <v>20</v>
      </c>
      <c r="G749" s="3" t="s">
        <v>21</v>
      </c>
      <c r="H749" s="3" t="s">
        <v>22</v>
      </c>
      <c r="I749" s="3" t="s">
        <v>23</v>
      </c>
      <c r="J749" s="3" t="s">
        <v>24</v>
      </c>
      <c r="K749" s="3" t="s">
        <v>25</v>
      </c>
      <c r="L749" s="3" t="s">
        <v>26</v>
      </c>
    </row>
    <row r="750" spans="2:24" ht="30" x14ac:dyDescent="0.25">
      <c r="B750" s="4">
        <v>790</v>
      </c>
      <c r="C750" s="4" t="s">
        <v>167</v>
      </c>
      <c r="D750" s="4" t="s">
        <v>96</v>
      </c>
      <c r="E750" s="4">
        <v>2120</v>
      </c>
      <c r="F750" s="4" t="s">
        <v>29</v>
      </c>
      <c r="G750" s="4" t="s">
        <v>30</v>
      </c>
      <c r="H750" s="4" t="s">
        <v>123</v>
      </c>
      <c r="I750" s="4" t="s">
        <v>82</v>
      </c>
      <c r="J750" s="4">
        <v>320</v>
      </c>
      <c r="L750" s="4" t="s">
        <v>33</v>
      </c>
      <c r="M750" s="5"/>
      <c r="O750" s="5"/>
      <c r="Q750" s="4">
        <f>B750</f>
        <v>790</v>
      </c>
      <c r="R750" s="4" t="str">
        <f>C750</f>
        <v>09/10/2026</v>
      </c>
      <c r="S750" s="4" t="str">
        <f>D750</f>
        <v>viernes</v>
      </c>
      <c r="T750" s="4" t="str">
        <f>E750&amp;"/"&amp;E751</f>
        <v>2120/2121</v>
      </c>
      <c r="U750" s="4" t="str">
        <f>F750&amp;"-"&amp;G750&amp;"-"&amp;F750</f>
        <v>LIM-CUZ-LIM</v>
      </c>
      <c r="V750" s="4" t="str">
        <f>IF($M$750="","",$M$750)</f>
        <v/>
      </c>
      <c r="W750" s="4" t="str">
        <f>IF($O$750="","",$O$750)</f>
        <v/>
      </c>
      <c r="X750" s="4">
        <f>J750</f>
        <v>320</v>
      </c>
    </row>
    <row r="751" spans="2:24" ht="30" x14ac:dyDescent="0.25">
      <c r="B751" s="4">
        <v>790</v>
      </c>
      <c r="C751" s="4" t="s">
        <v>167</v>
      </c>
      <c r="D751" s="4" t="s">
        <v>96</v>
      </c>
      <c r="E751" s="4">
        <v>2121</v>
      </c>
      <c r="F751" s="4" t="s">
        <v>30</v>
      </c>
      <c r="G751" s="4" t="s">
        <v>29</v>
      </c>
      <c r="H751" s="4" t="s">
        <v>124</v>
      </c>
      <c r="I751" s="4" t="s">
        <v>90</v>
      </c>
      <c r="J751" s="4">
        <v>320</v>
      </c>
      <c r="K751" t="str">
        <f>TEXT(TIMEVALUE(H751)-TIMEVALUE(I750)+(TIMEVALUE(H751)&lt;TIMEVALUE(I750)),"[h]:mm")</f>
        <v>3:40</v>
      </c>
      <c r="L751" s="4" t="s">
        <v>36</v>
      </c>
      <c r="O751" t="str">
        <f>"LIM-"&amp;G750&amp;"-LIM   LA "&amp;E750&amp;" ("&amp;LEFT(H750,5)&amp;"-"&amp;LEFT(I750,5)&amp;" hrs)  /  LA "&amp;E751&amp;" ("&amp;LEFT(H751,5)&amp;"-"&amp;LEFT(I751,5)&amp;" hrs)"</f>
        <v>LIM-CUZ-LIM   LA 2120 (12:35-13:55 hrs)  /  LA 2121 (17:35-19:10 hrs)</v>
      </c>
    </row>
    <row r="752" spans="2:24" x14ac:dyDescent="0.25">
      <c r="J752" s="7" t="s">
        <v>43</v>
      </c>
      <c r="K752" s="8" t="str">
        <f>TEXT(TIMEVALUE(I751)-TIMEVALUE(H750)+(I751&lt;H750),"[h]:mm")</f>
        <v>6:35</v>
      </c>
    </row>
    <row r="754" spans="2:24" ht="30" x14ac:dyDescent="0.25">
      <c r="B754" s="3" t="s">
        <v>9</v>
      </c>
      <c r="C754" s="3" t="s">
        <v>17</v>
      </c>
      <c r="D754" s="3" t="s">
        <v>18</v>
      </c>
      <c r="E754" s="3" t="s">
        <v>19</v>
      </c>
      <c r="F754" s="3" t="s">
        <v>20</v>
      </c>
      <c r="G754" s="3" t="s">
        <v>21</v>
      </c>
      <c r="H754" s="3" t="s">
        <v>22</v>
      </c>
      <c r="I754" s="3" t="s">
        <v>23</v>
      </c>
      <c r="J754" s="3" t="s">
        <v>24</v>
      </c>
      <c r="K754" s="3" t="s">
        <v>25</v>
      </c>
      <c r="L754" s="3" t="s">
        <v>26</v>
      </c>
    </row>
    <row r="755" spans="2:24" ht="30" x14ac:dyDescent="0.25">
      <c r="B755" s="4">
        <v>792</v>
      </c>
      <c r="C755" s="4" t="s">
        <v>167</v>
      </c>
      <c r="D755" s="4" t="s">
        <v>96</v>
      </c>
      <c r="E755" s="4">
        <v>2043</v>
      </c>
      <c r="F755" s="4" t="s">
        <v>29</v>
      </c>
      <c r="G755" s="4" t="s">
        <v>56</v>
      </c>
      <c r="H755" s="4" t="s">
        <v>48</v>
      </c>
      <c r="I755" s="4" t="s">
        <v>107</v>
      </c>
      <c r="J755" s="4">
        <v>320</v>
      </c>
      <c r="L755" s="4" t="s">
        <v>40</v>
      </c>
      <c r="M755" s="5"/>
      <c r="O755" s="5"/>
      <c r="Q755" s="4">
        <f>B755</f>
        <v>792</v>
      </c>
      <c r="R755" s="4" t="str">
        <f>C755</f>
        <v>09/10/2026</v>
      </c>
      <c r="S755" s="4" t="str">
        <f>D755</f>
        <v>viernes</v>
      </c>
      <c r="T755" s="4" t="str">
        <f>E755&amp;"/"&amp;E756</f>
        <v>2043/2044</v>
      </c>
      <c r="U755" s="4" t="str">
        <f>F755&amp;"-"&amp;G755&amp;"-"&amp;F755</f>
        <v>LIM-AQP-LIM</v>
      </c>
      <c r="V755" s="4" t="str">
        <f>IF($M$755="","",$M$755)</f>
        <v/>
      </c>
      <c r="W755" s="4" t="str">
        <f>IF($O$755="","",$O$755)</f>
        <v/>
      </c>
      <c r="X755" s="4">
        <f>J755</f>
        <v>320</v>
      </c>
    </row>
    <row r="756" spans="2:24" ht="30" x14ac:dyDescent="0.25">
      <c r="B756" s="4">
        <v>792</v>
      </c>
      <c r="C756" s="4" t="s">
        <v>167</v>
      </c>
      <c r="D756" s="4" t="s">
        <v>96</v>
      </c>
      <c r="E756" s="4">
        <v>2044</v>
      </c>
      <c r="F756" s="4" t="s">
        <v>56</v>
      </c>
      <c r="G756" s="4" t="s">
        <v>29</v>
      </c>
      <c r="H756" s="4" t="s">
        <v>109</v>
      </c>
      <c r="I756" s="4" t="s">
        <v>52</v>
      </c>
      <c r="J756" s="4">
        <v>320</v>
      </c>
      <c r="K756" t="str">
        <f>TEXT(TIMEVALUE(H756)-TIMEVALUE(I755)+(TIMEVALUE(H756)&lt;TIMEVALUE(I755)),"[h]:mm")</f>
        <v>0:45</v>
      </c>
      <c r="L756" s="4" t="s">
        <v>36</v>
      </c>
      <c r="O756" t="str">
        <f>"LIM-"&amp;G755&amp;"-LIM   LA "&amp;E755&amp;" ("&amp;LEFT(H755,5)&amp;"-"&amp;LEFT(I755,5)&amp;" hrs)  /  LA "&amp;E756&amp;" ("&amp;LEFT(H756,5)&amp;"-"&amp;LEFT(I756,5)&amp;" hrs)"</f>
        <v>LIM-AQP-LIM   LA 2043 (12:45-14:15 hrs)  /  LA 2044 (15:00-16:35 hrs)</v>
      </c>
    </row>
    <row r="757" spans="2:24" x14ac:dyDescent="0.25">
      <c r="J757" s="7" t="s">
        <v>43</v>
      </c>
      <c r="K757" s="8" t="str">
        <f>TEXT(TIMEVALUE(I756)-TIMEVALUE(H755)+(I756&lt;H755),"[h]:mm")</f>
        <v>3:50</v>
      </c>
    </row>
    <row r="759" spans="2:24" ht="30" x14ac:dyDescent="0.25">
      <c r="B759" s="3" t="s">
        <v>9</v>
      </c>
      <c r="C759" s="3" t="s">
        <v>17</v>
      </c>
      <c r="D759" s="3" t="s">
        <v>18</v>
      </c>
      <c r="E759" s="3" t="s">
        <v>19</v>
      </c>
      <c r="F759" s="3" t="s">
        <v>20</v>
      </c>
      <c r="G759" s="3" t="s">
        <v>21</v>
      </c>
      <c r="H759" s="3" t="s">
        <v>22</v>
      </c>
      <c r="I759" s="3" t="s">
        <v>23</v>
      </c>
      <c r="J759" s="3" t="s">
        <v>24</v>
      </c>
      <c r="K759" s="3" t="s">
        <v>25</v>
      </c>
      <c r="L759" s="3" t="s">
        <v>26</v>
      </c>
    </row>
    <row r="760" spans="2:24" ht="30" x14ac:dyDescent="0.25">
      <c r="B760" s="4">
        <v>796</v>
      </c>
      <c r="C760" s="4" t="s">
        <v>167</v>
      </c>
      <c r="D760" s="4" t="s">
        <v>96</v>
      </c>
      <c r="E760" s="4">
        <v>2028</v>
      </c>
      <c r="F760" s="4" t="s">
        <v>29</v>
      </c>
      <c r="G760" s="4" t="s">
        <v>30</v>
      </c>
      <c r="H760" s="4" t="s">
        <v>65</v>
      </c>
      <c r="I760" s="4" t="s">
        <v>75</v>
      </c>
      <c r="J760" s="4">
        <v>320</v>
      </c>
      <c r="L760" s="4" t="s">
        <v>33</v>
      </c>
      <c r="M760" s="5"/>
      <c r="O760" s="5"/>
      <c r="Q760" s="4">
        <f>B760</f>
        <v>796</v>
      </c>
      <c r="R760" s="4" t="str">
        <f>C760</f>
        <v>09/10/2026</v>
      </c>
      <c r="S760" s="4" t="str">
        <f>D760</f>
        <v>viernes</v>
      </c>
      <c r="T760" s="4" t="str">
        <f>E760&amp;"/"&amp;E761</f>
        <v>2028/2029</v>
      </c>
      <c r="U760" s="4" t="str">
        <f>F760&amp;"-"&amp;G760&amp;"-"&amp;F760</f>
        <v>LIM-CUZ-LIM</v>
      </c>
      <c r="V760" s="4" t="str">
        <f>IF($M$760="","",$M$760)</f>
        <v/>
      </c>
      <c r="W760" s="4" t="str">
        <f>IF($O$760="","",$O$760)</f>
        <v/>
      </c>
      <c r="X760" s="4">
        <f>J760</f>
        <v>320</v>
      </c>
    </row>
    <row r="761" spans="2:24" ht="30" x14ac:dyDescent="0.25">
      <c r="B761" s="4">
        <v>796</v>
      </c>
      <c r="C761" s="4" t="s">
        <v>167</v>
      </c>
      <c r="D761" s="4" t="s">
        <v>96</v>
      </c>
      <c r="E761" s="4">
        <v>2029</v>
      </c>
      <c r="F761" s="4" t="s">
        <v>30</v>
      </c>
      <c r="G761" s="4" t="s">
        <v>29</v>
      </c>
      <c r="H761" s="4" t="s">
        <v>76</v>
      </c>
      <c r="I761" s="4" t="s">
        <v>77</v>
      </c>
      <c r="J761" s="4">
        <v>320</v>
      </c>
      <c r="K761" t="str">
        <f>TEXT(TIMEVALUE(H761)-TIMEVALUE(I760)+(TIMEVALUE(H761)&lt;TIMEVALUE(I760)),"[h]:mm")</f>
        <v>0:45</v>
      </c>
      <c r="L761" s="4" t="s">
        <v>36</v>
      </c>
      <c r="O761" t="str">
        <f>"LIM-"&amp;G760&amp;"-LIM   LA "&amp;E760&amp;" ("&amp;LEFT(H760,5)&amp;"-"&amp;LEFT(I760,5)&amp;" hrs)  /  LA "&amp;E761&amp;" ("&amp;LEFT(H761,5)&amp;"-"&amp;LEFT(I761,5)&amp;" hrs)"</f>
        <v>LIM-CUZ-LIM   LA 2028 (13:25-14:45 hrs)  /  LA 2029 (15:30-17:05 hrs)</v>
      </c>
    </row>
    <row r="762" spans="2:24" ht="30" x14ac:dyDescent="0.25">
      <c r="B762" s="4">
        <v>818</v>
      </c>
      <c r="C762" s="4" t="s">
        <v>167</v>
      </c>
      <c r="D762" s="4" t="s">
        <v>96</v>
      </c>
      <c r="E762" s="4">
        <v>2310</v>
      </c>
      <c r="F762" s="4" t="s">
        <v>29</v>
      </c>
      <c r="G762" s="4" t="s">
        <v>37</v>
      </c>
      <c r="H762" s="4" t="s">
        <v>111</v>
      </c>
      <c r="I762" s="4" t="s">
        <v>112</v>
      </c>
      <c r="J762" s="4">
        <v>320</v>
      </c>
      <c r="K762" s="6" t="str">
        <f>TEXT(TIMEVALUE(H762)-TIMEVALUE(I761)+(TIMEVALUE(H762)&lt;TIMEVALUE(I761)),"[h]:mm")</f>
        <v>1:10</v>
      </c>
      <c r="L762" s="4" t="s">
        <v>40</v>
      </c>
      <c r="M762" t="str">
        <f>IF($M$760="","",$M$760)</f>
        <v/>
      </c>
      <c r="O762" t="str">
        <f>IF($O$760="","",$O$760)</f>
        <v/>
      </c>
      <c r="Q762" s="4">
        <f>B762</f>
        <v>818</v>
      </c>
      <c r="R762" s="4" t="str">
        <f>C762</f>
        <v>09/10/2026</v>
      </c>
      <c r="S762" s="4" t="str">
        <f>D762</f>
        <v>viernes</v>
      </c>
      <c r="T762" s="4" t="str">
        <f>E762&amp;"/"&amp;E763</f>
        <v>2310/2311</v>
      </c>
      <c r="U762" s="4" t="str">
        <f>F762&amp;"-"&amp;G762&amp;"-"&amp;F762</f>
        <v>LIM-CIX-LIM</v>
      </c>
      <c r="V762" s="4" t="str">
        <f>IF($M$760="","",$M$760)</f>
        <v/>
      </c>
      <c r="W762" s="4" t="str">
        <f>IF($O$760="","",$O$760)</f>
        <v/>
      </c>
      <c r="X762" s="4">
        <f>J762</f>
        <v>320</v>
      </c>
    </row>
    <row r="763" spans="2:24" ht="30" x14ac:dyDescent="0.25">
      <c r="B763" s="4">
        <v>818</v>
      </c>
      <c r="C763" s="4" t="s">
        <v>167</v>
      </c>
      <c r="D763" s="4" t="s">
        <v>96</v>
      </c>
      <c r="E763" s="4">
        <v>2311</v>
      </c>
      <c r="F763" s="4" t="s">
        <v>37</v>
      </c>
      <c r="G763" s="4" t="s">
        <v>29</v>
      </c>
      <c r="H763" s="4" t="s">
        <v>113</v>
      </c>
      <c r="I763" s="4" t="s">
        <v>114</v>
      </c>
      <c r="J763" s="4">
        <v>320</v>
      </c>
      <c r="K763" t="str">
        <f>TEXT(TIMEVALUE(H763)-TIMEVALUE(I762)+(TIMEVALUE(H763)&lt;TIMEVALUE(I762)),"[h]:mm")</f>
        <v>0:35</v>
      </c>
      <c r="L763" s="4" t="s">
        <v>93</v>
      </c>
      <c r="O763" t="str">
        <f>"LIM-"&amp;G762&amp;"-LIM   LA "&amp;E762&amp;" ("&amp;LEFT(H762,5)&amp;"-"&amp;LEFT(I762,5)&amp;" hrs)  /  LA "&amp;E763&amp;" ("&amp;LEFT(H763,5)&amp;"-"&amp;LEFT(I763,5)&amp;" hrs)"</f>
        <v>LIM-CIX-LIM   LA 2310 (18:15-19:45 hrs)  /  LA 2311 (20:20-21:45 hrs)</v>
      </c>
    </row>
    <row r="764" spans="2:24" x14ac:dyDescent="0.25">
      <c r="J764" s="7" t="s">
        <v>43</v>
      </c>
      <c r="K764" s="8" t="str">
        <f>TEXT(TIMEVALUE(I763)-TIMEVALUE(H760)+(I763&lt;H760),"[h]:mm")</f>
        <v>8:20</v>
      </c>
    </row>
    <row r="766" spans="2:24" ht="30" x14ac:dyDescent="0.25">
      <c r="B766" s="3" t="s">
        <v>9</v>
      </c>
      <c r="C766" s="3" t="s">
        <v>17</v>
      </c>
      <c r="D766" s="3" t="s">
        <v>18</v>
      </c>
      <c r="E766" s="3" t="s">
        <v>19</v>
      </c>
      <c r="F766" s="3" t="s">
        <v>20</v>
      </c>
      <c r="G766" s="3" t="s">
        <v>21</v>
      </c>
      <c r="H766" s="3" t="s">
        <v>22</v>
      </c>
      <c r="I766" s="3" t="s">
        <v>23</v>
      </c>
      <c r="J766" s="3" t="s">
        <v>24</v>
      </c>
      <c r="K766" s="3" t="s">
        <v>25</v>
      </c>
      <c r="L766" s="3" t="s">
        <v>26</v>
      </c>
    </row>
    <row r="767" spans="2:24" ht="30" x14ac:dyDescent="0.25">
      <c r="B767" s="4">
        <v>797</v>
      </c>
      <c r="C767" s="4" t="s">
        <v>167</v>
      </c>
      <c r="D767" s="4" t="s">
        <v>96</v>
      </c>
      <c r="E767" s="4">
        <v>2028</v>
      </c>
      <c r="F767" s="4" t="s">
        <v>29</v>
      </c>
      <c r="G767" s="4" t="s">
        <v>30</v>
      </c>
      <c r="H767" s="4" t="s">
        <v>65</v>
      </c>
      <c r="I767" s="4" t="s">
        <v>75</v>
      </c>
      <c r="J767" s="4">
        <v>320</v>
      </c>
      <c r="L767" s="4" t="s">
        <v>33</v>
      </c>
      <c r="M767" s="5"/>
      <c r="O767" s="5"/>
      <c r="Q767" s="4">
        <f>B767</f>
        <v>797</v>
      </c>
      <c r="R767" s="4" t="str">
        <f>C767</f>
        <v>09/10/2026</v>
      </c>
      <c r="S767" s="4" t="str">
        <f>D767</f>
        <v>viernes</v>
      </c>
      <c r="T767" s="4" t="str">
        <f>E767&amp;"/"&amp;E768</f>
        <v>2028/2029</v>
      </c>
      <c r="U767" s="4" t="str">
        <f>F767&amp;"-"&amp;G767&amp;"-"&amp;F767</f>
        <v>LIM-CUZ-LIM</v>
      </c>
      <c r="V767" s="4" t="str">
        <f>IF($M$767="","",$M$767)</f>
        <v/>
      </c>
      <c r="W767" s="4" t="str">
        <f>IF($O$767="","",$O$767)</f>
        <v/>
      </c>
      <c r="X767" s="4">
        <f>J767</f>
        <v>320</v>
      </c>
    </row>
    <row r="768" spans="2:24" ht="30" x14ac:dyDescent="0.25">
      <c r="B768" s="4">
        <v>797</v>
      </c>
      <c r="C768" s="4" t="s">
        <v>167</v>
      </c>
      <c r="D768" s="4" t="s">
        <v>96</v>
      </c>
      <c r="E768" s="4">
        <v>2029</v>
      </c>
      <c r="F768" s="4" t="s">
        <v>30</v>
      </c>
      <c r="G768" s="4" t="s">
        <v>29</v>
      </c>
      <c r="H768" s="4" t="s">
        <v>76</v>
      </c>
      <c r="I768" s="4" t="s">
        <v>77</v>
      </c>
      <c r="J768" s="4">
        <v>320</v>
      </c>
      <c r="K768" t="str">
        <f>TEXT(TIMEVALUE(H768)-TIMEVALUE(I767)+(TIMEVALUE(H768)&lt;TIMEVALUE(I767)),"[h]:mm")</f>
        <v>0:45</v>
      </c>
      <c r="L768" s="4" t="s">
        <v>36</v>
      </c>
      <c r="O768" t="str">
        <f>"LIM-"&amp;G767&amp;"-LIM   LA "&amp;E767&amp;" ("&amp;LEFT(H767,5)&amp;"-"&amp;LEFT(I767,5)&amp;" hrs)  /  LA "&amp;E768&amp;" ("&amp;LEFT(H768,5)&amp;"-"&amp;LEFT(I768,5)&amp;" hrs)"</f>
        <v>LIM-CUZ-LIM   LA 2028 (13:25-14:45 hrs)  /  LA 2029 (15:30-17:05 hrs)</v>
      </c>
    </row>
    <row r="769" spans="2:24" x14ac:dyDescent="0.25">
      <c r="J769" s="7" t="s">
        <v>43</v>
      </c>
      <c r="K769" s="8" t="str">
        <f>TEXT(TIMEVALUE(I768)-TIMEVALUE(H767)+(I768&lt;H767),"[h]:mm")</f>
        <v>3:40</v>
      </c>
    </row>
    <row r="771" spans="2:24" ht="30" x14ac:dyDescent="0.25">
      <c r="B771" s="3" t="s">
        <v>9</v>
      </c>
      <c r="C771" s="3" t="s">
        <v>17</v>
      </c>
      <c r="D771" s="3" t="s">
        <v>18</v>
      </c>
      <c r="E771" s="3" t="s">
        <v>19</v>
      </c>
      <c r="F771" s="3" t="s">
        <v>20</v>
      </c>
      <c r="G771" s="3" t="s">
        <v>21</v>
      </c>
      <c r="H771" s="3" t="s">
        <v>22</v>
      </c>
      <c r="I771" s="3" t="s">
        <v>23</v>
      </c>
      <c r="J771" s="3" t="s">
        <v>24</v>
      </c>
      <c r="K771" s="3" t="s">
        <v>25</v>
      </c>
      <c r="L771" s="3" t="s">
        <v>26</v>
      </c>
    </row>
    <row r="772" spans="2:24" ht="30" x14ac:dyDescent="0.25">
      <c r="B772" s="4">
        <v>802</v>
      </c>
      <c r="C772" s="4" t="s">
        <v>167</v>
      </c>
      <c r="D772" s="4" t="s">
        <v>96</v>
      </c>
      <c r="E772" s="4">
        <v>2295</v>
      </c>
      <c r="F772" s="4" t="s">
        <v>29</v>
      </c>
      <c r="G772" s="4" t="s">
        <v>50</v>
      </c>
      <c r="H772" s="4" t="s">
        <v>110</v>
      </c>
      <c r="I772" s="4" t="s">
        <v>76</v>
      </c>
      <c r="J772" s="4">
        <v>320</v>
      </c>
      <c r="L772" s="4" t="s">
        <v>33</v>
      </c>
      <c r="M772" s="5"/>
      <c r="O772" s="5"/>
      <c r="Q772" s="4">
        <f>B772</f>
        <v>802</v>
      </c>
      <c r="R772" s="4" t="str">
        <f>C772</f>
        <v>09/10/2026</v>
      </c>
      <c r="S772" s="4" t="str">
        <f>D772</f>
        <v>viernes</v>
      </c>
      <c r="T772" s="4" t="str">
        <f>E772&amp;"/"&amp;E773</f>
        <v>2295/2294</v>
      </c>
      <c r="U772" s="4" t="str">
        <f>F772&amp;"-"&amp;G772&amp;"-"&amp;F772</f>
        <v>LIM-CJA-LIM</v>
      </c>
      <c r="V772" s="4" t="str">
        <f>IF($M$772="","",$M$772)</f>
        <v/>
      </c>
      <c r="W772" s="4" t="str">
        <f>IF($O$772="","",$O$772)</f>
        <v/>
      </c>
      <c r="X772" s="4">
        <f>J772</f>
        <v>320</v>
      </c>
    </row>
    <row r="773" spans="2:24" ht="30" x14ac:dyDescent="0.25">
      <c r="B773" s="4">
        <v>802</v>
      </c>
      <c r="C773" s="4" t="s">
        <v>167</v>
      </c>
      <c r="D773" s="4" t="s">
        <v>96</v>
      </c>
      <c r="E773" s="4">
        <v>2294</v>
      </c>
      <c r="F773" s="4" t="s">
        <v>50</v>
      </c>
      <c r="G773" s="4" t="s">
        <v>29</v>
      </c>
      <c r="H773" s="4" t="s">
        <v>83</v>
      </c>
      <c r="I773" s="4" t="s">
        <v>42</v>
      </c>
      <c r="J773" s="4">
        <v>320</v>
      </c>
      <c r="K773" t="str">
        <f>TEXT(TIMEVALUE(H773)-TIMEVALUE(I772)+(TIMEVALUE(H773)&lt;TIMEVALUE(I772)),"[h]:mm")</f>
        <v>0:40</v>
      </c>
      <c r="L773" s="4" t="s">
        <v>55</v>
      </c>
      <c r="O773" t="str">
        <f>"LIM-"&amp;G772&amp;"-LIM   LA "&amp;E772&amp;" ("&amp;LEFT(H772,5)&amp;"-"&amp;LEFT(I772,5)&amp;" hrs)  /  LA "&amp;E773&amp;" ("&amp;LEFT(H773,5)&amp;"-"&amp;LEFT(I773,5)&amp;" hrs)"</f>
        <v>LIM-CJA-LIM   LA 2295 (14:10-15:30 hrs)  /  LA 2294 (16:10-17:15 hrs)</v>
      </c>
    </row>
    <row r="774" spans="2:24" x14ac:dyDescent="0.25">
      <c r="J774" s="7" t="s">
        <v>43</v>
      </c>
      <c r="K774" s="8" t="str">
        <f>TEXT(TIMEVALUE(I773)-TIMEVALUE(H772)+(I773&lt;H772),"[h]:mm")</f>
        <v>3:05</v>
      </c>
    </row>
    <row r="776" spans="2:24" ht="30" x14ac:dyDescent="0.25">
      <c r="B776" s="3" t="s">
        <v>9</v>
      </c>
      <c r="C776" s="3" t="s">
        <v>17</v>
      </c>
      <c r="D776" s="3" t="s">
        <v>18</v>
      </c>
      <c r="E776" s="3" t="s">
        <v>19</v>
      </c>
      <c r="F776" s="3" t="s">
        <v>20</v>
      </c>
      <c r="G776" s="3" t="s">
        <v>21</v>
      </c>
      <c r="H776" s="3" t="s">
        <v>22</v>
      </c>
      <c r="I776" s="3" t="s">
        <v>23</v>
      </c>
      <c r="J776" s="3" t="s">
        <v>24</v>
      </c>
      <c r="K776" s="3" t="s">
        <v>25</v>
      </c>
      <c r="L776" s="3" t="s">
        <v>26</v>
      </c>
    </row>
    <row r="777" spans="2:24" ht="30" x14ac:dyDescent="0.25">
      <c r="B777" s="4">
        <v>803</v>
      </c>
      <c r="C777" s="4" t="s">
        <v>167</v>
      </c>
      <c r="D777" s="4" t="s">
        <v>96</v>
      </c>
      <c r="E777" s="4">
        <v>2154</v>
      </c>
      <c r="F777" s="4" t="s">
        <v>29</v>
      </c>
      <c r="G777" s="4" t="s">
        <v>30</v>
      </c>
      <c r="H777" s="4" t="s">
        <v>75</v>
      </c>
      <c r="I777" s="4" t="s">
        <v>85</v>
      </c>
      <c r="J777" s="4">
        <v>320</v>
      </c>
      <c r="L777" s="4" t="s">
        <v>33</v>
      </c>
      <c r="M777" s="5"/>
      <c r="O777" s="5"/>
      <c r="Q777" s="4">
        <f>B777</f>
        <v>803</v>
      </c>
      <c r="R777" s="4" t="str">
        <f>C777</f>
        <v>09/10/2026</v>
      </c>
      <c r="S777" s="4" t="str">
        <f>D777</f>
        <v>viernes</v>
      </c>
      <c r="T777" s="4" t="str">
        <f>E777&amp;"/"&amp;E778</f>
        <v>2154/2155</v>
      </c>
      <c r="U777" s="4" t="str">
        <f>F777&amp;"-"&amp;G777&amp;"-"&amp;F777</f>
        <v>LIM-CUZ-LIM</v>
      </c>
      <c r="V777" s="4" t="str">
        <f>IF($M$777="","",$M$777)</f>
        <v/>
      </c>
      <c r="W777" s="4" t="str">
        <f>IF($O$777="","",$O$777)</f>
        <v/>
      </c>
      <c r="X777" s="4">
        <f>J777</f>
        <v>320</v>
      </c>
    </row>
    <row r="778" spans="2:24" ht="30" x14ac:dyDescent="0.25">
      <c r="B778" s="4">
        <v>803</v>
      </c>
      <c r="C778" s="4" t="s">
        <v>167</v>
      </c>
      <c r="D778" s="4" t="s">
        <v>96</v>
      </c>
      <c r="E778" s="4">
        <v>2155</v>
      </c>
      <c r="F778" s="4" t="s">
        <v>30</v>
      </c>
      <c r="G778" s="4" t="s">
        <v>29</v>
      </c>
      <c r="H778" s="4" t="s">
        <v>86</v>
      </c>
      <c r="I778" s="4" t="s">
        <v>78</v>
      </c>
      <c r="J778" s="4">
        <v>320</v>
      </c>
      <c r="K778" t="str">
        <f>TEXT(TIMEVALUE(H778)-TIMEVALUE(I777)+(TIMEVALUE(H778)&lt;TIMEVALUE(I777)),"[h]:mm")</f>
        <v>0:40</v>
      </c>
      <c r="L778" s="4" t="s">
        <v>36</v>
      </c>
      <c r="O778" t="str">
        <f>"LIM-"&amp;G777&amp;"-LIM   LA "&amp;E777&amp;" ("&amp;LEFT(H777,5)&amp;"-"&amp;LEFT(I777,5)&amp;" hrs)  /  LA "&amp;E778&amp;" ("&amp;LEFT(H778,5)&amp;"-"&amp;LEFT(I778,5)&amp;" hrs)"</f>
        <v>LIM-CUZ-LIM   LA 2154 (14:45-16:05 hrs)  /  LA 2155 (16:45-18:20 hrs)</v>
      </c>
    </row>
    <row r="779" spans="2:24" x14ac:dyDescent="0.25">
      <c r="J779" s="7" t="s">
        <v>43</v>
      </c>
      <c r="K779" s="8" t="str">
        <f>TEXT(TIMEVALUE(I778)-TIMEVALUE(H777)+(I778&lt;H777),"[h]:mm")</f>
        <v>3:35</v>
      </c>
    </row>
    <row r="781" spans="2:24" ht="30" x14ac:dyDescent="0.25">
      <c r="B781" s="3" t="s">
        <v>9</v>
      </c>
      <c r="C781" s="3" t="s">
        <v>17</v>
      </c>
      <c r="D781" s="3" t="s">
        <v>18</v>
      </c>
      <c r="E781" s="3" t="s">
        <v>19</v>
      </c>
      <c r="F781" s="3" t="s">
        <v>20</v>
      </c>
      <c r="G781" s="3" t="s">
        <v>21</v>
      </c>
      <c r="H781" s="3" t="s">
        <v>22</v>
      </c>
      <c r="I781" s="3" t="s">
        <v>23</v>
      </c>
      <c r="J781" s="3" t="s">
        <v>24</v>
      </c>
      <c r="K781" s="3" t="s">
        <v>25</v>
      </c>
      <c r="L781" s="3" t="s">
        <v>26</v>
      </c>
    </row>
    <row r="782" spans="2:24" ht="30" x14ac:dyDescent="0.25">
      <c r="B782" s="4">
        <v>805</v>
      </c>
      <c r="C782" s="4" t="s">
        <v>167</v>
      </c>
      <c r="D782" s="4" t="s">
        <v>96</v>
      </c>
      <c r="E782" s="4">
        <v>2338</v>
      </c>
      <c r="F782" s="4" t="s">
        <v>29</v>
      </c>
      <c r="G782" s="4" t="s">
        <v>125</v>
      </c>
      <c r="H782" s="4" t="s">
        <v>109</v>
      </c>
      <c r="I782" s="4" t="s">
        <v>86</v>
      </c>
      <c r="J782" s="4">
        <v>319</v>
      </c>
      <c r="L782" s="4" t="s">
        <v>47</v>
      </c>
      <c r="M782" s="5"/>
      <c r="O782" s="5"/>
      <c r="Q782" s="4">
        <f>B782</f>
        <v>805</v>
      </c>
      <c r="R782" s="4" t="str">
        <f>C782</f>
        <v>09/10/2026</v>
      </c>
      <c r="S782" s="4" t="str">
        <f>D782</f>
        <v>viernes</v>
      </c>
      <c r="T782" s="4" t="str">
        <f>E782&amp;"/"&amp;E783</f>
        <v>2338/2339</v>
      </c>
      <c r="U782" s="4" t="str">
        <f>F782&amp;"-"&amp;G782&amp;"-"&amp;F782</f>
        <v>LIM-PIU-LIM</v>
      </c>
      <c r="V782" s="4" t="str">
        <f>IF($M$782="","",$M$782)</f>
        <v/>
      </c>
      <c r="W782" s="4" t="str">
        <f>IF($O$782="","",$O$782)</f>
        <v/>
      </c>
      <c r="X782" s="4">
        <f>J782</f>
        <v>319</v>
      </c>
    </row>
    <row r="783" spans="2:24" ht="30" x14ac:dyDescent="0.25">
      <c r="B783" s="4">
        <v>805</v>
      </c>
      <c r="C783" s="4" t="s">
        <v>167</v>
      </c>
      <c r="D783" s="4" t="s">
        <v>96</v>
      </c>
      <c r="E783" s="4">
        <v>2339</v>
      </c>
      <c r="F783" s="4" t="s">
        <v>125</v>
      </c>
      <c r="G783" s="4" t="s">
        <v>29</v>
      </c>
      <c r="H783" s="4" t="s">
        <v>53</v>
      </c>
      <c r="I783" s="4" t="s">
        <v>88</v>
      </c>
      <c r="J783" s="4">
        <v>319</v>
      </c>
      <c r="K783" t="str">
        <f>TEXT(TIMEVALUE(H783)-TIMEVALUE(I782)+(TIMEVALUE(H783)&lt;TIMEVALUE(I782)),"[h]:mm")</f>
        <v>0:35</v>
      </c>
      <c r="L783" s="4" t="s">
        <v>36</v>
      </c>
      <c r="O783" t="str">
        <f>"LIM-"&amp;G782&amp;"-LIM   LA "&amp;E782&amp;" ("&amp;LEFT(H782,5)&amp;"-"&amp;LEFT(I782,5)&amp;" hrs)  /  LA "&amp;E783&amp;" ("&amp;LEFT(H783,5)&amp;"-"&amp;LEFT(I783,5)&amp;" hrs)"</f>
        <v>LIM-PIU-LIM   LA 2338 (15:00-16:45 hrs)  /  LA 2339 (17:20-18:55 hrs)</v>
      </c>
    </row>
    <row r="784" spans="2:24" x14ac:dyDescent="0.25">
      <c r="J784" s="7" t="s">
        <v>43</v>
      </c>
      <c r="K784" s="8" t="str">
        <f>TEXT(TIMEVALUE(I783)-TIMEVALUE(H782)+(I783&lt;H782),"[h]:mm")</f>
        <v>3:55</v>
      </c>
    </row>
    <row r="786" spans="2:24" ht="30" x14ac:dyDescent="0.25">
      <c r="B786" s="3" t="s">
        <v>9</v>
      </c>
      <c r="C786" s="3" t="s">
        <v>17</v>
      </c>
      <c r="D786" s="3" t="s">
        <v>18</v>
      </c>
      <c r="E786" s="3" t="s">
        <v>19</v>
      </c>
      <c r="F786" s="3" t="s">
        <v>20</v>
      </c>
      <c r="G786" s="3" t="s">
        <v>21</v>
      </c>
      <c r="H786" s="3" t="s">
        <v>22</v>
      </c>
      <c r="I786" s="3" t="s">
        <v>23</v>
      </c>
      <c r="J786" s="3" t="s">
        <v>24</v>
      </c>
      <c r="K786" s="3" t="s">
        <v>25</v>
      </c>
      <c r="L786" s="3" t="s">
        <v>26</v>
      </c>
    </row>
    <row r="787" spans="2:24" ht="30" x14ac:dyDescent="0.25">
      <c r="B787" s="4">
        <v>810</v>
      </c>
      <c r="C787" s="4" t="s">
        <v>167</v>
      </c>
      <c r="D787" s="4" t="s">
        <v>96</v>
      </c>
      <c r="E787" s="4">
        <v>2312</v>
      </c>
      <c r="F787" s="4" t="s">
        <v>29</v>
      </c>
      <c r="G787" s="4" t="s">
        <v>37</v>
      </c>
      <c r="H787" s="4" t="s">
        <v>89</v>
      </c>
      <c r="I787" s="4" t="s">
        <v>77</v>
      </c>
      <c r="J787" s="4">
        <v>320</v>
      </c>
      <c r="L787" s="4" t="s">
        <v>40</v>
      </c>
      <c r="M787" s="5"/>
      <c r="O787" s="5"/>
      <c r="Q787" s="4">
        <f>B787</f>
        <v>810</v>
      </c>
      <c r="R787" s="4" t="str">
        <f>C787</f>
        <v>09/10/2026</v>
      </c>
      <c r="S787" s="4" t="str">
        <f>D787</f>
        <v>viernes</v>
      </c>
      <c r="T787" s="4" t="str">
        <f>E787&amp;"/"&amp;E788</f>
        <v>2312/2313</v>
      </c>
      <c r="U787" s="4" t="str">
        <f>F787&amp;"-"&amp;G787&amp;"-"&amp;F787</f>
        <v>LIM-CIX-LIM</v>
      </c>
      <c r="V787" s="4" t="str">
        <f>IF($M$787="","",$M$787)</f>
        <v/>
      </c>
      <c r="W787" s="4" t="str">
        <f>IF($O$787="","",$O$787)</f>
        <v/>
      </c>
      <c r="X787" s="4">
        <f>J787</f>
        <v>320</v>
      </c>
    </row>
    <row r="788" spans="2:24" ht="30" x14ac:dyDescent="0.25">
      <c r="B788" s="4">
        <v>810</v>
      </c>
      <c r="C788" s="4" t="s">
        <v>167</v>
      </c>
      <c r="D788" s="4" t="s">
        <v>96</v>
      </c>
      <c r="E788" s="4">
        <v>2313</v>
      </c>
      <c r="F788" s="4" t="s">
        <v>37</v>
      </c>
      <c r="G788" s="4" t="s">
        <v>29</v>
      </c>
      <c r="H788" s="4" t="s">
        <v>84</v>
      </c>
      <c r="I788" s="4" t="s">
        <v>90</v>
      </c>
      <c r="J788" s="4">
        <v>320</v>
      </c>
      <c r="K788" t="str">
        <f>TEXT(TIMEVALUE(H788)-TIMEVALUE(I787)+(TIMEVALUE(H788)&lt;TIMEVALUE(I787)),"[h]:mm")</f>
        <v>0:45</v>
      </c>
      <c r="L788" s="4" t="s">
        <v>33</v>
      </c>
      <c r="O788" t="str">
        <f>"LIM-"&amp;G787&amp;"-LIM   LA "&amp;E787&amp;" ("&amp;LEFT(H787,5)&amp;"-"&amp;LEFT(I787,5)&amp;" hrs)  /  LA "&amp;E788&amp;" ("&amp;LEFT(H788,5)&amp;"-"&amp;LEFT(I788,5)&amp;" hrs)"</f>
        <v>LIM-CIX-LIM   LA 2312 (15:35-17:05 hrs)  /  LA 2313 (17:50-19:10 hrs)</v>
      </c>
    </row>
    <row r="789" spans="2:24" x14ac:dyDescent="0.25">
      <c r="J789" s="7" t="s">
        <v>43</v>
      </c>
      <c r="K789" s="8" t="str">
        <f>TEXT(TIMEVALUE(I788)-TIMEVALUE(H787)+(I788&lt;H787),"[h]:mm")</f>
        <v>3:35</v>
      </c>
    </row>
    <row r="791" spans="2:24" ht="30" x14ac:dyDescent="0.25">
      <c r="B791" s="3" t="s">
        <v>9</v>
      </c>
      <c r="C791" s="3" t="s">
        <v>17</v>
      </c>
      <c r="D791" s="3" t="s">
        <v>18</v>
      </c>
      <c r="E791" s="3" t="s">
        <v>19</v>
      </c>
      <c r="F791" s="3" t="s">
        <v>20</v>
      </c>
      <c r="G791" s="3" t="s">
        <v>21</v>
      </c>
      <c r="H791" s="3" t="s">
        <v>22</v>
      </c>
      <c r="I791" s="3" t="s">
        <v>23</v>
      </c>
      <c r="J791" s="3" t="s">
        <v>24</v>
      </c>
      <c r="K791" s="3" t="s">
        <v>25</v>
      </c>
      <c r="L791" s="3" t="s">
        <v>26</v>
      </c>
    </row>
    <row r="792" spans="2:24" ht="30" x14ac:dyDescent="0.25">
      <c r="B792" s="4">
        <v>811</v>
      </c>
      <c r="C792" s="4" t="s">
        <v>167</v>
      </c>
      <c r="D792" s="4" t="s">
        <v>96</v>
      </c>
      <c r="E792" s="4">
        <v>2312</v>
      </c>
      <c r="F792" s="4" t="s">
        <v>29</v>
      </c>
      <c r="G792" s="4" t="s">
        <v>37</v>
      </c>
      <c r="H792" s="4" t="s">
        <v>89</v>
      </c>
      <c r="I792" s="4" t="s">
        <v>77</v>
      </c>
      <c r="J792" s="4">
        <v>320</v>
      </c>
      <c r="L792" s="4" t="s">
        <v>40</v>
      </c>
      <c r="M792" s="5"/>
      <c r="O792" s="5"/>
      <c r="Q792" s="4">
        <f>B792</f>
        <v>811</v>
      </c>
      <c r="R792" s="4" t="str">
        <f>C792</f>
        <v>09/10/2026</v>
      </c>
      <c r="S792" s="4" t="str">
        <f>D792</f>
        <v>viernes</v>
      </c>
      <c r="T792" s="4" t="str">
        <f>E792&amp;"/"&amp;E793</f>
        <v>2312/2313</v>
      </c>
      <c r="U792" s="4" t="str">
        <f>F792&amp;"-"&amp;G792&amp;"-"&amp;F792</f>
        <v>LIM-CIX-LIM</v>
      </c>
      <c r="V792" s="4" t="str">
        <f>IF($M$792="","",$M$792)</f>
        <v/>
      </c>
      <c r="W792" s="4" t="str">
        <f>IF($O$792="","",$O$792)</f>
        <v/>
      </c>
      <c r="X792" s="4">
        <f>J792</f>
        <v>320</v>
      </c>
    </row>
    <row r="793" spans="2:24" ht="30" x14ac:dyDescent="0.25">
      <c r="B793" s="4">
        <v>811</v>
      </c>
      <c r="C793" s="4" t="s">
        <v>167</v>
      </c>
      <c r="D793" s="4" t="s">
        <v>96</v>
      </c>
      <c r="E793" s="4">
        <v>2313</v>
      </c>
      <c r="F793" s="4" t="s">
        <v>37</v>
      </c>
      <c r="G793" s="4" t="s">
        <v>29</v>
      </c>
      <c r="H793" s="4" t="s">
        <v>84</v>
      </c>
      <c r="I793" s="4" t="s">
        <v>90</v>
      </c>
      <c r="J793" s="4">
        <v>320</v>
      </c>
      <c r="K793" t="str">
        <f>TEXT(TIMEVALUE(H793)-TIMEVALUE(I792)+(TIMEVALUE(H793)&lt;TIMEVALUE(I792)),"[h]:mm")</f>
        <v>0:45</v>
      </c>
      <c r="L793" s="4" t="s">
        <v>33</v>
      </c>
      <c r="O793" t="str">
        <f>"LIM-"&amp;G792&amp;"-LIM   LA "&amp;E792&amp;" ("&amp;LEFT(H792,5)&amp;"-"&amp;LEFT(I792,5)&amp;" hrs)  /  LA "&amp;E793&amp;" ("&amp;LEFT(H793,5)&amp;"-"&amp;LEFT(I793,5)&amp;" hrs)"</f>
        <v>LIM-CIX-LIM   LA 2312 (15:35-17:05 hrs)  /  LA 2313 (17:50-19:10 hrs)</v>
      </c>
    </row>
    <row r="794" spans="2:24" x14ac:dyDescent="0.25">
      <c r="J794" s="7" t="s">
        <v>43</v>
      </c>
      <c r="K794" s="8" t="str">
        <f>TEXT(TIMEVALUE(I793)-TIMEVALUE(H792)+(I793&lt;H792),"[h]:mm")</f>
        <v>3:35</v>
      </c>
    </row>
    <row r="796" spans="2:24" ht="30" x14ac:dyDescent="0.25">
      <c r="B796" s="3" t="s">
        <v>9</v>
      </c>
      <c r="C796" s="3" t="s">
        <v>17</v>
      </c>
      <c r="D796" s="3" t="s">
        <v>18</v>
      </c>
      <c r="E796" s="3" t="s">
        <v>19</v>
      </c>
      <c r="F796" s="3" t="s">
        <v>20</v>
      </c>
      <c r="G796" s="3" t="s">
        <v>21</v>
      </c>
      <c r="H796" s="3" t="s">
        <v>22</v>
      </c>
      <c r="I796" s="3" t="s">
        <v>23</v>
      </c>
      <c r="J796" s="3" t="s">
        <v>24</v>
      </c>
      <c r="K796" s="3" t="s">
        <v>25</v>
      </c>
      <c r="L796" s="3" t="s">
        <v>26</v>
      </c>
    </row>
    <row r="797" spans="2:24" ht="30" x14ac:dyDescent="0.25">
      <c r="B797" s="4">
        <v>812</v>
      </c>
      <c r="C797" s="4" t="s">
        <v>167</v>
      </c>
      <c r="D797" s="4" t="s">
        <v>96</v>
      </c>
      <c r="E797" s="4">
        <v>2301</v>
      </c>
      <c r="F797" s="4" t="s">
        <v>29</v>
      </c>
      <c r="G797" s="4" t="s">
        <v>91</v>
      </c>
      <c r="H797" s="4" t="s">
        <v>92</v>
      </c>
      <c r="I797" s="4" t="s">
        <v>77</v>
      </c>
      <c r="J797" s="4">
        <v>320</v>
      </c>
      <c r="L797" s="4" t="s">
        <v>93</v>
      </c>
      <c r="M797" s="5"/>
      <c r="O797" s="5"/>
      <c r="Q797" s="4">
        <f>B797</f>
        <v>812</v>
      </c>
      <c r="R797" s="4" t="str">
        <f>C797</f>
        <v>09/10/2026</v>
      </c>
      <c r="S797" s="4" t="str">
        <f>D797</f>
        <v>viernes</v>
      </c>
      <c r="T797" s="4" t="str">
        <f>E797&amp;"/"&amp;E798</f>
        <v>2301/2300</v>
      </c>
      <c r="U797" s="4" t="str">
        <f>F797&amp;"-"&amp;G797&amp;"-"&amp;F797</f>
        <v>LIM-TPP-LIM</v>
      </c>
      <c r="V797" s="4" t="str">
        <f>IF($M$797="","",$M$797)</f>
        <v/>
      </c>
      <c r="W797" s="4" t="str">
        <f>IF($O$797="","",$O$797)</f>
        <v/>
      </c>
      <c r="X797" s="4">
        <f>J797</f>
        <v>320</v>
      </c>
    </row>
    <row r="798" spans="2:24" ht="30" x14ac:dyDescent="0.25">
      <c r="B798" s="4">
        <v>812</v>
      </c>
      <c r="C798" s="4" t="s">
        <v>167</v>
      </c>
      <c r="D798" s="4" t="s">
        <v>96</v>
      </c>
      <c r="E798" s="4">
        <v>2300</v>
      </c>
      <c r="F798" s="4" t="s">
        <v>91</v>
      </c>
      <c r="G798" s="4" t="s">
        <v>29</v>
      </c>
      <c r="H798" s="4" t="s">
        <v>84</v>
      </c>
      <c r="I798" s="4" t="s">
        <v>94</v>
      </c>
      <c r="J798" s="4">
        <v>320</v>
      </c>
      <c r="K798" t="str">
        <f>TEXT(TIMEVALUE(H798)-TIMEVALUE(I797)+(TIMEVALUE(H798)&lt;TIMEVALUE(I797)),"[h]:mm")</f>
        <v>0:45</v>
      </c>
      <c r="L798" s="4" t="s">
        <v>93</v>
      </c>
      <c r="O798" t="str">
        <f>"LIM-"&amp;G797&amp;"-LIM   LA "&amp;E797&amp;" ("&amp;LEFT(H797,5)&amp;"-"&amp;LEFT(I797,5)&amp;" hrs)  /  LA "&amp;E798&amp;" ("&amp;LEFT(H798,5)&amp;"-"&amp;LEFT(I798,5)&amp;" hrs)"</f>
        <v>LIM-TPP-LIM   LA 2301 (15:40-17:05 hrs)  /  LA 2300 (17:50-19:15 hrs)</v>
      </c>
    </row>
    <row r="799" spans="2:24" x14ac:dyDescent="0.25">
      <c r="J799" s="7" t="s">
        <v>43</v>
      </c>
      <c r="K799" s="8" t="str">
        <f>TEXT(TIMEVALUE(I798)-TIMEVALUE(H797)+(I798&lt;H797),"[h]:mm")</f>
        <v>3:35</v>
      </c>
    </row>
    <row r="801" spans="2:24" ht="30" x14ac:dyDescent="0.25">
      <c r="B801" s="3" t="s">
        <v>9</v>
      </c>
      <c r="C801" s="3" t="s">
        <v>17</v>
      </c>
      <c r="D801" s="3" t="s">
        <v>18</v>
      </c>
      <c r="E801" s="3" t="s">
        <v>19</v>
      </c>
      <c r="F801" s="3" t="s">
        <v>20</v>
      </c>
      <c r="G801" s="3" t="s">
        <v>21</v>
      </c>
      <c r="H801" s="3" t="s">
        <v>22</v>
      </c>
      <c r="I801" s="3" t="s">
        <v>23</v>
      </c>
      <c r="J801" s="3" t="s">
        <v>24</v>
      </c>
      <c r="K801" s="3" t="s">
        <v>25</v>
      </c>
      <c r="L801" s="3" t="s">
        <v>26</v>
      </c>
    </row>
    <row r="802" spans="2:24" ht="30" x14ac:dyDescent="0.25">
      <c r="B802" s="4">
        <v>862</v>
      </c>
      <c r="C802" s="4" t="s">
        <v>168</v>
      </c>
      <c r="D802" s="4" t="s">
        <v>119</v>
      </c>
      <c r="E802" s="4">
        <v>2260</v>
      </c>
      <c r="F802" s="4" t="s">
        <v>29</v>
      </c>
      <c r="G802" s="4" t="s">
        <v>44</v>
      </c>
      <c r="H802" s="4" t="s">
        <v>45</v>
      </c>
      <c r="I802" s="4" t="s">
        <v>46</v>
      </c>
      <c r="J802" s="4">
        <v>320</v>
      </c>
      <c r="L802" s="4" t="s">
        <v>47</v>
      </c>
      <c r="M802" s="5"/>
      <c r="O802" s="5"/>
      <c r="Q802" s="4">
        <f>B802</f>
        <v>862</v>
      </c>
      <c r="R802" s="4" t="str">
        <f>C802</f>
        <v>10/10/2026</v>
      </c>
      <c r="S802" s="4" t="str">
        <f>D802</f>
        <v>sábado</v>
      </c>
      <c r="T802" s="4" t="str">
        <f>E802&amp;"/"&amp;E803</f>
        <v>2260/2261</v>
      </c>
      <c r="U802" s="4" t="str">
        <f>F802&amp;"-"&amp;G802&amp;"-"&amp;F802</f>
        <v>LIM-PEM-LIM</v>
      </c>
      <c r="V802" s="4" t="str">
        <f>IF($M$802="","",$M$802)</f>
        <v/>
      </c>
      <c r="W802" s="4" t="str">
        <f>IF($O$802="","",$O$802)</f>
        <v/>
      </c>
      <c r="X802" s="4">
        <f>J802</f>
        <v>320</v>
      </c>
    </row>
    <row r="803" spans="2:24" ht="30" x14ac:dyDescent="0.25">
      <c r="B803" s="4">
        <v>862</v>
      </c>
      <c r="C803" s="4" t="s">
        <v>168</v>
      </c>
      <c r="D803" s="4" t="s">
        <v>119</v>
      </c>
      <c r="E803" s="4">
        <v>2261</v>
      </c>
      <c r="F803" s="4" t="s">
        <v>44</v>
      </c>
      <c r="G803" s="4" t="s">
        <v>29</v>
      </c>
      <c r="H803" s="4" t="s">
        <v>48</v>
      </c>
      <c r="I803" s="4" t="s">
        <v>49</v>
      </c>
      <c r="J803" s="4">
        <v>320</v>
      </c>
      <c r="K803" t="str">
        <f>TEXT(TIMEVALUE(H803)-TIMEVALUE(I802)+(TIMEVALUE(H803)&lt;TIMEVALUE(I802)),"[h]:mm")</f>
        <v>0:40</v>
      </c>
      <c r="L803" s="4" t="s">
        <v>36</v>
      </c>
      <c r="O803" t="str">
        <f>"LIM-"&amp;G802&amp;"-LIM   LA "&amp;E802&amp;" ("&amp;LEFT(H802,5)&amp;"-"&amp;LEFT(I802,5)&amp;" hrs)  /  LA "&amp;E803&amp;" ("&amp;LEFT(H803,5)&amp;"-"&amp;LEFT(I803,5)&amp;" hrs)"</f>
        <v>LIM-PEM-LIM   LA 2260 (10:20-12:05 hrs)  /  LA 2261 (12:45-14:20 hrs)</v>
      </c>
    </row>
    <row r="804" spans="2:24" ht="30" x14ac:dyDescent="0.25">
      <c r="B804" s="4">
        <v>888</v>
      </c>
      <c r="C804" s="4" t="s">
        <v>168</v>
      </c>
      <c r="D804" s="4" t="s">
        <v>119</v>
      </c>
      <c r="E804" s="4">
        <v>2297</v>
      </c>
      <c r="F804" s="4" t="s">
        <v>29</v>
      </c>
      <c r="G804" s="4" t="s">
        <v>50</v>
      </c>
      <c r="H804" s="4" t="s">
        <v>51</v>
      </c>
      <c r="I804" s="4" t="s">
        <v>52</v>
      </c>
      <c r="J804" s="4">
        <v>320</v>
      </c>
      <c r="K804" s="6" t="str">
        <f>TEXT(TIMEVALUE(H804)-TIMEVALUE(I803)+(TIMEVALUE(H804)&lt;TIMEVALUE(I803)),"[h]:mm")</f>
        <v>0:55</v>
      </c>
      <c r="L804" s="4" t="s">
        <v>33</v>
      </c>
      <c r="M804" t="str">
        <f>IF($M$802="","",$M$802)</f>
        <v/>
      </c>
      <c r="O804" t="str">
        <f>IF($O$802="","",$O$802)</f>
        <v/>
      </c>
      <c r="Q804" s="4">
        <f>B804</f>
        <v>888</v>
      </c>
      <c r="R804" s="4" t="str">
        <f>C804</f>
        <v>10/10/2026</v>
      </c>
      <c r="S804" s="4" t="str">
        <f>D804</f>
        <v>sábado</v>
      </c>
      <c r="T804" s="4" t="str">
        <f>E804&amp;"/"&amp;E805</f>
        <v>2297/2296</v>
      </c>
      <c r="U804" s="4" t="str">
        <f>F804&amp;"-"&amp;G804&amp;"-"&amp;F804</f>
        <v>LIM-CJA-LIM</v>
      </c>
      <c r="V804" s="4" t="str">
        <f>IF($M$802="","",$M$802)</f>
        <v/>
      </c>
      <c r="W804" s="4" t="str">
        <f>IF($O$802="","",$O$802)</f>
        <v/>
      </c>
      <c r="X804" s="4">
        <f>J804</f>
        <v>320</v>
      </c>
    </row>
    <row r="805" spans="2:24" ht="30" x14ac:dyDescent="0.25">
      <c r="B805" s="4">
        <v>888</v>
      </c>
      <c r="C805" s="4" t="s">
        <v>168</v>
      </c>
      <c r="D805" s="4" t="s">
        <v>119</v>
      </c>
      <c r="E805" s="4">
        <v>2296</v>
      </c>
      <c r="F805" s="4" t="s">
        <v>50</v>
      </c>
      <c r="G805" s="4" t="s">
        <v>29</v>
      </c>
      <c r="H805" s="4" t="s">
        <v>53</v>
      </c>
      <c r="I805" s="4" t="s">
        <v>54</v>
      </c>
      <c r="J805" s="4">
        <v>320</v>
      </c>
      <c r="K805" t="str">
        <f>TEXT(TIMEVALUE(H805)-TIMEVALUE(I804)+(TIMEVALUE(H805)&lt;TIMEVALUE(I804)),"[h]:mm")</f>
        <v>0:45</v>
      </c>
      <c r="L805" s="4" t="s">
        <v>55</v>
      </c>
      <c r="O805" t="str">
        <f>"LIM-"&amp;G804&amp;"-LIM   LA "&amp;E804&amp;" ("&amp;LEFT(H804,5)&amp;"-"&amp;LEFT(I804,5)&amp;" hrs)  /  LA "&amp;E805&amp;" ("&amp;LEFT(H805,5)&amp;"-"&amp;LEFT(I805,5)&amp;" hrs)"</f>
        <v>LIM-CJA-LIM   LA 2297 (15:15-16:35 hrs)  /  LA 2296 (17:20-18:25 hrs)</v>
      </c>
    </row>
    <row r="806" spans="2:24" x14ac:dyDescent="0.25">
      <c r="J806" s="7" t="s">
        <v>43</v>
      </c>
      <c r="K806" s="8" t="str">
        <f>TEXT(TIMEVALUE(I805)-TIMEVALUE(H802)+(I805&lt;H802),"[h]:mm")</f>
        <v>8:05</v>
      </c>
    </row>
    <row r="808" spans="2:24" ht="30" x14ac:dyDescent="0.25">
      <c r="B808" s="3" t="s">
        <v>9</v>
      </c>
      <c r="C808" s="3" t="s">
        <v>17</v>
      </c>
      <c r="D808" s="3" t="s">
        <v>18</v>
      </c>
      <c r="E808" s="3" t="s">
        <v>19</v>
      </c>
      <c r="F808" s="3" t="s">
        <v>20</v>
      </c>
      <c r="G808" s="3" t="s">
        <v>21</v>
      </c>
      <c r="H808" s="3" t="s">
        <v>22</v>
      </c>
      <c r="I808" s="3" t="s">
        <v>23</v>
      </c>
      <c r="J808" s="3" t="s">
        <v>24</v>
      </c>
      <c r="K808" s="3" t="s">
        <v>25</v>
      </c>
      <c r="L808" s="3" t="s">
        <v>26</v>
      </c>
    </row>
    <row r="809" spans="2:24" ht="30" x14ac:dyDescent="0.25">
      <c r="B809" s="4">
        <v>863</v>
      </c>
      <c r="C809" s="4" t="s">
        <v>168</v>
      </c>
      <c r="D809" s="4" t="s">
        <v>119</v>
      </c>
      <c r="E809" s="4">
        <v>2015</v>
      </c>
      <c r="F809" s="4" t="s">
        <v>29</v>
      </c>
      <c r="G809" s="4" t="s">
        <v>125</v>
      </c>
      <c r="H809" s="4" t="s">
        <v>169</v>
      </c>
      <c r="I809" s="4" t="s">
        <v>170</v>
      </c>
      <c r="J809" s="4">
        <v>320</v>
      </c>
      <c r="L809" s="4" t="s">
        <v>47</v>
      </c>
      <c r="M809" s="5"/>
      <c r="O809" s="5"/>
      <c r="Q809" s="4">
        <f>B809</f>
        <v>863</v>
      </c>
      <c r="R809" s="4" t="str">
        <f>C809</f>
        <v>10/10/2026</v>
      </c>
      <c r="S809" s="4" t="str">
        <f>D809</f>
        <v>sábado</v>
      </c>
      <c r="T809" s="4" t="str">
        <f>E809&amp;"/"&amp;E810</f>
        <v>2015/2016</v>
      </c>
      <c r="U809" s="4" t="str">
        <f>F809&amp;"-"&amp;G809&amp;"-"&amp;F809</f>
        <v>LIM-PIU-LIM</v>
      </c>
      <c r="V809" s="4" t="str">
        <f>IF($M$809="","",$M$809)</f>
        <v/>
      </c>
      <c r="W809" s="4" t="str">
        <f>IF($O$809="","",$O$809)</f>
        <v/>
      </c>
      <c r="X809" s="4">
        <f>J809</f>
        <v>320</v>
      </c>
    </row>
    <row r="810" spans="2:24" ht="30" x14ac:dyDescent="0.25">
      <c r="B810" s="4">
        <v>863</v>
      </c>
      <c r="C810" s="4" t="s">
        <v>168</v>
      </c>
      <c r="D810" s="4" t="s">
        <v>119</v>
      </c>
      <c r="E810" s="4">
        <v>2016</v>
      </c>
      <c r="F810" s="4" t="s">
        <v>125</v>
      </c>
      <c r="G810" s="4" t="s">
        <v>29</v>
      </c>
      <c r="H810" s="4" t="s">
        <v>171</v>
      </c>
      <c r="I810" s="4" t="s">
        <v>87</v>
      </c>
      <c r="J810" s="4">
        <v>320</v>
      </c>
      <c r="K810" t="str">
        <f>TEXT(TIMEVALUE(H810)-TIMEVALUE(I809)+(TIMEVALUE(H810)&lt;TIMEVALUE(I809)),"[h]:mm")</f>
        <v>0:40</v>
      </c>
      <c r="L810" s="4" t="s">
        <v>36</v>
      </c>
      <c r="O810" t="str">
        <f>"LIM-"&amp;G809&amp;"-LIM   LA "&amp;E809&amp;" ("&amp;LEFT(H809,5)&amp;"-"&amp;LEFT(I809,5)&amp;" hrs)  /  LA "&amp;E810&amp;" ("&amp;LEFT(H810,5)&amp;"-"&amp;LEFT(I810,5)&amp;" hrs)"</f>
        <v>LIM-PIU-LIM   LA 2015 (10:55-12:40 hrs)  /  LA 2016 (13:20-14:55 hrs)</v>
      </c>
    </row>
    <row r="811" spans="2:24" x14ac:dyDescent="0.25">
      <c r="J811" s="7" t="s">
        <v>43</v>
      </c>
      <c r="K811" s="8" t="str">
        <f>TEXT(TIMEVALUE(I810)-TIMEVALUE(H809)+(I810&lt;H809),"[h]:mm")</f>
        <v>4:00</v>
      </c>
    </row>
    <row r="813" spans="2:24" ht="30" x14ac:dyDescent="0.25">
      <c r="B813" s="3" t="s">
        <v>9</v>
      </c>
      <c r="C813" s="3" t="s">
        <v>17</v>
      </c>
      <c r="D813" s="3" t="s">
        <v>18</v>
      </c>
      <c r="E813" s="3" t="s">
        <v>19</v>
      </c>
      <c r="F813" s="3" t="s">
        <v>20</v>
      </c>
      <c r="G813" s="3" t="s">
        <v>21</v>
      </c>
      <c r="H813" s="3" t="s">
        <v>22</v>
      </c>
      <c r="I813" s="3" t="s">
        <v>23</v>
      </c>
      <c r="J813" s="3" t="s">
        <v>24</v>
      </c>
      <c r="K813" s="3" t="s">
        <v>25</v>
      </c>
      <c r="L813" s="3" t="s">
        <v>26</v>
      </c>
    </row>
    <row r="814" spans="2:24" ht="30" x14ac:dyDescent="0.25">
      <c r="B814" s="4">
        <v>864</v>
      </c>
      <c r="C814" s="4" t="s">
        <v>168</v>
      </c>
      <c r="D814" s="4" t="s">
        <v>119</v>
      </c>
      <c r="E814" s="4">
        <v>2299</v>
      </c>
      <c r="F814" s="4" t="s">
        <v>29</v>
      </c>
      <c r="G814" s="4" t="s">
        <v>50</v>
      </c>
      <c r="H814" s="4" t="s">
        <v>64</v>
      </c>
      <c r="I814" s="4" t="s">
        <v>35</v>
      </c>
      <c r="J814" s="4">
        <v>320</v>
      </c>
      <c r="L814" s="4" t="s">
        <v>33</v>
      </c>
      <c r="M814" s="5"/>
      <c r="O814" s="5"/>
      <c r="Q814" s="4">
        <f>B814</f>
        <v>864</v>
      </c>
      <c r="R814" s="4" t="str">
        <f>C814</f>
        <v>10/10/2026</v>
      </c>
      <c r="S814" s="4" t="str">
        <f>D814</f>
        <v>sábado</v>
      </c>
      <c r="T814" s="4" t="str">
        <f>E814&amp;"/"&amp;E815</f>
        <v>2299/2298</v>
      </c>
      <c r="U814" s="4" t="str">
        <f>F814&amp;"-"&amp;G814&amp;"-"&amp;F814</f>
        <v>LIM-CJA-LIM</v>
      </c>
      <c r="V814" s="4" t="str">
        <f>IF($M$814="","",$M$814)</f>
        <v/>
      </c>
      <c r="W814" s="4" t="str">
        <f>IF($O$814="","",$O$814)</f>
        <v/>
      </c>
      <c r="X814" s="4">
        <f>J814</f>
        <v>320</v>
      </c>
    </row>
    <row r="815" spans="2:24" ht="30" x14ac:dyDescent="0.25">
      <c r="B815" s="4">
        <v>864</v>
      </c>
      <c r="C815" s="4" t="s">
        <v>168</v>
      </c>
      <c r="D815" s="4" t="s">
        <v>119</v>
      </c>
      <c r="E815" s="4">
        <v>2298</v>
      </c>
      <c r="F815" s="4" t="s">
        <v>50</v>
      </c>
      <c r="G815" s="4" t="s">
        <v>29</v>
      </c>
      <c r="H815" s="4" t="s">
        <v>72</v>
      </c>
      <c r="I815" s="4" t="s">
        <v>73</v>
      </c>
      <c r="J815" s="4">
        <v>320</v>
      </c>
      <c r="K815" t="str">
        <f>TEXT(TIMEVALUE(H815)-TIMEVALUE(I814)+(TIMEVALUE(H815)&lt;TIMEVALUE(I814)),"[h]:mm")</f>
        <v>0:45</v>
      </c>
      <c r="L815" s="4" t="s">
        <v>74</v>
      </c>
      <c r="O815" t="str">
        <f>"LIM-"&amp;G814&amp;"-LIM   LA "&amp;E814&amp;" ("&amp;LEFT(H814,5)&amp;"-"&amp;LEFT(I814,5)&amp;" hrs)  /  LA "&amp;E815&amp;" ("&amp;LEFT(H815,5)&amp;"-"&amp;LEFT(I815,5)&amp;" hrs)"</f>
        <v>LIM-CJA-LIM   LA 2299 (11:35-12:55 hrs)  /  LA 2298 (13:40-14:50 hrs)</v>
      </c>
    </row>
    <row r="816" spans="2:24" x14ac:dyDescent="0.25">
      <c r="J816" s="7" t="s">
        <v>43</v>
      </c>
      <c r="K816" s="8" t="str">
        <f>TEXT(TIMEVALUE(I815)-TIMEVALUE(H814)+(I815&lt;H814),"[h]:mm")</f>
        <v>3:15</v>
      </c>
    </row>
    <row r="818" spans="2:24" ht="30" x14ac:dyDescent="0.25">
      <c r="B818" s="3" t="s">
        <v>9</v>
      </c>
      <c r="C818" s="3" t="s">
        <v>17</v>
      </c>
      <c r="D818" s="3" t="s">
        <v>18</v>
      </c>
      <c r="E818" s="3" t="s">
        <v>19</v>
      </c>
      <c r="F818" s="3" t="s">
        <v>20</v>
      </c>
      <c r="G818" s="3" t="s">
        <v>21</v>
      </c>
      <c r="H818" s="3" t="s">
        <v>22</v>
      </c>
      <c r="I818" s="3" t="s">
        <v>23</v>
      </c>
      <c r="J818" s="3" t="s">
        <v>24</v>
      </c>
      <c r="K818" s="3" t="s">
        <v>25</v>
      </c>
      <c r="L818" s="3" t="s">
        <v>26</v>
      </c>
    </row>
    <row r="819" spans="2:24" ht="30" x14ac:dyDescent="0.25">
      <c r="B819" s="4">
        <v>866</v>
      </c>
      <c r="C819" s="4" t="s">
        <v>168</v>
      </c>
      <c r="D819" s="4" t="s">
        <v>119</v>
      </c>
      <c r="E819" s="4">
        <v>2061</v>
      </c>
      <c r="F819" s="4" t="s">
        <v>29</v>
      </c>
      <c r="G819" s="4" t="s">
        <v>30</v>
      </c>
      <c r="H819" s="4" t="s">
        <v>103</v>
      </c>
      <c r="I819" s="4" t="s">
        <v>120</v>
      </c>
      <c r="J819" s="4">
        <v>320</v>
      </c>
      <c r="L819" s="4" t="s">
        <v>33</v>
      </c>
      <c r="M819" s="5"/>
      <c r="O819" s="5"/>
      <c r="Q819" s="4">
        <f>B819</f>
        <v>866</v>
      </c>
      <c r="R819" s="4" t="str">
        <f>C819</f>
        <v>10/10/2026</v>
      </c>
      <c r="S819" s="4" t="str">
        <f>D819</f>
        <v>sábado</v>
      </c>
      <c r="T819" s="4" t="str">
        <f>E819&amp;"/"&amp;E820</f>
        <v>2061/2062</v>
      </c>
      <c r="U819" s="4" t="str">
        <f>F819&amp;"-"&amp;G819&amp;"-"&amp;F819</f>
        <v>LIM-CUZ-LIM</v>
      </c>
      <c r="V819" s="4" t="str">
        <f>IF($M$819="","",$M$819)</f>
        <v/>
      </c>
      <c r="W819" s="4" t="str">
        <f>IF($O$819="","",$O$819)</f>
        <v/>
      </c>
      <c r="X819" s="4">
        <f>J819</f>
        <v>320</v>
      </c>
    </row>
    <row r="820" spans="2:24" ht="30" x14ac:dyDescent="0.25">
      <c r="B820" s="4">
        <v>866</v>
      </c>
      <c r="C820" s="4" t="s">
        <v>168</v>
      </c>
      <c r="D820" s="4" t="s">
        <v>119</v>
      </c>
      <c r="E820" s="4">
        <v>2062</v>
      </c>
      <c r="F820" s="4" t="s">
        <v>30</v>
      </c>
      <c r="G820" s="4" t="s">
        <v>29</v>
      </c>
      <c r="H820" s="4" t="s">
        <v>72</v>
      </c>
      <c r="I820" s="4" t="s">
        <v>51</v>
      </c>
      <c r="J820" s="4">
        <v>320</v>
      </c>
      <c r="K820" t="str">
        <f>TEXT(TIMEVALUE(H820)-TIMEVALUE(I819)+(TIMEVALUE(H820)&lt;TIMEVALUE(I819)),"[h]:mm")</f>
        <v>0:40</v>
      </c>
      <c r="L820" s="4" t="s">
        <v>36</v>
      </c>
      <c r="O820" t="str">
        <f>"LIM-"&amp;G819&amp;"-LIM   LA "&amp;E819&amp;" ("&amp;LEFT(H819,5)&amp;"-"&amp;LEFT(I819,5)&amp;" hrs)  /  LA "&amp;E820&amp;" ("&amp;LEFT(H820,5)&amp;"-"&amp;LEFT(I820,5)&amp;" hrs)"</f>
        <v>LIM-CUZ-LIM   LA 2061 (11:40-13:00 hrs)  /  LA 2062 (13:40-15:15 hrs)</v>
      </c>
    </row>
    <row r="821" spans="2:24" ht="30" x14ac:dyDescent="0.25">
      <c r="B821" s="4">
        <v>894</v>
      </c>
      <c r="C821" s="4" t="s">
        <v>168</v>
      </c>
      <c r="D821" s="4" t="s">
        <v>119</v>
      </c>
      <c r="E821" s="4">
        <v>2276</v>
      </c>
      <c r="F821" s="4" t="s">
        <v>29</v>
      </c>
      <c r="G821" s="4" t="s">
        <v>30</v>
      </c>
      <c r="H821" s="4" t="s">
        <v>52</v>
      </c>
      <c r="I821" s="4" t="s">
        <v>121</v>
      </c>
      <c r="J821" s="4">
        <v>320</v>
      </c>
      <c r="K821" s="6" t="str">
        <f>TEXT(TIMEVALUE(H821)-TIMEVALUE(I820)+(TIMEVALUE(H821)&lt;TIMEVALUE(I820)),"[h]:mm")</f>
        <v>1:20</v>
      </c>
      <c r="L821" s="4" t="s">
        <v>33</v>
      </c>
      <c r="M821" t="str">
        <f>IF($M$819="","",$M$819)</f>
        <v/>
      </c>
      <c r="O821" t="str">
        <f>IF($O$819="","",$O$819)</f>
        <v/>
      </c>
      <c r="Q821" s="4">
        <f>B821</f>
        <v>894</v>
      </c>
      <c r="R821" s="4" t="str">
        <f>C821</f>
        <v>10/10/2026</v>
      </c>
      <c r="S821" s="4" t="str">
        <f>D821</f>
        <v>sábado</v>
      </c>
      <c r="T821" s="4" t="str">
        <f>E821&amp;"/"&amp;E822</f>
        <v>2276/2277</v>
      </c>
      <c r="U821" s="4" t="str">
        <f>F821&amp;"-"&amp;G821&amp;"-"&amp;F821</f>
        <v>LIM-CUZ-LIM</v>
      </c>
      <c r="V821" s="4" t="str">
        <f>IF($M$819="","",$M$819)</f>
        <v/>
      </c>
      <c r="W821" s="4" t="str">
        <f>IF($O$819="","",$O$819)</f>
        <v/>
      </c>
      <c r="X821" s="4">
        <f>J821</f>
        <v>320</v>
      </c>
    </row>
    <row r="822" spans="2:24" ht="30" x14ac:dyDescent="0.25">
      <c r="B822" s="4">
        <v>894</v>
      </c>
      <c r="C822" s="4" t="s">
        <v>168</v>
      </c>
      <c r="D822" s="4" t="s">
        <v>119</v>
      </c>
      <c r="E822" s="4">
        <v>2277</v>
      </c>
      <c r="F822" s="4" t="s">
        <v>30</v>
      </c>
      <c r="G822" s="4" t="s">
        <v>29</v>
      </c>
      <c r="H822" s="4" t="s">
        <v>62</v>
      </c>
      <c r="I822" s="4" t="s">
        <v>122</v>
      </c>
      <c r="J822" s="4">
        <v>320</v>
      </c>
      <c r="K822" t="str">
        <f>TEXT(TIMEVALUE(H822)-TIMEVALUE(I821)+(TIMEVALUE(H822)&lt;TIMEVALUE(I821)),"[h]:mm")</f>
        <v>0:40</v>
      </c>
      <c r="L822" s="4" t="s">
        <v>36</v>
      </c>
      <c r="O822" t="str">
        <f>"LIM-"&amp;G821&amp;"-LIM   LA "&amp;E821&amp;" ("&amp;LEFT(H821,5)&amp;"-"&amp;LEFT(I821,5)&amp;" hrs)  /  LA "&amp;E822&amp;" ("&amp;LEFT(H822,5)&amp;"-"&amp;LEFT(I822,5)&amp;" hrs)"</f>
        <v>LIM-CUZ-LIM   LA 2276 (16:35-17:55 hrs)  /  LA 2277 (18:35-20:10 hrs)</v>
      </c>
    </row>
    <row r="823" spans="2:24" x14ac:dyDescent="0.25">
      <c r="J823" s="7" t="s">
        <v>43</v>
      </c>
      <c r="K823" s="8" t="str">
        <f>TEXT(TIMEVALUE(I822)-TIMEVALUE(H819)+(I822&lt;H819),"[h]:mm")</f>
        <v>8:30</v>
      </c>
    </row>
    <row r="825" spans="2:24" ht="30" x14ac:dyDescent="0.25">
      <c r="B825" s="3" t="s">
        <v>9</v>
      </c>
      <c r="C825" s="3" t="s">
        <v>17</v>
      </c>
      <c r="D825" s="3" t="s">
        <v>18</v>
      </c>
      <c r="E825" s="3" t="s">
        <v>19</v>
      </c>
      <c r="F825" s="3" t="s">
        <v>20</v>
      </c>
      <c r="G825" s="3" t="s">
        <v>21</v>
      </c>
      <c r="H825" s="3" t="s">
        <v>22</v>
      </c>
      <c r="I825" s="3" t="s">
        <v>23</v>
      </c>
      <c r="J825" s="3" t="s">
        <v>24</v>
      </c>
      <c r="K825" s="3" t="s">
        <v>25</v>
      </c>
      <c r="L825" s="3" t="s">
        <v>26</v>
      </c>
    </row>
    <row r="826" spans="2:24" ht="30" x14ac:dyDescent="0.25">
      <c r="B826" s="4">
        <v>870</v>
      </c>
      <c r="C826" s="4" t="s">
        <v>168</v>
      </c>
      <c r="D826" s="4" t="s">
        <v>119</v>
      </c>
      <c r="E826" s="4">
        <v>2023</v>
      </c>
      <c r="F826" s="4" t="s">
        <v>29</v>
      </c>
      <c r="G826" s="4" t="s">
        <v>44</v>
      </c>
      <c r="H826" s="4" t="s">
        <v>172</v>
      </c>
      <c r="I826" s="4" t="s">
        <v>82</v>
      </c>
      <c r="J826" s="4">
        <v>320</v>
      </c>
      <c r="L826" s="4" t="s">
        <v>71</v>
      </c>
      <c r="M826" s="5"/>
      <c r="O826" s="5"/>
      <c r="Q826" s="4">
        <f>B826</f>
        <v>870</v>
      </c>
      <c r="R826" s="4" t="str">
        <f>C826</f>
        <v>10/10/2026</v>
      </c>
      <c r="S826" s="4" t="str">
        <f>D826</f>
        <v>sábado</v>
      </c>
      <c r="T826" s="4" t="str">
        <f>E826&amp;"/"&amp;E827</f>
        <v>2023/2024</v>
      </c>
      <c r="U826" s="4" t="str">
        <f>F826&amp;"-"&amp;G826&amp;"-"&amp;F826</f>
        <v>LIM-PEM-LIM</v>
      </c>
      <c r="V826" s="4" t="str">
        <f>IF($M$826="","",$M$826)</f>
        <v/>
      </c>
      <c r="W826" s="4" t="str">
        <f>IF($O$826="","",$O$826)</f>
        <v/>
      </c>
      <c r="X826" s="4">
        <f>J826</f>
        <v>320</v>
      </c>
    </row>
    <row r="827" spans="2:24" ht="30" x14ac:dyDescent="0.25">
      <c r="B827" s="4">
        <v>870</v>
      </c>
      <c r="C827" s="4" t="s">
        <v>168</v>
      </c>
      <c r="D827" s="4" t="s">
        <v>119</v>
      </c>
      <c r="E827" s="4">
        <v>2024</v>
      </c>
      <c r="F827" s="4" t="s">
        <v>44</v>
      </c>
      <c r="G827" s="4" t="s">
        <v>29</v>
      </c>
      <c r="H827" s="4" t="s">
        <v>145</v>
      </c>
      <c r="I827" s="4" t="s">
        <v>83</v>
      </c>
      <c r="J827" s="4">
        <v>320</v>
      </c>
      <c r="K827" t="str">
        <f>TEXT(TIMEVALUE(H827)-TIMEVALUE(I826)+(TIMEVALUE(H827)&lt;TIMEVALUE(I826)),"[h]:mm")</f>
        <v>0:40</v>
      </c>
      <c r="L827" s="4" t="s">
        <v>36</v>
      </c>
      <c r="O827" t="str">
        <f>"LIM-"&amp;G826&amp;"-LIM   LA "&amp;E826&amp;" ("&amp;LEFT(H826,5)&amp;"-"&amp;LEFT(I826,5)&amp;" hrs)  /  LA "&amp;E827&amp;" ("&amp;LEFT(H827,5)&amp;"-"&amp;LEFT(I827,5)&amp;" hrs)"</f>
        <v>LIM-PEM-LIM   LA 2023 (12:15-13:55 hrs)  /  LA 2024 (14:35-16:10 hrs)</v>
      </c>
    </row>
    <row r="828" spans="2:24" x14ac:dyDescent="0.25">
      <c r="J828" s="7" t="s">
        <v>43</v>
      </c>
      <c r="K828" s="8" t="str">
        <f>TEXT(TIMEVALUE(I827)-TIMEVALUE(H826)+(I827&lt;H826),"[h]:mm")</f>
        <v>3:55</v>
      </c>
    </row>
    <row r="830" spans="2:24" ht="30" x14ac:dyDescent="0.25">
      <c r="B830" s="3" t="s">
        <v>9</v>
      </c>
      <c r="C830" s="3" t="s">
        <v>17</v>
      </c>
      <c r="D830" s="3" t="s">
        <v>18</v>
      </c>
      <c r="E830" s="3" t="s">
        <v>19</v>
      </c>
      <c r="F830" s="3" t="s">
        <v>20</v>
      </c>
      <c r="G830" s="3" t="s">
        <v>21</v>
      </c>
      <c r="H830" s="3" t="s">
        <v>22</v>
      </c>
      <c r="I830" s="3" t="s">
        <v>23</v>
      </c>
      <c r="J830" s="3" t="s">
        <v>24</v>
      </c>
      <c r="K830" s="3" t="s">
        <v>25</v>
      </c>
      <c r="L830" s="3" t="s">
        <v>26</v>
      </c>
    </row>
    <row r="831" spans="2:24" ht="30" x14ac:dyDescent="0.25">
      <c r="B831" s="4">
        <v>873</v>
      </c>
      <c r="C831" s="4" t="s">
        <v>168</v>
      </c>
      <c r="D831" s="4" t="s">
        <v>119</v>
      </c>
      <c r="E831" s="4">
        <v>2043</v>
      </c>
      <c r="F831" s="4" t="s">
        <v>29</v>
      </c>
      <c r="G831" s="4" t="s">
        <v>56</v>
      </c>
      <c r="H831" s="4" t="s">
        <v>48</v>
      </c>
      <c r="I831" s="4" t="s">
        <v>107</v>
      </c>
      <c r="J831" s="4">
        <v>320</v>
      </c>
      <c r="L831" s="4" t="s">
        <v>40</v>
      </c>
      <c r="M831" s="5"/>
      <c r="O831" s="5"/>
      <c r="Q831" s="4">
        <f>B831</f>
        <v>873</v>
      </c>
      <c r="R831" s="4" t="str">
        <f>C831</f>
        <v>10/10/2026</v>
      </c>
      <c r="S831" s="4" t="str">
        <f>D831</f>
        <v>sábado</v>
      </c>
      <c r="T831" s="4" t="str">
        <f>E831&amp;"/"&amp;E832</f>
        <v>2043/2044</v>
      </c>
      <c r="U831" s="4" t="str">
        <f>F831&amp;"-"&amp;G831&amp;"-"&amp;F831</f>
        <v>LIM-AQP-LIM</v>
      </c>
      <c r="V831" s="4" t="str">
        <f>IF($M$831="","",$M$831)</f>
        <v/>
      </c>
      <c r="W831" s="4" t="str">
        <f>IF($O$831="","",$O$831)</f>
        <v/>
      </c>
      <c r="X831" s="4">
        <f>J831</f>
        <v>320</v>
      </c>
    </row>
    <row r="832" spans="2:24" ht="30" x14ac:dyDescent="0.25">
      <c r="B832" s="4">
        <v>873</v>
      </c>
      <c r="C832" s="4" t="s">
        <v>168</v>
      </c>
      <c r="D832" s="4" t="s">
        <v>119</v>
      </c>
      <c r="E832" s="4">
        <v>2044</v>
      </c>
      <c r="F832" s="4" t="s">
        <v>56</v>
      </c>
      <c r="G832" s="4" t="s">
        <v>29</v>
      </c>
      <c r="H832" s="4" t="s">
        <v>109</v>
      </c>
      <c r="I832" s="4" t="s">
        <v>52</v>
      </c>
      <c r="J832" s="4">
        <v>320</v>
      </c>
      <c r="K832" t="str">
        <f>TEXT(TIMEVALUE(H832)-TIMEVALUE(I831)+(TIMEVALUE(H832)&lt;TIMEVALUE(I831)),"[h]:mm")</f>
        <v>0:45</v>
      </c>
      <c r="L832" s="4" t="s">
        <v>36</v>
      </c>
      <c r="O832" t="str">
        <f>"LIM-"&amp;G831&amp;"-LIM   LA "&amp;E831&amp;" ("&amp;LEFT(H831,5)&amp;"-"&amp;LEFT(I831,5)&amp;" hrs)  /  LA "&amp;E832&amp;" ("&amp;LEFT(H832,5)&amp;"-"&amp;LEFT(I832,5)&amp;" hrs)"</f>
        <v>LIM-AQP-LIM   LA 2043 (12:45-14:15 hrs)  /  LA 2044 (15:00-16:35 hrs)</v>
      </c>
    </row>
    <row r="833" spans="2:24" x14ac:dyDescent="0.25">
      <c r="J833" s="7" t="s">
        <v>43</v>
      </c>
      <c r="K833" s="8" t="str">
        <f>TEXT(TIMEVALUE(I832)-TIMEVALUE(H831)+(I832&lt;H831),"[h]:mm")</f>
        <v>3:50</v>
      </c>
    </row>
    <row r="835" spans="2:24" ht="30" x14ac:dyDescent="0.25">
      <c r="B835" s="3" t="s">
        <v>9</v>
      </c>
      <c r="C835" s="3" t="s">
        <v>17</v>
      </c>
      <c r="D835" s="3" t="s">
        <v>18</v>
      </c>
      <c r="E835" s="3" t="s">
        <v>19</v>
      </c>
      <c r="F835" s="3" t="s">
        <v>20</v>
      </c>
      <c r="G835" s="3" t="s">
        <v>21</v>
      </c>
      <c r="H835" s="3" t="s">
        <v>22</v>
      </c>
      <c r="I835" s="3" t="s">
        <v>23</v>
      </c>
      <c r="J835" s="3" t="s">
        <v>24</v>
      </c>
      <c r="K835" s="3" t="s">
        <v>25</v>
      </c>
      <c r="L835" s="3" t="s">
        <v>26</v>
      </c>
    </row>
    <row r="836" spans="2:24" ht="30" x14ac:dyDescent="0.25">
      <c r="B836" s="4">
        <v>874</v>
      </c>
      <c r="C836" s="4" t="s">
        <v>168</v>
      </c>
      <c r="D836" s="4" t="s">
        <v>119</v>
      </c>
      <c r="E836" s="4">
        <v>2308</v>
      </c>
      <c r="F836" s="4" t="s">
        <v>29</v>
      </c>
      <c r="G836" s="4" t="s">
        <v>125</v>
      </c>
      <c r="H836" s="4" t="s">
        <v>144</v>
      </c>
      <c r="I836" s="4" t="s">
        <v>145</v>
      </c>
      <c r="J836" s="4">
        <v>320</v>
      </c>
      <c r="L836" s="4" t="s">
        <v>47</v>
      </c>
      <c r="M836" s="5"/>
      <c r="O836" s="5"/>
      <c r="Q836" s="4">
        <f>B836</f>
        <v>874</v>
      </c>
      <c r="R836" s="4" t="str">
        <f>C836</f>
        <v>10/10/2026</v>
      </c>
      <c r="S836" s="4" t="str">
        <f>D836</f>
        <v>sábado</v>
      </c>
      <c r="T836" s="4" t="str">
        <f>E836&amp;"/"&amp;E837</f>
        <v>2308/2309</v>
      </c>
      <c r="U836" s="4" t="str">
        <f>F836&amp;"-"&amp;G836&amp;"-"&amp;F836</f>
        <v>LIM-PIU-LIM</v>
      </c>
      <c r="V836" s="4" t="str">
        <f>IF($M$836="","",$M$836)</f>
        <v/>
      </c>
      <c r="W836" s="4" t="str">
        <f>IF($O$836="","",$O$836)</f>
        <v/>
      </c>
      <c r="X836" s="4">
        <f>J836</f>
        <v>320</v>
      </c>
    </row>
    <row r="837" spans="2:24" ht="30" x14ac:dyDescent="0.25">
      <c r="B837" s="4">
        <v>874</v>
      </c>
      <c r="C837" s="4" t="s">
        <v>168</v>
      </c>
      <c r="D837" s="4" t="s">
        <v>119</v>
      </c>
      <c r="E837" s="4">
        <v>2309</v>
      </c>
      <c r="F837" s="4" t="s">
        <v>125</v>
      </c>
      <c r="G837" s="4" t="s">
        <v>29</v>
      </c>
      <c r="H837" s="4" t="s">
        <v>146</v>
      </c>
      <c r="I837" s="4" t="s">
        <v>60</v>
      </c>
      <c r="J837" s="4">
        <v>320</v>
      </c>
      <c r="K837" t="str">
        <f>TEXT(TIMEVALUE(H837)-TIMEVALUE(I836)+(TIMEVALUE(H837)&lt;TIMEVALUE(I836)),"[h]:mm")</f>
        <v>0:35</v>
      </c>
      <c r="L837" s="4" t="s">
        <v>40</v>
      </c>
      <c r="O837" t="str">
        <f>"LIM-"&amp;G836&amp;"-LIM   LA "&amp;E836&amp;" ("&amp;LEFT(H836,5)&amp;"-"&amp;LEFT(I836,5)&amp;" hrs)  /  LA "&amp;E837&amp;" ("&amp;LEFT(H837,5)&amp;"-"&amp;LEFT(I837,5)&amp;" hrs)"</f>
        <v>LIM-PIU-LIM   LA 2308 (12:50-14:35 hrs)  /  LA 2309 (15:10-16:40 hrs)</v>
      </c>
    </row>
    <row r="838" spans="2:24" x14ac:dyDescent="0.25">
      <c r="J838" s="7" t="s">
        <v>43</v>
      </c>
      <c r="K838" s="8" t="str">
        <f>TEXT(TIMEVALUE(I837)-TIMEVALUE(H836)+(I837&lt;H836),"[h]:mm")</f>
        <v>3:50</v>
      </c>
    </row>
    <row r="840" spans="2:24" ht="30" x14ac:dyDescent="0.25">
      <c r="B840" s="3" t="s">
        <v>9</v>
      </c>
      <c r="C840" s="3" t="s">
        <v>17</v>
      </c>
      <c r="D840" s="3" t="s">
        <v>18</v>
      </c>
      <c r="E840" s="3" t="s">
        <v>19</v>
      </c>
      <c r="F840" s="3" t="s">
        <v>20</v>
      </c>
      <c r="G840" s="3" t="s">
        <v>21</v>
      </c>
      <c r="H840" s="3" t="s">
        <v>22</v>
      </c>
      <c r="I840" s="3" t="s">
        <v>23</v>
      </c>
      <c r="J840" s="3" t="s">
        <v>24</v>
      </c>
      <c r="K840" s="3" t="s">
        <v>25</v>
      </c>
      <c r="L840" s="3" t="s">
        <v>26</v>
      </c>
    </row>
    <row r="841" spans="2:24" ht="30" x14ac:dyDescent="0.25">
      <c r="B841" s="4">
        <v>879</v>
      </c>
      <c r="C841" s="4" t="s">
        <v>168</v>
      </c>
      <c r="D841" s="4" t="s">
        <v>119</v>
      </c>
      <c r="E841" s="4">
        <v>2152</v>
      </c>
      <c r="F841" s="4" t="s">
        <v>29</v>
      </c>
      <c r="G841" s="4" t="s">
        <v>37</v>
      </c>
      <c r="H841" s="4" t="s">
        <v>38</v>
      </c>
      <c r="I841" s="4" t="s">
        <v>39</v>
      </c>
      <c r="J841" s="4">
        <v>320</v>
      </c>
      <c r="L841" s="4" t="s">
        <v>40</v>
      </c>
      <c r="M841" s="5"/>
      <c r="O841" s="5"/>
      <c r="Q841" s="4">
        <f>B841</f>
        <v>879</v>
      </c>
      <c r="R841" s="4" t="str">
        <f>C841</f>
        <v>10/10/2026</v>
      </c>
      <c r="S841" s="4" t="str">
        <f>D841</f>
        <v>sábado</v>
      </c>
      <c r="T841" s="4" t="str">
        <f>E841&amp;"/"&amp;E842</f>
        <v>2152/2153</v>
      </c>
      <c r="U841" s="4" t="str">
        <f>F841&amp;"-"&amp;G841&amp;"-"&amp;F841</f>
        <v>LIM-CIX-LIM</v>
      </c>
      <c r="V841" s="4" t="str">
        <f>IF($M$841="","",$M$841)</f>
        <v/>
      </c>
      <c r="W841" s="4" t="str">
        <f>IF($O$841="","",$O$841)</f>
        <v/>
      </c>
      <c r="X841" s="4">
        <f>J841</f>
        <v>320</v>
      </c>
    </row>
    <row r="842" spans="2:24" ht="30" x14ac:dyDescent="0.25">
      <c r="B842" s="4">
        <v>879</v>
      </c>
      <c r="C842" s="4" t="s">
        <v>168</v>
      </c>
      <c r="D842" s="4" t="s">
        <v>119</v>
      </c>
      <c r="E842" s="4">
        <v>2153</v>
      </c>
      <c r="F842" s="4" t="s">
        <v>37</v>
      </c>
      <c r="G842" s="4" t="s">
        <v>29</v>
      </c>
      <c r="H842" s="4" t="s">
        <v>41</v>
      </c>
      <c r="I842" s="4" t="s">
        <v>42</v>
      </c>
      <c r="J842" s="4">
        <v>320</v>
      </c>
      <c r="K842" t="str">
        <f>TEXT(TIMEVALUE(H842)-TIMEVALUE(I841)+(TIMEVALUE(H842)&lt;TIMEVALUE(I841)),"[h]:mm")</f>
        <v>0:35</v>
      </c>
      <c r="L842" s="4" t="s">
        <v>33</v>
      </c>
      <c r="O842" t="str">
        <f>"LIM-"&amp;G841&amp;"-LIM   LA "&amp;E841&amp;" ("&amp;LEFT(H841,5)&amp;"-"&amp;LEFT(I841,5)&amp;" hrs)  /  LA "&amp;E842&amp;" ("&amp;LEFT(H842,5)&amp;"-"&amp;LEFT(I842,5)&amp;" hrs)"</f>
        <v>LIM-CIX-LIM   LA 2152 (13:50-15:20 hrs)  /  LA 2153 (15:55-17:15 hrs)</v>
      </c>
    </row>
    <row r="843" spans="2:24" x14ac:dyDescent="0.25">
      <c r="J843" s="7" t="s">
        <v>43</v>
      </c>
      <c r="K843" s="8" t="str">
        <f>TEXT(TIMEVALUE(I842)-TIMEVALUE(H841)+(I842&lt;H841),"[h]:mm")</f>
        <v>3:25</v>
      </c>
    </row>
    <row r="845" spans="2:24" ht="30" x14ac:dyDescent="0.25">
      <c r="B845" s="3" t="s">
        <v>9</v>
      </c>
      <c r="C845" s="3" t="s">
        <v>17</v>
      </c>
      <c r="D845" s="3" t="s">
        <v>18</v>
      </c>
      <c r="E845" s="3" t="s">
        <v>19</v>
      </c>
      <c r="F845" s="3" t="s">
        <v>20</v>
      </c>
      <c r="G845" s="3" t="s">
        <v>21</v>
      </c>
      <c r="H845" s="3" t="s">
        <v>22</v>
      </c>
      <c r="I845" s="3" t="s">
        <v>23</v>
      </c>
      <c r="J845" s="3" t="s">
        <v>24</v>
      </c>
      <c r="K845" s="3" t="s">
        <v>25</v>
      </c>
      <c r="L845" s="3" t="s">
        <v>26</v>
      </c>
    </row>
    <row r="846" spans="2:24" ht="30" x14ac:dyDescent="0.25">
      <c r="B846" s="4">
        <v>881</v>
      </c>
      <c r="C846" s="4" t="s">
        <v>168</v>
      </c>
      <c r="D846" s="4" t="s">
        <v>119</v>
      </c>
      <c r="E846" s="4">
        <v>2087</v>
      </c>
      <c r="F846" s="4" t="s">
        <v>29</v>
      </c>
      <c r="G846" s="4" t="s">
        <v>91</v>
      </c>
      <c r="H846" s="4" t="s">
        <v>67</v>
      </c>
      <c r="I846" s="4" t="s">
        <v>76</v>
      </c>
      <c r="J846" s="4">
        <v>320</v>
      </c>
      <c r="L846" s="4" t="s">
        <v>93</v>
      </c>
      <c r="M846" s="5"/>
      <c r="O846" s="5"/>
      <c r="Q846" s="4">
        <f>B846</f>
        <v>881</v>
      </c>
      <c r="R846" s="4" t="str">
        <f>C846</f>
        <v>10/10/2026</v>
      </c>
      <c r="S846" s="4" t="str">
        <f>D846</f>
        <v>sábado</v>
      </c>
      <c r="T846" s="4" t="str">
        <f>E846&amp;"/"&amp;E847</f>
        <v>2087/2088</v>
      </c>
      <c r="U846" s="4" t="str">
        <f>F846&amp;"-"&amp;G846&amp;"-"&amp;F846</f>
        <v>LIM-TPP-LIM</v>
      </c>
      <c r="V846" s="4" t="str">
        <f>IF($M$846="","",$M$846)</f>
        <v/>
      </c>
      <c r="W846" s="4" t="str">
        <f>IF($O$846="","",$O$846)</f>
        <v/>
      </c>
      <c r="X846" s="4">
        <f>J846</f>
        <v>320</v>
      </c>
    </row>
    <row r="847" spans="2:24" ht="30" x14ac:dyDescent="0.25">
      <c r="B847" s="4">
        <v>881</v>
      </c>
      <c r="C847" s="4" t="s">
        <v>168</v>
      </c>
      <c r="D847" s="4" t="s">
        <v>119</v>
      </c>
      <c r="E847" s="4">
        <v>2088</v>
      </c>
      <c r="F847" s="4" t="s">
        <v>91</v>
      </c>
      <c r="G847" s="4" t="s">
        <v>29</v>
      </c>
      <c r="H847" s="4" t="s">
        <v>85</v>
      </c>
      <c r="I847" s="4" t="s">
        <v>100</v>
      </c>
      <c r="J847" s="4">
        <v>320</v>
      </c>
      <c r="K847" t="str">
        <f>TEXT(TIMEVALUE(H847)-TIMEVALUE(I846)+(TIMEVALUE(H847)&lt;TIMEVALUE(I846)),"[h]:mm")</f>
        <v>0:35</v>
      </c>
      <c r="L847" s="4" t="s">
        <v>93</v>
      </c>
      <c r="O847" t="str">
        <f>"LIM-"&amp;G846&amp;"-LIM   LA "&amp;E846&amp;" ("&amp;LEFT(H846,5)&amp;"-"&amp;LEFT(I846,5)&amp;" hrs)  /  LA "&amp;E847&amp;" ("&amp;LEFT(H847,5)&amp;"-"&amp;LEFT(I847,5)&amp;" hrs)"</f>
        <v>LIM-TPP-LIM   LA 2087 (14:05-15:30 hrs)  /  LA 2088 (16:05-17:30 hrs)</v>
      </c>
    </row>
    <row r="848" spans="2:24" x14ac:dyDescent="0.25">
      <c r="J848" s="7" t="s">
        <v>43</v>
      </c>
      <c r="K848" s="8" t="str">
        <f>TEXT(TIMEVALUE(I847)-TIMEVALUE(H846)+(I847&lt;H846),"[h]:mm")</f>
        <v>3:25</v>
      </c>
    </row>
    <row r="850" spans="2:24" ht="30" x14ac:dyDescent="0.25">
      <c r="B850" s="3" t="s">
        <v>9</v>
      </c>
      <c r="C850" s="3" t="s">
        <v>17</v>
      </c>
      <c r="D850" s="3" t="s">
        <v>18</v>
      </c>
      <c r="E850" s="3" t="s">
        <v>19</v>
      </c>
      <c r="F850" s="3" t="s">
        <v>20</v>
      </c>
      <c r="G850" s="3" t="s">
        <v>21</v>
      </c>
      <c r="H850" s="3" t="s">
        <v>22</v>
      </c>
      <c r="I850" s="3" t="s">
        <v>23</v>
      </c>
      <c r="J850" s="3" t="s">
        <v>24</v>
      </c>
      <c r="K850" s="3" t="s">
        <v>25</v>
      </c>
      <c r="L850" s="3" t="s">
        <v>26</v>
      </c>
    </row>
    <row r="851" spans="2:24" ht="30" x14ac:dyDescent="0.25">
      <c r="B851" s="4">
        <v>882</v>
      </c>
      <c r="C851" s="4" t="s">
        <v>168</v>
      </c>
      <c r="D851" s="4" t="s">
        <v>119</v>
      </c>
      <c r="E851" s="4">
        <v>2295</v>
      </c>
      <c r="F851" s="4" t="s">
        <v>29</v>
      </c>
      <c r="G851" s="4" t="s">
        <v>50</v>
      </c>
      <c r="H851" s="4" t="s">
        <v>110</v>
      </c>
      <c r="I851" s="4" t="s">
        <v>76</v>
      </c>
      <c r="J851" s="4">
        <v>320</v>
      </c>
      <c r="L851" s="4" t="s">
        <v>33</v>
      </c>
      <c r="M851" s="5"/>
      <c r="O851" s="5"/>
      <c r="Q851" s="4">
        <f>B851</f>
        <v>882</v>
      </c>
      <c r="R851" s="4" t="str">
        <f>C851</f>
        <v>10/10/2026</v>
      </c>
      <c r="S851" s="4" t="str">
        <f>D851</f>
        <v>sábado</v>
      </c>
      <c r="T851" s="4" t="str">
        <f>E851&amp;"/"&amp;E852</f>
        <v>2295/2294</v>
      </c>
      <c r="U851" s="4" t="str">
        <f>F851&amp;"-"&amp;G851&amp;"-"&amp;F851</f>
        <v>LIM-CJA-LIM</v>
      </c>
      <c r="V851" s="4" t="str">
        <f>IF($M$851="","",$M$851)</f>
        <v/>
      </c>
      <c r="W851" s="4" t="str">
        <f>IF($O$851="","",$O$851)</f>
        <v/>
      </c>
      <c r="X851" s="4">
        <f>J851</f>
        <v>320</v>
      </c>
    </row>
    <row r="852" spans="2:24" ht="30" x14ac:dyDescent="0.25">
      <c r="B852" s="4">
        <v>882</v>
      </c>
      <c r="C852" s="4" t="s">
        <v>168</v>
      </c>
      <c r="D852" s="4" t="s">
        <v>119</v>
      </c>
      <c r="E852" s="4">
        <v>2294</v>
      </c>
      <c r="F852" s="4" t="s">
        <v>50</v>
      </c>
      <c r="G852" s="4" t="s">
        <v>29</v>
      </c>
      <c r="H852" s="4" t="s">
        <v>83</v>
      </c>
      <c r="I852" s="4" t="s">
        <v>42</v>
      </c>
      <c r="J852" s="4">
        <v>320</v>
      </c>
      <c r="K852" t="str">
        <f>TEXT(TIMEVALUE(H852)-TIMEVALUE(I851)+(TIMEVALUE(H852)&lt;TIMEVALUE(I851)),"[h]:mm")</f>
        <v>0:40</v>
      </c>
      <c r="L852" s="4" t="s">
        <v>55</v>
      </c>
      <c r="O852" t="str">
        <f>"LIM-"&amp;G851&amp;"-LIM   LA "&amp;E851&amp;" ("&amp;LEFT(H851,5)&amp;"-"&amp;LEFT(I851,5)&amp;" hrs)  /  LA "&amp;E852&amp;" ("&amp;LEFT(H852,5)&amp;"-"&amp;LEFT(I852,5)&amp;" hrs)"</f>
        <v>LIM-CJA-LIM   LA 2295 (14:10-15:30 hrs)  /  LA 2294 (16:10-17:15 hrs)</v>
      </c>
    </row>
    <row r="853" spans="2:24" x14ac:dyDescent="0.25">
      <c r="J853" s="7" t="s">
        <v>43</v>
      </c>
      <c r="K853" s="8" t="str">
        <f>TEXT(TIMEVALUE(I852)-TIMEVALUE(H851)+(I852&lt;H851),"[h]:mm")</f>
        <v>3:05</v>
      </c>
    </row>
    <row r="855" spans="2:24" ht="30" x14ac:dyDescent="0.25">
      <c r="B855" s="3" t="s">
        <v>9</v>
      </c>
      <c r="C855" s="3" t="s">
        <v>17</v>
      </c>
      <c r="D855" s="3" t="s">
        <v>18</v>
      </c>
      <c r="E855" s="3" t="s">
        <v>19</v>
      </c>
      <c r="F855" s="3" t="s">
        <v>20</v>
      </c>
      <c r="G855" s="3" t="s">
        <v>21</v>
      </c>
      <c r="H855" s="3" t="s">
        <v>22</v>
      </c>
      <c r="I855" s="3" t="s">
        <v>23</v>
      </c>
      <c r="J855" s="3" t="s">
        <v>24</v>
      </c>
      <c r="K855" s="3" t="s">
        <v>25</v>
      </c>
      <c r="L855" s="3" t="s">
        <v>26</v>
      </c>
    </row>
    <row r="856" spans="2:24" ht="30" x14ac:dyDescent="0.25">
      <c r="B856" s="4">
        <v>884</v>
      </c>
      <c r="C856" s="4" t="s">
        <v>168</v>
      </c>
      <c r="D856" s="4" t="s">
        <v>119</v>
      </c>
      <c r="E856" s="4">
        <v>2264</v>
      </c>
      <c r="F856" s="4" t="s">
        <v>29</v>
      </c>
      <c r="G856" s="4" t="s">
        <v>44</v>
      </c>
      <c r="H856" s="4" t="s">
        <v>87</v>
      </c>
      <c r="I856" s="4" t="s">
        <v>60</v>
      </c>
      <c r="J856" s="4">
        <v>319</v>
      </c>
      <c r="L856" s="4" t="s">
        <v>47</v>
      </c>
      <c r="M856" s="5"/>
      <c r="O856" s="5"/>
      <c r="Q856" s="4">
        <f>B856</f>
        <v>884</v>
      </c>
      <c r="R856" s="4" t="str">
        <f>C856</f>
        <v>10/10/2026</v>
      </c>
      <c r="S856" s="4" t="str">
        <f>D856</f>
        <v>sábado</v>
      </c>
      <c r="T856" s="4" t="str">
        <f>E856&amp;"/"&amp;E857</f>
        <v>2264/2265</v>
      </c>
      <c r="U856" s="4" t="str">
        <f>F856&amp;"-"&amp;G856&amp;"-"&amp;F856</f>
        <v>LIM-PEM-LIM</v>
      </c>
      <c r="V856" s="4" t="str">
        <f>IF($M$856="","",$M$856)</f>
        <v/>
      </c>
      <c r="W856" s="4" t="str">
        <f>IF($O$856="","",$O$856)</f>
        <v/>
      </c>
      <c r="X856" s="4">
        <f>J856</f>
        <v>319</v>
      </c>
    </row>
    <row r="857" spans="2:24" ht="30" x14ac:dyDescent="0.25">
      <c r="B857" s="4">
        <v>884</v>
      </c>
      <c r="C857" s="4" t="s">
        <v>168</v>
      </c>
      <c r="D857" s="4" t="s">
        <v>119</v>
      </c>
      <c r="E857" s="4">
        <v>2265</v>
      </c>
      <c r="F857" s="4" t="s">
        <v>44</v>
      </c>
      <c r="G857" s="4" t="s">
        <v>29</v>
      </c>
      <c r="H857" s="4" t="s">
        <v>53</v>
      </c>
      <c r="I857" s="4" t="s">
        <v>88</v>
      </c>
      <c r="J857" s="4">
        <v>319</v>
      </c>
      <c r="K857" t="str">
        <f>TEXT(TIMEVALUE(H857)-TIMEVALUE(I856)+(TIMEVALUE(H857)&lt;TIMEVALUE(I856)),"[h]:mm")</f>
        <v>0:40</v>
      </c>
      <c r="L857" s="4" t="s">
        <v>36</v>
      </c>
      <c r="O857" t="str">
        <f>"LIM-"&amp;G856&amp;"-LIM   LA "&amp;E856&amp;" ("&amp;LEFT(H856,5)&amp;"-"&amp;LEFT(I856,5)&amp;" hrs)  /  LA "&amp;E857&amp;" ("&amp;LEFT(H857,5)&amp;"-"&amp;LEFT(I857,5)&amp;" hrs)"</f>
        <v>LIM-PEM-LIM   LA 2264 (14:55-16:40 hrs)  /  LA 2265 (17:20-18:55 hrs)</v>
      </c>
    </row>
    <row r="858" spans="2:24" ht="30" x14ac:dyDescent="0.25">
      <c r="B858" s="4">
        <v>897</v>
      </c>
      <c r="C858" s="4" t="s">
        <v>168</v>
      </c>
      <c r="D858" s="4" t="s">
        <v>119</v>
      </c>
      <c r="E858" s="4">
        <v>2048</v>
      </c>
      <c r="F858" s="4" t="s">
        <v>29</v>
      </c>
      <c r="G858" s="4" t="s">
        <v>30</v>
      </c>
      <c r="H858" s="4" t="s">
        <v>148</v>
      </c>
      <c r="I858" s="4" t="s">
        <v>80</v>
      </c>
      <c r="J858" s="4">
        <v>320</v>
      </c>
      <c r="K858" s="6" t="str">
        <f>TEXT(TIMEVALUE(H858)-TIMEVALUE(I857)+(TIMEVALUE(H858)&lt;TIMEVALUE(I857)),"[h]:mm")</f>
        <v>1:00</v>
      </c>
      <c r="L858" s="4" t="s">
        <v>93</v>
      </c>
      <c r="M858" t="str">
        <f>IF($M$856="","",$M$856)</f>
        <v/>
      </c>
      <c r="O858" t="str">
        <f>IF($O$856="","",$O$856)</f>
        <v/>
      </c>
      <c r="Q858" s="4">
        <f>B858</f>
        <v>897</v>
      </c>
      <c r="R858" s="4" t="str">
        <f>C858</f>
        <v>10/10/2026</v>
      </c>
      <c r="S858" s="4" t="str">
        <f>D858</f>
        <v>sábado</v>
      </c>
      <c r="T858" s="4" t="str">
        <f>E858&amp;"/"&amp;E859</f>
        <v>2048/2070</v>
      </c>
      <c r="U858" s="4" t="str">
        <f>F858&amp;"-"&amp;G858&amp;"-"&amp;F858</f>
        <v>LIM-CUZ-LIM</v>
      </c>
      <c r="V858" s="4" t="str">
        <f>IF($M$856="","",$M$856)</f>
        <v/>
      </c>
      <c r="W858" s="4" t="str">
        <f>IF($O$856="","",$O$856)</f>
        <v/>
      </c>
      <c r="X858" s="4">
        <f>J858</f>
        <v>320</v>
      </c>
    </row>
    <row r="859" spans="2:24" ht="30" x14ac:dyDescent="0.25">
      <c r="B859" s="4">
        <v>897</v>
      </c>
      <c r="C859" s="4" t="s">
        <v>168</v>
      </c>
      <c r="D859" s="4" t="s">
        <v>119</v>
      </c>
      <c r="E859" s="4">
        <v>2070</v>
      </c>
      <c r="F859" s="4" t="s">
        <v>30</v>
      </c>
      <c r="G859" s="4" t="s">
        <v>29</v>
      </c>
      <c r="H859" s="4" t="s">
        <v>173</v>
      </c>
      <c r="I859" s="4" t="s">
        <v>174</v>
      </c>
      <c r="J859" s="4">
        <v>320</v>
      </c>
      <c r="K859" t="str">
        <f>TEXT(TIMEVALUE(H859)-TIMEVALUE(I858)+(TIMEVALUE(H859)&lt;TIMEVALUE(I858)),"[h]:mm")</f>
        <v>0:50</v>
      </c>
      <c r="L859" s="4" t="s">
        <v>71</v>
      </c>
      <c r="O859" t="str">
        <f>"LIM-"&amp;G858&amp;"-LIM   LA "&amp;E858&amp;" ("&amp;LEFT(H858,5)&amp;"-"&amp;LEFT(I858,5)&amp;" hrs)  /  LA "&amp;E859&amp;" ("&amp;LEFT(H859,5)&amp;"-"&amp;LEFT(I859,5)&amp;" hrs)"</f>
        <v>LIM-CUZ-LIM   LA 2048 (19:55-21:20 hrs)  /  LA 2070 (22:10-23:50 hrs)</v>
      </c>
    </row>
    <row r="860" spans="2:24" x14ac:dyDescent="0.25">
      <c r="J860" s="7" t="s">
        <v>43</v>
      </c>
      <c r="K860" s="8" t="str">
        <f>TEXT(TIMEVALUE(I859)-TIMEVALUE(H856)+(I859&lt;H856),"[h]:mm")</f>
        <v>8:55</v>
      </c>
    </row>
    <row r="862" spans="2:24" ht="30" x14ac:dyDescent="0.25">
      <c r="B862" s="3" t="s">
        <v>9</v>
      </c>
      <c r="C862" s="3" t="s">
        <v>17</v>
      </c>
      <c r="D862" s="3" t="s">
        <v>18</v>
      </c>
      <c r="E862" s="3" t="s">
        <v>19</v>
      </c>
      <c r="F862" s="3" t="s">
        <v>20</v>
      </c>
      <c r="G862" s="3" t="s">
        <v>21</v>
      </c>
      <c r="H862" s="3" t="s">
        <v>22</v>
      </c>
      <c r="I862" s="3" t="s">
        <v>23</v>
      </c>
      <c r="J862" s="3" t="s">
        <v>24</v>
      </c>
      <c r="K862" s="3" t="s">
        <v>25</v>
      </c>
      <c r="L862" s="3" t="s">
        <v>26</v>
      </c>
    </row>
    <row r="863" spans="2:24" ht="30" x14ac:dyDescent="0.25">
      <c r="B863" s="4">
        <v>885</v>
      </c>
      <c r="C863" s="4" t="s">
        <v>168</v>
      </c>
      <c r="D863" s="4" t="s">
        <v>119</v>
      </c>
      <c r="E863" s="4">
        <v>2338</v>
      </c>
      <c r="F863" s="4" t="s">
        <v>29</v>
      </c>
      <c r="G863" s="4" t="s">
        <v>125</v>
      </c>
      <c r="H863" s="4" t="s">
        <v>109</v>
      </c>
      <c r="I863" s="4" t="s">
        <v>86</v>
      </c>
      <c r="J863" s="4">
        <v>320</v>
      </c>
      <c r="L863" s="4" t="s">
        <v>47</v>
      </c>
      <c r="M863" s="5"/>
      <c r="O863" s="5"/>
      <c r="Q863" s="4">
        <f>B863</f>
        <v>885</v>
      </c>
      <c r="R863" s="4" t="str">
        <f>C863</f>
        <v>10/10/2026</v>
      </c>
      <c r="S863" s="4" t="str">
        <f>D863</f>
        <v>sábado</v>
      </c>
      <c r="T863" s="4" t="str">
        <f>E863&amp;"/"&amp;E864</f>
        <v>2338/2339</v>
      </c>
      <c r="U863" s="4" t="str">
        <f>F863&amp;"-"&amp;G863&amp;"-"&amp;F863</f>
        <v>LIM-PIU-LIM</v>
      </c>
      <c r="V863" s="4" t="str">
        <f>IF($M$863="","",$M$863)</f>
        <v/>
      </c>
      <c r="W863" s="4" t="str">
        <f>IF($O$863="","",$O$863)</f>
        <v/>
      </c>
      <c r="X863" s="4">
        <f>J863</f>
        <v>320</v>
      </c>
    </row>
    <row r="864" spans="2:24" ht="30" x14ac:dyDescent="0.25">
      <c r="B864" s="4">
        <v>885</v>
      </c>
      <c r="C864" s="4" t="s">
        <v>168</v>
      </c>
      <c r="D864" s="4" t="s">
        <v>119</v>
      </c>
      <c r="E864" s="4">
        <v>2339</v>
      </c>
      <c r="F864" s="4" t="s">
        <v>125</v>
      </c>
      <c r="G864" s="4" t="s">
        <v>29</v>
      </c>
      <c r="H864" s="4" t="s">
        <v>53</v>
      </c>
      <c r="I864" s="4" t="s">
        <v>88</v>
      </c>
      <c r="J864" s="4">
        <v>320</v>
      </c>
      <c r="K864" t="str">
        <f>TEXT(TIMEVALUE(H864)-TIMEVALUE(I863)+(TIMEVALUE(H864)&lt;TIMEVALUE(I863)),"[h]:mm")</f>
        <v>0:35</v>
      </c>
      <c r="L864" s="4" t="s">
        <v>36</v>
      </c>
      <c r="O864" t="str">
        <f>"LIM-"&amp;G863&amp;"-LIM   LA "&amp;E863&amp;" ("&amp;LEFT(H863,5)&amp;"-"&amp;LEFT(I863,5)&amp;" hrs)  /  LA "&amp;E864&amp;" ("&amp;LEFT(H864,5)&amp;"-"&amp;LEFT(I864,5)&amp;" hrs)"</f>
        <v>LIM-PIU-LIM   LA 2338 (15:00-16:45 hrs)  /  LA 2339 (17:20-18:55 hrs)</v>
      </c>
    </row>
    <row r="865" spans="2:24" x14ac:dyDescent="0.25">
      <c r="J865" s="7" t="s">
        <v>43</v>
      </c>
      <c r="K865" s="8" t="str">
        <f>TEXT(TIMEVALUE(I864)-TIMEVALUE(H863)+(I864&lt;H863),"[h]:mm")</f>
        <v>3:55</v>
      </c>
    </row>
    <row r="867" spans="2:24" ht="30" x14ac:dyDescent="0.25">
      <c r="B867" s="3" t="s">
        <v>9</v>
      </c>
      <c r="C867" s="3" t="s">
        <v>17</v>
      </c>
      <c r="D867" s="3" t="s">
        <v>18</v>
      </c>
      <c r="E867" s="3" t="s">
        <v>19</v>
      </c>
      <c r="F867" s="3" t="s">
        <v>20</v>
      </c>
      <c r="G867" s="3" t="s">
        <v>21</v>
      </c>
      <c r="H867" s="3" t="s">
        <v>22</v>
      </c>
      <c r="I867" s="3" t="s">
        <v>23</v>
      </c>
      <c r="J867" s="3" t="s">
        <v>24</v>
      </c>
      <c r="K867" s="3" t="s">
        <v>25</v>
      </c>
      <c r="L867" s="3" t="s">
        <v>26</v>
      </c>
    </row>
    <row r="868" spans="2:24" ht="30" x14ac:dyDescent="0.25">
      <c r="B868" s="4">
        <v>886</v>
      </c>
      <c r="C868" s="4" t="s">
        <v>168</v>
      </c>
      <c r="D868" s="4" t="s">
        <v>119</v>
      </c>
      <c r="E868" s="4">
        <v>2113</v>
      </c>
      <c r="F868" s="4" t="s">
        <v>29</v>
      </c>
      <c r="G868" s="4" t="s">
        <v>56</v>
      </c>
      <c r="H868" s="4" t="s">
        <v>126</v>
      </c>
      <c r="I868" s="4" t="s">
        <v>52</v>
      </c>
      <c r="J868" s="4">
        <v>320</v>
      </c>
      <c r="L868" s="4" t="s">
        <v>40</v>
      </c>
      <c r="M868" s="5"/>
      <c r="O868" s="5"/>
      <c r="Q868" s="4">
        <f>B868</f>
        <v>886</v>
      </c>
      <c r="R868" s="4" t="str">
        <f>C868</f>
        <v>10/10/2026</v>
      </c>
      <c r="S868" s="4" t="str">
        <f>D868</f>
        <v>sábado</v>
      </c>
      <c r="T868" s="4" t="str">
        <f>E868&amp;"/"&amp;E869</f>
        <v>2113/2112</v>
      </c>
      <c r="U868" s="4" t="str">
        <f>F868&amp;"-"&amp;G868&amp;"-"&amp;F868</f>
        <v>LIM-AQP-LIM</v>
      </c>
      <c r="V868" s="4" t="str">
        <f>IF($M$868="","",$M$868)</f>
        <v/>
      </c>
      <c r="W868" s="4" t="str">
        <f>IF($O$868="","",$O$868)</f>
        <v/>
      </c>
      <c r="X868" s="4">
        <f>J868</f>
        <v>320</v>
      </c>
    </row>
    <row r="869" spans="2:24" ht="30" x14ac:dyDescent="0.25">
      <c r="B869" s="4">
        <v>886</v>
      </c>
      <c r="C869" s="4" t="s">
        <v>168</v>
      </c>
      <c r="D869" s="4" t="s">
        <v>119</v>
      </c>
      <c r="E869" s="4">
        <v>2112</v>
      </c>
      <c r="F869" s="4" t="s">
        <v>56</v>
      </c>
      <c r="G869" s="4" t="s">
        <v>29</v>
      </c>
      <c r="H869" s="4" t="s">
        <v>42</v>
      </c>
      <c r="I869" s="4" t="s">
        <v>88</v>
      </c>
      <c r="J869" s="4">
        <v>320</v>
      </c>
      <c r="K869" t="str">
        <f>TEXT(TIMEVALUE(H869)-TIMEVALUE(I868)+(TIMEVALUE(H869)&lt;TIMEVALUE(I868)),"[h]:mm")</f>
        <v>0:40</v>
      </c>
      <c r="L869" s="4" t="s">
        <v>71</v>
      </c>
      <c r="O869" t="str">
        <f>"LIM-"&amp;G868&amp;"-LIM   LA "&amp;E868&amp;" ("&amp;LEFT(H868,5)&amp;"-"&amp;LEFT(I868,5)&amp;" hrs)  /  LA "&amp;E869&amp;" ("&amp;LEFT(H869,5)&amp;"-"&amp;LEFT(I869,5)&amp;" hrs)"</f>
        <v>LIM-AQP-LIM   LA 2113 (15:05-16:35 hrs)  /  LA 2112 (17:15-18:55 hrs)</v>
      </c>
    </row>
    <row r="870" spans="2:24" x14ac:dyDescent="0.25">
      <c r="J870" s="7" t="s">
        <v>43</v>
      </c>
      <c r="K870" s="8" t="str">
        <f>TEXT(TIMEVALUE(I869)-TIMEVALUE(H868)+(I869&lt;H868),"[h]:mm")</f>
        <v>3:50</v>
      </c>
    </row>
    <row r="872" spans="2:24" ht="30" x14ac:dyDescent="0.25">
      <c r="B872" s="3" t="s">
        <v>9</v>
      </c>
      <c r="C872" s="3" t="s">
        <v>17</v>
      </c>
      <c r="D872" s="3" t="s">
        <v>18</v>
      </c>
      <c r="E872" s="3" t="s">
        <v>19</v>
      </c>
      <c r="F872" s="3" t="s">
        <v>20</v>
      </c>
      <c r="G872" s="3" t="s">
        <v>21</v>
      </c>
      <c r="H872" s="3" t="s">
        <v>22</v>
      </c>
      <c r="I872" s="3" t="s">
        <v>23</v>
      </c>
      <c r="J872" s="3" t="s">
        <v>24</v>
      </c>
      <c r="K872" s="3" t="s">
        <v>25</v>
      </c>
      <c r="L872" s="3" t="s">
        <v>26</v>
      </c>
    </row>
    <row r="873" spans="2:24" ht="30" x14ac:dyDescent="0.25">
      <c r="B873" s="4">
        <v>889</v>
      </c>
      <c r="C873" s="4" t="s">
        <v>168</v>
      </c>
      <c r="D873" s="4" t="s">
        <v>119</v>
      </c>
      <c r="E873" s="4">
        <v>2360</v>
      </c>
      <c r="F873" s="4" t="s">
        <v>29</v>
      </c>
      <c r="G873" s="4" t="s">
        <v>58</v>
      </c>
      <c r="H873" s="4" t="s">
        <v>59</v>
      </c>
      <c r="I873" s="4" t="s">
        <v>60</v>
      </c>
      <c r="J873" s="4">
        <v>319</v>
      </c>
      <c r="L873" s="4" t="s">
        <v>61</v>
      </c>
      <c r="M873" s="5"/>
      <c r="O873" s="5"/>
      <c r="Q873" s="4">
        <f>B873</f>
        <v>889</v>
      </c>
      <c r="R873" s="4" t="str">
        <f>C873</f>
        <v>10/10/2026</v>
      </c>
      <c r="S873" s="4" t="str">
        <f>D873</f>
        <v>sábado</v>
      </c>
      <c r="T873" s="4" t="str">
        <f>E873&amp;"/"&amp;E874</f>
        <v>2360/2361</v>
      </c>
      <c r="U873" s="4" t="str">
        <f>F873&amp;"-"&amp;G873&amp;"-"&amp;F873</f>
        <v>LIM-PCL-LIM</v>
      </c>
      <c r="V873" s="4" t="str">
        <f>IF($M$873="","",$M$873)</f>
        <v/>
      </c>
      <c r="W873" s="4" t="str">
        <f>IF($O$873="","",$O$873)</f>
        <v/>
      </c>
      <c r="X873" s="4">
        <f>J873</f>
        <v>319</v>
      </c>
    </row>
    <row r="874" spans="2:24" ht="30" x14ac:dyDescent="0.25">
      <c r="B874" s="4">
        <v>889</v>
      </c>
      <c r="C874" s="4" t="s">
        <v>168</v>
      </c>
      <c r="D874" s="4" t="s">
        <v>119</v>
      </c>
      <c r="E874" s="4">
        <v>2361</v>
      </c>
      <c r="F874" s="4" t="s">
        <v>58</v>
      </c>
      <c r="G874" s="4" t="s">
        <v>29</v>
      </c>
      <c r="H874" s="4" t="s">
        <v>53</v>
      </c>
      <c r="I874" s="4" t="s">
        <v>62</v>
      </c>
      <c r="J874" s="4">
        <v>319</v>
      </c>
      <c r="K874" t="str">
        <f>TEXT(TIMEVALUE(H874)-TIMEVALUE(I873)+(TIMEVALUE(H874)&lt;TIMEVALUE(I873)),"[h]:mm")</f>
        <v>0:40</v>
      </c>
      <c r="L874" s="4" t="s">
        <v>61</v>
      </c>
      <c r="O874" t="str">
        <f>"LIM-"&amp;G873&amp;"-LIM   LA "&amp;E873&amp;" ("&amp;LEFT(H873,5)&amp;"-"&amp;LEFT(I873,5)&amp;" hrs)  /  LA "&amp;E874&amp;" ("&amp;LEFT(H874,5)&amp;"-"&amp;LEFT(I874,5)&amp;" hrs)"</f>
        <v>LIM-PCL-LIM   LA 2360 (15:25-16:40 hrs)  /  LA 2361 (17:20-18:35 hrs)</v>
      </c>
    </row>
    <row r="875" spans="2:24" x14ac:dyDescent="0.25">
      <c r="J875" s="7" t="s">
        <v>43</v>
      </c>
      <c r="K875" s="8" t="str">
        <f>TEXT(TIMEVALUE(I874)-TIMEVALUE(H873)+(I874&lt;H873),"[h]:mm")</f>
        <v>3:10</v>
      </c>
    </row>
    <row r="877" spans="2:24" ht="30" x14ac:dyDescent="0.25">
      <c r="B877" s="3" t="s">
        <v>9</v>
      </c>
      <c r="C877" s="3" t="s">
        <v>17</v>
      </c>
      <c r="D877" s="3" t="s">
        <v>18</v>
      </c>
      <c r="E877" s="3" t="s">
        <v>19</v>
      </c>
      <c r="F877" s="3" t="s">
        <v>20</v>
      </c>
      <c r="G877" s="3" t="s">
        <v>21</v>
      </c>
      <c r="H877" s="3" t="s">
        <v>22</v>
      </c>
      <c r="I877" s="3" t="s">
        <v>23</v>
      </c>
      <c r="J877" s="3" t="s">
        <v>24</v>
      </c>
      <c r="K877" s="3" t="s">
        <v>25</v>
      </c>
      <c r="L877" s="3" t="s">
        <v>26</v>
      </c>
    </row>
    <row r="878" spans="2:24" ht="30" x14ac:dyDescent="0.25">
      <c r="B878" s="4">
        <v>890</v>
      </c>
      <c r="C878" s="4" t="s">
        <v>168</v>
      </c>
      <c r="D878" s="4" t="s">
        <v>119</v>
      </c>
      <c r="E878" s="4">
        <v>2312</v>
      </c>
      <c r="F878" s="4" t="s">
        <v>29</v>
      </c>
      <c r="G878" s="4" t="s">
        <v>37</v>
      </c>
      <c r="H878" s="4" t="s">
        <v>89</v>
      </c>
      <c r="I878" s="4" t="s">
        <v>77</v>
      </c>
      <c r="J878" s="4">
        <v>320</v>
      </c>
      <c r="L878" s="4" t="s">
        <v>40</v>
      </c>
      <c r="M878" s="5"/>
      <c r="O878" s="5"/>
      <c r="Q878" s="4">
        <f>B878</f>
        <v>890</v>
      </c>
      <c r="R878" s="4" t="str">
        <f>C878</f>
        <v>10/10/2026</v>
      </c>
      <c r="S878" s="4" t="str">
        <f>D878</f>
        <v>sábado</v>
      </c>
      <c r="T878" s="4" t="str">
        <f>E878&amp;"/"&amp;E879</f>
        <v>2312/2313</v>
      </c>
      <c r="U878" s="4" t="str">
        <f>F878&amp;"-"&amp;G878&amp;"-"&amp;F878</f>
        <v>LIM-CIX-LIM</v>
      </c>
      <c r="V878" s="4" t="str">
        <f>IF($M$878="","",$M$878)</f>
        <v/>
      </c>
      <c r="W878" s="4" t="str">
        <f>IF($O$878="","",$O$878)</f>
        <v/>
      </c>
      <c r="X878" s="4">
        <f>J878</f>
        <v>320</v>
      </c>
    </row>
    <row r="879" spans="2:24" ht="30" x14ac:dyDescent="0.25">
      <c r="B879" s="4">
        <v>890</v>
      </c>
      <c r="C879" s="4" t="s">
        <v>168</v>
      </c>
      <c r="D879" s="4" t="s">
        <v>119</v>
      </c>
      <c r="E879" s="4">
        <v>2313</v>
      </c>
      <c r="F879" s="4" t="s">
        <v>37</v>
      </c>
      <c r="G879" s="4" t="s">
        <v>29</v>
      </c>
      <c r="H879" s="4" t="s">
        <v>84</v>
      </c>
      <c r="I879" s="4" t="s">
        <v>90</v>
      </c>
      <c r="J879" s="4">
        <v>320</v>
      </c>
      <c r="K879" t="str">
        <f>TEXT(TIMEVALUE(H879)-TIMEVALUE(I878)+(TIMEVALUE(H879)&lt;TIMEVALUE(I878)),"[h]:mm")</f>
        <v>0:45</v>
      </c>
      <c r="L879" s="4" t="s">
        <v>33</v>
      </c>
      <c r="O879" t="str">
        <f>"LIM-"&amp;G878&amp;"-LIM   LA "&amp;E878&amp;" ("&amp;LEFT(H878,5)&amp;"-"&amp;LEFT(I878,5)&amp;" hrs)  /  LA "&amp;E879&amp;" ("&amp;LEFT(H879,5)&amp;"-"&amp;LEFT(I879,5)&amp;" hrs)"</f>
        <v>LIM-CIX-LIM   LA 2312 (15:35-17:05 hrs)  /  LA 2313 (17:50-19:10 hrs)</v>
      </c>
    </row>
    <row r="880" spans="2:24" x14ac:dyDescent="0.25">
      <c r="J880" s="7" t="s">
        <v>43</v>
      </c>
      <c r="K880" s="8" t="str">
        <f>TEXT(TIMEVALUE(I879)-TIMEVALUE(H878)+(I879&lt;H878),"[h]:mm")</f>
        <v>3:35</v>
      </c>
    </row>
    <row r="882" spans="2:24" ht="30" x14ac:dyDescent="0.25">
      <c r="B882" s="3" t="s">
        <v>9</v>
      </c>
      <c r="C882" s="3" t="s">
        <v>17</v>
      </c>
      <c r="D882" s="3" t="s">
        <v>18</v>
      </c>
      <c r="E882" s="3" t="s">
        <v>19</v>
      </c>
      <c r="F882" s="3" t="s">
        <v>20</v>
      </c>
      <c r="G882" s="3" t="s">
        <v>21</v>
      </c>
      <c r="H882" s="3" t="s">
        <v>22</v>
      </c>
      <c r="I882" s="3" t="s">
        <v>23</v>
      </c>
      <c r="J882" s="3" t="s">
        <v>24</v>
      </c>
      <c r="K882" s="3" t="s">
        <v>25</v>
      </c>
      <c r="L882" s="3" t="s">
        <v>26</v>
      </c>
    </row>
    <row r="883" spans="2:24" ht="30" x14ac:dyDescent="0.25">
      <c r="B883" s="4">
        <v>891</v>
      </c>
      <c r="C883" s="4" t="s">
        <v>168</v>
      </c>
      <c r="D883" s="4" t="s">
        <v>119</v>
      </c>
      <c r="E883" s="4">
        <v>2301</v>
      </c>
      <c r="F883" s="4" t="s">
        <v>29</v>
      </c>
      <c r="G883" s="4" t="s">
        <v>91</v>
      </c>
      <c r="H883" s="4" t="s">
        <v>92</v>
      </c>
      <c r="I883" s="4" t="s">
        <v>77</v>
      </c>
      <c r="J883" s="4">
        <v>320</v>
      </c>
      <c r="L883" s="4" t="s">
        <v>93</v>
      </c>
      <c r="M883" s="5"/>
      <c r="O883" s="5"/>
      <c r="Q883" s="4">
        <f>B883</f>
        <v>891</v>
      </c>
      <c r="R883" s="4" t="str">
        <f>C883</f>
        <v>10/10/2026</v>
      </c>
      <c r="S883" s="4" t="str">
        <f>D883</f>
        <v>sábado</v>
      </c>
      <c r="T883" s="4" t="str">
        <f>E883&amp;"/"&amp;E884</f>
        <v>2301/2300</v>
      </c>
      <c r="U883" s="4" t="str">
        <f>F883&amp;"-"&amp;G883&amp;"-"&amp;F883</f>
        <v>LIM-TPP-LIM</v>
      </c>
      <c r="V883" s="4" t="str">
        <f>IF($M$883="","",$M$883)</f>
        <v/>
      </c>
      <c r="W883" s="4" t="str">
        <f>IF($O$883="","",$O$883)</f>
        <v/>
      </c>
      <c r="X883" s="4">
        <f>J883</f>
        <v>320</v>
      </c>
    </row>
    <row r="884" spans="2:24" ht="30" x14ac:dyDescent="0.25">
      <c r="B884" s="4">
        <v>891</v>
      </c>
      <c r="C884" s="4" t="s">
        <v>168</v>
      </c>
      <c r="D884" s="4" t="s">
        <v>119</v>
      </c>
      <c r="E884" s="4">
        <v>2300</v>
      </c>
      <c r="F884" s="4" t="s">
        <v>91</v>
      </c>
      <c r="G884" s="4" t="s">
        <v>29</v>
      </c>
      <c r="H884" s="4" t="s">
        <v>84</v>
      </c>
      <c r="I884" s="4" t="s">
        <v>94</v>
      </c>
      <c r="J884" s="4">
        <v>320</v>
      </c>
      <c r="K884" t="str">
        <f>TEXT(TIMEVALUE(H884)-TIMEVALUE(I883)+(TIMEVALUE(H884)&lt;TIMEVALUE(I883)),"[h]:mm")</f>
        <v>0:45</v>
      </c>
      <c r="L884" s="4" t="s">
        <v>93</v>
      </c>
      <c r="O884" t="str">
        <f>"LIM-"&amp;G883&amp;"-LIM   LA "&amp;E883&amp;" ("&amp;LEFT(H883,5)&amp;"-"&amp;LEFT(I883,5)&amp;" hrs)  /  LA "&amp;E884&amp;" ("&amp;LEFT(H884,5)&amp;"-"&amp;LEFT(I884,5)&amp;" hrs)"</f>
        <v>LIM-TPP-LIM   LA 2301 (15:40-17:05 hrs)  /  LA 2300 (17:50-19:15 hrs)</v>
      </c>
    </row>
    <row r="885" spans="2:24" x14ac:dyDescent="0.25">
      <c r="J885" s="7" t="s">
        <v>43</v>
      </c>
      <c r="K885" s="8" t="str">
        <f>TEXT(TIMEVALUE(I884)-TIMEVALUE(H883)+(I884&lt;H883),"[h]:mm")</f>
        <v>3:35</v>
      </c>
    </row>
    <row r="887" spans="2:24" ht="30" x14ac:dyDescent="0.25">
      <c r="B887" s="3" t="s">
        <v>9</v>
      </c>
      <c r="C887" s="3" t="s">
        <v>17</v>
      </c>
      <c r="D887" s="3" t="s">
        <v>18</v>
      </c>
      <c r="E887" s="3" t="s">
        <v>19</v>
      </c>
      <c r="F887" s="3" t="s">
        <v>20</v>
      </c>
      <c r="G887" s="3" t="s">
        <v>21</v>
      </c>
      <c r="H887" s="3" t="s">
        <v>22</v>
      </c>
      <c r="I887" s="3" t="s">
        <v>23</v>
      </c>
      <c r="J887" s="3" t="s">
        <v>24</v>
      </c>
      <c r="K887" s="3" t="s">
        <v>25</v>
      </c>
      <c r="L887" s="3" t="s">
        <v>26</v>
      </c>
    </row>
    <row r="888" spans="2:24" ht="30" x14ac:dyDescent="0.25">
      <c r="B888" s="4">
        <v>892</v>
      </c>
      <c r="C888" s="4" t="s">
        <v>168</v>
      </c>
      <c r="D888" s="4" t="s">
        <v>119</v>
      </c>
      <c r="E888" s="4">
        <v>2301</v>
      </c>
      <c r="F888" s="4" t="s">
        <v>29</v>
      </c>
      <c r="G888" s="4" t="s">
        <v>91</v>
      </c>
      <c r="H888" s="4" t="s">
        <v>92</v>
      </c>
      <c r="I888" s="4" t="s">
        <v>77</v>
      </c>
      <c r="J888" s="4">
        <v>320</v>
      </c>
      <c r="L888" s="4" t="s">
        <v>93</v>
      </c>
      <c r="M888" s="5"/>
      <c r="O888" s="5"/>
      <c r="Q888" s="4">
        <f>B888</f>
        <v>892</v>
      </c>
      <c r="R888" s="4" t="str">
        <f>C888</f>
        <v>10/10/2026</v>
      </c>
      <c r="S888" s="4" t="str">
        <f>D888</f>
        <v>sábado</v>
      </c>
      <c r="T888" s="4" t="str">
        <f>E888&amp;"/"&amp;E889</f>
        <v>2301/2300</v>
      </c>
      <c r="U888" s="4" t="str">
        <f>F888&amp;"-"&amp;G888&amp;"-"&amp;F888</f>
        <v>LIM-TPP-LIM</v>
      </c>
      <c r="V888" s="4" t="str">
        <f>IF($M$888="","",$M$888)</f>
        <v/>
      </c>
      <c r="W888" s="4" t="str">
        <f>IF($O$888="","",$O$888)</f>
        <v/>
      </c>
      <c r="X888" s="4">
        <f>J888</f>
        <v>320</v>
      </c>
    </row>
    <row r="889" spans="2:24" ht="30" x14ac:dyDescent="0.25">
      <c r="B889" s="4">
        <v>892</v>
      </c>
      <c r="C889" s="4" t="s">
        <v>168</v>
      </c>
      <c r="D889" s="4" t="s">
        <v>119</v>
      </c>
      <c r="E889" s="4">
        <v>2300</v>
      </c>
      <c r="F889" s="4" t="s">
        <v>91</v>
      </c>
      <c r="G889" s="4" t="s">
        <v>29</v>
      </c>
      <c r="H889" s="4" t="s">
        <v>84</v>
      </c>
      <c r="I889" s="4" t="s">
        <v>94</v>
      </c>
      <c r="J889" s="4">
        <v>320</v>
      </c>
      <c r="K889" t="str">
        <f>TEXT(TIMEVALUE(H889)-TIMEVALUE(I888)+(TIMEVALUE(H889)&lt;TIMEVALUE(I888)),"[h]:mm")</f>
        <v>0:45</v>
      </c>
      <c r="L889" s="4" t="s">
        <v>93</v>
      </c>
      <c r="O889" t="str">
        <f>"LIM-"&amp;G888&amp;"-LIM   LA "&amp;E888&amp;" ("&amp;LEFT(H888,5)&amp;"-"&amp;LEFT(I888,5)&amp;" hrs)  /  LA "&amp;E889&amp;" ("&amp;LEFT(H889,5)&amp;"-"&amp;LEFT(I889,5)&amp;" hrs)"</f>
        <v>LIM-TPP-LIM   LA 2301 (15:40-17:05 hrs)  /  LA 2300 (17:50-19:15 hrs)</v>
      </c>
    </row>
    <row r="890" spans="2:24" x14ac:dyDescent="0.25">
      <c r="J890" s="7" t="s">
        <v>43</v>
      </c>
      <c r="K890" s="8" t="str">
        <f>TEXT(TIMEVALUE(I889)-TIMEVALUE(H888)+(I889&lt;H888),"[h]:mm")</f>
        <v>3:35</v>
      </c>
    </row>
    <row r="892" spans="2:24" ht="30" x14ac:dyDescent="0.25">
      <c r="B892" s="3" t="s">
        <v>9</v>
      </c>
      <c r="C892" s="3" t="s">
        <v>17</v>
      </c>
      <c r="D892" s="3" t="s">
        <v>18</v>
      </c>
      <c r="E892" s="3" t="s">
        <v>19</v>
      </c>
      <c r="F892" s="3" t="s">
        <v>20</v>
      </c>
      <c r="G892" s="3" t="s">
        <v>21</v>
      </c>
      <c r="H892" s="3" t="s">
        <v>22</v>
      </c>
      <c r="I892" s="3" t="s">
        <v>23</v>
      </c>
      <c r="J892" s="3" t="s">
        <v>24</v>
      </c>
      <c r="K892" s="3" t="s">
        <v>25</v>
      </c>
      <c r="L892" s="3" t="s">
        <v>26</v>
      </c>
    </row>
    <row r="893" spans="2:24" ht="30" x14ac:dyDescent="0.25">
      <c r="B893" s="4">
        <v>898</v>
      </c>
      <c r="C893" s="4" t="s">
        <v>168</v>
      </c>
      <c r="D893" s="4" t="s">
        <v>119</v>
      </c>
      <c r="E893" s="4">
        <v>2200</v>
      </c>
      <c r="F893" s="4" t="s">
        <v>29</v>
      </c>
      <c r="G893" s="4" t="s">
        <v>30</v>
      </c>
      <c r="H893" s="4" t="s">
        <v>130</v>
      </c>
      <c r="I893" s="4" t="s">
        <v>131</v>
      </c>
      <c r="J893" s="4">
        <v>320</v>
      </c>
      <c r="L893" s="4" t="s">
        <v>33</v>
      </c>
      <c r="M893" s="5"/>
      <c r="O893" s="5"/>
      <c r="Q893" s="4">
        <f>B893</f>
        <v>898</v>
      </c>
      <c r="R893" s="4" t="str">
        <f>C893</f>
        <v>10/10/2026</v>
      </c>
      <c r="S893" s="4" t="str">
        <f>D893</f>
        <v>sábado</v>
      </c>
      <c r="T893" s="4" t="str">
        <f>E893&amp;"/"&amp;E894</f>
        <v>2200/2201</v>
      </c>
      <c r="U893" s="4" t="str">
        <f>F893&amp;"-"&amp;G893&amp;"-"&amp;F893</f>
        <v>LIM-CUZ-LIM</v>
      </c>
      <c r="V893" s="4" t="str">
        <f>IF($M$893="","",$M$893)</f>
        <v/>
      </c>
      <c r="W893" s="4" t="str">
        <f>IF($O$893="","",$O$893)</f>
        <v/>
      </c>
      <c r="X893" s="4">
        <f>J893</f>
        <v>320</v>
      </c>
    </row>
    <row r="894" spans="2:24" ht="30" x14ac:dyDescent="0.25">
      <c r="B894" s="4">
        <v>898</v>
      </c>
      <c r="C894" s="4" t="s">
        <v>168</v>
      </c>
      <c r="D894" s="4" t="s">
        <v>119</v>
      </c>
      <c r="E894" s="4">
        <v>2201</v>
      </c>
      <c r="F894" s="4" t="s">
        <v>30</v>
      </c>
      <c r="G894" s="4" t="s">
        <v>29</v>
      </c>
      <c r="H894" s="4" t="s">
        <v>132</v>
      </c>
      <c r="I894" s="4" t="s">
        <v>133</v>
      </c>
      <c r="J894" s="4">
        <v>320</v>
      </c>
      <c r="K894" t="str">
        <f>TEXT(TIMEVALUE(H894)-TIMEVALUE(I893)+(TIMEVALUE(H894)&lt;TIMEVALUE(I893)),"[h]:mm")</f>
        <v>0:45</v>
      </c>
      <c r="L894" s="4" t="s">
        <v>40</v>
      </c>
      <c r="O894" t="str">
        <f>"LIM-"&amp;G893&amp;"-LIM   LA "&amp;E893&amp;" ("&amp;LEFT(H893,5)&amp;"-"&amp;LEFT(I893,5)&amp;" hrs)  /  LA "&amp;E894&amp;" ("&amp;LEFT(H894,5)&amp;"-"&amp;LEFT(I894,5)&amp;" hrs)"</f>
        <v>LIM-CUZ-LIM   LA 2200 (21:15-22:35 hrs)  /  LA 2201 (23:20-00:50 hrs)</v>
      </c>
    </row>
    <row r="895" spans="2:24" x14ac:dyDescent="0.25">
      <c r="J895" s="7" t="s">
        <v>43</v>
      </c>
      <c r="K895" s="8" t="str">
        <f>TEXT(TIMEVALUE(I894)-TIMEVALUE(H893)+(I894&lt;H893),"[h]:mm")</f>
        <v>3:35</v>
      </c>
    </row>
    <row r="897" spans="2:24" ht="30" x14ac:dyDescent="0.25">
      <c r="B897" s="3" t="s">
        <v>9</v>
      </c>
      <c r="C897" s="3" t="s">
        <v>17</v>
      </c>
      <c r="D897" s="3" t="s">
        <v>18</v>
      </c>
      <c r="E897" s="3" t="s">
        <v>19</v>
      </c>
      <c r="F897" s="3" t="s">
        <v>20</v>
      </c>
      <c r="G897" s="3" t="s">
        <v>21</v>
      </c>
      <c r="H897" s="3" t="s">
        <v>22</v>
      </c>
      <c r="I897" s="3" t="s">
        <v>23</v>
      </c>
      <c r="J897" s="3" t="s">
        <v>24</v>
      </c>
      <c r="K897" s="3" t="s">
        <v>25</v>
      </c>
      <c r="L897" s="3" t="s">
        <v>26</v>
      </c>
    </row>
    <row r="898" spans="2:24" ht="30" x14ac:dyDescent="0.25">
      <c r="B898" s="4">
        <v>940</v>
      </c>
      <c r="C898" s="4" t="s">
        <v>175</v>
      </c>
      <c r="D898" s="4" t="s">
        <v>135</v>
      </c>
      <c r="E898" s="4">
        <v>2007</v>
      </c>
      <c r="F898" s="4" t="s">
        <v>29</v>
      </c>
      <c r="G898" s="4" t="s">
        <v>30</v>
      </c>
      <c r="H898" s="4" t="s">
        <v>31</v>
      </c>
      <c r="I898" s="4" t="s">
        <v>32</v>
      </c>
      <c r="J898" s="4">
        <v>319</v>
      </c>
      <c r="L898" s="4" t="s">
        <v>33</v>
      </c>
      <c r="M898" s="5"/>
      <c r="O898" s="5"/>
      <c r="Q898" s="4">
        <f>B898</f>
        <v>940</v>
      </c>
      <c r="R898" s="4" t="str">
        <f>C898</f>
        <v>11/10/2026</v>
      </c>
      <c r="S898" s="4" t="str">
        <f>D898</f>
        <v>domingo</v>
      </c>
      <c r="T898" s="4" t="str">
        <f>E898&amp;"/"&amp;E899</f>
        <v>2007/2008</v>
      </c>
      <c r="U898" s="4" t="str">
        <f>F898&amp;"-"&amp;G898&amp;"-"&amp;F898</f>
        <v>LIM-CUZ-LIM</v>
      </c>
      <c r="V898" s="4" t="str">
        <f>IF($M$898="","",$M$898)</f>
        <v/>
      </c>
      <c r="W898" s="4" t="str">
        <f>IF($O$898="","",$O$898)</f>
        <v/>
      </c>
      <c r="X898" s="4">
        <f>J898</f>
        <v>319</v>
      </c>
    </row>
    <row r="899" spans="2:24" ht="30" x14ac:dyDescent="0.25">
      <c r="B899" s="4">
        <v>940</v>
      </c>
      <c r="C899" s="4" t="s">
        <v>175</v>
      </c>
      <c r="D899" s="4" t="s">
        <v>135</v>
      </c>
      <c r="E899" s="4">
        <v>2008</v>
      </c>
      <c r="F899" s="4" t="s">
        <v>30</v>
      </c>
      <c r="G899" s="4" t="s">
        <v>29</v>
      </c>
      <c r="H899" s="4" t="s">
        <v>34</v>
      </c>
      <c r="I899" s="4" t="s">
        <v>35</v>
      </c>
      <c r="J899" s="4">
        <v>319</v>
      </c>
      <c r="K899" t="str">
        <f>TEXT(TIMEVALUE(H899)-TIMEVALUE(I898)+(TIMEVALUE(H899)&lt;TIMEVALUE(I898)),"[h]:mm")</f>
        <v>0:50</v>
      </c>
      <c r="L899" s="4" t="s">
        <v>36</v>
      </c>
      <c r="O899" t="str">
        <f>"LIM-"&amp;G898&amp;"-LIM   LA "&amp;E898&amp;" ("&amp;LEFT(H898,5)&amp;"-"&amp;LEFT(I898,5)&amp;" hrs)  /  LA "&amp;E899&amp;" ("&amp;LEFT(H899,5)&amp;"-"&amp;LEFT(I899,5)&amp;" hrs)"</f>
        <v>LIM-CUZ-LIM   LA 2007 (09:10-10:30 hrs)  /  LA 2008 (11:20-12:55 hrs)</v>
      </c>
    </row>
    <row r="900" spans="2:24" ht="30" x14ac:dyDescent="0.25">
      <c r="B900" s="4">
        <v>961</v>
      </c>
      <c r="C900" s="4" t="s">
        <v>175</v>
      </c>
      <c r="D900" s="4" t="s">
        <v>135</v>
      </c>
      <c r="E900" s="4">
        <v>2232</v>
      </c>
      <c r="F900" s="4" t="s">
        <v>29</v>
      </c>
      <c r="G900" s="4" t="s">
        <v>30</v>
      </c>
      <c r="H900" s="4" t="s">
        <v>82</v>
      </c>
      <c r="I900" s="4" t="s">
        <v>51</v>
      </c>
      <c r="J900" s="4">
        <v>320</v>
      </c>
      <c r="K900" s="6" t="str">
        <f>TEXT(TIMEVALUE(H900)-TIMEVALUE(I899)+(TIMEVALUE(H900)&lt;TIMEVALUE(I899)),"[h]:mm")</f>
        <v>1:00</v>
      </c>
      <c r="L900" s="4" t="s">
        <v>33</v>
      </c>
      <c r="M900" t="str">
        <f>IF($M$898="","",$M$898)</f>
        <v/>
      </c>
      <c r="O900" t="str">
        <f>IF($O$898="","",$O$898)</f>
        <v/>
      </c>
      <c r="Q900" s="4">
        <f>B900</f>
        <v>961</v>
      </c>
      <c r="R900" s="4" t="str">
        <f>C900</f>
        <v>11/10/2026</v>
      </c>
      <c r="S900" s="4" t="str">
        <f>D900</f>
        <v>domingo</v>
      </c>
      <c r="T900" s="4" t="str">
        <f>E900&amp;"/"&amp;E901</f>
        <v>2232/2233</v>
      </c>
      <c r="U900" s="4" t="str">
        <f>F900&amp;"-"&amp;G900&amp;"-"&amp;F900</f>
        <v>LIM-CUZ-LIM</v>
      </c>
      <c r="V900" s="4" t="str">
        <f>IF($M$898="","",$M$898)</f>
        <v/>
      </c>
      <c r="W900" s="4" t="str">
        <f>IF($O$898="","",$O$898)</f>
        <v/>
      </c>
      <c r="X900" s="4">
        <f>J900</f>
        <v>320</v>
      </c>
    </row>
    <row r="901" spans="2:24" ht="30" x14ac:dyDescent="0.25">
      <c r="B901" s="4">
        <v>961</v>
      </c>
      <c r="C901" s="4" t="s">
        <v>175</v>
      </c>
      <c r="D901" s="4" t="s">
        <v>135</v>
      </c>
      <c r="E901" s="4">
        <v>2233</v>
      </c>
      <c r="F901" s="4" t="s">
        <v>30</v>
      </c>
      <c r="G901" s="4" t="s">
        <v>29</v>
      </c>
      <c r="H901" s="4" t="s">
        <v>41</v>
      </c>
      <c r="I901" s="4" t="s">
        <v>124</v>
      </c>
      <c r="J901" s="4">
        <v>320</v>
      </c>
      <c r="K901" t="str">
        <f>TEXT(TIMEVALUE(H901)-TIMEVALUE(I900)+(TIMEVALUE(H901)&lt;TIMEVALUE(I900)),"[h]:mm")</f>
        <v>0:40</v>
      </c>
      <c r="L901" s="4" t="s">
        <v>71</v>
      </c>
      <c r="O901" t="str">
        <f>"LIM-"&amp;G900&amp;"-LIM   LA "&amp;E900&amp;" ("&amp;LEFT(H900,5)&amp;"-"&amp;LEFT(I900,5)&amp;" hrs)  /  LA "&amp;E901&amp;" ("&amp;LEFT(H901,5)&amp;"-"&amp;LEFT(I901,5)&amp;" hrs)"</f>
        <v>LIM-CUZ-LIM   LA 2232 (13:55-15:15 hrs)  /  LA 2233 (15:55-17:35 hrs)</v>
      </c>
    </row>
    <row r="902" spans="2:24" x14ac:dyDescent="0.25">
      <c r="J902" s="7" t="s">
        <v>43</v>
      </c>
      <c r="K902" s="8" t="str">
        <f>TEXT(TIMEVALUE(I901)-TIMEVALUE(H898)+(I901&lt;H898),"[h]:mm")</f>
        <v>8:25</v>
      </c>
    </row>
    <row r="904" spans="2:24" ht="30" x14ac:dyDescent="0.25">
      <c r="B904" s="3" t="s">
        <v>9</v>
      </c>
      <c r="C904" s="3" t="s">
        <v>17</v>
      </c>
      <c r="D904" s="3" t="s">
        <v>18</v>
      </c>
      <c r="E904" s="3" t="s">
        <v>19</v>
      </c>
      <c r="F904" s="3" t="s">
        <v>20</v>
      </c>
      <c r="G904" s="3" t="s">
        <v>21</v>
      </c>
      <c r="H904" s="3" t="s">
        <v>22</v>
      </c>
      <c r="I904" s="3" t="s">
        <v>23</v>
      </c>
      <c r="J904" s="3" t="s">
        <v>24</v>
      </c>
      <c r="K904" s="3" t="s">
        <v>25</v>
      </c>
      <c r="L904" s="3" t="s">
        <v>26</v>
      </c>
    </row>
    <row r="905" spans="2:24" ht="30" x14ac:dyDescent="0.25">
      <c r="B905" s="4">
        <v>947</v>
      </c>
      <c r="C905" s="4" t="s">
        <v>175</v>
      </c>
      <c r="D905" s="4" t="s">
        <v>135</v>
      </c>
      <c r="E905" s="4">
        <v>2299</v>
      </c>
      <c r="F905" s="4" t="s">
        <v>29</v>
      </c>
      <c r="G905" s="4" t="s">
        <v>50</v>
      </c>
      <c r="H905" s="4" t="s">
        <v>64</v>
      </c>
      <c r="I905" s="4" t="s">
        <v>35</v>
      </c>
      <c r="J905" s="4">
        <v>320</v>
      </c>
      <c r="L905" s="4" t="s">
        <v>33</v>
      </c>
      <c r="M905" s="5"/>
      <c r="O905" s="5"/>
      <c r="Q905" s="4">
        <f>B905</f>
        <v>947</v>
      </c>
      <c r="R905" s="4" t="str">
        <f>C905</f>
        <v>11/10/2026</v>
      </c>
      <c r="S905" s="4" t="str">
        <f>D905</f>
        <v>domingo</v>
      </c>
      <c r="T905" s="4" t="str">
        <f>E905&amp;"/"&amp;E906</f>
        <v>2299/2298</v>
      </c>
      <c r="U905" s="4" t="str">
        <f>F905&amp;"-"&amp;G905&amp;"-"&amp;F905</f>
        <v>LIM-CJA-LIM</v>
      </c>
      <c r="V905" s="4" t="str">
        <f>IF($M$905="","",$M$905)</f>
        <v/>
      </c>
      <c r="W905" s="4" t="str">
        <f>IF($O$905="","",$O$905)</f>
        <v/>
      </c>
      <c r="X905" s="4">
        <f>J905</f>
        <v>320</v>
      </c>
    </row>
    <row r="906" spans="2:24" ht="30" x14ac:dyDescent="0.25">
      <c r="B906" s="4">
        <v>947</v>
      </c>
      <c r="C906" s="4" t="s">
        <v>175</v>
      </c>
      <c r="D906" s="4" t="s">
        <v>135</v>
      </c>
      <c r="E906" s="4">
        <v>2298</v>
      </c>
      <c r="F906" s="4" t="s">
        <v>50</v>
      </c>
      <c r="G906" s="4" t="s">
        <v>29</v>
      </c>
      <c r="H906" s="4" t="s">
        <v>99</v>
      </c>
      <c r="I906" s="4" t="s">
        <v>87</v>
      </c>
      <c r="J906" s="4">
        <v>320</v>
      </c>
      <c r="K906" t="str">
        <f>TEXT(TIMEVALUE(H906)-TIMEVALUE(I905)+(TIMEVALUE(H906)&lt;TIMEVALUE(I905)),"[h]:mm")</f>
        <v>0:50</v>
      </c>
      <c r="L906" s="4" t="s">
        <v>74</v>
      </c>
      <c r="O906" t="str">
        <f>"LIM-"&amp;G905&amp;"-LIM   LA "&amp;E905&amp;" ("&amp;LEFT(H905,5)&amp;"-"&amp;LEFT(I905,5)&amp;" hrs)  /  LA "&amp;E906&amp;" ("&amp;LEFT(H906,5)&amp;"-"&amp;LEFT(I906,5)&amp;" hrs)"</f>
        <v>LIM-CJA-LIM   LA 2299 (11:35-12:55 hrs)  /  LA 2298 (13:45-14:55 hrs)</v>
      </c>
    </row>
    <row r="907" spans="2:24" x14ac:dyDescent="0.25">
      <c r="J907" s="7" t="s">
        <v>43</v>
      </c>
      <c r="K907" s="8" t="str">
        <f>TEXT(TIMEVALUE(I906)-TIMEVALUE(H905)+(I906&lt;H905),"[h]:mm")</f>
        <v>3:20</v>
      </c>
    </row>
    <row r="909" spans="2:24" ht="30" x14ac:dyDescent="0.25">
      <c r="B909" s="3" t="s">
        <v>9</v>
      </c>
      <c r="C909" s="3" t="s">
        <v>17</v>
      </c>
      <c r="D909" s="3" t="s">
        <v>18</v>
      </c>
      <c r="E909" s="3" t="s">
        <v>19</v>
      </c>
      <c r="F909" s="3" t="s">
        <v>20</v>
      </c>
      <c r="G909" s="3" t="s">
        <v>21</v>
      </c>
      <c r="H909" s="3" t="s">
        <v>22</v>
      </c>
      <c r="I909" s="3" t="s">
        <v>23</v>
      </c>
      <c r="J909" s="3" t="s">
        <v>24</v>
      </c>
      <c r="K909" s="3" t="s">
        <v>25</v>
      </c>
      <c r="L909" s="3" t="s">
        <v>26</v>
      </c>
    </row>
    <row r="910" spans="2:24" ht="30" x14ac:dyDescent="0.25">
      <c r="B910" s="4">
        <v>954</v>
      </c>
      <c r="C910" s="4" t="s">
        <v>175</v>
      </c>
      <c r="D910" s="4" t="s">
        <v>135</v>
      </c>
      <c r="E910" s="4">
        <v>2023</v>
      </c>
      <c r="F910" s="4" t="s">
        <v>29</v>
      </c>
      <c r="G910" s="4" t="s">
        <v>44</v>
      </c>
      <c r="H910" s="4" t="s">
        <v>172</v>
      </c>
      <c r="I910" s="4" t="s">
        <v>82</v>
      </c>
      <c r="J910" s="4">
        <v>320</v>
      </c>
      <c r="L910" s="4" t="s">
        <v>71</v>
      </c>
      <c r="M910" s="5"/>
      <c r="O910" s="5"/>
      <c r="Q910" s="4">
        <f>B910</f>
        <v>954</v>
      </c>
      <c r="R910" s="4" t="str">
        <f>C910</f>
        <v>11/10/2026</v>
      </c>
      <c r="S910" s="4" t="str">
        <f>D910</f>
        <v>domingo</v>
      </c>
      <c r="T910" s="4" t="str">
        <f>E910&amp;"/"&amp;E911</f>
        <v>2023/2024</v>
      </c>
      <c r="U910" s="4" t="str">
        <f>F910&amp;"-"&amp;G910&amp;"-"&amp;F910</f>
        <v>LIM-PEM-LIM</v>
      </c>
      <c r="V910" s="4" t="str">
        <f>IF($M$910="","",$M$910)</f>
        <v/>
      </c>
      <c r="W910" s="4" t="str">
        <f>IF($O$910="","",$O$910)</f>
        <v/>
      </c>
      <c r="X910" s="4">
        <f>J910</f>
        <v>320</v>
      </c>
    </row>
    <row r="911" spans="2:24" ht="30" x14ac:dyDescent="0.25">
      <c r="B911" s="4">
        <v>954</v>
      </c>
      <c r="C911" s="4" t="s">
        <v>175</v>
      </c>
      <c r="D911" s="4" t="s">
        <v>135</v>
      </c>
      <c r="E911" s="4">
        <v>2024</v>
      </c>
      <c r="F911" s="4" t="s">
        <v>44</v>
      </c>
      <c r="G911" s="4" t="s">
        <v>29</v>
      </c>
      <c r="H911" s="4" t="s">
        <v>145</v>
      </c>
      <c r="I911" s="4" t="s">
        <v>83</v>
      </c>
      <c r="J911" s="4">
        <v>320</v>
      </c>
      <c r="K911" t="str">
        <f>TEXT(TIMEVALUE(H911)-TIMEVALUE(I910)+(TIMEVALUE(H911)&lt;TIMEVALUE(I910)),"[h]:mm")</f>
        <v>0:40</v>
      </c>
      <c r="L911" s="4" t="s">
        <v>36</v>
      </c>
      <c r="O911" t="str">
        <f>"LIM-"&amp;G910&amp;"-LIM   LA "&amp;E910&amp;" ("&amp;LEFT(H910,5)&amp;"-"&amp;LEFT(I910,5)&amp;" hrs)  /  LA "&amp;E911&amp;" ("&amp;LEFT(H911,5)&amp;"-"&amp;LEFT(I911,5)&amp;" hrs)"</f>
        <v>LIM-PEM-LIM   LA 2023 (12:15-13:55 hrs)  /  LA 2024 (14:35-16:10 hrs)</v>
      </c>
    </row>
    <row r="912" spans="2:24" ht="30" x14ac:dyDescent="0.25">
      <c r="B912" s="4">
        <v>975</v>
      </c>
      <c r="C912" s="4" t="s">
        <v>175</v>
      </c>
      <c r="D912" s="4" t="s">
        <v>135</v>
      </c>
      <c r="E912" s="4">
        <v>2115</v>
      </c>
      <c r="F912" s="4" t="s">
        <v>29</v>
      </c>
      <c r="G912" s="4" t="s">
        <v>56</v>
      </c>
      <c r="H912" s="4" t="s">
        <v>42</v>
      </c>
      <c r="I912" s="4" t="s">
        <v>68</v>
      </c>
      <c r="J912" s="4">
        <v>320</v>
      </c>
      <c r="K912" s="6" t="str">
        <f>TEXT(TIMEVALUE(H912)-TIMEVALUE(I911)+(TIMEVALUE(H912)&lt;TIMEVALUE(I911)),"[h]:mm")</f>
        <v>1:05</v>
      </c>
      <c r="L912" s="4" t="s">
        <v>40</v>
      </c>
      <c r="M912" t="str">
        <f>IF($M$910="","",$M$910)</f>
        <v/>
      </c>
      <c r="O912" t="str">
        <f>IF($O$910="","",$O$910)</f>
        <v/>
      </c>
      <c r="Q912" s="4">
        <f>B912</f>
        <v>975</v>
      </c>
      <c r="R912" s="4" t="str">
        <f>C912</f>
        <v>11/10/2026</v>
      </c>
      <c r="S912" s="4" t="str">
        <f>D912</f>
        <v>domingo</v>
      </c>
      <c r="T912" s="4" t="str">
        <f>E912&amp;"/"&amp;E913</f>
        <v>2115/2114</v>
      </c>
      <c r="U912" s="4" t="str">
        <f>F912&amp;"-"&amp;G912&amp;"-"&amp;F912</f>
        <v>LIM-AQP-LIM</v>
      </c>
      <c r="V912" s="4" t="str">
        <f>IF($M$910="","",$M$910)</f>
        <v/>
      </c>
      <c r="W912" s="4" t="str">
        <f>IF($O$910="","",$O$910)</f>
        <v/>
      </c>
      <c r="X912" s="4">
        <f>J912</f>
        <v>320</v>
      </c>
    </row>
    <row r="913" spans="2:24" ht="30" x14ac:dyDescent="0.25">
      <c r="B913" s="4">
        <v>975</v>
      </c>
      <c r="C913" s="4" t="s">
        <v>175</v>
      </c>
      <c r="D913" s="4" t="s">
        <v>135</v>
      </c>
      <c r="E913" s="4">
        <v>2114</v>
      </c>
      <c r="F913" s="4" t="s">
        <v>56</v>
      </c>
      <c r="G913" s="4" t="s">
        <v>29</v>
      </c>
      <c r="H913" s="4" t="s">
        <v>69</v>
      </c>
      <c r="I913" s="4" t="s">
        <v>70</v>
      </c>
      <c r="J913" s="4">
        <v>320</v>
      </c>
      <c r="K913" t="str">
        <f>TEXT(TIMEVALUE(H913)-TIMEVALUE(I912)+(TIMEVALUE(H913)&lt;TIMEVALUE(I912)),"[h]:mm")</f>
        <v>0:35</v>
      </c>
      <c r="L913" s="4" t="s">
        <v>71</v>
      </c>
      <c r="O913" t="str">
        <f>"LIM-"&amp;G912&amp;"-LIM   LA "&amp;E912&amp;" ("&amp;LEFT(H912,5)&amp;"-"&amp;LEFT(I912,5)&amp;" hrs)  /  LA "&amp;E913&amp;" ("&amp;LEFT(H913,5)&amp;"-"&amp;LEFT(I913,5)&amp;" hrs)"</f>
        <v>LIM-AQP-LIM   LA 2115 (17:15-18:45 hrs)  /  LA 2114 (19:20-21:00 hrs)</v>
      </c>
    </row>
    <row r="914" spans="2:24" x14ac:dyDescent="0.25">
      <c r="J914" s="7" t="s">
        <v>43</v>
      </c>
      <c r="K914" s="8" t="str">
        <f>TEXT(TIMEVALUE(I913)-TIMEVALUE(H910)+(I913&lt;H910),"[h]:mm")</f>
        <v>8:45</v>
      </c>
    </row>
    <row r="916" spans="2:24" ht="30" x14ac:dyDescent="0.25">
      <c r="B916" s="3" t="s">
        <v>9</v>
      </c>
      <c r="C916" s="3" t="s">
        <v>17</v>
      </c>
      <c r="D916" s="3" t="s">
        <v>18</v>
      </c>
      <c r="E916" s="3" t="s">
        <v>19</v>
      </c>
      <c r="F916" s="3" t="s">
        <v>20</v>
      </c>
      <c r="G916" s="3" t="s">
        <v>21</v>
      </c>
      <c r="H916" s="3" t="s">
        <v>22</v>
      </c>
      <c r="I916" s="3" t="s">
        <v>23</v>
      </c>
      <c r="J916" s="3" t="s">
        <v>24</v>
      </c>
      <c r="K916" s="3" t="s">
        <v>25</v>
      </c>
      <c r="L916" s="3" t="s">
        <v>26</v>
      </c>
    </row>
    <row r="917" spans="2:24" ht="30" x14ac:dyDescent="0.25">
      <c r="B917" s="4">
        <v>962</v>
      </c>
      <c r="C917" s="4" t="s">
        <v>175</v>
      </c>
      <c r="D917" s="4" t="s">
        <v>135</v>
      </c>
      <c r="E917" s="4">
        <v>2232</v>
      </c>
      <c r="F917" s="4" t="s">
        <v>29</v>
      </c>
      <c r="G917" s="4" t="s">
        <v>30</v>
      </c>
      <c r="H917" s="4" t="s">
        <v>82</v>
      </c>
      <c r="I917" s="4" t="s">
        <v>51</v>
      </c>
      <c r="J917" s="4">
        <v>320</v>
      </c>
      <c r="L917" s="4" t="s">
        <v>33</v>
      </c>
      <c r="M917" s="5"/>
      <c r="O917" s="5"/>
      <c r="Q917" s="4">
        <f>B917</f>
        <v>962</v>
      </c>
      <c r="R917" s="4" t="str">
        <f>C917</f>
        <v>11/10/2026</v>
      </c>
      <c r="S917" s="4" t="str">
        <f>D917</f>
        <v>domingo</v>
      </c>
      <c r="T917" s="4" t="str">
        <f>E917&amp;"/"&amp;E918</f>
        <v>2232/2233</v>
      </c>
      <c r="U917" s="4" t="str">
        <f>F917&amp;"-"&amp;G917&amp;"-"&amp;F917</f>
        <v>LIM-CUZ-LIM</v>
      </c>
      <c r="V917" s="4" t="str">
        <f>IF($M$917="","",$M$917)</f>
        <v/>
      </c>
      <c r="W917" s="4" t="str">
        <f>IF($O$917="","",$O$917)</f>
        <v/>
      </c>
      <c r="X917" s="4">
        <f>J917</f>
        <v>320</v>
      </c>
    </row>
    <row r="918" spans="2:24" ht="30" x14ac:dyDescent="0.25">
      <c r="B918" s="4">
        <v>962</v>
      </c>
      <c r="C918" s="4" t="s">
        <v>175</v>
      </c>
      <c r="D918" s="4" t="s">
        <v>135</v>
      </c>
      <c r="E918" s="4">
        <v>2233</v>
      </c>
      <c r="F918" s="4" t="s">
        <v>30</v>
      </c>
      <c r="G918" s="4" t="s">
        <v>29</v>
      </c>
      <c r="H918" s="4" t="s">
        <v>41</v>
      </c>
      <c r="I918" s="4" t="s">
        <v>124</v>
      </c>
      <c r="J918" s="4">
        <v>320</v>
      </c>
      <c r="K918" t="str">
        <f>TEXT(TIMEVALUE(H918)-TIMEVALUE(I917)+(TIMEVALUE(H918)&lt;TIMEVALUE(I917)),"[h]:mm")</f>
        <v>0:40</v>
      </c>
      <c r="L918" s="4" t="s">
        <v>71</v>
      </c>
      <c r="O918" t="str">
        <f>"LIM-"&amp;G917&amp;"-LIM   LA "&amp;E917&amp;" ("&amp;LEFT(H917,5)&amp;"-"&amp;LEFT(I917,5)&amp;" hrs)  /  LA "&amp;E918&amp;" ("&amp;LEFT(H918,5)&amp;"-"&amp;LEFT(I918,5)&amp;" hrs)"</f>
        <v>LIM-CUZ-LIM   LA 2232 (13:55-15:15 hrs)  /  LA 2233 (15:55-17:35 hrs)</v>
      </c>
    </row>
    <row r="919" spans="2:24" ht="30" x14ac:dyDescent="0.25">
      <c r="B919" s="4">
        <v>979</v>
      </c>
      <c r="C919" s="4" t="s">
        <v>175</v>
      </c>
      <c r="D919" s="4" t="s">
        <v>135</v>
      </c>
      <c r="E919" s="4">
        <v>2091</v>
      </c>
      <c r="F919" s="4" t="s">
        <v>29</v>
      </c>
      <c r="G919" s="4" t="s">
        <v>91</v>
      </c>
      <c r="H919" s="4" t="s">
        <v>62</v>
      </c>
      <c r="I919" s="4" t="s">
        <v>176</v>
      </c>
      <c r="J919" s="4">
        <v>320</v>
      </c>
      <c r="K919" s="6" t="str">
        <f>TEXT(TIMEVALUE(H919)-TIMEVALUE(I918)+(TIMEVALUE(H919)&lt;TIMEVALUE(I918)),"[h]:mm")</f>
        <v>1:00</v>
      </c>
      <c r="L919" s="4" t="s">
        <v>93</v>
      </c>
      <c r="M919" t="str">
        <f>IF($M$917="","",$M$917)</f>
        <v/>
      </c>
      <c r="O919" t="str">
        <f>IF($O$917="","",$O$917)</f>
        <v/>
      </c>
      <c r="Q919" s="4">
        <f>B919</f>
        <v>979</v>
      </c>
      <c r="R919" s="4" t="str">
        <f>C919</f>
        <v>11/10/2026</v>
      </c>
      <c r="S919" s="4" t="str">
        <f>D919</f>
        <v>domingo</v>
      </c>
      <c r="T919" s="4" t="str">
        <f>E919&amp;"/"&amp;E920</f>
        <v>2091/2092</v>
      </c>
      <c r="U919" s="4" t="str">
        <f>F919&amp;"-"&amp;G919&amp;"-"&amp;F919</f>
        <v>LIM-TPP-LIM</v>
      </c>
      <c r="V919" s="4" t="str">
        <f>IF($M$917="","",$M$917)</f>
        <v/>
      </c>
      <c r="W919" s="4" t="str">
        <f>IF($O$917="","",$O$917)</f>
        <v/>
      </c>
      <c r="X919" s="4">
        <f>J919</f>
        <v>320</v>
      </c>
    </row>
    <row r="920" spans="2:24" ht="30" x14ac:dyDescent="0.25">
      <c r="B920" s="4">
        <v>979</v>
      </c>
      <c r="C920" s="4" t="s">
        <v>175</v>
      </c>
      <c r="D920" s="4" t="s">
        <v>135</v>
      </c>
      <c r="E920" s="4">
        <v>2092</v>
      </c>
      <c r="F920" s="4" t="s">
        <v>91</v>
      </c>
      <c r="G920" s="4" t="s">
        <v>29</v>
      </c>
      <c r="H920" s="4" t="s">
        <v>129</v>
      </c>
      <c r="I920" s="4" t="s">
        <v>173</v>
      </c>
      <c r="J920" s="4">
        <v>320</v>
      </c>
      <c r="K920" t="str">
        <f>TEXT(TIMEVALUE(H920)-TIMEVALUE(I919)+(TIMEVALUE(H920)&lt;TIMEVALUE(I919)),"[h]:mm")</f>
        <v>0:40</v>
      </c>
      <c r="L920" s="4" t="s">
        <v>40</v>
      </c>
      <c r="O920" t="str">
        <f>"LIM-"&amp;G919&amp;"-LIM   LA "&amp;E919&amp;" ("&amp;LEFT(H919,5)&amp;"-"&amp;LEFT(I919,5)&amp;" hrs)  /  LA "&amp;E920&amp;" ("&amp;LEFT(H920,5)&amp;"-"&amp;LEFT(I920,5)&amp;" hrs)"</f>
        <v>LIM-TPP-LIM   LA 2091 (18:35-20:00 hrs)  /  LA 2092 (20:40-22:10 hrs)</v>
      </c>
    </row>
    <row r="921" spans="2:24" x14ac:dyDescent="0.25">
      <c r="J921" s="7" t="s">
        <v>43</v>
      </c>
      <c r="K921" s="8" t="str">
        <f>TEXT(TIMEVALUE(I920)-TIMEVALUE(H917)+(I920&lt;H917),"[h]:mm")</f>
        <v>8:15</v>
      </c>
    </row>
    <row r="923" spans="2:24" ht="30" x14ac:dyDescent="0.25">
      <c r="B923" s="3" t="s">
        <v>9</v>
      </c>
      <c r="C923" s="3" t="s">
        <v>17</v>
      </c>
      <c r="D923" s="3" t="s">
        <v>18</v>
      </c>
      <c r="E923" s="3" t="s">
        <v>19</v>
      </c>
      <c r="F923" s="3" t="s">
        <v>20</v>
      </c>
      <c r="G923" s="3" t="s">
        <v>21</v>
      </c>
      <c r="H923" s="3" t="s">
        <v>22</v>
      </c>
      <c r="I923" s="3" t="s">
        <v>23</v>
      </c>
      <c r="J923" s="3" t="s">
        <v>24</v>
      </c>
      <c r="K923" s="3" t="s">
        <v>25</v>
      </c>
      <c r="L923" s="3" t="s">
        <v>26</v>
      </c>
    </row>
    <row r="924" spans="2:24" ht="30" x14ac:dyDescent="0.25">
      <c r="B924" s="4">
        <v>963</v>
      </c>
      <c r="C924" s="4" t="s">
        <v>175</v>
      </c>
      <c r="D924" s="4" t="s">
        <v>135</v>
      </c>
      <c r="E924" s="4">
        <v>2295</v>
      </c>
      <c r="F924" s="4" t="s">
        <v>29</v>
      </c>
      <c r="G924" s="4" t="s">
        <v>50</v>
      </c>
      <c r="H924" s="4" t="s">
        <v>110</v>
      </c>
      <c r="I924" s="4" t="s">
        <v>76</v>
      </c>
      <c r="J924" s="4">
        <v>320</v>
      </c>
      <c r="L924" s="4" t="s">
        <v>33</v>
      </c>
      <c r="M924" s="5"/>
      <c r="O924" s="5"/>
      <c r="Q924" s="4">
        <f>B924</f>
        <v>963</v>
      </c>
      <c r="R924" s="4" t="str">
        <f>C924</f>
        <v>11/10/2026</v>
      </c>
      <c r="S924" s="4" t="str">
        <f>D924</f>
        <v>domingo</v>
      </c>
      <c r="T924" s="4" t="str">
        <f>E924&amp;"/"&amp;E925</f>
        <v>2295/2294</v>
      </c>
      <c r="U924" s="4" t="str">
        <f>F924&amp;"-"&amp;G924&amp;"-"&amp;F924</f>
        <v>LIM-CJA-LIM</v>
      </c>
      <c r="V924" s="4" t="str">
        <f>IF($M$924="","",$M$924)</f>
        <v/>
      </c>
      <c r="W924" s="4" t="str">
        <f>IF($O$924="","",$O$924)</f>
        <v/>
      </c>
      <c r="X924" s="4">
        <f>J924</f>
        <v>320</v>
      </c>
    </row>
    <row r="925" spans="2:24" ht="30" x14ac:dyDescent="0.25">
      <c r="B925" s="4">
        <v>963</v>
      </c>
      <c r="C925" s="4" t="s">
        <v>175</v>
      </c>
      <c r="D925" s="4" t="s">
        <v>135</v>
      </c>
      <c r="E925" s="4">
        <v>2294</v>
      </c>
      <c r="F925" s="4" t="s">
        <v>50</v>
      </c>
      <c r="G925" s="4" t="s">
        <v>29</v>
      </c>
      <c r="H925" s="4" t="s">
        <v>83</v>
      </c>
      <c r="I925" s="4" t="s">
        <v>42</v>
      </c>
      <c r="J925" s="4">
        <v>320</v>
      </c>
      <c r="K925" t="str">
        <f>TEXT(TIMEVALUE(H925)-TIMEVALUE(I924)+(TIMEVALUE(H925)&lt;TIMEVALUE(I924)),"[h]:mm")</f>
        <v>0:40</v>
      </c>
      <c r="L925" s="4" t="s">
        <v>55</v>
      </c>
      <c r="O925" t="str">
        <f>"LIM-"&amp;G924&amp;"-LIM   LA "&amp;E924&amp;" ("&amp;LEFT(H924,5)&amp;"-"&amp;LEFT(I924,5)&amp;" hrs)  /  LA "&amp;E925&amp;" ("&amp;LEFT(H925,5)&amp;"-"&amp;LEFT(I925,5)&amp;" hrs)"</f>
        <v>LIM-CJA-LIM   LA 2295 (14:10-15:30 hrs)  /  LA 2294 (16:10-17:15 hrs)</v>
      </c>
    </row>
    <row r="926" spans="2:24" x14ac:dyDescent="0.25">
      <c r="J926" s="7" t="s">
        <v>43</v>
      </c>
      <c r="K926" s="8" t="str">
        <f>TEXT(TIMEVALUE(I925)-TIMEVALUE(H924)+(I925&lt;H924),"[h]:mm")</f>
        <v>3:05</v>
      </c>
    </row>
    <row r="928" spans="2:24" ht="30" x14ac:dyDescent="0.25">
      <c r="B928" s="3" t="s">
        <v>9</v>
      </c>
      <c r="C928" s="3" t="s">
        <v>17</v>
      </c>
      <c r="D928" s="3" t="s">
        <v>18</v>
      </c>
      <c r="E928" s="3" t="s">
        <v>19</v>
      </c>
      <c r="F928" s="3" t="s">
        <v>20</v>
      </c>
      <c r="G928" s="3" t="s">
        <v>21</v>
      </c>
      <c r="H928" s="3" t="s">
        <v>22</v>
      </c>
      <c r="I928" s="3" t="s">
        <v>23</v>
      </c>
      <c r="J928" s="3" t="s">
        <v>24</v>
      </c>
      <c r="K928" s="3" t="s">
        <v>25</v>
      </c>
      <c r="L928" s="3" t="s">
        <v>26</v>
      </c>
    </row>
    <row r="929" spans="2:24" ht="30" x14ac:dyDescent="0.25">
      <c r="B929" s="4">
        <v>964</v>
      </c>
      <c r="C929" s="4" t="s">
        <v>175</v>
      </c>
      <c r="D929" s="4" t="s">
        <v>135</v>
      </c>
      <c r="E929" s="4">
        <v>2295</v>
      </c>
      <c r="F929" s="4" t="s">
        <v>29</v>
      </c>
      <c r="G929" s="4" t="s">
        <v>50</v>
      </c>
      <c r="H929" s="4" t="s">
        <v>110</v>
      </c>
      <c r="I929" s="4" t="s">
        <v>76</v>
      </c>
      <c r="J929" s="4">
        <v>320</v>
      </c>
      <c r="L929" s="4" t="s">
        <v>33</v>
      </c>
      <c r="M929" s="5"/>
      <c r="O929" s="5"/>
      <c r="Q929" s="4">
        <f>B929</f>
        <v>964</v>
      </c>
      <c r="R929" s="4" t="str">
        <f>C929</f>
        <v>11/10/2026</v>
      </c>
      <c r="S929" s="4" t="str">
        <f>D929</f>
        <v>domingo</v>
      </c>
      <c r="T929" s="4" t="str">
        <f>E929&amp;"/"&amp;E930</f>
        <v>2295/2294</v>
      </c>
      <c r="U929" s="4" t="str">
        <f>F929&amp;"-"&amp;G929&amp;"-"&amp;F929</f>
        <v>LIM-CJA-LIM</v>
      </c>
      <c r="V929" s="4" t="str">
        <f>IF($M$929="","",$M$929)</f>
        <v/>
      </c>
      <c r="W929" s="4" t="str">
        <f>IF($O$929="","",$O$929)</f>
        <v/>
      </c>
      <c r="X929" s="4">
        <f>J929</f>
        <v>320</v>
      </c>
    </row>
    <row r="930" spans="2:24" ht="30" x14ac:dyDescent="0.25">
      <c r="B930" s="4">
        <v>964</v>
      </c>
      <c r="C930" s="4" t="s">
        <v>175</v>
      </c>
      <c r="D930" s="4" t="s">
        <v>135</v>
      </c>
      <c r="E930" s="4">
        <v>2294</v>
      </c>
      <c r="F930" s="4" t="s">
        <v>50</v>
      </c>
      <c r="G930" s="4" t="s">
        <v>29</v>
      </c>
      <c r="H930" s="4" t="s">
        <v>83</v>
      </c>
      <c r="I930" s="4" t="s">
        <v>42</v>
      </c>
      <c r="J930" s="4">
        <v>320</v>
      </c>
      <c r="K930" t="str">
        <f>TEXT(TIMEVALUE(H930)-TIMEVALUE(I929)+(TIMEVALUE(H930)&lt;TIMEVALUE(I929)),"[h]:mm")</f>
        <v>0:40</v>
      </c>
      <c r="L930" s="4" t="s">
        <v>55</v>
      </c>
      <c r="O930" t="str">
        <f>"LIM-"&amp;G929&amp;"-LIM   LA "&amp;E929&amp;" ("&amp;LEFT(H929,5)&amp;"-"&amp;LEFT(I929,5)&amp;" hrs)  /  LA "&amp;E930&amp;" ("&amp;LEFT(H930,5)&amp;"-"&amp;LEFT(I930,5)&amp;" hrs)"</f>
        <v>LIM-CJA-LIM   LA 2295 (14:10-15:30 hrs)  /  LA 2294 (16:10-17:15 hrs)</v>
      </c>
    </row>
    <row r="931" spans="2:24" x14ac:dyDescent="0.25">
      <c r="J931" s="7" t="s">
        <v>43</v>
      </c>
      <c r="K931" s="8" t="str">
        <f>TEXT(TIMEVALUE(I930)-TIMEVALUE(H929)+(I930&lt;H929),"[h]:mm")</f>
        <v>3:05</v>
      </c>
    </row>
    <row r="933" spans="2:24" ht="30" x14ac:dyDescent="0.25">
      <c r="B933" s="3" t="s">
        <v>9</v>
      </c>
      <c r="C933" s="3" t="s">
        <v>17</v>
      </c>
      <c r="D933" s="3" t="s">
        <v>18</v>
      </c>
      <c r="E933" s="3" t="s">
        <v>19</v>
      </c>
      <c r="F933" s="3" t="s">
        <v>20</v>
      </c>
      <c r="G933" s="3" t="s">
        <v>21</v>
      </c>
      <c r="H933" s="3" t="s">
        <v>22</v>
      </c>
      <c r="I933" s="3" t="s">
        <v>23</v>
      </c>
      <c r="J933" s="3" t="s">
        <v>24</v>
      </c>
      <c r="K933" s="3" t="s">
        <v>25</v>
      </c>
      <c r="L933" s="3" t="s">
        <v>26</v>
      </c>
    </row>
    <row r="934" spans="2:24" ht="30" x14ac:dyDescent="0.25">
      <c r="B934" s="4">
        <v>966</v>
      </c>
      <c r="C934" s="4" t="s">
        <v>175</v>
      </c>
      <c r="D934" s="4" t="s">
        <v>135</v>
      </c>
      <c r="E934" s="4">
        <v>2154</v>
      </c>
      <c r="F934" s="4" t="s">
        <v>29</v>
      </c>
      <c r="G934" s="4" t="s">
        <v>30</v>
      </c>
      <c r="H934" s="4" t="s">
        <v>75</v>
      </c>
      <c r="I934" s="4" t="s">
        <v>85</v>
      </c>
      <c r="J934" s="4">
        <v>320</v>
      </c>
      <c r="L934" s="4" t="s">
        <v>33</v>
      </c>
      <c r="M934" s="5"/>
      <c r="O934" s="5"/>
      <c r="Q934" s="4">
        <f>B934</f>
        <v>966</v>
      </c>
      <c r="R934" s="4" t="str">
        <f>C934</f>
        <v>11/10/2026</v>
      </c>
      <c r="S934" s="4" t="str">
        <f>D934</f>
        <v>domingo</v>
      </c>
      <c r="T934" s="4" t="str">
        <f>E934&amp;"/"&amp;E935</f>
        <v>2154/2155</v>
      </c>
      <c r="U934" s="4" t="str">
        <f>F934&amp;"-"&amp;G934&amp;"-"&amp;F934</f>
        <v>LIM-CUZ-LIM</v>
      </c>
      <c r="V934" s="4" t="str">
        <f>IF($M$934="","",$M$934)</f>
        <v/>
      </c>
      <c r="W934" s="4" t="str">
        <f>IF($O$934="","",$O$934)</f>
        <v/>
      </c>
      <c r="X934" s="4">
        <f>J934</f>
        <v>320</v>
      </c>
    </row>
    <row r="935" spans="2:24" ht="30" x14ac:dyDescent="0.25">
      <c r="B935" s="4">
        <v>966</v>
      </c>
      <c r="C935" s="4" t="s">
        <v>175</v>
      </c>
      <c r="D935" s="4" t="s">
        <v>135</v>
      </c>
      <c r="E935" s="4">
        <v>2155</v>
      </c>
      <c r="F935" s="4" t="s">
        <v>30</v>
      </c>
      <c r="G935" s="4" t="s">
        <v>29</v>
      </c>
      <c r="H935" s="4" t="s">
        <v>86</v>
      </c>
      <c r="I935" s="4" t="s">
        <v>78</v>
      </c>
      <c r="J935" s="4">
        <v>320</v>
      </c>
      <c r="K935" t="str">
        <f>TEXT(TIMEVALUE(H935)-TIMEVALUE(I934)+(TIMEVALUE(H935)&lt;TIMEVALUE(I934)),"[h]:mm")</f>
        <v>0:40</v>
      </c>
      <c r="L935" s="4" t="s">
        <v>36</v>
      </c>
      <c r="O935" t="str">
        <f>"LIM-"&amp;G934&amp;"-LIM   LA "&amp;E934&amp;" ("&amp;LEFT(H934,5)&amp;"-"&amp;LEFT(I934,5)&amp;" hrs)  /  LA "&amp;E935&amp;" ("&amp;LEFT(H935,5)&amp;"-"&amp;LEFT(I935,5)&amp;" hrs)"</f>
        <v>LIM-CUZ-LIM   LA 2154 (14:45-16:05 hrs)  /  LA 2155 (16:45-18:20 hrs)</v>
      </c>
    </row>
    <row r="936" spans="2:24" x14ac:dyDescent="0.25">
      <c r="J936" s="7" t="s">
        <v>43</v>
      </c>
      <c r="K936" s="8" t="str">
        <f>TEXT(TIMEVALUE(I935)-TIMEVALUE(H934)+(I935&lt;H934),"[h]:mm")</f>
        <v>3:35</v>
      </c>
    </row>
    <row r="938" spans="2:24" ht="30" x14ac:dyDescent="0.25">
      <c r="B938" s="3" t="s">
        <v>9</v>
      </c>
      <c r="C938" s="3" t="s">
        <v>17</v>
      </c>
      <c r="D938" s="3" t="s">
        <v>18</v>
      </c>
      <c r="E938" s="3" t="s">
        <v>19</v>
      </c>
      <c r="F938" s="3" t="s">
        <v>20</v>
      </c>
      <c r="G938" s="3" t="s">
        <v>21</v>
      </c>
      <c r="H938" s="3" t="s">
        <v>22</v>
      </c>
      <c r="I938" s="3" t="s">
        <v>23</v>
      </c>
      <c r="J938" s="3" t="s">
        <v>24</v>
      </c>
      <c r="K938" s="3" t="s">
        <v>25</v>
      </c>
      <c r="L938" s="3" t="s">
        <v>26</v>
      </c>
    </row>
    <row r="939" spans="2:24" ht="30" x14ac:dyDescent="0.25">
      <c r="B939" s="4">
        <v>968</v>
      </c>
      <c r="C939" s="4" t="s">
        <v>175</v>
      </c>
      <c r="D939" s="4" t="s">
        <v>135</v>
      </c>
      <c r="E939" s="4">
        <v>2113</v>
      </c>
      <c r="F939" s="4" t="s">
        <v>29</v>
      </c>
      <c r="G939" s="4" t="s">
        <v>56</v>
      </c>
      <c r="H939" s="4" t="s">
        <v>126</v>
      </c>
      <c r="I939" s="4" t="s">
        <v>52</v>
      </c>
      <c r="J939" s="4">
        <v>320</v>
      </c>
      <c r="L939" s="4" t="s">
        <v>40</v>
      </c>
      <c r="M939" s="5"/>
      <c r="O939" s="5"/>
      <c r="Q939" s="4">
        <f>B939</f>
        <v>968</v>
      </c>
      <c r="R939" s="4" t="str">
        <f>C939</f>
        <v>11/10/2026</v>
      </c>
      <c r="S939" s="4" t="str">
        <f>D939</f>
        <v>domingo</v>
      </c>
      <c r="T939" s="4" t="str">
        <f>E939&amp;"/"&amp;E940</f>
        <v>2113/2112</v>
      </c>
      <c r="U939" s="4" t="str">
        <f>F939&amp;"-"&amp;G939&amp;"-"&amp;F939</f>
        <v>LIM-AQP-LIM</v>
      </c>
      <c r="V939" s="4" t="str">
        <f>IF($M$939="","",$M$939)</f>
        <v/>
      </c>
      <c r="W939" s="4" t="str">
        <f>IF($O$939="","",$O$939)</f>
        <v/>
      </c>
      <c r="X939" s="4">
        <f>J939</f>
        <v>320</v>
      </c>
    </row>
    <row r="940" spans="2:24" ht="30" x14ac:dyDescent="0.25">
      <c r="B940" s="4">
        <v>968</v>
      </c>
      <c r="C940" s="4" t="s">
        <v>175</v>
      </c>
      <c r="D940" s="4" t="s">
        <v>135</v>
      </c>
      <c r="E940" s="4">
        <v>2112</v>
      </c>
      <c r="F940" s="4" t="s">
        <v>56</v>
      </c>
      <c r="G940" s="4" t="s">
        <v>29</v>
      </c>
      <c r="H940" s="4" t="s">
        <v>42</v>
      </c>
      <c r="I940" s="4" t="s">
        <v>88</v>
      </c>
      <c r="J940" s="4">
        <v>320</v>
      </c>
      <c r="K940" t="str">
        <f>TEXT(TIMEVALUE(H940)-TIMEVALUE(I939)+(TIMEVALUE(H940)&lt;TIMEVALUE(I939)),"[h]:mm")</f>
        <v>0:40</v>
      </c>
      <c r="L940" s="4" t="s">
        <v>71</v>
      </c>
      <c r="O940" t="str">
        <f>"LIM-"&amp;G939&amp;"-LIM   LA "&amp;E939&amp;" ("&amp;LEFT(H939,5)&amp;"-"&amp;LEFT(I939,5)&amp;" hrs)  /  LA "&amp;E940&amp;" ("&amp;LEFT(H940,5)&amp;"-"&amp;LEFT(I940,5)&amp;" hrs)"</f>
        <v>LIM-AQP-LIM   LA 2113 (15:05-16:35 hrs)  /  LA 2112 (17:15-18:55 hrs)</v>
      </c>
    </row>
    <row r="941" spans="2:24" x14ac:dyDescent="0.25">
      <c r="J941" s="7" t="s">
        <v>43</v>
      </c>
      <c r="K941" s="8" t="str">
        <f>TEXT(TIMEVALUE(I940)-TIMEVALUE(H939)+(I940&lt;H939),"[h]:mm")</f>
        <v>3:50</v>
      </c>
    </row>
    <row r="943" spans="2:24" ht="30" x14ac:dyDescent="0.25">
      <c r="B943" s="3" t="s">
        <v>9</v>
      </c>
      <c r="C943" s="3" t="s">
        <v>17</v>
      </c>
      <c r="D943" s="3" t="s">
        <v>18</v>
      </c>
      <c r="E943" s="3" t="s">
        <v>19</v>
      </c>
      <c r="F943" s="3" t="s">
        <v>20</v>
      </c>
      <c r="G943" s="3" t="s">
        <v>21</v>
      </c>
      <c r="H943" s="3" t="s">
        <v>22</v>
      </c>
      <c r="I943" s="3" t="s">
        <v>23</v>
      </c>
      <c r="J943" s="3" t="s">
        <v>24</v>
      </c>
      <c r="K943" s="3" t="s">
        <v>25</v>
      </c>
      <c r="L943" s="3" t="s">
        <v>26</v>
      </c>
    </row>
    <row r="944" spans="2:24" ht="30" x14ac:dyDescent="0.25">
      <c r="B944" s="4">
        <v>970</v>
      </c>
      <c r="C944" s="4" t="s">
        <v>175</v>
      </c>
      <c r="D944" s="4" t="s">
        <v>135</v>
      </c>
      <c r="E944" s="4">
        <v>2297</v>
      </c>
      <c r="F944" s="4" t="s">
        <v>29</v>
      </c>
      <c r="G944" s="4" t="s">
        <v>50</v>
      </c>
      <c r="H944" s="4" t="s">
        <v>51</v>
      </c>
      <c r="I944" s="4" t="s">
        <v>52</v>
      </c>
      <c r="J944" s="4">
        <v>319</v>
      </c>
      <c r="L944" s="4" t="s">
        <v>33</v>
      </c>
      <c r="M944" s="5"/>
      <c r="O944" s="5"/>
      <c r="Q944" s="4">
        <f>B944</f>
        <v>970</v>
      </c>
      <c r="R944" s="4" t="str">
        <f>C944</f>
        <v>11/10/2026</v>
      </c>
      <c r="S944" s="4" t="str">
        <f>D944</f>
        <v>domingo</v>
      </c>
      <c r="T944" s="4" t="str">
        <f>E944&amp;"/"&amp;E945</f>
        <v>2297/2296</v>
      </c>
      <c r="U944" s="4" t="str">
        <f>F944&amp;"-"&amp;G944&amp;"-"&amp;F944</f>
        <v>LIM-CJA-LIM</v>
      </c>
      <c r="V944" s="4" t="str">
        <f>IF($M$944="","",$M$944)</f>
        <v/>
      </c>
      <c r="W944" s="4" t="str">
        <f>IF($O$944="","",$O$944)</f>
        <v/>
      </c>
      <c r="X944" s="4">
        <f>J944</f>
        <v>319</v>
      </c>
    </row>
    <row r="945" spans="2:24" ht="30" x14ac:dyDescent="0.25">
      <c r="B945" s="4">
        <v>970</v>
      </c>
      <c r="C945" s="4" t="s">
        <v>175</v>
      </c>
      <c r="D945" s="4" t="s">
        <v>135</v>
      </c>
      <c r="E945" s="4">
        <v>2296</v>
      </c>
      <c r="F945" s="4" t="s">
        <v>50</v>
      </c>
      <c r="G945" s="4" t="s">
        <v>29</v>
      </c>
      <c r="H945" s="4" t="s">
        <v>53</v>
      </c>
      <c r="I945" s="4" t="s">
        <v>54</v>
      </c>
      <c r="J945" s="4">
        <v>319</v>
      </c>
      <c r="K945" t="str">
        <f>TEXT(TIMEVALUE(H945)-TIMEVALUE(I944)+(TIMEVALUE(H945)&lt;TIMEVALUE(I944)),"[h]:mm")</f>
        <v>0:45</v>
      </c>
      <c r="L945" s="4" t="s">
        <v>55</v>
      </c>
      <c r="O945" t="str">
        <f>"LIM-"&amp;G944&amp;"-LIM   LA "&amp;E944&amp;" ("&amp;LEFT(H944,5)&amp;"-"&amp;LEFT(I944,5)&amp;" hrs)  /  LA "&amp;E945&amp;" ("&amp;LEFT(H945,5)&amp;"-"&amp;LEFT(I945,5)&amp;" hrs)"</f>
        <v>LIM-CJA-LIM   LA 2297 (15:15-16:35 hrs)  /  LA 2296 (17:20-18:25 hrs)</v>
      </c>
    </row>
    <row r="946" spans="2:24" x14ac:dyDescent="0.25">
      <c r="J946" s="7" t="s">
        <v>43</v>
      </c>
      <c r="K946" s="8" t="str">
        <f>TEXT(TIMEVALUE(I945)-TIMEVALUE(H944)+(I945&lt;H944),"[h]:mm")</f>
        <v>3:10</v>
      </c>
    </row>
    <row r="948" spans="2:24" ht="30" x14ac:dyDescent="0.25">
      <c r="B948" s="3" t="s">
        <v>9</v>
      </c>
      <c r="C948" s="3" t="s">
        <v>17</v>
      </c>
      <c r="D948" s="3" t="s">
        <v>18</v>
      </c>
      <c r="E948" s="3" t="s">
        <v>19</v>
      </c>
      <c r="F948" s="3" t="s">
        <v>20</v>
      </c>
      <c r="G948" s="3" t="s">
        <v>21</v>
      </c>
      <c r="H948" s="3" t="s">
        <v>22</v>
      </c>
      <c r="I948" s="3" t="s">
        <v>23</v>
      </c>
      <c r="J948" s="3" t="s">
        <v>24</v>
      </c>
      <c r="K948" s="3" t="s">
        <v>25</v>
      </c>
      <c r="L948" s="3" t="s">
        <v>26</v>
      </c>
    </row>
    <row r="949" spans="2:24" ht="30" x14ac:dyDescent="0.25">
      <c r="B949" s="4">
        <v>971</v>
      </c>
      <c r="C949" s="4" t="s">
        <v>175</v>
      </c>
      <c r="D949" s="4" t="s">
        <v>135</v>
      </c>
      <c r="E949" s="4">
        <v>2360</v>
      </c>
      <c r="F949" s="4" t="s">
        <v>29</v>
      </c>
      <c r="G949" s="4" t="s">
        <v>58</v>
      </c>
      <c r="H949" s="4" t="s">
        <v>59</v>
      </c>
      <c r="I949" s="4" t="s">
        <v>60</v>
      </c>
      <c r="J949" s="4">
        <v>320</v>
      </c>
      <c r="L949" s="4" t="s">
        <v>61</v>
      </c>
      <c r="M949" s="5"/>
      <c r="O949" s="5"/>
      <c r="Q949" s="4">
        <f>B949</f>
        <v>971</v>
      </c>
      <c r="R949" s="4" t="str">
        <f>C949</f>
        <v>11/10/2026</v>
      </c>
      <c r="S949" s="4" t="str">
        <f>D949</f>
        <v>domingo</v>
      </c>
      <c r="T949" s="4" t="str">
        <f>E949&amp;"/"&amp;E950</f>
        <v>2360/2361</v>
      </c>
      <c r="U949" s="4" t="str">
        <f>F949&amp;"-"&amp;G949&amp;"-"&amp;F949</f>
        <v>LIM-PCL-LIM</v>
      </c>
      <c r="V949" s="4" t="str">
        <f>IF($M$949="","",$M$949)</f>
        <v/>
      </c>
      <c r="W949" s="4" t="str">
        <f>IF($O$949="","",$O$949)</f>
        <v/>
      </c>
      <c r="X949" s="4">
        <f>J949</f>
        <v>320</v>
      </c>
    </row>
    <row r="950" spans="2:24" ht="30" x14ac:dyDescent="0.25">
      <c r="B950" s="4">
        <v>971</v>
      </c>
      <c r="C950" s="4" t="s">
        <v>175</v>
      </c>
      <c r="D950" s="4" t="s">
        <v>135</v>
      </c>
      <c r="E950" s="4">
        <v>2361</v>
      </c>
      <c r="F950" s="4" t="s">
        <v>58</v>
      </c>
      <c r="G950" s="4" t="s">
        <v>29</v>
      </c>
      <c r="H950" s="4" t="s">
        <v>53</v>
      </c>
      <c r="I950" s="4" t="s">
        <v>62</v>
      </c>
      <c r="J950" s="4">
        <v>320</v>
      </c>
      <c r="K950" t="str">
        <f>TEXT(TIMEVALUE(H950)-TIMEVALUE(I949)+(TIMEVALUE(H950)&lt;TIMEVALUE(I949)),"[h]:mm")</f>
        <v>0:40</v>
      </c>
      <c r="L950" s="4" t="s">
        <v>61</v>
      </c>
      <c r="O950" t="str">
        <f>"LIM-"&amp;G949&amp;"-LIM   LA "&amp;E949&amp;" ("&amp;LEFT(H949,5)&amp;"-"&amp;LEFT(I949,5)&amp;" hrs)  /  LA "&amp;E950&amp;" ("&amp;LEFT(H950,5)&amp;"-"&amp;LEFT(I950,5)&amp;" hrs)"</f>
        <v>LIM-PCL-LIM   LA 2360 (15:25-16:40 hrs)  /  LA 2361 (17:20-18:35 hrs)</v>
      </c>
    </row>
    <row r="951" spans="2:24" x14ac:dyDescent="0.25">
      <c r="J951" s="7" t="s">
        <v>43</v>
      </c>
      <c r="K951" s="8" t="str">
        <f>TEXT(TIMEVALUE(I950)-TIMEVALUE(H949)+(I950&lt;H949),"[h]:mm")</f>
        <v>3:10</v>
      </c>
    </row>
    <row r="953" spans="2:24" ht="30" x14ac:dyDescent="0.25">
      <c r="B953" s="3" t="s">
        <v>9</v>
      </c>
      <c r="C953" s="3" t="s">
        <v>17</v>
      </c>
      <c r="D953" s="3" t="s">
        <v>18</v>
      </c>
      <c r="E953" s="3" t="s">
        <v>19</v>
      </c>
      <c r="F953" s="3" t="s">
        <v>20</v>
      </c>
      <c r="G953" s="3" t="s">
        <v>21</v>
      </c>
      <c r="H953" s="3" t="s">
        <v>22</v>
      </c>
      <c r="I953" s="3" t="s">
        <v>23</v>
      </c>
      <c r="J953" s="3" t="s">
        <v>24</v>
      </c>
      <c r="K953" s="3" t="s">
        <v>25</v>
      </c>
      <c r="L953" s="3" t="s">
        <v>26</v>
      </c>
    </row>
    <row r="954" spans="2:24" ht="30" x14ac:dyDescent="0.25">
      <c r="B954" s="4">
        <v>972</v>
      </c>
      <c r="C954" s="4" t="s">
        <v>175</v>
      </c>
      <c r="D954" s="4" t="s">
        <v>135</v>
      </c>
      <c r="E954" s="4">
        <v>2312</v>
      </c>
      <c r="F954" s="4" t="s">
        <v>29</v>
      </c>
      <c r="G954" s="4" t="s">
        <v>37</v>
      </c>
      <c r="H954" s="4" t="s">
        <v>89</v>
      </c>
      <c r="I954" s="4" t="s">
        <v>77</v>
      </c>
      <c r="J954" s="4">
        <v>320</v>
      </c>
      <c r="L954" s="4" t="s">
        <v>40</v>
      </c>
      <c r="M954" s="5"/>
      <c r="O954" s="5"/>
      <c r="Q954" s="4">
        <f>B954</f>
        <v>972</v>
      </c>
      <c r="R954" s="4" t="str">
        <f>C954</f>
        <v>11/10/2026</v>
      </c>
      <c r="S954" s="4" t="str">
        <f>D954</f>
        <v>domingo</v>
      </c>
      <c r="T954" s="4" t="str">
        <f>E954&amp;"/"&amp;E955</f>
        <v>2312/2313</v>
      </c>
      <c r="U954" s="4" t="str">
        <f>F954&amp;"-"&amp;G954&amp;"-"&amp;F954</f>
        <v>LIM-CIX-LIM</v>
      </c>
      <c r="V954" s="4" t="str">
        <f>IF($M$954="","",$M$954)</f>
        <v/>
      </c>
      <c r="W954" s="4" t="str">
        <f>IF($O$954="","",$O$954)</f>
        <v/>
      </c>
      <c r="X954" s="4">
        <f>J954</f>
        <v>320</v>
      </c>
    </row>
    <row r="955" spans="2:24" ht="30" x14ac:dyDescent="0.25">
      <c r="B955" s="4">
        <v>972</v>
      </c>
      <c r="C955" s="4" t="s">
        <v>175</v>
      </c>
      <c r="D955" s="4" t="s">
        <v>135</v>
      </c>
      <c r="E955" s="4">
        <v>2313</v>
      </c>
      <c r="F955" s="4" t="s">
        <v>37</v>
      </c>
      <c r="G955" s="4" t="s">
        <v>29</v>
      </c>
      <c r="H955" s="4" t="s">
        <v>84</v>
      </c>
      <c r="I955" s="4" t="s">
        <v>90</v>
      </c>
      <c r="J955" s="4">
        <v>320</v>
      </c>
      <c r="K955" t="str">
        <f>TEXT(TIMEVALUE(H955)-TIMEVALUE(I954)+(TIMEVALUE(H955)&lt;TIMEVALUE(I954)),"[h]:mm")</f>
        <v>0:45</v>
      </c>
      <c r="L955" s="4" t="s">
        <v>33</v>
      </c>
      <c r="O955" t="str">
        <f>"LIM-"&amp;G954&amp;"-LIM   LA "&amp;E954&amp;" ("&amp;LEFT(H954,5)&amp;"-"&amp;LEFT(I954,5)&amp;" hrs)  /  LA "&amp;E955&amp;" ("&amp;LEFT(H955,5)&amp;"-"&amp;LEFT(I955,5)&amp;" hrs)"</f>
        <v>LIM-CIX-LIM   LA 2312 (15:35-17:05 hrs)  /  LA 2313 (17:50-19:10 hrs)</v>
      </c>
    </row>
    <row r="956" spans="2:24" x14ac:dyDescent="0.25">
      <c r="J956" s="7" t="s">
        <v>43</v>
      </c>
      <c r="K956" s="8" t="str">
        <f>TEXT(TIMEVALUE(I955)-TIMEVALUE(H954)+(I955&lt;H954),"[h]:mm")</f>
        <v>3:35</v>
      </c>
    </row>
    <row r="958" spans="2:24" ht="30" x14ac:dyDescent="0.25">
      <c r="B958" s="3" t="s">
        <v>9</v>
      </c>
      <c r="C958" s="3" t="s">
        <v>17</v>
      </c>
      <c r="D958" s="3" t="s">
        <v>18</v>
      </c>
      <c r="E958" s="3" t="s">
        <v>19</v>
      </c>
      <c r="F958" s="3" t="s">
        <v>20</v>
      </c>
      <c r="G958" s="3" t="s">
        <v>21</v>
      </c>
      <c r="H958" s="3" t="s">
        <v>22</v>
      </c>
      <c r="I958" s="3" t="s">
        <v>23</v>
      </c>
      <c r="J958" s="3" t="s">
        <v>24</v>
      </c>
      <c r="K958" s="3" t="s">
        <v>25</v>
      </c>
      <c r="L958" s="3" t="s">
        <v>26</v>
      </c>
    </row>
    <row r="959" spans="2:24" ht="30" x14ac:dyDescent="0.25">
      <c r="B959" s="4">
        <v>973</v>
      </c>
      <c r="C959" s="4" t="s">
        <v>175</v>
      </c>
      <c r="D959" s="4" t="s">
        <v>135</v>
      </c>
      <c r="E959" s="4">
        <v>2301</v>
      </c>
      <c r="F959" s="4" t="s">
        <v>29</v>
      </c>
      <c r="G959" s="4" t="s">
        <v>91</v>
      </c>
      <c r="H959" s="4" t="s">
        <v>92</v>
      </c>
      <c r="I959" s="4" t="s">
        <v>77</v>
      </c>
      <c r="J959" s="4">
        <v>320</v>
      </c>
      <c r="L959" s="4" t="s">
        <v>93</v>
      </c>
      <c r="M959" s="5"/>
      <c r="O959" s="5"/>
      <c r="Q959" s="4">
        <f>B959</f>
        <v>973</v>
      </c>
      <c r="R959" s="4" t="str">
        <f>C959</f>
        <v>11/10/2026</v>
      </c>
      <c r="S959" s="4" t="str">
        <f>D959</f>
        <v>domingo</v>
      </c>
      <c r="T959" s="4" t="str">
        <f>E959&amp;"/"&amp;E960</f>
        <v>2301/2300</v>
      </c>
      <c r="U959" s="4" t="str">
        <f>F959&amp;"-"&amp;G959&amp;"-"&amp;F959</f>
        <v>LIM-TPP-LIM</v>
      </c>
      <c r="V959" s="4" t="str">
        <f>IF($M$959="","",$M$959)</f>
        <v/>
      </c>
      <c r="W959" s="4" t="str">
        <f>IF($O$959="","",$O$959)</f>
        <v/>
      </c>
      <c r="X959" s="4">
        <f>J959</f>
        <v>320</v>
      </c>
    </row>
    <row r="960" spans="2:24" ht="30" x14ac:dyDescent="0.25">
      <c r="B960" s="4">
        <v>973</v>
      </c>
      <c r="C960" s="4" t="s">
        <v>175</v>
      </c>
      <c r="D960" s="4" t="s">
        <v>135</v>
      </c>
      <c r="E960" s="4">
        <v>2300</v>
      </c>
      <c r="F960" s="4" t="s">
        <v>91</v>
      </c>
      <c r="G960" s="4" t="s">
        <v>29</v>
      </c>
      <c r="H960" s="4" t="s">
        <v>84</v>
      </c>
      <c r="I960" s="4" t="s">
        <v>94</v>
      </c>
      <c r="J960" s="4">
        <v>320</v>
      </c>
      <c r="K960" t="str">
        <f>TEXT(TIMEVALUE(H960)-TIMEVALUE(I959)+(TIMEVALUE(H960)&lt;TIMEVALUE(I959)),"[h]:mm")</f>
        <v>0:45</v>
      </c>
      <c r="L960" s="4" t="s">
        <v>93</v>
      </c>
      <c r="O960" t="str">
        <f>"LIM-"&amp;G959&amp;"-LIM   LA "&amp;E959&amp;" ("&amp;LEFT(H959,5)&amp;"-"&amp;LEFT(I959,5)&amp;" hrs)  /  LA "&amp;E960&amp;" ("&amp;LEFT(H960,5)&amp;"-"&amp;LEFT(I960,5)&amp;" hrs)"</f>
        <v>LIM-TPP-LIM   LA 2301 (15:40-17:05 hrs)  /  LA 2300 (17:50-19:15 hrs)</v>
      </c>
    </row>
    <row r="961" spans="2:24" x14ac:dyDescent="0.25">
      <c r="J961" s="7" t="s">
        <v>43</v>
      </c>
      <c r="K961" s="8" t="str">
        <f>TEXT(TIMEVALUE(I960)-TIMEVALUE(H959)+(I960&lt;H959),"[h]:mm")</f>
        <v>3:35</v>
      </c>
    </row>
    <row r="963" spans="2:24" ht="30" x14ac:dyDescent="0.25">
      <c r="B963" s="3" t="s">
        <v>9</v>
      </c>
      <c r="C963" s="3" t="s">
        <v>17</v>
      </c>
      <c r="D963" s="3" t="s">
        <v>18</v>
      </c>
      <c r="E963" s="3" t="s">
        <v>19</v>
      </c>
      <c r="F963" s="3" t="s">
        <v>20</v>
      </c>
      <c r="G963" s="3" t="s">
        <v>21</v>
      </c>
      <c r="H963" s="3" t="s">
        <v>22</v>
      </c>
      <c r="I963" s="3" t="s">
        <v>23</v>
      </c>
      <c r="J963" s="3" t="s">
        <v>24</v>
      </c>
      <c r="K963" s="3" t="s">
        <v>25</v>
      </c>
      <c r="L963" s="3" t="s">
        <v>26</v>
      </c>
    </row>
    <row r="964" spans="2:24" ht="30" x14ac:dyDescent="0.25">
      <c r="B964" s="4">
        <v>976</v>
      </c>
      <c r="C964" s="4" t="s">
        <v>175</v>
      </c>
      <c r="D964" s="4" t="s">
        <v>135</v>
      </c>
      <c r="E964" s="4">
        <v>2115</v>
      </c>
      <c r="F964" s="4" t="s">
        <v>29</v>
      </c>
      <c r="G964" s="4" t="s">
        <v>56</v>
      </c>
      <c r="H964" s="4" t="s">
        <v>42</v>
      </c>
      <c r="I964" s="4" t="s">
        <v>68</v>
      </c>
      <c r="J964" s="4">
        <v>320</v>
      </c>
      <c r="L964" s="4" t="s">
        <v>40</v>
      </c>
      <c r="M964" s="5"/>
      <c r="O964" s="5"/>
      <c r="Q964" s="4">
        <f>B964</f>
        <v>976</v>
      </c>
      <c r="R964" s="4" t="str">
        <f>C964</f>
        <v>11/10/2026</v>
      </c>
      <c r="S964" s="4" t="str">
        <f>D964</f>
        <v>domingo</v>
      </c>
      <c r="T964" s="4" t="str">
        <f>E964&amp;"/"&amp;E965</f>
        <v>2115/2114</v>
      </c>
      <c r="U964" s="4" t="str">
        <f>F964&amp;"-"&amp;G964&amp;"-"&amp;F964</f>
        <v>LIM-AQP-LIM</v>
      </c>
      <c r="V964" s="4" t="str">
        <f>IF($M$964="","",$M$964)</f>
        <v/>
      </c>
      <c r="W964" s="4" t="str">
        <f>IF($O$964="","",$O$964)</f>
        <v/>
      </c>
      <c r="X964" s="4">
        <f>J964</f>
        <v>320</v>
      </c>
    </row>
    <row r="965" spans="2:24" ht="30" x14ac:dyDescent="0.25">
      <c r="B965" s="4">
        <v>976</v>
      </c>
      <c r="C965" s="4" t="s">
        <v>175</v>
      </c>
      <c r="D965" s="4" t="s">
        <v>135</v>
      </c>
      <c r="E965" s="4">
        <v>2114</v>
      </c>
      <c r="F965" s="4" t="s">
        <v>56</v>
      </c>
      <c r="G965" s="4" t="s">
        <v>29</v>
      </c>
      <c r="H965" s="4" t="s">
        <v>69</v>
      </c>
      <c r="I965" s="4" t="s">
        <v>70</v>
      </c>
      <c r="J965" s="4">
        <v>320</v>
      </c>
      <c r="K965" t="str">
        <f>TEXT(TIMEVALUE(H965)-TIMEVALUE(I964)+(TIMEVALUE(H965)&lt;TIMEVALUE(I964)),"[h]:mm")</f>
        <v>0:35</v>
      </c>
      <c r="L965" s="4" t="s">
        <v>71</v>
      </c>
      <c r="O965" t="str">
        <f>"LIM-"&amp;G964&amp;"-LIM   LA "&amp;E964&amp;" ("&amp;LEFT(H964,5)&amp;"-"&amp;LEFT(I964,5)&amp;" hrs)  /  LA "&amp;E965&amp;" ("&amp;LEFT(H965,5)&amp;"-"&amp;LEFT(I965,5)&amp;" hrs)"</f>
        <v>LIM-AQP-LIM   LA 2115 (17:15-18:45 hrs)  /  LA 2114 (19:20-21:00 hrs)</v>
      </c>
    </row>
    <row r="966" spans="2:24" x14ac:dyDescent="0.25">
      <c r="J966" s="7" t="s">
        <v>43</v>
      </c>
      <c r="K966" s="8" t="str">
        <f>TEXT(TIMEVALUE(I965)-TIMEVALUE(H964)+(I965&lt;H964),"[h]:mm")</f>
        <v>3:45</v>
      </c>
    </row>
    <row r="968" spans="2:24" ht="30" x14ac:dyDescent="0.25">
      <c r="B968" s="3" t="s">
        <v>9</v>
      </c>
      <c r="C968" s="3" t="s">
        <v>17</v>
      </c>
      <c r="D968" s="3" t="s">
        <v>18</v>
      </c>
      <c r="E968" s="3" t="s">
        <v>19</v>
      </c>
      <c r="F968" s="3" t="s">
        <v>20</v>
      </c>
      <c r="G968" s="3" t="s">
        <v>21</v>
      </c>
      <c r="H968" s="3" t="s">
        <v>22</v>
      </c>
      <c r="I968" s="3" t="s">
        <v>23</v>
      </c>
      <c r="J968" s="3" t="s">
        <v>24</v>
      </c>
      <c r="K968" s="3" t="s">
        <v>25</v>
      </c>
      <c r="L968" s="3" t="s">
        <v>26</v>
      </c>
    </row>
    <row r="969" spans="2:24" ht="30" x14ac:dyDescent="0.25">
      <c r="B969" s="4">
        <v>977</v>
      </c>
      <c r="C969" s="4" t="s">
        <v>175</v>
      </c>
      <c r="D969" s="4" t="s">
        <v>135</v>
      </c>
      <c r="E969" s="4">
        <v>2213</v>
      </c>
      <c r="F969" s="4" t="s">
        <v>29</v>
      </c>
      <c r="G969" s="4" t="s">
        <v>37</v>
      </c>
      <c r="H969" s="4" t="s">
        <v>53</v>
      </c>
      <c r="I969" s="4" t="s">
        <v>127</v>
      </c>
      <c r="J969" s="4">
        <v>320</v>
      </c>
      <c r="L969" s="4" t="s">
        <v>40</v>
      </c>
      <c r="M969" s="5"/>
      <c r="O969" s="5"/>
      <c r="Q969" s="4">
        <f>B969</f>
        <v>977</v>
      </c>
      <c r="R969" s="4" t="str">
        <f>C969</f>
        <v>11/10/2026</v>
      </c>
      <c r="S969" s="4" t="str">
        <f>D969</f>
        <v>domingo</v>
      </c>
      <c r="T969" s="4" t="str">
        <f>E969&amp;"/"&amp;E970</f>
        <v>2213/2214</v>
      </c>
      <c r="U969" s="4" t="str">
        <f>F969&amp;"-"&amp;G969&amp;"-"&amp;F969</f>
        <v>LIM-CIX-LIM</v>
      </c>
      <c r="V969" s="4" t="str">
        <f>IF($M$969="","",$M$969)</f>
        <v/>
      </c>
      <c r="W969" s="4" t="str">
        <f>IF($O$969="","",$O$969)</f>
        <v/>
      </c>
      <c r="X969" s="4">
        <f>J969</f>
        <v>320</v>
      </c>
    </row>
    <row r="970" spans="2:24" ht="30" x14ac:dyDescent="0.25">
      <c r="B970" s="4">
        <v>977</v>
      </c>
      <c r="C970" s="4" t="s">
        <v>175</v>
      </c>
      <c r="D970" s="4" t="s">
        <v>135</v>
      </c>
      <c r="E970" s="4">
        <v>2214</v>
      </c>
      <c r="F970" s="4" t="s">
        <v>37</v>
      </c>
      <c r="G970" s="4" t="s">
        <v>29</v>
      </c>
      <c r="H970" s="4" t="s">
        <v>128</v>
      </c>
      <c r="I970" s="4" t="s">
        <v>129</v>
      </c>
      <c r="J970" s="4">
        <v>320</v>
      </c>
      <c r="K970" t="str">
        <f>TEXT(TIMEVALUE(H970)-TIMEVALUE(I969)+(TIMEVALUE(H970)&lt;TIMEVALUE(I969)),"[h]:mm")</f>
        <v>0:35</v>
      </c>
      <c r="L970" s="4" t="s">
        <v>61</v>
      </c>
      <c r="O970" t="str">
        <f>"LIM-"&amp;G969&amp;"-LIM   LA "&amp;E969&amp;" ("&amp;LEFT(H969,5)&amp;"-"&amp;LEFT(I969,5)&amp;" hrs)  /  LA "&amp;E970&amp;" ("&amp;LEFT(H970,5)&amp;"-"&amp;LEFT(I970,5)&amp;" hrs)"</f>
        <v>LIM-CIX-LIM   LA 2213 (17:20-18:50 hrs)  /  LA 2214 (19:25-20:40 hrs)</v>
      </c>
    </row>
    <row r="971" spans="2:24" x14ac:dyDescent="0.25">
      <c r="J971" s="7" t="s">
        <v>43</v>
      </c>
      <c r="K971" s="8" t="str">
        <f>TEXT(TIMEVALUE(I970)-TIMEVALUE(H969)+(I970&lt;H969),"[h]:mm")</f>
        <v>3:20</v>
      </c>
    </row>
    <row r="973" spans="2:24" ht="30" x14ac:dyDescent="0.25">
      <c r="B973" s="3" t="s">
        <v>9</v>
      </c>
      <c r="C973" s="3" t="s">
        <v>17</v>
      </c>
      <c r="D973" s="3" t="s">
        <v>18</v>
      </c>
      <c r="E973" s="3" t="s">
        <v>19</v>
      </c>
      <c r="F973" s="3" t="s">
        <v>20</v>
      </c>
      <c r="G973" s="3" t="s">
        <v>21</v>
      </c>
      <c r="H973" s="3" t="s">
        <v>22</v>
      </c>
      <c r="I973" s="3" t="s">
        <v>23</v>
      </c>
      <c r="J973" s="3" t="s">
        <v>24</v>
      </c>
      <c r="K973" s="3" t="s">
        <v>25</v>
      </c>
      <c r="L973" s="3" t="s">
        <v>26</v>
      </c>
    </row>
    <row r="974" spans="2:24" ht="30" x14ac:dyDescent="0.25">
      <c r="B974" s="4">
        <v>1026</v>
      </c>
      <c r="C974" s="4" t="s">
        <v>177</v>
      </c>
      <c r="D974" s="4" t="s">
        <v>138</v>
      </c>
      <c r="E974" s="4">
        <v>2075</v>
      </c>
      <c r="F974" s="4" t="s">
        <v>29</v>
      </c>
      <c r="G974" s="4" t="s">
        <v>30</v>
      </c>
      <c r="H974" s="4" t="s">
        <v>97</v>
      </c>
      <c r="I974" s="4" t="s">
        <v>98</v>
      </c>
      <c r="J974" s="4">
        <v>319</v>
      </c>
      <c r="L974" s="4" t="s">
        <v>33</v>
      </c>
      <c r="M974" s="5"/>
      <c r="O974" s="5"/>
      <c r="Q974" s="4">
        <f>B974</f>
        <v>1026</v>
      </c>
      <c r="R974" s="4" t="str">
        <f>C974</f>
        <v>12/10/2026</v>
      </c>
      <c r="S974" s="4" t="str">
        <f>D974</f>
        <v>lunes</v>
      </c>
      <c r="T974" s="4" t="str">
        <f>E974&amp;"/"&amp;E975</f>
        <v>2075/2076</v>
      </c>
      <c r="U974" s="4" t="str">
        <f>F974&amp;"-"&amp;G974&amp;"-"&amp;F974</f>
        <v>LIM-CUZ-LIM</v>
      </c>
      <c r="V974" s="4" t="str">
        <f>IF($M$974="","",$M$974)</f>
        <v/>
      </c>
      <c r="W974" s="4" t="str">
        <f>IF($O$974="","",$O$974)</f>
        <v/>
      </c>
      <c r="X974" s="4">
        <f>J974</f>
        <v>319</v>
      </c>
    </row>
    <row r="975" spans="2:24" ht="30" x14ac:dyDescent="0.25">
      <c r="B975" s="4">
        <v>1026</v>
      </c>
      <c r="C975" s="4" t="s">
        <v>177</v>
      </c>
      <c r="D975" s="4" t="s">
        <v>138</v>
      </c>
      <c r="E975" s="4">
        <v>2076</v>
      </c>
      <c r="F975" s="4" t="s">
        <v>30</v>
      </c>
      <c r="G975" s="4" t="s">
        <v>29</v>
      </c>
      <c r="H975" s="4" t="s">
        <v>48</v>
      </c>
      <c r="I975" s="4" t="s">
        <v>49</v>
      </c>
      <c r="J975" s="4">
        <v>319</v>
      </c>
      <c r="K975" t="str">
        <f>TEXT(TIMEVALUE(H975)-TIMEVALUE(I974)+(TIMEVALUE(H975)&lt;TIMEVALUE(I974)),"[h]:mm")</f>
        <v>0:35</v>
      </c>
      <c r="L975" s="4" t="s">
        <v>36</v>
      </c>
      <c r="O975" t="str">
        <f>"LIM-"&amp;G974&amp;"-LIM   LA "&amp;E974&amp;" ("&amp;LEFT(H974,5)&amp;"-"&amp;LEFT(I974,5)&amp;" hrs)  /  LA "&amp;E975&amp;" ("&amp;LEFT(H975,5)&amp;"-"&amp;LEFT(I975,5)&amp;" hrs)"</f>
        <v>LIM-CUZ-LIM   LA 2075 (10:50-12:10 hrs)  /  LA 2076 (12:45-14:20 hrs)</v>
      </c>
    </row>
    <row r="976" spans="2:24" ht="30" x14ac:dyDescent="0.25">
      <c r="B976" s="4">
        <v>1053</v>
      </c>
      <c r="C976" s="4" t="s">
        <v>177</v>
      </c>
      <c r="D976" s="4" t="s">
        <v>138</v>
      </c>
      <c r="E976" s="4">
        <v>2297</v>
      </c>
      <c r="F976" s="4" t="s">
        <v>29</v>
      </c>
      <c r="G976" s="4" t="s">
        <v>50</v>
      </c>
      <c r="H976" s="4" t="s">
        <v>51</v>
      </c>
      <c r="I976" s="4" t="s">
        <v>52</v>
      </c>
      <c r="J976" s="4">
        <v>320</v>
      </c>
      <c r="K976" s="6" t="str">
        <f>TEXT(TIMEVALUE(H976)-TIMEVALUE(I975)+(TIMEVALUE(H976)&lt;TIMEVALUE(I975)),"[h]:mm")</f>
        <v>0:55</v>
      </c>
      <c r="L976" s="4" t="s">
        <v>33</v>
      </c>
      <c r="M976" t="str">
        <f>IF($M$974="","",$M$974)</f>
        <v/>
      </c>
      <c r="O976" t="str">
        <f>IF($O$974="","",$O$974)</f>
        <v/>
      </c>
      <c r="Q976" s="4">
        <f>B976</f>
        <v>1053</v>
      </c>
      <c r="R976" s="4" t="str">
        <f>C976</f>
        <v>12/10/2026</v>
      </c>
      <c r="S976" s="4" t="str">
        <f>D976</f>
        <v>lunes</v>
      </c>
      <c r="T976" s="4" t="str">
        <f>E976&amp;"/"&amp;E977</f>
        <v>2297/2296</v>
      </c>
      <c r="U976" s="4" t="str">
        <f>F976&amp;"-"&amp;G976&amp;"-"&amp;F976</f>
        <v>LIM-CJA-LIM</v>
      </c>
      <c r="V976" s="4" t="str">
        <f>IF($M$974="","",$M$974)</f>
        <v/>
      </c>
      <c r="W976" s="4" t="str">
        <f>IF($O$974="","",$O$974)</f>
        <v/>
      </c>
      <c r="X976" s="4">
        <f>J976</f>
        <v>320</v>
      </c>
    </row>
    <row r="977" spans="2:24" ht="30" x14ac:dyDescent="0.25">
      <c r="B977" s="4">
        <v>1053</v>
      </c>
      <c r="C977" s="4" t="s">
        <v>177</v>
      </c>
      <c r="D977" s="4" t="s">
        <v>138</v>
      </c>
      <c r="E977" s="4">
        <v>2296</v>
      </c>
      <c r="F977" s="4" t="s">
        <v>50</v>
      </c>
      <c r="G977" s="4" t="s">
        <v>29</v>
      </c>
      <c r="H977" s="4" t="s">
        <v>53</v>
      </c>
      <c r="I977" s="4" t="s">
        <v>54</v>
      </c>
      <c r="J977" s="4">
        <v>320</v>
      </c>
      <c r="K977" t="str">
        <f>TEXT(TIMEVALUE(H977)-TIMEVALUE(I976)+(TIMEVALUE(H977)&lt;TIMEVALUE(I976)),"[h]:mm")</f>
        <v>0:45</v>
      </c>
      <c r="L977" s="4" t="s">
        <v>55</v>
      </c>
      <c r="O977" t="str">
        <f>"LIM-"&amp;G976&amp;"-LIM   LA "&amp;E976&amp;" ("&amp;LEFT(H976,5)&amp;"-"&amp;LEFT(I976,5)&amp;" hrs)  /  LA "&amp;E977&amp;" ("&amp;LEFT(H977,5)&amp;"-"&amp;LEFT(I977,5)&amp;" hrs)"</f>
        <v>LIM-CJA-LIM   LA 2297 (15:15-16:35 hrs)  /  LA 2296 (17:20-18:25 hrs)</v>
      </c>
    </row>
    <row r="978" spans="2:24" x14ac:dyDescent="0.25">
      <c r="J978" s="7" t="s">
        <v>43</v>
      </c>
      <c r="K978" s="8" t="str">
        <f>TEXT(TIMEVALUE(I977)-TIMEVALUE(H974)+(I977&lt;H974),"[h]:mm")</f>
        <v>7:35</v>
      </c>
    </row>
    <row r="980" spans="2:24" ht="30" x14ac:dyDescent="0.25">
      <c r="B980" s="3" t="s">
        <v>9</v>
      </c>
      <c r="C980" s="3" t="s">
        <v>17</v>
      </c>
      <c r="D980" s="3" t="s">
        <v>18</v>
      </c>
      <c r="E980" s="3" t="s">
        <v>19</v>
      </c>
      <c r="F980" s="3" t="s">
        <v>20</v>
      </c>
      <c r="G980" s="3" t="s">
        <v>21</v>
      </c>
      <c r="H980" s="3" t="s">
        <v>22</v>
      </c>
      <c r="I980" s="3" t="s">
        <v>23</v>
      </c>
      <c r="J980" s="3" t="s">
        <v>24</v>
      </c>
      <c r="K980" s="3" t="s">
        <v>25</v>
      </c>
      <c r="L980" s="3" t="s">
        <v>26</v>
      </c>
    </row>
    <row r="981" spans="2:24" ht="30" x14ac:dyDescent="0.25">
      <c r="B981" s="4">
        <v>1029</v>
      </c>
      <c r="C981" s="4" t="s">
        <v>177</v>
      </c>
      <c r="D981" s="4" t="s">
        <v>138</v>
      </c>
      <c r="E981" s="4">
        <v>2019</v>
      </c>
      <c r="F981" s="4" t="s">
        <v>29</v>
      </c>
      <c r="G981" s="4" t="s">
        <v>63</v>
      </c>
      <c r="H981" s="4" t="s">
        <v>64</v>
      </c>
      <c r="I981" s="4" t="s">
        <v>65</v>
      </c>
      <c r="J981" s="4">
        <v>320</v>
      </c>
      <c r="L981" s="4" t="s">
        <v>66</v>
      </c>
      <c r="M981" s="5"/>
      <c r="O981" s="5"/>
      <c r="Q981" s="4">
        <f>B981</f>
        <v>1029</v>
      </c>
      <c r="R981" s="4" t="str">
        <f>C981</f>
        <v>12/10/2026</v>
      </c>
      <c r="S981" s="4" t="str">
        <f>D981</f>
        <v>lunes</v>
      </c>
      <c r="T981" s="4" t="str">
        <f>E981&amp;"/"&amp;E982</f>
        <v>2019/2038</v>
      </c>
      <c r="U981" s="4" t="str">
        <f>F981&amp;"-"&amp;G981&amp;"-"&amp;F981</f>
        <v>LIM-IQT-LIM</v>
      </c>
      <c r="V981" s="4" t="str">
        <f>IF($M$981="","",$M$981)</f>
        <v/>
      </c>
      <c r="W981" s="4" t="str">
        <f>IF($O$981="","",$O$981)</f>
        <v/>
      </c>
      <c r="X981" s="4">
        <f>J981</f>
        <v>320</v>
      </c>
    </row>
    <row r="982" spans="2:24" ht="30" x14ac:dyDescent="0.25">
      <c r="B982" s="4">
        <v>1029</v>
      </c>
      <c r="C982" s="4" t="s">
        <v>177</v>
      </c>
      <c r="D982" s="4" t="s">
        <v>138</v>
      </c>
      <c r="E982" s="4">
        <v>2038</v>
      </c>
      <c r="F982" s="4" t="s">
        <v>63</v>
      </c>
      <c r="G982" s="4" t="s">
        <v>29</v>
      </c>
      <c r="H982" s="4" t="s">
        <v>67</v>
      </c>
      <c r="I982" s="4" t="s">
        <v>41</v>
      </c>
      <c r="J982" s="4">
        <v>320</v>
      </c>
      <c r="K982" t="str">
        <f>TEXT(TIMEVALUE(H982)-TIMEVALUE(I981)+(TIMEVALUE(H982)&lt;TIMEVALUE(I981)),"[h]:mm")</f>
        <v>0:40</v>
      </c>
      <c r="L982" s="4" t="s">
        <v>66</v>
      </c>
      <c r="O982" t="str">
        <f>"LIM-"&amp;G981&amp;"-LIM   LA "&amp;E981&amp;" ("&amp;LEFT(H981,5)&amp;"-"&amp;LEFT(I981,5)&amp;" hrs)  /  LA "&amp;E982&amp;" ("&amp;LEFT(H982,5)&amp;"-"&amp;LEFT(I982,5)&amp;" hrs)"</f>
        <v>LIM-IQT-LIM   LA 2019 (11:35-13:25 hrs)  /  LA 2038 (14:05-15:55 hrs)</v>
      </c>
    </row>
    <row r="983" spans="2:24" ht="30" x14ac:dyDescent="0.25">
      <c r="B983" s="4">
        <v>1061</v>
      </c>
      <c r="C983" s="4" t="s">
        <v>177</v>
      </c>
      <c r="D983" s="4" t="s">
        <v>138</v>
      </c>
      <c r="E983" s="4">
        <v>2115</v>
      </c>
      <c r="F983" s="4" t="s">
        <v>29</v>
      </c>
      <c r="G983" s="4" t="s">
        <v>56</v>
      </c>
      <c r="H983" s="4" t="s">
        <v>42</v>
      </c>
      <c r="I983" s="4" t="s">
        <v>68</v>
      </c>
      <c r="J983" s="4">
        <v>320</v>
      </c>
      <c r="K983" s="6" t="str">
        <f>TEXT(TIMEVALUE(H983)-TIMEVALUE(I982)+(TIMEVALUE(H983)&lt;TIMEVALUE(I982)),"[h]:mm")</f>
        <v>1:20</v>
      </c>
      <c r="L983" s="4" t="s">
        <v>40</v>
      </c>
      <c r="M983" t="str">
        <f>IF($M$981="","",$M$981)</f>
        <v/>
      </c>
      <c r="O983" t="str">
        <f>IF($O$981="","",$O$981)</f>
        <v/>
      </c>
      <c r="Q983" s="4">
        <f>B983</f>
        <v>1061</v>
      </c>
      <c r="R983" s="4" t="str">
        <f>C983</f>
        <v>12/10/2026</v>
      </c>
      <c r="S983" s="4" t="str">
        <f>D983</f>
        <v>lunes</v>
      </c>
      <c r="T983" s="4" t="str">
        <f>E983&amp;"/"&amp;E984</f>
        <v>2115/2114</v>
      </c>
      <c r="U983" s="4" t="str">
        <f>F983&amp;"-"&amp;G983&amp;"-"&amp;F983</f>
        <v>LIM-AQP-LIM</v>
      </c>
      <c r="V983" s="4" t="str">
        <f>IF($M$981="","",$M$981)</f>
        <v/>
      </c>
      <c r="W983" s="4" t="str">
        <f>IF($O$981="","",$O$981)</f>
        <v/>
      </c>
      <c r="X983" s="4">
        <f>J983</f>
        <v>320</v>
      </c>
    </row>
    <row r="984" spans="2:24" ht="30" x14ac:dyDescent="0.25">
      <c r="B984" s="4">
        <v>1061</v>
      </c>
      <c r="C984" s="4" t="s">
        <v>177</v>
      </c>
      <c r="D984" s="4" t="s">
        <v>138</v>
      </c>
      <c r="E984" s="4">
        <v>2114</v>
      </c>
      <c r="F984" s="4" t="s">
        <v>56</v>
      </c>
      <c r="G984" s="4" t="s">
        <v>29</v>
      </c>
      <c r="H984" s="4" t="s">
        <v>69</v>
      </c>
      <c r="I984" s="4" t="s">
        <v>70</v>
      </c>
      <c r="J984" s="4">
        <v>320</v>
      </c>
      <c r="K984" t="str">
        <f>TEXT(TIMEVALUE(H984)-TIMEVALUE(I983)+(TIMEVALUE(H984)&lt;TIMEVALUE(I983)),"[h]:mm")</f>
        <v>0:35</v>
      </c>
      <c r="L984" s="4" t="s">
        <v>71</v>
      </c>
      <c r="O984" t="str">
        <f>"LIM-"&amp;G983&amp;"-LIM   LA "&amp;E983&amp;" ("&amp;LEFT(H983,5)&amp;"-"&amp;LEFT(I983,5)&amp;" hrs)  /  LA "&amp;E984&amp;" ("&amp;LEFT(H984,5)&amp;"-"&amp;LEFT(I984,5)&amp;" hrs)"</f>
        <v>LIM-AQP-LIM   LA 2115 (17:15-18:45 hrs)  /  LA 2114 (19:20-21:00 hrs)</v>
      </c>
    </row>
    <row r="985" spans="2:24" x14ac:dyDescent="0.25">
      <c r="J985" s="7" t="s">
        <v>43</v>
      </c>
      <c r="K985" s="8" t="str">
        <f>TEXT(TIMEVALUE(I984)-TIMEVALUE(H981)+(I984&lt;H981),"[h]:mm")</f>
        <v>9:25</v>
      </c>
    </row>
    <row r="987" spans="2:24" ht="30" x14ac:dyDescent="0.25">
      <c r="B987" s="3" t="s">
        <v>9</v>
      </c>
      <c r="C987" s="3" t="s">
        <v>17</v>
      </c>
      <c r="D987" s="3" t="s">
        <v>18</v>
      </c>
      <c r="E987" s="3" t="s">
        <v>19</v>
      </c>
      <c r="F987" s="3" t="s">
        <v>20</v>
      </c>
      <c r="G987" s="3" t="s">
        <v>21</v>
      </c>
      <c r="H987" s="3" t="s">
        <v>22</v>
      </c>
      <c r="I987" s="3" t="s">
        <v>23</v>
      </c>
      <c r="J987" s="3" t="s">
        <v>24</v>
      </c>
      <c r="K987" s="3" t="s">
        <v>25</v>
      </c>
      <c r="L987" s="3" t="s">
        <v>26</v>
      </c>
    </row>
    <row r="988" spans="2:24" ht="30" x14ac:dyDescent="0.25">
      <c r="B988" s="4">
        <v>1032</v>
      </c>
      <c r="C988" s="4" t="s">
        <v>177</v>
      </c>
      <c r="D988" s="4" t="s">
        <v>138</v>
      </c>
      <c r="E988" s="4">
        <v>2061</v>
      </c>
      <c r="F988" s="4" t="s">
        <v>29</v>
      </c>
      <c r="G988" s="4" t="s">
        <v>30</v>
      </c>
      <c r="H988" s="4" t="s">
        <v>103</v>
      </c>
      <c r="I988" s="4" t="s">
        <v>120</v>
      </c>
      <c r="J988" s="4">
        <v>320</v>
      </c>
      <c r="L988" s="4" t="s">
        <v>33</v>
      </c>
      <c r="M988" s="5"/>
      <c r="O988" s="5"/>
      <c r="Q988" s="4">
        <f>B988</f>
        <v>1032</v>
      </c>
      <c r="R988" s="4" t="str">
        <f>C988</f>
        <v>12/10/2026</v>
      </c>
      <c r="S988" s="4" t="str">
        <f>D988</f>
        <v>lunes</v>
      </c>
      <c r="T988" s="4" t="str">
        <f>E988&amp;"/"&amp;E989</f>
        <v>2061/2062</v>
      </c>
      <c r="U988" s="4" t="str">
        <f>F988&amp;"-"&amp;G988&amp;"-"&amp;F988</f>
        <v>LIM-CUZ-LIM</v>
      </c>
      <c r="V988" s="4" t="str">
        <f>IF($M$988="","",$M$988)</f>
        <v/>
      </c>
      <c r="W988" s="4" t="str">
        <f>IF($O$988="","",$O$988)</f>
        <v/>
      </c>
      <c r="X988" s="4">
        <f>J988</f>
        <v>320</v>
      </c>
    </row>
    <row r="989" spans="2:24" ht="30" x14ac:dyDescent="0.25">
      <c r="B989" s="4">
        <v>1032</v>
      </c>
      <c r="C989" s="4" t="s">
        <v>177</v>
      </c>
      <c r="D989" s="4" t="s">
        <v>138</v>
      </c>
      <c r="E989" s="4">
        <v>2062</v>
      </c>
      <c r="F989" s="4" t="s">
        <v>30</v>
      </c>
      <c r="G989" s="4" t="s">
        <v>29</v>
      </c>
      <c r="H989" s="4" t="s">
        <v>72</v>
      </c>
      <c r="I989" s="4" t="s">
        <v>51</v>
      </c>
      <c r="J989" s="4">
        <v>320</v>
      </c>
      <c r="K989" t="str">
        <f>TEXT(TIMEVALUE(H989)-TIMEVALUE(I988)+(TIMEVALUE(H989)&lt;TIMEVALUE(I988)),"[h]:mm")</f>
        <v>0:40</v>
      </c>
      <c r="L989" s="4" t="s">
        <v>36</v>
      </c>
      <c r="O989" t="str">
        <f>"LIM-"&amp;G988&amp;"-LIM   LA "&amp;E988&amp;" ("&amp;LEFT(H988,5)&amp;"-"&amp;LEFT(I988,5)&amp;" hrs)  /  LA "&amp;E989&amp;" ("&amp;LEFT(H989,5)&amp;"-"&amp;LEFT(I989,5)&amp;" hrs)"</f>
        <v>LIM-CUZ-LIM   LA 2061 (11:40-13:00 hrs)  /  LA 2062 (13:40-15:15 hrs)</v>
      </c>
    </row>
    <row r="990" spans="2:24" ht="30" x14ac:dyDescent="0.25">
      <c r="B990" s="4">
        <v>1060</v>
      </c>
      <c r="C990" s="4" t="s">
        <v>177</v>
      </c>
      <c r="D990" s="4" t="s">
        <v>138</v>
      </c>
      <c r="E990" s="4">
        <v>2127</v>
      </c>
      <c r="F990" s="4" t="s">
        <v>29</v>
      </c>
      <c r="G990" s="4" t="s">
        <v>30</v>
      </c>
      <c r="H990" s="4" t="s">
        <v>83</v>
      </c>
      <c r="I990" s="4" t="s">
        <v>100</v>
      </c>
      <c r="J990" s="4">
        <v>320</v>
      </c>
      <c r="K990" s="6" t="str">
        <f>TEXT(TIMEVALUE(H990)-TIMEVALUE(I989)+(TIMEVALUE(H990)&lt;TIMEVALUE(I989)),"[h]:mm")</f>
        <v>0:55</v>
      </c>
      <c r="L990" s="4" t="s">
        <v>33</v>
      </c>
      <c r="M990" t="str">
        <f>IF($M$988="","",$M$988)</f>
        <v/>
      </c>
      <c r="O990" t="str">
        <f>IF($O$988="","",$O$988)</f>
        <v/>
      </c>
      <c r="Q990" s="4">
        <f>B990</f>
        <v>1060</v>
      </c>
      <c r="R990" s="4" t="str">
        <f>C990</f>
        <v>12/10/2026</v>
      </c>
      <c r="S990" s="4" t="str">
        <f>D990</f>
        <v>lunes</v>
      </c>
      <c r="T990" s="4" t="str">
        <f>E990&amp;"/"&amp;E991</f>
        <v>2127/2026</v>
      </c>
      <c r="U990" s="4" t="str">
        <f>F990&amp;"-"&amp;G990&amp;"-"&amp;F990</f>
        <v>LIM-CUZ-LIM</v>
      </c>
      <c r="V990" s="4" t="str">
        <f>IF($M$988="","",$M$988)</f>
        <v/>
      </c>
      <c r="W990" s="4" t="str">
        <f>IF($O$988="","",$O$988)</f>
        <v/>
      </c>
      <c r="X990" s="4">
        <f>J990</f>
        <v>320</v>
      </c>
    </row>
    <row r="991" spans="2:24" ht="30" x14ac:dyDescent="0.25">
      <c r="B991" s="4">
        <v>1060</v>
      </c>
      <c r="C991" s="4" t="s">
        <v>177</v>
      </c>
      <c r="D991" s="4" t="s">
        <v>138</v>
      </c>
      <c r="E991" s="4">
        <v>2026</v>
      </c>
      <c r="F991" s="4" t="s">
        <v>30</v>
      </c>
      <c r="G991" s="4" t="s">
        <v>29</v>
      </c>
      <c r="H991" s="4" t="s">
        <v>101</v>
      </c>
      <c r="I991" s="4" t="s">
        <v>102</v>
      </c>
      <c r="J991" s="4">
        <v>320</v>
      </c>
      <c r="K991" t="str">
        <f>TEXT(TIMEVALUE(H991)-TIMEVALUE(I990)+(TIMEVALUE(H991)&lt;TIMEVALUE(I990)),"[h]:mm")</f>
        <v>0:40</v>
      </c>
      <c r="L991" s="4" t="s">
        <v>71</v>
      </c>
      <c r="O991" t="str">
        <f>"LIM-"&amp;G990&amp;"-LIM   LA "&amp;E990&amp;" ("&amp;LEFT(H990,5)&amp;"-"&amp;LEFT(I990,5)&amp;" hrs)  /  LA "&amp;E991&amp;" ("&amp;LEFT(H991,5)&amp;"-"&amp;LEFT(I991,5)&amp;" hrs)"</f>
        <v>LIM-CUZ-LIM   LA 2127 (16:10-17:30 hrs)  /  LA 2026 (18:10-19:50 hrs)</v>
      </c>
    </row>
    <row r="992" spans="2:24" x14ac:dyDescent="0.25">
      <c r="J992" s="7" t="s">
        <v>43</v>
      </c>
      <c r="K992" s="8" t="str">
        <f>TEXT(TIMEVALUE(I991)-TIMEVALUE(H988)+(I991&lt;H988),"[h]:mm")</f>
        <v>8:10</v>
      </c>
    </row>
    <row r="994" spans="2:24" ht="30" x14ac:dyDescent="0.25">
      <c r="B994" s="3" t="s">
        <v>9</v>
      </c>
      <c r="C994" s="3" t="s">
        <v>17</v>
      </c>
      <c r="D994" s="3" t="s">
        <v>18</v>
      </c>
      <c r="E994" s="3" t="s">
        <v>19</v>
      </c>
      <c r="F994" s="3" t="s">
        <v>20</v>
      </c>
      <c r="G994" s="3" t="s">
        <v>21</v>
      </c>
      <c r="H994" s="3" t="s">
        <v>22</v>
      </c>
      <c r="I994" s="3" t="s">
        <v>23</v>
      </c>
      <c r="J994" s="3" t="s">
        <v>24</v>
      </c>
      <c r="K994" s="3" t="s">
        <v>25</v>
      </c>
      <c r="L994" s="3" t="s">
        <v>26</v>
      </c>
    </row>
    <row r="995" spans="2:24" ht="30" x14ac:dyDescent="0.25">
      <c r="B995" s="4">
        <v>1030</v>
      </c>
      <c r="C995" s="4" t="s">
        <v>177</v>
      </c>
      <c r="D995" s="4" t="s">
        <v>138</v>
      </c>
      <c r="E995" s="4">
        <v>2111</v>
      </c>
      <c r="F995" s="4" t="s">
        <v>29</v>
      </c>
      <c r="G995" s="4" t="s">
        <v>56</v>
      </c>
      <c r="H995" s="4" t="s">
        <v>103</v>
      </c>
      <c r="I995" s="4" t="s">
        <v>104</v>
      </c>
      <c r="J995" s="4">
        <v>320</v>
      </c>
      <c r="L995" s="4" t="s">
        <v>40</v>
      </c>
      <c r="M995" s="5"/>
      <c r="O995" s="5"/>
      <c r="Q995" s="4">
        <f>B995</f>
        <v>1030</v>
      </c>
      <c r="R995" s="4" t="str">
        <f>C995</f>
        <v>12/10/2026</v>
      </c>
      <c r="S995" s="4" t="str">
        <f>D995</f>
        <v>lunes</v>
      </c>
      <c r="T995" s="4" t="str">
        <f>E995&amp;"/"&amp;E996</f>
        <v>2111/2110</v>
      </c>
      <c r="U995" s="4" t="str">
        <f>F995&amp;"-"&amp;G995&amp;"-"&amp;F995</f>
        <v>LIM-AQP-LIM</v>
      </c>
      <c r="V995" s="4" t="str">
        <f>IF($M$995="","",$M$995)</f>
        <v/>
      </c>
      <c r="W995" s="4" t="str">
        <f>IF($O$995="","",$O$995)</f>
        <v/>
      </c>
      <c r="X995" s="4">
        <f>J995</f>
        <v>320</v>
      </c>
    </row>
    <row r="996" spans="2:24" ht="30" x14ac:dyDescent="0.25">
      <c r="B996" s="4">
        <v>1030</v>
      </c>
      <c r="C996" s="4" t="s">
        <v>177</v>
      </c>
      <c r="D996" s="4" t="s">
        <v>138</v>
      </c>
      <c r="E996" s="4">
        <v>2110</v>
      </c>
      <c r="F996" s="4" t="s">
        <v>56</v>
      </c>
      <c r="G996" s="4" t="s">
        <v>29</v>
      </c>
      <c r="H996" s="4" t="s">
        <v>84</v>
      </c>
      <c r="I996" s="4" t="s">
        <v>105</v>
      </c>
      <c r="J996" s="4">
        <v>320</v>
      </c>
      <c r="K996" t="str">
        <f>TEXT(TIMEVALUE(H996)-TIMEVALUE(I995)+(TIMEVALUE(H996)&lt;TIMEVALUE(I995)),"[h]:mm")</f>
        <v>4:40</v>
      </c>
      <c r="L996" s="4" t="s">
        <v>71</v>
      </c>
      <c r="O996" t="str">
        <f>"LIM-"&amp;G995&amp;"-LIM   LA "&amp;E995&amp;" ("&amp;LEFT(H995,5)&amp;"-"&amp;LEFT(I995,5)&amp;" hrs)  /  LA "&amp;E996&amp;" ("&amp;LEFT(H996,5)&amp;"-"&amp;LEFT(I996,5)&amp;" hrs)"</f>
        <v>LIM-AQP-LIM   LA 2111 (11:40-13:10 hrs)  /  LA 2110 (17:50-19:30 hrs)</v>
      </c>
    </row>
    <row r="997" spans="2:24" x14ac:dyDescent="0.25">
      <c r="J997" s="7" t="s">
        <v>43</v>
      </c>
      <c r="K997" s="8" t="str">
        <f>TEXT(TIMEVALUE(I996)-TIMEVALUE(H995)+(I996&lt;H995),"[h]:mm")</f>
        <v>7:50</v>
      </c>
    </row>
    <row r="999" spans="2:24" ht="30" x14ac:dyDescent="0.25">
      <c r="B999" s="3" t="s">
        <v>9</v>
      </c>
      <c r="C999" s="3" t="s">
        <v>17</v>
      </c>
      <c r="D999" s="3" t="s">
        <v>18</v>
      </c>
      <c r="E999" s="3" t="s">
        <v>19</v>
      </c>
      <c r="F999" s="3" t="s">
        <v>20</v>
      </c>
      <c r="G999" s="3" t="s">
        <v>21</v>
      </c>
      <c r="H999" s="3" t="s">
        <v>22</v>
      </c>
      <c r="I999" s="3" t="s">
        <v>23</v>
      </c>
      <c r="J999" s="3" t="s">
        <v>24</v>
      </c>
      <c r="K999" s="3" t="s">
        <v>25</v>
      </c>
      <c r="L999" s="3" t="s">
        <v>26</v>
      </c>
    </row>
    <row r="1000" spans="2:24" ht="30" x14ac:dyDescent="0.25">
      <c r="B1000" s="4">
        <v>1031</v>
      </c>
      <c r="C1000" s="4" t="s">
        <v>177</v>
      </c>
      <c r="D1000" s="4" t="s">
        <v>138</v>
      </c>
      <c r="E1000" s="4">
        <v>2316</v>
      </c>
      <c r="F1000" s="4" t="s">
        <v>29</v>
      </c>
      <c r="G1000" s="4" t="s">
        <v>125</v>
      </c>
      <c r="H1000" s="4" t="s">
        <v>103</v>
      </c>
      <c r="I1000" s="4" t="s">
        <v>65</v>
      </c>
      <c r="J1000" s="4">
        <v>320</v>
      </c>
      <c r="L1000" s="4" t="s">
        <v>47</v>
      </c>
      <c r="M1000" s="5"/>
      <c r="O1000" s="5"/>
      <c r="Q1000" s="4">
        <f>B1000</f>
        <v>1031</v>
      </c>
      <c r="R1000" s="4" t="str">
        <f>C1000</f>
        <v>12/10/2026</v>
      </c>
      <c r="S1000" s="4" t="str">
        <f>D1000</f>
        <v>lunes</v>
      </c>
      <c r="T1000" s="4" t="str">
        <f>E1000&amp;"/"&amp;E1001</f>
        <v>2316/2317</v>
      </c>
      <c r="U1000" s="4" t="str">
        <f>F1000&amp;"-"&amp;G1000&amp;"-"&amp;F1000</f>
        <v>LIM-PIU-LIM</v>
      </c>
      <c r="V1000" s="4" t="str">
        <f>IF($M$1000="","",$M$1000)</f>
        <v/>
      </c>
      <c r="W1000" s="4" t="str">
        <f>IF($O$1000="","",$O$1000)</f>
        <v/>
      </c>
      <c r="X1000" s="4">
        <f>J1000</f>
        <v>320</v>
      </c>
    </row>
    <row r="1001" spans="2:24" ht="30" x14ac:dyDescent="0.25">
      <c r="B1001" s="4">
        <v>1031</v>
      </c>
      <c r="C1001" s="4" t="s">
        <v>177</v>
      </c>
      <c r="D1001" s="4" t="s">
        <v>138</v>
      </c>
      <c r="E1001" s="4">
        <v>2317</v>
      </c>
      <c r="F1001" s="4" t="s">
        <v>125</v>
      </c>
      <c r="G1001" s="4" t="s">
        <v>29</v>
      </c>
      <c r="H1001" s="4" t="s">
        <v>67</v>
      </c>
      <c r="I1001" s="4" t="s">
        <v>92</v>
      </c>
      <c r="J1001" s="4">
        <v>320</v>
      </c>
      <c r="K1001" t="str">
        <f>TEXT(TIMEVALUE(H1001)-TIMEVALUE(I1000)+(TIMEVALUE(H1001)&lt;TIMEVALUE(I1000)),"[h]:mm")</f>
        <v>0:40</v>
      </c>
      <c r="L1001" s="4" t="s">
        <v>36</v>
      </c>
      <c r="O1001" t="str">
        <f>"LIM-"&amp;G1000&amp;"-LIM   LA "&amp;E1000&amp;" ("&amp;LEFT(H1000,5)&amp;"-"&amp;LEFT(I1000,5)&amp;" hrs)  /  LA "&amp;E1001&amp;" ("&amp;LEFT(H1001,5)&amp;"-"&amp;LEFT(I1001,5)&amp;" hrs)"</f>
        <v>LIM-PIU-LIM   LA 2316 (11:40-13:25 hrs)  /  LA 2317 (14:05-15:40 hrs)</v>
      </c>
    </row>
    <row r="1002" spans="2:24" x14ac:dyDescent="0.25">
      <c r="J1002" s="7" t="s">
        <v>43</v>
      </c>
      <c r="K1002" s="8" t="str">
        <f>TEXT(TIMEVALUE(I1001)-TIMEVALUE(H1000)+(I1001&lt;H1000),"[h]:mm")</f>
        <v>4:00</v>
      </c>
    </row>
    <row r="1004" spans="2:24" ht="30" x14ac:dyDescent="0.25">
      <c r="B1004" s="3" t="s">
        <v>9</v>
      </c>
      <c r="C1004" s="3" t="s">
        <v>17</v>
      </c>
      <c r="D1004" s="3" t="s">
        <v>18</v>
      </c>
      <c r="E1004" s="3" t="s">
        <v>19</v>
      </c>
      <c r="F1004" s="3" t="s">
        <v>20</v>
      </c>
      <c r="G1004" s="3" t="s">
        <v>21</v>
      </c>
      <c r="H1004" s="3" t="s">
        <v>22</v>
      </c>
      <c r="I1004" s="3" t="s">
        <v>23</v>
      </c>
      <c r="J1004" s="3" t="s">
        <v>24</v>
      </c>
      <c r="K1004" s="3" t="s">
        <v>25</v>
      </c>
      <c r="L1004" s="3" t="s">
        <v>26</v>
      </c>
    </row>
    <row r="1005" spans="2:24" ht="30" x14ac:dyDescent="0.25">
      <c r="B1005" s="4">
        <v>1035</v>
      </c>
      <c r="C1005" s="4" t="s">
        <v>177</v>
      </c>
      <c r="D1005" s="4" t="s">
        <v>138</v>
      </c>
      <c r="E1005" s="4">
        <v>2023</v>
      </c>
      <c r="F1005" s="4" t="s">
        <v>29</v>
      </c>
      <c r="G1005" s="4" t="s">
        <v>44</v>
      </c>
      <c r="H1005" s="4" t="s">
        <v>172</v>
      </c>
      <c r="I1005" s="4" t="s">
        <v>82</v>
      </c>
      <c r="J1005" s="4">
        <v>320</v>
      </c>
      <c r="L1005" s="4" t="s">
        <v>71</v>
      </c>
      <c r="M1005" s="5"/>
      <c r="O1005" s="5"/>
      <c r="Q1005" s="4">
        <f>B1005</f>
        <v>1035</v>
      </c>
      <c r="R1005" s="4" t="str">
        <f>C1005</f>
        <v>12/10/2026</v>
      </c>
      <c r="S1005" s="4" t="str">
        <f>D1005</f>
        <v>lunes</v>
      </c>
      <c r="T1005" s="4" t="str">
        <f>E1005&amp;"/"&amp;E1006</f>
        <v>2023/2024</v>
      </c>
      <c r="U1005" s="4" t="str">
        <f>F1005&amp;"-"&amp;G1005&amp;"-"&amp;F1005</f>
        <v>LIM-PEM-LIM</v>
      </c>
      <c r="V1005" s="4" t="str">
        <f>IF($M$1005="","",$M$1005)</f>
        <v/>
      </c>
      <c r="W1005" s="4" t="str">
        <f>IF($O$1005="","",$O$1005)</f>
        <v/>
      </c>
      <c r="X1005" s="4">
        <f>J1005</f>
        <v>320</v>
      </c>
    </row>
    <row r="1006" spans="2:24" ht="30" x14ac:dyDescent="0.25">
      <c r="B1006" s="4">
        <v>1035</v>
      </c>
      <c r="C1006" s="4" t="s">
        <v>177</v>
      </c>
      <c r="D1006" s="4" t="s">
        <v>138</v>
      </c>
      <c r="E1006" s="4">
        <v>2024</v>
      </c>
      <c r="F1006" s="4" t="s">
        <v>44</v>
      </c>
      <c r="G1006" s="4" t="s">
        <v>29</v>
      </c>
      <c r="H1006" s="4" t="s">
        <v>145</v>
      </c>
      <c r="I1006" s="4" t="s">
        <v>83</v>
      </c>
      <c r="J1006" s="4">
        <v>320</v>
      </c>
      <c r="K1006" t="str">
        <f>TEXT(TIMEVALUE(H1006)-TIMEVALUE(I1005)+(TIMEVALUE(H1006)&lt;TIMEVALUE(I1005)),"[h]:mm")</f>
        <v>0:40</v>
      </c>
      <c r="L1006" s="4" t="s">
        <v>36</v>
      </c>
      <c r="O1006" t="str">
        <f>"LIM-"&amp;G1005&amp;"-LIM   LA "&amp;E1005&amp;" ("&amp;LEFT(H1005,5)&amp;"-"&amp;LEFT(I1005,5)&amp;" hrs)  /  LA "&amp;E1006&amp;" ("&amp;LEFT(H1006,5)&amp;"-"&amp;LEFT(I1006,5)&amp;" hrs)"</f>
        <v>LIM-PEM-LIM   LA 2023 (12:15-13:55 hrs)  /  LA 2024 (14:35-16:10 hrs)</v>
      </c>
    </row>
    <row r="1007" spans="2:24" ht="30" x14ac:dyDescent="0.25">
      <c r="B1007" s="4">
        <v>1062</v>
      </c>
      <c r="C1007" s="4" t="s">
        <v>177</v>
      </c>
      <c r="D1007" s="4" t="s">
        <v>138</v>
      </c>
      <c r="E1007" s="4">
        <v>2115</v>
      </c>
      <c r="F1007" s="4" t="s">
        <v>29</v>
      </c>
      <c r="G1007" s="4" t="s">
        <v>56</v>
      </c>
      <c r="H1007" s="4" t="s">
        <v>42</v>
      </c>
      <c r="I1007" s="4" t="s">
        <v>68</v>
      </c>
      <c r="J1007" s="4">
        <v>320</v>
      </c>
      <c r="K1007" s="6" t="str">
        <f>TEXT(TIMEVALUE(H1007)-TIMEVALUE(I1006)+(TIMEVALUE(H1007)&lt;TIMEVALUE(I1006)),"[h]:mm")</f>
        <v>1:05</v>
      </c>
      <c r="L1007" s="4" t="s">
        <v>40</v>
      </c>
      <c r="M1007" t="str">
        <f>IF($M$1005="","",$M$1005)</f>
        <v/>
      </c>
      <c r="O1007" t="str">
        <f>IF($O$1005="","",$O$1005)</f>
        <v/>
      </c>
      <c r="Q1007" s="4">
        <f>B1007</f>
        <v>1062</v>
      </c>
      <c r="R1007" s="4" t="str">
        <f>C1007</f>
        <v>12/10/2026</v>
      </c>
      <c r="S1007" s="4" t="str">
        <f>D1007</f>
        <v>lunes</v>
      </c>
      <c r="T1007" s="4" t="str">
        <f>E1007&amp;"/"&amp;E1008</f>
        <v>2115/2114</v>
      </c>
      <c r="U1007" s="4" t="str">
        <f>F1007&amp;"-"&amp;G1007&amp;"-"&amp;F1007</f>
        <v>LIM-AQP-LIM</v>
      </c>
      <c r="V1007" s="4" t="str">
        <f>IF($M$1005="","",$M$1005)</f>
        <v/>
      </c>
      <c r="W1007" s="4" t="str">
        <f>IF($O$1005="","",$O$1005)</f>
        <v/>
      </c>
      <c r="X1007" s="4">
        <f>J1007</f>
        <v>320</v>
      </c>
    </row>
    <row r="1008" spans="2:24" ht="30" x14ac:dyDescent="0.25">
      <c r="B1008" s="4">
        <v>1062</v>
      </c>
      <c r="C1008" s="4" t="s">
        <v>177</v>
      </c>
      <c r="D1008" s="4" t="s">
        <v>138</v>
      </c>
      <c r="E1008" s="4">
        <v>2114</v>
      </c>
      <c r="F1008" s="4" t="s">
        <v>56</v>
      </c>
      <c r="G1008" s="4" t="s">
        <v>29</v>
      </c>
      <c r="H1008" s="4" t="s">
        <v>69</v>
      </c>
      <c r="I1008" s="4" t="s">
        <v>70</v>
      </c>
      <c r="J1008" s="4">
        <v>320</v>
      </c>
      <c r="K1008" t="str">
        <f>TEXT(TIMEVALUE(H1008)-TIMEVALUE(I1007)+(TIMEVALUE(H1008)&lt;TIMEVALUE(I1007)),"[h]:mm")</f>
        <v>0:35</v>
      </c>
      <c r="L1008" s="4" t="s">
        <v>71</v>
      </c>
      <c r="O1008" t="str">
        <f>"LIM-"&amp;G1007&amp;"-LIM   LA "&amp;E1007&amp;" ("&amp;LEFT(H1007,5)&amp;"-"&amp;LEFT(I1007,5)&amp;" hrs)  /  LA "&amp;E1008&amp;" ("&amp;LEFT(H1008,5)&amp;"-"&amp;LEFT(I1008,5)&amp;" hrs)"</f>
        <v>LIM-AQP-LIM   LA 2115 (17:15-18:45 hrs)  /  LA 2114 (19:20-21:00 hrs)</v>
      </c>
    </row>
    <row r="1009" spans="2:24" x14ac:dyDescent="0.25">
      <c r="J1009" s="7" t="s">
        <v>43</v>
      </c>
      <c r="K1009" s="8" t="str">
        <f>TEXT(TIMEVALUE(I1008)-TIMEVALUE(H1005)+(I1008&lt;H1005),"[h]:mm")</f>
        <v>8:45</v>
      </c>
    </row>
    <row r="1011" spans="2:24" ht="30" x14ac:dyDescent="0.25">
      <c r="B1011" s="3" t="s">
        <v>9</v>
      </c>
      <c r="C1011" s="3" t="s">
        <v>17</v>
      </c>
      <c r="D1011" s="3" t="s">
        <v>18</v>
      </c>
      <c r="E1011" s="3" t="s">
        <v>19</v>
      </c>
      <c r="F1011" s="3" t="s">
        <v>20</v>
      </c>
      <c r="G1011" s="3" t="s">
        <v>21</v>
      </c>
      <c r="H1011" s="3" t="s">
        <v>22</v>
      </c>
      <c r="I1011" s="3" t="s">
        <v>23</v>
      </c>
      <c r="J1011" s="3" t="s">
        <v>24</v>
      </c>
      <c r="K1011" s="3" t="s">
        <v>25</v>
      </c>
      <c r="L1011" s="3" t="s">
        <v>26</v>
      </c>
    </row>
    <row r="1012" spans="2:24" ht="30" x14ac:dyDescent="0.25">
      <c r="B1012" s="4">
        <v>1038</v>
      </c>
      <c r="C1012" s="4" t="s">
        <v>177</v>
      </c>
      <c r="D1012" s="4" t="s">
        <v>138</v>
      </c>
      <c r="E1012" s="4">
        <v>2308</v>
      </c>
      <c r="F1012" s="4" t="s">
        <v>29</v>
      </c>
      <c r="G1012" s="4" t="s">
        <v>125</v>
      </c>
      <c r="H1012" s="4" t="s">
        <v>144</v>
      </c>
      <c r="I1012" s="4" t="s">
        <v>145</v>
      </c>
      <c r="J1012" s="4">
        <v>320</v>
      </c>
      <c r="L1012" s="4" t="s">
        <v>47</v>
      </c>
      <c r="M1012" s="5"/>
      <c r="O1012" s="5"/>
      <c r="Q1012" s="4">
        <f>B1012</f>
        <v>1038</v>
      </c>
      <c r="R1012" s="4" t="str">
        <f>C1012</f>
        <v>12/10/2026</v>
      </c>
      <c r="S1012" s="4" t="str">
        <f>D1012</f>
        <v>lunes</v>
      </c>
      <c r="T1012" s="4" t="str">
        <f>E1012&amp;"/"&amp;E1013</f>
        <v>2308/2309</v>
      </c>
      <c r="U1012" s="4" t="str">
        <f>F1012&amp;"-"&amp;G1012&amp;"-"&amp;F1012</f>
        <v>LIM-PIU-LIM</v>
      </c>
      <c r="V1012" s="4" t="str">
        <f>IF($M$1012="","",$M$1012)</f>
        <v/>
      </c>
      <c r="W1012" s="4" t="str">
        <f>IF($O$1012="","",$O$1012)</f>
        <v/>
      </c>
      <c r="X1012" s="4">
        <f>J1012</f>
        <v>320</v>
      </c>
    </row>
    <row r="1013" spans="2:24" ht="30" x14ac:dyDescent="0.25">
      <c r="B1013" s="4">
        <v>1038</v>
      </c>
      <c r="C1013" s="4" t="s">
        <v>177</v>
      </c>
      <c r="D1013" s="4" t="s">
        <v>138</v>
      </c>
      <c r="E1013" s="4">
        <v>2309</v>
      </c>
      <c r="F1013" s="4" t="s">
        <v>125</v>
      </c>
      <c r="G1013" s="4" t="s">
        <v>29</v>
      </c>
      <c r="H1013" s="4" t="s">
        <v>146</v>
      </c>
      <c r="I1013" s="4" t="s">
        <v>60</v>
      </c>
      <c r="J1013" s="4">
        <v>320</v>
      </c>
      <c r="K1013" t="str">
        <f>TEXT(TIMEVALUE(H1013)-TIMEVALUE(I1012)+(TIMEVALUE(H1013)&lt;TIMEVALUE(I1012)),"[h]:mm")</f>
        <v>0:35</v>
      </c>
      <c r="L1013" s="4" t="s">
        <v>40</v>
      </c>
      <c r="O1013" t="str">
        <f>"LIM-"&amp;G1012&amp;"-LIM   LA "&amp;E1012&amp;" ("&amp;LEFT(H1012,5)&amp;"-"&amp;LEFT(I1012,5)&amp;" hrs)  /  LA "&amp;E1013&amp;" ("&amp;LEFT(H1013,5)&amp;"-"&amp;LEFT(I1013,5)&amp;" hrs)"</f>
        <v>LIM-PIU-LIM   LA 2308 (12:50-14:35 hrs)  /  LA 2309 (15:10-16:40 hrs)</v>
      </c>
    </row>
    <row r="1014" spans="2:24" x14ac:dyDescent="0.25">
      <c r="J1014" s="7" t="s">
        <v>43</v>
      </c>
      <c r="K1014" s="8" t="str">
        <f>TEXT(TIMEVALUE(I1013)-TIMEVALUE(H1012)+(I1013&lt;H1012),"[h]:mm")</f>
        <v>3:50</v>
      </c>
    </row>
    <row r="1016" spans="2:24" ht="30" x14ac:dyDescent="0.25">
      <c r="B1016" s="3" t="s">
        <v>9</v>
      </c>
      <c r="C1016" s="3" t="s">
        <v>17</v>
      </c>
      <c r="D1016" s="3" t="s">
        <v>18</v>
      </c>
      <c r="E1016" s="3" t="s">
        <v>19</v>
      </c>
      <c r="F1016" s="3" t="s">
        <v>20</v>
      </c>
      <c r="G1016" s="3" t="s">
        <v>21</v>
      </c>
      <c r="H1016" s="3" t="s">
        <v>22</v>
      </c>
      <c r="I1016" s="3" t="s">
        <v>23</v>
      </c>
      <c r="J1016" s="3" t="s">
        <v>24</v>
      </c>
      <c r="K1016" s="3" t="s">
        <v>25</v>
      </c>
      <c r="L1016" s="3" t="s">
        <v>26</v>
      </c>
    </row>
    <row r="1017" spans="2:24" ht="30" x14ac:dyDescent="0.25">
      <c r="B1017" s="4">
        <v>1042</v>
      </c>
      <c r="C1017" s="4" t="s">
        <v>177</v>
      </c>
      <c r="D1017" s="4" t="s">
        <v>138</v>
      </c>
      <c r="E1017" s="4">
        <v>2028</v>
      </c>
      <c r="F1017" s="4" t="s">
        <v>29</v>
      </c>
      <c r="G1017" s="4" t="s">
        <v>30</v>
      </c>
      <c r="H1017" s="4" t="s">
        <v>65</v>
      </c>
      <c r="I1017" s="4" t="s">
        <v>75</v>
      </c>
      <c r="J1017" s="4">
        <v>319</v>
      </c>
      <c r="L1017" s="4" t="s">
        <v>33</v>
      </c>
      <c r="M1017" s="5"/>
      <c r="O1017" s="5"/>
      <c r="Q1017" s="4">
        <f>B1017</f>
        <v>1042</v>
      </c>
      <c r="R1017" s="4" t="str">
        <f>C1017</f>
        <v>12/10/2026</v>
      </c>
      <c r="S1017" s="4" t="str">
        <f>D1017</f>
        <v>lunes</v>
      </c>
      <c r="T1017" s="4" t="str">
        <f>E1017&amp;"/"&amp;E1018</f>
        <v>2028/2029</v>
      </c>
      <c r="U1017" s="4" t="str">
        <f>F1017&amp;"-"&amp;G1017&amp;"-"&amp;F1017</f>
        <v>LIM-CUZ-LIM</v>
      </c>
      <c r="V1017" s="4" t="str">
        <f>IF($M$1017="","",$M$1017)</f>
        <v/>
      </c>
      <c r="W1017" s="4" t="str">
        <f>IF($O$1017="","",$O$1017)</f>
        <v/>
      </c>
      <c r="X1017" s="4">
        <f>J1017</f>
        <v>319</v>
      </c>
    </row>
    <row r="1018" spans="2:24" ht="30" x14ac:dyDescent="0.25">
      <c r="B1018" s="4">
        <v>1042</v>
      </c>
      <c r="C1018" s="4" t="s">
        <v>177</v>
      </c>
      <c r="D1018" s="4" t="s">
        <v>138</v>
      </c>
      <c r="E1018" s="4">
        <v>2029</v>
      </c>
      <c r="F1018" s="4" t="s">
        <v>30</v>
      </c>
      <c r="G1018" s="4" t="s">
        <v>29</v>
      </c>
      <c r="H1018" s="4" t="s">
        <v>76</v>
      </c>
      <c r="I1018" s="4" t="s">
        <v>77</v>
      </c>
      <c r="J1018" s="4">
        <v>319</v>
      </c>
      <c r="K1018" t="str">
        <f>TEXT(TIMEVALUE(H1018)-TIMEVALUE(I1017)+(TIMEVALUE(H1018)&lt;TIMEVALUE(I1017)),"[h]:mm")</f>
        <v>0:45</v>
      </c>
      <c r="L1018" s="4" t="s">
        <v>36</v>
      </c>
      <c r="O1018" t="str">
        <f>"LIM-"&amp;G1017&amp;"-LIM   LA "&amp;E1017&amp;" ("&amp;LEFT(H1017,5)&amp;"-"&amp;LEFT(I1017,5)&amp;" hrs)  /  LA "&amp;E1018&amp;" ("&amp;LEFT(H1018,5)&amp;"-"&amp;LEFT(I1018,5)&amp;" hrs)"</f>
        <v>LIM-CUZ-LIM   LA 2028 (13:25-14:45 hrs)  /  LA 2029 (15:30-17:05 hrs)</v>
      </c>
    </row>
    <row r="1019" spans="2:24" ht="30" x14ac:dyDescent="0.25">
      <c r="B1019" s="4">
        <v>1064</v>
      </c>
      <c r="C1019" s="4" t="s">
        <v>177</v>
      </c>
      <c r="D1019" s="4" t="s">
        <v>138</v>
      </c>
      <c r="E1019" s="4">
        <v>2310</v>
      </c>
      <c r="F1019" s="4" t="s">
        <v>29</v>
      </c>
      <c r="G1019" s="4" t="s">
        <v>37</v>
      </c>
      <c r="H1019" s="4" t="s">
        <v>111</v>
      </c>
      <c r="I1019" s="4" t="s">
        <v>112</v>
      </c>
      <c r="J1019" s="4">
        <v>320</v>
      </c>
      <c r="K1019" s="6" t="str">
        <f>TEXT(TIMEVALUE(H1019)-TIMEVALUE(I1018)+(TIMEVALUE(H1019)&lt;TIMEVALUE(I1018)),"[h]:mm")</f>
        <v>1:10</v>
      </c>
      <c r="L1019" s="4" t="s">
        <v>40</v>
      </c>
      <c r="M1019" t="str">
        <f>IF($M$1017="","",$M$1017)</f>
        <v/>
      </c>
      <c r="O1019" t="str">
        <f>IF($O$1017="","",$O$1017)</f>
        <v/>
      </c>
      <c r="Q1019" s="4">
        <f>B1019</f>
        <v>1064</v>
      </c>
      <c r="R1019" s="4" t="str">
        <f>C1019</f>
        <v>12/10/2026</v>
      </c>
      <c r="S1019" s="4" t="str">
        <f>D1019</f>
        <v>lunes</v>
      </c>
      <c r="T1019" s="4" t="str">
        <f>E1019&amp;"/"&amp;E1020</f>
        <v>2310/2311</v>
      </c>
      <c r="U1019" s="4" t="str">
        <f>F1019&amp;"-"&amp;G1019&amp;"-"&amp;F1019</f>
        <v>LIM-CIX-LIM</v>
      </c>
      <c r="V1019" s="4" t="str">
        <f>IF($M$1017="","",$M$1017)</f>
        <v/>
      </c>
      <c r="W1019" s="4" t="str">
        <f>IF($O$1017="","",$O$1017)</f>
        <v/>
      </c>
      <c r="X1019" s="4">
        <f>J1019</f>
        <v>320</v>
      </c>
    </row>
    <row r="1020" spans="2:24" ht="30" x14ac:dyDescent="0.25">
      <c r="B1020" s="4">
        <v>1064</v>
      </c>
      <c r="C1020" s="4" t="s">
        <v>177</v>
      </c>
      <c r="D1020" s="4" t="s">
        <v>138</v>
      </c>
      <c r="E1020" s="4">
        <v>2311</v>
      </c>
      <c r="F1020" s="4" t="s">
        <v>37</v>
      </c>
      <c r="G1020" s="4" t="s">
        <v>29</v>
      </c>
      <c r="H1020" s="4" t="s">
        <v>113</v>
      </c>
      <c r="I1020" s="4" t="s">
        <v>114</v>
      </c>
      <c r="J1020" s="4">
        <v>320</v>
      </c>
      <c r="K1020" t="str">
        <f>TEXT(TIMEVALUE(H1020)-TIMEVALUE(I1019)+(TIMEVALUE(H1020)&lt;TIMEVALUE(I1019)),"[h]:mm")</f>
        <v>0:35</v>
      </c>
      <c r="L1020" s="4" t="s">
        <v>93</v>
      </c>
      <c r="O1020" t="str">
        <f>"LIM-"&amp;G1019&amp;"-LIM   LA "&amp;E1019&amp;" ("&amp;LEFT(H1019,5)&amp;"-"&amp;LEFT(I1019,5)&amp;" hrs)  /  LA "&amp;E1020&amp;" ("&amp;LEFT(H1020,5)&amp;"-"&amp;LEFT(I1020,5)&amp;" hrs)"</f>
        <v>LIM-CIX-LIM   LA 2310 (18:15-19:45 hrs)  /  LA 2311 (20:20-21:45 hrs)</v>
      </c>
    </row>
    <row r="1021" spans="2:24" x14ac:dyDescent="0.25">
      <c r="J1021" s="7" t="s">
        <v>43</v>
      </c>
      <c r="K1021" s="8" t="str">
        <f>TEXT(TIMEVALUE(I1020)-TIMEVALUE(H1017)+(I1020&lt;H1017),"[h]:mm")</f>
        <v>8:20</v>
      </c>
    </row>
    <row r="1023" spans="2:24" ht="30" x14ac:dyDescent="0.25">
      <c r="B1023" s="3" t="s">
        <v>9</v>
      </c>
      <c r="C1023" s="3" t="s">
        <v>17</v>
      </c>
      <c r="D1023" s="3" t="s">
        <v>18</v>
      </c>
      <c r="E1023" s="3" t="s">
        <v>19</v>
      </c>
      <c r="F1023" s="3" t="s">
        <v>20</v>
      </c>
      <c r="G1023" s="3" t="s">
        <v>21</v>
      </c>
      <c r="H1023" s="3" t="s">
        <v>22</v>
      </c>
      <c r="I1023" s="3" t="s">
        <v>23</v>
      </c>
      <c r="J1023" s="3" t="s">
        <v>24</v>
      </c>
      <c r="K1023" s="3" t="s">
        <v>25</v>
      </c>
      <c r="L1023" s="3" t="s">
        <v>26</v>
      </c>
    </row>
    <row r="1024" spans="2:24" ht="30" x14ac:dyDescent="0.25">
      <c r="B1024" s="4">
        <v>1044</v>
      </c>
      <c r="C1024" s="4" t="s">
        <v>177</v>
      </c>
      <c r="D1024" s="4" t="s">
        <v>138</v>
      </c>
      <c r="E1024" s="4">
        <v>2152</v>
      </c>
      <c r="F1024" s="4" t="s">
        <v>29</v>
      </c>
      <c r="G1024" s="4" t="s">
        <v>37</v>
      </c>
      <c r="H1024" s="4" t="s">
        <v>38</v>
      </c>
      <c r="I1024" s="4" t="s">
        <v>39</v>
      </c>
      <c r="J1024" s="4">
        <v>320</v>
      </c>
      <c r="L1024" s="4" t="s">
        <v>40</v>
      </c>
      <c r="M1024" s="5"/>
      <c r="O1024" s="5"/>
      <c r="Q1024" s="4">
        <f>B1024</f>
        <v>1044</v>
      </c>
      <c r="R1024" s="4" t="str">
        <f>C1024</f>
        <v>12/10/2026</v>
      </c>
      <c r="S1024" s="4" t="str">
        <f>D1024</f>
        <v>lunes</v>
      </c>
      <c r="T1024" s="4" t="str">
        <f>E1024&amp;"/"&amp;E1025</f>
        <v>2152/2153</v>
      </c>
      <c r="U1024" s="4" t="str">
        <f>F1024&amp;"-"&amp;G1024&amp;"-"&amp;F1024</f>
        <v>LIM-CIX-LIM</v>
      </c>
      <c r="V1024" s="4" t="str">
        <f>IF($M$1024="","",$M$1024)</f>
        <v/>
      </c>
      <c r="W1024" s="4" t="str">
        <f>IF($O$1024="","",$O$1024)</f>
        <v/>
      </c>
      <c r="X1024" s="4">
        <f>J1024</f>
        <v>320</v>
      </c>
    </row>
    <row r="1025" spans="2:24" ht="30" x14ac:dyDescent="0.25">
      <c r="B1025" s="4">
        <v>1044</v>
      </c>
      <c r="C1025" s="4" t="s">
        <v>177</v>
      </c>
      <c r="D1025" s="4" t="s">
        <v>138</v>
      </c>
      <c r="E1025" s="4">
        <v>2153</v>
      </c>
      <c r="F1025" s="4" t="s">
        <v>37</v>
      </c>
      <c r="G1025" s="4" t="s">
        <v>29</v>
      </c>
      <c r="H1025" s="4" t="s">
        <v>41</v>
      </c>
      <c r="I1025" s="4" t="s">
        <v>42</v>
      </c>
      <c r="J1025" s="4">
        <v>320</v>
      </c>
      <c r="K1025" t="str">
        <f>TEXT(TIMEVALUE(H1025)-TIMEVALUE(I1024)+(TIMEVALUE(H1025)&lt;TIMEVALUE(I1024)),"[h]:mm")</f>
        <v>0:35</v>
      </c>
      <c r="L1025" s="4" t="s">
        <v>33</v>
      </c>
      <c r="O1025" t="str">
        <f>"LIM-"&amp;G1024&amp;"-LIM   LA "&amp;E1024&amp;" ("&amp;LEFT(H1024,5)&amp;"-"&amp;LEFT(I1024,5)&amp;" hrs)  /  LA "&amp;E1025&amp;" ("&amp;LEFT(H1025,5)&amp;"-"&amp;LEFT(I1025,5)&amp;" hrs)"</f>
        <v>LIM-CIX-LIM   LA 2152 (13:50-15:20 hrs)  /  LA 2153 (15:55-17:15 hrs)</v>
      </c>
    </row>
    <row r="1026" spans="2:24" ht="30" x14ac:dyDescent="0.25">
      <c r="B1026" s="4">
        <v>1065</v>
      </c>
      <c r="C1026" s="4" t="s">
        <v>177</v>
      </c>
      <c r="D1026" s="4" t="s">
        <v>138</v>
      </c>
      <c r="E1026" s="4">
        <v>2091</v>
      </c>
      <c r="F1026" s="4" t="s">
        <v>29</v>
      </c>
      <c r="G1026" s="4" t="s">
        <v>91</v>
      </c>
      <c r="H1026" s="4" t="s">
        <v>147</v>
      </c>
      <c r="I1026" s="4" t="s">
        <v>148</v>
      </c>
      <c r="J1026" s="4">
        <v>320</v>
      </c>
      <c r="K1026" s="6" t="str">
        <f>TEXT(TIMEVALUE(H1026)-TIMEVALUE(I1025)+(TIMEVALUE(H1026)&lt;TIMEVALUE(I1025)),"[h]:mm")</f>
        <v>1:15</v>
      </c>
      <c r="L1026" s="4" t="s">
        <v>93</v>
      </c>
      <c r="M1026" t="str">
        <f>IF($M$1024="","",$M$1024)</f>
        <v/>
      </c>
      <c r="O1026" t="str">
        <f>IF($O$1024="","",$O$1024)</f>
        <v/>
      </c>
      <c r="Q1026" s="4">
        <f>B1026</f>
        <v>1065</v>
      </c>
      <c r="R1026" s="4" t="str">
        <f>C1026</f>
        <v>12/10/2026</v>
      </c>
      <c r="S1026" s="4" t="str">
        <f>D1026</f>
        <v>lunes</v>
      </c>
      <c r="T1026" s="4" t="str">
        <f>E1026&amp;"/"&amp;E1027</f>
        <v>2091/2092</v>
      </c>
      <c r="U1026" s="4" t="str">
        <f>F1026&amp;"-"&amp;G1026&amp;"-"&amp;F1026</f>
        <v>LIM-TPP-LIM</v>
      </c>
      <c r="V1026" s="4" t="str">
        <f>IF($M$1024="","",$M$1024)</f>
        <v/>
      </c>
      <c r="W1026" s="4" t="str">
        <f>IF($O$1024="","",$O$1024)</f>
        <v/>
      </c>
      <c r="X1026" s="4">
        <f>J1026</f>
        <v>320</v>
      </c>
    </row>
    <row r="1027" spans="2:24" ht="30" x14ac:dyDescent="0.25">
      <c r="B1027" s="4">
        <v>1065</v>
      </c>
      <c r="C1027" s="4" t="s">
        <v>177</v>
      </c>
      <c r="D1027" s="4" t="s">
        <v>138</v>
      </c>
      <c r="E1027" s="4">
        <v>2092</v>
      </c>
      <c r="F1027" s="4" t="s">
        <v>91</v>
      </c>
      <c r="G1027" s="4" t="s">
        <v>29</v>
      </c>
      <c r="H1027" s="4" t="s">
        <v>149</v>
      </c>
      <c r="I1027" s="4" t="s">
        <v>150</v>
      </c>
      <c r="J1027" s="4">
        <v>320</v>
      </c>
      <c r="K1027" t="str">
        <f>TEXT(TIMEVALUE(H1027)-TIMEVALUE(I1026)+(TIMEVALUE(H1027)&lt;TIMEVALUE(I1026)),"[h]:mm")</f>
        <v>0:35</v>
      </c>
      <c r="L1027" s="4" t="s">
        <v>40</v>
      </c>
      <c r="O1027" t="str">
        <f>"LIM-"&amp;G1026&amp;"-LIM   LA "&amp;E1026&amp;" ("&amp;LEFT(H1026,5)&amp;"-"&amp;LEFT(I1026,5)&amp;" hrs)  /  LA "&amp;E1027&amp;" ("&amp;LEFT(H1027,5)&amp;"-"&amp;LEFT(I1027,5)&amp;" hrs)"</f>
        <v>LIM-TPP-LIM   LA 2091 (18:30-19:55 hrs)  /  LA 2092 (20:30-22:00 hrs)</v>
      </c>
    </row>
    <row r="1028" spans="2:24" x14ac:dyDescent="0.25">
      <c r="J1028" s="7" t="s">
        <v>43</v>
      </c>
      <c r="K1028" s="8" t="str">
        <f>TEXT(TIMEVALUE(I1027)-TIMEVALUE(H1024)+(I1027&lt;H1024),"[h]:mm")</f>
        <v>8:10</v>
      </c>
    </row>
    <row r="1030" spans="2:24" ht="30" x14ac:dyDescent="0.25">
      <c r="B1030" s="3" t="s">
        <v>9</v>
      </c>
      <c r="C1030" s="3" t="s">
        <v>17</v>
      </c>
      <c r="D1030" s="3" t="s">
        <v>18</v>
      </c>
      <c r="E1030" s="3" t="s">
        <v>19</v>
      </c>
      <c r="F1030" s="3" t="s">
        <v>20</v>
      </c>
      <c r="G1030" s="3" t="s">
        <v>21</v>
      </c>
      <c r="H1030" s="3" t="s">
        <v>22</v>
      </c>
      <c r="I1030" s="3" t="s">
        <v>23</v>
      </c>
      <c r="J1030" s="3" t="s">
        <v>24</v>
      </c>
      <c r="K1030" s="3" t="s">
        <v>25</v>
      </c>
      <c r="L1030" s="3" t="s">
        <v>26</v>
      </c>
    </row>
    <row r="1031" spans="2:24" ht="30" x14ac:dyDescent="0.25">
      <c r="B1031" s="4">
        <v>1045</v>
      </c>
      <c r="C1031" s="4" t="s">
        <v>177</v>
      </c>
      <c r="D1031" s="4" t="s">
        <v>138</v>
      </c>
      <c r="E1031" s="4">
        <v>2055</v>
      </c>
      <c r="F1031" s="4" t="s">
        <v>29</v>
      </c>
      <c r="G1031" s="4" t="s">
        <v>56</v>
      </c>
      <c r="H1031" s="4" t="s">
        <v>82</v>
      </c>
      <c r="I1031" s="4" t="s">
        <v>59</v>
      </c>
      <c r="J1031" s="4">
        <v>320</v>
      </c>
      <c r="L1031" s="4" t="s">
        <v>40</v>
      </c>
      <c r="M1031" s="5"/>
      <c r="O1031" s="5"/>
      <c r="Q1031" s="4">
        <f>B1031</f>
        <v>1045</v>
      </c>
      <c r="R1031" s="4" t="str">
        <f>C1031</f>
        <v>12/10/2026</v>
      </c>
      <c r="S1031" s="4" t="str">
        <f>D1031</f>
        <v>lunes</v>
      </c>
      <c r="T1031" s="4" t="str">
        <f>E1031&amp;"/"&amp;E1032</f>
        <v>2055/2056</v>
      </c>
      <c r="U1031" s="4" t="str">
        <f>F1031&amp;"-"&amp;G1031&amp;"-"&amp;F1031</f>
        <v>LIM-AQP-LIM</v>
      </c>
      <c r="V1031" s="4" t="str">
        <f>IF($M$1031="","",$M$1031)</f>
        <v/>
      </c>
      <c r="W1031" s="4" t="str">
        <f>IF($O$1031="","",$O$1031)</f>
        <v/>
      </c>
      <c r="X1031" s="4">
        <f>J1031</f>
        <v>320</v>
      </c>
    </row>
    <row r="1032" spans="2:24" ht="30" x14ac:dyDescent="0.25">
      <c r="B1032" s="4">
        <v>1045</v>
      </c>
      <c r="C1032" s="4" t="s">
        <v>177</v>
      </c>
      <c r="D1032" s="4" t="s">
        <v>138</v>
      </c>
      <c r="E1032" s="4">
        <v>2056</v>
      </c>
      <c r="F1032" s="4" t="s">
        <v>56</v>
      </c>
      <c r="G1032" s="4" t="s">
        <v>29</v>
      </c>
      <c r="H1032" s="4" t="s">
        <v>83</v>
      </c>
      <c r="I1032" s="4" t="s">
        <v>84</v>
      </c>
      <c r="J1032" s="4">
        <v>320</v>
      </c>
      <c r="K1032" t="str">
        <f>TEXT(TIMEVALUE(H1032)-TIMEVALUE(I1031)+(TIMEVALUE(H1032)&lt;TIMEVALUE(I1031)),"[h]:mm")</f>
        <v>0:45</v>
      </c>
      <c r="L1032" s="4" t="s">
        <v>71</v>
      </c>
      <c r="O1032" t="str">
        <f>"LIM-"&amp;G1031&amp;"-LIM   LA "&amp;E1031&amp;" ("&amp;LEFT(H1031,5)&amp;"-"&amp;LEFT(I1031,5)&amp;" hrs)  /  LA "&amp;E1032&amp;" ("&amp;LEFT(H1032,5)&amp;"-"&amp;LEFT(I1032,5)&amp;" hrs)"</f>
        <v>LIM-AQP-LIM   LA 2055 (13:55-15:25 hrs)  /  LA 2056 (16:10-17:50 hrs)</v>
      </c>
    </row>
    <row r="1033" spans="2:24" x14ac:dyDescent="0.25">
      <c r="J1033" s="7" t="s">
        <v>43</v>
      </c>
      <c r="K1033" s="8" t="str">
        <f>TEXT(TIMEVALUE(I1032)-TIMEVALUE(H1031)+(I1032&lt;H1031),"[h]:mm")</f>
        <v>3:55</v>
      </c>
    </row>
    <row r="1035" spans="2:24" ht="30" x14ac:dyDescent="0.25">
      <c r="B1035" s="3" t="s">
        <v>9</v>
      </c>
      <c r="C1035" s="3" t="s">
        <v>17</v>
      </c>
      <c r="D1035" s="3" t="s">
        <v>18</v>
      </c>
      <c r="E1035" s="3" t="s">
        <v>19</v>
      </c>
      <c r="F1035" s="3" t="s">
        <v>20</v>
      </c>
      <c r="G1035" s="3" t="s">
        <v>21</v>
      </c>
      <c r="H1035" s="3" t="s">
        <v>22</v>
      </c>
      <c r="I1035" s="3" t="s">
        <v>23</v>
      </c>
      <c r="J1035" s="3" t="s">
        <v>24</v>
      </c>
      <c r="K1035" s="3" t="s">
        <v>25</v>
      </c>
      <c r="L1035" s="3" t="s">
        <v>26</v>
      </c>
    </row>
    <row r="1036" spans="2:24" ht="30" x14ac:dyDescent="0.25">
      <c r="B1036" s="4">
        <v>1046</v>
      </c>
      <c r="C1036" s="4" t="s">
        <v>177</v>
      </c>
      <c r="D1036" s="4" t="s">
        <v>138</v>
      </c>
      <c r="E1036" s="4">
        <v>2295</v>
      </c>
      <c r="F1036" s="4" t="s">
        <v>29</v>
      </c>
      <c r="G1036" s="4" t="s">
        <v>50</v>
      </c>
      <c r="H1036" s="4" t="s">
        <v>110</v>
      </c>
      <c r="I1036" s="4" t="s">
        <v>76</v>
      </c>
      <c r="J1036" s="4">
        <v>320</v>
      </c>
      <c r="L1036" s="4" t="s">
        <v>33</v>
      </c>
      <c r="M1036" s="5"/>
      <c r="O1036" s="5"/>
      <c r="Q1036" s="4">
        <f>B1036</f>
        <v>1046</v>
      </c>
      <c r="R1036" s="4" t="str">
        <f>C1036</f>
        <v>12/10/2026</v>
      </c>
      <c r="S1036" s="4" t="str">
        <f>D1036</f>
        <v>lunes</v>
      </c>
      <c r="T1036" s="4" t="str">
        <f>E1036&amp;"/"&amp;E1037</f>
        <v>2295/2294</v>
      </c>
      <c r="U1036" s="4" t="str">
        <f>F1036&amp;"-"&amp;G1036&amp;"-"&amp;F1036</f>
        <v>LIM-CJA-LIM</v>
      </c>
      <c r="V1036" s="4" t="str">
        <f>IF($M$1036="","",$M$1036)</f>
        <v/>
      </c>
      <c r="W1036" s="4" t="str">
        <f>IF($O$1036="","",$O$1036)</f>
        <v/>
      </c>
      <c r="X1036" s="4">
        <f>J1036</f>
        <v>320</v>
      </c>
    </row>
    <row r="1037" spans="2:24" ht="30" x14ac:dyDescent="0.25">
      <c r="B1037" s="4">
        <v>1046</v>
      </c>
      <c r="C1037" s="4" t="s">
        <v>177</v>
      </c>
      <c r="D1037" s="4" t="s">
        <v>138</v>
      </c>
      <c r="E1037" s="4">
        <v>2294</v>
      </c>
      <c r="F1037" s="4" t="s">
        <v>50</v>
      </c>
      <c r="G1037" s="4" t="s">
        <v>29</v>
      </c>
      <c r="H1037" s="4" t="s">
        <v>83</v>
      </c>
      <c r="I1037" s="4" t="s">
        <v>42</v>
      </c>
      <c r="J1037" s="4">
        <v>320</v>
      </c>
      <c r="K1037" t="str">
        <f>TEXT(TIMEVALUE(H1037)-TIMEVALUE(I1036)+(TIMEVALUE(H1037)&lt;TIMEVALUE(I1036)),"[h]:mm")</f>
        <v>0:40</v>
      </c>
      <c r="L1037" s="4" t="s">
        <v>55</v>
      </c>
      <c r="O1037" t="str">
        <f>"LIM-"&amp;G1036&amp;"-LIM   LA "&amp;E1036&amp;" ("&amp;LEFT(H1036,5)&amp;"-"&amp;LEFT(I1036,5)&amp;" hrs)  /  LA "&amp;E1037&amp;" ("&amp;LEFT(H1037,5)&amp;"-"&amp;LEFT(I1037,5)&amp;" hrs)"</f>
        <v>LIM-CJA-LIM   LA 2295 (14:10-15:30 hrs)  /  LA 2294 (16:10-17:15 hrs)</v>
      </c>
    </row>
    <row r="1038" spans="2:24" x14ac:dyDescent="0.25">
      <c r="J1038" s="7" t="s">
        <v>43</v>
      </c>
      <c r="K1038" s="8" t="str">
        <f>TEXT(TIMEVALUE(I1037)-TIMEVALUE(H1036)+(I1037&lt;H1036),"[h]:mm")</f>
        <v>3:05</v>
      </c>
    </row>
    <row r="1040" spans="2:24" ht="30" x14ac:dyDescent="0.25">
      <c r="B1040" s="3" t="s">
        <v>9</v>
      </c>
      <c r="C1040" s="3" t="s">
        <v>17</v>
      </c>
      <c r="D1040" s="3" t="s">
        <v>18</v>
      </c>
      <c r="E1040" s="3" t="s">
        <v>19</v>
      </c>
      <c r="F1040" s="3" t="s">
        <v>20</v>
      </c>
      <c r="G1040" s="3" t="s">
        <v>21</v>
      </c>
      <c r="H1040" s="3" t="s">
        <v>22</v>
      </c>
      <c r="I1040" s="3" t="s">
        <v>23</v>
      </c>
      <c r="J1040" s="3" t="s">
        <v>24</v>
      </c>
      <c r="K1040" s="3" t="s">
        <v>25</v>
      </c>
      <c r="L1040" s="3" t="s">
        <v>26</v>
      </c>
    </row>
    <row r="1041" spans="2:24" ht="30" x14ac:dyDescent="0.25">
      <c r="B1041" s="4">
        <v>1048</v>
      </c>
      <c r="C1041" s="4" t="s">
        <v>177</v>
      </c>
      <c r="D1041" s="4" t="s">
        <v>138</v>
      </c>
      <c r="E1041" s="4">
        <v>2264</v>
      </c>
      <c r="F1041" s="4" t="s">
        <v>29</v>
      </c>
      <c r="G1041" s="4" t="s">
        <v>44</v>
      </c>
      <c r="H1041" s="4" t="s">
        <v>87</v>
      </c>
      <c r="I1041" s="4" t="s">
        <v>60</v>
      </c>
      <c r="J1041" s="4">
        <v>319</v>
      </c>
      <c r="L1041" s="4" t="s">
        <v>47</v>
      </c>
      <c r="M1041" s="5"/>
      <c r="O1041" s="5"/>
      <c r="Q1041" s="4">
        <f>B1041</f>
        <v>1048</v>
      </c>
      <c r="R1041" s="4" t="str">
        <f>C1041</f>
        <v>12/10/2026</v>
      </c>
      <c r="S1041" s="4" t="str">
        <f>D1041</f>
        <v>lunes</v>
      </c>
      <c r="T1041" s="4" t="str">
        <f>E1041&amp;"/"&amp;E1042</f>
        <v>2264/2265</v>
      </c>
      <c r="U1041" s="4" t="str">
        <f>F1041&amp;"-"&amp;G1041&amp;"-"&amp;F1041</f>
        <v>LIM-PEM-LIM</v>
      </c>
      <c r="V1041" s="4" t="str">
        <f>IF($M$1041="","",$M$1041)</f>
        <v/>
      </c>
      <c r="W1041" s="4" t="str">
        <f>IF($O$1041="","",$O$1041)</f>
        <v/>
      </c>
      <c r="X1041" s="4">
        <f>J1041</f>
        <v>319</v>
      </c>
    </row>
    <row r="1042" spans="2:24" ht="30" x14ac:dyDescent="0.25">
      <c r="B1042" s="4">
        <v>1048</v>
      </c>
      <c r="C1042" s="4" t="s">
        <v>177</v>
      </c>
      <c r="D1042" s="4" t="s">
        <v>138</v>
      </c>
      <c r="E1042" s="4">
        <v>2265</v>
      </c>
      <c r="F1042" s="4" t="s">
        <v>44</v>
      </c>
      <c r="G1042" s="4" t="s">
        <v>29</v>
      </c>
      <c r="H1042" s="4" t="s">
        <v>53</v>
      </c>
      <c r="I1042" s="4" t="s">
        <v>88</v>
      </c>
      <c r="J1042" s="4">
        <v>319</v>
      </c>
      <c r="K1042" t="str">
        <f>TEXT(TIMEVALUE(H1042)-TIMEVALUE(I1041)+(TIMEVALUE(H1042)&lt;TIMEVALUE(I1041)),"[h]:mm")</f>
        <v>0:40</v>
      </c>
      <c r="L1042" s="4" t="s">
        <v>36</v>
      </c>
      <c r="O1042" t="str">
        <f>"LIM-"&amp;G1041&amp;"-LIM   LA "&amp;E1041&amp;" ("&amp;LEFT(H1041,5)&amp;"-"&amp;LEFT(I1041,5)&amp;" hrs)  /  LA "&amp;E1042&amp;" ("&amp;LEFT(H1042,5)&amp;"-"&amp;LEFT(I1042,5)&amp;" hrs)"</f>
        <v>LIM-PEM-LIM   LA 2264 (14:55-16:40 hrs)  /  LA 2265 (17:20-18:55 hrs)</v>
      </c>
    </row>
    <row r="1043" spans="2:24" x14ac:dyDescent="0.25">
      <c r="J1043" s="7" t="s">
        <v>43</v>
      </c>
      <c r="K1043" s="8" t="str">
        <f>TEXT(TIMEVALUE(I1042)-TIMEVALUE(H1041)+(I1042&lt;H1041),"[h]:mm")</f>
        <v>4:00</v>
      </c>
    </row>
    <row r="1045" spans="2:24" ht="30" x14ac:dyDescent="0.25">
      <c r="B1045" s="3" t="s">
        <v>9</v>
      </c>
      <c r="C1045" s="3" t="s">
        <v>17</v>
      </c>
      <c r="D1045" s="3" t="s">
        <v>18</v>
      </c>
      <c r="E1045" s="3" t="s">
        <v>19</v>
      </c>
      <c r="F1045" s="3" t="s">
        <v>20</v>
      </c>
      <c r="G1045" s="3" t="s">
        <v>21</v>
      </c>
      <c r="H1045" s="3" t="s">
        <v>22</v>
      </c>
      <c r="I1045" s="3" t="s">
        <v>23</v>
      </c>
      <c r="J1045" s="3" t="s">
        <v>24</v>
      </c>
      <c r="K1045" s="3" t="s">
        <v>25</v>
      </c>
      <c r="L1045" s="3" t="s">
        <v>26</v>
      </c>
    </row>
    <row r="1046" spans="2:24" ht="30" x14ac:dyDescent="0.25">
      <c r="B1046" s="4">
        <v>1049</v>
      </c>
      <c r="C1046" s="4" t="s">
        <v>177</v>
      </c>
      <c r="D1046" s="4" t="s">
        <v>138</v>
      </c>
      <c r="E1046" s="4">
        <v>2338</v>
      </c>
      <c r="F1046" s="4" t="s">
        <v>29</v>
      </c>
      <c r="G1046" s="4" t="s">
        <v>125</v>
      </c>
      <c r="H1046" s="4" t="s">
        <v>109</v>
      </c>
      <c r="I1046" s="4" t="s">
        <v>86</v>
      </c>
      <c r="J1046" s="4">
        <v>320</v>
      </c>
      <c r="L1046" s="4" t="s">
        <v>47</v>
      </c>
      <c r="M1046" s="5"/>
      <c r="O1046" s="5"/>
      <c r="Q1046" s="4">
        <f>B1046</f>
        <v>1049</v>
      </c>
      <c r="R1046" s="4" t="str">
        <f>C1046</f>
        <v>12/10/2026</v>
      </c>
      <c r="S1046" s="4" t="str">
        <f>D1046</f>
        <v>lunes</v>
      </c>
      <c r="T1046" s="4" t="str">
        <f>E1046&amp;"/"&amp;E1047</f>
        <v>2338/2339</v>
      </c>
      <c r="U1046" s="4" t="str">
        <f>F1046&amp;"-"&amp;G1046&amp;"-"&amp;F1046</f>
        <v>LIM-PIU-LIM</v>
      </c>
      <c r="V1046" s="4" t="str">
        <f>IF($M$1046="","",$M$1046)</f>
        <v/>
      </c>
      <c r="W1046" s="4" t="str">
        <f>IF($O$1046="","",$O$1046)</f>
        <v/>
      </c>
      <c r="X1046" s="4">
        <f>J1046</f>
        <v>320</v>
      </c>
    </row>
    <row r="1047" spans="2:24" ht="30" x14ac:dyDescent="0.25">
      <c r="B1047" s="4">
        <v>1049</v>
      </c>
      <c r="C1047" s="4" t="s">
        <v>177</v>
      </c>
      <c r="D1047" s="4" t="s">
        <v>138</v>
      </c>
      <c r="E1047" s="4">
        <v>2339</v>
      </c>
      <c r="F1047" s="4" t="s">
        <v>125</v>
      </c>
      <c r="G1047" s="4" t="s">
        <v>29</v>
      </c>
      <c r="H1047" s="4" t="s">
        <v>53</v>
      </c>
      <c r="I1047" s="4" t="s">
        <v>88</v>
      </c>
      <c r="J1047" s="4">
        <v>320</v>
      </c>
      <c r="K1047" t="str">
        <f>TEXT(TIMEVALUE(H1047)-TIMEVALUE(I1046)+(TIMEVALUE(H1047)&lt;TIMEVALUE(I1046)),"[h]:mm")</f>
        <v>0:35</v>
      </c>
      <c r="L1047" s="4" t="s">
        <v>36</v>
      </c>
      <c r="O1047" t="str">
        <f>"LIM-"&amp;G1046&amp;"-LIM   LA "&amp;E1046&amp;" ("&amp;LEFT(H1046,5)&amp;"-"&amp;LEFT(I1046,5)&amp;" hrs)  /  LA "&amp;E1047&amp;" ("&amp;LEFT(H1047,5)&amp;"-"&amp;LEFT(I1047,5)&amp;" hrs)"</f>
        <v>LIM-PIU-LIM   LA 2338 (15:00-16:45 hrs)  /  LA 2339 (17:20-18:55 hrs)</v>
      </c>
    </row>
    <row r="1048" spans="2:24" x14ac:dyDescent="0.25">
      <c r="J1048" s="7" t="s">
        <v>43</v>
      </c>
      <c r="K1048" s="8" t="str">
        <f>TEXT(TIMEVALUE(I1047)-TIMEVALUE(H1046)+(I1047&lt;H1046),"[h]:mm")</f>
        <v>3:55</v>
      </c>
    </row>
    <row r="1050" spans="2:24" ht="30" x14ac:dyDescent="0.25">
      <c r="B1050" s="3" t="s">
        <v>9</v>
      </c>
      <c r="C1050" s="3" t="s">
        <v>17</v>
      </c>
      <c r="D1050" s="3" t="s">
        <v>18</v>
      </c>
      <c r="E1050" s="3" t="s">
        <v>19</v>
      </c>
      <c r="F1050" s="3" t="s">
        <v>20</v>
      </c>
      <c r="G1050" s="3" t="s">
        <v>21</v>
      </c>
      <c r="H1050" s="3" t="s">
        <v>22</v>
      </c>
      <c r="I1050" s="3" t="s">
        <v>23</v>
      </c>
      <c r="J1050" s="3" t="s">
        <v>24</v>
      </c>
      <c r="K1050" s="3" t="s">
        <v>25</v>
      </c>
      <c r="L1050" s="3" t="s">
        <v>26</v>
      </c>
    </row>
    <row r="1051" spans="2:24" ht="30" x14ac:dyDescent="0.25">
      <c r="B1051" s="4">
        <v>1050</v>
      </c>
      <c r="C1051" s="4" t="s">
        <v>177</v>
      </c>
      <c r="D1051" s="4" t="s">
        <v>138</v>
      </c>
      <c r="E1051" s="4">
        <v>2338</v>
      </c>
      <c r="F1051" s="4" t="s">
        <v>29</v>
      </c>
      <c r="G1051" s="4" t="s">
        <v>125</v>
      </c>
      <c r="H1051" s="4" t="s">
        <v>109</v>
      </c>
      <c r="I1051" s="4" t="s">
        <v>86</v>
      </c>
      <c r="J1051" s="4">
        <v>320</v>
      </c>
      <c r="L1051" s="4" t="s">
        <v>47</v>
      </c>
      <c r="M1051" s="5"/>
      <c r="O1051" s="5"/>
      <c r="Q1051" s="4">
        <f>B1051</f>
        <v>1050</v>
      </c>
      <c r="R1051" s="4" t="str">
        <f>C1051</f>
        <v>12/10/2026</v>
      </c>
      <c r="S1051" s="4" t="str">
        <f>D1051</f>
        <v>lunes</v>
      </c>
      <c r="T1051" s="4" t="str">
        <f>E1051&amp;"/"&amp;E1052</f>
        <v>2338/2339</v>
      </c>
      <c r="U1051" s="4" t="str">
        <f>F1051&amp;"-"&amp;G1051&amp;"-"&amp;F1051</f>
        <v>LIM-PIU-LIM</v>
      </c>
      <c r="V1051" s="4" t="str">
        <f>IF($M$1051="","",$M$1051)</f>
        <v/>
      </c>
      <c r="W1051" s="4" t="str">
        <f>IF($O$1051="","",$O$1051)</f>
        <v/>
      </c>
      <c r="X1051" s="4">
        <f>J1051</f>
        <v>320</v>
      </c>
    </row>
    <row r="1052" spans="2:24" ht="30" x14ac:dyDescent="0.25">
      <c r="B1052" s="4">
        <v>1050</v>
      </c>
      <c r="C1052" s="4" t="s">
        <v>177</v>
      </c>
      <c r="D1052" s="4" t="s">
        <v>138</v>
      </c>
      <c r="E1052" s="4">
        <v>2339</v>
      </c>
      <c r="F1052" s="4" t="s">
        <v>125</v>
      </c>
      <c r="G1052" s="4" t="s">
        <v>29</v>
      </c>
      <c r="H1052" s="4" t="s">
        <v>53</v>
      </c>
      <c r="I1052" s="4" t="s">
        <v>88</v>
      </c>
      <c r="J1052" s="4">
        <v>320</v>
      </c>
      <c r="K1052" t="str">
        <f>TEXT(TIMEVALUE(H1052)-TIMEVALUE(I1051)+(TIMEVALUE(H1052)&lt;TIMEVALUE(I1051)),"[h]:mm")</f>
        <v>0:35</v>
      </c>
      <c r="L1052" s="4" t="s">
        <v>36</v>
      </c>
      <c r="O1052" t="str">
        <f>"LIM-"&amp;G1051&amp;"-LIM   LA "&amp;E1051&amp;" ("&amp;LEFT(H1051,5)&amp;"-"&amp;LEFT(I1051,5)&amp;" hrs)  /  LA "&amp;E1052&amp;" ("&amp;LEFT(H1052,5)&amp;"-"&amp;LEFT(I1052,5)&amp;" hrs)"</f>
        <v>LIM-PIU-LIM   LA 2338 (15:00-16:45 hrs)  /  LA 2339 (17:20-18:55 hrs)</v>
      </c>
    </row>
    <row r="1053" spans="2:24" x14ac:dyDescent="0.25">
      <c r="J1053" s="7" t="s">
        <v>43</v>
      </c>
      <c r="K1053" s="8" t="str">
        <f>TEXT(TIMEVALUE(I1052)-TIMEVALUE(H1051)+(I1052&lt;H1051),"[h]:mm")</f>
        <v>3:55</v>
      </c>
    </row>
    <row r="1055" spans="2:24" ht="30" x14ac:dyDescent="0.25">
      <c r="B1055" s="3" t="s">
        <v>9</v>
      </c>
      <c r="C1055" s="3" t="s">
        <v>17</v>
      </c>
      <c r="D1055" s="3" t="s">
        <v>18</v>
      </c>
      <c r="E1055" s="3" t="s">
        <v>19</v>
      </c>
      <c r="F1055" s="3" t="s">
        <v>20</v>
      </c>
      <c r="G1055" s="3" t="s">
        <v>21</v>
      </c>
      <c r="H1055" s="3" t="s">
        <v>22</v>
      </c>
      <c r="I1055" s="3" t="s">
        <v>23</v>
      </c>
      <c r="J1055" s="3" t="s">
        <v>24</v>
      </c>
      <c r="K1055" s="3" t="s">
        <v>25</v>
      </c>
      <c r="L1055" s="3" t="s">
        <v>26</v>
      </c>
    </row>
    <row r="1056" spans="2:24" ht="30" x14ac:dyDescent="0.25">
      <c r="B1056" s="4">
        <v>1051</v>
      </c>
      <c r="C1056" s="4" t="s">
        <v>177</v>
      </c>
      <c r="D1056" s="4" t="s">
        <v>138</v>
      </c>
      <c r="E1056" s="4">
        <v>2113</v>
      </c>
      <c r="F1056" s="4" t="s">
        <v>29</v>
      </c>
      <c r="G1056" s="4" t="s">
        <v>56</v>
      </c>
      <c r="H1056" s="4" t="s">
        <v>126</v>
      </c>
      <c r="I1056" s="4" t="s">
        <v>52</v>
      </c>
      <c r="J1056" s="4">
        <v>319</v>
      </c>
      <c r="L1056" s="4" t="s">
        <v>40</v>
      </c>
      <c r="M1056" s="5"/>
      <c r="O1056" s="5"/>
      <c r="Q1056" s="4">
        <f>B1056</f>
        <v>1051</v>
      </c>
      <c r="R1056" s="4" t="str">
        <f>C1056</f>
        <v>12/10/2026</v>
      </c>
      <c r="S1056" s="4" t="str">
        <f>D1056</f>
        <v>lunes</v>
      </c>
      <c r="T1056" s="4" t="str">
        <f>E1056&amp;"/"&amp;E1057</f>
        <v>2113/2112</v>
      </c>
      <c r="U1056" s="4" t="str">
        <f>F1056&amp;"-"&amp;G1056&amp;"-"&amp;F1056</f>
        <v>LIM-AQP-LIM</v>
      </c>
      <c r="V1056" s="4" t="str">
        <f>IF($M$1056="","",$M$1056)</f>
        <v/>
      </c>
      <c r="W1056" s="4" t="str">
        <f>IF($O$1056="","",$O$1056)</f>
        <v/>
      </c>
      <c r="X1056" s="4">
        <f>J1056</f>
        <v>319</v>
      </c>
    </row>
    <row r="1057" spans="2:24" ht="30" x14ac:dyDescent="0.25">
      <c r="B1057" s="4">
        <v>1051</v>
      </c>
      <c r="C1057" s="4" t="s">
        <v>177</v>
      </c>
      <c r="D1057" s="4" t="s">
        <v>138</v>
      </c>
      <c r="E1057" s="4">
        <v>2112</v>
      </c>
      <c r="F1057" s="4" t="s">
        <v>56</v>
      </c>
      <c r="G1057" s="4" t="s">
        <v>29</v>
      </c>
      <c r="H1057" s="4" t="s">
        <v>42</v>
      </c>
      <c r="I1057" s="4" t="s">
        <v>88</v>
      </c>
      <c r="J1057" s="4">
        <v>319</v>
      </c>
      <c r="K1057" t="str">
        <f>TEXT(TIMEVALUE(H1057)-TIMEVALUE(I1056)+(TIMEVALUE(H1057)&lt;TIMEVALUE(I1056)),"[h]:mm")</f>
        <v>0:40</v>
      </c>
      <c r="L1057" s="4" t="s">
        <v>71</v>
      </c>
      <c r="O1057" t="str">
        <f>"LIM-"&amp;G1056&amp;"-LIM   LA "&amp;E1056&amp;" ("&amp;LEFT(H1056,5)&amp;"-"&amp;LEFT(I1056,5)&amp;" hrs)  /  LA "&amp;E1057&amp;" ("&amp;LEFT(H1057,5)&amp;"-"&amp;LEFT(I1057,5)&amp;" hrs)"</f>
        <v>LIM-AQP-LIM   LA 2113 (15:05-16:35 hrs)  /  LA 2112 (17:15-18:55 hrs)</v>
      </c>
    </row>
    <row r="1058" spans="2:24" x14ac:dyDescent="0.25">
      <c r="J1058" s="7" t="s">
        <v>43</v>
      </c>
      <c r="K1058" s="8" t="str">
        <f>TEXT(TIMEVALUE(I1057)-TIMEVALUE(H1056)+(I1057&lt;H1056),"[h]:mm")</f>
        <v>3:50</v>
      </c>
    </row>
    <row r="1060" spans="2:24" ht="30" x14ac:dyDescent="0.25">
      <c r="B1060" s="3" t="s">
        <v>9</v>
      </c>
      <c r="C1060" s="3" t="s">
        <v>17</v>
      </c>
      <c r="D1060" s="3" t="s">
        <v>18</v>
      </c>
      <c r="E1060" s="3" t="s">
        <v>19</v>
      </c>
      <c r="F1060" s="3" t="s">
        <v>20</v>
      </c>
      <c r="G1060" s="3" t="s">
        <v>21</v>
      </c>
      <c r="H1060" s="3" t="s">
        <v>22</v>
      </c>
      <c r="I1060" s="3" t="s">
        <v>23</v>
      </c>
      <c r="J1060" s="3" t="s">
        <v>24</v>
      </c>
      <c r="K1060" s="3" t="s">
        <v>25</v>
      </c>
      <c r="L1060" s="3" t="s">
        <v>26</v>
      </c>
    </row>
    <row r="1061" spans="2:24" ht="30" x14ac:dyDescent="0.25">
      <c r="B1061" s="4">
        <v>1054</v>
      </c>
      <c r="C1061" s="4" t="s">
        <v>177</v>
      </c>
      <c r="D1061" s="4" t="s">
        <v>138</v>
      </c>
      <c r="E1061" s="4">
        <v>2297</v>
      </c>
      <c r="F1061" s="4" t="s">
        <v>29</v>
      </c>
      <c r="G1061" s="4" t="s">
        <v>50</v>
      </c>
      <c r="H1061" s="4" t="s">
        <v>51</v>
      </c>
      <c r="I1061" s="4" t="s">
        <v>52</v>
      </c>
      <c r="J1061" s="4">
        <v>320</v>
      </c>
      <c r="L1061" s="4" t="s">
        <v>33</v>
      </c>
      <c r="M1061" s="5"/>
      <c r="O1061" s="5"/>
      <c r="Q1061" s="4">
        <f>B1061</f>
        <v>1054</v>
      </c>
      <c r="R1061" s="4" t="str">
        <f>C1061</f>
        <v>12/10/2026</v>
      </c>
      <c r="S1061" s="4" t="str">
        <f>D1061</f>
        <v>lunes</v>
      </c>
      <c r="T1061" s="4" t="str">
        <f>E1061&amp;"/"&amp;E1062</f>
        <v>2297/2296</v>
      </c>
      <c r="U1061" s="4" t="str">
        <f>F1061&amp;"-"&amp;G1061&amp;"-"&amp;F1061</f>
        <v>LIM-CJA-LIM</v>
      </c>
      <c r="V1061" s="4" t="str">
        <f>IF($M$1061="","",$M$1061)</f>
        <v/>
      </c>
      <c r="W1061" s="4" t="str">
        <f>IF($O$1061="","",$O$1061)</f>
        <v/>
      </c>
      <c r="X1061" s="4">
        <f>J1061</f>
        <v>320</v>
      </c>
    </row>
    <row r="1062" spans="2:24" ht="30" x14ac:dyDescent="0.25">
      <c r="B1062" s="4">
        <v>1054</v>
      </c>
      <c r="C1062" s="4" t="s">
        <v>177</v>
      </c>
      <c r="D1062" s="4" t="s">
        <v>138</v>
      </c>
      <c r="E1062" s="4">
        <v>2296</v>
      </c>
      <c r="F1062" s="4" t="s">
        <v>50</v>
      </c>
      <c r="G1062" s="4" t="s">
        <v>29</v>
      </c>
      <c r="H1062" s="4" t="s">
        <v>53</v>
      </c>
      <c r="I1062" s="4" t="s">
        <v>54</v>
      </c>
      <c r="J1062" s="4">
        <v>320</v>
      </c>
      <c r="K1062" t="str">
        <f>TEXT(TIMEVALUE(H1062)-TIMEVALUE(I1061)+(TIMEVALUE(H1062)&lt;TIMEVALUE(I1061)),"[h]:mm")</f>
        <v>0:45</v>
      </c>
      <c r="L1062" s="4" t="s">
        <v>55</v>
      </c>
      <c r="O1062" t="str">
        <f>"LIM-"&amp;G1061&amp;"-LIM   LA "&amp;E1061&amp;" ("&amp;LEFT(H1061,5)&amp;"-"&amp;LEFT(I1061,5)&amp;" hrs)  /  LA "&amp;E1062&amp;" ("&amp;LEFT(H1062,5)&amp;"-"&amp;LEFT(I1062,5)&amp;" hrs)"</f>
        <v>LIM-CJA-LIM   LA 2297 (15:15-16:35 hrs)  /  LA 2296 (17:20-18:25 hrs)</v>
      </c>
    </row>
    <row r="1063" spans="2:24" x14ac:dyDescent="0.25">
      <c r="J1063" s="7" t="s">
        <v>43</v>
      </c>
      <c r="K1063" s="8" t="str">
        <f>TEXT(TIMEVALUE(I1062)-TIMEVALUE(H1061)+(I1062&lt;H1061),"[h]:mm")</f>
        <v>3:10</v>
      </c>
    </row>
    <row r="1065" spans="2:24" ht="30" x14ac:dyDescent="0.25">
      <c r="B1065" s="3" t="s">
        <v>9</v>
      </c>
      <c r="C1065" s="3" t="s">
        <v>17</v>
      </c>
      <c r="D1065" s="3" t="s">
        <v>18</v>
      </c>
      <c r="E1065" s="3" t="s">
        <v>19</v>
      </c>
      <c r="F1065" s="3" t="s">
        <v>20</v>
      </c>
      <c r="G1065" s="3" t="s">
        <v>21</v>
      </c>
      <c r="H1065" s="3" t="s">
        <v>22</v>
      </c>
      <c r="I1065" s="3" t="s">
        <v>23</v>
      </c>
      <c r="J1065" s="3" t="s">
        <v>24</v>
      </c>
      <c r="K1065" s="3" t="s">
        <v>25</v>
      </c>
      <c r="L1065" s="3" t="s">
        <v>26</v>
      </c>
    </row>
    <row r="1066" spans="2:24" ht="30" x14ac:dyDescent="0.25">
      <c r="B1066" s="4">
        <v>1055</v>
      </c>
      <c r="C1066" s="4" t="s">
        <v>177</v>
      </c>
      <c r="D1066" s="4" t="s">
        <v>138</v>
      </c>
      <c r="E1066" s="4">
        <v>2360</v>
      </c>
      <c r="F1066" s="4" t="s">
        <v>29</v>
      </c>
      <c r="G1066" s="4" t="s">
        <v>58</v>
      </c>
      <c r="H1066" s="4" t="s">
        <v>59</v>
      </c>
      <c r="I1066" s="4" t="s">
        <v>60</v>
      </c>
      <c r="J1066" s="4">
        <v>320</v>
      </c>
      <c r="L1066" s="4" t="s">
        <v>61</v>
      </c>
      <c r="M1066" s="5"/>
      <c r="O1066" s="5"/>
      <c r="Q1066" s="4">
        <f>B1066</f>
        <v>1055</v>
      </c>
      <c r="R1066" s="4" t="str">
        <f>C1066</f>
        <v>12/10/2026</v>
      </c>
      <c r="S1066" s="4" t="str">
        <f>D1066</f>
        <v>lunes</v>
      </c>
      <c r="T1066" s="4" t="str">
        <f>E1066&amp;"/"&amp;E1067</f>
        <v>2360/2361</v>
      </c>
      <c r="U1066" s="4" t="str">
        <f>F1066&amp;"-"&amp;G1066&amp;"-"&amp;F1066</f>
        <v>LIM-PCL-LIM</v>
      </c>
      <c r="V1066" s="4" t="str">
        <f>IF($M$1066="","",$M$1066)</f>
        <v/>
      </c>
      <c r="W1066" s="4" t="str">
        <f>IF($O$1066="","",$O$1066)</f>
        <v/>
      </c>
      <c r="X1066" s="4">
        <f>J1066</f>
        <v>320</v>
      </c>
    </row>
    <row r="1067" spans="2:24" ht="30" x14ac:dyDescent="0.25">
      <c r="B1067" s="4">
        <v>1055</v>
      </c>
      <c r="C1067" s="4" t="s">
        <v>177</v>
      </c>
      <c r="D1067" s="4" t="s">
        <v>138</v>
      </c>
      <c r="E1067" s="4">
        <v>2361</v>
      </c>
      <c r="F1067" s="4" t="s">
        <v>58</v>
      </c>
      <c r="G1067" s="4" t="s">
        <v>29</v>
      </c>
      <c r="H1067" s="4" t="s">
        <v>53</v>
      </c>
      <c r="I1067" s="4" t="s">
        <v>62</v>
      </c>
      <c r="J1067" s="4">
        <v>320</v>
      </c>
      <c r="K1067" t="str">
        <f>TEXT(TIMEVALUE(H1067)-TIMEVALUE(I1066)+(TIMEVALUE(H1067)&lt;TIMEVALUE(I1066)),"[h]:mm")</f>
        <v>0:40</v>
      </c>
      <c r="L1067" s="4" t="s">
        <v>61</v>
      </c>
      <c r="O1067" t="str">
        <f>"LIM-"&amp;G1066&amp;"-LIM   LA "&amp;E1066&amp;" ("&amp;LEFT(H1066,5)&amp;"-"&amp;LEFT(I1066,5)&amp;" hrs)  /  LA "&amp;E1067&amp;" ("&amp;LEFT(H1067,5)&amp;"-"&amp;LEFT(I1067,5)&amp;" hrs)"</f>
        <v>LIM-PCL-LIM   LA 2360 (15:25-16:40 hrs)  /  LA 2361 (17:20-18:35 hrs)</v>
      </c>
    </row>
    <row r="1068" spans="2:24" x14ac:dyDescent="0.25">
      <c r="J1068" s="7" t="s">
        <v>43</v>
      </c>
      <c r="K1068" s="8" t="str">
        <f>TEXT(TIMEVALUE(I1067)-TIMEVALUE(H1066)+(I1067&lt;H1066),"[h]:mm")</f>
        <v>3:10</v>
      </c>
    </row>
    <row r="1070" spans="2:24" ht="30" x14ac:dyDescent="0.25">
      <c r="B1070" s="3" t="s">
        <v>9</v>
      </c>
      <c r="C1070" s="3" t="s">
        <v>17</v>
      </c>
      <c r="D1070" s="3" t="s">
        <v>18</v>
      </c>
      <c r="E1070" s="3" t="s">
        <v>19</v>
      </c>
      <c r="F1070" s="3" t="s">
        <v>20</v>
      </c>
      <c r="G1070" s="3" t="s">
        <v>21</v>
      </c>
      <c r="H1070" s="3" t="s">
        <v>22</v>
      </c>
      <c r="I1070" s="3" t="s">
        <v>23</v>
      </c>
      <c r="J1070" s="3" t="s">
        <v>24</v>
      </c>
      <c r="K1070" s="3" t="s">
        <v>25</v>
      </c>
      <c r="L1070" s="3" t="s">
        <v>26</v>
      </c>
    </row>
    <row r="1071" spans="2:24" ht="30" x14ac:dyDescent="0.25">
      <c r="B1071" s="4">
        <v>1056</v>
      </c>
      <c r="C1071" s="4" t="s">
        <v>177</v>
      </c>
      <c r="D1071" s="4" t="s">
        <v>138</v>
      </c>
      <c r="E1071" s="4">
        <v>2312</v>
      </c>
      <c r="F1071" s="4" t="s">
        <v>29</v>
      </c>
      <c r="G1071" s="4" t="s">
        <v>37</v>
      </c>
      <c r="H1071" s="4" t="s">
        <v>89</v>
      </c>
      <c r="I1071" s="4" t="s">
        <v>77</v>
      </c>
      <c r="J1071" s="4">
        <v>320</v>
      </c>
      <c r="L1071" s="4" t="s">
        <v>40</v>
      </c>
      <c r="M1071" s="5"/>
      <c r="O1071" s="5"/>
      <c r="Q1071" s="4">
        <f>B1071</f>
        <v>1056</v>
      </c>
      <c r="R1071" s="4" t="str">
        <f>C1071</f>
        <v>12/10/2026</v>
      </c>
      <c r="S1071" s="4" t="str">
        <f>D1071</f>
        <v>lunes</v>
      </c>
      <c r="T1071" s="4" t="str">
        <f>E1071&amp;"/"&amp;E1072</f>
        <v>2312/2313</v>
      </c>
      <c r="U1071" s="4" t="str">
        <f>F1071&amp;"-"&amp;G1071&amp;"-"&amp;F1071</f>
        <v>LIM-CIX-LIM</v>
      </c>
      <c r="V1071" s="4" t="str">
        <f>IF($M$1071="","",$M$1071)</f>
        <v/>
      </c>
      <c r="W1071" s="4" t="str">
        <f>IF($O$1071="","",$O$1071)</f>
        <v/>
      </c>
      <c r="X1071" s="4">
        <f>J1071</f>
        <v>320</v>
      </c>
    </row>
    <row r="1072" spans="2:24" ht="30" x14ac:dyDescent="0.25">
      <c r="B1072" s="4">
        <v>1056</v>
      </c>
      <c r="C1072" s="4" t="s">
        <v>177</v>
      </c>
      <c r="D1072" s="4" t="s">
        <v>138</v>
      </c>
      <c r="E1072" s="4">
        <v>2313</v>
      </c>
      <c r="F1072" s="4" t="s">
        <v>37</v>
      </c>
      <c r="G1072" s="4" t="s">
        <v>29</v>
      </c>
      <c r="H1072" s="4" t="s">
        <v>84</v>
      </c>
      <c r="I1072" s="4" t="s">
        <v>90</v>
      </c>
      <c r="J1072" s="4">
        <v>320</v>
      </c>
      <c r="K1072" t="str">
        <f>TEXT(TIMEVALUE(H1072)-TIMEVALUE(I1071)+(TIMEVALUE(H1072)&lt;TIMEVALUE(I1071)),"[h]:mm")</f>
        <v>0:45</v>
      </c>
      <c r="L1072" s="4" t="s">
        <v>33</v>
      </c>
      <c r="O1072" t="str">
        <f>"LIM-"&amp;G1071&amp;"-LIM   LA "&amp;E1071&amp;" ("&amp;LEFT(H1071,5)&amp;"-"&amp;LEFT(I1071,5)&amp;" hrs)  /  LA "&amp;E1072&amp;" ("&amp;LEFT(H1072,5)&amp;"-"&amp;LEFT(I1072,5)&amp;" hrs)"</f>
        <v>LIM-CIX-LIM   LA 2312 (15:35-17:05 hrs)  /  LA 2313 (17:50-19:10 hrs)</v>
      </c>
    </row>
    <row r="1073" spans="2:24" x14ac:dyDescent="0.25">
      <c r="J1073" s="7" t="s">
        <v>43</v>
      </c>
      <c r="K1073" s="8" t="str">
        <f>TEXT(TIMEVALUE(I1072)-TIMEVALUE(H1071)+(I1072&lt;H1071),"[h]:mm")</f>
        <v>3:35</v>
      </c>
    </row>
    <row r="1075" spans="2:24" ht="30" x14ac:dyDescent="0.25">
      <c r="B1075" s="3" t="s">
        <v>9</v>
      </c>
      <c r="C1075" s="3" t="s">
        <v>17</v>
      </c>
      <c r="D1075" s="3" t="s">
        <v>18</v>
      </c>
      <c r="E1075" s="3" t="s">
        <v>19</v>
      </c>
      <c r="F1075" s="3" t="s">
        <v>20</v>
      </c>
      <c r="G1075" s="3" t="s">
        <v>21</v>
      </c>
      <c r="H1075" s="3" t="s">
        <v>22</v>
      </c>
      <c r="I1075" s="3" t="s">
        <v>23</v>
      </c>
      <c r="J1075" s="3" t="s">
        <v>24</v>
      </c>
      <c r="K1075" s="3" t="s">
        <v>25</v>
      </c>
      <c r="L1075" s="3" t="s">
        <v>26</v>
      </c>
    </row>
    <row r="1076" spans="2:24" ht="30" x14ac:dyDescent="0.25">
      <c r="B1076" s="4">
        <v>1057</v>
      </c>
      <c r="C1076" s="4" t="s">
        <v>177</v>
      </c>
      <c r="D1076" s="4" t="s">
        <v>138</v>
      </c>
      <c r="E1076" s="4">
        <v>2301</v>
      </c>
      <c r="F1076" s="4" t="s">
        <v>29</v>
      </c>
      <c r="G1076" s="4" t="s">
        <v>91</v>
      </c>
      <c r="H1076" s="4" t="s">
        <v>92</v>
      </c>
      <c r="I1076" s="4" t="s">
        <v>77</v>
      </c>
      <c r="J1076" s="4">
        <v>319</v>
      </c>
      <c r="L1076" s="4" t="s">
        <v>93</v>
      </c>
      <c r="M1076" s="5"/>
      <c r="O1076" s="5"/>
      <c r="Q1076" s="4">
        <f>B1076</f>
        <v>1057</v>
      </c>
      <c r="R1076" s="4" t="str">
        <f>C1076</f>
        <v>12/10/2026</v>
      </c>
      <c r="S1076" s="4" t="str">
        <f>D1076</f>
        <v>lunes</v>
      </c>
      <c r="T1076" s="4" t="str">
        <f>E1076&amp;"/"&amp;E1077</f>
        <v>2301/2300</v>
      </c>
      <c r="U1076" s="4" t="str">
        <f>F1076&amp;"-"&amp;G1076&amp;"-"&amp;F1076</f>
        <v>LIM-TPP-LIM</v>
      </c>
      <c r="V1076" s="4" t="str">
        <f>IF($M$1076="","",$M$1076)</f>
        <v/>
      </c>
      <c r="W1076" s="4" t="str">
        <f>IF($O$1076="","",$O$1076)</f>
        <v/>
      </c>
      <c r="X1076" s="4">
        <f>J1076</f>
        <v>319</v>
      </c>
    </row>
    <row r="1077" spans="2:24" ht="30" x14ac:dyDescent="0.25">
      <c r="B1077" s="4">
        <v>1057</v>
      </c>
      <c r="C1077" s="4" t="s">
        <v>177</v>
      </c>
      <c r="D1077" s="4" t="s">
        <v>138</v>
      </c>
      <c r="E1077" s="4">
        <v>2300</v>
      </c>
      <c r="F1077" s="4" t="s">
        <v>91</v>
      </c>
      <c r="G1077" s="4" t="s">
        <v>29</v>
      </c>
      <c r="H1077" s="4" t="s">
        <v>84</v>
      </c>
      <c r="I1077" s="4" t="s">
        <v>94</v>
      </c>
      <c r="J1077" s="4">
        <v>319</v>
      </c>
      <c r="K1077" t="str">
        <f>TEXT(TIMEVALUE(H1077)-TIMEVALUE(I1076)+(TIMEVALUE(H1077)&lt;TIMEVALUE(I1076)),"[h]:mm")</f>
        <v>0:45</v>
      </c>
      <c r="L1077" s="4" t="s">
        <v>93</v>
      </c>
      <c r="O1077" t="str">
        <f>"LIM-"&amp;G1076&amp;"-LIM   LA "&amp;E1076&amp;" ("&amp;LEFT(H1076,5)&amp;"-"&amp;LEFT(I1076,5)&amp;" hrs)  /  LA "&amp;E1077&amp;" ("&amp;LEFT(H1077,5)&amp;"-"&amp;LEFT(I1077,5)&amp;" hrs)"</f>
        <v>LIM-TPP-LIM   LA 2301 (15:40-17:05 hrs)  /  LA 2300 (17:50-19:15 hrs)</v>
      </c>
    </row>
    <row r="1078" spans="2:24" x14ac:dyDescent="0.25">
      <c r="J1078" s="7" t="s">
        <v>43</v>
      </c>
      <c r="K1078" s="8" t="str">
        <f>TEXT(TIMEVALUE(I1077)-TIMEVALUE(H1076)+(I1077&lt;H1076),"[h]:mm")</f>
        <v>3:35</v>
      </c>
    </row>
    <row r="1080" spans="2:24" ht="30" x14ac:dyDescent="0.25">
      <c r="B1080" s="3" t="s">
        <v>9</v>
      </c>
      <c r="C1080" s="3" t="s">
        <v>17</v>
      </c>
      <c r="D1080" s="3" t="s">
        <v>18</v>
      </c>
      <c r="E1080" s="3" t="s">
        <v>19</v>
      </c>
      <c r="F1080" s="3" t="s">
        <v>20</v>
      </c>
      <c r="G1080" s="3" t="s">
        <v>21</v>
      </c>
      <c r="H1080" s="3" t="s">
        <v>22</v>
      </c>
      <c r="I1080" s="3" t="s">
        <v>23</v>
      </c>
      <c r="J1080" s="3" t="s">
        <v>24</v>
      </c>
      <c r="K1080" s="3" t="s">
        <v>25</v>
      </c>
      <c r="L1080" s="3" t="s">
        <v>26</v>
      </c>
    </row>
    <row r="1081" spans="2:24" ht="30" x14ac:dyDescent="0.25">
      <c r="B1081" s="4">
        <v>1063</v>
      </c>
      <c r="C1081" s="4" t="s">
        <v>177</v>
      </c>
      <c r="D1081" s="4" t="s">
        <v>138</v>
      </c>
      <c r="E1081" s="4">
        <v>2213</v>
      </c>
      <c r="F1081" s="4" t="s">
        <v>29</v>
      </c>
      <c r="G1081" s="4" t="s">
        <v>37</v>
      </c>
      <c r="H1081" s="4" t="s">
        <v>53</v>
      </c>
      <c r="I1081" s="4" t="s">
        <v>127</v>
      </c>
      <c r="J1081" s="4">
        <v>320</v>
      </c>
      <c r="L1081" s="4" t="s">
        <v>40</v>
      </c>
      <c r="M1081" s="5"/>
      <c r="O1081" s="5"/>
      <c r="Q1081" s="4">
        <f>B1081</f>
        <v>1063</v>
      </c>
      <c r="R1081" s="4" t="str">
        <f>C1081</f>
        <v>12/10/2026</v>
      </c>
      <c r="S1081" s="4" t="str">
        <f>D1081</f>
        <v>lunes</v>
      </c>
      <c r="T1081" s="4" t="str">
        <f>E1081&amp;"/"&amp;E1082</f>
        <v>2213/2214</v>
      </c>
      <c r="U1081" s="4" t="str">
        <f>F1081&amp;"-"&amp;G1081&amp;"-"&amp;F1081</f>
        <v>LIM-CIX-LIM</v>
      </c>
      <c r="V1081" s="4" t="str">
        <f>IF($M$1081="","",$M$1081)</f>
        <v/>
      </c>
      <c r="W1081" s="4" t="str">
        <f>IF($O$1081="","",$O$1081)</f>
        <v/>
      </c>
      <c r="X1081" s="4">
        <f>J1081</f>
        <v>320</v>
      </c>
    </row>
    <row r="1082" spans="2:24" ht="30" x14ac:dyDescent="0.25">
      <c r="B1082" s="4">
        <v>1063</v>
      </c>
      <c r="C1082" s="4" t="s">
        <v>177</v>
      </c>
      <c r="D1082" s="4" t="s">
        <v>138</v>
      </c>
      <c r="E1082" s="4">
        <v>2214</v>
      </c>
      <c r="F1082" s="4" t="s">
        <v>37</v>
      </c>
      <c r="G1082" s="4" t="s">
        <v>29</v>
      </c>
      <c r="H1082" s="4" t="s">
        <v>128</v>
      </c>
      <c r="I1082" s="4" t="s">
        <v>129</v>
      </c>
      <c r="J1082" s="4">
        <v>320</v>
      </c>
      <c r="K1082" t="str">
        <f>TEXT(TIMEVALUE(H1082)-TIMEVALUE(I1081)+(TIMEVALUE(H1082)&lt;TIMEVALUE(I1081)),"[h]:mm")</f>
        <v>0:35</v>
      </c>
      <c r="L1082" s="4" t="s">
        <v>61</v>
      </c>
      <c r="O1082" t="str">
        <f>"LIM-"&amp;G1081&amp;"-LIM   LA "&amp;E1081&amp;" ("&amp;LEFT(H1081,5)&amp;"-"&amp;LEFT(I1081,5)&amp;" hrs)  /  LA "&amp;E1082&amp;" ("&amp;LEFT(H1082,5)&amp;"-"&amp;LEFT(I1082,5)&amp;" hrs)"</f>
        <v>LIM-CIX-LIM   LA 2213 (17:20-18:50 hrs)  /  LA 2214 (19:25-20:40 hrs)</v>
      </c>
    </row>
    <row r="1083" spans="2:24" x14ac:dyDescent="0.25">
      <c r="J1083" s="7" t="s">
        <v>43</v>
      </c>
      <c r="K1083" s="8" t="str">
        <f>TEXT(TIMEVALUE(I1082)-TIMEVALUE(H1081)+(I1082&lt;H1081),"[h]:mm")</f>
        <v>3:20</v>
      </c>
    </row>
    <row r="1085" spans="2:24" ht="30" x14ac:dyDescent="0.25">
      <c r="B1085" s="3" t="s">
        <v>9</v>
      </c>
      <c r="C1085" s="3" t="s">
        <v>17</v>
      </c>
      <c r="D1085" s="3" t="s">
        <v>18</v>
      </c>
      <c r="E1085" s="3" t="s">
        <v>19</v>
      </c>
      <c r="F1085" s="3" t="s">
        <v>20</v>
      </c>
      <c r="G1085" s="3" t="s">
        <v>21</v>
      </c>
      <c r="H1085" s="3" t="s">
        <v>22</v>
      </c>
      <c r="I1085" s="3" t="s">
        <v>23</v>
      </c>
      <c r="J1085" s="3" t="s">
        <v>24</v>
      </c>
      <c r="K1085" s="3" t="s">
        <v>25</v>
      </c>
      <c r="L1085" s="3" t="s">
        <v>26</v>
      </c>
    </row>
    <row r="1086" spans="2:24" ht="30" x14ac:dyDescent="0.25">
      <c r="B1086" s="4">
        <v>1066</v>
      </c>
      <c r="C1086" s="4" t="s">
        <v>177</v>
      </c>
      <c r="D1086" s="4" t="s">
        <v>138</v>
      </c>
      <c r="E1086" s="4">
        <v>2200</v>
      </c>
      <c r="F1086" s="4" t="s">
        <v>29</v>
      </c>
      <c r="G1086" s="4" t="s">
        <v>30</v>
      </c>
      <c r="H1086" s="4" t="s">
        <v>130</v>
      </c>
      <c r="I1086" s="4" t="s">
        <v>131</v>
      </c>
      <c r="J1086" s="4">
        <v>320</v>
      </c>
      <c r="L1086" s="4" t="s">
        <v>33</v>
      </c>
      <c r="M1086" s="5"/>
      <c r="O1086" s="5"/>
      <c r="Q1086" s="4">
        <f>B1086</f>
        <v>1066</v>
      </c>
      <c r="R1086" s="4" t="str">
        <f>C1086</f>
        <v>12/10/2026</v>
      </c>
      <c r="S1086" s="4" t="str">
        <f>D1086</f>
        <v>lunes</v>
      </c>
      <c r="T1086" s="4" t="str">
        <f>E1086&amp;"/"&amp;E1087</f>
        <v>2200/2201</v>
      </c>
      <c r="U1086" s="4" t="str">
        <f>F1086&amp;"-"&amp;G1086&amp;"-"&amp;F1086</f>
        <v>LIM-CUZ-LIM</v>
      </c>
      <c r="V1086" s="4" t="str">
        <f>IF($M$1086="","",$M$1086)</f>
        <v/>
      </c>
      <c r="W1086" s="4" t="str">
        <f>IF($O$1086="","",$O$1086)</f>
        <v/>
      </c>
      <c r="X1086" s="4">
        <f>J1086</f>
        <v>320</v>
      </c>
    </row>
    <row r="1087" spans="2:24" ht="30" x14ac:dyDescent="0.25">
      <c r="B1087" s="4">
        <v>1066</v>
      </c>
      <c r="C1087" s="4" t="s">
        <v>177</v>
      </c>
      <c r="D1087" s="4" t="s">
        <v>138</v>
      </c>
      <c r="E1087" s="4">
        <v>2201</v>
      </c>
      <c r="F1087" s="4" t="s">
        <v>30</v>
      </c>
      <c r="G1087" s="4" t="s">
        <v>29</v>
      </c>
      <c r="H1087" s="4" t="s">
        <v>132</v>
      </c>
      <c r="I1087" s="4" t="s">
        <v>133</v>
      </c>
      <c r="J1087" s="4">
        <v>320</v>
      </c>
      <c r="K1087" t="str">
        <f>TEXT(TIMEVALUE(H1087)-TIMEVALUE(I1086)+(TIMEVALUE(H1087)&lt;TIMEVALUE(I1086)),"[h]:mm")</f>
        <v>0:45</v>
      </c>
      <c r="L1087" s="4" t="s">
        <v>40</v>
      </c>
      <c r="O1087" t="str">
        <f>"LIM-"&amp;G1086&amp;"-LIM   LA "&amp;E1086&amp;" ("&amp;LEFT(H1086,5)&amp;"-"&amp;LEFT(I1086,5)&amp;" hrs)  /  LA "&amp;E1087&amp;" ("&amp;LEFT(H1087,5)&amp;"-"&amp;LEFT(I1087,5)&amp;" hrs)"</f>
        <v>LIM-CUZ-LIM   LA 2200 (21:15-22:35 hrs)  /  LA 2201 (23:20-00:50 hrs)</v>
      </c>
    </row>
    <row r="1088" spans="2:24" x14ac:dyDescent="0.25">
      <c r="J1088" s="7" t="s">
        <v>43</v>
      </c>
      <c r="K1088" s="8" t="str">
        <f>TEXT(TIMEVALUE(I1087)-TIMEVALUE(H1086)+(I1087&lt;H1086),"[h]:mm")</f>
        <v>3:35</v>
      </c>
    </row>
    <row r="1090" spans="2:24" ht="30" x14ac:dyDescent="0.25">
      <c r="B1090" s="3" t="s">
        <v>9</v>
      </c>
      <c r="C1090" s="3" t="s">
        <v>17</v>
      </c>
      <c r="D1090" s="3" t="s">
        <v>18</v>
      </c>
      <c r="E1090" s="3" t="s">
        <v>19</v>
      </c>
      <c r="F1090" s="3" t="s">
        <v>20</v>
      </c>
      <c r="G1090" s="3" t="s">
        <v>21</v>
      </c>
      <c r="H1090" s="3" t="s">
        <v>22</v>
      </c>
      <c r="I1090" s="3" t="s">
        <v>23</v>
      </c>
      <c r="J1090" s="3" t="s">
        <v>24</v>
      </c>
      <c r="K1090" s="3" t="s">
        <v>25</v>
      </c>
      <c r="L1090" s="3" t="s">
        <v>26</v>
      </c>
    </row>
    <row r="1091" spans="2:24" ht="30" x14ac:dyDescent="0.25">
      <c r="B1091" s="4">
        <v>1109</v>
      </c>
      <c r="C1091" s="4" t="s">
        <v>178</v>
      </c>
      <c r="D1091" s="4" t="s">
        <v>154</v>
      </c>
      <c r="E1091" s="4">
        <v>2350</v>
      </c>
      <c r="F1091" s="4" t="s">
        <v>29</v>
      </c>
      <c r="G1091" s="4" t="s">
        <v>50</v>
      </c>
      <c r="H1091" s="4" t="s">
        <v>179</v>
      </c>
      <c r="I1091" s="4" t="s">
        <v>34</v>
      </c>
      <c r="J1091" s="4">
        <v>320</v>
      </c>
      <c r="L1091" s="4" t="s">
        <v>33</v>
      </c>
      <c r="M1091" s="5"/>
      <c r="O1091" s="5"/>
      <c r="Q1091" s="4">
        <f>B1091</f>
        <v>1109</v>
      </c>
      <c r="R1091" s="4" t="str">
        <f>C1091</f>
        <v>13/10/2026</v>
      </c>
      <c r="S1091" s="4" t="str">
        <f>D1091</f>
        <v>martes</v>
      </c>
      <c r="T1091" s="4" t="str">
        <f>E1091&amp;"/"&amp;E1092</f>
        <v>2350/2351</v>
      </c>
      <c r="U1091" s="4" t="str">
        <f>F1091&amp;"-"&amp;G1091&amp;"-"&amp;F1091</f>
        <v>LIM-CJA-LIM</v>
      </c>
      <c r="V1091" s="4" t="str">
        <f>IF($M$1091="","",$M$1091)</f>
        <v/>
      </c>
      <c r="W1091" s="4" t="str">
        <f>IF($O$1091="","",$O$1091)</f>
        <v/>
      </c>
      <c r="X1091" s="4">
        <f>J1091</f>
        <v>320</v>
      </c>
    </row>
    <row r="1092" spans="2:24" ht="30" x14ac:dyDescent="0.25">
      <c r="B1092" s="4">
        <v>1109</v>
      </c>
      <c r="C1092" s="4" t="s">
        <v>178</v>
      </c>
      <c r="D1092" s="4" t="s">
        <v>154</v>
      </c>
      <c r="E1092" s="4">
        <v>2351</v>
      </c>
      <c r="F1092" s="4" t="s">
        <v>50</v>
      </c>
      <c r="G1092" s="4" t="s">
        <v>29</v>
      </c>
      <c r="H1092" s="4" t="s">
        <v>57</v>
      </c>
      <c r="I1092" s="4" t="s">
        <v>104</v>
      </c>
      <c r="J1092" s="4">
        <v>320</v>
      </c>
      <c r="K1092" t="str">
        <f>TEXT(TIMEVALUE(H1092)-TIMEVALUE(I1091)+(TIMEVALUE(H1092)&lt;TIMEVALUE(I1091)),"[h]:mm")</f>
        <v>0:40</v>
      </c>
      <c r="L1092" s="4" t="s">
        <v>74</v>
      </c>
      <c r="O1092" t="str">
        <f>"LIM-"&amp;G1091&amp;"-LIM   LA "&amp;E1091&amp;" ("&amp;LEFT(H1091,5)&amp;"-"&amp;LEFT(I1091,5)&amp;" hrs)  /  LA "&amp;E1092&amp;" ("&amp;LEFT(H1092,5)&amp;"-"&amp;LEFT(I1092,5)&amp;" hrs)"</f>
        <v>LIM-CJA-LIM   LA 2350 (10:00-11:20 hrs)  /  LA 2351 (12:00-13:10 hrs)</v>
      </c>
    </row>
    <row r="1093" spans="2:24" ht="30" x14ac:dyDescent="0.25">
      <c r="B1093" s="4">
        <v>1127</v>
      </c>
      <c r="C1093" s="4" t="s">
        <v>178</v>
      </c>
      <c r="D1093" s="4" t="s">
        <v>154</v>
      </c>
      <c r="E1093" s="4">
        <v>2087</v>
      </c>
      <c r="F1093" s="4" t="s">
        <v>29</v>
      </c>
      <c r="G1093" s="4" t="s">
        <v>91</v>
      </c>
      <c r="H1093" s="4" t="s">
        <v>67</v>
      </c>
      <c r="I1093" s="4" t="s">
        <v>76</v>
      </c>
      <c r="J1093" s="4">
        <v>320</v>
      </c>
      <c r="K1093" s="6" t="str">
        <f>TEXT(TIMEVALUE(H1093)-TIMEVALUE(I1092)+(TIMEVALUE(H1093)&lt;TIMEVALUE(I1092)),"[h]:mm")</f>
        <v>0:55</v>
      </c>
      <c r="L1093" s="4" t="s">
        <v>93</v>
      </c>
      <c r="M1093" t="str">
        <f>IF($M$1091="","",$M$1091)</f>
        <v/>
      </c>
      <c r="O1093" t="str">
        <f>IF($O$1091="","",$O$1091)</f>
        <v/>
      </c>
      <c r="Q1093" s="4">
        <f>B1093</f>
        <v>1127</v>
      </c>
      <c r="R1093" s="4" t="str">
        <f>C1093</f>
        <v>13/10/2026</v>
      </c>
      <c r="S1093" s="4" t="str">
        <f>D1093</f>
        <v>martes</v>
      </c>
      <c r="T1093" s="4" t="str">
        <f>E1093&amp;"/"&amp;E1094</f>
        <v>2087/2088</v>
      </c>
      <c r="U1093" s="4" t="str">
        <f>F1093&amp;"-"&amp;G1093&amp;"-"&amp;F1093</f>
        <v>LIM-TPP-LIM</v>
      </c>
      <c r="V1093" s="4" t="str">
        <f>IF($M$1091="","",$M$1091)</f>
        <v/>
      </c>
      <c r="W1093" s="4" t="str">
        <f>IF($O$1091="","",$O$1091)</f>
        <v/>
      </c>
      <c r="X1093" s="4">
        <f>J1093</f>
        <v>320</v>
      </c>
    </row>
    <row r="1094" spans="2:24" ht="30" x14ac:dyDescent="0.25">
      <c r="B1094" s="4">
        <v>1127</v>
      </c>
      <c r="C1094" s="4" t="s">
        <v>178</v>
      </c>
      <c r="D1094" s="4" t="s">
        <v>154</v>
      </c>
      <c r="E1094" s="4">
        <v>2088</v>
      </c>
      <c r="F1094" s="4" t="s">
        <v>91</v>
      </c>
      <c r="G1094" s="4" t="s">
        <v>29</v>
      </c>
      <c r="H1094" s="4" t="s">
        <v>85</v>
      </c>
      <c r="I1094" s="4" t="s">
        <v>100</v>
      </c>
      <c r="J1094" s="4">
        <v>320</v>
      </c>
      <c r="K1094" t="str">
        <f>TEXT(TIMEVALUE(H1094)-TIMEVALUE(I1093)+(TIMEVALUE(H1094)&lt;TIMEVALUE(I1093)),"[h]:mm")</f>
        <v>0:35</v>
      </c>
      <c r="L1094" s="4" t="s">
        <v>93</v>
      </c>
      <c r="O1094" t="str">
        <f>"LIM-"&amp;G1093&amp;"-LIM   LA "&amp;E1093&amp;" ("&amp;LEFT(H1093,5)&amp;"-"&amp;LEFT(I1093,5)&amp;" hrs)  /  LA "&amp;E1094&amp;" ("&amp;LEFT(H1094,5)&amp;"-"&amp;LEFT(I1094,5)&amp;" hrs)"</f>
        <v>LIM-TPP-LIM   LA 2087 (14:05-15:30 hrs)  /  LA 2088 (16:05-17:30 hrs)</v>
      </c>
    </row>
    <row r="1095" spans="2:24" x14ac:dyDescent="0.25">
      <c r="J1095" s="7" t="s">
        <v>43</v>
      </c>
      <c r="K1095" s="8" t="str">
        <f>TEXT(TIMEVALUE(I1094)-TIMEVALUE(H1091)+(I1094&lt;H1091),"[h]:mm")</f>
        <v>7:30</v>
      </c>
    </row>
    <row r="1097" spans="2:24" ht="30" x14ac:dyDescent="0.25">
      <c r="B1097" s="3" t="s">
        <v>9</v>
      </c>
      <c r="C1097" s="3" t="s">
        <v>17</v>
      </c>
      <c r="D1097" s="3" t="s">
        <v>18</v>
      </c>
      <c r="E1097" s="3" t="s">
        <v>19</v>
      </c>
      <c r="F1097" s="3" t="s">
        <v>20</v>
      </c>
      <c r="G1097" s="3" t="s">
        <v>21</v>
      </c>
      <c r="H1097" s="3" t="s">
        <v>22</v>
      </c>
      <c r="I1097" s="3" t="s">
        <v>23</v>
      </c>
      <c r="J1097" s="3" t="s">
        <v>24</v>
      </c>
      <c r="K1097" s="3" t="s">
        <v>25</v>
      </c>
      <c r="L1097" s="3" t="s">
        <v>26</v>
      </c>
    </row>
    <row r="1098" spans="2:24" ht="30" x14ac:dyDescent="0.25">
      <c r="B1098" s="4">
        <v>1110</v>
      </c>
      <c r="C1098" s="4" t="s">
        <v>178</v>
      </c>
      <c r="D1098" s="4" t="s">
        <v>154</v>
      </c>
      <c r="E1098" s="4">
        <v>2075</v>
      </c>
      <c r="F1098" s="4" t="s">
        <v>29</v>
      </c>
      <c r="G1098" s="4" t="s">
        <v>30</v>
      </c>
      <c r="H1098" s="4" t="s">
        <v>97</v>
      </c>
      <c r="I1098" s="4" t="s">
        <v>98</v>
      </c>
      <c r="J1098" s="4">
        <v>319</v>
      </c>
      <c r="L1098" s="4" t="s">
        <v>33</v>
      </c>
      <c r="M1098" s="5"/>
      <c r="O1098" s="5"/>
      <c r="Q1098" s="4">
        <f>B1098</f>
        <v>1110</v>
      </c>
      <c r="R1098" s="4" t="str">
        <f>C1098</f>
        <v>13/10/2026</v>
      </c>
      <c r="S1098" s="4" t="str">
        <f>D1098</f>
        <v>martes</v>
      </c>
      <c r="T1098" s="4" t="str">
        <f>E1098&amp;"/"&amp;E1099</f>
        <v>2075/2076</v>
      </c>
      <c r="U1098" s="4" t="str">
        <f>F1098&amp;"-"&amp;G1098&amp;"-"&amp;F1098</f>
        <v>LIM-CUZ-LIM</v>
      </c>
      <c r="V1098" s="4" t="str">
        <f>IF($M$1098="","",$M$1098)</f>
        <v/>
      </c>
      <c r="W1098" s="4" t="str">
        <f>IF($O$1098="","",$O$1098)</f>
        <v/>
      </c>
      <c r="X1098" s="4">
        <f>J1098</f>
        <v>319</v>
      </c>
    </row>
    <row r="1099" spans="2:24" ht="30" x14ac:dyDescent="0.25">
      <c r="B1099" s="4">
        <v>1110</v>
      </c>
      <c r="C1099" s="4" t="s">
        <v>178</v>
      </c>
      <c r="D1099" s="4" t="s">
        <v>154</v>
      </c>
      <c r="E1099" s="4">
        <v>2076</v>
      </c>
      <c r="F1099" s="4" t="s">
        <v>30</v>
      </c>
      <c r="G1099" s="4" t="s">
        <v>29</v>
      </c>
      <c r="H1099" s="4" t="s">
        <v>48</v>
      </c>
      <c r="I1099" s="4" t="s">
        <v>49</v>
      </c>
      <c r="J1099" s="4">
        <v>319</v>
      </c>
      <c r="K1099" t="str">
        <f>TEXT(TIMEVALUE(H1099)-TIMEVALUE(I1098)+(TIMEVALUE(H1099)&lt;TIMEVALUE(I1098)),"[h]:mm")</f>
        <v>0:35</v>
      </c>
      <c r="L1099" s="4" t="s">
        <v>36</v>
      </c>
      <c r="O1099" t="str">
        <f>"LIM-"&amp;G1098&amp;"-LIM   LA "&amp;E1098&amp;" ("&amp;LEFT(H1098,5)&amp;"-"&amp;LEFT(I1098,5)&amp;" hrs)  /  LA "&amp;E1099&amp;" ("&amp;LEFT(H1099,5)&amp;"-"&amp;LEFT(I1099,5)&amp;" hrs)"</f>
        <v>LIM-CUZ-LIM   LA 2075 (10:50-12:10 hrs)  /  LA 2076 (12:45-14:20 hrs)</v>
      </c>
    </row>
    <row r="1100" spans="2:24" ht="30" x14ac:dyDescent="0.25">
      <c r="B1100" s="4">
        <v>1134</v>
      </c>
      <c r="C1100" s="4" t="s">
        <v>178</v>
      </c>
      <c r="D1100" s="4" t="s">
        <v>154</v>
      </c>
      <c r="E1100" s="4">
        <v>2297</v>
      </c>
      <c r="F1100" s="4" t="s">
        <v>29</v>
      </c>
      <c r="G1100" s="4" t="s">
        <v>50</v>
      </c>
      <c r="H1100" s="4" t="s">
        <v>51</v>
      </c>
      <c r="I1100" s="4" t="s">
        <v>52</v>
      </c>
      <c r="J1100" s="4">
        <v>320</v>
      </c>
      <c r="K1100" s="6" t="str">
        <f>TEXT(TIMEVALUE(H1100)-TIMEVALUE(I1099)+(TIMEVALUE(H1100)&lt;TIMEVALUE(I1099)),"[h]:mm")</f>
        <v>0:55</v>
      </c>
      <c r="L1100" s="4" t="s">
        <v>33</v>
      </c>
      <c r="M1100" t="str">
        <f>IF($M$1098="","",$M$1098)</f>
        <v/>
      </c>
      <c r="O1100" t="str">
        <f>IF($O$1098="","",$O$1098)</f>
        <v/>
      </c>
      <c r="Q1100" s="4">
        <f>B1100</f>
        <v>1134</v>
      </c>
      <c r="R1100" s="4" t="str">
        <f>C1100</f>
        <v>13/10/2026</v>
      </c>
      <c r="S1100" s="4" t="str">
        <f>D1100</f>
        <v>martes</v>
      </c>
      <c r="T1100" s="4" t="str">
        <f>E1100&amp;"/"&amp;E1101</f>
        <v>2297/2296</v>
      </c>
      <c r="U1100" s="4" t="str">
        <f>F1100&amp;"-"&amp;G1100&amp;"-"&amp;F1100</f>
        <v>LIM-CJA-LIM</v>
      </c>
      <c r="V1100" s="4" t="str">
        <f>IF($M$1098="","",$M$1098)</f>
        <v/>
      </c>
      <c r="W1100" s="4" t="str">
        <f>IF($O$1098="","",$O$1098)</f>
        <v/>
      </c>
      <c r="X1100" s="4">
        <f>J1100</f>
        <v>320</v>
      </c>
    </row>
    <row r="1101" spans="2:24" ht="30" x14ac:dyDescent="0.25">
      <c r="B1101" s="4">
        <v>1134</v>
      </c>
      <c r="C1101" s="4" t="s">
        <v>178</v>
      </c>
      <c r="D1101" s="4" t="s">
        <v>154</v>
      </c>
      <c r="E1101" s="4">
        <v>2296</v>
      </c>
      <c r="F1101" s="4" t="s">
        <v>50</v>
      </c>
      <c r="G1101" s="4" t="s">
        <v>29</v>
      </c>
      <c r="H1101" s="4" t="s">
        <v>53</v>
      </c>
      <c r="I1101" s="4" t="s">
        <v>54</v>
      </c>
      <c r="J1101" s="4">
        <v>320</v>
      </c>
      <c r="K1101" t="str">
        <f>TEXT(TIMEVALUE(H1101)-TIMEVALUE(I1100)+(TIMEVALUE(H1101)&lt;TIMEVALUE(I1100)),"[h]:mm")</f>
        <v>0:45</v>
      </c>
      <c r="L1101" s="4" t="s">
        <v>55</v>
      </c>
      <c r="O1101" t="str">
        <f>"LIM-"&amp;G1100&amp;"-LIM   LA "&amp;E1100&amp;" ("&amp;LEFT(H1100,5)&amp;"-"&amp;LEFT(I1100,5)&amp;" hrs)  /  LA "&amp;E1101&amp;" ("&amp;LEFT(H1101,5)&amp;"-"&amp;LEFT(I1101,5)&amp;" hrs)"</f>
        <v>LIM-CJA-LIM   LA 2297 (15:15-16:35 hrs)  /  LA 2296 (17:20-18:25 hrs)</v>
      </c>
    </row>
    <row r="1102" spans="2:24" x14ac:dyDescent="0.25">
      <c r="J1102" s="7" t="s">
        <v>43</v>
      </c>
      <c r="K1102" s="8" t="str">
        <f>TEXT(TIMEVALUE(I1101)-TIMEVALUE(H1098)+(I1101&lt;H1098),"[h]:mm")</f>
        <v>7:35</v>
      </c>
    </row>
    <row r="1104" spans="2:24" ht="30" x14ac:dyDescent="0.25">
      <c r="B1104" s="3" t="s">
        <v>9</v>
      </c>
      <c r="C1104" s="3" t="s">
        <v>17</v>
      </c>
      <c r="D1104" s="3" t="s">
        <v>18</v>
      </c>
      <c r="E1104" s="3" t="s">
        <v>19</v>
      </c>
      <c r="F1104" s="3" t="s">
        <v>20</v>
      </c>
      <c r="G1104" s="3" t="s">
        <v>21</v>
      </c>
      <c r="H1104" s="3" t="s">
        <v>22</v>
      </c>
      <c r="I1104" s="3" t="s">
        <v>23</v>
      </c>
      <c r="J1104" s="3" t="s">
        <v>24</v>
      </c>
      <c r="K1104" s="3" t="s">
        <v>25</v>
      </c>
      <c r="L1104" s="3" t="s">
        <v>26</v>
      </c>
    </row>
    <row r="1105" spans="2:24" ht="30" x14ac:dyDescent="0.25">
      <c r="B1105" s="4">
        <v>1117</v>
      </c>
      <c r="C1105" s="4" t="s">
        <v>178</v>
      </c>
      <c r="D1105" s="4" t="s">
        <v>154</v>
      </c>
      <c r="E1105" s="4">
        <v>2043</v>
      </c>
      <c r="F1105" s="4" t="s">
        <v>29</v>
      </c>
      <c r="G1105" s="4" t="s">
        <v>56</v>
      </c>
      <c r="H1105" s="4" t="s">
        <v>48</v>
      </c>
      <c r="I1105" s="4" t="s">
        <v>107</v>
      </c>
      <c r="J1105" s="4">
        <v>320</v>
      </c>
      <c r="L1105" s="4" t="s">
        <v>40</v>
      </c>
      <c r="M1105" s="5"/>
      <c r="O1105" s="5"/>
      <c r="Q1105" s="4">
        <f>B1105</f>
        <v>1117</v>
      </c>
      <c r="R1105" s="4" t="str">
        <f>C1105</f>
        <v>13/10/2026</v>
      </c>
      <c r="S1105" s="4" t="str">
        <f>D1105</f>
        <v>martes</v>
      </c>
      <c r="T1105" s="4" t="str">
        <f>E1105&amp;"/"&amp;E1106</f>
        <v>2043/2044</v>
      </c>
      <c r="U1105" s="4" t="str">
        <f>F1105&amp;"-"&amp;G1105&amp;"-"&amp;F1105</f>
        <v>LIM-AQP-LIM</v>
      </c>
      <c r="V1105" s="4" t="str">
        <f>IF($M$1105="","",$M$1105)</f>
        <v/>
      </c>
      <c r="W1105" s="4" t="str">
        <f>IF($O$1105="","",$O$1105)</f>
        <v/>
      </c>
      <c r="X1105" s="4">
        <f>J1105</f>
        <v>320</v>
      </c>
    </row>
    <row r="1106" spans="2:24" ht="30" x14ac:dyDescent="0.25">
      <c r="B1106" s="4">
        <v>1117</v>
      </c>
      <c r="C1106" s="4" t="s">
        <v>178</v>
      </c>
      <c r="D1106" s="4" t="s">
        <v>154</v>
      </c>
      <c r="E1106" s="4">
        <v>2044</v>
      </c>
      <c r="F1106" s="4" t="s">
        <v>56</v>
      </c>
      <c r="G1106" s="4" t="s">
        <v>29</v>
      </c>
      <c r="H1106" s="4" t="s">
        <v>109</v>
      </c>
      <c r="I1106" s="4" t="s">
        <v>52</v>
      </c>
      <c r="J1106" s="4">
        <v>320</v>
      </c>
      <c r="K1106" t="str">
        <f>TEXT(TIMEVALUE(H1106)-TIMEVALUE(I1105)+(TIMEVALUE(H1106)&lt;TIMEVALUE(I1105)),"[h]:mm")</f>
        <v>0:45</v>
      </c>
      <c r="L1106" s="4" t="s">
        <v>36</v>
      </c>
      <c r="O1106" t="str">
        <f>"LIM-"&amp;G1105&amp;"-LIM   LA "&amp;E1105&amp;" ("&amp;LEFT(H1105,5)&amp;"-"&amp;LEFT(I1105,5)&amp;" hrs)  /  LA "&amp;E1106&amp;" ("&amp;LEFT(H1106,5)&amp;"-"&amp;LEFT(I1106,5)&amp;" hrs)"</f>
        <v>LIM-AQP-LIM   LA 2043 (12:45-14:15 hrs)  /  LA 2044 (15:00-16:35 hrs)</v>
      </c>
    </row>
    <row r="1107" spans="2:24" x14ac:dyDescent="0.25">
      <c r="J1107" s="7" t="s">
        <v>43</v>
      </c>
      <c r="K1107" s="8" t="str">
        <f>TEXT(TIMEVALUE(I1106)-TIMEVALUE(H1105)+(I1106&lt;H1105),"[h]:mm")</f>
        <v>3:50</v>
      </c>
    </row>
    <row r="1109" spans="2:24" ht="30" x14ac:dyDescent="0.25">
      <c r="B1109" s="3" t="s">
        <v>9</v>
      </c>
      <c r="C1109" s="3" t="s">
        <v>17</v>
      </c>
      <c r="D1109" s="3" t="s">
        <v>18</v>
      </c>
      <c r="E1109" s="3" t="s">
        <v>19</v>
      </c>
      <c r="F1109" s="3" t="s">
        <v>20</v>
      </c>
      <c r="G1109" s="3" t="s">
        <v>21</v>
      </c>
      <c r="H1109" s="3" t="s">
        <v>22</v>
      </c>
      <c r="I1109" s="3" t="s">
        <v>23</v>
      </c>
      <c r="J1109" s="3" t="s">
        <v>24</v>
      </c>
      <c r="K1109" s="3" t="s">
        <v>25</v>
      </c>
      <c r="L1109" s="3" t="s">
        <v>26</v>
      </c>
    </row>
    <row r="1110" spans="2:24" ht="30" x14ac:dyDescent="0.25">
      <c r="B1110" s="4">
        <v>1121</v>
      </c>
      <c r="C1110" s="4" t="s">
        <v>178</v>
      </c>
      <c r="D1110" s="4" t="s">
        <v>154</v>
      </c>
      <c r="E1110" s="4">
        <v>2028</v>
      </c>
      <c r="F1110" s="4" t="s">
        <v>29</v>
      </c>
      <c r="G1110" s="4" t="s">
        <v>30</v>
      </c>
      <c r="H1110" s="4" t="s">
        <v>65</v>
      </c>
      <c r="I1110" s="4" t="s">
        <v>75</v>
      </c>
      <c r="J1110" s="4">
        <v>320</v>
      </c>
      <c r="L1110" s="4" t="s">
        <v>33</v>
      </c>
      <c r="M1110" s="5"/>
      <c r="O1110" s="5"/>
      <c r="Q1110" s="4">
        <f>B1110</f>
        <v>1121</v>
      </c>
      <c r="R1110" s="4" t="str">
        <f>C1110</f>
        <v>13/10/2026</v>
      </c>
      <c r="S1110" s="4" t="str">
        <f>D1110</f>
        <v>martes</v>
      </c>
      <c r="T1110" s="4" t="str">
        <f>E1110&amp;"/"&amp;E1111</f>
        <v>2028/2029</v>
      </c>
      <c r="U1110" s="4" t="str">
        <f>F1110&amp;"-"&amp;G1110&amp;"-"&amp;F1110</f>
        <v>LIM-CUZ-LIM</v>
      </c>
      <c r="V1110" s="4" t="str">
        <f>IF($M$1110="","",$M$1110)</f>
        <v/>
      </c>
      <c r="W1110" s="4" t="str">
        <f>IF($O$1110="","",$O$1110)</f>
        <v/>
      </c>
      <c r="X1110" s="4">
        <f>J1110</f>
        <v>320</v>
      </c>
    </row>
    <row r="1111" spans="2:24" ht="30" x14ac:dyDescent="0.25">
      <c r="B1111" s="4">
        <v>1121</v>
      </c>
      <c r="C1111" s="4" t="s">
        <v>178</v>
      </c>
      <c r="D1111" s="4" t="s">
        <v>154</v>
      </c>
      <c r="E1111" s="4">
        <v>2029</v>
      </c>
      <c r="F1111" s="4" t="s">
        <v>30</v>
      </c>
      <c r="G1111" s="4" t="s">
        <v>29</v>
      </c>
      <c r="H1111" s="4" t="s">
        <v>76</v>
      </c>
      <c r="I1111" s="4" t="s">
        <v>77</v>
      </c>
      <c r="J1111" s="4">
        <v>320</v>
      </c>
      <c r="K1111" t="str">
        <f>TEXT(TIMEVALUE(H1111)-TIMEVALUE(I1110)+(TIMEVALUE(H1111)&lt;TIMEVALUE(I1110)),"[h]:mm")</f>
        <v>0:45</v>
      </c>
      <c r="L1111" s="4" t="s">
        <v>36</v>
      </c>
      <c r="O1111" t="str">
        <f>"LIM-"&amp;G1110&amp;"-LIM   LA "&amp;E1110&amp;" ("&amp;LEFT(H1110,5)&amp;"-"&amp;LEFT(I1110,5)&amp;" hrs)  /  LA "&amp;E1111&amp;" ("&amp;LEFT(H1111,5)&amp;"-"&amp;LEFT(I1111,5)&amp;" hrs)"</f>
        <v>LIM-CUZ-LIM   LA 2028 (13:25-14:45 hrs)  /  LA 2029 (15:30-17:05 hrs)</v>
      </c>
    </row>
    <row r="1112" spans="2:24" x14ac:dyDescent="0.25">
      <c r="J1112" s="7" t="s">
        <v>43</v>
      </c>
      <c r="K1112" s="8" t="str">
        <f>TEXT(TIMEVALUE(I1111)-TIMEVALUE(H1110)+(I1111&lt;H1110),"[h]:mm")</f>
        <v>3:40</v>
      </c>
    </row>
    <row r="1114" spans="2:24" ht="30" x14ac:dyDescent="0.25">
      <c r="B1114" s="3" t="s">
        <v>9</v>
      </c>
      <c r="C1114" s="3" t="s">
        <v>17</v>
      </c>
      <c r="D1114" s="3" t="s">
        <v>18</v>
      </c>
      <c r="E1114" s="3" t="s">
        <v>19</v>
      </c>
      <c r="F1114" s="3" t="s">
        <v>20</v>
      </c>
      <c r="G1114" s="3" t="s">
        <v>21</v>
      </c>
      <c r="H1114" s="3" t="s">
        <v>22</v>
      </c>
      <c r="I1114" s="3" t="s">
        <v>23</v>
      </c>
      <c r="J1114" s="3" t="s">
        <v>24</v>
      </c>
      <c r="K1114" s="3" t="s">
        <v>25</v>
      </c>
      <c r="L1114" s="3" t="s">
        <v>26</v>
      </c>
    </row>
    <row r="1115" spans="2:24" ht="30" x14ac:dyDescent="0.25">
      <c r="B1115" s="4">
        <v>1122</v>
      </c>
      <c r="C1115" s="4" t="s">
        <v>178</v>
      </c>
      <c r="D1115" s="4" t="s">
        <v>154</v>
      </c>
      <c r="E1115" s="4">
        <v>2234</v>
      </c>
      <c r="F1115" s="4" t="s">
        <v>29</v>
      </c>
      <c r="G1115" s="4" t="s">
        <v>63</v>
      </c>
      <c r="H1115" s="4" t="s">
        <v>106</v>
      </c>
      <c r="I1115" s="4" t="s">
        <v>59</v>
      </c>
      <c r="J1115" s="4">
        <v>320</v>
      </c>
      <c r="L1115" s="4" t="s">
        <v>66</v>
      </c>
      <c r="M1115" s="5"/>
      <c r="O1115" s="5"/>
      <c r="Q1115" s="4">
        <f>B1115</f>
        <v>1122</v>
      </c>
      <c r="R1115" s="4" t="str">
        <f>C1115</f>
        <v>13/10/2026</v>
      </c>
      <c r="S1115" s="4" t="str">
        <f>D1115</f>
        <v>martes</v>
      </c>
      <c r="T1115" s="4" t="str">
        <f>E1115&amp;"/"&amp;E1116</f>
        <v>2234/2235</v>
      </c>
      <c r="U1115" s="4" t="str">
        <f>F1115&amp;"-"&amp;G1115&amp;"-"&amp;F1115</f>
        <v>LIM-IQT-LIM</v>
      </c>
      <c r="V1115" s="4" t="str">
        <f>IF($M$1115="","",$M$1115)</f>
        <v/>
      </c>
      <c r="W1115" s="4" t="str">
        <f>IF($O$1115="","",$O$1115)</f>
        <v/>
      </c>
      <c r="X1115" s="4">
        <f>J1115</f>
        <v>320</v>
      </c>
    </row>
    <row r="1116" spans="2:24" ht="30" x14ac:dyDescent="0.25">
      <c r="B1116" s="4">
        <v>1122</v>
      </c>
      <c r="C1116" s="4" t="s">
        <v>178</v>
      </c>
      <c r="D1116" s="4" t="s">
        <v>154</v>
      </c>
      <c r="E1116" s="4">
        <v>2235</v>
      </c>
      <c r="F1116" s="4" t="s">
        <v>63</v>
      </c>
      <c r="G1116" s="4" t="s">
        <v>29</v>
      </c>
      <c r="H1116" s="4" t="s">
        <v>85</v>
      </c>
      <c r="I1116" s="4" t="s">
        <v>121</v>
      </c>
      <c r="J1116" s="4">
        <v>320</v>
      </c>
      <c r="K1116" t="str">
        <f>TEXT(TIMEVALUE(H1116)-TIMEVALUE(I1115)+(TIMEVALUE(H1116)&lt;TIMEVALUE(I1115)),"[h]:mm")</f>
        <v>0:40</v>
      </c>
      <c r="L1116" s="4" t="s">
        <v>66</v>
      </c>
      <c r="O1116" t="str">
        <f>"LIM-"&amp;G1115&amp;"-LIM   LA "&amp;E1115&amp;" ("&amp;LEFT(H1115,5)&amp;"-"&amp;LEFT(I1115,5)&amp;" hrs)  /  LA "&amp;E1116&amp;" ("&amp;LEFT(H1116,5)&amp;"-"&amp;LEFT(I1116,5)&amp;" hrs)"</f>
        <v>LIM-IQT-LIM   LA 2234 (13:35-15:25 hrs)  /  LA 2235 (16:05-17:55 hrs)</v>
      </c>
    </row>
    <row r="1117" spans="2:24" x14ac:dyDescent="0.25">
      <c r="J1117" s="7" t="s">
        <v>43</v>
      </c>
      <c r="K1117" s="8" t="str">
        <f>TEXT(TIMEVALUE(I1116)-TIMEVALUE(H1115)+(I1116&lt;H1115),"[h]:mm")</f>
        <v>4:20</v>
      </c>
    </row>
    <row r="1119" spans="2:24" ht="30" x14ac:dyDescent="0.25">
      <c r="B1119" s="3" t="s">
        <v>9</v>
      </c>
      <c r="C1119" s="3" t="s">
        <v>17</v>
      </c>
      <c r="D1119" s="3" t="s">
        <v>18</v>
      </c>
      <c r="E1119" s="3" t="s">
        <v>19</v>
      </c>
      <c r="F1119" s="3" t="s">
        <v>20</v>
      </c>
      <c r="G1119" s="3" t="s">
        <v>21</v>
      </c>
      <c r="H1119" s="3" t="s">
        <v>22</v>
      </c>
      <c r="I1119" s="3" t="s">
        <v>23</v>
      </c>
      <c r="J1119" s="3" t="s">
        <v>24</v>
      </c>
      <c r="K1119" s="3" t="s">
        <v>25</v>
      </c>
      <c r="L1119" s="3" t="s">
        <v>26</v>
      </c>
    </row>
    <row r="1120" spans="2:24" ht="30" x14ac:dyDescent="0.25">
      <c r="B1120" s="4">
        <v>1125</v>
      </c>
      <c r="C1120" s="4" t="s">
        <v>178</v>
      </c>
      <c r="D1120" s="4" t="s">
        <v>154</v>
      </c>
      <c r="E1120" s="4">
        <v>2055</v>
      </c>
      <c r="F1120" s="4" t="s">
        <v>29</v>
      </c>
      <c r="G1120" s="4" t="s">
        <v>56</v>
      </c>
      <c r="H1120" s="4" t="s">
        <v>82</v>
      </c>
      <c r="I1120" s="4" t="s">
        <v>59</v>
      </c>
      <c r="J1120" s="4">
        <v>320</v>
      </c>
      <c r="L1120" s="4" t="s">
        <v>40</v>
      </c>
      <c r="M1120" s="5"/>
      <c r="O1120" s="5"/>
      <c r="Q1120" s="4">
        <f>B1120</f>
        <v>1125</v>
      </c>
      <c r="R1120" s="4" t="str">
        <f>C1120</f>
        <v>13/10/2026</v>
      </c>
      <c r="S1120" s="4" t="str">
        <f>D1120</f>
        <v>martes</v>
      </c>
      <c r="T1120" s="4" t="str">
        <f>E1120&amp;"/"&amp;E1121</f>
        <v>2055/2056</v>
      </c>
      <c r="U1120" s="4" t="str">
        <f>F1120&amp;"-"&amp;G1120&amp;"-"&amp;F1120</f>
        <v>LIM-AQP-LIM</v>
      </c>
      <c r="V1120" s="4" t="str">
        <f>IF($M$1120="","",$M$1120)</f>
        <v/>
      </c>
      <c r="W1120" s="4" t="str">
        <f>IF($O$1120="","",$O$1120)</f>
        <v/>
      </c>
      <c r="X1120" s="4">
        <f>J1120</f>
        <v>320</v>
      </c>
    </row>
    <row r="1121" spans="2:24" ht="30" x14ac:dyDescent="0.25">
      <c r="B1121" s="4">
        <v>1125</v>
      </c>
      <c r="C1121" s="4" t="s">
        <v>178</v>
      </c>
      <c r="D1121" s="4" t="s">
        <v>154</v>
      </c>
      <c r="E1121" s="4">
        <v>2056</v>
      </c>
      <c r="F1121" s="4" t="s">
        <v>56</v>
      </c>
      <c r="G1121" s="4" t="s">
        <v>29</v>
      </c>
      <c r="H1121" s="4" t="s">
        <v>83</v>
      </c>
      <c r="I1121" s="4" t="s">
        <v>84</v>
      </c>
      <c r="J1121" s="4">
        <v>320</v>
      </c>
      <c r="K1121" t="str">
        <f>TEXT(TIMEVALUE(H1121)-TIMEVALUE(I1120)+(TIMEVALUE(H1121)&lt;TIMEVALUE(I1120)),"[h]:mm")</f>
        <v>0:45</v>
      </c>
      <c r="L1121" s="4" t="s">
        <v>71</v>
      </c>
      <c r="O1121" t="str">
        <f>"LIM-"&amp;G1120&amp;"-LIM   LA "&amp;E1120&amp;" ("&amp;LEFT(H1120,5)&amp;"-"&amp;LEFT(I1120,5)&amp;" hrs)  /  LA "&amp;E1121&amp;" ("&amp;LEFT(H1121,5)&amp;"-"&amp;LEFT(I1121,5)&amp;" hrs)"</f>
        <v>LIM-AQP-LIM   LA 2055 (13:55-15:25 hrs)  /  LA 2056 (16:10-17:50 hrs)</v>
      </c>
    </row>
    <row r="1122" spans="2:24" x14ac:dyDescent="0.25">
      <c r="J1122" s="7" t="s">
        <v>43</v>
      </c>
      <c r="K1122" s="8" t="str">
        <f>TEXT(TIMEVALUE(I1121)-TIMEVALUE(H1120)+(I1121&lt;H1120),"[h]:mm")</f>
        <v>3:55</v>
      </c>
    </row>
    <row r="1124" spans="2:24" ht="30" x14ac:dyDescent="0.25">
      <c r="B1124" s="3" t="s">
        <v>9</v>
      </c>
      <c r="C1124" s="3" t="s">
        <v>17</v>
      </c>
      <c r="D1124" s="3" t="s">
        <v>18</v>
      </c>
      <c r="E1124" s="3" t="s">
        <v>19</v>
      </c>
      <c r="F1124" s="3" t="s">
        <v>20</v>
      </c>
      <c r="G1124" s="3" t="s">
        <v>21</v>
      </c>
      <c r="H1124" s="3" t="s">
        <v>22</v>
      </c>
      <c r="I1124" s="3" t="s">
        <v>23</v>
      </c>
      <c r="J1124" s="3" t="s">
        <v>24</v>
      </c>
      <c r="K1124" s="3" t="s">
        <v>25</v>
      </c>
      <c r="L1124" s="3" t="s">
        <v>26</v>
      </c>
    </row>
    <row r="1125" spans="2:24" ht="30" x14ac:dyDescent="0.25">
      <c r="B1125" s="4">
        <v>1128</v>
      </c>
      <c r="C1125" s="4" t="s">
        <v>178</v>
      </c>
      <c r="D1125" s="4" t="s">
        <v>154</v>
      </c>
      <c r="E1125" s="4">
        <v>2295</v>
      </c>
      <c r="F1125" s="4" t="s">
        <v>29</v>
      </c>
      <c r="G1125" s="4" t="s">
        <v>50</v>
      </c>
      <c r="H1125" s="4" t="s">
        <v>110</v>
      </c>
      <c r="I1125" s="4" t="s">
        <v>76</v>
      </c>
      <c r="J1125" s="4">
        <v>320</v>
      </c>
      <c r="L1125" s="4" t="s">
        <v>33</v>
      </c>
      <c r="M1125" s="5"/>
      <c r="O1125" s="5"/>
      <c r="Q1125" s="4">
        <f>B1125</f>
        <v>1128</v>
      </c>
      <c r="R1125" s="4" t="str">
        <f>C1125</f>
        <v>13/10/2026</v>
      </c>
      <c r="S1125" s="4" t="str">
        <f>D1125</f>
        <v>martes</v>
      </c>
      <c r="T1125" s="4" t="str">
        <f>E1125&amp;"/"&amp;E1126</f>
        <v>2295/2294</v>
      </c>
      <c r="U1125" s="4" t="str">
        <f>F1125&amp;"-"&amp;G1125&amp;"-"&amp;F1125</f>
        <v>LIM-CJA-LIM</v>
      </c>
      <c r="V1125" s="4" t="str">
        <f>IF($M$1125="","",$M$1125)</f>
        <v/>
      </c>
      <c r="W1125" s="4" t="str">
        <f>IF($O$1125="","",$O$1125)</f>
        <v/>
      </c>
      <c r="X1125" s="4">
        <f>J1125</f>
        <v>320</v>
      </c>
    </row>
    <row r="1126" spans="2:24" ht="30" x14ac:dyDescent="0.25">
      <c r="B1126" s="4">
        <v>1128</v>
      </c>
      <c r="C1126" s="4" t="s">
        <v>178</v>
      </c>
      <c r="D1126" s="4" t="s">
        <v>154</v>
      </c>
      <c r="E1126" s="4">
        <v>2294</v>
      </c>
      <c r="F1126" s="4" t="s">
        <v>50</v>
      </c>
      <c r="G1126" s="4" t="s">
        <v>29</v>
      </c>
      <c r="H1126" s="4" t="s">
        <v>83</v>
      </c>
      <c r="I1126" s="4" t="s">
        <v>42</v>
      </c>
      <c r="J1126" s="4">
        <v>320</v>
      </c>
      <c r="K1126" t="str">
        <f>TEXT(TIMEVALUE(H1126)-TIMEVALUE(I1125)+(TIMEVALUE(H1126)&lt;TIMEVALUE(I1125)),"[h]:mm")</f>
        <v>0:40</v>
      </c>
      <c r="L1126" s="4" t="s">
        <v>55</v>
      </c>
      <c r="O1126" t="str">
        <f>"LIM-"&amp;G1125&amp;"-LIM   LA "&amp;E1125&amp;" ("&amp;LEFT(H1125,5)&amp;"-"&amp;LEFT(I1125,5)&amp;" hrs)  /  LA "&amp;E1126&amp;" ("&amp;LEFT(H1126,5)&amp;"-"&amp;LEFT(I1126,5)&amp;" hrs)"</f>
        <v>LIM-CJA-LIM   LA 2295 (14:10-15:30 hrs)  /  LA 2294 (16:10-17:15 hrs)</v>
      </c>
    </row>
    <row r="1127" spans="2:24" x14ac:dyDescent="0.25">
      <c r="J1127" s="7" t="s">
        <v>43</v>
      </c>
      <c r="K1127" s="8" t="str">
        <f>TEXT(TIMEVALUE(I1126)-TIMEVALUE(H1125)+(I1126&lt;H1125),"[h]:mm")</f>
        <v>3:05</v>
      </c>
    </row>
    <row r="1129" spans="2:24" ht="30" x14ac:dyDescent="0.25">
      <c r="B1129" s="3" t="s">
        <v>9</v>
      </c>
      <c r="C1129" s="3" t="s">
        <v>17</v>
      </c>
      <c r="D1129" s="3" t="s">
        <v>18</v>
      </c>
      <c r="E1129" s="3" t="s">
        <v>19</v>
      </c>
      <c r="F1129" s="3" t="s">
        <v>20</v>
      </c>
      <c r="G1129" s="3" t="s">
        <v>21</v>
      </c>
      <c r="H1129" s="3" t="s">
        <v>22</v>
      </c>
      <c r="I1129" s="3" t="s">
        <v>23</v>
      </c>
      <c r="J1129" s="3" t="s">
        <v>24</v>
      </c>
      <c r="K1129" s="3" t="s">
        <v>25</v>
      </c>
      <c r="L1129" s="3" t="s">
        <v>26</v>
      </c>
    </row>
    <row r="1130" spans="2:24" ht="30" x14ac:dyDescent="0.25">
      <c r="B1130" s="4">
        <v>1130</v>
      </c>
      <c r="C1130" s="4" t="s">
        <v>178</v>
      </c>
      <c r="D1130" s="4" t="s">
        <v>154</v>
      </c>
      <c r="E1130" s="4">
        <v>2154</v>
      </c>
      <c r="F1130" s="4" t="s">
        <v>29</v>
      </c>
      <c r="G1130" s="4" t="s">
        <v>30</v>
      </c>
      <c r="H1130" s="4" t="s">
        <v>75</v>
      </c>
      <c r="I1130" s="4" t="s">
        <v>85</v>
      </c>
      <c r="J1130" s="4">
        <v>319</v>
      </c>
      <c r="L1130" s="4" t="s">
        <v>33</v>
      </c>
      <c r="M1130" s="5"/>
      <c r="O1130" s="5"/>
      <c r="Q1130" s="4">
        <f>B1130</f>
        <v>1130</v>
      </c>
      <c r="R1130" s="4" t="str">
        <f>C1130</f>
        <v>13/10/2026</v>
      </c>
      <c r="S1130" s="4" t="str">
        <f>D1130</f>
        <v>martes</v>
      </c>
      <c r="T1130" s="4" t="str">
        <f>E1130&amp;"/"&amp;E1131</f>
        <v>2154/2155</v>
      </c>
      <c r="U1130" s="4" t="str">
        <f>F1130&amp;"-"&amp;G1130&amp;"-"&amp;F1130</f>
        <v>LIM-CUZ-LIM</v>
      </c>
      <c r="V1130" s="4" t="str">
        <f>IF($M$1130="","",$M$1130)</f>
        <v/>
      </c>
      <c r="W1130" s="4" t="str">
        <f>IF($O$1130="","",$O$1130)</f>
        <v/>
      </c>
      <c r="X1130" s="4">
        <f>J1130</f>
        <v>319</v>
      </c>
    </row>
    <row r="1131" spans="2:24" ht="30" x14ac:dyDescent="0.25">
      <c r="B1131" s="4">
        <v>1130</v>
      </c>
      <c r="C1131" s="4" t="s">
        <v>178</v>
      </c>
      <c r="D1131" s="4" t="s">
        <v>154</v>
      </c>
      <c r="E1131" s="4">
        <v>2155</v>
      </c>
      <c r="F1131" s="4" t="s">
        <v>30</v>
      </c>
      <c r="G1131" s="4" t="s">
        <v>29</v>
      </c>
      <c r="H1131" s="4" t="s">
        <v>86</v>
      </c>
      <c r="I1131" s="4" t="s">
        <v>78</v>
      </c>
      <c r="J1131" s="4">
        <v>319</v>
      </c>
      <c r="K1131" t="str">
        <f>TEXT(TIMEVALUE(H1131)-TIMEVALUE(I1130)+(TIMEVALUE(H1131)&lt;TIMEVALUE(I1130)),"[h]:mm")</f>
        <v>0:40</v>
      </c>
      <c r="L1131" s="4" t="s">
        <v>36</v>
      </c>
      <c r="O1131" t="str">
        <f>"LIM-"&amp;G1130&amp;"-LIM   LA "&amp;E1130&amp;" ("&amp;LEFT(H1130,5)&amp;"-"&amp;LEFT(I1130,5)&amp;" hrs)  /  LA "&amp;E1131&amp;" ("&amp;LEFT(H1131,5)&amp;"-"&amp;LEFT(I1131,5)&amp;" hrs)"</f>
        <v>LIM-CUZ-LIM   LA 2154 (14:45-16:05 hrs)  /  LA 2155 (16:45-18:20 hrs)</v>
      </c>
    </row>
    <row r="1132" spans="2:24" x14ac:dyDescent="0.25">
      <c r="J1132" s="7" t="s">
        <v>43</v>
      </c>
      <c r="K1132" s="8" t="str">
        <f>TEXT(TIMEVALUE(I1131)-TIMEVALUE(H1130)+(I1131&lt;H1130),"[h]:mm")</f>
        <v>3:35</v>
      </c>
    </row>
    <row r="1134" spans="2:24" ht="30" x14ac:dyDescent="0.25">
      <c r="B1134" s="3" t="s">
        <v>9</v>
      </c>
      <c r="C1134" s="3" t="s">
        <v>17</v>
      </c>
      <c r="D1134" s="3" t="s">
        <v>18</v>
      </c>
      <c r="E1134" s="3" t="s">
        <v>19</v>
      </c>
      <c r="F1134" s="3" t="s">
        <v>20</v>
      </c>
      <c r="G1134" s="3" t="s">
        <v>21</v>
      </c>
      <c r="H1134" s="3" t="s">
        <v>22</v>
      </c>
      <c r="I1134" s="3" t="s">
        <v>23</v>
      </c>
      <c r="J1134" s="3" t="s">
        <v>24</v>
      </c>
      <c r="K1134" s="3" t="s">
        <v>25</v>
      </c>
      <c r="L1134" s="3" t="s">
        <v>26</v>
      </c>
    </row>
    <row r="1135" spans="2:24" ht="30" x14ac:dyDescent="0.25">
      <c r="B1135" s="4">
        <v>1131</v>
      </c>
      <c r="C1135" s="4" t="s">
        <v>178</v>
      </c>
      <c r="D1135" s="4" t="s">
        <v>154</v>
      </c>
      <c r="E1135" s="4">
        <v>2338</v>
      </c>
      <c r="F1135" s="4" t="s">
        <v>29</v>
      </c>
      <c r="G1135" s="4" t="s">
        <v>125</v>
      </c>
      <c r="H1135" s="4" t="s">
        <v>109</v>
      </c>
      <c r="I1135" s="4" t="s">
        <v>86</v>
      </c>
      <c r="J1135" s="4">
        <v>319</v>
      </c>
      <c r="L1135" s="4" t="s">
        <v>47</v>
      </c>
      <c r="M1135" s="5"/>
      <c r="O1135" s="5"/>
      <c r="Q1135" s="4">
        <f>B1135</f>
        <v>1131</v>
      </c>
      <c r="R1135" s="4" t="str">
        <f>C1135</f>
        <v>13/10/2026</v>
      </c>
      <c r="S1135" s="4" t="str">
        <f>D1135</f>
        <v>martes</v>
      </c>
      <c r="T1135" s="4" t="str">
        <f>E1135&amp;"/"&amp;E1136</f>
        <v>2338/2339</v>
      </c>
      <c r="U1135" s="4" t="str">
        <f>F1135&amp;"-"&amp;G1135&amp;"-"&amp;F1135</f>
        <v>LIM-PIU-LIM</v>
      </c>
      <c r="V1135" s="4" t="str">
        <f>IF($M$1135="","",$M$1135)</f>
        <v/>
      </c>
      <c r="W1135" s="4" t="str">
        <f>IF($O$1135="","",$O$1135)</f>
        <v/>
      </c>
      <c r="X1135" s="4">
        <f>J1135</f>
        <v>319</v>
      </c>
    </row>
    <row r="1136" spans="2:24" ht="30" x14ac:dyDescent="0.25">
      <c r="B1136" s="4">
        <v>1131</v>
      </c>
      <c r="C1136" s="4" t="s">
        <v>178</v>
      </c>
      <c r="D1136" s="4" t="s">
        <v>154</v>
      </c>
      <c r="E1136" s="4">
        <v>2339</v>
      </c>
      <c r="F1136" s="4" t="s">
        <v>125</v>
      </c>
      <c r="G1136" s="4" t="s">
        <v>29</v>
      </c>
      <c r="H1136" s="4" t="s">
        <v>53</v>
      </c>
      <c r="I1136" s="4" t="s">
        <v>88</v>
      </c>
      <c r="J1136" s="4">
        <v>319</v>
      </c>
      <c r="K1136" t="str">
        <f>TEXT(TIMEVALUE(H1136)-TIMEVALUE(I1135)+(TIMEVALUE(H1136)&lt;TIMEVALUE(I1135)),"[h]:mm")</f>
        <v>0:35</v>
      </c>
      <c r="L1136" s="4" t="s">
        <v>36</v>
      </c>
      <c r="O1136" t="str">
        <f>"LIM-"&amp;G1135&amp;"-LIM   LA "&amp;E1135&amp;" ("&amp;LEFT(H1135,5)&amp;"-"&amp;LEFT(I1135,5)&amp;" hrs)  /  LA "&amp;E1136&amp;" ("&amp;LEFT(H1136,5)&amp;"-"&amp;LEFT(I1136,5)&amp;" hrs)"</f>
        <v>LIM-PIU-LIM   LA 2338 (15:00-16:45 hrs)  /  LA 2339 (17:20-18:55 hrs)</v>
      </c>
    </row>
    <row r="1137" spans="2:24" x14ac:dyDescent="0.25">
      <c r="J1137" s="7" t="s">
        <v>43</v>
      </c>
      <c r="K1137" s="8" t="str">
        <f>TEXT(TIMEVALUE(I1136)-TIMEVALUE(H1135)+(I1136&lt;H1135),"[h]:mm")</f>
        <v>3:55</v>
      </c>
    </row>
    <row r="1139" spans="2:24" ht="30" x14ac:dyDescent="0.25">
      <c r="B1139" s="3" t="s">
        <v>9</v>
      </c>
      <c r="C1139" s="3" t="s">
        <v>17</v>
      </c>
      <c r="D1139" s="3" t="s">
        <v>18</v>
      </c>
      <c r="E1139" s="3" t="s">
        <v>19</v>
      </c>
      <c r="F1139" s="3" t="s">
        <v>20</v>
      </c>
      <c r="G1139" s="3" t="s">
        <v>21</v>
      </c>
      <c r="H1139" s="3" t="s">
        <v>22</v>
      </c>
      <c r="I1139" s="3" t="s">
        <v>23</v>
      </c>
      <c r="J1139" s="3" t="s">
        <v>24</v>
      </c>
      <c r="K1139" s="3" t="s">
        <v>25</v>
      </c>
      <c r="L1139" s="3" t="s">
        <v>26</v>
      </c>
    </row>
    <row r="1140" spans="2:24" ht="30" x14ac:dyDescent="0.25">
      <c r="B1140" s="4">
        <v>1132</v>
      </c>
      <c r="C1140" s="4" t="s">
        <v>178</v>
      </c>
      <c r="D1140" s="4" t="s">
        <v>154</v>
      </c>
      <c r="E1140" s="4">
        <v>2113</v>
      </c>
      <c r="F1140" s="4" t="s">
        <v>29</v>
      </c>
      <c r="G1140" s="4" t="s">
        <v>56</v>
      </c>
      <c r="H1140" s="4" t="s">
        <v>126</v>
      </c>
      <c r="I1140" s="4" t="s">
        <v>52</v>
      </c>
      <c r="J1140" s="4">
        <v>319</v>
      </c>
      <c r="L1140" s="4" t="s">
        <v>40</v>
      </c>
      <c r="M1140" s="5"/>
      <c r="O1140" s="5"/>
      <c r="Q1140" s="4">
        <f>B1140</f>
        <v>1132</v>
      </c>
      <c r="R1140" s="4" t="str">
        <f>C1140</f>
        <v>13/10/2026</v>
      </c>
      <c r="S1140" s="4" t="str">
        <f>D1140</f>
        <v>martes</v>
      </c>
      <c r="T1140" s="4" t="str">
        <f>E1140&amp;"/"&amp;E1141</f>
        <v>2113/2112</v>
      </c>
      <c r="U1140" s="4" t="str">
        <f>F1140&amp;"-"&amp;G1140&amp;"-"&amp;F1140</f>
        <v>LIM-AQP-LIM</v>
      </c>
      <c r="V1140" s="4" t="str">
        <f>IF($M$1140="","",$M$1140)</f>
        <v/>
      </c>
      <c r="W1140" s="4" t="str">
        <f>IF($O$1140="","",$O$1140)</f>
        <v/>
      </c>
      <c r="X1140" s="4">
        <f>J1140</f>
        <v>319</v>
      </c>
    </row>
    <row r="1141" spans="2:24" ht="30" x14ac:dyDescent="0.25">
      <c r="B1141" s="4">
        <v>1132</v>
      </c>
      <c r="C1141" s="4" t="s">
        <v>178</v>
      </c>
      <c r="D1141" s="4" t="s">
        <v>154</v>
      </c>
      <c r="E1141" s="4">
        <v>2112</v>
      </c>
      <c r="F1141" s="4" t="s">
        <v>56</v>
      </c>
      <c r="G1141" s="4" t="s">
        <v>29</v>
      </c>
      <c r="H1141" s="4" t="s">
        <v>42</v>
      </c>
      <c r="I1141" s="4" t="s">
        <v>88</v>
      </c>
      <c r="J1141" s="4">
        <v>319</v>
      </c>
      <c r="K1141" t="str">
        <f>TEXT(TIMEVALUE(H1141)-TIMEVALUE(I1140)+(TIMEVALUE(H1141)&lt;TIMEVALUE(I1140)),"[h]:mm")</f>
        <v>0:40</v>
      </c>
      <c r="L1141" s="4" t="s">
        <v>71</v>
      </c>
      <c r="O1141" t="str">
        <f>"LIM-"&amp;G1140&amp;"-LIM   LA "&amp;E1140&amp;" ("&amp;LEFT(H1140,5)&amp;"-"&amp;LEFT(I1140,5)&amp;" hrs)  /  LA "&amp;E1141&amp;" ("&amp;LEFT(H1141,5)&amp;"-"&amp;LEFT(I1141,5)&amp;" hrs)"</f>
        <v>LIM-AQP-LIM   LA 2113 (15:05-16:35 hrs)  /  LA 2112 (17:15-18:55 hrs)</v>
      </c>
    </row>
    <row r="1142" spans="2:24" x14ac:dyDescent="0.25">
      <c r="J1142" s="7" t="s">
        <v>43</v>
      </c>
      <c r="K1142" s="8" t="str">
        <f>TEXT(TIMEVALUE(I1141)-TIMEVALUE(H1140)+(I1141&lt;H1140),"[h]:mm")</f>
        <v>3:50</v>
      </c>
    </row>
    <row r="1144" spans="2:24" ht="30" x14ac:dyDescent="0.25">
      <c r="B1144" s="3" t="s">
        <v>9</v>
      </c>
      <c r="C1144" s="3" t="s">
        <v>17</v>
      </c>
      <c r="D1144" s="3" t="s">
        <v>18</v>
      </c>
      <c r="E1144" s="3" t="s">
        <v>19</v>
      </c>
      <c r="F1144" s="3" t="s">
        <v>20</v>
      </c>
      <c r="G1144" s="3" t="s">
        <v>21</v>
      </c>
      <c r="H1144" s="3" t="s">
        <v>22</v>
      </c>
      <c r="I1144" s="3" t="s">
        <v>23</v>
      </c>
      <c r="J1144" s="3" t="s">
        <v>24</v>
      </c>
      <c r="K1144" s="3" t="s">
        <v>25</v>
      </c>
      <c r="L1144" s="3" t="s">
        <v>26</v>
      </c>
    </row>
    <row r="1145" spans="2:24" ht="30" x14ac:dyDescent="0.25">
      <c r="B1145" s="4">
        <v>1135</v>
      </c>
      <c r="C1145" s="4" t="s">
        <v>178</v>
      </c>
      <c r="D1145" s="4" t="s">
        <v>154</v>
      </c>
      <c r="E1145" s="4">
        <v>2360</v>
      </c>
      <c r="F1145" s="4" t="s">
        <v>29</v>
      </c>
      <c r="G1145" s="4" t="s">
        <v>58</v>
      </c>
      <c r="H1145" s="4" t="s">
        <v>59</v>
      </c>
      <c r="I1145" s="4" t="s">
        <v>60</v>
      </c>
      <c r="J1145" s="4">
        <v>320</v>
      </c>
      <c r="L1145" s="4" t="s">
        <v>61</v>
      </c>
      <c r="M1145" s="5"/>
      <c r="O1145" s="5"/>
      <c r="Q1145" s="4">
        <f>B1145</f>
        <v>1135</v>
      </c>
      <c r="R1145" s="4" t="str">
        <f>C1145</f>
        <v>13/10/2026</v>
      </c>
      <c r="S1145" s="4" t="str">
        <f>D1145</f>
        <v>martes</v>
      </c>
      <c r="T1145" s="4" t="str">
        <f>E1145&amp;"/"&amp;E1146</f>
        <v>2360/2361</v>
      </c>
      <c r="U1145" s="4" t="str">
        <f>F1145&amp;"-"&amp;G1145&amp;"-"&amp;F1145</f>
        <v>LIM-PCL-LIM</v>
      </c>
      <c r="V1145" s="4" t="str">
        <f>IF($M$1145="","",$M$1145)</f>
        <v/>
      </c>
      <c r="W1145" s="4" t="str">
        <f>IF($O$1145="","",$O$1145)</f>
        <v/>
      </c>
      <c r="X1145" s="4">
        <f>J1145</f>
        <v>320</v>
      </c>
    </row>
    <row r="1146" spans="2:24" ht="30" x14ac:dyDescent="0.25">
      <c r="B1146" s="4">
        <v>1135</v>
      </c>
      <c r="C1146" s="4" t="s">
        <v>178</v>
      </c>
      <c r="D1146" s="4" t="s">
        <v>154</v>
      </c>
      <c r="E1146" s="4">
        <v>2361</v>
      </c>
      <c r="F1146" s="4" t="s">
        <v>58</v>
      </c>
      <c r="G1146" s="4" t="s">
        <v>29</v>
      </c>
      <c r="H1146" s="4" t="s">
        <v>53</v>
      </c>
      <c r="I1146" s="4" t="s">
        <v>62</v>
      </c>
      <c r="J1146" s="4">
        <v>320</v>
      </c>
      <c r="K1146" t="str">
        <f>TEXT(TIMEVALUE(H1146)-TIMEVALUE(I1145)+(TIMEVALUE(H1146)&lt;TIMEVALUE(I1145)),"[h]:mm")</f>
        <v>0:40</v>
      </c>
      <c r="L1146" s="4" t="s">
        <v>61</v>
      </c>
      <c r="O1146" t="str">
        <f>"LIM-"&amp;G1145&amp;"-LIM   LA "&amp;E1145&amp;" ("&amp;LEFT(H1145,5)&amp;"-"&amp;LEFT(I1145,5)&amp;" hrs)  /  LA "&amp;E1146&amp;" ("&amp;LEFT(H1146,5)&amp;"-"&amp;LEFT(I1146,5)&amp;" hrs)"</f>
        <v>LIM-PCL-LIM   LA 2360 (15:25-16:40 hrs)  /  LA 2361 (17:20-18:35 hrs)</v>
      </c>
    </row>
    <row r="1147" spans="2:24" x14ac:dyDescent="0.25">
      <c r="J1147" s="7" t="s">
        <v>43</v>
      </c>
      <c r="K1147" s="8" t="str">
        <f>TEXT(TIMEVALUE(I1146)-TIMEVALUE(H1145)+(I1146&lt;H1145),"[h]:mm")</f>
        <v>3:10</v>
      </c>
    </row>
    <row r="1149" spans="2:24" ht="30" x14ac:dyDescent="0.25">
      <c r="B1149" s="3" t="s">
        <v>9</v>
      </c>
      <c r="C1149" s="3" t="s">
        <v>17</v>
      </c>
      <c r="D1149" s="3" t="s">
        <v>18</v>
      </c>
      <c r="E1149" s="3" t="s">
        <v>19</v>
      </c>
      <c r="F1149" s="3" t="s">
        <v>20</v>
      </c>
      <c r="G1149" s="3" t="s">
        <v>21</v>
      </c>
      <c r="H1149" s="3" t="s">
        <v>22</v>
      </c>
      <c r="I1149" s="3" t="s">
        <v>23</v>
      </c>
      <c r="J1149" s="3" t="s">
        <v>24</v>
      </c>
      <c r="K1149" s="3" t="s">
        <v>25</v>
      </c>
      <c r="L1149" s="3" t="s">
        <v>26</v>
      </c>
    </row>
    <row r="1150" spans="2:24" ht="30" x14ac:dyDescent="0.25">
      <c r="B1150" s="4">
        <v>1136</v>
      </c>
      <c r="C1150" s="4" t="s">
        <v>178</v>
      </c>
      <c r="D1150" s="4" t="s">
        <v>154</v>
      </c>
      <c r="E1150" s="4">
        <v>2312</v>
      </c>
      <c r="F1150" s="4" t="s">
        <v>29</v>
      </c>
      <c r="G1150" s="4" t="s">
        <v>37</v>
      </c>
      <c r="H1150" s="4" t="s">
        <v>89</v>
      </c>
      <c r="I1150" s="4" t="s">
        <v>77</v>
      </c>
      <c r="J1150" s="4">
        <v>320</v>
      </c>
      <c r="L1150" s="4" t="s">
        <v>40</v>
      </c>
      <c r="M1150" s="5"/>
      <c r="O1150" s="5"/>
      <c r="Q1150" s="4">
        <f>B1150</f>
        <v>1136</v>
      </c>
      <c r="R1150" s="4" t="str">
        <f>C1150</f>
        <v>13/10/2026</v>
      </c>
      <c r="S1150" s="4" t="str">
        <f>D1150</f>
        <v>martes</v>
      </c>
      <c r="T1150" s="4" t="str">
        <f>E1150&amp;"/"&amp;E1151</f>
        <v>2312/2313</v>
      </c>
      <c r="U1150" s="4" t="str">
        <f>F1150&amp;"-"&amp;G1150&amp;"-"&amp;F1150</f>
        <v>LIM-CIX-LIM</v>
      </c>
      <c r="V1150" s="4" t="str">
        <f>IF($M$1150="","",$M$1150)</f>
        <v/>
      </c>
      <c r="W1150" s="4" t="str">
        <f>IF($O$1150="","",$O$1150)</f>
        <v/>
      </c>
      <c r="X1150" s="4">
        <f>J1150</f>
        <v>320</v>
      </c>
    </row>
    <row r="1151" spans="2:24" ht="30" x14ac:dyDescent="0.25">
      <c r="B1151" s="4">
        <v>1136</v>
      </c>
      <c r="C1151" s="4" t="s">
        <v>178</v>
      </c>
      <c r="D1151" s="4" t="s">
        <v>154</v>
      </c>
      <c r="E1151" s="4">
        <v>2313</v>
      </c>
      <c r="F1151" s="4" t="s">
        <v>37</v>
      </c>
      <c r="G1151" s="4" t="s">
        <v>29</v>
      </c>
      <c r="H1151" s="4" t="s">
        <v>84</v>
      </c>
      <c r="I1151" s="4" t="s">
        <v>90</v>
      </c>
      <c r="J1151" s="4">
        <v>320</v>
      </c>
      <c r="K1151" t="str">
        <f>TEXT(TIMEVALUE(H1151)-TIMEVALUE(I1150)+(TIMEVALUE(H1151)&lt;TIMEVALUE(I1150)),"[h]:mm")</f>
        <v>0:45</v>
      </c>
      <c r="L1151" s="4" t="s">
        <v>33</v>
      </c>
      <c r="O1151" t="str">
        <f>"LIM-"&amp;G1150&amp;"-LIM   LA "&amp;E1150&amp;" ("&amp;LEFT(H1150,5)&amp;"-"&amp;LEFT(I1150,5)&amp;" hrs)  /  LA "&amp;E1151&amp;" ("&amp;LEFT(H1151,5)&amp;"-"&amp;LEFT(I1151,5)&amp;" hrs)"</f>
        <v>LIM-CIX-LIM   LA 2312 (15:35-17:05 hrs)  /  LA 2313 (17:50-19:10 hrs)</v>
      </c>
    </row>
    <row r="1152" spans="2:24" x14ac:dyDescent="0.25">
      <c r="J1152" s="7" t="s">
        <v>43</v>
      </c>
      <c r="K1152" s="8" t="str">
        <f>TEXT(TIMEVALUE(I1151)-TIMEVALUE(H1150)+(I1151&lt;H1150),"[h]:mm")</f>
        <v>3:35</v>
      </c>
    </row>
    <row r="1154" spans="2:24" ht="30" x14ac:dyDescent="0.25">
      <c r="B1154" s="3" t="s">
        <v>9</v>
      </c>
      <c r="C1154" s="3" t="s">
        <v>17</v>
      </c>
      <c r="D1154" s="3" t="s">
        <v>18</v>
      </c>
      <c r="E1154" s="3" t="s">
        <v>19</v>
      </c>
      <c r="F1154" s="3" t="s">
        <v>20</v>
      </c>
      <c r="G1154" s="3" t="s">
        <v>21</v>
      </c>
      <c r="H1154" s="3" t="s">
        <v>22</v>
      </c>
      <c r="I1154" s="3" t="s">
        <v>23</v>
      </c>
      <c r="J1154" s="3" t="s">
        <v>24</v>
      </c>
      <c r="K1154" s="3" t="s">
        <v>25</v>
      </c>
      <c r="L1154" s="3" t="s">
        <v>26</v>
      </c>
    </row>
    <row r="1155" spans="2:24" ht="30" x14ac:dyDescent="0.25">
      <c r="B1155" s="4">
        <v>1137</v>
      </c>
      <c r="C1155" s="4" t="s">
        <v>178</v>
      </c>
      <c r="D1155" s="4" t="s">
        <v>154</v>
      </c>
      <c r="E1155" s="4">
        <v>2301</v>
      </c>
      <c r="F1155" s="4" t="s">
        <v>29</v>
      </c>
      <c r="G1155" s="4" t="s">
        <v>91</v>
      </c>
      <c r="H1155" s="4" t="s">
        <v>92</v>
      </c>
      <c r="I1155" s="4" t="s">
        <v>77</v>
      </c>
      <c r="J1155" s="4">
        <v>320</v>
      </c>
      <c r="L1155" s="4" t="s">
        <v>93</v>
      </c>
      <c r="M1155" s="5"/>
      <c r="O1155" s="5"/>
      <c r="Q1155" s="4">
        <f>B1155</f>
        <v>1137</v>
      </c>
      <c r="R1155" s="4" t="str">
        <f>C1155</f>
        <v>13/10/2026</v>
      </c>
      <c r="S1155" s="4" t="str">
        <f>D1155</f>
        <v>martes</v>
      </c>
      <c r="T1155" s="4" t="str">
        <f>E1155&amp;"/"&amp;E1156</f>
        <v>2301/2300</v>
      </c>
      <c r="U1155" s="4" t="str">
        <f>F1155&amp;"-"&amp;G1155&amp;"-"&amp;F1155</f>
        <v>LIM-TPP-LIM</v>
      </c>
      <c r="V1155" s="4" t="str">
        <f>IF($M$1155="","",$M$1155)</f>
        <v/>
      </c>
      <c r="W1155" s="4" t="str">
        <f>IF($O$1155="","",$O$1155)</f>
        <v/>
      </c>
      <c r="X1155" s="4">
        <f>J1155</f>
        <v>320</v>
      </c>
    </row>
    <row r="1156" spans="2:24" ht="30" x14ac:dyDescent="0.25">
      <c r="B1156" s="4">
        <v>1137</v>
      </c>
      <c r="C1156" s="4" t="s">
        <v>178</v>
      </c>
      <c r="D1156" s="4" t="s">
        <v>154</v>
      </c>
      <c r="E1156" s="4">
        <v>2300</v>
      </c>
      <c r="F1156" s="4" t="s">
        <v>91</v>
      </c>
      <c r="G1156" s="4" t="s">
        <v>29</v>
      </c>
      <c r="H1156" s="4" t="s">
        <v>84</v>
      </c>
      <c r="I1156" s="4" t="s">
        <v>94</v>
      </c>
      <c r="J1156" s="4">
        <v>320</v>
      </c>
      <c r="K1156" t="str">
        <f>TEXT(TIMEVALUE(H1156)-TIMEVALUE(I1155)+(TIMEVALUE(H1156)&lt;TIMEVALUE(I1155)),"[h]:mm")</f>
        <v>0:45</v>
      </c>
      <c r="L1156" s="4" t="s">
        <v>93</v>
      </c>
      <c r="O1156" t="str">
        <f>"LIM-"&amp;G1155&amp;"-LIM   LA "&amp;E1155&amp;" ("&amp;LEFT(H1155,5)&amp;"-"&amp;LEFT(I1155,5)&amp;" hrs)  /  LA "&amp;E1156&amp;" ("&amp;LEFT(H1156,5)&amp;"-"&amp;LEFT(I1156,5)&amp;" hrs)"</f>
        <v>LIM-TPP-LIM   LA 2301 (15:40-17:05 hrs)  /  LA 2300 (17:50-19:15 hrs)</v>
      </c>
    </row>
    <row r="1157" spans="2:24" x14ac:dyDescent="0.25">
      <c r="J1157" s="7" t="s">
        <v>43</v>
      </c>
      <c r="K1157" s="8" t="str">
        <f>TEXT(TIMEVALUE(I1156)-TIMEVALUE(H1155)+(I1156&lt;H1155),"[h]:mm")</f>
        <v>3:35</v>
      </c>
    </row>
    <row r="1159" spans="2:24" ht="30" x14ac:dyDescent="0.25">
      <c r="B1159" s="3" t="s">
        <v>9</v>
      </c>
      <c r="C1159" s="3" t="s">
        <v>17</v>
      </c>
      <c r="D1159" s="3" t="s">
        <v>18</v>
      </c>
      <c r="E1159" s="3" t="s">
        <v>19</v>
      </c>
      <c r="F1159" s="3" t="s">
        <v>20</v>
      </c>
      <c r="G1159" s="3" t="s">
        <v>21</v>
      </c>
      <c r="H1159" s="3" t="s">
        <v>22</v>
      </c>
      <c r="I1159" s="3" t="s">
        <v>23</v>
      </c>
      <c r="J1159" s="3" t="s">
        <v>24</v>
      </c>
      <c r="K1159" s="3" t="s">
        <v>25</v>
      </c>
      <c r="L1159" s="3" t="s">
        <v>26</v>
      </c>
    </row>
    <row r="1160" spans="2:24" ht="30" x14ac:dyDescent="0.25">
      <c r="B1160" s="4">
        <v>1141</v>
      </c>
      <c r="C1160" s="4" t="s">
        <v>178</v>
      </c>
      <c r="D1160" s="4" t="s">
        <v>154</v>
      </c>
      <c r="E1160" s="4">
        <v>2276</v>
      </c>
      <c r="F1160" s="4" t="s">
        <v>29</v>
      </c>
      <c r="G1160" s="4" t="s">
        <v>30</v>
      </c>
      <c r="H1160" s="4" t="s">
        <v>52</v>
      </c>
      <c r="I1160" s="4" t="s">
        <v>121</v>
      </c>
      <c r="J1160" s="4">
        <v>320</v>
      </c>
      <c r="L1160" s="4" t="s">
        <v>33</v>
      </c>
      <c r="M1160" s="5"/>
      <c r="O1160" s="5"/>
      <c r="Q1160" s="4">
        <f>B1160</f>
        <v>1141</v>
      </c>
      <c r="R1160" s="4" t="str">
        <f>C1160</f>
        <v>13/10/2026</v>
      </c>
      <c r="S1160" s="4" t="str">
        <f>D1160</f>
        <v>martes</v>
      </c>
      <c r="T1160" s="4" t="str">
        <f>E1160&amp;"/"&amp;E1161</f>
        <v>2276/2277</v>
      </c>
      <c r="U1160" s="4" t="str">
        <f>F1160&amp;"-"&amp;G1160&amp;"-"&amp;F1160</f>
        <v>LIM-CUZ-LIM</v>
      </c>
      <c r="V1160" s="4" t="str">
        <f>IF($M$1160="","",$M$1160)</f>
        <v/>
      </c>
      <c r="W1160" s="4" t="str">
        <f>IF($O$1160="","",$O$1160)</f>
        <v/>
      </c>
      <c r="X1160" s="4">
        <f>J1160</f>
        <v>320</v>
      </c>
    </row>
    <row r="1161" spans="2:24" ht="30" x14ac:dyDescent="0.25">
      <c r="B1161" s="4">
        <v>1141</v>
      </c>
      <c r="C1161" s="4" t="s">
        <v>178</v>
      </c>
      <c r="D1161" s="4" t="s">
        <v>154</v>
      </c>
      <c r="E1161" s="4">
        <v>2277</v>
      </c>
      <c r="F1161" s="4" t="s">
        <v>30</v>
      </c>
      <c r="G1161" s="4" t="s">
        <v>29</v>
      </c>
      <c r="H1161" s="4" t="s">
        <v>127</v>
      </c>
      <c r="I1161" s="4" t="s">
        <v>155</v>
      </c>
      <c r="J1161" s="4">
        <v>320</v>
      </c>
      <c r="K1161" t="str">
        <f>TEXT(TIMEVALUE(H1161)-TIMEVALUE(I1160)+(TIMEVALUE(H1161)&lt;TIMEVALUE(I1160)),"[h]:mm")</f>
        <v>0:55</v>
      </c>
      <c r="L1161" s="4" t="s">
        <v>36</v>
      </c>
      <c r="O1161" t="str">
        <f>"LIM-"&amp;G1160&amp;"-LIM   LA "&amp;E1160&amp;" ("&amp;LEFT(H1160,5)&amp;"-"&amp;LEFT(I1160,5)&amp;" hrs)  /  LA "&amp;E1161&amp;" ("&amp;LEFT(H1161,5)&amp;"-"&amp;LEFT(I1161,5)&amp;" hrs)"</f>
        <v>LIM-CUZ-LIM   LA 2276 (16:35-17:55 hrs)  /  LA 2277 (18:50-20:25 hrs)</v>
      </c>
    </row>
    <row r="1162" spans="2:24" x14ac:dyDescent="0.25">
      <c r="J1162" s="7" t="s">
        <v>43</v>
      </c>
      <c r="K1162" s="8" t="str">
        <f>TEXT(TIMEVALUE(I1161)-TIMEVALUE(H1160)+(I1161&lt;H1160),"[h]:mm")</f>
        <v>3:50</v>
      </c>
    </row>
    <row r="1164" spans="2:24" ht="30" x14ac:dyDescent="0.25">
      <c r="B1164" s="3" t="s">
        <v>9</v>
      </c>
      <c r="C1164" s="3" t="s">
        <v>17</v>
      </c>
      <c r="D1164" s="3" t="s">
        <v>18</v>
      </c>
      <c r="E1164" s="3" t="s">
        <v>19</v>
      </c>
      <c r="F1164" s="3" t="s">
        <v>20</v>
      </c>
      <c r="G1164" s="3" t="s">
        <v>21</v>
      </c>
      <c r="H1164" s="3" t="s">
        <v>22</v>
      </c>
      <c r="I1164" s="3" t="s">
        <v>23</v>
      </c>
      <c r="J1164" s="3" t="s">
        <v>24</v>
      </c>
      <c r="K1164" s="3" t="s">
        <v>25</v>
      </c>
      <c r="L1164" s="3" t="s">
        <v>26</v>
      </c>
    </row>
    <row r="1165" spans="2:24" ht="30" x14ac:dyDescent="0.25">
      <c r="B1165" s="4">
        <v>1189</v>
      </c>
      <c r="C1165" s="4" t="s">
        <v>180</v>
      </c>
      <c r="D1165" s="4" t="s">
        <v>165</v>
      </c>
      <c r="E1165" s="4">
        <v>2350</v>
      </c>
      <c r="F1165" s="4" t="s">
        <v>29</v>
      </c>
      <c r="G1165" s="4" t="s">
        <v>50</v>
      </c>
      <c r="H1165" s="4" t="s">
        <v>179</v>
      </c>
      <c r="I1165" s="4" t="s">
        <v>34</v>
      </c>
      <c r="J1165" s="4">
        <v>320</v>
      </c>
      <c r="L1165" s="4" t="s">
        <v>33</v>
      </c>
      <c r="M1165" s="5"/>
      <c r="O1165" s="5"/>
      <c r="Q1165" s="4">
        <f>B1165</f>
        <v>1189</v>
      </c>
      <c r="R1165" s="4" t="str">
        <f>C1165</f>
        <v>14/10/2026</v>
      </c>
      <c r="S1165" s="4" t="str">
        <f>D1165</f>
        <v>miércoles</v>
      </c>
      <c r="T1165" s="4" t="str">
        <f>E1165&amp;"/"&amp;E1166</f>
        <v>2350/2351</v>
      </c>
      <c r="U1165" s="4" t="str">
        <f>F1165&amp;"-"&amp;G1165&amp;"-"&amp;F1165</f>
        <v>LIM-CJA-LIM</v>
      </c>
      <c r="V1165" s="4" t="str">
        <f>IF($M$1165="","",$M$1165)</f>
        <v/>
      </c>
      <c r="W1165" s="4" t="str">
        <f>IF($O$1165="","",$O$1165)</f>
        <v/>
      </c>
      <c r="X1165" s="4">
        <f>J1165</f>
        <v>320</v>
      </c>
    </row>
    <row r="1166" spans="2:24" ht="30" x14ac:dyDescent="0.25">
      <c r="B1166" s="4">
        <v>1189</v>
      </c>
      <c r="C1166" s="4" t="s">
        <v>180</v>
      </c>
      <c r="D1166" s="4" t="s">
        <v>165</v>
      </c>
      <c r="E1166" s="4">
        <v>2351</v>
      </c>
      <c r="F1166" s="4" t="s">
        <v>50</v>
      </c>
      <c r="G1166" s="4" t="s">
        <v>29</v>
      </c>
      <c r="H1166" s="4" t="s">
        <v>57</v>
      </c>
      <c r="I1166" s="4" t="s">
        <v>104</v>
      </c>
      <c r="J1166" s="4">
        <v>320</v>
      </c>
      <c r="K1166" t="str">
        <f>TEXT(TIMEVALUE(H1166)-TIMEVALUE(I1165)+(TIMEVALUE(H1166)&lt;TIMEVALUE(I1165)),"[h]:mm")</f>
        <v>0:40</v>
      </c>
      <c r="L1166" s="4" t="s">
        <v>74</v>
      </c>
      <c r="O1166" t="str">
        <f>"LIM-"&amp;G1165&amp;"-LIM   LA "&amp;E1165&amp;" ("&amp;LEFT(H1165,5)&amp;"-"&amp;LEFT(I1165,5)&amp;" hrs)  /  LA "&amp;E1166&amp;" ("&amp;LEFT(H1166,5)&amp;"-"&amp;LEFT(I1166,5)&amp;" hrs)"</f>
        <v>LIM-CJA-LIM   LA 2350 (10:00-11:20 hrs)  /  LA 2351 (12:00-13:10 hrs)</v>
      </c>
    </row>
    <row r="1167" spans="2:24" ht="30" x14ac:dyDescent="0.25">
      <c r="B1167" s="4">
        <v>1208</v>
      </c>
      <c r="C1167" s="4" t="s">
        <v>180</v>
      </c>
      <c r="D1167" s="4" t="s">
        <v>165</v>
      </c>
      <c r="E1167" s="4">
        <v>2087</v>
      </c>
      <c r="F1167" s="4" t="s">
        <v>29</v>
      </c>
      <c r="G1167" s="4" t="s">
        <v>91</v>
      </c>
      <c r="H1167" s="4" t="s">
        <v>67</v>
      </c>
      <c r="I1167" s="4" t="s">
        <v>76</v>
      </c>
      <c r="J1167" s="4">
        <v>320</v>
      </c>
      <c r="K1167" s="6" t="str">
        <f>TEXT(TIMEVALUE(H1167)-TIMEVALUE(I1166)+(TIMEVALUE(H1167)&lt;TIMEVALUE(I1166)),"[h]:mm")</f>
        <v>0:55</v>
      </c>
      <c r="L1167" s="4" t="s">
        <v>93</v>
      </c>
      <c r="M1167" t="str">
        <f>IF($M$1165="","",$M$1165)</f>
        <v/>
      </c>
      <c r="O1167" t="str">
        <f>IF($O$1165="","",$O$1165)</f>
        <v/>
      </c>
      <c r="Q1167" s="4">
        <f>B1167</f>
        <v>1208</v>
      </c>
      <c r="R1167" s="4" t="str">
        <f>C1167</f>
        <v>14/10/2026</v>
      </c>
      <c r="S1167" s="4" t="str">
        <f>D1167</f>
        <v>miércoles</v>
      </c>
      <c r="T1167" s="4" t="str">
        <f>E1167&amp;"/"&amp;E1168</f>
        <v>2087/2088</v>
      </c>
      <c r="U1167" s="4" t="str">
        <f>F1167&amp;"-"&amp;G1167&amp;"-"&amp;F1167</f>
        <v>LIM-TPP-LIM</v>
      </c>
      <c r="V1167" s="4" t="str">
        <f>IF($M$1165="","",$M$1165)</f>
        <v/>
      </c>
      <c r="W1167" s="4" t="str">
        <f>IF($O$1165="","",$O$1165)</f>
        <v/>
      </c>
      <c r="X1167" s="4">
        <f>J1167</f>
        <v>320</v>
      </c>
    </row>
    <row r="1168" spans="2:24" ht="30" x14ac:dyDescent="0.25">
      <c r="B1168" s="4">
        <v>1208</v>
      </c>
      <c r="C1168" s="4" t="s">
        <v>180</v>
      </c>
      <c r="D1168" s="4" t="s">
        <v>165</v>
      </c>
      <c r="E1168" s="4">
        <v>2088</v>
      </c>
      <c r="F1168" s="4" t="s">
        <v>91</v>
      </c>
      <c r="G1168" s="4" t="s">
        <v>29</v>
      </c>
      <c r="H1168" s="4" t="s">
        <v>85</v>
      </c>
      <c r="I1168" s="4" t="s">
        <v>100</v>
      </c>
      <c r="J1168" s="4">
        <v>320</v>
      </c>
      <c r="K1168" t="str">
        <f>TEXT(TIMEVALUE(H1168)-TIMEVALUE(I1167)+(TIMEVALUE(H1168)&lt;TIMEVALUE(I1167)),"[h]:mm")</f>
        <v>0:35</v>
      </c>
      <c r="L1168" s="4" t="s">
        <v>93</v>
      </c>
      <c r="O1168" t="str">
        <f>"LIM-"&amp;G1167&amp;"-LIM   LA "&amp;E1167&amp;" ("&amp;LEFT(H1167,5)&amp;"-"&amp;LEFT(I1167,5)&amp;" hrs)  /  LA "&amp;E1168&amp;" ("&amp;LEFT(H1168,5)&amp;"-"&amp;LEFT(I1168,5)&amp;" hrs)"</f>
        <v>LIM-TPP-LIM   LA 2087 (14:05-15:30 hrs)  /  LA 2088 (16:05-17:30 hrs)</v>
      </c>
    </row>
    <row r="1169" spans="2:24" x14ac:dyDescent="0.25">
      <c r="J1169" s="7" t="s">
        <v>43</v>
      </c>
      <c r="K1169" s="8" t="str">
        <f>TEXT(TIMEVALUE(I1168)-TIMEVALUE(H1165)+(I1168&lt;H1165),"[h]:mm")</f>
        <v>7:30</v>
      </c>
    </row>
    <row r="1171" spans="2:24" ht="30" x14ac:dyDescent="0.25">
      <c r="B1171" s="3" t="s">
        <v>9</v>
      </c>
      <c r="C1171" s="3" t="s">
        <v>17</v>
      </c>
      <c r="D1171" s="3" t="s">
        <v>18</v>
      </c>
      <c r="E1171" s="3" t="s">
        <v>19</v>
      </c>
      <c r="F1171" s="3" t="s">
        <v>20</v>
      </c>
      <c r="G1171" s="3" t="s">
        <v>21</v>
      </c>
      <c r="H1171" s="3" t="s">
        <v>22</v>
      </c>
      <c r="I1171" s="3" t="s">
        <v>23</v>
      </c>
      <c r="J1171" s="3" t="s">
        <v>24</v>
      </c>
      <c r="K1171" s="3" t="s">
        <v>25</v>
      </c>
      <c r="L1171" s="3" t="s">
        <v>26</v>
      </c>
    </row>
    <row r="1172" spans="2:24" ht="30" x14ac:dyDescent="0.25">
      <c r="B1172" s="4">
        <v>1190</v>
      </c>
      <c r="C1172" s="4" t="s">
        <v>180</v>
      </c>
      <c r="D1172" s="4" t="s">
        <v>165</v>
      </c>
      <c r="E1172" s="4">
        <v>2350</v>
      </c>
      <c r="F1172" s="4" t="s">
        <v>29</v>
      </c>
      <c r="G1172" s="4" t="s">
        <v>50</v>
      </c>
      <c r="H1172" s="4" t="s">
        <v>179</v>
      </c>
      <c r="I1172" s="4" t="s">
        <v>34</v>
      </c>
      <c r="J1172" s="4">
        <v>320</v>
      </c>
      <c r="L1172" s="4" t="s">
        <v>33</v>
      </c>
      <c r="M1172" s="5"/>
      <c r="O1172" s="5"/>
      <c r="Q1172" s="4">
        <f>B1172</f>
        <v>1190</v>
      </c>
      <c r="R1172" s="4" t="str">
        <f>C1172</f>
        <v>14/10/2026</v>
      </c>
      <c r="S1172" s="4" t="str">
        <f>D1172</f>
        <v>miércoles</v>
      </c>
      <c r="T1172" s="4" t="str">
        <f>E1172&amp;"/"&amp;E1173</f>
        <v>2350/2351</v>
      </c>
      <c r="U1172" s="4" t="str">
        <f>F1172&amp;"-"&amp;G1172&amp;"-"&amp;F1172</f>
        <v>LIM-CJA-LIM</v>
      </c>
      <c r="V1172" s="4" t="str">
        <f>IF($M$1172="","",$M$1172)</f>
        <v/>
      </c>
      <c r="W1172" s="4" t="str">
        <f>IF($O$1172="","",$O$1172)</f>
        <v/>
      </c>
      <c r="X1172" s="4">
        <f>J1172</f>
        <v>320</v>
      </c>
    </row>
    <row r="1173" spans="2:24" ht="30" x14ac:dyDescent="0.25">
      <c r="B1173" s="4">
        <v>1190</v>
      </c>
      <c r="C1173" s="4" t="s">
        <v>180</v>
      </c>
      <c r="D1173" s="4" t="s">
        <v>165</v>
      </c>
      <c r="E1173" s="4">
        <v>2351</v>
      </c>
      <c r="F1173" s="4" t="s">
        <v>50</v>
      </c>
      <c r="G1173" s="4" t="s">
        <v>29</v>
      </c>
      <c r="H1173" s="4" t="s">
        <v>57</v>
      </c>
      <c r="I1173" s="4" t="s">
        <v>104</v>
      </c>
      <c r="J1173" s="4">
        <v>320</v>
      </c>
      <c r="K1173" t="str">
        <f>TEXT(TIMEVALUE(H1173)-TIMEVALUE(I1172)+(TIMEVALUE(H1173)&lt;TIMEVALUE(I1172)),"[h]:mm")</f>
        <v>0:40</v>
      </c>
      <c r="L1173" s="4" t="s">
        <v>74</v>
      </c>
      <c r="O1173" t="str">
        <f>"LIM-"&amp;G1172&amp;"-LIM   LA "&amp;E1172&amp;" ("&amp;LEFT(H1172,5)&amp;"-"&amp;LEFT(I1172,5)&amp;" hrs)  /  LA "&amp;E1173&amp;" ("&amp;LEFT(H1173,5)&amp;"-"&amp;LEFT(I1173,5)&amp;" hrs)"</f>
        <v>LIM-CJA-LIM   LA 2350 (10:00-11:20 hrs)  /  LA 2351 (12:00-13:10 hrs)</v>
      </c>
    </row>
    <row r="1174" spans="2:24" ht="30" x14ac:dyDescent="0.25">
      <c r="B1174" s="4">
        <v>1209</v>
      </c>
      <c r="C1174" s="4" t="s">
        <v>180</v>
      </c>
      <c r="D1174" s="4" t="s">
        <v>165</v>
      </c>
      <c r="E1174" s="4">
        <v>2295</v>
      </c>
      <c r="F1174" s="4" t="s">
        <v>29</v>
      </c>
      <c r="G1174" s="4" t="s">
        <v>50</v>
      </c>
      <c r="H1174" s="4" t="s">
        <v>110</v>
      </c>
      <c r="I1174" s="4" t="s">
        <v>76</v>
      </c>
      <c r="J1174" s="4">
        <v>319</v>
      </c>
      <c r="K1174" s="6" t="str">
        <f>TEXT(TIMEVALUE(H1174)-TIMEVALUE(I1173)+(TIMEVALUE(H1174)&lt;TIMEVALUE(I1173)),"[h]:mm")</f>
        <v>1:00</v>
      </c>
      <c r="L1174" s="4" t="s">
        <v>33</v>
      </c>
      <c r="M1174" t="str">
        <f>IF($M$1172="","",$M$1172)</f>
        <v/>
      </c>
      <c r="O1174" t="str">
        <f>IF($O$1172="","",$O$1172)</f>
        <v/>
      </c>
      <c r="Q1174" s="4">
        <f>B1174</f>
        <v>1209</v>
      </c>
      <c r="R1174" s="4" t="str">
        <f>C1174</f>
        <v>14/10/2026</v>
      </c>
      <c r="S1174" s="4" t="str">
        <f>D1174</f>
        <v>miércoles</v>
      </c>
      <c r="T1174" s="4" t="str">
        <f>E1174&amp;"/"&amp;E1175</f>
        <v>2295/2294</v>
      </c>
      <c r="U1174" s="4" t="str">
        <f>F1174&amp;"-"&amp;G1174&amp;"-"&amp;F1174</f>
        <v>LIM-CJA-LIM</v>
      </c>
      <c r="V1174" s="4" t="str">
        <f>IF($M$1172="","",$M$1172)</f>
        <v/>
      </c>
      <c r="W1174" s="4" t="str">
        <f>IF($O$1172="","",$O$1172)</f>
        <v/>
      </c>
      <c r="X1174" s="4">
        <f>J1174</f>
        <v>319</v>
      </c>
    </row>
    <row r="1175" spans="2:24" ht="30" x14ac:dyDescent="0.25">
      <c r="B1175" s="4">
        <v>1209</v>
      </c>
      <c r="C1175" s="4" t="s">
        <v>180</v>
      </c>
      <c r="D1175" s="4" t="s">
        <v>165</v>
      </c>
      <c r="E1175" s="4">
        <v>2294</v>
      </c>
      <c r="F1175" s="4" t="s">
        <v>50</v>
      </c>
      <c r="G1175" s="4" t="s">
        <v>29</v>
      </c>
      <c r="H1175" s="4" t="s">
        <v>83</v>
      </c>
      <c r="I1175" s="4" t="s">
        <v>42</v>
      </c>
      <c r="J1175" s="4">
        <v>319</v>
      </c>
      <c r="K1175" t="str">
        <f>TEXT(TIMEVALUE(H1175)-TIMEVALUE(I1174)+(TIMEVALUE(H1175)&lt;TIMEVALUE(I1174)),"[h]:mm")</f>
        <v>0:40</v>
      </c>
      <c r="L1175" s="4" t="s">
        <v>55</v>
      </c>
      <c r="O1175" t="str">
        <f>"LIM-"&amp;G1174&amp;"-LIM   LA "&amp;E1174&amp;" ("&amp;LEFT(H1174,5)&amp;"-"&amp;LEFT(I1174,5)&amp;" hrs)  /  LA "&amp;E1175&amp;" ("&amp;LEFT(H1175,5)&amp;"-"&amp;LEFT(I1175,5)&amp;" hrs)"</f>
        <v>LIM-CJA-LIM   LA 2295 (14:10-15:30 hrs)  /  LA 2294 (16:10-17:15 hrs)</v>
      </c>
    </row>
    <row r="1176" spans="2:24" x14ac:dyDescent="0.25">
      <c r="J1176" s="7" t="s">
        <v>43</v>
      </c>
      <c r="K1176" s="8" t="str">
        <f>TEXT(TIMEVALUE(I1175)-TIMEVALUE(H1172)+(I1175&lt;H1172),"[h]:mm")</f>
        <v>7:15</v>
      </c>
    </row>
    <row r="1178" spans="2:24" ht="30" x14ac:dyDescent="0.25">
      <c r="B1178" s="3" t="s">
        <v>9</v>
      </c>
      <c r="C1178" s="3" t="s">
        <v>17</v>
      </c>
      <c r="D1178" s="3" t="s">
        <v>18</v>
      </c>
      <c r="E1178" s="3" t="s">
        <v>19</v>
      </c>
      <c r="F1178" s="3" t="s">
        <v>20</v>
      </c>
      <c r="G1178" s="3" t="s">
        <v>21</v>
      </c>
      <c r="H1178" s="3" t="s">
        <v>22</v>
      </c>
      <c r="I1178" s="3" t="s">
        <v>23</v>
      </c>
      <c r="J1178" s="3" t="s">
        <v>24</v>
      </c>
      <c r="K1178" s="3" t="s">
        <v>25</v>
      </c>
      <c r="L1178" s="3" t="s">
        <v>26</v>
      </c>
    </row>
    <row r="1179" spans="2:24" ht="30" x14ac:dyDescent="0.25">
      <c r="B1179" s="4">
        <v>1191</v>
      </c>
      <c r="C1179" s="4" t="s">
        <v>180</v>
      </c>
      <c r="D1179" s="4" t="s">
        <v>165</v>
      </c>
      <c r="E1179" s="4">
        <v>2019</v>
      </c>
      <c r="F1179" s="4" t="s">
        <v>29</v>
      </c>
      <c r="G1179" s="4" t="s">
        <v>63</v>
      </c>
      <c r="H1179" s="4" t="s">
        <v>64</v>
      </c>
      <c r="I1179" s="4" t="s">
        <v>65</v>
      </c>
      <c r="J1179" s="4">
        <v>320</v>
      </c>
      <c r="L1179" s="4" t="s">
        <v>66</v>
      </c>
      <c r="M1179" s="5"/>
      <c r="O1179" s="5"/>
      <c r="Q1179" s="4">
        <f>B1179</f>
        <v>1191</v>
      </c>
      <c r="R1179" s="4" t="str">
        <f>C1179</f>
        <v>14/10/2026</v>
      </c>
      <c r="S1179" s="4" t="str">
        <f>D1179</f>
        <v>miércoles</v>
      </c>
      <c r="T1179" s="4" t="str">
        <f>E1179&amp;"/"&amp;E1180</f>
        <v>2019/2038</v>
      </c>
      <c r="U1179" s="4" t="str">
        <f>F1179&amp;"-"&amp;G1179&amp;"-"&amp;F1179</f>
        <v>LIM-IQT-LIM</v>
      </c>
      <c r="V1179" s="4" t="str">
        <f>IF($M$1179="","",$M$1179)</f>
        <v/>
      </c>
      <c r="W1179" s="4" t="str">
        <f>IF($O$1179="","",$O$1179)</f>
        <v/>
      </c>
      <c r="X1179" s="4">
        <f>J1179</f>
        <v>320</v>
      </c>
    </row>
    <row r="1180" spans="2:24" ht="30" x14ac:dyDescent="0.25">
      <c r="B1180" s="4">
        <v>1191</v>
      </c>
      <c r="C1180" s="4" t="s">
        <v>180</v>
      </c>
      <c r="D1180" s="4" t="s">
        <v>165</v>
      </c>
      <c r="E1180" s="4">
        <v>2038</v>
      </c>
      <c r="F1180" s="4" t="s">
        <v>63</v>
      </c>
      <c r="G1180" s="4" t="s">
        <v>29</v>
      </c>
      <c r="H1180" s="4" t="s">
        <v>67</v>
      </c>
      <c r="I1180" s="4" t="s">
        <v>41</v>
      </c>
      <c r="J1180" s="4">
        <v>320</v>
      </c>
      <c r="K1180" t="str">
        <f>TEXT(TIMEVALUE(H1180)-TIMEVALUE(I1179)+(TIMEVALUE(H1180)&lt;TIMEVALUE(I1179)),"[h]:mm")</f>
        <v>0:40</v>
      </c>
      <c r="L1180" s="4" t="s">
        <v>66</v>
      </c>
      <c r="O1180" t="str">
        <f>"LIM-"&amp;G1179&amp;"-LIM   LA "&amp;E1179&amp;" ("&amp;LEFT(H1179,5)&amp;"-"&amp;LEFT(I1179,5)&amp;" hrs)  /  LA "&amp;E1180&amp;" ("&amp;LEFT(H1180,5)&amp;"-"&amp;LEFT(I1180,5)&amp;" hrs)"</f>
        <v>LIM-IQT-LIM   LA 2019 (11:35-13:25 hrs)  /  LA 2038 (14:05-15:55 hrs)</v>
      </c>
    </row>
    <row r="1181" spans="2:24" x14ac:dyDescent="0.25">
      <c r="J1181" s="7" t="s">
        <v>43</v>
      </c>
      <c r="K1181" s="8" t="str">
        <f>TEXT(TIMEVALUE(I1180)-TIMEVALUE(H1179)+(I1180&lt;H1179),"[h]:mm")</f>
        <v>4:20</v>
      </c>
    </row>
    <row r="1183" spans="2:24" ht="30" x14ac:dyDescent="0.25">
      <c r="B1183" s="3" t="s">
        <v>9</v>
      </c>
      <c r="C1183" s="3" t="s">
        <v>17</v>
      </c>
      <c r="D1183" s="3" t="s">
        <v>18</v>
      </c>
      <c r="E1183" s="3" t="s">
        <v>19</v>
      </c>
      <c r="F1183" s="3" t="s">
        <v>20</v>
      </c>
      <c r="G1183" s="3" t="s">
        <v>21</v>
      </c>
      <c r="H1183" s="3" t="s">
        <v>22</v>
      </c>
      <c r="I1183" s="3" t="s">
        <v>23</v>
      </c>
      <c r="J1183" s="3" t="s">
        <v>24</v>
      </c>
      <c r="K1183" s="3" t="s">
        <v>25</v>
      </c>
      <c r="L1183" s="3" t="s">
        <v>26</v>
      </c>
    </row>
    <row r="1184" spans="2:24" ht="30" x14ac:dyDescent="0.25">
      <c r="B1184" s="4">
        <v>1192</v>
      </c>
      <c r="C1184" s="4" t="s">
        <v>180</v>
      </c>
      <c r="D1184" s="4" t="s">
        <v>165</v>
      </c>
      <c r="E1184" s="4">
        <v>2299</v>
      </c>
      <c r="F1184" s="4" t="s">
        <v>29</v>
      </c>
      <c r="G1184" s="4" t="s">
        <v>50</v>
      </c>
      <c r="H1184" s="4" t="s">
        <v>64</v>
      </c>
      <c r="I1184" s="4" t="s">
        <v>35</v>
      </c>
      <c r="J1184" s="4">
        <v>319</v>
      </c>
      <c r="L1184" s="4" t="s">
        <v>33</v>
      </c>
      <c r="M1184" s="5"/>
      <c r="O1184" s="5"/>
      <c r="Q1184" s="4">
        <f>B1184</f>
        <v>1192</v>
      </c>
      <c r="R1184" s="4" t="str">
        <f>C1184</f>
        <v>14/10/2026</v>
      </c>
      <c r="S1184" s="4" t="str">
        <f>D1184</f>
        <v>miércoles</v>
      </c>
      <c r="T1184" s="4" t="str">
        <f>E1184&amp;"/"&amp;E1185</f>
        <v>2299/2298</v>
      </c>
      <c r="U1184" s="4" t="str">
        <f>F1184&amp;"-"&amp;G1184&amp;"-"&amp;F1184</f>
        <v>LIM-CJA-LIM</v>
      </c>
      <c r="V1184" s="4" t="str">
        <f>IF($M$1184="","",$M$1184)</f>
        <v/>
      </c>
      <c r="W1184" s="4" t="str">
        <f>IF($O$1184="","",$O$1184)</f>
        <v/>
      </c>
      <c r="X1184" s="4">
        <f>J1184</f>
        <v>319</v>
      </c>
    </row>
    <row r="1185" spans="2:24" ht="30" x14ac:dyDescent="0.25">
      <c r="B1185" s="4">
        <v>1192</v>
      </c>
      <c r="C1185" s="4" t="s">
        <v>180</v>
      </c>
      <c r="D1185" s="4" t="s">
        <v>165</v>
      </c>
      <c r="E1185" s="4">
        <v>2298</v>
      </c>
      <c r="F1185" s="4" t="s">
        <v>50</v>
      </c>
      <c r="G1185" s="4" t="s">
        <v>29</v>
      </c>
      <c r="H1185" s="4" t="s">
        <v>99</v>
      </c>
      <c r="I1185" s="4" t="s">
        <v>87</v>
      </c>
      <c r="J1185" s="4">
        <v>319</v>
      </c>
      <c r="K1185" t="str">
        <f>TEXT(TIMEVALUE(H1185)-TIMEVALUE(I1184)+(TIMEVALUE(H1185)&lt;TIMEVALUE(I1184)),"[h]:mm")</f>
        <v>0:50</v>
      </c>
      <c r="L1185" s="4" t="s">
        <v>74</v>
      </c>
      <c r="O1185" t="str">
        <f>"LIM-"&amp;G1184&amp;"-LIM   LA "&amp;E1184&amp;" ("&amp;LEFT(H1184,5)&amp;"-"&amp;LEFT(I1184,5)&amp;" hrs)  /  LA "&amp;E1185&amp;" ("&amp;LEFT(H1185,5)&amp;"-"&amp;LEFT(I1185,5)&amp;" hrs)"</f>
        <v>LIM-CJA-LIM   LA 2299 (11:35-12:55 hrs)  /  LA 2298 (13:45-14:55 hrs)</v>
      </c>
    </row>
    <row r="1186" spans="2:24" ht="30" x14ac:dyDescent="0.25">
      <c r="B1186" s="4">
        <v>1221</v>
      </c>
      <c r="C1186" s="4" t="s">
        <v>180</v>
      </c>
      <c r="D1186" s="4" t="s">
        <v>165</v>
      </c>
      <c r="E1186" s="4">
        <v>2127</v>
      </c>
      <c r="F1186" s="4" t="s">
        <v>29</v>
      </c>
      <c r="G1186" s="4" t="s">
        <v>30</v>
      </c>
      <c r="H1186" s="4" t="s">
        <v>83</v>
      </c>
      <c r="I1186" s="4" t="s">
        <v>100</v>
      </c>
      <c r="J1186" s="4">
        <v>320</v>
      </c>
      <c r="K1186" s="6" t="str">
        <f>TEXT(TIMEVALUE(H1186)-TIMEVALUE(I1185)+(TIMEVALUE(H1186)&lt;TIMEVALUE(I1185)),"[h]:mm")</f>
        <v>1:15</v>
      </c>
      <c r="L1186" s="4" t="s">
        <v>33</v>
      </c>
      <c r="M1186" t="str">
        <f>IF($M$1184="","",$M$1184)</f>
        <v/>
      </c>
      <c r="O1186" t="str">
        <f>IF($O$1184="","",$O$1184)</f>
        <v/>
      </c>
      <c r="Q1186" s="4">
        <f>B1186</f>
        <v>1221</v>
      </c>
      <c r="R1186" s="4" t="str">
        <f>C1186</f>
        <v>14/10/2026</v>
      </c>
      <c r="S1186" s="4" t="str">
        <f>D1186</f>
        <v>miércoles</v>
      </c>
      <c r="T1186" s="4" t="str">
        <f>E1186&amp;"/"&amp;E1187</f>
        <v>2127/2026</v>
      </c>
      <c r="U1186" s="4" t="str">
        <f>F1186&amp;"-"&amp;G1186&amp;"-"&amp;F1186</f>
        <v>LIM-CUZ-LIM</v>
      </c>
      <c r="V1186" s="4" t="str">
        <f>IF($M$1184="","",$M$1184)</f>
        <v/>
      </c>
      <c r="W1186" s="4" t="str">
        <f>IF($O$1184="","",$O$1184)</f>
        <v/>
      </c>
      <c r="X1186" s="4">
        <f>J1186</f>
        <v>320</v>
      </c>
    </row>
    <row r="1187" spans="2:24" ht="30" x14ac:dyDescent="0.25">
      <c r="B1187" s="4">
        <v>1221</v>
      </c>
      <c r="C1187" s="4" t="s">
        <v>180</v>
      </c>
      <c r="D1187" s="4" t="s">
        <v>165</v>
      </c>
      <c r="E1187" s="4">
        <v>2026</v>
      </c>
      <c r="F1187" s="4" t="s">
        <v>30</v>
      </c>
      <c r="G1187" s="4" t="s">
        <v>29</v>
      </c>
      <c r="H1187" s="4" t="s">
        <v>101</v>
      </c>
      <c r="I1187" s="4" t="s">
        <v>102</v>
      </c>
      <c r="J1187" s="4">
        <v>320</v>
      </c>
      <c r="K1187" t="str">
        <f>TEXT(TIMEVALUE(H1187)-TIMEVALUE(I1186)+(TIMEVALUE(H1187)&lt;TIMEVALUE(I1186)),"[h]:mm")</f>
        <v>0:40</v>
      </c>
      <c r="L1187" s="4" t="s">
        <v>71</v>
      </c>
      <c r="O1187" t="str">
        <f>"LIM-"&amp;G1186&amp;"-LIM   LA "&amp;E1186&amp;" ("&amp;LEFT(H1186,5)&amp;"-"&amp;LEFT(I1186,5)&amp;" hrs)  /  LA "&amp;E1187&amp;" ("&amp;LEFT(H1187,5)&amp;"-"&amp;LEFT(I1187,5)&amp;" hrs)"</f>
        <v>LIM-CUZ-LIM   LA 2127 (16:10-17:30 hrs)  /  LA 2026 (18:10-19:50 hrs)</v>
      </c>
    </row>
    <row r="1188" spans="2:24" x14ac:dyDescent="0.25">
      <c r="J1188" s="7" t="s">
        <v>43</v>
      </c>
      <c r="K1188" s="8" t="str">
        <f>TEXT(TIMEVALUE(I1187)-TIMEVALUE(H1184)+(I1187&lt;H1184),"[h]:mm")</f>
        <v>8:15</v>
      </c>
    </row>
    <row r="1190" spans="2:24" ht="30" x14ac:dyDescent="0.25">
      <c r="B1190" s="3" t="s">
        <v>9</v>
      </c>
      <c r="C1190" s="3" t="s">
        <v>17</v>
      </c>
      <c r="D1190" s="3" t="s">
        <v>18</v>
      </c>
      <c r="E1190" s="3" t="s">
        <v>19</v>
      </c>
      <c r="F1190" s="3" t="s">
        <v>20</v>
      </c>
      <c r="G1190" s="3" t="s">
        <v>21</v>
      </c>
      <c r="H1190" s="3" t="s">
        <v>22</v>
      </c>
      <c r="I1190" s="3" t="s">
        <v>23</v>
      </c>
      <c r="J1190" s="3" t="s">
        <v>24</v>
      </c>
      <c r="K1190" s="3" t="s">
        <v>25</v>
      </c>
      <c r="L1190" s="3" t="s">
        <v>26</v>
      </c>
    </row>
    <row r="1191" spans="2:24" ht="30" x14ac:dyDescent="0.25">
      <c r="B1191" s="4">
        <v>1194</v>
      </c>
      <c r="C1191" s="4" t="s">
        <v>180</v>
      </c>
      <c r="D1191" s="4" t="s">
        <v>165</v>
      </c>
      <c r="E1191" s="4">
        <v>2061</v>
      </c>
      <c r="F1191" s="4" t="s">
        <v>29</v>
      </c>
      <c r="G1191" s="4" t="s">
        <v>30</v>
      </c>
      <c r="H1191" s="4" t="s">
        <v>103</v>
      </c>
      <c r="I1191" s="4" t="s">
        <v>120</v>
      </c>
      <c r="J1191" s="4">
        <v>320</v>
      </c>
      <c r="L1191" s="4" t="s">
        <v>33</v>
      </c>
      <c r="M1191" s="5"/>
      <c r="O1191" s="5"/>
      <c r="Q1191" s="4">
        <f>B1191</f>
        <v>1194</v>
      </c>
      <c r="R1191" s="4" t="str">
        <f>C1191</f>
        <v>14/10/2026</v>
      </c>
      <c r="S1191" s="4" t="str">
        <f>D1191</f>
        <v>miércoles</v>
      </c>
      <c r="T1191" s="4" t="str">
        <f>E1191&amp;"/"&amp;E1192</f>
        <v>2061/2062</v>
      </c>
      <c r="U1191" s="4" t="str">
        <f>F1191&amp;"-"&amp;G1191&amp;"-"&amp;F1191</f>
        <v>LIM-CUZ-LIM</v>
      </c>
      <c r="V1191" s="4" t="str">
        <f>IF($M$1191="","",$M$1191)</f>
        <v/>
      </c>
      <c r="W1191" s="4" t="str">
        <f>IF($O$1191="","",$O$1191)</f>
        <v/>
      </c>
      <c r="X1191" s="4">
        <f>J1191</f>
        <v>320</v>
      </c>
    </row>
    <row r="1192" spans="2:24" ht="30" x14ac:dyDescent="0.25">
      <c r="B1192" s="4">
        <v>1194</v>
      </c>
      <c r="C1192" s="4" t="s">
        <v>180</v>
      </c>
      <c r="D1192" s="4" t="s">
        <v>165</v>
      </c>
      <c r="E1192" s="4">
        <v>2062</v>
      </c>
      <c r="F1192" s="4" t="s">
        <v>30</v>
      </c>
      <c r="G1192" s="4" t="s">
        <v>29</v>
      </c>
      <c r="H1192" s="4" t="s">
        <v>72</v>
      </c>
      <c r="I1192" s="4" t="s">
        <v>51</v>
      </c>
      <c r="J1192" s="4">
        <v>320</v>
      </c>
      <c r="K1192" t="str">
        <f>TEXT(TIMEVALUE(H1192)-TIMEVALUE(I1191)+(TIMEVALUE(H1192)&lt;TIMEVALUE(I1191)),"[h]:mm")</f>
        <v>0:40</v>
      </c>
      <c r="L1192" s="4" t="s">
        <v>36</v>
      </c>
      <c r="O1192" t="str">
        <f>"LIM-"&amp;G1191&amp;"-LIM   LA "&amp;E1191&amp;" ("&amp;LEFT(H1191,5)&amp;"-"&amp;LEFT(I1191,5)&amp;" hrs)  /  LA "&amp;E1192&amp;" ("&amp;LEFT(H1192,5)&amp;"-"&amp;LEFT(I1192,5)&amp;" hrs)"</f>
        <v>LIM-CUZ-LIM   LA 2061 (11:40-13:00 hrs)  /  LA 2062 (13:40-15:15 hrs)</v>
      </c>
    </row>
    <row r="1193" spans="2:24" ht="30" x14ac:dyDescent="0.25">
      <c r="B1193" s="4">
        <v>1222</v>
      </c>
      <c r="C1193" s="4" t="s">
        <v>180</v>
      </c>
      <c r="D1193" s="4" t="s">
        <v>165</v>
      </c>
      <c r="E1193" s="4">
        <v>2127</v>
      </c>
      <c r="F1193" s="4" t="s">
        <v>29</v>
      </c>
      <c r="G1193" s="4" t="s">
        <v>30</v>
      </c>
      <c r="H1193" s="4" t="s">
        <v>83</v>
      </c>
      <c r="I1193" s="4" t="s">
        <v>100</v>
      </c>
      <c r="J1193" s="4">
        <v>320</v>
      </c>
      <c r="K1193" s="6" t="str">
        <f>TEXT(TIMEVALUE(H1193)-TIMEVALUE(I1192)+(TIMEVALUE(H1193)&lt;TIMEVALUE(I1192)),"[h]:mm")</f>
        <v>0:55</v>
      </c>
      <c r="L1193" s="4" t="s">
        <v>33</v>
      </c>
      <c r="M1193" t="str">
        <f>IF($M$1191="","",$M$1191)</f>
        <v/>
      </c>
      <c r="O1193" t="str">
        <f>IF($O$1191="","",$O$1191)</f>
        <v/>
      </c>
      <c r="Q1193" s="4">
        <f>B1193</f>
        <v>1222</v>
      </c>
      <c r="R1193" s="4" t="str">
        <f>C1193</f>
        <v>14/10/2026</v>
      </c>
      <c r="S1193" s="4" t="str">
        <f>D1193</f>
        <v>miércoles</v>
      </c>
      <c r="T1193" s="4" t="str">
        <f>E1193&amp;"/"&amp;E1194</f>
        <v>2127/2026</v>
      </c>
      <c r="U1193" s="4" t="str">
        <f>F1193&amp;"-"&amp;G1193&amp;"-"&amp;F1193</f>
        <v>LIM-CUZ-LIM</v>
      </c>
      <c r="V1193" s="4" t="str">
        <f>IF($M$1191="","",$M$1191)</f>
        <v/>
      </c>
      <c r="W1193" s="4" t="str">
        <f>IF($O$1191="","",$O$1191)</f>
        <v/>
      </c>
      <c r="X1193" s="4">
        <f>J1193</f>
        <v>320</v>
      </c>
    </row>
    <row r="1194" spans="2:24" ht="30" x14ac:dyDescent="0.25">
      <c r="B1194" s="4">
        <v>1222</v>
      </c>
      <c r="C1194" s="4" t="s">
        <v>180</v>
      </c>
      <c r="D1194" s="4" t="s">
        <v>165</v>
      </c>
      <c r="E1194" s="4">
        <v>2026</v>
      </c>
      <c r="F1194" s="4" t="s">
        <v>30</v>
      </c>
      <c r="G1194" s="4" t="s">
        <v>29</v>
      </c>
      <c r="H1194" s="4" t="s">
        <v>101</v>
      </c>
      <c r="I1194" s="4" t="s">
        <v>102</v>
      </c>
      <c r="J1194" s="4">
        <v>320</v>
      </c>
      <c r="K1194" t="str">
        <f>TEXT(TIMEVALUE(H1194)-TIMEVALUE(I1193)+(TIMEVALUE(H1194)&lt;TIMEVALUE(I1193)),"[h]:mm")</f>
        <v>0:40</v>
      </c>
      <c r="L1194" s="4" t="s">
        <v>71</v>
      </c>
      <c r="O1194" t="str">
        <f>"LIM-"&amp;G1193&amp;"-LIM   LA "&amp;E1193&amp;" ("&amp;LEFT(H1193,5)&amp;"-"&amp;LEFT(I1193,5)&amp;" hrs)  /  LA "&amp;E1194&amp;" ("&amp;LEFT(H1194,5)&amp;"-"&amp;LEFT(I1194,5)&amp;" hrs)"</f>
        <v>LIM-CUZ-LIM   LA 2127 (16:10-17:30 hrs)  /  LA 2026 (18:10-19:50 hrs)</v>
      </c>
    </row>
    <row r="1195" spans="2:24" x14ac:dyDescent="0.25">
      <c r="J1195" s="7" t="s">
        <v>43</v>
      </c>
      <c r="K1195" s="8" t="str">
        <f>TEXT(TIMEVALUE(I1194)-TIMEVALUE(H1191)+(I1194&lt;H1191),"[h]:mm")</f>
        <v>8:10</v>
      </c>
    </row>
    <row r="1197" spans="2:24" ht="30" x14ac:dyDescent="0.25">
      <c r="B1197" s="3" t="s">
        <v>9</v>
      </c>
      <c r="C1197" s="3" t="s">
        <v>17</v>
      </c>
      <c r="D1197" s="3" t="s">
        <v>18</v>
      </c>
      <c r="E1197" s="3" t="s">
        <v>19</v>
      </c>
      <c r="F1197" s="3" t="s">
        <v>20</v>
      </c>
      <c r="G1197" s="3" t="s">
        <v>21</v>
      </c>
      <c r="H1197" s="3" t="s">
        <v>22</v>
      </c>
      <c r="I1197" s="3" t="s">
        <v>23</v>
      </c>
      <c r="J1197" s="3" t="s">
        <v>24</v>
      </c>
      <c r="K1197" s="3" t="s">
        <v>25</v>
      </c>
      <c r="L1197" s="3" t="s">
        <v>26</v>
      </c>
    </row>
    <row r="1198" spans="2:24" ht="30" x14ac:dyDescent="0.25">
      <c r="B1198" s="4">
        <v>1196</v>
      </c>
      <c r="C1198" s="4" t="s">
        <v>180</v>
      </c>
      <c r="D1198" s="4" t="s">
        <v>165</v>
      </c>
      <c r="E1198" s="4">
        <v>2356</v>
      </c>
      <c r="F1198" s="4" t="s">
        <v>29</v>
      </c>
      <c r="G1198" s="4" t="s">
        <v>30</v>
      </c>
      <c r="H1198" s="4" t="s">
        <v>98</v>
      </c>
      <c r="I1198" s="4" t="s">
        <v>106</v>
      </c>
      <c r="J1198" s="4">
        <v>320</v>
      </c>
      <c r="L1198" s="4" t="s">
        <v>93</v>
      </c>
      <c r="M1198" s="5"/>
      <c r="O1198" s="5"/>
      <c r="Q1198" s="4">
        <f>B1198</f>
        <v>1196</v>
      </c>
      <c r="R1198" s="4" t="str">
        <f>C1198</f>
        <v>14/10/2026</v>
      </c>
      <c r="S1198" s="4" t="str">
        <f>D1198</f>
        <v>miércoles</v>
      </c>
      <c r="T1198" s="4" t="str">
        <f>E1198&amp;"/"&amp;E1199</f>
        <v>2356/2357</v>
      </c>
      <c r="U1198" s="4" t="str">
        <f>F1198&amp;"-"&amp;G1198&amp;"-"&amp;F1198</f>
        <v>LIM-CUZ-LIM</v>
      </c>
      <c r="V1198" s="4" t="str">
        <f>IF($M$1198="","",$M$1198)</f>
        <v/>
      </c>
      <c r="W1198" s="4" t="str">
        <f>IF($O$1198="","",$O$1198)</f>
        <v/>
      </c>
      <c r="X1198" s="4">
        <f>J1198</f>
        <v>320</v>
      </c>
    </row>
    <row r="1199" spans="2:24" ht="30" x14ac:dyDescent="0.25">
      <c r="B1199" s="4">
        <v>1196</v>
      </c>
      <c r="C1199" s="4" t="s">
        <v>180</v>
      </c>
      <c r="D1199" s="4" t="s">
        <v>165</v>
      </c>
      <c r="E1199" s="4">
        <v>2357</v>
      </c>
      <c r="F1199" s="4" t="s">
        <v>30</v>
      </c>
      <c r="G1199" s="4" t="s">
        <v>29</v>
      </c>
      <c r="H1199" s="4" t="s">
        <v>107</v>
      </c>
      <c r="I1199" s="4" t="s">
        <v>108</v>
      </c>
      <c r="J1199" s="4">
        <v>320</v>
      </c>
      <c r="K1199" t="str">
        <f>TEXT(TIMEVALUE(H1199)-TIMEVALUE(I1198)+(TIMEVALUE(H1199)&lt;TIMEVALUE(I1198)),"[h]:mm")</f>
        <v>0:40</v>
      </c>
      <c r="L1199" s="4" t="s">
        <v>36</v>
      </c>
      <c r="O1199" t="str">
        <f>"LIM-"&amp;G1198&amp;"-LIM   LA "&amp;E1198&amp;" ("&amp;LEFT(H1198,5)&amp;"-"&amp;LEFT(I1198,5)&amp;" hrs)  /  LA "&amp;E1199&amp;" ("&amp;LEFT(H1199,5)&amp;"-"&amp;LEFT(I1199,5)&amp;" hrs)"</f>
        <v>LIM-CUZ-LIM   LA 2356 (12:10-13:35 hrs)  /  LA 2357 (14:15-15:50 hrs)</v>
      </c>
    </row>
    <row r="1200" spans="2:24" x14ac:dyDescent="0.25">
      <c r="J1200" s="7" t="s">
        <v>43</v>
      </c>
      <c r="K1200" s="8" t="str">
        <f>TEXT(TIMEVALUE(I1199)-TIMEVALUE(H1198)+(I1199&lt;H1198),"[h]:mm")</f>
        <v>3:40</v>
      </c>
    </row>
    <row r="1202" spans="2:24" ht="30" x14ac:dyDescent="0.25">
      <c r="B1202" s="3" t="s">
        <v>9</v>
      </c>
      <c r="C1202" s="3" t="s">
        <v>17</v>
      </c>
      <c r="D1202" s="3" t="s">
        <v>18</v>
      </c>
      <c r="E1202" s="3" t="s">
        <v>19</v>
      </c>
      <c r="F1202" s="3" t="s">
        <v>20</v>
      </c>
      <c r="G1202" s="3" t="s">
        <v>21</v>
      </c>
      <c r="H1202" s="3" t="s">
        <v>22</v>
      </c>
      <c r="I1202" s="3" t="s">
        <v>23</v>
      </c>
      <c r="J1202" s="3" t="s">
        <v>24</v>
      </c>
      <c r="K1202" s="3" t="s">
        <v>25</v>
      </c>
      <c r="L1202" s="3" t="s">
        <v>26</v>
      </c>
    </row>
    <row r="1203" spans="2:24" ht="30" x14ac:dyDescent="0.25">
      <c r="B1203" s="4">
        <v>1206</v>
      </c>
      <c r="C1203" s="4" t="s">
        <v>180</v>
      </c>
      <c r="D1203" s="4" t="s">
        <v>165</v>
      </c>
      <c r="E1203" s="4">
        <v>2196</v>
      </c>
      <c r="F1203" s="4" t="s">
        <v>29</v>
      </c>
      <c r="G1203" s="4" t="s">
        <v>125</v>
      </c>
      <c r="H1203" s="4" t="s">
        <v>38</v>
      </c>
      <c r="I1203" s="4" t="s">
        <v>89</v>
      </c>
      <c r="J1203" s="4">
        <v>320</v>
      </c>
      <c r="L1203" s="4" t="s">
        <v>47</v>
      </c>
      <c r="M1203" s="5"/>
      <c r="O1203" s="5"/>
      <c r="Q1203" s="4">
        <f>B1203</f>
        <v>1206</v>
      </c>
      <c r="R1203" s="4" t="str">
        <f>C1203</f>
        <v>14/10/2026</v>
      </c>
      <c r="S1203" s="4" t="str">
        <f>D1203</f>
        <v>miércoles</v>
      </c>
      <c r="T1203" s="4" t="str">
        <f>E1203&amp;"/"&amp;E1204</f>
        <v>2196/2197</v>
      </c>
      <c r="U1203" s="4" t="str">
        <f>F1203&amp;"-"&amp;G1203&amp;"-"&amp;F1203</f>
        <v>LIM-PIU-LIM</v>
      </c>
      <c r="V1203" s="4" t="str">
        <f>IF($M$1203="","",$M$1203)</f>
        <v/>
      </c>
      <c r="W1203" s="4" t="str">
        <f>IF($O$1203="","",$O$1203)</f>
        <v/>
      </c>
      <c r="X1203" s="4">
        <f>J1203</f>
        <v>320</v>
      </c>
    </row>
    <row r="1204" spans="2:24" ht="30" x14ac:dyDescent="0.25">
      <c r="B1204" s="4">
        <v>1206</v>
      </c>
      <c r="C1204" s="4" t="s">
        <v>180</v>
      </c>
      <c r="D1204" s="4" t="s">
        <v>165</v>
      </c>
      <c r="E1204" s="4">
        <v>2197</v>
      </c>
      <c r="F1204" s="4" t="s">
        <v>125</v>
      </c>
      <c r="G1204" s="4" t="s">
        <v>29</v>
      </c>
      <c r="H1204" s="4" t="s">
        <v>83</v>
      </c>
      <c r="I1204" s="4" t="s">
        <v>181</v>
      </c>
      <c r="J1204" s="4">
        <v>320</v>
      </c>
      <c r="K1204" t="str">
        <f>TEXT(TIMEVALUE(H1204)-TIMEVALUE(I1203)+(TIMEVALUE(H1204)&lt;TIMEVALUE(I1203)),"[h]:mm")</f>
        <v>0:35</v>
      </c>
      <c r="L1204" s="4" t="s">
        <v>36</v>
      </c>
      <c r="O1204" t="str">
        <f>"LIM-"&amp;G1203&amp;"-LIM   LA "&amp;E1203&amp;" ("&amp;LEFT(H1203,5)&amp;"-"&amp;LEFT(I1203,5)&amp;" hrs)  /  LA "&amp;E1204&amp;" ("&amp;LEFT(H1204,5)&amp;"-"&amp;LEFT(I1204,5)&amp;" hrs)"</f>
        <v>LIM-PIU-LIM   LA 2196 (13:50-15:35 hrs)  /  LA 2197 (16:10-17:45 hrs)</v>
      </c>
    </row>
    <row r="1205" spans="2:24" x14ac:dyDescent="0.25">
      <c r="J1205" s="7" t="s">
        <v>43</v>
      </c>
      <c r="K1205" s="8" t="str">
        <f>TEXT(TIMEVALUE(I1204)-TIMEVALUE(H1203)+(I1204&lt;H1203),"[h]:mm")</f>
        <v>3:55</v>
      </c>
    </row>
    <row r="1207" spans="2:24" ht="30" x14ac:dyDescent="0.25">
      <c r="B1207" s="3" t="s">
        <v>9</v>
      </c>
      <c r="C1207" s="3" t="s">
        <v>17</v>
      </c>
      <c r="D1207" s="3" t="s">
        <v>18</v>
      </c>
      <c r="E1207" s="3" t="s">
        <v>19</v>
      </c>
      <c r="F1207" s="3" t="s">
        <v>20</v>
      </c>
      <c r="G1207" s="3" t="s">
        <v>21</v>
      </c>
      <c r="H1207" s="3" t="s">
        <v>22</v>
      </c>
      <c r="I1207" s="3" t="s">
        <v>23</v>
      </c>
      <c r="J1207" s="3" t="s">
        <v>24</v>
      </c>
      <c r="K1207" s="3" t="s">
        <v>25</v>
      </c>
      <c r="L1207" s="3" t="s">
        <v>26</v>
      </c>
    </row>
    <row r="1208" spans="2:24" ht="30" x14ac:dyDescent="0.25">
      <c r="B1208" s="4">
        <v>1207</v>
      </c>
      <c r="C1208" s="4" t="s">
        <v>180</v>
      </c>
      <c r="D1208" s="4" t="s">
        <v>165</v>
      </c>
      <c r="E1208" s="4">
        <v>2055</v>
      </c>
      <c r="F1208" s="4" t="s">
        <v>29</v>
      </c>
      <c r="G1208" s="4" t="s">
        <v>56</v>
      </c>
      <c r="H1208" s="4" t="s">
        <v>82</v>
      </c>
      <c r="I1208" s="4" t="s">
        <v>59</v>
      </c>
      <c r="J1208" s="4">
        <v>319</v>
      </c>
      <c r="L1208" s="4" t="s">
        <v>40</v>
      </c>
      <c r="M1208" s="5"/>
      <c r="O1208" s="5"/>
      <c r="Q1208" s="4">
        <f>B1208</f>
        <v>1207</v>
      </c>
      <c r="R1208" s="4" t="str">
        <f>C1208</f>
        <v>14/10/2026</v>
      </c>
      <c r="S1208" s="4" t="str">
        <f>D1208</f>
        <v>miércoles</v>
      </c>
      <c r="T1208" s="4" t="str">
        <f>E1208&amp;"/"&amp;E1209</f>
        <v>2055/2056</v>
      </c>
      <c r="U1208" s="4" t="str">
        <f>F1208&amp;"-"&amp;G1208&amp;"-"&amp;F1208</f>
        <v>LIM-AQP-LIM</v>
      </c>
      <c r="V1208" s="4" t="str">
        <f>IF($M$1208="","",$M$1208)</f>
        <v/>
      </c>
      <c r="W1208" s="4" t="str">
        <f>IF($O$1208="","",$O$1208)</f>
        <v/>
      </c>
      <c r="X1208" s="4">
        <f>J1208</f>
        <v>319</v>
      </c>
    </row>
    <row r="1209" spans="2:24" ht="30" x14ac:dyDescent="0.25">
      <c r="B1209" s="4">
        <v>1207</v>
      </c>
      <c r="C1209" s="4" t="s">
        <v>180</v>
      </c>
      <c r="D1209" s="4" t="s">
        <v>165</v>
      </c>
      <c r="E1209" s="4">
        <v>2056</v>
      </c>
      <c r="F1209" s="4" t="s">
        <v>56</v>
      </c>
      <c r="G1209" s="4" t="s">
        <v>29</v>
      </c>
      <c r="H1209" s="4" t="s">
        <v>83</v>
      </c>
      <c r="I1209" s="4" t="s">
        <v>84</v>
      </c>
      <c r="J1209" s="4">
        <v>319</v>
      </c>
      <c r="K1209" t="str">
        <f>TEXT(TIMEVALUE(H1209)-TIMEVALUE(I1208)+(TIMEVALUE(H1209)&lt;TIMEVALUE(I1208)),"[h]:mm")</f>
        <v>0:45</v>
      </c>
      <c r="L1209" s="4" t="s">
        <v>71</v>
      </c>
      <c r="O1209" t="str">
        <f>"LIM-"&amp;G1208&amp;"-LIM   LA "&amp;E1208&amp;" ("&amp;LEFT(H1208,5)&amp;"-"&amp;LEFT(I1208,5)&amp;" hrs)  /  LA "&amp;E1209&amp;" ("&amp;LEFT(H1209,5)&amp;"-"&amp;LEFT(I1209,5)&amp;" hrs)"</f>
        <v>LIM-AQP-LIM   LA 2055 (13:55-15:25 hrs)  /  LA 2056 (16:10-17:50 hrs)</v>
      </c>
    </row>
    <row r="1210" spans="2:24" x14ac:dyDescent="0.25">
      <c r="J1210" s="7" t="s">
        <v>43</v>
      </c>
      <c r="K1210" s="8" t="str">
        <f>TEXT(TIMEVALUE(I1209)-TIMEVALUE(H1208)+(I1209&lt;H1208),"[h]:mm")</f>
        <v>3:55</v>
      </c>
    </row>
    <row r="1212" spans="2:24" ht="30" x14ac:dyDescent="0.25">
      <c r="B1212" s="3" t="s">
        <v>9</v>
      </c>
      <c r="C1212" s="3" t="s">
        <v>17</v>
      </c>
      <c r="D1212" s="3" t="s">
        <v>18</v>
      </c>
      <c r="E1212" s="3" t="s">
        <v>19</v>
      </c>
      <c r="F1212" s="3" t="s">
        <v>20</v>
      </c>
      <c r="G1212" s="3" t="s">
        <v>21</v>
      </c>
      <c r="H1212" s="3" t="s">
        <v>22</v>
      </c>
      <c r="I1212" s="3" t="s">
        <v>23</v>
      </c>
      <c r="J1212" s="3" t="s">
        <v>24</v>
      </c>
      <c r="K1212" s="3" t="s">
        <v>25</v>
      </c>
      <c r="L1212" s="3" t="s">
        <v>26</v>
      </c>
    </row>
    <row r="1213" spans="2:24" ht="30" x14ac:dyDescent="0.25">
      <c r="B1213" s="4">
        <v>1211</v>
      </c>
      <c r="C1213" s="4" t="s">
        <v>180</v>
      </c>
      <c r="D1213" s="4" t="s">
        <v>165</v>
      </c>
      <c r="E1213" s="4">
        <v>2154</v>
      </c>
      <c r="F1213" s="4" t="s">
        <v>29</v>
      </c>
      <c r="G1213" s="4" t="s">
        <v>30</v>
      </c>
      <c r="H1213" s="4" t="s">
        <v>75</v>
      </c>
      <c r="I1213" s="4" t="s">
        <v>85</v>
      </c>
      <c r="J1213" s="4">
        <v>320</v>
      </c>
      <c r="L1213" s="4" t="s">
        <v>33</v>
      </c>
      <c r="M1213" s="5"/>
      <c r="O1213" s="5"/>
      <c r="Q1213" s="4">
        <f>B1213</f>
        <v>1211</v>
      </c>
      <c r="R1213" s="4" t="str">
        <f>C1213</f>
        <v>14/10/2026</v>
      </c>
      <c r="S1213" s="4" t="str">
        <f>D1213</f>
        <v>miércoles</v>
      </c>
      <c r="T1213" s="4" t="str">
        <f>E1213&amp;"/"&amp;E1214</f>
        <v>2154/2155</v>
      </c>
      <c r="U1213" s="4" t="str">
        <f>F1213&amp;"-"&amp;G1213&amp;"-"&amp;F1213</f>
        <v>LIM-CUZ-LIM</v>
      </c>
      <c r="V1213" s="4" t="str">
        <f>IF($M$1213="","",$M$1213)</f>
        <v/>
      </c>
      <c r="W1213" s="4" t="str">
        <f>IF($O$1213="","",$O$1213)</f>
        <v/>
      </c>
      <c r="X1213" s="4">
        <f>J1213</f>
        <v>320</v>
      </c>
    </row>
    <row r="1214" spans="2:24" ht="30" x14ac:dyDescent="0.25">
      <c r="B1214" s="4">
        <v>1211</v>
      </c>
      <c r="C1214" s="4" t="s">
        <v>180</v>
      </c>
      <c r="D1214" s="4" t="s">
        <v>165</v>
      </c>
      <c r="E1214" s="4">
        <v>2155</v>
      </c>
      <c r="F1214" s="4" t="s">
        <v>30</v>
      </c>
      <c r="G1214" s="4" t="s">
        <v>29</v>
      </c>
      <c r="H1214" s="4" t="s">
        <v>86</v>
      </c>
      <c r="I1214" s="4" t="s">
        <v>78</v>
      </c>
      <c r="J1214" s="4">
        <v>320</v>
      </c>
      <c r="K1214" t="str">
        <f>TEXT(TIMEVALUE(H1214)-TIMEVALUE(I1213)+(TIMEVALUE(H1214)&lt;TIMEVALUE(I1213)),"[h]:mm")</f>
        <v>0:40</v>
      </c>
      <c r="L1214" s="4" t="s">
        <v>36</v>
      </c>
      <c r="O1214" t="str">
        <f>"LIM-"&amp;G1213&amp;"-LIM   LA "&amp;E1213&amp;" ("&amp;LEFT(H1213,5)&amp;"-"&amp;LEFT(I1213,5)&amp;" hrs)  /  LA "&amp;E1214&amp;" ("&amp;LEFT(H1214,5)&amp;"-"&amp;LEFT(I1214,5)&amp;" hrs)"</f>
        <v>LIM-CUZ-LIM   LA 2154 (14:45-16:05 hrs)  /  LA 2155 (16:45-18:20 hrs)</v>
      </c>
    </row>
    <row r="1215" spans="2:24" x14ac:dyDescent="0.25">
      <c r="J1215" s="7" t="s">
        <v>43</v>
      </c>
      <c r="K1215" s="8" t="str">
        <f>TEXT(TIMEVALUE(I1214)-TIMEVALUE(H1213)+(I1214&lt;H1213),"[h]:mm")</f>
        <v>3:35</v>
      </c>
    </row>
    <row r="1217" spans="2:24" ht="30" x14ac:dyDescent="0.25">
      <c r="B1217" s="3" t="s">
        <v>9</v>
      </c>
      <c r="C1217" s="3" t="s">
        <v>17</v>
      </c>
      <c r="D1217" s="3" t="s">
        <v>18</v>
      </c>
      <c r="E1217" s="3" t="s">
        <v>19</v>
      </c>
      <c r="F1217" s="3" t="s">
        <v>20</v>
      </c>
      <c r="G1217" s="3" t="s">
        <v>21</v>
      </c>
      <c r="H1217" s="3" t="s">
        <v>22</v>
      </c>
      <c r="I1217" s="3" t="s">
        <v>23</v>
      </c>
      <c r="J1217" s="3" t="s">
        <v>24</v>
      </c>
      <c r="K1217" s="3" t="s">
        <v>25</v>
      </c>
      <c r="L1217" s="3" t="s">
        <v>26</v>
      </c>
    </row>
    <row r="1218" spans="2:24" ht="30" x14ac:dyDescent="0.25">
      <c r="B1218" s="4">
        <v>1212</v>
      </c>
      <c r="C1218" s="4" t="s">
        <v>180</v>
      </c>
      <c r="D1218" s="4" t="s">
        <v>165</v>
      </c>
      <c r="E1218" s="4">
        <v>2264</v>
      </c>
      <c r="F1218" s="4" t="s">
        <v>29</v>
      </c>
      <c r="G1218" s="4" t="s">
        <v>44</v>
      </c>
      <c r="H1218" s="4" t="s">
        <v>87</v>
      </c>
      <c r="I1218" s="4" t="s">
        <v>60</v>
      </c>
      <c r="J1218" s="4">
        <v>319</v>
      </c>
      <c r="L1218" s="4" t="s">
        <v>47</v>
      </c>
      <c r="M1218" s="5"/>
      <c r="O1218" s="5"/>
      <c r="Q1218" s="4">
        <f>B1218</f>
        <v>1212</v>
      </c>
      <c r="R1218" s="4" t="str">
        <f>C1218</f>
        <v>14/10/2026</v>
      </c>
      <c r="S1218" s="4" t="str">
        <f>D1218</f>
        <v>miércoles</v>
      </c>
      <c r="T1218" s="4" t="str">
        <f>E1218&amp;"/"&amp;E1219</f>
        <v>2264/2265</v>
      </c>
      <c r="U1218" s="4" t="str">
        <f>F1218&amp;"-"&amp;G1218&amp;"-"&amp;F1218</f>
        <v>LIM-PEM-LIM</v>
      </c>
      <c r="V1218" s="4" t="str">
        <f>IF($M$1218="","",$M$1218)</f>
        <v/>
      </c>
      <c r="W1218" s="4" t="str">
        <f>IF($O$1218="","",$O$1218)</f>
        <v/>
      </c>
      <c r="X1218" s="4">
        <f>J1218</f>
        <v>319</v>
      </c>
    </row>
    <row r="1219" spans="2:24" ht="30" x14ac:dyDescent="0.25">
      <c r="B1219" s="4">
        <v>1212</v>
      </c>
      <c r="C1219" s="4" t="s">
        <v>180</v>
      </c>
      <c r="D1219" s="4" t="s">
        <v>165</v>
      </c>
      <c r="E1219" s="4">
        <v>2265</v>
      </c>
      <c r="F1219" s="4" t="s">
        <v>44</v>
      </c>
      <c r="G1219" s="4" t="s">
        <v>29</v>
      </c>
      <c r="H1219" s="4" t="s">
        <v>53</v>
      </c>
      <c r="I1219" s="4" t="s">
        <v>88</v>
      </c>
      <c r="J1219" s="4">
        <v>319</v>
      </c>
      <c r="K1219" t="str">
        <f>TEXT(TIMEVALUE(H1219)-TIMEVALUE(I1218)+(TIMEVALUE(H1219)&lt;TIMEVALUE(I1218)),"[h]:mm")</f>
        <v>0:40</v>
      </c>
      <c r="L1219" s="4" t="s">
        <v>36</v>
      </c>
      <c r="O1219" t="str">
        <f>"LIM-"&amp;G1218&amp;"-LIM   LA "&amp;E1218&amp;" ("&amp;LEFT(H1218,5)&amp;"-"&amp;LEFT(I1218,5)&amp;" hrs)  /  LA "&amp;E1219&amp;" ("&amp;LEFT(H1219,5)&amp;"-"&amp;LEFT(I1219,5)&amp;" hrs)"</f>
        <v>LIM-PEM-LIM   LA 2264 (14:55-16:40 hrs)  /  LA 2265 (17:20-18:55 hrs)</v>
      </c>
    </row>
    <row r="1220" spans="2:24" x14ac:dyDescent="0.25">
      <c r="J1220" s="7" t="s">
        <v>43</v>
      </c>
      <c r="K1220" s="8" t="str">
        <f>TEXT(TIMEVALUE(I1219)-TIMEVALUE(H1218)+(I1219&lt;H1218),"[h]:mm")</f>
        <v>4:00</v>
      </c>
    </row>
    <row r="1222" spans="2:24" ht="30" x14ac:dyDescent="0.25">
      <c r="B1222" s="3" t="s">
        <v>9</v>
      </c>
      <c r="C1222" s="3" t="s">
        <v>17</v>
      </c>
      <c r="D1222" s="3" t="s">
        <v>18</v>
      </c>
      <c r="E1222" s="3" t="s">
        <v>19</v>
      </c>
      <c r="F1222" s="3" t="s">
        <v>20</v>
      </c>
      <c r="G1222" s="3" t="s">
        <v>21</v>
      </c>
      <c r="H1222" s="3" t="s">
        <v>22</v>
      </c>
      <c r="I1222" s="3" t="s">
        <v>23</v>
      </c>
      <c r="J1222" s="3" t="s">
        <v>24</v>
      </c>
      <c r="K1222" s="3" t="s">
        <v>25</v>
      </c>
      <c r="L1222" s="3" t="s">
        <v>26</v>
      </c>
    </row>
    <row r="1223" spans="2:24" ht="30" x14ac:dyDescent="0.25">
      <c r="B1223" s="4">
        <v>1213</v>
      </c>
      <c r="C1223" s="4" t="s">
        <v>180</v>
      </c>
      <c r="D1223" s="4" t="s">
        <v>165</v>
      </c>
      <c r="E1223" s="4">
        <v>2113</v>
      </c>
      <c r="F1223" s="4" t="s">
        <v>29</v>
      </c>
      <c r="G1223" s="4" t="s">
        <v>56</v>
      </c>
      <c r="H1223" s="4" t="s">
        <v>126</v>
      </c>
      <c r="I1223" s="4" t="s">
        <v>52</v>
      </c>
      <c r="J1223" s="4">
        <v>320</v>
      </c>
      <c r="L1223" s="4" t="s">
        <v>40</v>
      </c>
      <c r="M1223" s="5"/>
      <c r="O1223" s="5"/>
      <c r="Q1223" s="4">
        <f>B1223</f>
        <v>1213</v>
      </c>
      <c r="R1223" s="4" t="str">
        <f>C1223</f>
        <v>14/10/2026</v>
      </c>
      <c r="S1223" s="4" t="str">
        <f>D1223</f>
        <v>miércoles</v>
      </c>
      <c r="T1223" s="4" t="str">
        <f>E1223&amp;"/"&amp;E1224</f>
        <v>2113/2112</v>
      </c>
      <c r="U1223" s="4" t="str">
        <f>F1223&amp;"-"&amp;G1223&amp;"-"&amp;F1223</f>
        <v>LIM-AQP-LIM</v>
      </c>
      <c r="V1223" s="4" t="str">
        <f>IF($M$1223="","",$M$1223)</f>
        <v/>
      </c>
      <c r="W1223" s="4" t="str">
        <f>IF($O$1223="","",$O$1223)</f>
        <v/>
      </c>
      <c r="X1223" s="4">
        <f>J1223</f>
        <v>320</v>
      </c>
    </row>
    <row r="1224" spans="2:24" ht="30" x14ac:dyDescent="0.25">
      <c r="B1224" s="4">
        <v>1213</v>
      </c>
      <c r="C1224" s="4" t="s">
        <v>180</v>
      </c>
      <c r="D1224" s="4" t="s">
        <v>165</v>
      </c>
      <c r="E1224" s="4">
        <v>2112</v>
      </c>
      <c r="F1224" s="4" t="s">
        <v>56</v>
      </c>
      <c r="G1224" s="4" t="s">
        <v>29</v>
      </c>
      <c r="H1224" s="4" t="s">
        <v>42</v>
      </c>
      <c r="I1224" s="4" t="s">
        <v>88</v>
      </c>
      <c r="J1224" s="4">
        <v>320</v>
      </c>
      <c r="K1224" t="str">
        <f>TEXT(TIMEVALUE(H1224)-TIMEVALUE(I1223)+(TIMEVALUE(H1224)&lt;TIMEVALUE(I1223)),"[h]:mm")</f>
        <v>0:40</v>
      </c>
      <c r="L1224" s="4" t="s">
        <v>71</v>
      </c>
      <c r="O1224" t="str">
        <f>"LIM-"&amp;G1223&amp;"-LIM   LA "&amp;E1223&amp;" ("&amp;LEFT(H1223,5)&amp;"-"&amp;LEFT(I1223,5)&amp;" hrs)  /  LA "&amp;E1224&amp;" ("&amp;LEFT(H1224,5)&amp;"-"&amp;LEFT(I1224,5)&amp;" hrs)"</f>
        <v>LIM-AQP-LIM   LA 2113 (15:05-16:35 hrs)  /  LA 2112 (17:15-18:55 hrs)</v>
      </c>
    </row>
    <row r="1225" spans="2:24" x14ac:dyDescent="0.25">
      <c r="J1225" s="7" t="s">
        <v>43</v>
      </c>
      <c r="K1225" s="8" t="str">
        <f>TEXT(TIMEVALUE(I1224)-TIMEVALUE(H1223)+(I1224&lt;H1223),"[h]:mm")</f>
        <v>3:50</v>
      </c>
    </row>
    <row r="1227" spans="2:24" ht="30" x14ac:dyDescent="0.25">
      <c r="B1227" s="3" t="s">
        <v>9</v>
      </c>
      <c r="C1227" s="3" t="s">
        <v>17</v>
      </c>
      <c r="D1227" s="3" t="s">
        <v>18</v>
      </c>
      <c r="E1227" s="3" t="s">
        <v>19</v>
      </c>
      <c r="F1227" s="3" t="s">
        <v>20</v>
      </c>
      <c r="G1227" s="3" t="s">
        <v>21</v>
      </c>
      <c r="H1227" s="3" t="s">
        <v>22</v>
      </c>
      <c r="I1227" s="3" t="s">
        <v>23</v>
      </c>
      <c r="J1227" s="3" t="s">
        <v>24</v>
      </c>
      <c r="K1227" s="3" t="s">
        <v>25</v>
      </c>
      <c r="L1227" s="3" t="s">
        <v>26</v>
      </c>
    </row>
    <row r="1228" spans="2:24" ht="30" x14ac:dyDescent="0.25">
      <c r="B1228" s="4">
        <v>1215</v>
      </c>
      <c r="C1228" s="4" t="s">
        <v>180</v>
      </c>
      <c r="D1228" s="4" t="s">
        <v>165</v>
      </c>
      <c r="E1228" s="4">
        <v>2297</v>
      </c>
      <c r="F1228" s="4" t="s">
        <v>29</v>
      </c>
      <c r="G1228" s="4" t="s">
        <v>50</v>
      </c>
      <c r="H1228" s="4" t="s">
        <v>51</v>
      </c>
      <c r="I1228" s="4" t="s">
        <v>52</v>
      </c>
      <c r="J1228" s="4">
        <v>320</v>
      </c>
      <c r="L1228" s="4" t="s">
        <v>33</v>
      </c>
      <c r="M1228" s="5"/>
      <c r="O1228" s="5"/>
      <c r="Q1228" s="4">
        <f>B1228</f>
        <v>1215</v>
      </c>
      <c r="R1228" s="4" t="str">
        <f>C1228</f>
        <v>14/10/2026</v>
      </c>
      <c r="S1228" s="4" t="str">
        <f>D1228</f>
        <v>miércoles</v>
      </c>
      <c r="T1228" s="4" t="str">
        <f>E1228&amp;"/"&amp;E1229</f>
        <v>2297/2296</v>
      </c>
      <c r="U1228" s="4" t="str">
        <f>F1228&amp;"-"&amp;G1228&amp;"-"&amp;F1228</f>
        <v>LIM-CJA-LIM</v>
      </c>
      <c r="V1228" s="4" t="str">
        <f>IF($M$1228="","",$M$1228)</f>
        <v/>
      </c>
      <c r="W1228" s="4" t="str">
        <f>IF($O$1228="","",$O$1228)</f>
        <v/>
      </c>
      <c r="X1228" s="4">
        <f>J1228</f>
        <v>320</v>
      </c>
    </row>
    <row r="1229" spans="2:24" ht="30" x14ac:dyDescent="0.25">
      <c r="B1229" s="4">
        <v>1215</v>
      </c>
      <c r="C1229" s="4" t="s">
        <v>180</v>
      </c>
      <c r="D1229" s="4" t="s">
        <v>165</v>
      </c>
      <c r="E1229" s="4">
        <v>2296</v>
      </c>
      <c r="F1229" s="4" t="s">
        <v>50</v>
      </c>
      <c r="G1229" s="4" t="s">
        <v>29</v>
      </c>
      <c r="H1229" s="4" t="s">
        <v>53</v>
      </c>
      <c r="I1229" s="4" t="s">
        <v>54</v>
      </c>
      <c r="J1229" s="4">
        <v>320</v>
      </c>
      <c r="K1229" t="str">
        <f>TEXT(TIMEVALUE(H1229)-TIMEVALUE(I1228)+(TIMEVALUE(H1229)&lt;TIMEVALUE(I1228)),"[h]:mm")</f>
        <v>0:45</v>
      </c>
      <c r="L1229" s="4" t="s">
        <v>55</v>
      </c>
      <c r="O1229" t="str">
        <f>"LIM-"&amp;G1228&amp;"-LIM   LA "&amp;E1228&amp;" ("&amp;LEFT(H1228,5)&amp;"-"&amp;LEFT(I1228,5)&amp;" hrs)  /  LA "&amp;E1229&amp;" ("&amp;LEFT(H1229,5)&amp;"-"&amp;LEFT(I1229,5)&amp;" hrs)"</f>
        <v>LIM-CJA-LIM   LA 2297 (15:15-16:35 hrs)  /  LA 2296 (17:20-18:25 hrs)</v>
      </c>
    </row>
    <row r="1230" spans="2:24" x14ac:dyDescent="0.25">
      <c r="J1230" s="7" t="s">
        <v>43</v>
      </c>
      <c r="K1230" s="8" t="str">
        <f>TEXT(TIMEVALUE(I1229)-TIMEVALUE(H1228)+(I1229&lt;H1228),"[h]:mm")</f>
        <v>3:10</v>
      </c>
    </row>
    <row r="1232" spans="2:24" ht="30" x14ac:dyDescent="0.25">
      <c r="B1232" s="3" t="s">
        <v>9</v>
      </c>
      <c r="C1232" s="3" t="s">
        <v>17</v>
      </c>
      <c r="D1232" s="3" t="s">
        <v>18</v>
      </c>
      <c r="E1232" s="3" t="s">
        <v>19</v>
      </c>
      <c r="F1232" s="3" t="s">
        <v>20</v>
      </c>
      <c r="G1232" s="3" t="s">
        <v>21</v>
      </c>
      <c r="H1232" s="3" t="s">
        <v>22</v>
      </c>
      <c r="I1232" s="3" t="s">
        <v>23</v>
      </c>
      <c r="J1232" s="3" t="s">
        <v>24</v>
      </c>
      <c r="K1232" s="3" t="s">
        <v>25</v>
      </c>
      <c r="L1232" s="3" t="s">
        <v>26</v>
      </c>
    </row>
    <row r="1233" spans="2:24" ht="30" x14ac:dyDescent="0.25">
      <c r="B1233" s="4">
        <v>1216</v>
      </c>
      <c r="C1233" s="4" t="s">
        <v>180</v>
      </c>
      <c r="D1233" s="4" t="s">
        <v>165</v>
      </c>
      <c r="E1233" s="4">
        <v>2360</v>
      </c>
      <c r="F1233" s="4" t="s">
        <v>29</v>
      </c>
      <c r="G1233" s="4" t="s">
        <v>58</v>
      </c>
      <c r="H1233" s="4" t="s">
        <v>59</v>
      </c>
      <c r="I1233" s="4" t="s">
        <v>60</v>
      </c>
      <c r="J1233" s="4">
        <v>319</v>
      </c>
      <c r="L1233" s="4" t="s">
        <v>61</v>
      </c>
      <c r="M1233" s="5"/>
      <c r="O1233" s="5"/>
      <c r="Q1233" s="4">
        <f>B1233</f>
        <v>1216</v>
      </c>
      <c r="R1233" s="4" t="str">
        <f>C1233</f>
        <v>14/10/2026</v>
      </c>
      <c r="S1233" s="4" t="str">
        <f>D1233</f>
        <v>miércoles</v>
      </c>
      <c r="T1233" s="4" t="str">
        <f>E1233&amp;"/"&amp;E1234</f>
        <v>2360/2361</v>
      </c>
      <c r="U1233" s="4" t="str">
        <f>F1233&amp;"-"&amp;G1233&amp;"-"&amp;F1233</f>
        <v>LIM-PCL-LIM</v>
      </c>
      <c r="V1233" s="4" t="str">
        <f>IF($M$1233="","",$M$1233)</f>
        <v/>
      </c>
      <c r="W1233" s="4" t="str">
        <f>IF($O$1233="","",$O$1233)</f>
        <v/>
      </c>
      <c r="X1233" s="4">
        <f>J1233</f>
        <v>319</v>
      </c>
    </row>
    <row r="1234" spans="2:24" ht="30" x14ac:dyDescent="0.25">
      <c r="B1234" s="4">
        <v>1216</v>
      </c>
      <c r="C1234" s="4" t="s">
        <v>180</v>
      </c>
      <c r="D1234" s="4" t="s">
        <v>165</v>
      </c>
      <c r="E1234" s="4">
        <v>2361</v>
      </c>
      <c r="F1234" s="4" t="s">
        <v>58</v>
      </c>
      <c r="G1234" s="4" t="s">
        <v>29</v>
      </c>
      <c r="H1234" s="4" t="s">
        <v>53</v>
      </c>
      <c r="I1234" s="4" t="s">
        <v>62</v>
      </c>
      <c r="J1234" s="4">
        <v>319</v>
      </c>
      <c r="K1234" t="str">
        <f>TEXT(TIMEVALUE(H1234)-TIMEVALUE(I1233)+(TIMEVALUE(H1234)&lt;TIMEVALUE(I1233)),"[h]:mm")</f>
        <v>0:40</v>
      </c>
      <c r="L1234" s="4" t="s">
        <v>61</v>
      </c>
      <c r="O1234" t="str">
        <f>"LIM-"&amp;G1233&amp;"-LIM   LA "&amp;E1233&amp;" ("&amp;LEFT(H1233,5)&amp;"-"&amp;LEFT(I1233,5)&amp;" hrs)  /  LA "&amp;E1234&amp;" ("&amp;LEFT(H1234,5)&amp;"-"&amp;LEFT(I1234,5)&amp;" hrs)"</f>
        <v>LIM-PCL-LIM   LA 2360 (15:25-16:40 hrs)  /  LA 2361 (17:20-18:35 hrs)</v>
      </c>
    </row>
    <row r="1235" spans="2:24" x14ac:dyDescent="0.25">
      <c r="J1235" s="7" t="s">
        <v>43</v>
      </c>
      <c r="K1235" s="8" t="str">
        <f>TEXT(TIMEVALUE(I1234)-TIMEVALUE(H1233)+(I1234&lt;H1233),"[h]:mm")</f>
        <v>3:10</v>
      </c>
    </row>
    <row r="1237" spans="2:24" ht="30" x14ac:dyDescent="0.25">
      <c r="B1237" s="3" t="s">
        <v>9</v>
      </c>
      <c r="C1237" s="3" t="s">
        <v>17</v>
      </c>
      <c r="D1237" s="3" t="s">
        <v>18</v>
      </c>
      <c r="E1237" s="3" t="s">
        <v>19</v>
      </c>
      <c r="F1237" s="3" t="s">
        <v>20</v>
      </c>
      <c r="G1237" s="3" t="s">
        <v>21</v>
      </c>
      <c r="H1237" s="3" t="s">
        <v>22</v>
      </c>
      <c r="I1237" s="3" t="s">
        <v>23</v>
      </c>
      <c r="J1237" s="3" t="s">
        <v>24</v>
      </c>
      <c r="K1237" s="3" t="s">
        <v>25</v>
      </c>
      <c r="L1237" s="3" t="s">
        <v>26</v>
      </c>
    </row>
    <row r="1238" spans="2:24" ht="30" x14ac:dyDescent="0.25">
      <c r="B1238" s="4">
        <v>1217</v>
      </c>
      <c r="C1238" s="4" t="s">
        <v>180</v>
      </c>
      <c r="D1238" s="4" t="s">
        <v>165</v>
      </c>
      <c r="E1238" s="4">
        <v>2312</v>
      </c>
      <c r="F1238" s="4" t="s">
        <v>29</v>
      </c>
      <c r="G1238" s="4" t="s">
        <v>37</v>
      </c>
      <c r="H1238" s="4" t="s">
        <v>89</v>
      </c>
      <c r="I1238" s="4" t="s">
        <v>77</v>
      </c>
      <c r="J1238" s="4">
        <v>320</v>
      </c>
      <c r="L1238" s="4" t="s">
        <v>40</v>
      </c>
      <c r="M1238" s="5"/>
      <c r="O1238" s="5"/>
      <c r="Q1238" s="4">
        <f>B1238</f>
        <v>1217</v>
      </c>
      <c r="R1238" s="4" t="str">
        <f>C1238</f>
        <v>14/10/2026</v>
      </c>
      <c r="S1238" s="4" t="str">
        <f>D1238</f>
        <v>miércoles</v>
      </c>
      <c r="T1238" s="4" t="str">
        <f>E1238&amp;"/"&amp;E1239</f>
        <v>2312/2313</v>
      </c>
      <c r="U1238" s="4" t="str">
        <f>F1238&amp;"-"&amp;G1238&amp;"-"&amp;F1238</f>
        <v>LIM-CIX-LIM</v>
      </c>
      <c r="V1238" s="4" t="str">
        <f>IF($M$1238="","",$M$1238)</f>
        <v/>
      </c>
      <c r="W1238" s="4" t="str">
        <f>IF($O$1238="","",$O$1238)</f>
        <v/>
      </c>
      <c r="X1238" s="4">
        <f>J1238</f>
        <v>320</v>
      </c>
    </row>
    <row r="1239" spans="2:24" ht="30" x14ac:dyDescent="0.25">
      <c r="B1239" s="4">
        <v>1217</v>
      </c>
      <c r="C1239" s="4" t="s">
        <v>180</v>
      </c>
      <c r="D1239" s="4" t="s">
        <v>165</v>
      </c>
      <c r="E1239" s="4">
        <v>2313</v>
      </c>
      <c r="F1239" s="4" t="s">
        <v>37</v>
      </c>
      <c r="G1239" s="4" t="s">
        <v>29</v>
      </c>
      <c r="H1239" s="4" t="s">
        <v>84</v>
      </c>
      <c r="I1239" s="4" t="s">
        <v>90</v>
      </c>
      <c r="J1239" s="4">
        <v>320</v>
      </c>
      <c r="K1239" t="str">
        <f>TEXT(TIMEVALUE(H1239)-TIMEVALUE(I1238)+(TIMEVALUE(H1239)&lt;TIMEVALUE(I1238)),"[h]:mm")</f>
        <v>0:45</v>
      </c>
      <c r="L1239" s="4" t="s">
        <v>33</v>
      </c>
      <c r="O1239" t="str">
        <f>"LIM-"&amp;G1238&amp;"-LIM   LA "&amp;E1238&amp;" ("&amp;LEFT(H1238,5)&amp;"-"&amp;LEFT(I1238,5)&amp;" hrs)  /  LA "&amp;E1239&amp;" ("&amp;LEFT(H1239,5)&amp;"-"&amp;LEFT(I1239,5)&amp;" hrs)"</f>
        <v>LIM-CIX-LIM   LA 2312 (15:35-17:05 hrs)  /  LA 2313 (17:50-19:10 hrs)</v>
      </c>
    </row>
    <row r="1240" spans="2:24" x14ac:dyDescent="0.25">
      <c r="J1240" s="7" t="s">
        <v>43</v>
      </c>
      <c r="K1240" s="8" t="str">
        <f>TEXT(TIMEVALUE(I1239)-TIMEVALUE(H1238)+(I1239&lt;H1238),"[h]:mm")</f>
        <v>3:35</v>
      </c>
    </row>
    <row r="1242" spans="2:24" ht="30" x14ac:dyDescent="0.25">
      <c r="B1242" s="3" t="s">
        <v>9</v>
      </c>
      <c r="C1242" s="3" t="s">
        <v>17</v>
      </c>
      <c r="D1242" s="3" t="s">
        <v>18</v>
      </c>
      <c r="E1242" s="3" t="s">
        <v>19</v>
      </c>
      <c r="F1242" s="3" t="s">
        <v>20</v>
      </c>
      <c r="G1242" s="3" t="s">
        <v>21</v>
      </c>
      <c r="H1242" s="3" t="s">
        <v>22</v>
      </c>
      <c r="I1242" s="3" t="s">
        <v>23</v>
      </c>
      <c r="J1242" s="3" t="s">
        <v>24</v>
      </c>
      <c r="K1242" s="3" t="s">
        <v>25</v>
      </c>
      <c r="L1242" s="3" t="s">
        <v>26</v>
      </c>
    </row>
    <row r="1243" spans="2:24" ht="30" x14ac:dyDescent="0.25">
      <c r="B1243" s="4">
        <v>1218</v>
      </c>
      <c r="C1243" s="4" t="s">
        <v>180</v>
      </c>
      <c r="D1243" s="4" t="s">
        <v>165</v>
      </c>
      <c r="E1243" s="4">
        <v>2301</v>
      </c>
      <c r="F1243" s="4" t="s">
        <v>29</v>
      </c>
      <c r="G1243" s="4" t="s">
        <v>91</v>
      </c>
      <c r="H1243" s="4" t="s">
        <v>92</v>
      </c>
      <c r="I1243" s="4" t="s">
        <v>77</v>
      </c>
      <c r="J1243" s="4">
        <v>320</v>
      </c>
      <c r="L1243" s="4" t="s">
        <v>93</v>
      </c>
      <c r="M1243" s="5"/>
      <c r="O1243" s="5"/>
      <c r="Q1243" s="4">
        <f>B1243</f>
        <v>1218</v>
      </c>
      <c r="R1243" s="4" t="str">
        <f>C1243</f>
        <v>14/10/2026</v>
      </c>
      <c r="S1243" s="4" t="str">
        <f>D1243</f>
        <v>miércoles</v>
      </c>
      <c r="T1243" s="4" t="str">
        <f>E1243&amp;"/"&amp;E1244</f>
        <v>2301/2300</v>
      </c>
      <c r="U1243" s="4" t="str">
        <f>F1243&amp;"-"&amp;G1243&amp;"-"&amp;F1243</f>
        <v>LIM-TPP-LIM</v>
      </c>
      <c r="V1243" s="4" t="str">
        <f>IF($M$1243="","",$M$1243)</f>
        <v/>
      </c>
      <c r="W1243" s="4" t="str">
        <f>IF($O$1243="","",$O$1243)</f>
        <v/>
      </c>
      <c r="X1243" s="4">
        <f>J1243</f>
        <v>320</v>
      </c>
    </row>
    <row r="1244" spans="2:24" ht="30" x14ac:dyDescent="0.25">
      <c r="B1244" s="4">
        <v>1218</v>
      </c>
      <c r="C1244" s="4" t="s">
        <v>180</v>
      </c>
      <c r="D1244" s="4" t="s">
        <v>165</v>
      </c>
      <c r="E1244" s="4">
        <v>2300</v>
      </c>
      <c r="F1244" s="4" t="s">
        <v>91</v>
      </c>
      <c r="G1244" s="4" t="s">
        <v>29</v>
      </c>
      <c r="H1244" s="4" t="s">
        <v>84</v>
      </c>
      <c r="I1244" s="4" t="s">
        <v>94</v>
      </c>
      <c r="J1244" s="4">
        <v>320</v>
      </c>
      <c r="K1244" t="str">
        <f>TEXT(TIMEVALUE(H1244)-TIMEVALUE(I1243)+(TIMEVALUE(H1244)&lt;TIMEVALUE(I1243)),"[h]:mm")</f>
        <v>0:45</v>
      </c>
      <c r="L1244" s="4" t="s">
        <v>93</v>
      </c>
      <c r="O1244" t="str">
        <f>"LIM-"&amp;G1243&amp;"-LIM   LA "&amp;E1243&amp;" ("&amp;LEFT(H1243,5)&amp;"-"&amp;LEFT(I1243,5)&amp;" hrs)  /  LA "&amp;E1244&amp;" ("&amp;LEFT(H1244,5)&amp;"-"&amp;LEFT(I1244,5)&amp;" hrs)"</f>
        <v>LIM-TPP-LIM   LA 2301 (15:40-17:05 hrs)  /  LA 2300 (17:50-19:15 hrs)</v>
      </c>
    </row>
    <row r="1245" spans="2:24" x14ac:dyDescent="0.25">
      <c r="J1245" s="7" t="s">
        <v>43</v>
      </c>
      <c r="K1245" s="8" t="str">
        <f>TEXT(TIMEVALUE(I1244)-TIMEVALUE(H1243)+(I1244&lt;H1243),"[h]:mm")</f>
        <v>3:35</v>
      </c>
    </row>
    <row r="1247" spans="2:24" ht="30" x14ac:dyDescent="0.25">
      <c r="B1247" s="3" t="s">
        <v>9</v>
      </c>
      <c r="C1247" s="3" t="s">
        <v>17</v>
      </c>
      <c r="D1247" s="3" t="s">
        <v>18</v>
      </c>
      <c r="E1247" s="3" t="s">
        <v>19</v>
      </c>
      <c r="F1247" s="3" t="s">
        <v>20</v>
      </c>
      <c r="G1247" s="3" t="s">
        <v>21</v>
      </c>
      <c r="H1247" s="3" t="s">
        <v>22</v>
      </c>
      <c r="I1247" s="3" t="s">
        <v>23</v>
      </c>
      <c r="J1247" s="3" t="s">
        <v>24</v>
      </c>
      <c r="K1247" s="3" t="s">
        <v>25</v>
      </c>
      <c r="L1247" s="3" t="s">
        <v>26</v>
      </c>
    </row>
    <row r="1248" spans="2:24" ht="30" x14ac:dyDescent="0.25">
      <c r="B1248" s="4">
        <v>1224</v>
      </c>
      <c r="C1248" s="4" t="s">
        <v>180</v>
      </c>
      <c r="D1248" s="4" t="s">
        <v>165</v>
      </c>
      <c r="E1248" s="4">
        <v>2556</v>
      </c>
      <c r="F1248" s="4" t="s">
        <v>29</v>
      </c>
      <c r="G1248" s="4" t="s">
        <v>125</v>
      </c>
      <c r="H1248" s="4" t="s">
        <v>100</v>
      </c>
      <c r="I1248" s="4" t="s">
        <v>90</v>
      </c>
      <c r="J1248" s="4">
        <v>320</v>
      </c>
      <c r="L1248" s="4" t="s">
        <v>71</v>
      </c>
      <c r="M1248" s="5"/>
      <c r="O1248" s="5"/>
      <c r="Q1248" s="4">
        <f>B1248</f>
        <v>1224</v>
      </c>
      <c r="R1248" s="4" t="str">
        <f>C1248</f>
        <v>14/10/2026</v>
      </c>
      <c r="S1248" s="4" t="str">
        <f>D1248</f>
        <v>miércoles</v>
      </c>
      <c r="T1248" s="4" t="str">
        <f>E1248&amp;"/"&amp;E1249</f>
        <v>2556/2557</v>
      </c>
      <c r="U1248" s="4" t="str">
        <f>F1248&amp;"-"&amp;G1248&amp;"-"&amp;F1248</f>
        <v>LIM-PIU-LIM</v>
      </c>
      <c r="V1248" s="4" t="str">
        <f>IF($M$1248="","",$M$1248)</f>
        <v/>
      </c>
      <c r="W1248" s="4" t="str">
        <f>IF($O$1248="","",$O$1248)</f>
        <v/>
      </c>
      <c r="X1248" s="4">
        <f>J1248</f>
        <v>320</v>
      </c>
    </row>
    <row r="1249" spans="2:24" ht="30" x14ac:dyDescent="0.25">
      <c r="B1249" s="4">
        <v>1224</v>
      </c>
      <c r="C1249" s="4" t="s">
        <v>180</v>
      </c>
      <c r="D1249" s="4" t="s">
        <v>165</v>
      </c>
      <c r="E1249" s="4">
        <v>2557</v>
      </c>
      <c r="F1249" s="4" t="s">
        <v>125</v>
      </c>
      <c r="G1249" s="4" t="s">
        <v>29</v>
      </c>
      <c r="H1249" s="4" t="s">
        <v>112</v>
      </c>
      <c r="I1249" s="4" t="s">
        <v>130</v>
      </c>
      <c r="J1249" s="4">
        <v>320</v>
      </c>
      <c r="K1249" t="str">
        <f>TEXT(TIMEVALUE(H1249)-TIMEVALUE(I1248)+(TIMEVALUE(H1249)&lt;TIMEVALUE(I1248)),"[h]:mm")</f>
        <v>0:35</v>
      </c>
      <c r="L1249" s="4" t="s">
        <v>40</v>
      </c>
      <c r="O1249" t="str">
        <f>"LIM-"&amp;G1248&amp;"-LIM   LA "&amp;E1248&amp;" ("&amp;LEFT(H1248,5)&amp;"-"&amp;LEFT(I1248,5)&amp;" hrs)  /  LA "&amp;E1249&amp;" ("&amp;LEFT(H1249,5)&amp;"-"&amp;LEFT(I1249,5)&amp;" hrs)"</f>
        <v>LIM-PIU-LIM   LA 2556 (17:30-19:10 hrs)  /  LA 2557 (19:45-21:15 hrs)</v>
      </c>
    </row>
    <row r="1250" spans="2:24" x14ac:dyDescent="0.25">
      <c r="J1250" s="7" t="s">
        <v>43</v>
      </c>
      <c r="K1250" s="8" t="str">
        <f>TEXT(TIMEVALUE(I1249)-TIMEVALUE(H1248)+(I1249&lt;H1248),"[h]:mm")</f>
        <v>3:45</v>
      </c>
    </row>
    <row r="1252" spans="2:24" ht="30" x14ac:dyDescent="0.25">
      <c r="B1252" s="3" t="s">
        <v>9</v>
      </c>
      <c r="C1252" s="3" t="s">
        <v>17</v>
      </c>
      <c r="D1252" s="3" t="s">
        <v>18</v>
      </c>
      <c r="E1252" s="3" t="s">
        <v>19</v>
      </c>
      <c r="F1252" s="3" t="s">
        <v>20</v>
      </c>
      <c r="G1252" s="3" t="s">
        <v>21</v>
      </c>
      <c r="H1252" s="3" t="s">
        <v>22</v>
      </c>
      <c r="I1252" s="3" t="s">
        <v>23</v>
      </c>
      <c r="J1252" s="3" t="s">
        <v>24</v>
      </c>
      <c r="K1252" s="3" t="s">
        <v>25</v>
      </c>
      <c r="L1252" s="3" t="s">
        <v>26</v>
      </c>
    </row>
    <row r="1253" spans="2:24" ht="30" x14ac:dyDescent="0.25">
      <c r="B1253" s="4">
        <v>1226</v>
      </c>
      <c r="C1253" s="4" t="s">
        <v>180</v>
      </c>
      <c r="D1253" s="4" t="s">
        <v>165</v>
      </c>
      <c r="E1253" s="4">
        <v>2236</v>
      </c>
      <c r="F1253" s="4" t="s">
        <v>29</v>
      </c>
      <c r="G1253" s="4" t="s">
        <v>125</v>
      </c>
      <c r="H1253" s="4" t="s">
        <v>156</v>
      </c>
      <c r="I1253" s="4" t="s">
        <v>79</v>
      </c>
      <c r="J1253" s="4">
        <v>320</v>
      </c>
      <c r="L1253" s="4" t="s">
        <v>71</v>
      </c>
      <c r="M1253" s="5"/>
      <c r="O1253" s="5"/>
      <c r="Q1253" s="4">
        <f>B1253</f>
        <v>1226</v>
      </c>
      <c r="R1253" s="4" t="str">
        <f>C1253</f>
        <v>14/10/2026</v>
      </c>
      <c r="S1253" s="4" t="str">
        <f>D1253</f>
        <v>miércoles</v>
      </c>
      <c r="T1253" s="4" t="str">
        <f>E1253&amp;"/"&amp;E1254</f>
        <v>2236/2237</v>
      </c>
      <c r="U1253" s="4" t="str">
        <f>F1253&amp;"-"&amp;G1253&amp;"-"&amp;F1253</f>
        <v>LIM-PIU-LIM</v>
      </c>
      <c r="V1253" s="4" t="str">
        <f>IF($M$1253="","",$M$1253)</f>
        <v/>
      </c>
      <c r="W1253" s="4" t="str">
        <f>IF($O$1253="","",$O$1253)</f>
        <v/>
      </c>
      <c r="X1253" s="4">
        <f>J1253</f>
        <v>320</v>
      </c>
    </row>
    <row r="1254" spans="2:24" ht="30" x14ac:dyDescent="0.25">
      <c r="B1254" s="4">
        <v>1226</v>
      </c>
      <c r="C1254" s="4" t="s">
        <v>180</v>
      </c>
      <c r="D1254" s="4" t="s">
        <v>165</v>
      </c>
      <c r="E1254" s="4">
        <v>2237</v>
      </c>
      <c r="F1254" s="4" t="s">
        <v>125</v>
      </c>
      <c r="G1254" s="4" t="s">
        <v>29</v>
      </c>
      <c r="H1254" s="4" t="s">
        <v>157</v>
      </c>
      <c r="I1254" s="4" t="s">
        <v>158</v>
      </c>
      <c r="J1254" s="4">
        <v>320</v>
      </c>
      <c r="K1254" t="str">
        <f>TEXT(TIMEVALUE(H1254)-TIMEVALUE(I1253)+(TIMEVALUE(H1254)&lt;TIMEVALUE(I1253)),"[h]:mm")</f>
        <v>0:35</v>
      </c>
      <c r="L1254" s="4" t="s">
        <v>36</v>
      </c>
      <c r="O1254" t="str">
        <f>"LIM-"&amp;G1253&amp;"-LIM   LA "&amp;E1253&amp;" ("&amp;LEFT(H1253,5)&amp;"-"&amp;LEFT(I1253,5)&amp;" hrs)  /  LA "&amp;E1254&amp;" ("&amp;LEFT(H1254,5)&amp;"-"&amp;LEFT(I1254,5)&amp;" hrs)"</f>
        <v>LIM-PIU-LIM   LA 2236 (18:00-19:40 hrs)  /  LA 2237 (20:15-21:50 hrs)</v>
      </c>
    </row>
    <row r="1255" spans="2:24" x14ac:dyDescent="0.25">
      <c r="J1255" s="7" t="s">
        <v>43</v>
      </c>
      <c r="K1255" s="8" t="str">
        <f>TEXT(TIMEVALUE(I1254)-TIMEVALUE(H1253)+(I1254&lt;H1253),"[h]:mm")</f>
        <v>3:50</v>
      </c>
    </row>
    <row r="1257" spans="2:24" ht="30" x14ac:dyDescent="0.25">
      <c r="B1257" s="3" t="s">
        <v>9</v>
      </c>
      <c r="C1257" s="3" t="s">
        <v>17</v>
      </c>
      <c r="D1257" s="3" t="s">
        <v>18</v>
      </c>
      <c r="E1257" s="3" t="s">
        <v>19</v>
      </c>
      <c r="F1257" s="3" t="s">
        <v>20</v>
      </c>
      <c r="G1257" s="3" t="s">
        <v>21</v>
      </c>
      <c r="H1257" s="3" t="s">
        <v>22</v>
      </c>
      <c r="I1257" s="3" t="s">
        <v>23</v>
      </c>
      <c r="J1257" s="3" t="s">
        <v>24</v>
      </c>
      <c r="K1257" s="3" t="s">
        <v>25</v>
      </c>
      <c r="L1257" s="3" t="s">
        <v>26</v>
      </c>
    </row>
    <row r="1258" spans="2:24" ht="30" x14ac:dyDescent="0.25">
      <c r="B1258" s="4">
        <v>1227</v>
      </c>
      <c r="C1258" s="4" t="s">
        <v>180</v>
      </c>
      <c r="D1258" s="4" t="s">
        <v>165</v>
      </c>
      <c r="E1258" s="4">
        <v>2091</v>
      </c>
      <c r="F1258" s="4" t="s">
        <v>29</v>
      </c>
      <c r="G1258" s="4" t="s">
        <v>91</v>
      </c>
      <c r="H1258" s="4" t="s">
        <v>147</v>
      </c>
      <c r="I1258" s="4" t="s">
        <v>148</v>
      </c>
      <c r="J1258" s="4">
        <v>319</v>
      </c>
      <c r="L1258" s="4" t="s">
        <v>93</v>
      </c>
      <c r="M1258" s="5"/>
      <c r="O1258" s="5"/>
      <c r="Q1258" s="4">
        <f>B1258</f>
        <v>1227</v>
      </c>
      <c r="R1258" s="4" t="str">
        <f>C1258</f>
        <v>14/10/2026</v>
      </c>
      <c r="S1258" s="4" t="str">
        <f>D1258</f>
        <v>miércoles</v>
      </c>
      <c r="T1258" s="4" t="str">
        <f>E1258&amp;"/"&amp;E1259</f>
        <v>2091/2092</v>
      </c>
      <c r="U1258" s="4" t="str">
        <f>F1258&amp;"-"&amp;G1258&amp;"-"&amp;F1258</f>
        <v>LIM-TPP-LIM</v>
      </c>
      <c r="V1258" s="4" t="str">
        <f>IF($M$1258="","",$M$1258)</f>
        <v/>
      </c>
      <c r="W1258" s="4" t="str">
        <f>IF($O$1258="","",$O$1258)</f>
        <v/>
      </c>
      <c r="X1258" s="4">
        <f>J1258</f>
        <v>319</v>
      </c>
    </row>
    <row r="1259" spans="2:24" ht="30" x14ac:dyDescent="0.25">
      <c r="B1259" s="4">
        <v>1227</v>
      </c>
      <c r="C1259" s="4" t="s">
        <v>180</v>
      </c>
      <c r="D1259" s="4" t="s">
        <v>165</v>
      </c>
      <c r="E1259" s="4">
        <v>2092</v>
      </c>
      <c r="F1259" s="4" t="s">
        <v>91</v>
      </c>
      <c r="G1259" s="4" t="s">
        <v>29</v>
      </c>
      <c r="H1259" s="4" t="s">
        <v>149</v>
      </c>
      <c r="I1259" s="4" t="s">
        <v>150</v>
      </c>
      <c r="J1259" s="4">
        <v>319</v>
      </c>
      <c r="K1259" t="str">
        <f>TEXT(TIMEVALUE(H1259)-TIMEVALUE(I1258)+(TIMEVALUE(H1259)&lt;TIMEVALUE(I1258)),"[h]:mm")</f>
        <v>0:35</v>
      </c>
      <c r="L1259" s="4" t="s">
        <v>40</v>
      </c>
      <c r="O1259" t="str">
        <f>"LIM-"&amp;G1258&amp;"-LIM   LA "&amp;E1258&amp;" ("&amp;LEFT(H1258,5)&amp;"-"&amp;LEFT(I1258,5)&amp;" hrs)  /  LA "&amp;E1259&amp;" ("&amp;LEFT(H1259,5)&amp;"-"&amp;LEFT(I1259,5)&amp;" hrs)"</f>
        <v>LIM-TPP-LIM   LA 2091 (18:30-19:55 hrs)  /  LA 2092 (20:30-22:00 hrs)</v>
      </c>
    </row>
    <row r="1260" spans="2:24" x14ac:dyDescent="0.25">
      <c r="J1260" s="7" t="s">
        <v>43</v>
      </c>
      <c r="K1260" s="8" t="str">
        <f>TEXT(TIMEVALUE(I1259)-TIMEVALUE(H1258)+(I1259&lt;H1258),"[h]:mm")</f>
        <v>3:30</v>
      </c>
    </row>
    <row r="1262" spans="2:24" ht="30" x14ac:dyDescent="0.25">
      <c r="B1262" s="3" t="s">
        <v>9</v>
      </c>
      <c r="C1262" s="3" t="s">
        <v>17</v>
      </c>
      <c r="D1262" s="3" t="s">
        <v>18</v>
      </c>
      <c r="E1262" s="3" t="s">
        <v>19</v>
      </c>
      <c r="F1262" s="3" t="s">
        <v>20</v>
      </c>
      <c r="G1262" s="3" t="s">
        <v>21</v>
      </c>
      <c r="H1262" s="3" t="s">
        <v>22</v>
      </c>
      <c r="I1262" s="3" t="s">
        <v>23</v>
      </c>
      <c r="J1262" s="3" t="s">
        <v>24</v>
      </c>
      <c r="K1262" s="3" t="s">
        <v>25</v>
      </c>
      <c r="L1262" s="3" t="s">
        <v>26</v>
      </c>
    </row>
    <row r="1263" spans="2:24" ht="30" x14ac:dyDescent="0.25">
      <c r="B1263" s="4">
        <v>1228</v>
      </c>
      <c r="C1263" s="4" t="s">
        <v>180</v>
      </c>
      <c r="D1263" s="4" t="s">
        <v>165</v>
      </c>
      <c r="E1263" s="4">
        <v>2117</v>
      </c>
      <c r="F1263" s="4" t="s">
        <v>29</v>
      </c>
      <c r="G1263" s="4" t="s">
        <v>56</v>
      </c>
      <c r="H1263" s="4" t="s">
        <v>62</v>
      </c>
      <c r="I1263" s="4" t="s">
        <v>151</v>
      </c>
      <c r="J1263" s="4">
        <v>320</v>
      </c>
      <c r="L1263" s="4" t="s">
        <v>40</v>
      </c>
      <c r="M1263" s="5"/>
      <c r="O1263" s="5"/>
      <c r="Q1263" s="4">
        <f>B1263</f>
        <v>1228</v>
      </c>
      <c r="R1263" s="4" t="str">
        <f>C1263</f>
        <v>14/10/2026</v>
      </c>
      <c r="S1263" s="4" t="str">
        <f>D1263</f>
        <v>miércoles</v>
      </c>
      <c r="T1263" s="4" t="str">
        <f>E1263&amp;"/"&amp;E1264</f>
        <v>2117/2116</v>
      </c>
      <c r="U1263" s="4" t="str">
        <f>F1263&amp;"-"&amp;G1263&amp;"-"&amp;F1263</f>
        <v>LIM-AQP-LIM</v>
      </c>
      <c r="V1263" s="4" t="str">
        <f>IF($M$1263="","",$M$1263)</f>
        <v/>
      </c>
      <c r="W1263" s="4" t="str">
        <f>IF($O$1263="","",$O$1263)</f>
        <v/>
      </c>
      <c r="X1263" s="4">
        <f>J1263</f>
        <v>320</v>
      </c>
    </row>
    <row r="1264" spans="2:24" ht="30" x14ac:dyDescent="0.25">
      <c r="B1264" s="4">
        <v>1228</v>
      </c>
      <c r="C1264" s="4" t="s">
        <v>180</v>
      </c>
      <c r="D1264" s="4" t="s">
        <v>165</v>
      </c>
      <c r="E1264" s="4">
        <v>2116</v>
      </c>
      <c r="F1264" s="4" t="s">
        <v>56</v>
      </c>
      <c r="G1264" s="4" t="s">
        <v>29</v>
      </c>
      <c r="H1264" s="4" t="s">
        <v>129</v>
      </c>
      <c r="I1264" s="4" t="s">
        <v>152</v>
      </c>
      <c r="J1264" s="4">
        <v>320</v>
      </c>
      <c r="K1264" t="str">
        <f>TEXT(TIMEVALUE(H1264)-TIMEVALUE(I1263)+(TIMEVALUE(H1264)&lt;TIMEVALUE(I1263)),"[h]:mm")</f>
        <v>0:35</v>
      </c>
      <c r="L1264" s="4" t="s">
        <v>71</v>
      </c>
      <c r="O1264" t="str">
        <f>"LIM-"&amp;G1263&amp;"-LIM   LA "&amp;E1263&amp;" ("&amp;LEFT(H1263,5)&amp;"-"&amp;LEFT(I1263,5)&amp;" hrs)  /  LA "&amp;E1264&amp;" ("&amp;LEFT(H1264,5)&amp;"-"&amp;LEFT(I1264,5)&amp;" hrs)"</f>
        <v>LIM-AQP-LIM   LA 2117 (18:35-20:05 hrs)  /  LA 2116 (20:40-22:20 hrs)</v>
      </c>
    </row>
    <row r="1265" spans="2:24" x14ac:dyDescent="0.25">
      <c r="J1265" s="7" t="s">
        <v>43</v>
      </c>
      <c r="K1265" s="8" t="str">
        <f>TEXT(TIMEVALUE(I1264)-TIMEVALUE(H1263)+(I1264&lt;H1263),"[h]:mm")</f>
        <v>3:45</v>
      </c>
    </row>
    <row r="1267" spans="2:24" ht="30" x14ac:dyDescent="0.25">
      <c r="B1267" s="3" t="s">
        <v>9</v>
      </c>
      <c r="C1267" s="3" t="s">
        <v>17</v>
      </c>
      <c r="D1267" s="3" t="s">
        <v>18</v>
      </c>
      <c r="E1267" s="3" t="s">
        <v>19</v>
      </c>
      <c r="F1267" s="3" t="s">
        <v>20</v>
      </c>
      <c r="G1267" s="3" t="s">
        <v>21</v>
      </c>
      <c r="H1267" s="3" t="s">
        <v>22</v>
      </c>
      <c r="I1267" s="3" t="s">
        <v>23</v>
      </c>
      <c r="J1267" s="3" t="s">
        <v>24</v>
      </c>
      <c r="K1267" s="3" t="s">
        <v>25</v>
      </c>
      <c r="L1267" s="3" t="s">
        <v>26</v>
      </c>
    </row>
    <row r="1268" spans="2:24" ht="30" x14ac:dyDescent="0.25">
      <c r="B1268" s="4">
        <v>1229</v>
      </c>
      <c r="C1268" s="4" t="s">
        <v>180</v>
      </c>
      <c r="D1268" s="4" t="s">
        <v>165</v>
      </c>
      <c r="E1268" s="4">
        <v>2221</v>
      </c>
      <c r="F1268" s="4" t="s">
        <v>29</v>
      </c>
      <c r="G1268" s="4" t="s">
        <v>30</v>
      </c>
      <c r="H1268" s="4" t="s">
        <v>115</v>
      </c>
      <c r="I1268" s="4" t="s">
        <v>116</v>
      </c>
      <c r="J1268" s="4">
        <v>320</v>
      </c>
      <c r="L1268" s="4" t="s">
        <v>33</v>
      </c>
      <c r="M1268" s="5"/>
      <c r="O1268" s="5"/>
      <c r="Q1268" s="4">
        <f>B1268</f>
        <v>1229</v>
      </c>
      <c r="R1268" s="4" t="str">
        <f>C1268</f>
        <v>14/10/2026</v>
      </c>
      <c r="S1268" s="4" t="str">
        <f>D1268</f>
        <v>miércoles</v>
      </c>
      <c r="T1268" s="4" t="str">
        <f>E1268&amp;"/"&amp;E1269</f>
        <v>2221/2222</v>
      </c>
      <c r="U1268" s="4" t="str">
        <f>F1268&amp;"-"&amp;G1268&amp;"-"&amp;F1268</f>
        <v>LIM-CUZ-LIM</v>
      </c>
      <c r="V1268" s="4" t="str">
        <f>IF($M$1268="","",$M$1268)</f>
        <v/>
      </c>
      <c r="W1268" s="4" t="str">
        <f>IF($O$1268="","",$O$1268)</f>
        <v/>
      </c>
      <c r="X1268" s="4">
        <f>J1268</f>
        <v>320</v>
      </c>
    </row>
    <row r="1269" spans="2:24" ht="30" x14ac:dyDescent="0.25">
      <c r="B1269" s="4">
        <v>1229</v>
      </c>
      <c r="C1269" s="4" t="s">
        <v>180</v>
      </c>
      <c r="D1269" s="4" t="s">
        <v>165</v>
      </c>
      <c r="E1269" s="4">
        <v>2222</v>
      </c>
      <c r="F1269" s="4" t="s">
        <v>30</v>
      </c>
      <c r="G1269" s="4" t="s">
        <v>29</v>
      </c>
      <c r="H1269" s="4" t="s">
        <v>117</v>
      </c>
      <c r="I1269" s="4" t="s">
        <v>36</v>
      </c>
      <c r="J1269" s="4">
        <v>320</v>
      </c>
      <c r="K1269" t="str">
        <f>TEXT(TIMEVALUE(H1269)-TIMEVALUE(I1268)+(TIMEVALUE(H1269)&lt;TIMEVALUE(I1268)),"[h]:mm")</f>
        <v>0:40</v>
      </c>
      <c r="L1269" s="4" t="s">
        <v>40</v>
      </c>
      <c r="O1269" t="str">
        <f>"LIM-"&amp;G1268&amp;"-LIM   LA "&amp;E1268&amp;" ("&amp;LEFT(H1268,5)&amp;"-"&amp;LEFT(I1268,5)&amp;" hrs)  /  LA "&amp;E1269&amp;" ("&amp;LEFT(H1269,5)&amp;"-"&amp;LEFT(I1269,5)&amp;" hrs)"</f>
        <v>LIM-CUZ-LIM   LA 2221 (22:05-23:25 hrs)  /  LA 2222 (00:05-01:35 hrs)</v>
      </c>
    </row>
    <row r="1270" spans="2:24" x14ac:dyDescent="0.25">
      <c r="J1270" s="7" t="s">
        <v>43</v>
      </c>
      <c r="K1270" s="8" t="str">
        <f>TEXT(TIMEVALUE(I1269)-TIMEVALUE(H1268)+(I1269&lt;H1268),"[h]:mm")</f>
        <v>3:30</v>
      </c>
    </row>
    <row r="1272" spans="2:24" ht="30" x14ac:dyDescent="0.25">
      <c r="B1272" s="3" t="s">
        <v>9</v>
      </c>
      <c r="C1272" s="3" t="s">
        <v>17</v>
      </c>
      <c r="D1272" s="3" t="s">
        <v>18</v>
      </c>
      <c r="E1272" s="3" t="s">
        <v>19</v>
      </c>
      <c r="F1272" s="3" t="s">
        <v>20</v>
      </c>
      <c r="G1272" s="3" t="s">
        <v>21</v>
      </c>
      <c r="H1272" s="3" t="s">
        <v>22</v>
      </c>
      <c r="I1272" s="3" t="s">
        <v>23</v>
      </c>
      <c r="J1272" s="3" t="s">
        <v>24</v>
      </c>
      <c r="K1272" s="3" t="s">
        <v>25</v>
      </c>
      <c r="L1272" s="3" t="s">
        <v>26</v>
      </c>
    </row>
    <row r="1273" spans="2:24" ht="30" x14ac:dyDescent="0.25">
      <c r="B1273" s="4">
        <v>1273</v>
      </c>
      <c r="C1273" s="4" t="s">
        <v>182</v>
      </c>
      <c r="D1273" s="4" t="s">
        <v>28</v>
      </c>
      <c r="E1273" s="4">
        <v>2123</v>
      </c>
      <c r="F1273" s="4" t="s">
        <v>29</v>
      </c>
      <c r="G1273" s="4" t="s">
        <v>56</v>
      </c>
      <c r="H1273" s="4" t="s">
        <v>139</v>
      </c>
      <c r="I1273" s="4" t="s">
        <v>140</v>
      </c>
      <c r="J1273" s="4">
        <v>320</v>
      </c>
      <c r="L1273" s="4" t="s">
        <v>40</v>
      </c>
      <c r="M1273" s="5"/>
      <c r="O1273" s="5"/>
      <c r="Q1273" s="4">
        <f>B1273</f>
        <v>1273</v>
      </c>
      <c r="R1273" s="4" t="str">
        <f>C1273</f>
        <v>15/10/2026</v>
      </c>
      <c r="S1273" s="4" t="str">
        <f>D1273</f>
        <v>jueves</v>
      </c>
      <c r="T1273" s="4" t="str">
        <f>E1273&amp;"/"&amp;E1274</f>
        <v>2123/2124</v>
      </c>
      <c r="U1273" s="4" t="str">
        <f>F1273&amp;"-"&amp;G1273&amp;"-"&amp;F1273</f>
        <v>LIM-AQP-LIM</v>
      </c>
      <c r="V1273" s="4" t="str">
        <f>IF($M$1273="","",$M$1273)</f>
        <v/>
      </c>
      <c r="W1273" s="4" t="str">
        <f>IF($O$1273="","",$O$1273)</f>
        <v/>
      </c>
      <c r="X1273" s="4">
        <f>J1273</f>
        <v>320</v>
      </c>
    </row>
    <row r="1274" spans="2:24" ht="30" x14ac:dyDescent="0.25">
      <c r="B1274" s="4">
        <v>1273</v>
      </c>
      <c r="C1274" s="4" t="s">
        <v>182</v>
      </c>
      <c r="D1274" s="4" t="s">
        <v>28</v>
      </c>
      <c r="E1274" s="4">
        <v>2124</v>
      </c>
      <c r="F1274" s="4" t="s">
        <v>56</v>
      </c>
      <c r="G1274" s="4" t="s">
        <v>29</v>
      </c>
      <c r="H1274" s="4" t="s">
        <v>141</v>
      </c>
      <c r="I1274" s="4" t="s">
        <v>142</v>
      </c>
      <c r="J1274" s="4">
        <v>320</v>
      </c>
      <c r="K1274" t="str">
        <f>TEXT(TIMEVALUE(H1274)-TIMEVALUE(I1273)+(TIMEVALUE(H1274)&lt;TIMEVALUE(I1273)),"[h]:mm")</f>
        <v>0:45</v>
      </c>
      <c r="L1274" s="4" t="s">
        <v>36</v>
      </c>
      <c r="O1274" t="str">
        <f>"LIM-"&amp;G1273&amp;"-LIM   LA "&amp;E1273&amp;" ("&amp;LEFT(H1273,5)&amp;"-"&amp;LEFT(I1273,5)&amp;" hrs)  /  LA "&amp;E1274&amp;" ("&amp;LEFT(H1274,5)&amp;"-"&amp;LEFT(I1274,5)&amp;" hrs)"</f>
        <v>LIM-AQP-LIM   LA 2123 (09:15-10:45 hrs)  /  LA 2124 (11:30-13:05 hrs)</v>
      </c>
    </row>
    <row r="1275" spans="2:24" x14ac:dyDescent="0.25">
      <c r="J1275" s="7" t="s">
        <v>43</v>
      </c>
      <c r="K1275" s="8" t="str">
        <f>TEXT(TIMEVALUE(I1274)-TIMEVALUE(H1273)+(I1274&lt;H1273),"[h]:mm")</f>
        <v>3:50</v>
      </c>
    </row>
    <row r="1277" spans="2:24" ht="30" x14ac:dyDescent="0.25">
      <c r="B1277" s="3" t="s">
        <v>9</v>
      </c>
      <c r="C1277" s="3" t="s">
        <v>17</v>
      </c>
      <c r="D1277" s="3" t="s">
        <v>18</v>
      </c>
      <c r="E1277" s="3" t="s">
        <v>19</v>
      </c>
      <c r="F1277" s="3" t="s">
        <v>20</v>
      </c>
      <c r="G1277" s="3" t="s">
        <v>21</v>
      </c>
      <c r="H1277" s="3" t="s">
        <v>22</v>
      </c>
      <c r="I1277" s="3" t="s">
        <v>23</v>
      </c>
      <c r="J1277" s="3" t="s">
        <v>24</v>
      </c>
      <c r="K1277" s="3" t="s">
        <v>25</v>
      </c>
      <c r="L1277" s="3" t="s">
        <v>26</v>
      </c>
    </row>
    <row r="1278" spans="2:24" ht="30" x14ac:dyDescent="0.25">
      <c r="B1278" s="4">
        <v>1277</v>
      </c>
      <c r="C1278" s="4" t="s">
        <v>182</v>
      </c>
      <c r="D1278" s="4" t="s">
        <v>28</v>
      </c>
      <c r="E1278" s="4">
        <v>2299</v>
      </c>
      <c r="F1278" s="4" t="s">
        <v>29</v>
      </c>
      <c r="G1278" s="4" t="s">
        <v>50</v>
      </c>
      <c r="H1278" s="4" t="s">
        <v>64</v>
      </c>
      <c r="I1278" s="4" t="s">
        <v>35</v>
      </c>
      <c r="J1278" s="4">
        <v>320</v>
      </c>
      <c r="L1278" s="4" t="s">
        <v>33</v>
      </c>
      <c r="M1278" s="5"/>
      <c r="O1278" s="5"/>
      <c r="Q1278" s="4">
        <f>B1278</f>
        <v>1277</v>
      </c>
      <c r="R1278" s="4" t="str">
        <f>C1278</f>
        <v>15/10/2026</v>
      </c>
      <c r="S1278" s="4" t="str">
        <f>D1278</f>
        <v>jueves</v>
      </c>
      <c r="T1278" s="4" t="str">
        <f>E1278&amp;"/"&amp;E1279</f>
        <v>2299/2298</v>
      </c>
      <c r="U1278" s="4" t="str">
        <f>F1278&amp;"-"&amp;G1278&amp;"-"&amp;F1278</f>
        <v>LIM-CJA-LIM</v>
      </c>
      <c r="V1278" s="4" t="str">
        <f>IF($M$1278="","",$M$1278)</f>
        <v/>
      </c>
      <c r="W1278" s="4" t="str">
        <f>IF($O$1278="","",$O$1278)</f>
        <v/>
      </c>
      <c r="X1278" s="4">
        <f>J1278</f>
        <v>320</v>
      </c>
    </row>
    <row r="1279" spans="2:24" ht="30" x14ac:dyDescent="0.25">
      <c r="B1279" s="4">
        <v>1277</v>
      </c>
      <c r="C1279" s="4" t="s">
        <v>182</v>
      </c>
      <c r="D1279" s="4" t="s">
        <v>28</v>
      </c>
      <c r="E1279" s="4">
        <v>2298</v>
      </c>
      <c r="F1279" s="4" t="s">
        <v>50</v>
      </c>
      <c r="G1279" s="4" t="s">
        <v>29</v>
      </c>
      <c r="H1279" s="4" t="s">
        <v>72</v>
      </c>
      <c r="I1279" s="4" t="s">
        <v>73</v>
      </c>
      <c r="J1279" s="4">
        <v>320</v>
      </c>
      <c r="K1279" t="str">
        <f>TEXT(TIMEVALUE(H1279)-TIMEVALUE(I1278)+(TIMEVALUE(H1279)&lt;TIMEVALUE(I1278)),"[h]:mm")</f>
        <v>0:45</v>
      </c>
      <c r="L1279" s="4" t="s">
        <v>74</v>
      </c>
      <c r="O1279" t="str">
        <f>"LIM-"&amp;G1278&amp;"-LIM   LA "&amp;E1278&amp;" ("&amp;LEFT(H1278,5)&amp;"-"&amp;LEFT(I1278,5)&amp;" hrs)  /  LA "&amp;E1279&amp;" ("&amp;LEFT(H1279,5)&amp;"-"&amp;LEFT(I1279,5)&amp;" hrs)"</f>
        <v>LIM-CJA-LIM   LA 2299 (11:35-12:55 hrs)  /  LA 2298 (13:40-14:50 hrs)</v>
      </c>
    </row>
    <row r="1280" spans="2:24" x14ac:dyDescent="0.25">
      <c r="J1280" s="7" t="s">
        <v>43</v>
      </c>
      <c r="K1280" s="8" t="str">
        <f>TEXT(TIMEVALUE(I1279)-TIMEVALUE(H1278)+(I1279&lt;H1278),"[h]:mm")</f>
        <v>3:15</v>
      </c>
    </row>
    <row r="1282" spans="2:24" ht="30" x14ac:dyDescent="0.25">
      <c r="B1282" s="3" t="s">
        <v>9</v>
      </c>
      <c r="C1282" s="3" t="s">
        <v>17</v>
      </c>
      <c r="D1282" s="3" t="s">
        <v>18</v>
      </c>
      <c r="E1282" s="3" t="s">
        <v>19</v>
      </c>
      <c r="F1282" s="3" t="s">
        <v>20</v>
      </c>
      <c r="G1282" s="3" t="s">
        <v>21</v>
      </c>
      <c r="H1282" s="3" t="s">
        <v>22</v>
      </c>
      <c r="I1282" s="3" t="s">
        <v>23</v>
      </c>
      <c r="J1282" s="3" t="s">
        <v>24</v>
      </c>
      <c r="K1282" s="3" t="s">
        <v>25</v>
      </c>
      <c r="L1282" s="3" t="s">
        <v>26</v>
      </c>
    </row>
    <row r="1283" spans="2:24" ht="30" x14ac:dyDescent="0.25">
      <c r="B1283" s="4">
        <v>1279</v>
      </c>
      <c r="C1283" s="4" t="s">
        <v>182</v>
      </c>
      <c r="D1283" s="4" t="s">
        <v>28</v>
      </c>
      <c r="E1283" s="4">
        <v>2061</v>
      </c>
      <c r="F1283" s="4" t="s">
        <v>29</v>
      </c>
      <c r="G1283" s="4" t="s">
        <v>30</v>
      </c>
      <c r="H1283" s="4" t="s">
        <v>103</v>
      </c>
      <c r="I1283" s="4" t="s">
        <v>120</v>
      </c>
      <c r="J1283" s="4">
        <v>320</v>
      </c>
      <c r="L1283" s="4" t="s">
        <v>33</v>
      </c>
      <c r="M1283" s="5"/>
      <c r="O1283" s="5"/>
      <c r="Q1283" s="4">
        <f>B1283</f>
        <v>1279</v>
      </c>
      <c r="R1283" s="4" t="str">
        <f>C1283</f>
        <v>15/10/2026</v>
      </c>
      <c r="S1283" s="4" t="str">
        <f>D1283</f>
        <v>jueves</v>
      </c>
      <c r="T1283" s="4" t="str">
        <f>E1283&amp;"/"&amp;E1284</f>
        <v>2061/2062</v>
      </c>
      <c r="U1283" s="4" t="str">
        <f>F1283&amp;"-"&amp;G1283&amp;"-"&amp;F1283</f>
        <v>LIM-CUZ-LIM</v>
      </c>
      <c r="V1283" s="4" t="str">
        <f>IF($M$1283="","",$M$1283)</f>
        <v/>
      </c>
      <c r="W1283" s="4" t="str">
        <f>IF($O$1283="","",$O$1283)</f>
        <v/>
      </c>
      <c r="X1283" s="4">
        <f>J1283</f>
        <v>320</v>
      </c>
    </row>
    <row r="1284" spans="2:24" ht="30" x14ac:dyDescent="0.25">
      <c r="B1284" s="4">
        <v>1279</v>
      </c>
      <c r="C1284" s="4" t="s">
        <v>182</v>
      </c>
      <c r="D1284" s="4" t="s">
        <v>28</v>
      </c>
      <c r="E1284" s="4">
        <v>2062</v>
      </c>
      <c r="F1284" s="4" t="s">
        <v>30</v>
      </c>
      <c r="G1284" s="4" t="s">
        <v>29</v>
      </c>
      <c r="H1284" s="4" t="s">
        <v>72</v>
      </c>
      <c r="I1284" s="4" t="s">
        <v>51</v>
      </c>
      <c r="J1284" s="4">
        <v>320</v>
      </c>
      <c r="K1284" t="str">
        <f>TEXT(TIMEVALUE(H1284)-TIMEVALUE(I1283)+(TIMEVALUE(H1284)&lt;TIMEVALUE(I1283)),"[h]:mm")</f>
        <v>0:40</v>
      </c>
      <c r="L1284" s="4" t="s">
        <v>36</v>
      </c>
      <c r="O1284" t="str">
        <f>"LIM-"&amp;G1283&amp;"-LIM   LA "&amp;E1283&amp;" ("&amp;LEFT(H1283,5)&amp;"-"&amp;LEFT(I1283,5)&amp;" hrs)  /  LA "&amp;E1284&amp;" ("&amp;LEFT(H1284,5)&amp;"-"&amp;LEFT(I1284,5)&amp;" hrs)"</f>
        <v>LIM-CUZ-LIM   LA 2061 (11:40-13:00 hrs)  /  LA 2062 (13:40-15:15 hrs)</v>
      </c>
    </row>
    <row r="1285" spans="2:24" x14ac:dyDescent="0.25">
      <c r="J1285" s="7" t="s">
        <v>43</v>
      </c>
      <c r="K1285" s="8" t="str">
        <f>TEXT(TIMEVALUE(I1284)-TIMEVALUE(H1283)+(I1284&lt;H1283),"[h]:mm")</f>
        <v>3:35</v>
      </c>
    </row>
    <row r="1287" spans="2:24" ht="30" x14ac:dyDescent="0.25">
      <c r="B1287" s="3" t="s">
        <v>9</v>
      </c>
      <c r="C1287" s="3" t="s">
        <v>17</v>
      </c>
      <c r="D1287" s="3" t="s">
        <v>18</v>
      </c>
      <c r="E1287" s="3" t="s">
        <v>19</v>
      </c>
      <c r="F1287" s="3" t="s">
        <v>20</v>
      </c>
      <c r="G1287" s="3" t="s">
        <v>21</v>
      </c>
      <c r="H1287" s="3" t="s">
        <v>22</v>
      </c>
      <c r="I1287" s="3" t="s">
        <v>23</v>
      </c>
      <c r="J1287" s="3" t="s">
        <v>24</v>
      </c>
      <c r="K1287" s="3" t="s">
        <v>25</v>
      </c>
      <c r="L1287" s="3" t="s">
        <v>26</v>
      </c>
    </row>
    <row r="1288" spans="2:24" ht="30" x14ac:dyDescent="0.25">
      <c r="B1288" s="4">
        <v>1287</v>
      </c>
      <c r="C1288" s="4" t="s">
        <v>182</v>
      </c>
      <c r="D1288" s="4" t="s">
        <v>28</v>
      </c>
      <c r="E1288" s="4">
        <v>2043</v>
      </c>
      <c r="F1288" s="4" t="s">
        <v>29</v>
      </c>
      <c r="G1288" s="4" t="s">
        <v>56</v>
      </c>
      <c r="H1288" s="4" t="s">
        <v>48</v>
      </c>
      <c r="I1288" s="4" t="s">
        <v>107</v>
      </c>
      <c r="J1288" s="4">
        <v>320</v>
      </c>
      <c r="L1288" s="4" t="s">
        <v>40</v>
      </c>
      <c r="M1288" s="5"/>
      <c r="O1288" s="5"/>
      <c r="Q1288" s="4">
        <f>B1288</f>
        <v>1287</v>
      </c>
      <c r="R1288" s="4" t="str">
        <f>C1288</f>
        <v>15/10/2026</v>
      </c>
      <c r="S1288" s="4" t="str">
        <f>D1288</f>
        <v>jueves</v>
      </c>
      <c r="T1288" s="4" t="str">
        <f>E1288&amp;"/"&amp;E1289</f>
        <v>2043/2044</v>
      </c>
      <c r="U1288" s="4" t="str">
        <f>F1288&amp;"-"&amp;G1288&amp;"-"&amp;F1288</f>
        <v>LIM-AQP-LIM</v>
      </c>
      <c r="V1288" s="4" t="str">
        <f>IF($M$1288="","",$M$1288)</f>
        <v/>
      </c>
      <c r="W1288" s="4" t="str">
        <f>IF($O$1288="","",$O$1288)</f>
        <v/>
      </c>
      <c r="X1288" s="4">
        <f>J1288</f>
        <v>320</v>
      </c>
    </row>
    <row r="1289" spans="2:24" ht="30" x14ac:dyDescent="0.25">
      <c r="B1289" s="4">
        <v>1287</v>
      </c>
      <c r="C1289" s="4" t="s">
        <v>182</v>
      </c>
      <c r="D1289" s="4" t="s">
        <v>28</v>
      </c>
      <c r="E1289" s="4">
        <v>2044</v>
      </c>
      <c r="F1289" s="4" t="s">
        <v>56</v>
      </c>
      <c r="G1289" s="4" t="s">
        <v>29</v>
      </c>
      <c r="H1289" s="4" t="s">
        <v>109</v>
      </c>
      <c r="I1289" s="4" t="s">
        <v>52</v>
      </c>
      <c r="J1289" s="4">
        <v>320</v>
      </c>
      <c r="K1289" t="str">
        <f>TEXT(TIMEVALUE(H1289)-TIMEVALUE(I1288)+(TIMEVALUE(H1289)&lt;TIMEVALUE(I1288)),"[h]:mm")</f>
        <v>0:45</v>
      </c>
      <c r="L1289" s="4" t="s">
        <v>36</v>
      </c>
      <c r="O1289" t="str">
        <f>"LIM-"&amp;G1288&amp;"-LIM   LA "&amp;E1288&amp;" ("&amp;LEFT(H1288,5)&amp;"-"&amp;LEFT(I1288,5)&amp;" hrs)  /  LA "&amp;E1289&amp;" ("&amp;LEFT(H1289,5)&amp;"-"&amp;LEFT(I1289,5)&amp;" hrs)"</f>
        <v>LIM-AQP-LIM   LA 2043 (12:45-14:15 hrs)  /  LA 2044 (15:00-16:35 hrs)</v>
      </c>
    </row>
    <row r="1290" spans="2:24" x14ac:dyDescent="0.25">
      <c r="J1290" s="7" t="s">
        <v>43</v>
      </c>
      <c r="K1290" s="8" t="str">
        <f>TEXT(TIMEVALUE(I1289)-TIMEVALUE(H1288)+(I1289&lt;H1288),"[h]:mm")</f>
        <v>3:50</v>
      </c>
    </row>
    <row r="1292" spans="2:24" ht="30" x14ac:dyDescent="0.25">
      <c r="B1292" s="3" t="s">
        <v>9</v>
      </c>
      <c r="C1292" s="3" t="s">
        <v>17</v>
      </c>
      <c r="D1292" s="3" t="s">
        <v>18</v>
      </c>
      <c r="E1292" s="3" t="s">
        <v>19</v>
      </c>
      <c r="F1292" s="3" t="s">
        <v>20</v>
      </c>
      <c r="G1292" s="3" t="s">
        <v>21</v>
      </c>
      <c r="H1292" s="3" t="s">
        <v>22</v>
      </c>
      <c r="I1292" s="3" t="s">
        <v>23</v>
      </c>
      <c r="J1292" s="3" t="s">
        <v>24</v>
      </c>
      <c r="K1292" s="3" t="s">
        <v>25</v>
      </c>
      <c r="L1292" s="3" t="s">
        <v>26</v>
      </c>
    </row>
    <row r="1293" spans="2:24" ht="30" x14ac:dyDescent="0.25">
      <c r="B1293" s="4">
        <v>1288</v>
      </c>
      <c r="C1293" s="4" t="s">
        <v>182</v>
      </c>
      <c r="D1293" s="4" t="s">
        <v>28</v>
      </c>
      <c r="E1293" s="4">
        <v>2308</v>
      </c>
      <c r="F1293" s="4" t="s">
        <v>29</v>
      </c>
      <c r="G1293" s="4" t="s">
        <v>125</v>
      </c>
      <c r="H1293" s="4" t="s">
        <v>144</v>
      </c>
      <c r="I1293" s="4" t="s">
        <v>145</v>
      </c>
      <c r="J1293" s="4">
        <v>320</v>
      </c>
      <c r="L1293" s="4" t="s">
        <v>47</v>
      </c>
      <c r="M1293" s="5"/>
      <c r="O1293" s="5"/>
      <c r="Q1293" s="4">
        <f>B1293</f>
        <v>1288</v>
      </c>
      <c r="R1293" s="4" t="str">
        <f>C1293</f>
        <v>15/10/2026</v>
      </c>
      <c r="S1293" s="4" t="str">
        <f>D1293</f>
        <v>jueves</v>
      </c>
      <c r="T1293" s="4" t="str">
        <f>E1293&amp;"/"&amp;E1294</f>
        <v>2308/2309</v>
      </c>
      <c r="U1293" s="4" t="str">
        <f>F1293&amp;"-"&amp;G1293&amp;"-"&amp;F1293</f>
        <v>LIM-PIU-LIM</v>
      </c>
      <c r="V1293" s="4" t="str">
        <f>IF($M$1293="","",$M$1293)</f>
        <v/>
      </c>
      <c r="W1293" s="4" t="str">
        <f>IF($O$1293="","",$O$1293)</f>
        <v/>
      </c>
      <c r="X1293" s="4">
        <f>J1293</f>
        <v>320</v>
      </c>
    </row>
    <row r="1294" spans="2:24" ht="30" x14ac:dyDescent="0.25">
      <c r="B1294" s="4">
        <v>1288</v>
      </c>
      <c r="C1294" s="4" t="s">
        <v>182</v>
      </c>
      <c r="D1294" s="4" t="s">
        <v>28</v>
      </c>
      <c r="E1294" s="4">
        <v>2309</v>
      </c>
      <c r="F1294" s="4" t="s">
        <v>125</v>
      </c>
      <c r="G1294" s="4" t="s">
        <v>29</v>
      </c>
      <c r="H1294" s="4" t="s">
        <v>146</v>
      </c>
      <c r="I1294" s="4" t="s">
        <v>60</v>
      </c>
      <c r="J1294" s="4">
        <v>320</v>
      </c>
      <c r="K1294" t="str">
        <f>TEXT(TIMEVALUE(H1294)-TIMEVALUE(I1293)+(TIMEVALUE(H1294)&lt;TIMEVALUE(I1293)),"[h]:mm")</f>
        <v>0:35</v>
      </c>
      <c r="L1294" s="4" t="s">
        <v>40</v>
      </c>
      <c r="O1294" t="str">
        <f>"LIM-"&amp;G1293&amp;"-LIM   LA "&amp;E1293&amp;" ("&amp;LEFT(H1293,5)&amp;"-"&amp;LEFT(I1293,5)&amp;" hrs)  /  LA "&amp;E1294&amp;" ("&amp;LEFT(H1294,5)&amp;"-"&amp;LEFT(I1294,5)&amp;" hrs)"</f>
        <v>LIM-PIU-LIM   LA 2308 (12:50-14:35 hrs)  /  LA 2309 (15:10-16:40 hrs)</v>
      </c>
    </row>
    <row r="1295" spans="2:24" x14ac:dyDescent="0.25">
      <c r="J1295" s="7" t="s">
        <v>43</v>
      </c>
      <c r="K1295" s="8" t="str">
        <f>TEXT(TIMEVALUE(I1294)-TIMEVALUE(H1293)+(I1294&lt;H1293),"[h]:mm")</f>
        <v>3:50</v>
      </c>
    </row>
    <row r="1297" spans="2:24" ht="30" x14ac:dyDescent="0.25">
      <c r="B1297" s="3" t="s">
        <v>9</v>
      </c>
      <c r="C1297" s="3" t="s">
        <v>17</v>
      </c>
      <c r="D1297" s="3" t="s">
        <v>18</v>
      </c>
      <c r="E1297" s="3" t="s">
        <v>19</v>
      </c>
      <c r="F1297" s="3" t="s">
        <v>20</v>
      </c>
      <c r="G1297" s="3" t="s">
        <v>21</v>
      </c>
      <c r="H1297" s="3" t="s">
        <v>22</v>
      </c>
      <c r="I1297" s="3" t="s">
        <v>23</v>
      </c>
      <c r="J1297" s="3" t="s">
        <v>24</v>
      </c>
      <c r="K1297" s="3" t="s">
        <v>25</v>
      </c>
      <c r="L1297" s="3" t="s">
        <v>26</v>
      </c>
    </row>
    <row r="1298" spans="2:24" ht="30" x14ac:dyDescent="0.25">
      <c r="B1298" s="4">
        <v>1293</v>
      </c>
      <c r="C1298" s="4" t="s">
        <v>182</v>
      </c>
      <c r="D1298" s="4" t="s">
        <v>28</v>
      </c>
      <c r="E1298" s="4">
        <v>2028</v>
      </c>
      <c r="F1298" s="4" t="s">
        <v>29</v>
      </c>
      <c r="G1298" s="4" t="s">
        <v>30</v>
      </c>
      <c r="H1298" s="4" t="s">
        <v>65</v>
      </c>
      <c r="I1298" s="4" t="s">
        <v>75</v>
      </c>
      <c r="J1298" s="4">
        <v>319</v>
      </c>
      <c r="L1298" s="4" t="s">
        <v>33</v>
      </c>
      <c r="M1298" s="5"/>
      <c r="O1298" s="5"/>
      <c r="Q1298" s="4">
        <f>B1298</f>
        <v>1293</v>
      </c>
      <c r="R1298" s="4" t="str">
        <f>C1298</f>
        <v>15/10/2026</v>
      </c>
      <c r="S1298" s="4" t="str">
        <f>D1298</f>
        <v>jueves</v>
      </c>
      <c r="T1298" s="4" t="str">
        <f>E1298&amp;"/"&amp;E1299</f>
        <v>2028/2029</v>
      </c>
      <c r="U1298" s="4" t="str">
        <f>F1298&amp;"-"&amp;G1298&amp;"-"&amp;F1298</f>
        <v>LIM-CUZ-LIM</v>
      </c>
      <c r="V1298" s="4" t="str">
        <f>IF($M$1298="","",$M$1298)</f>
        <v/>
      </c>
      <c r="W1298" s="4" t="str">
        <f>IF($O$1298="","",$O$1298)</f>
        <v/>
      </c>
      <c r="X1298" s="4">
        <f>J1298</f>
        <v>319</v>
      </c>
    </row>
    <row r="1299" spans="2:24" ht="30" x14ac:dyDescent="0.25">
      <c r="B1299" s="4">
        <v>1293</v>
      </c>
      <c r="C1299" s="4" t="s">
        <v>182</v>
      </c>
      <c r="D1299" s="4" t="s">
        <v>28</v>
      </c>
      <c r="E1299" s="4">
        <v>2029</v>
      </c>
      <c r="F1299" s="4" t="s">
        <v>30</v>
      </c>
      <c r="G1299" s="4" t="s">
        <v>29</v>
      </c>
      <c r="H1299" s="4" t="s">
        <v>76</v>
      </c>
      <c r="I1299" s="4" t="s">
        <v>77</v>
      </c>
      <c r="J1299" s="4">
        <v>319</v>
      </c>
      <c r="K1299" t="str">
        <f>TEXT(TIMEVALUE(H1299)-TIMEVALUE(I1298)+(TIMEVALUE(H1299)&lt;TIMEVALUE(I1298)),"[h]:mm")</f>
        <v>0:45</v>
      </c>
      <c r="L1299" s="4" t="s">
        <v>36</v>
      </c>
      <c r="O1299" t="str">
        <f>"LIM-"&amp;G1298&amp;"-LIM   LA "&amp;E1298&amp;" ("&amp;LEFT(H1298,5)&amp;"-"&amp;LEFT(I1298,5)&amp;" hrs)  /  LA "&amp;E1299&amp;" ("&amp;LEFT(H1299,5)&amp;"-"&amp;LEFT(I1299,5)&amp;" hrs)"</f>
        <v>LIM-CUZ-LIM   LA 2028 (13:25-14:45 hrs)  /  LA 2029 (15:30-17:05 hrs)</v>
      </c>
    </row>
    <row r="1300" spans="2:24" ht="30" x14ac:dyDescent="0.25">
      <c r="B1300" s="4">
        <v>1313</v>
      </c>
      <c r="C1300" s="4" t="s">
        <v>182</v>
      </c>
      <c r="D1300" s="4" t="s">
        <v>28</v>
      </c>
      <c r="E1300" s="4">
        <v>2310</v>
      </c>
      <c r="F1300" s="4" t="s">
        <v>29</v>
      </c>
      <c r="G1300" s="4" t="s">
        <v>37</v>
      </c>
      <c r="H1300" s="4" t="s">
        <v>111</v>
      </c>
      <c r="I1300" s="4" t="s">
        <v>112</v>
      </c>
      <c r="J1300" s="4">
        <v>320</v>
      </c>
      <c r="K1300" s="6" t="str">
        <f>TEXT(TIMEVALUE(H1300)-TIMEVALUE(I1299)+(TIMEVALUE(H1300)&lt;TIMEVALUE(I1299)),"[h]:mm")</f>
        <v>1:10</v>
      </c>
      <c r="L1300" s="4" t="s">
        <v>40</v>
      </c>
      <c r="M1300" t="str">
        <f>IF($M$1298="","",$M$1298)</f>
        <v/>
      </c>
      <c r="O1300" t="str">
        <f>IF($O$1298="","",$O$1298)</f>
        <v/>
      </c>
      <c r="Q1300" s="4">
        <f>B1300</f>
        <v>1313</v>
      </c>
      <c r="R1300" s="4" t="str">
        <f>C1300</f>
        <v>15/10/2026</v>
      </c>
      <c r="S1300" s="4" t="str">
        <f>D1300</f>
        <v>jueves</v>
      </c>
      <c r="T1300" s="4" t="str">
        <f>E1300&amp;"/"&amp;E1301</f>
        <v>2310/2311</v>
      </c>
      <c r="U1300" s="4" t="str">
        <f>F1300&amp;"-"&amp;G1300&amp;"-"&amp;F1300</f>
        <v>LIM-CIX-LIM</v>
      </c>
      <c r="V1300" s="4" t="str">
        <f>IF($M$1298="","",$M$1298)</f>
        <v/>
      </c>
      <c r="W1300" s="4" t="str">
        <f>IF($O$1298="","",$O$1298)</f>
        <v/>
      </c>
      <c r="X1300" s="4">
        <f>J1300</f>
        <v>320</v>
      </c>
    </row>
    <row r="1301" spans="2:24" ht="30" x14ac:dyDescent="0.25">
      <c r="B1301" s="4">
        <v>1313</v>
      </c>
      <c r="C1301" s="4" t="s">
        <v>182</v>
      </c>
      <c r="D1301" s="4" t="s">
        <v>28</v>
      </c>
      <c r="E1301" s="4">
        <v>2311</v>
      </c>
      <c r="F1301" s="4" t="s">
        <v>37</v>
      </c>
      <c r="G1301" s="4" t="s">
        <v>29</v>
      </c>
      <c r="H1301" s="4" t="s">
        <v>113</v>
      </c>
      <c r="I1301" s="4" t="s">
        <v>114</v>
      </c>
      <c r="J1301" s="4">
        <v>320</v>
      </c>
      <c r="K1301" t="str">
        <f>TEXT(TIMEVALUE(H1301)-TIMEVALUE(I1300)+(TIMEVALUE(H1301)&lt;TIMEVALUE(I1300)),"[h]:mm")</f>
        <v>0:35</v>
      </c>
      <c r="L1301" s="4" t="s">
        <v>93</v>
      </c>
      <c r="O1301" t="str">
        <f>"LIM-"&amp;G1300&amp;"-LIM   LA "&amp;E1300&amp;" ("&amp;LEFT(H1300,5)&amp;"-"&amp;LEFT(I1300,5)&amp;" hrs)  /  LA "&amp;E1301&amp;" ("&amp;LEFT(H1301,5)&amp;"-"&amp;LEFT(I1301,5)&amp;" hrs)"</f>
        <v>LIM-CIX-LIM   LA 2310 (18:15-19:45 hrs)  /  LA 2311 (20:20-21:45 hrs)</v>
      </c>
    </row>
    <row r="1302" spans="2:24" x14ac:dyDescent="0.25">
      <c r="J1302" s="7" t="s">
        <v>43</v>
      </c>
      <c r="K1302" s="8" t="str">
        <f>TEXT(TIMEVALUE(I1301)-TIMEVALUE(H1298)+(I1301&lt;H1298),"[h]:mm")</f>
        <v>8:20</v>
      </c>
    </row>
    <row r="1304" spans="2:24" ht="30" x14ac:dyDescent="0.25">
      <c r="B1304" s="3" t="s">
        <v>9</v>
      </c>
      <c r="C1304" s="3" t="s">
        <v>17</v>
      </c>
      <c r="D1304" s="3" t="s">
        <v>18</v>
      </c>
      <c r="E1304" s="3" t="s">
        <v>19</v>
      </c>
      <c r="F1304" s="3" t="s">
        <v>20</v>
      </c>
      <c r="G1304" s="3" t="s">
        <v>21</v>
      </c>
      <c r="H1304" s="3" t="s">
        <v>22</v>
      </c>
      <c r="I1304" s="3" t="s">
        <v>23</v>
      </c>
      <c r="J1304" s="3" t="s">
        <v>24</v>
      </c>
      <c r="K1304" s="3" t="s">
        <v>25</v>
      </c>
      <c r="L1304" s="3" t="s">
        <v>26</v>
      </c>
    </row>
    <row r="1305" spans="2:24" ht="30" x14ac:dyDescent="0.25">
      <c r="B1305" s="4">
        <v>1295</v>
      </c>
      <c r="C1305" s="4" t="s">
        <v>182</v>
      </c>
      <c r="D1305" s="4" t="s">
        <v>28</v>
      </c>
      <c r="E1305" s="4">
        <v>2152</v>
      </c>
      <c r="F1305" s="4" t="s">
        <v>29</v>
      </c>
      <c r="G1305" s="4" t="s">
        <v>37</v>
      </c>
      <c r="H1305" s="4" t="s">
        <v>38</v>
      </c>
      <c r="I1305" s="4" t="s">
        <v>39</v>
      </c>
      <c r="J1305" s="4">
        <v>320</v>
      </c>
      <c r="L1305" s="4" t="s">
        <v>40</v>
      </c>
      <c r="M1305" s="5"/>
      <c r="O1305" s="5"/>
      <c r="Q1305" s="4">
        <f>B1305</f>
        <v>1295</v>
      </c>
      <c r="R1305" s="4" t="str">
        <f>C1305</f>
        <v>15/10/2026</v>
      </c>
      <c r="S1305" s="4" t="str">
        <f>D1305</f>
        <v>jueves</v>
      </c>
      <c r="T1305" s="4" t="str">
        <f>E1305&amp;"/"&amp;E1306</f>
        <v>2152/2153</v>
      </c>
      <c r="U1305" s="4" t="str">
        <f>F1305&amp;"-"&amp;G1305&amp;"-"&amp;F1305</f>
        <v>LIM-CIX-LIM</v>
      </c>
      <c r="V1305" s="4" t="str">
        <f>IF($M$1305="","",$M$1305)</f>
        <v/>
      </c>
      <c r="W1305" s="4" t="str">
        <f>IF($O$1305="","",$O$1305)</f>
        <v/>
      </c>
      <c r="X1305" s="4">
        <f>J1305</f>
        <v>320</v>
      </c>
    </row>
    <row r="1306" spans="2:24" ht="30" x14ac:dyDescent="0.25">
      <c r="B1306" s="4">
        <v>1295</v>
      </c>
      <c r="C1306" s="4" t="s">
        <v>182</v>
      </c>
      <c r="D1306" s="4" t="s">
        <v>28</v>
      </c>
      <c r="E1306" s="4">
        <v>2153</v>
      </c>
      <c r="F1306" s="4" t="s">
        <v>37</v>
      </c>
      <c r="G1306" s="4" t="s">
        <v>29</v>
      </c>
      <c r="H1306" s="4" t="s">
        <v>41</v>
      </c>
      <c r="I1306" s="4" t="s">
        <v>42</v>
      </c>
      <c r="J1306" s="4">
        <v>320</v>
      </c>
      <c r="K1306" t="str">
        <f>TEXT(TIMEVALUE(H1306)-TIMEVALUE(I1305)+(TIMEVALUE(H1306)&lt;TIMEVALUE(I1305)),"[h]:mm")</f>
        <v>0:35</v>
      </c>
      <c r="L1306" s="4" t="s">
        <v>33</v>
      </c>
      <c r="O1306" t="str">
        <f>"LIM-"&amp;G1305&amp;"-LIM   LA "&amp;E1305&amp;" ("&amp;LEFT(H1305,5)&amp;"-"&amp;LEFT(I1305,5)&amp;" hrs)  /  LA "&amp;E1306&amp;" ("&amp;LEFT(H1306,5)&amp;"-"&amp;LEFT(I1306,5)&amp;" hrs)"</f>
        <v>LIM-CIX-LIM   LA 2152 (13:50-15:20 hrs)  /  LA 2153 (15:55-17:15 hrs)</v>
      </c>
    </row>
    <row r="1307" spans="2:24" x14ac:dyDescent="0.25">
      <c r="J1307" s="7" t="s">
        <v>43</v>
      </c>
      <c r="K1307" s="8" t="str">
        <f>TEXT(TIMEVALUE(I1306)-TIMEVALUE(H1305)+(I1306&lt;H1305),"[h]:mm")</f>
        <v>3:25</v>
      </c>
    </row>
    <row r="1309" spans="2:24" ht="30" x14ac:dyDescent="0.25">
      <c r="B1309" s="3" t="s">
        <v>9</v>
      </c>
      <c r="C1309" s="3" t="s">
        <v>17</v>
      </c>
      <c r="D1309" s="3" t="s">
        <v>18</v>
      </c>
      <c r="E1309" s="3" t="s">
        <v>19</v>
      </c>
      <c r="F1309" s="3" t="s">
        <v>20</v>
      </c>
      <c r="G1309" s="3" t="s">
        <v>21</v>
      </c>
      <c r="H1309" s="3" t="s">
        <v>22</v>
      </c>
      <c r="I1309" s="3" t="s">
        <v>23</v>
      </c>
      <c r="J1309" s="3" t="s">
        <v>24</v>
      </c>
      <c r="K1309" s="3" t="s">
        <v>25</v>
      </c>
      <c r="L1309" s="3" t="s">
        <v>26</v>
      </c>
    </row>
    <row r="1310" spans="2:24" ht="30" x14ac:dyDescent="0.25">
      <c r="B1310" s="4">
        <v>1298</v>
      </c>
      <c r="C1310" s="4" t="s">
        <v>182</v>
      </c>
      <c r="D1310" s="4" t="s">
        <v>28</v>
      </c>
      <c r="E1310" s="4">
        <v>2154</v>
      </c>
      <c r="F1310" s="4" t="s">
        <v>29</v>
      </c>
      <c r="G1310" s="4" t="s">
        <v>30</v>
      </c>
      <c r="H1310" s="4" t="s">
        <v>75</v>
      </c>
      <c r="I1310" s="4" t="s">
        <v>85</v>
      </c>
      <c r="J1310" s="4">
        <v>320</v>
      </c>
      <c r="L1310" s="4" t="s">
        <v>33</v>
      </c>
      <c r="M1310" s="5"/>
      <c r="O1310" s="5"/>
      <c r="Q1310" s="4">
        <f>B1310</f>
        <v>1298</v>
      </c>
      <c r="R1310" s="4" t="str">
        <f>C1310</f>
        <v>15/10/2026</v>
      </c>
      <c r="S1310" s="4" t="str">
        <f>D1310</f>
        <v>jueves</v>
      </c>
      <c r="T1310" s="4" t="str">
        <f>E1310&amp;"/"&amp;E1311</f>
        <v>2154/2155</v>
      </c>
      <c r="U1310" s="4" t="str">
        <f>F1310&amp;"-"&amp;G1310&amp;"-"&amp;F1310</f>
        <v>LIM-CUZ-LIM</v>
      </c>
      <c r="V1310" s="4" t="str">
        <f>IF($M$1310="","",$M$1310)</f>
        <v/>
      </c>
      <c r="W1310" s="4" t="str">
        <f>IF($O$1310="","",$O$1310)</f>
        <v/>
      </c>
      <c r="X1310" s="4">
        <f>J1310</f>
        <v>320</v>
      </c>
    </row>
    <row r="1311" spans="2:24" ht="30" x14ac:dyDescent="0.25">
      <c r="B1311" s="4">
        <v>1298</v>
      </c>
      <c r="C1311" s="4" t="s">
        <v>182</v>
      </c>
      <c r="D1311" s="4" t="s">
        <v>28</v>
      </c>
      <c r="E1311" s="4">
        <v>2155</v>
      </c>
      <c r="F1311" s="4" t="s">
        <v>30</v>
      </c>
      <c r="G1311" s="4" t="s">
        <v>29</v>
      </c>
      <c r="H1311" s="4" t="s">
        <v>86</v>
      </c>
      <c r="I1311" s="4" t="s">
        <v>78</v>
      </c>
      <c r="J1311" s="4">
        <v>320</v>
      </c>
      <c r="K1311" t="str">
        <f>TEXT(TIMEVALUE(H1311)-TIMEVALUE(I1310)+(TIMEVALUE(H1311)&lt;TIMEVALUE(I1310)),"[h]:mm")</f>
        <v>0:40</v>
      </c>
      <c r="L1311" s="4" t="s">
        <v>36</v>
      </c>
      <c r="O1311" t="str">
        <f>"LIM-"&amp;G1310&amp;"-LIM   LA "&amp;E1310&amp;" ("&amp;LEFT(H1310,5)&amp;"-"&amp;LEFT(I1310,5)&amp;" hrs)  /  LA "&amp;E1311&amp;" ("&amp;LEFT(H1311,5)&amp;"-"&amp;LEFT(I1311,5)&amp;" hrs)"</f>
        <v>LIM-CUZ-LIM   LA 2154 (14:45-16:05 hrs)  /  LA 2155 (16:45-18:20 hrs)</v>
      </c>
    </row>
    <row r="1312" spans="2:24" x14ac:dyDescent="0.25">
      <c r="J1312" s="7" t="s">
        <v>43</v>
      </c>
      <c r="K1312" s="8" t="str">
        <f>TEXT(TIMEVALUE(I1311)-TIMEVALUE(H1310)+(I1311&lt;H1310),"[h]:mm")</f>
        <v>3:35</v>
      </c>
    </row>
    <row r="1314" spans="2:24" ht="30" x14ac:dyDescent="0.25">
      <c r="B1314" s="3" t="s">
        <v>9</v>
      </c>
      <c r="C1314" s="3" t="s">
        <v>17</v>
      </c>
      <c r="D1314" s="3" t="s">
        <v>18</v>
      </c>
      <c r="E1314" s="3" t="s">
        <v>19</v>
      </c>
      <c r="F1314" s="3" t="s">
        <v>20</v>
      </c>
      <c r="G1314" s="3" t="s">
        <v>21</v>
      </c>
      <c r="H1314" s="3" t="s">
        <v>22</v>
      </c>
      <c r="I1314" s="3" t="s">
        <v>23</v>
      </c>
      <c r="J1314" s="3" t="s">
        <v>24</v>
      </c>
      <c r="K1314" s="3" t="s">
        <v>25</v>
      </c>
      <c r="L1314" s="3" t="s">
        <v>26</v>
      </c>
    </row>
    <row r="1315" spans="2:24" ht="30" x14ac:dyDescent="0.25">
      <c r="B1315" s="4">
        <v>1299</v>
      </c>
      <c r="C1315" s="4" t="s">
        <v>182</v>
      </c>
      <c r="D1315" s="4" t="s">
        <v>28</v>
      </c>
      <c r="E1315" s="4">
        <v>2264</v>
      </c>
      <c r="F1315" s="4" t="s">
        <v>29</v>
      </c>
      <c r="G1315" s="4" t="s">
        <v>44</v>
      </c>
      <c r="H1315" s="4" t="s">
        <v>87</v>
      </c>
      <c r="I1315" s="4" t="s">
        <v>60</v>
      </c>
      <c r="J1315" s="4">
        <v>320</v>
      </c>
      <c r="L1315" s="4" t="s">
        <v>47</v>
      </c>
      <c r="M1315" s="5"/>
      <c r="O1315" s="5"/>
      <c r="Q1315" s="4">
        <f>B1315</f>
        <v>1299</v>
      </c>
      <c r="R1315" s="4" t="str">
        <f>C1315</f>
        <v>15/10/2026</v>
      </c>
      <c r="S1315" s="4" t="str">
        <f>D1315</f>
        <v>jueves</v>
      </c>
      <c r="T1315" s="4" t="str">
        <f>E1315&amp;"/"&amp;E1316</f>
        <v>2264/2265</v>
      </c>
      <c r="U1315" s="4" t="str">
        <f>F1315&amp;"-"&amp;G1315&amp;"-"&amp;F1315</f>
        <v>LIM-PEM-LIM</v>
      </c>
      <c r="V1315" s="4" t="str">
        <f>IF($M$1315="","",$M$1315)</f>
        <v/>
      </c>
      <c r="W1315" s="4" t="str">
        <f>IF($O$1315="","",$O$1315)</f>
        <v/>
      </c>
      <c r="X1315" s="4">
        <f>J1315</f>
        <v>320</v>
      </c>
    </row>
    <row r="1316" spans="2:24" ht="30" x14ac:dyDescent="0.25">
      <c r="B1316" s="4">
        <v>1299</v>
      </c>
      <c r="C1316" s="4" t="s">
        <v>182</v>
      </c>
      <c r="D1316" s="4" t="s">
        <v>28</v>
      </c>
      <c r="E1316" s="4">
        <v>2265</v>
      </c>
      <c r="F1316" s="4" t="s">
        <v>44</v>
      </c>
      <c r="G1316" s="4" t="s">
        <v>29</v>
      </c>
      <c r="H1316" s="4" t="s">
        <v>53</v>
      </c>
      <c r="I1316" s="4" t="s">
        <v>88</v>
      </c>
      <c r="J1316" s="4">
        <v>320</v>
      </c>
      <c r="K1316" t="str">
        <f>TEXT(TIMEVALUE(H1316)-TIMEVALUE(I1315)+(TIMEVALUE(H1316)&lt;TIMEVALUE(I1315)),"[h]:mm")</f>
        <v>0:40</v>
      </c>
      <c r="L1316" s="4" t="s">
        <v>36</v>
      </c>
      <c r="O1316" t="str">
        <f>"LIM-"&amp;G1315&amp;"-LIM   LA "&amp;E1315&amp;" ("&amp;LEFT(H1315,5)&amp;"-"&amp;LEFT(I1315,5)&amp;" hrs)  /  LA "&amp;E1316&amp;" ("&amp;LEFT(H1316,5)&amp;"-"&amp;LEFT(I1316,5)&amp;" hrs)"</f>
        <v>LIM-PEM-LIM   LA 2264 (14:55-16:40 hrs)  /  LA 2265 (17:20-18:55 hrs)</v>
      </c>
    </row>
    <row r="1317" spans="2:24" x14ac:dyDescent="0.25">
      <c r="J1317" s="7" t="s">
        <v>43</v>
      </c>
      <c r="K1317" s="8" t="str">
        <f>TEXT(TIMEVALUE(I1316)-TIMEVALUE(H1315)+(I1316&lt;H1315),"[h]:mm")</f>
        <v>4:00</v>
      </c>
    </row>
    <row r="1319" spans="2:24" ht="30" x14ac:dyDescent="0.25">
      <c r="B1319" s="3" t="s">
        <v>9</v>
      </c>
      <c r="C1319" s="3" t="s">
        <v>17</v>
      </c>
      <c r="D1319" s="3" t="s">
        <v>18</v>
      </c>
      <c r="E1319" s="3" t="s">
        <v>19</v>
      </c>
      <c r="F1319" s="3" t="s">
        <v>20</v>
      </c>
      <c r="G1319" s="3" t="s">
        <v>21</v>
      </c>
      <c r="H1319" s="3" t="s">
        <v>22</v>
      </c>
      <c r="I1319" s="3" t="s">
        <v>23</v>
      </c>
      <c r="J1319" s="3" t="s">
        <v>24</v>
      </c>
      <c r="K1319" s="3" t="s">
        <v>25</v>
      </c>
      <c r="L1319" s="3" t="s">
        <v>26</v>
      </c>
    </row>
    <row r="1320" spans="2:24" ht="30" x14ac:dyDescent="0.25">
      <c r="B1320" s="4">
        <v>1300</v>
      </c>
      <c r="C1320" s="4" t="s">
        <v>182</v>
      </c>
      <c r="D1320" s="4" t="s">
        <v>28</v>
      </c>
      <c r="E1320" s="4">
        <v>2264</v>
      </c>
      <c r="F1320" s="4" t="s">
        <v>29</v>
      </c>
      <c r="G1320" s="4" t="s">
        <v>44</v>
      </c>
      <c r="H1320" s="4" t="s">
        <v>87</v>
      </c>
      <c r="I1320" s="4" t="s">
        <v>60</v>
      </c>
      <c r="J1320" s="4">
        <v>320</v>
      </c>
      <c r="L1320" s="4" t="s">
        <v>47</v>
      </c>
      <c r="M1320" s="5"/>
      <c r="O1320" s="5"/>
      <c r="Q1320" s="4">
        <f>B1320</f>
        <v>1300</v>
      </c>
      <c r="R1320" s="4" t="str">
        <f>C1320</f>
        <v>15/10/2026</v>
      </c>
      <c r="S1320" s="4" t="str">
        <f>D1320</f>
        <v>jueves</v>
      </c>
      <c r="T1320" s="4" t="str">
        <f>E1320&amp;"/"&amp;E1321</f>
        <v>2264/2265</v>
      </c>
      <c r="U1320" s="4" t="str">
        <f>F1320&amp;"-"&amp;G1320&amp;"-"&amp;F1320</f>
        <v>LIM-PEM-LIM</v>
      </c>
      <c r="V1320" s="4" t="str">
        <f>IF($M$1320="","",$M$1320)</f>
        <v/>
      </c>
      <c r="W1320" s="4" t="str">
        <f>IF($O$1320="","",$O$1320)</f>
        <v/>
      </c>
      <c r="X1320" s="4">
        <f>J1320</f>
        <v>320</v>
      </c>
    </row>
    <row r="1321" spans="2:24" ht="30" x14ac:dyDescent="0.25">
      <c r="B1321" s="4">
        <v>1300</v>
      </c>
      <c r="C1321" s="4" t="s">
        <v>182</v>
      </c>
      <c r="D1321" s="4" t="s">
        <v>28</v>
      </c>
      <c r="E1321" s="4">
        <v>2265</v>
      </c>
      <c r="F1321" s="4" t="s">
        <v>44</v>
      </c>
      <c r="G1321" s="4" t="s">
        <v>29</v>
      </c>
      <c r="H1321" s="4" t="s">
        <v>53</v>
      </c>
      <c r="I1321" s="4" t="s">
        <v>88</v>
      </c>
      <c r="J1321" s="4">
        <v>320</v>
      </c>
      <c r="K1321" t="str">
        <f>TEXT(TIMEVALUE(H1321)-TIMEVALUE(I1320)+(TIMEVALUE(H1321)&lt;TIMEVALUE(I1320)),"[h]:mm")</f>
        <v>0:40</v>
      </c>
      <c r="L1321" s="4" t="s">
        <v>36</v>
      </c>
      <c r="O1321" t="str">
        <f>"LIM-"&amp;G1320&amp;"-LIM   LA "&amp;E1320&amp;" ("&amp;LEFT(H1320,5)&amp;"-"&amp;LEFT(I1320,5)&amp;" hrs)  /  LA "&amp;E1321&amp;" ("&amp;LEFT(H1321,5)&amp;"-"&amp;LEFT(I1321,5)&amp;" hrs)"</f>
        <v>LIM-PEM-LIM   LA 2264 (14:55-16:40 hrs)  /  LA 2265 (17:20-18:55 hrs)</v>
      </c>
    </row>
    <row r="1322" spans="2:24" x14ac:dyDescent="0.25">
      <c r="J1322" s="7" t="s">
        <v>43</v>
      </c>
      <c r="K1322" s="8" t="str">
        <f>TEXT(TIMEVALUE(I1321)-TIMEVALUE(H1320)+(I1321&lt;H1320),"[h]:mm")</f>
        <v>4:00</v>
      </c>
    </row>
    <row r="1324" spans="2:24" ht="30" x14ac:dyDescent="0.25">
      <c r="B1324" s="3" t="s">
        <v>9</v>
      </c>
      <c r="C1324" s="3" t="s">
        <v>17</v>
      </c>
      <c r="D1324" s="3" t="s">
        <v>18</v>
      </c>
      <c r="E1324" s="3" t="s">
        <v>19</v>
      </c>
      <c r="F1324" s="3" t="s">
        <v>20</v>
      </c>
      <c r="G1324" s="3" t="s">
        <v>21</v>
      </c>
      <c r="H1324" s="3" t="s">
        <v>22</v>
      </c>
      <c r="I1324" s="3" t="s">
        <v>23</v>
      </c>
      <c r="J1324" s="3" t="s">
        <v>24</v>
      </c>
      <c r="K1324" s="3" t="s">
        <v>25</v>
      </c>
      <c r="L1324" s="3" t="s">
        <v>26</v>
      </c>
    </row>
    <row r="1325" spans="2:24" ht="30" x14ac:dyDescent="0.25">
      <c r="B1325" s="4">
        <v>1301</v>
      </c>
      <c r="C1325" s="4" t="s">
        <v>182</v>
      </c>
      <c r="D1325" s="4" t="s">
        <v>28</v>
      </c>
      <c r="E1325" s="4">
        <v>2338</v>
      </c>
      <c r="F1325" s="4" t="s">
        <v>29</v>
      </c>
      <c r="G1325" s="4" t="s">
        <v>125</v>
      </c>
      <c r="H1325" s="4" t="s">
        <v>109</v>
      </c>
      <c r="I1325" s="4" t="s">
        <v>86</v>
      </c>
      <c r="J1325" s="4">
        <v>319</v>
      </c>
      <c r="L1325" s="4" t="s">
        <v>47</v>
      </c>
      <c r="M1325" s="5"/>
      <c r="O1325" s="5"/>
      <c r="Q1325" s="4">
        <f>B1325</f>
        <v>1301</v>
      </c>
      <c r="R1325" s="4" t="str">
        <f>C1325</f>
        <v>15/10/2026</v>
      </c>
      <c r="S1325" s="4" t="str">
        <f>D1325</f>
        <v>jueves</v>
      </c>
      <c r="T1325" s="4" t="str">
        <f>E1325&amp;"/"&amp;E1326</f>
        <v>2338/2339</v>
      </c>
      <c r="U1325" s="4" t="str">
        <f>F1325&amp;"-"&amp;G1325&amp;"-"&amp;F1325</f>
        <v>LIM-PIU-LIM</v>
      </c>
      <c r="V1325" s="4" t="str">
        <f>IF($M$1325="","",$M$1325)</f>
        <v/>
      </c>
      <c r="W1325" s="4" t="str">
        <f>IF($O$1325="","",$O$1325)</f>
        <v/>
      </c>
      <c r="X1325" s="4">
        <f>J1325</f>
        <v>319</v>
      </c>
    </row>
    <row r="1326" spans="2:24" ht="30" x14ac:dyDescent="0.25">
      <c r="B1326" s="4">
        <v>1301</v>
      </c>
      <c r="C1326" s="4" t="s">
        <v>182</v>
      </c>
      <c r="D1326" s="4" t="s">
        <v>28</v>
      </c>
      <c r="E1326" s="4">
        <v>2339</v>
      </c>
      <c r="F1326" s="4" t="s">
        <v>125</v>
      </c>
      <c r="G1326" s="4" t="s">
        <v>29</v>
      </c>
      <c r="H1326" s="4" t="s">
        <v>53</v>
      </c>
      <c r="I1326" s="4" t="s">
        <v>88</v>
      </c>
      <c r="J1326" s="4">
        <v>319</v>
      </c>
      <c r="K1326" t="str">
        <f>TEXT(TIMEVALUE(H1326)-TIMEVALUE(I1325)+(TIMEVALUE(H1326)&lt;TIMEVALUE(I1325)),"[h]:mm")</f>
        <v>0:35</v>
      </c>
      <c r="L1326" s="4" t="s">
        <v>36</v>
      </c>
      <c r="O1326" t="str">
        <f>"LIM-"&amp;G1325&amp;"-LIM   LA "&amp;E1325&amp;" ("&amp;LEFT(H1325,5)&amp;"-"&amp;LEFT(I1325,5)&amp;" hrs)  /  LA "&amp;E1326&amp;" ("&amp;LEFT(H1326,5)&amp;"-"&amp;LEFT(I1326,5)&amp;" hrs)"</f>
        <v>LIM-PIU-LIM   LA 2338 (15:00-16:45 hrs)  /  LA 2339 (17:20-18:55 hrs)</v>
      </c>
    </row>
    <row r="1327" spans="2:24" x14ac:dyDescent="0.25">
      <c r="J1327" s="7" t="s">
        <v>43</v>
      </c>
      <c r="K1327" s="8" t="str">
        <f>TEXT(TIMEVALUE(I1326)-TIMEVALUE(H1325)+(I1326&lt;H1325),"[h]:mm")</f>
        <v>3:55</v>
      </c>
    </row>
    <row r="1329" spans="2:24" ht="30" x14ac:dyDescent="0.25">
      <c r="B1329" s="3" t="s">
        <v>9</v>
      </c>
      <c r="C1329" s="3" t="s">
        <v>17</v>
      </c>
      <c r="D1329" s="3" t="s">
        <v>18</v>
      </c>
      <c r="E1329" s="3" t="s">
        <v>19</v>
      </c>
      <c r="F1329" s="3" t="s">
        <v>20</v>
      </c>
      <c r="G1329" s="3" t="s">
        <v>21</v>
      </c>
      <c r="H1329" s="3" t="s">
        <v>22</v>
      </c>
      <c r="I1329" s="3" t="s">
        <v>23</v>
      </c>
      <c r="J1329" s="3" t="s">
        <v>24</v>
      </c>
      <c r="K1329" s="3" t="s">
        <v>25</v>
      </c>
      <c r="L1329" s="3" t="s">
        <v>26</v>
      </c>
    </row>
    <row r="1330" spans="2:24" ht="30" x14ac:dyDescent="0.25">
      <c r="B1330" s="4">
        <v>1302</v>
      </c>
      <c r="C1330" s="4" t="s">
        <v>182</v>
      </c>
      <c r="D1330" s="4" t="s">
        <v>28</v>
      </c>
      <c r="E1330" s="4">
        <v>2113</v>
      </c>
      <c r="F1330" s="4" t="s">
        <v>29</v>
      </c>
      <c r="G1330" s="4" t="s">
        <v>56</v>
      </c>
      <c r="H1330" s="4" t="s">
        <v>126</v>
      </c>
      <c r="I1330" s="4" t="s">
        <v>52</v>
      </c>
      <c r="J1330" s="4">
        <v>320</v>
      </c>
      <c r="L1330" s="4" t="s">
        <v>40</v>
      </c>
      <c r="M1330" s="5"/>
      <c r="O1330" s="5"/>
      <c r="Q1330" s="4">
        <f>B1330</f>
        <v>1302</v>
      </c>
      <c r="R1330" s="4" t="str">
        <f>C1330</f>
        <v>15/10/2026</v>
      </c>
      <c r="S1330" s="4" t="str">
        <f>D1330</f>
        <v>jueves</v>
      </c>
      <c r="T1330" s="4" t="str">
        <f>E1330&amp;"/"&amp;E1331</f>
        <v>2113/2112</v>
      </c>
      <c r="U1330" s="4" t="str">
        <f>F1330&amp;"-"&amp;G1330&amp;"-"&amp;F1330</f>
        <v>LIM-AQP-LIM</v>
      </c>
      <c r="V1330" s="4" t="str">
        <f>IF($M$1330="","",$M$1330)</f>
        <v/>
      </c>
      <c r="W1330" s="4" t="str">
        <f>IF($O$1330="","",$O$1330)</f>
        <v/>
      </c>
      <c r="X1330" s="4">
        <f>J1330</f>
        <v>320</v>
      </c>
    </row>
    <row r="1331" spans="2:24" ht="30" x14ac:dyDescent="0.25">
      <c r="B1331" s="4">
        <v>1302</v>
      </c>
      <c r="C1331" s="4" t="s">
        <v>182</v>
      </c>
      <c r="D1331" s="4" t="s">
        <v>28</v>
      </c>
      <c r="E1331" s="4">
        <v>2112</v>
      </c>
      <c r="F1331" s="4" t="s">
        <v>56</v>
      </c>
      <c r="G1331" s="4" t="s">
        <v>29</v>
      </c>
      <c r="H1331" s="4" t="s">
        <v>42</v>
      </c>
      <c r="I1331" s="4" t="s">
        <v>88</v>
      </c>
      <c r="J1331" s="4">
        <v>320</v>
      </c>
      <c r="K1331" t="str">
        <f>TEXT(TIMEVALUE(H1331)-TIMEVALUE(I1330)+(TIMEVALUE(H1331)&lt;TIMEVALUE(I1330)),"[h]:mm")</f>
        <v>0:40</v>
      </c>
      <c r="L1331" s="4" t="s">
        <v>71</v>
      </c>
      <c r="O1331" t="str">
        <f>"LIM-"&amp;G1330&amp;"-LIM   LA "&amp;E1330&amp;" ("&amp;LEFT(H1330,5)&amp;"-"&amp;LEFT(I1330,5)&amp;" hrs)  /  LA "&amp;E1331&amp;" ("&amp;LEFT(H1331,5)&amp;"-"&amp;LEFT(I1331,5)&amp;" hrs)"</f>
        <v>LIM-AQP-LIM   LA 2113 (15:05-16:35 hrs)  /  LA 2112 (17:15-18:55 hrs)</v>
      </c>
    </row>
    <row r="1332" spans="2:24" x14ac:dyDescent="0.25">
      <c r="J1332" s="7" t="s">
        <v>43</v>
      </c>
      <c r="K1332" s="8" t="str">
        <f>TEXT(TIMEVALUE(I1331)-TIMEVALUE(H1330)+(I1331&lt;H1330),"[h]:mm")</f>
        <v>3:50</v>
      </c>
    </row>
    <row r="1334" spans="2:24" ht="30" x14ac:dyDescent="0.25">
      <c r="B1334" s="3" t="s">
        <v>9</v>
      </c>
      <c r="C1334" s="3" t="s">
        <v>17</v>
      </c>
      <c r="D1334" s="3" t="s">
        <v>18</v>
      </c>
      <c r="E1334" s="3" t="s">
        <v>19</v>
      </c>
      <c r="F1334" s="3" t="s">
        <v>20</v>
      </c>
      <c r="G1334" s="3" t="s">
        <v>21</v>
      </c>
      <c r="H1334" s="3" t="s">
        <v>22</v>
      </c>
      <c r="I1334" s="3" t="s">
        <v>23</v>
      </c>
      <c r="J1334" s="3" t="s">
        <v>24</v>
      </c>
      <c r="K1334" s="3" t="s">
        <v>25</v>
      </c>
      <c r="L1334" s="3" t="s">
        <v>26</v>
      </c>
    </row>
    <row r="1335" spans="2:24" ht="30" x14ac:dyDescent="0.25">
      <c r="B1335" s="4">
        <v>1303</v>
      </c>
      <c r="C1335" s="4" t="s">
        <v>182</v>
      </c>
      <c r="D1335" s="4" t="s">
        <v>28</v>
      </c>
      <c r="E1335" s="4">
        <v>2113</v>
      </c>
      <c r="F1335" s="4" t="s">
        <v>29</v>
      </c>
      <c r="G1335" s="4" t="s">
        <v>56</v>
      </c>
      <c r="H1335" s="4" t="s">
        <v>126</v>
      </c>
      <c r="I1335" s="4" t="s">
        <v>52</v>
      </c>
      <c r="J1335" s="4">
        <v>320</v>
      </c>
      <c r="L1335" s="4" t="s">
        <v>40</v>
      </c>
      <c r="M1335" s="5"/>
      <c r="O1335" s="5"/>
      <c r="Q1335" s="4">
        <f>B1335</f>
        <v>1303</v>
      </c>
      <c r="R1335" s="4" t="str">
        <f>C1335</f>
        <v>15/10/2026</v>
      </c>
      <c r="S1335" s="4" t="str">
        <f>D1335</f>
        <v>jueves</v>
      </c>
      <c r="T1335" s="4" t="str">
        <f>E1335&amp;"/"&amp;E1336</f>
        <v>2113/2112</v>
      </c>
      <c r="U1335" s="4" t="str">
        <f>F1335&amp;"-"&amp;G1335&amp;"-"&amp;F1335</f>
        <v>LIM-AQP-LIM</v>
      </c>
      <c r="V1335" s="4" t="str">
        <f>IF($M$1335="","",$M$1335)</f>
        <v/>
      </c>
      <c r="W1335" s="4" t="str">
        <f>IF($O$1335="","",$O$1335)</f>
        <v/>
      </c>
      <c r="X1335" s="4">
        <f>J1335</f>
        <v>320</v>
      </c>
    </row>
    <row r="1336" spans="2:24" ht="30" x14ac:dyDescent="0.25">
      <c r="B1336" s="4">
        <v>1303</v>
      </c>
      <c r="C1336" s="4" t="s">
        <v>182</v>
      </c>
      <c r="D1336" s="4" t="s">
        <v>28</v>
      </c>
      <c r="E1336" s="4">
        <v>2112</v>
      </c>
      <c r="F1336" s="4" t="s">
        <v>56</v>
      </c>
      <c r="G1336" s="4" t="s">
        <v>29</v>
      </c>
      <c r="H1336" s="4" t="s">
        <v>42</v>
      </c>
      <c r="I1336" s="4" t="s">
        <v>88</v>
      </c>
      <c r="J1336" s="4">
        <v>320</v>
      </c>
      <c r="K1336" t="str">
        <f>TEXT(TIMEVALUE(H1336)-TIMEVALUE(I1335)+(TIMEVALUE(H1336)&lt;TIMEVALUE(I1335)),"[h]:mm")</f>
        <v>0:40</v>
      </c>
      <c r="L1336" s="4" t="s">
        <v>71</v>
      </c>
      <c r="O1336" t="str">
        <f>"LIM-"&amp;G1335&amp;"-LIM   LA "&amp;E1335&amp;" ("&amp;LEFT(H1335,5)&amp;"-"&amp;LEFT(I1335,5)&amp;" hrs)  /  LA "&amp;E1336&amp;" ("&amp;LEFT(H1336,5)&amp;"-"&amp;LEFT(I1336,5)&amp;" hrs)"</f>
        <v>LIM-AQP-LIM   LA 2113 (15:05-16:35 hrs)  /  LA 2112 (17:15-18:55 hrs)</v>
      </c>
    </row>
    <row r="1337" spans="2:24" x14ac:dyDescent="0.25">
      <c r="J1337" s="7" t="s">
        <v>43</v>
      </c>
      <c r="K1337" s="8" t="str">
        <f>TEXT(TIMEVALUE(I1336)-TIMEVALUE(H1335)+(I1336&lt;H1335),"[h]:mm")</f>
        <v>3:50</v>
      </c>
    </row>
    <row r="1339" spans="2:24" ht="30" x14ac:dyDescent="0.25">
      <c r="B1339" s="3" t="s">
        <v>9</v>
      </c>
      <c r="C1339" s="3" t="s">
        <v>17</v>
      </c>
      <c r="D1339" s="3" t="s">
        <v>18</v>
      </c>
      <c r="E1339" s="3" t="s">
        <v>19</v>
      </c>
      <c r="F1339" s="3" t="s">
        <v>20</v>
      </c>
      <c r="G1339" s="3" t="s">
        <v>21</v>
      </c>
      <c r="H1339" s="3" t="s">
        <v>22</v>
      </c>
      <c r="I1339" s="3" t="s">
        <v>23</v>
      </c>
      <c r="J1339" s="3" t="s">
        <v>24</v>
      </c>
      <c r="K1339" s="3" t="s">
        <v>25</v>
      </c>
      <c r="L1339" s="3" t="s">
        <v>26</v>
      </c>
    </row>
    <row r="1340" spans="2:24" ht="30" x14ac:dyDescent="0.25">
      <c r="B1340" s="4">
        <v>1305</v>
      </c>
      <c r="C1340" s="4" t="s">
        <v>182</v>
      </c>
      <c r="D1340" s="4" t="s">
        <v>28</v>
      </c>
      <c r="E1340" s="4">
        <v>2297</v>
      </c>
      <c r="F1340" s="4" t="s">
        <v>29</v>
      </c>
      <c r="G1340" s="4" t="s">
        <v>50</v>
      </c>
      <c r="H1340" s="4" t="s">
        <v>51</v>
      </c>
      <c r="I1340" s="4" t="s">
        <v>52</v>
      </c>
      <c r="J1340" s="4">
        <v>320</v>
      </c>
      <c r="L1340" s="4" t="s">
        <v>33</v>
      </c>
      <c r="M1340" s="5"/>
      <c r="O1340" s="5"/>
      <c r="Q1340" s="4">
        <f>B1340</f>
        <v>1305</v>
      </c>
      <c r="R1340" s="4" t="str">
        <f>C1340</f>
        <v>15/10/2026</v>
      </c>
      <c r="S1340" s="4" t="str">
        <f>D1340</f>
        <v>jueves</v>
      </c>
      <c r="T1340" s="4" t="str">
        <f>E1340&amp;"/"&amp;E1341</f>
        <v>2297/2296</v>
      </c>
      <c r="U1340" s="4" t="str">
        <f>F1340&amp;"-"&amp;G1340&amp;"-"&amp;F1340</f>
        <v>LIM-CJA-LIM</v>
      </c>
      <c r="V1340" s="4" t="str">
        <f>IF($M$1340="","",$M$1340)</f>
        <v/>
      </c>
      <c r="W1340" s="4" t="str">
        <f>IF($O$1340="","",$O$1340)</f>
        <v/>
      </c>
      <c r="X1340" s="4">
        <f>J1340</f>
        <v>320</v>
      </c>
    </row>
    <row r="1341" spans="2:24" ht="30" x14ac:dyDescent="0.25">
      <c r="B1341" s="4">
        <v>1305</v>
      </c>
      <c r="C1341" s="4" t="s">
        <v>182</v>
      </c>
      <c r="D1341" s="4" t="s">
        <v>28</v>
      </c>
      <c r="E1341" s="4">
        <v>2296</v>
      </c>
      <c r="F1341" s="4" t="s">
        <v>50</v>
      </c>
      <c r="G1341" s="4" t="s">
        <v>29</v>
      </c>
      <c r="H1341" s="4" t="s">
        <v>53</v>
      </c>
      <c r="I1341" s="4" t="s">
        <v>54</v>
      </c>
      <c r="J1341" s="4">
        <v>320</v>
      </c>
      <c r="K1341" t="str">
        <f>TEXT(TIMEVALUE(H1341)-TIMEVALUE(I1340)+(TIMEVALUE(H1341)&lt;TIMEVALUE(I1340)),"[h]:mm")</f>
        <v>0:45</v>
      </c>
      <c r="L1341" s="4" t="s">
        <v>55</v>
      </c>
      <c r="O1341" t="str">
        <f>"LIM-"&amp;G1340&amp;"-LIM   LA "&amp;E1340&amp;" ("&amp;LEFT(H1340,5)&amp;"-"&amp;LEFT(I1340,5)&amp;" hrs)  /  LA "&amp;E1341&amp;" ("&amp;LEFT(H1341,5)&amp;"-"&amp;LEFT(I1341,5)&amp;" hrs)"</f>
        <v>LIM-CJA-LIM   LA 2297 (15:15-16:35 hrs)  /  LA 2296 (17:20-18:25 hrs)</v>
      </c>
    </row>
    <row r="1342" spans="2:24" x14ac:dyDescent="0.25">
      <c r="J1342" s="7" t="s">
        <v>43</v>
      </c>
      <c r="K1342" s="8" t="str">
        <f>TEXT(TIMEVALUE(I1341)-TIMEVALUE(H1340)+(I1341&lt;H1340),"[h]:mm")</f>
        <v>3:10</v>
      </c>
    </row>
    <row r="1344" spans="2:24" ht="30" x14ac:dyDescent="0.25">
      <c r="B1344" s="3" t="s">
        <v>9</v>
      </c>
      <c r="C1344" s="3" t="s">
        <v>17</v>
      </c>
      <c r="D1344" s="3" t="s">
        <v>18</v>
      </c>
      <c r="E1344" s="3" t="s">
        <v>19</v>
      </c>
      <c r="F1344" s="3" t="s">
        <v>20</v>
      </c>
      <c r="G1344" s="3" t="s">
        <v>21</v>
      </c>
      <c r="H1344" s="3" t="s">
        <v>22</v>
      </c>
      <c r="I1344" s="3" t="s">
        <v>23</v>
      </c>
      <c r="J1344" s="3" t="s">
        <v>24</v>
      </c>
      <c r="K1344" s="3" t="s">
        <v>25</v>
      </c>
      <c r="L1344" s="3" t="s">
        <v>26</v>
      </c>
    </row>
    <row r="1345" spans="2:24" ht="30" x14ac:dyDescent="0.25">
      <c r="B1345" s="4">
        <v>1306</v>
      </c>
      <c r="C1345" s="4" t="s">
        <v>182</v>
      </c>
      <c r="D1345" s="4" t="s">
        <v>28</v>
      </c>
      <c r="E1345" s="4">
        <v>2360</v>
      </c>
      <c r="F1345" s="4" t="s">
        <v>29</v>
      </c>
      <c r="G1345" s="4" t="s">
        <v>58</v>
      </c>
      <c r="H1345" s="4" t="s">
        <v>59</v>
      </c>
      <c r="I1345" s="4" t="s">
        <v>60</v>
      </c>
      <c r="J1345" s="4">
        <v>319</v>
      </c>
      <c r="L1345" s="4" t="s">
        <v>61</v>
      </c>
      <c r="M1345" s="5"/>
      <c r="O1345" s="5"/>
      <c r="Q1345" s="4">
        <f>B1345</f>
        <v>1306</v>
      </c>
      <c r="R1345" s="4" t="str">
        <f>C1345</f>
        <v>15/10/2026</v>
      </c>
      <c r="S1345" s="4" t="str">
        <f>D1345</f>
        <v>jueves</v>
      </c>
      <c r="T1345" s="4" t="str">
        <f>E1345&amp;"/"&amp;E1346</f>
        <v>2360/2361</v>
      </c>
      <c r="U1345" s="4" t="str">
        <f>F1345&amp;"-"&amp;G1345&amp;"-"&amp;F1345</f>
        <v>LIM-PCL-LIM</v>
      </c>
      <c r="V1345" s="4" t="str">
        <f>IF($M$1345="","",$M$1345)</f>
        <v/>
      </c>
      <c r="W1345" s="4" t="str">
        <f>IF($O$1345="","",$O$1345)</f>
        <v/>
      </c>
      <c r="X1345" s="4">
        <f>J1345</f>
        <v>319</v>
      </c>
    </row>
    <row r="1346" spans="2:24" ht="30" x14ac:dyDescent="0.25">
      <c r="B1346" s="4">
        <v>1306</v>
      </c>
      <c r="C1346" s="4" t="s">
        <v>182</v>
      </c>
      <c r="D1346" s="4" t="s">
        <v>28</v>
      </c>
      <c r="E1346" s="4">
        <v>2361</v>
      </c>
      <c r="F1346" s="4" t="s">
        <v>58</v>
      </c>
      <c r="G1346" s="4" t="s">
        <v>29</v>
      </c>
      <c r="H1346" s="4" t="s">
        <v>53</v>
      </c>
      <c r="I1346" s="4" t="s">
        <v>62</v>
      </c>
      <c r="J1346" s="4">
        <v>319</v>
      </c>
      <c r="K1346" t="str">
        <f>TEXT(TIMEVALUE(H1346)-TIMEVALUE(I1345)+(TIMEVALUE(H1346)&lt;TIMEVALUE(I1345)),"[h]:mm")</f>
        <v>0:40</v>
      </c>
      <c r="L1346" s="4" t="s">
        <v>61</v>
      </c>
      <c r="O1346" t="str">
        <f>"LIM-"&amp;G1345&amp;"-LIM   LA "&amp;E1345&amp;" ("&amp;LEFT(H1345,5)&amp;"-"&amp;LEFT(I1345,5)&amp;" hrs)  /  LA "&amp;E1346&amp;" ("&amp;LEFT(H1346,5)&amp;"-"&amp;LEFT(I1346,5)&amp;" hrs)"</f>
        <v>LIM-PCL-LIM   LA 2360 (15:25-16:40 hrs)  /  LA 2361 (17:20-18:35 hrs)</v>
      </c>
    </row>
    <row r="1347" spans="2:24" x14ac:dyDescent="0.25">
      <c r="J1347" s="7" t="s">
        <v>43</v>
      </c>
      <c r="K1347" s="8" t="str">
        <f>TEXT(TIMEVALUE(I1346)-TIMEVALUE(H1345)+(I1346&lt;H1345),"[h]:mm")</f>
        <v>3:10</v>
      </c>
    </row>
    <row r="1349" spans="2:24" ht="30" x14ac:dyDescent="0.25">
      <c r="B1349" s="3" t="s">
        <v>9</v>
      </c>
      <c r="C1349" s="3" t="s">
        <v>17</v>
      </c>
      <c r="D1349" s="3" t="s">
        <v>18</v>
      </c>
      <c r="E1349" s="3" t="s">
        <v>19</v>
      </c>
      <c r="F1349" s="3" t="s">
        <v>20</v>
      </c>
      <c r="G1349" s="3" t="s">
        <v>21</v>
      </c>
      <c r="H1349" s="3" t="s">
        <v>22</v>
      </c>
      <c r="I1349" s="3" t="s">
        <v>23</v>
      </c>
      <c r="J1349" s="3" t="s">
        <v>24</v>
      </c>
      <c r="K1349" s="3" t="s">
        <v>25</v>
      </c>
      <c r="L1349" s="3" t="s">
        <v>26</v>
      </c>
    </row>
    <row r="1350" spans="2:24" ht="30" x14ac:dyDescent="0.25">
      <c r="B1350" s="4">
        <v>1307</v>
      </c>
      <c r="C1350" s="4" t="s">
        <v>182</v>
      </c>
      <c r="D1350" s="4" t="s">
        <v>28</v>
      </c>
      <c r="E1350" s="4">
        <v>2312</v>
      </c>
      <c r="F1350" s="4" t="s">
        <v>29</v>
      </c>
      <c r="G1350" s="4" t="s">
        <v>37</v>
      </c>
      <c r="H1350" s="4" t="s">
        <v>89</v>
      </c>
      <c r="I1350" s="4" t="s">
        <v>77</v>
      </c>
      <c r="J1350" s="4">
        <v>320</v>
      </c>
      <c r="L1350" s="4" t="s">
        <v>40</v>
      </c>
      <c r="M1350" s="5"/>
      <c r="O1350" s="5"/>
      <c r="Q1350" s="4">
        <f>B1350</f>
        <v>1307</v>
      </c>
      <c r="R1350" s="4" t="str">
        <f>C1350</f>
        <v>15/10/2026</v>
      </c>
      <c r="S1350" s="4" t="str">
        <f>D1350</f>
        <v>jueves</v>
      </c>
      <c r="T1350" s="4" t="str">
        <f>E1350&amp;"/"&amp;E1351</f>
        <v>2312/2313</v>
      </c>
      <c r="U1350" s="4" t="str">
        <f>F1350&amp;"-"&amp;G1350&amp;"-"&amp;F1350</f>
        <v>LIM-CIX-LIM</v>
      </c>
      <c r="V1350" s="4" t="str">
        <f>IF($M$1350="","",$M$1350)</f>
        <v/>
      </c>
      <c r="W1350" s="4" t="str">
        <f>IF($O$1350="","",$O$1350)</f>
        <v/>
      </c>
      <c r="X1350" s="4">
        <f>J1350</f>
        <v>320</v>
      </c>
    </row>
    <row r="1351" spans="2:24" ht="30" x14ac:dyDescent="0.25">
      <c r="B1351" s="4">
        <v>1307</v>
      </c>
      <c r="C1351" s="4" t="s">
        <v>182</v>
      </c>
      <c r="D1351" s="4" t="s">
        <v>28</v>
      </c>
      <c r="E1351" s="4">
        <v>2313</v>
      </c>
      <c r="F1351" s="4" t="s">
        <v>37</v>
      </c>
      <c r="G1351" s="4" t="s">
        <v>29</v>
      </c>
      <c r="H1351" s="4" t="s">
        <v>84</v>
      </c>
      <c r="I1351" s="4" t="s">
        <v>90</v>
      </c>
      <c r="J1351" s="4">
        <v>320</v>
      </c>
      <c r="K1351" t="str">
        <f>TEXT(TIMEVALUE(H1351)-TIMEVALUE(I1350)+(TIMEVALUE(H1351)&lt;TIMEVALUE(I1350)),"[h]:mm")</f>
        <v>0:45</v>
      </c>
      <c r="L1351" s="4" t="s">
        <v>33</v>
      </c>
      <c r="O1351" t="str">
        <f>"LIM-"&amp;G1350&amp;"-LIM   LA "&amp;E1350&amp;" ("&amp;LEFT(H1350,5)&amp;"-"&amp;LEFT(I1350,5)&amp;" hrs)  /  LA "&amp;E1351&amp;" ("&amp;LEFT(H1351,5)&amp;"-"&amp;LEFT(I1351,5)&amp;" hrs)"</f>
        <v>LIM-CIX-LIM   LA 2312 (15:35-17:05 hrs)  /  LA 2313 (17:50-19:10 hrs)</v>
      </c>
    </row>
    <row r="1352" spans="2:24" x14ac:dyDescent="0.25">
      <c r="J1352" s="7" t="s">
        <v>43</v>
      </c>
      <c r="K1352" s="8" t="str">
        <f>TEXT(TIMEVALUE(I1351)-TIMEVALUE(H1350)+(I1351&lt;H1350),"[h]:mm")</f>
        <v>3:35</v>
      </c>
    </row>
    <row r="1354" spans="2:24" ht="30" x14ac:dyDescent="0.25">
      <c r="B1354" s="3" t="s">
        <v>9</v>
      </c>
      <c r="C1354" s="3" t="s">
        <v>17</v>
      </c>
      <c r="D1354" s="3" t="s">
        <v>18</v>
      </c>
      <c r="E1354" s="3" t="s">
        <v>19</v>
      </c>
      <c r="F1354" s="3" t="s">
        <v>20</v>
      </c>
      <c r="G1354" s="3" t="s">
        <v>21</v>
      </c>
      <c r="H1354" s="3" t="s">
        <v>22</v>
      </c>
      <c r="I1354" s="3" t="s">
        <v>23</v>
      </c>
      <c r="J1354" s="3" t="s">
        <v>24</v>
      </c>
      <c r="K1354" s="3" t="s">
        <v>25</v>
      </c>
      <c r="L1354" s="3" t="s">
        <v>26</v>
      </c>
    </row>
    <row r="1355" spans="2:24" ht="30" x14ac:dyDescent="0.25">
      <c r="B1355" s="4">
        <v>1308</v>
      </c>
      <c r="C1355" s="4" t="s">
        <v>182</v>
      </c>
      <c r="D1355" s="4" t="s">
        <v>28</v>
      </c>
      <c r="E1355" s="4">
        <v>2301</v>
      </c>
      <c r="F1355" s="4" t="s">
        <v>29</v>
      </c>
      <c r="G1355" s="4" t="s">
        <v>91</v>
      </c>
      <c r="H1355" s="4" t="s">
        <v>92</v>
      </c>
      <c r="I1355" s="4" t="s">
        <v>77</v>
      </c>
      <c r="J1355" s="4">
        <v>320</v>
      </c>
      <c r="L1355" s="4" t="s">
        <v>93</v>
      </c>
      <c r="M1355" s="5"/>
      <c r="O1355" s="5"/>
      <c r="Q1355" s="4">
        <f>B1355</f>
        <v>1308</v>
      </c>
      <c r="R1355" s="4" t="str">
        <f>C1355</f>
        <v>15/10/2026</v>
      </c>
      <c r="S1355" s="4" t="str">
        <f>D1355</f>
        <v>jueves</v>
      </c>
      <c r="T1355" s="4" t="str">
        <f>E1355&amp;"/"&amp;E1356</f>
        <v>2301/2300</v>
      </c>
      <c r="U1355" s="4" t="str">
        <f>F1355&amp;"-"&amp;G1355&amp;"-"&amp;F1355</f>
        <v>LIM-TPP-LIM</v>
      </c>
      <c r="V1355" s="4" t="str">
        <f>IF($M$1355="","",$M$1355)</f>
        <v/>
      </c>
      <c r="W1355" s="4" t="str">
        <f>IF($O$1355="","",$O$1355)</f>
        <v/>
      </c>
      <c r="X1355" s="4">
        <f>J1355</f>
        <v>320</v>
      </c>
    </row>
    <row r="1356" spans="2:24" ht="30" x14ac:dyDescent="0.25">
      <c r="B1356" s="4">
        <v>1308</v>
      </c>
      <c r="C1356" s="4" t="s">
        <v>182</v>
      </c>
      <c r="D1356" s="4" t="s">
        <v>28</v>
      </c>
      <c r="E1356" s="4">
        <v>2300</v>
      </c>
      <c r="F1356" s="4" t="s">
        <v>91</v>
      </c>
      <c r="G1356" s="4" t="s">
        <v>29</v>
      </c>
      <c r="H1356" s="4" t="s">
        <v>84</v>
      </c>
      <c r="I1356" s="4" t="s">
        <v>94</v>
      </c>
      <c r="J1356" s="4">
        <v>320</v>
      </c>
      <c r="K1356" t="str">
        <f>TEXT(TIMEVALUE(H1356)-TIMEVALUE(I1355)+(TIMEVALUE(H1356)&lt;TIMEVALUE(I1355)),"[h]:mm")</f>
        <v>0:45</v>
      </c>
      <c r="L1356" s="4" t="s">
        <v>93</v>
      </c>
      <c r="O1356" t="str">
        <f>"LIM-"&amp;G1355&amp;"-LIM   LA "&amp;E1355&amp;" ("&amp;LEFT(H1355,5)&amp;"-"&amp;LEFT(I1355,5)&amp;" hrs)  /  LA "&amp;E1356&amp;" ("&amp;LEFT(H1356,5)&amp;"-"&amp;LEFT(I1356,5)&amp;" hrs)"</f>
        <v>LIM-TPP-LIM   LA 2301 (15:40-17:05 hrs)  /  LA 2300 (17:50-19:15 hrs)</v>
      </c>
    </row>
    <row r="1357" spans="2:24" x14ac:dyDescent="0.25">
      <c r="J1357" s="7" t="s">
        <v>43</v>
      </c>
      <c r="K1357" s="8" t="str">
        <f>TEXT(TIMEVALUE(I1356)-TIMEVALUE(H1355)+(I1356&lt;H1355),"[h]:mm")</f>
        <v>3:35</v>
      </c>
    </row>
    <row r="1359" spans="2:24" ht="30" x14ac:dyDescent="0.25">
      <c r="B1359" s="3" t="s">
        <v>9</v>
      </c>
      <c r="C1359" s="3" t="s">
        <v>17</v>
      </c>
      <c r="D1359" s="3" t="s">
        <v>18</v>
      </c>
      <c r="E1359" s="3" t="s">
        <v>19</v>
      </c>
      <c r="F1359" s="3" t="s">
        <v>20</v>
      </c>
      <c r="G1359" s="3" t="s">
        <v>21</v>
      </c>
      <c r="H1359" s="3" t="s">
        <v>22</v>
      </c>
      <c r="I1359" s="3" t="s">
        <v>23</v>
      </c>
      <c r="J1359" s="3" t="s">
        <v>24</v>
      </c>
      <c r="K1359" s="3" t="s">
        <v>25</v>
      </c>
      <c r="L1359" s="3" t="s">
        <v>26</v>
      </c>
    </row>
    <row r="1360" spans="2:24" ht="30" x14ac:dyDescent="0.25">
      <c r="B1360" s="4">
        <v>1312</v>
      </c>
      <c r="C1360" s="4" t="s">
        <v>182</v>
      </c>
      <c r="D1360" s="4" t="s">
        <v>28</v>
      </c>
      <c r="E1360" s="4">
        <v>2115</v>
      </c>
      <c r="F1360" s="4" t="s">
        <v>29</v>
      </c>
      <c r="G1360" s="4" t="s">
        <v>56</v>
      </c>
      <c r="H1360" s="4" t="s">
        <v>42</v>
      </c>
      <c r="I1360" s="4" t="s">
        <v>68</v>
      </c>
      <c r="J1360" s="4">
        <v>320</v>
      </c>
      <c r="L1360" s="4" t="s">
        <v>40</v>
      </c>
      <c r="M1360" s="5"/>
      <c r="O1360" s="5"/>
      <c r="Q1360" s="4">
        <f>B1360</f>
        <v>1312</v>
      </c>
      <c r="R1360" s="4" t="str">
        <f>C1360</f>
        <v>15/10/2026</v>
      </c>
      <c r="S1360" s="4" t="str">
        <f>D1360</f>
        <v>jueves</v>
      </c>
      <c r="T1360" s="4" t="str">
        <f>E1360&amp;"/"&amp;E1361</f>
        <v>2115/2114</v>
      </c>
      <c r="U1360" s="4" t="str">
        <f>F1360&amp;"-"&amp;G1360&amp;"-"&amp;F1360</f>
        <v>LIM-AQP-LIM</v>
      </c>
      <c r="V1360" s="4" t="str">
        <f>IF($M$1360="","",$M$1360)</f>
        <v/>
      </c>
      <c r="W1360" s="4" t="str">
        <f>IF($O$1360="","",$O$1360)</f>
        <v/>
      </c>
      <c r="X1360" s="4">
        <f>J1360</f>
        <v>320</v>
      </c>
    </row>
    <row r="1361" spans="2:24" ht="30" x14ac:dyDescent="0.25">
      <c r="B1361" s="4">
        <v>1312</v>
      </c>
      <c r="C1361" s="4" t="s">
        <v>182</v>
      </c>
      <c r="D1361" s="4" t="s">
        <v>28</v>
      </c>
      <c r="E1361" s="4">
        <v>2114</v>
      </c>
      <c r="F1361" s="4" t="s">
        <v>56</v>
      </c>
      <c r="G1361" s="4" t="s">
        <v>29</v>
      </c>
      <c r="H1361" s="4" t="s">
        <v>69</v>
      </c>
      <c r="I1361" s="4" t="s">
        <v>70</v>
      </c>
      <c r="J1361" s="4">
        <v>320</v>
      </c>
      <c r="K1361" t="str">
        <f>TEXT(TIMEVALUE(H1361)-TIMEVALUE(I1360)+(TIMEVALUE(H1361)&lt;TIMEVALUE(I1360)),"[h]:mm")</f>
        <v>0:35</v>
      </c>
      <c r="L1361" s="4" t="s">
        <v>71</v>
      </c>
      <c r="O1361" t="str">
        <f>"LIM-"&amp;G1360&amp;"-LIM   LA "&amp;E1360&amp;" ("&amp;LEFT(H1360,5)&amp;"-"&amp;LEFT(I1360,5)&amp;" hrs)  /  LA "&amp;E1361&amp;" ("&amp;LEFT(H1361,5)&amp;"-"&amp;LEFT(I1361,5)&amp;" hrs)"</f>
        <v>LIM-AQP-LIM   LA 2115 (17:15-18:45 hrs)  /  LA 2114 (19:20-21:00 hrs)</v>
      </c>
    </row>
    <row r="1362" spans="2:24" x14ac:dyDescent="0.25">
      <c r="J1362" s="7" t="s">
        <v>43</v>
      </c>
      <c r="K1362" s="8" t="str">
        <f>TEXT(TIMEVALUE(I1361)-TIMEVALUE(H1360)+(I1361&lt;H1360),"[h]:mm")</f>
        <v>3:45</v>
      </c>
    </row>
    <row r="1364" spans="2:24" ht="30" x14ac:dyDescent="0.25">
      <c r="B1364" s="3" t="s">
        <v>9</v>
      </c>
      <c r="C1364" s="3" t="s">
        <v>17</v>
      </c>
      <c r="D1364" s="3" t="s">
        <v>18</v>
      </c>
      <c r="E1364" s="3" t="s">
        <v>19</v>
      </c>
      <c r="F1364" s="3" t="s">
        <v>20</v>
      </c>
      <c r="G1364" s="3" t="s">
        <v>21</v>
      </c>
      <c r="H1364" s="3" t="s">
        <v>22</v>
      </c>
      <c r="I1364" s="3" t="s">
        <v>23</v>
      </c>
      <c r="J1364" s="3" t="s">
        <v>24</v>
      </c>
      <c r="K1364" s="3" t="s">
        <v>25</v>
      </c>
      <c r="L1364" s="3" t="s">
        <v>26</v>
      </c>
    </row>
    <row r="1365" spans="2:24" ht="30" x14ac:dyDescent="0.25">
      <c r="B1365" s="4">
        <v>1356</v>
      </c>
      <c r="C1365" s="4" t="s">
        <v>183</v>
      </c>
      <c r="D1365" s="4" t="s">
        <v>96</v>
      </c>
      <c r="E1365" s="4">
        <v>2007</v>
      </c>
      <c r="F1365" s="4" t="s">
        <v>29</v>
      </c>
      <c r="G1365" s="4" t="s">
        <v>30</v>
      </c>
      <c r="H1365" s="4" t="s">
        <v>31</v>
      </c>
      <c r="I1365" s="4" t="s">
        <v>32</v>
      </c>
      <c r="J1365" s="4">
        <v>320</v>
      </c>
      <c r="L1365" s="4" t="s">
        <v>33</v>
      </c>
      <c r="M1365" s="5"/>
      <c r="O1365" s="5"/>
      <c r="Q1365" s="4">
        <f>B1365</f>
        <v>1356</v>
      </c>
      <c r="R1365" s="4" t="str">
        <f>C1365</f>
        <v>16/10/2026</v>
      </c>
      <c r="S1365" s="4" t="str">
        <f>D1365</f>
        <v>viernes</v>
      </c>
      <c r="T1365" s="4" t="str">
        <f>E1365&amp;"/"&amp;E1366</f>
        <v>2007/2008</v>
      </c>
      <c r="U1365" s="4" t="str">
        <f>F1365&amp;"-"&amp;G1365&amp;"-"&amp;F1365</f>
        <v>LIM-CUZ-LIM</v>
      </c>
      <c r="V1365" s="4" t="str">
        <f>IF($M$1365="","",$M$1365)</f>
        <v/>
      </c>
      <c r="W1365" s="4" t="str">
        <f>IF($O$1365="","",$O$1365)</f>
        <v/>
      </c>
      <c r="X1365" s="4">
        <f>J1365</f>
        <v>320</v>
      </c>
    </row>
    <row r="1366" spans="2:24" ht="30" x14ac:dyDescent="0.25">
      <c r="B1366" s="4">
        <v>1356</v>
      </c>
      <c r="C1366" s="4" t="s">
        <v>183</v>
      </c>
      <c r="D1366" s="4" t="s">
        <v>96</v>
      </c>
      <c r="E1366" s="4">
        <v>2008</v>
      </c>
      <c r="F1366" s="4" t="s">
        <v>30</v>
      </c>
      <c r="G1366" s="4" t="s">
        <v>29</v>
      </c>
      <c r="H1366" s="4" t="s">
        <v>34</v>
      </c>
      <c r="I1366" s="4" t="s">
        <v>35</v>
      </c>
      <c r="J1366" s="4">
        <v>320</v>
      </c>
      <c r="K1366" t="str">
        <f>TEXT(TIMEVALUE(H1366)-TIMEVALUE(I1365)+(TIMEVALUE(H1366)&lt;TIMEVALUE(I1365)),"[h]:mm")</f>
        <v>0:50</v>
      </c>
      <c r="L1366" s="4" t="s">
        <v>36</v>
      </c>
      <c r="O1366" t="str">
        <f>"LIM-"&amp;G1365&amp;"-LIM   LA "&amp;E1365&amp;" ("&amp;LEFT(H1365,5)&amp;"-"&amp;LEFT(I1365,5)&amp;" hrs)  /  LA "&amp;E1366&amp;" ("&amp;LEFT(H1366,5)&amp;"-"&amp;LEFT(I1366,5)&amp;" hrs)"</f>
        <v>LIM-CUZ-LIM   LA 2007 (09:10-10:30 hrs)  /  LA 2008 (11:20-12:55 hrs)</v>
      </c>
    </row>
    <row r="1367" spans="2:24" ht="30" x14ac:dyDescent="0.25">
      <c r="B1367" s="4">
        <v>1376</v>
      </c>
      <c r="C1367" s="4" t="s">
        <v>183</v>
      </c>
      <c r="D1367" s="4" t="s">
        <v>96</v>
      </c>
      <c r="E1367" s="4">
        <v>2196</v>
      </c>
      <c r="F1367" s="4" t="s">
        <v>29</v>
      </c>
      <c r="G1367" s="4" t="s">
        <v>125</v>
      </c>
      <c r="H1367" s="4" t="s">
        <v>38</v>
      </c>
      <c r="I1367" s="4" t="s">
        <v>89</v>
      </c>
      <c r="J1367" s="4">
        <v>320</v>
      </c>
      <c r="K1367" s="6" t="str">
        <f>TEXT(TIMEVALUE(H1367)-TIMEVALUE(I1366)+(TIMEVALUE(H1367)&lt;TIMEVALUE(I1366)),"[h]:mm")</f>
        <v>0:55</v>
      </c>
      <c r="L1367" s="4" t="s">
        <v>47</v>
      </c>
      <c r="M1367" t="str">
        <f>IF($M$1365="","",$M$1365)</f>
        <v/>
      </c>
      <c r="O1367" t="str">
        <f>IF($O$1365="","",$O$1365)</f>
        <v/>
      </c>
      <c r="Q1367" s="4">
        <f>B1367</f>
        <v>1376</v>
      </c>
      <c r="R1367" s="4" t="str">
        <f>C1367</f>
        <v>16/10/2026</v>
      </c>
      <c r="S1367" s="4" t="str">
        <f>D1367</f>
        <v>viernes</v>
      </c>
      <c r="T1367" s="4" t="str">
        <f>E1367&amp;"/"&amp;E1368</f>
        <v>2196/2197</v>
      </c>
      <c r="U1367" s="4" t="str">
        <f>F1367&amp;"-"&amp;G1367&amp;"-"&amp;F1367</f>
        <v>LIM-PIU-LIM</v>
      </c>
      <c r="V1367" s="4" t="str">
        <f>IF($M$1365="","",$M$1365)</f>
        <v/>
      </c>
      <c r="W1367" s="4" t="str">
        <f>IF($O$1365="","",$O$1365)</f>
        <v/>
      </c>
      <c r="X1367" s="4">
        <f>J1367</f>
        <v>320</v>
      </c>
    </row>
    <row r="1368" spans="2:24" ht="30" x14ac:dyDescent="0.25">
      <c r="B1368" s="4">
        <v>1376</v>
      </c>
      <c r="C1368" s="4" t="s">
        <v>183</v>
      </c>
      <c r="D1368" s="4" t="s">
        <v>96</v>
      </c>
      <c r="E1368" s="4">
        <v>2197</v>
      </c>
      <c r="F1368" s="4" t="s">
        <v>125</v>
      </c>
      <c r="G1368" s="4" t="s">
        <v>29</v>
      </c>
      <c r="H1368" s="4" t="s">
        <v>83</v>
      </c>
      <c r="I1368" s="4" t="s">
        <v>181</v>
      </c>
      <c r="J1368" s="4">
        <v>320</v>
      </c>
      <c r="K1368" t="str">
        <f>TEXT(TIMEVALUE(H1368)-TIMEVALUE(I1367)+(TIMEVALUE(H1368)&lt;TIMEVALUE(I1367)),"[h]:mm")</f>
        <v>0:35</v>
      </c>
      <c r="L1368" s="4" t="s">
        <v>36</v>
      </c>
      <c r="O1368" t="str">
        <f>"LIM-"&amp;G1367&amp;"-LIM   LA "&amp;E1367&amp;" ("&amp;LEFT(H1367,5)&amp;"-"&amp;LEFT(I1367,5)&amp;" hrs)  /  LA "&amp;E1368&amp;" ("&amp;LEFT(H1368,5)&amp;"-"&amp;LEFT(I1368,5)&amp;" hrs)"</f>
        <v>LIM-PIU-LIM   LA 2196 (13:50-15:35 hrs)  /  LA 2197 (16:10-17:45 hrs)</v>
      </c>
    </row>
    <row r="1369" spans="2:24" x14ac:dyDescent="0.25">
      <c r="J1369" s="7" t="s">
        <v>43</v>
      </c>
      <c r="K1369" s="8" t="str">
        <f>TEXT(TIMEVALUE(I1368)-TIMEVALUE(H1365)+(I1368&lt;H1365),"[h]:mm")</f>
        <v>8:35</v>
      </c>
    </row>
    <row r="1371" spans="2:24" ht="30" x14ac:dyDescent="0.25">
      <c r="B1371" s="3" t="s">
        <v>9</v>
      </c>
      <c r="C1371" s="3" t="s">
        <v>17</v>
      </c>
      <c r="D1371" s="3" t="s">
        <v>18</v>
      </c>
      <c r="E1371" s="3" t="s">
        <v>19</v>
      </c>
      <c r="F1371" s="3" t="s">
        <v>20</v>
      </c>
      <c r="G1371" s="3" t="s">
        <v>21</v>
      </c>
      <c r="H1371" s="3" t="s">
        <v>22</v>
      </c>
      <c r="I1371" s="3" t="s">
        <v>23</v>
      </c>
      <c r="J1371" s="3" t="s">
        <v>24</v>
      </c>
      <c r="K1371" s="3" t="s">
        <v>25</v>
      </c>
      <c r="L1371" s="3" t="s">
        <v>26</v>
      </c>
    </row>
    <row r="1372" spans="2:24" ht="30" x14ac:dyDescent="0.25">
      <c r="B1372" s="4">
        <v>1359</v>
      </c>
      <c r="C1372" s="4" t="s">
        <v>183</v>
      </c>
      <c r="D1372" s="4" t="s">
        <v>96</v>
      </c>
      <c r="E1372" s="4">
        <v>2075</v>
      </c>
      <c r="F1372" s="4" t="s">
        <v>29</v>
      </c>
      <c r="G1372" s="4" t="s">
        <v>30</v>
      </c>
      <c r="H1372" s="4" t="s">
        <v>97</v>
      </c>
      <c r="I1372" s="4" t="s">
        <v>98</v>
      </c>
      <c r="J1372" s="4">
        <v>320</v>
      </c>
      <c r="L1372" s="4" t="s">
        <v>33</v>
      </c>
      <c r="M1372" s="5"/>
      <c r="O1372" s="5"/>
      <c r="Q1372" s="4">
        <f>B1372</f>
        <v>1359</v>
      </c>
      <c r="R1372" s="4" t="str">
        <f>C1372</f>
        <v>16/10/2026</v>
      </c>
      <c r="S1372" s="4" t="str">
        <f>D1372</f>
        <v>viernes</v>
      </c>
      <c r="T1372" s="4" t="str">
        <f>E1372&amp;"/"&amp;E1373</f>
        <v>2075/2076</v>
      </c>
      <c r="U1372" s="4" t="str">
        <f>F1372&amp;"-"&amp;G1372&amp;"-"&amp;F1372</f>
        <v>LIM-CUZ-LIM</v>
      </c>
      <c r="V1372" s="4" t="str">
        <f>IF($M$1372="","",$M$1372)</f>
        <v/>
      </c>
      <c r="W1372" s="4" t="str">
        <f>IF($O$1372="","",$O$1372)</f>
        <v/>
      </c>
      <c r="X1372" s="4">
        <f>J1372</f>
        <v>320</v>
      </c>
    </row>
    <row r="1373" spans="2:24" ht="30" x14ac:dyDescent="0.25">
      <c r="B1373" s="4">
        <v>1359</v>
      </c>
      <c r="C1373" s="4" t="s">
        <v>183</v>
      </c>
      <c r="D1373" s="4" t="s">
        <v>96</v>
      </c>
      <c r="E1373" s="4">
        <v>2076</v>
      </c>
      <c r="F1373" s="4" t="s">
        <v>30</v>
      </c>
      <c r="G1373" s="4" t="s">
        <v>29</v>
      </c>
      <c r="H1373" s="4" t="s">
        <v>48</v>
      </c>
      <c r="I1373" s="4" t="s">
        <v>49</v>
      </c>
      <c r="J1373" s="4">
        <v>320</v>
      </c>
      <c r="K1373" t="str">
        <f>TEXT(TIMEVALUE(H1373)-TIMEVALUE(I1372)+(TIMEVALUE(H1373)&lt;TIMEVALUE(I1372)),"[h]:mm")</f>
        <v>0:35</v>
      </c>
      <c r="L1373" s="4" t="s">
        <v>36</v>
      </c>
      <c r="O1373" t="str">
        <f>"LIM-"&amp;G1372&amp;"-LIM   LA "&amp;E1372&amp;" ("&amp;LEFT(H1372,5)&amp;"-"&amp;LEFT(I1372,5)&amp;" hrs)  /  LA "&amp;E1373&amp;" ("&amp;LEFT(H1373,5)&amp;"-"&amp;LEFT(I1373,5)&amp;" hrs)"</f>
        <v>LIM-CUZ-LIM   LA 2075 (10:50-12:10 hrs)  /  LA 2076 (12:45-14:20 hrs)</v>
      </c>
    </row>
    <row r="1374" spans="2:24" ht="30" x14ac:dyDescent="0.25">
      <c r="B1374" s="4">
        <v>1383</v>
      </c>
      <c r="C1374" s="4" t="s">
        <v>183</v>
      </c>
      <c r="D1374" s="4" t="s">
        <v>96</v>
      </c>
      <c r="E1374" s="4">
        <v>2297</v>
      </c>
      <c r="F1374" s="4" t="s">
        <v>29</v>
      </c>
      <c r="G1374" s="4" t="s">
        <v>50</v>
      </c>
      <c r="H1374" s="4" t="s">
        <v>51</v>
      </c>
      <c r="I1374" s="4" t="s">
        <v>52</v>
      </c>
      <c r="J1374" s="4">
        <v>320</v>
      </c>
      <c r="K1374" s="6" t="str">
        <f>TEXT(TIMEVALUE(H1374)-TIMEVALUE(I1373)+(TIMEVALUE(H1374)&lt;TIMEVALUE(I1373)),"[h]:mm")</f>
        <v>0:55</v>
      </c>
      <c r="L1374" s="4" t="s">
        <v>33</v>
      </c>
      <c r="M1374" t="str">
        <f>IF($M$1372="","",$M$1372)</f>
        <v/>
      </c>
      <c r="O1374" t="str">
        <f>IF($O$1372="","",$O$1372)</f>
        <v/>
      </c>
      <c r="Q1374" s="4">
        <f>B1374</f>
        <v>1383</v>
      </c>
      <c r="R1374" s="4" t="str">
        <f>C1374</f>
        <v>16/10/2026</v>
      </c>
      <c r="S1374" s="4" t="str">
        <f>D1374</f>
        <v>viernes</v>
      </c>
      <c r="T1374" s="4" t="str">
        <f>E1374&amp;"/"&amp;E1375</f>
        <v>2297/2296</v>
      </c>
      <c r="U1374" s="4" t="str">
        <f>F1374&amp;"-"&amp;G1374&amp;"-"&amp;F1374</f>
        <v>LIM-CJA-LIM</v>
      </c>
      <c r="V1374" s="4" t="str">
        <f>IF($M$1372="","",$M$1372)</f>
        <v/>
      </c>
      <c r="W1374" s="4" t="str">
        <f>IF($O$1372="","",$O$1372)</f>
        <v/>
      </c>
      <c r="X1374" s="4">
        <f>J1374</f>
        <v>320</v>
      </c>
    </row>
    <row r="1375" spans="2:24" ht="30" x14ac:dyDescent="0.25">
      <c r="B1375" s="4">
        <v>1383</v>
      </c>
      <c r="C1375" s="4" t="s">
        <v>183</v>
      </c>
      <c r="D1375" s="4" t="s">
        <v>96</v>
      </c>
      <c r="E1375" s="4">
        <v>2296</v>
      </c>
      <c r="F1375" s="4" t="s">
        <v>50</v>
      </c>
      <c r="G1375" s="4" t="s">
        <v>29</v>
      </c>
      <c r="H1375" s="4" t="s">
        <v>53</v>
      </c>
      <c r="I1375" s="4" t="s">
        <v>54</v>
      </c>
      <c r="J1375" s="4">
        <v>320</v>
      </c>
      <c r="K1375" t="str">
        <f>TEXT(TIMEVALUE(H1375)-TIMEVALUE(I1374)+(TIMEVALUE(H1375)&lt;TIMEVALUE(I1374)),"[h]:mm")</f>
        <v>0:45</v>
      </c>
      <c r="L1375" s="4" t="s">
        <v>55</v>
      </c>
      <c r="O1375" t="str">
        <f>"LIM-"&amp;G1374&amp;"-LIM   LA "&amp;E1374&amp;" ("&amp;LEFT(H1374,5)&amp;"-"&amp;LEFT(I1374,5)&amp;" hrs)  /  LA "&amp;E1375&amp;" ("&amp;LEFT(H1375,5)&amp;"-"&amp;LEFT(I1375,5)&amp;" hrs)"</f>
        <v>LIM-CJA-LIM   LA 2297 (15:15-16:35 hrs)  /  LA 2296 (17:20-18:25 hrs)</v>
      </c>
    </row>
    <row r="1376" spans="2:24" x14ac:dyDescent="0.25">
      <c r="J1376" s="7" t="s">
        <v>43</v>
      </c>
      <c r="K1376" s="8" t="str">
        <f>TEXT(TIMEVALUE(I1375)-TIMEVALUE(H1372)+(I1375&lt;H1372),"[h]:mm")</f>
        <v>7:35</v>
      </c>
    </row>
    <row r="1378" spans="2:24" ht="30" x14ac:dyDescent="0.25">
      <c r="B1378" s="3" t="s">
        <v>9</v>
      </c>
      <c r="C1378" s="3" t="s">
        <v>17</v>
      </c>
      <c r="D1378" s="3" t="s">
        <v>18</v>
      </c>
      <c r="E1378" s="3" t="s">
        <v>19</v>
      </c>
      <c r="F1378" s="3" t="s">
        <v>20</v>
      </c>
      <c r="G1378" s="3" t="s">
        <v>21</v>
      </c>
      <c r="H1378" s="3" t="s">
        <v>22</v>
      </c>
      <c r="I1378" s="3" t="s">
        <v>23</v>
      </c>
      <c r="J1378" s="3" t="s">
        <v>24</v>
      </c>
      <c r="K1378" s="3" t="s">
        <v>25</v>
      </c>
      <c r="L1378" s="3" t="s">
        <v>26</v>
      </c>
    </row>
    <row r="1379" spans="2:24" ht="30" x14ac:dyDescent="0.25">
      <c r="B1379" s="4">
        <v>1362</v>
      </c>
      <c r="C1379" s="4" t="s">
        <v>183</v>
      </c>
      <c r="D1379" s="4" t="s">
        <v>96</v>
      </c>
      <c r="E1379" s="4">
        <v>2111</v>
      </c>
      <c r="F1379" s="4" t="s">
        <v>29</v>
      </c>
      <c r="G1379" s="4" t="s">
        <v>56</v>
      </c>
      <c r="H1379" s="4" t="s">
        <v>103</v>
      </c>
      <c r="I1379" s="4" t="s">
        <v>104</v>
      </c>
      <c r="J1379" s="4">
        <v>319</v>
      </c>
      <c r="L1379" s="4" t="s">
        <v>40</v>
      </c>
      <c r="M1379" s="5"/>
      <c r="O1379" s="5"/>
      <c r="Q1379" s="4">
        <f>B1379</f>
        <v>1362</v>
      </c>
      <c r="R1379" s="4" t="str">
        <f>C1379</f>
        <v>16/10/2026</v>
      </c>
      <c r="S1379" s="4" t="str">
        <f>D1379</f>
        <v>viernes</v>
      </c>
      <c r="T1379" s="4" t="str">
        <f>E1379&amp;"/"&amp;E1380</f>
        <v>2111/2110</v>
      </c>
      <c r="U1379" s="4" t="str">
        <f>F1379&amp;"-"&amp;G1379&amp;"-"&amp;F1379</f>
        <v>LIM-AQP-LIM</v>
      </c>
      <c r="V1379" s="4" t="str">
        <f>IF($M$1379="","",$M$1379)</f>
        <v/>
      </c>
      <c r="W1379" s="4" t="str">
        <f>IF($O$1379="","",$O$1379)</f>
        <v/>
      </c>
      <c r="X1379" s="4">
        <f>J1379</f>
        <v>319</v>
      </c>
    </row>
    <row r="1380" spans="2:24" ht="30" x14ac:dyDescent="0.25">
      <c r="B1380" s="4">
        <v>1362</v>
      </c>
      <c r="C1380" s="4" t="s">
        <v>183</v>
      </c>
      <c r="D1380" s="4" t="s">
        <v>96</v>
      </c>
      <c r="E1380" s="4">
        <v>2110</v>
      </c>
      <c r="F1380" s="4" t="s">
        <v>56</v>
      </c>
      <c r="G1380" s="4" t="s">
        <v>29</v>
      </c>
      <c r="H1380" s="4" t="s">
        <v>84</v>
      </c>
      <c r="I1380" s="4" t="s">
        <v>105</v>
      </c>
      <c r="J1380" s="4">
        <v>319</v>
      </c>
      <c r="K1380" t="str">
        <f>TEXT(TIMEVALUE(H1380)-TIMEVALUE(I1379)+(TIMEVALUE(H1380)&lt;TIMEVALUE(I1379)),"[h]:mm")</f>
        <v>4:40</v>
      </c>
      <c r="L1380" s="4" t="s">
        <v>71</v>
      </c>
      <c r="O1380" t="str">
        <f>"LIM-"&amp;G1379&amp;"-LIM   LA "&amp;E1379&amp;" ("&amp;LEFT(H1379,5)&amp;"-"&amp;LEFT(I1379,5)&amp;" hrs)  /  LA "&amp;E1380&amp;" ("&amp;LEFT(H1380,5)&amp;"-"&amp;LEFT(I1380,5)&amp;" hrs)"</f>
        <v>LIM-AQP-LIM   LA 2111 (11:40-13:10 hrs)  /  LA 2110 (17:50-19:30 hrs)</v>
      </c>
    </row>
    <row r="1381" spans="2:24" x14ac:dyDescent="0.25">
      <c r="J1381" s="7" t="s">
        <v>43</v>
      </c>
      <c r="K1381" s="8" t="str">
        <f>TEXT(TIMEVALUE(I1380)-TIMEVALUE(H1379)+(I1380&lt;H1379),"[h]:mm")</f>
        <v>7:50</v>
      </c>
    </row>
    <row r="1383" spans="2:24" ht="30" x14ac:dyDescent="0.25">
      <c r="B1383" s="3" t="s">
        <v>9</v>
      </c>
      <c r="C1383" s="3" t="s">
        <v>17</v>
      </c>
      <c r="D1383" s="3" t="s">
        <v>18</v>
      </c>
      <c r="E1383" s="3" t="s">
        <v>19</v>
      </c>
      <c r="F1383" s="3" t="s">
        <v>20</v>
      </c>
      <c r="G1383" s="3" t="s">
        <v>21</v>
      </c>
      <c r="H1383" s="3" t="s">
        <v>22</v>
      </c>
      <c r="I1383" s="3" t="s">
        <v>23</v>
      </c>
      <c r="J1383" s="3" t="s">
        <v>24</v>
      </c>
      <c r="K1383" s="3" t="s">
        <v>25</v>
      </c>
      <c r="L1383" s="3" t="s">
        <v>26</v>
      </c>
    </row>
    <row r="1384" spans="2:24" ht="30" x14ac:dyDescent="0.25">
      <c r="B1384" s="4">
        <v>1363</v>
      </c>
      <c r="C1384" s="4" t="s">
        <v>183</v>
      </c>
      <c r="D1384" s="4" t="s">
        <v>96</v>
      </c>
      <c r="E1384" s="4">
        <v>2061</v>
      </c>
      <c r="F1384" s="4" t="s">
        <v>29</v>
      </c>
      <c r="G1384" s="4" t="s">
        <v>30</v>
      </c>
      <c r="H1384" s="4" t="s">
        <v>103</v>
      </c>
      <c r="I1384" s="4" t="s">
        <v>120</v>
      </c>
      <c r="J1384" s="4">
        <v>320</v>
      </c>
      <c r="L1384" s="4" t="s">
        <v>33</v>
      </c>
      <c r="M1384" s="5"/>
      <c r="O1384" s="5"/>
      <c r="Q1384" s="4">
        <f>B1384</f>
        <v>1363</v>
      </c>
      <c r="R1384" s="4" t="str">
        <f>C1384</f>
        <v>16/10/2026</v>
      </c>
      <c r="S1384" s="4" t="str">
        <f>D1384</f>
        <v>viernes</v>
      </c>
      <c r="T1384" s="4" t="str">
        <f>E1384&amp;"/"&amp;E1385</f>
        <v>2061/2062</v>
      </c>
      <c r="U1384" s="4" t="str">
        <f>F1384&amp;"-"&amp;G1384&amp;"-"&amp;F1384</f>
        <v>LIM-CUZ-LIM</v>
      </c>
      <c r="V1384" s="4" t="str">
        <f>IF($M$1384="","",$M$1384)</f>
        <v/>
      </c>
      <c r="W1384" s="4" t="str">
        <f>IF($O$1384="","",$O$1384)</f>
        <v/>
      </c>
      <c r="X1384" s="4">
        <f>J1384</f>
        <v>320</v>
      </c>
    </row>
    <row r="1385" spans="2:24" ht="30" x14ac:dyDescent="0.25">
      <c r="B1385" s="4">
        <v>1363</v>
      </c>
      <c r="C1385" s="4" t="s">
        <v>183</v>
      </c>
      <c r="D1385" s="4" t="s">
        <v>96</v>
      </c>
      <c r="E1385" s="4">
        <v>2062</v>
      </c>
      <c r="F1385" s="4" t="s">
        <v>30</v>
      </c>
      <c r="G1385" s="4" t="s">
        <v>29</v>
      </c>
      <c r="H1385" s="4" t="s">
        <v>72</v>
      </c>
      <c r="I1385" s="4" t="s">
        <v>51</v>
      </c>
      <c r="J1385" s="4">
        <v>320</v>
      </c>
      <c r="K1385" t="str">
        <f>TEXT(TIMEVALUE(H1385)-TIMEVALUE(I1384)+(TIMEVALUE(H1385)&lt;TIMEVALUE(I1384)),"[h]:mm")</f>
        <v>0:40</v>
      </c>
      <c r="L1385" s="4" t="s">
        <v>36</v>
      </c>
      <c r="O1385" t="str">
        <f>"LIM-"&amp;G1384&amp;"-LIM   LA "&amp;E1384&amp;" ("&amp;LEFT(H1384,5)&amp;"-"&amp;LEFT(I1384,5)&amp;" hrs)  /  LA "&amp;E1385&amp;" ("&amp;LEFT(H1385,5)&amp;"-"&amp;LEFT(I1385,5)&amp;" hrs)"</f>
        <v>LIM-CUZ-LIM   LA 2061 (11:40-13:00 hrs)  /  LA 2062 (13:40-15:15 hrs)</v>
      </c>
    </row>
    <row r="1386" spans="2:24" ht="30" x14ac:dyDescent="0.25">
      <c r="B1386" s="4">
        <v>1390</v>
      </c>
      <c r="C1386" s="4" t="s">
        <v>183</v>
      </c>
      <c r="D1386" s="4" t="s">
        <v>96</v>
      </c>
      <c r="E1386" s="4">
        <v>2127</v>
      </c>
      <c r="F1386" s="4" t="s">
        <v>29</v>
      </c>
      <c r="G1386" s="4" t="s">
        <v>30</v>
      </c>
      <c r="H1386" s="4" t="s">
        <v>83</v>
      </c>
      <c r="I1386" s="4" t="s">
        <v>100</v>
      </c>
      <c r="J1386" s="4">
        <v>319</v>
      </c>
      <c r="K1386" s="6" t="str">
        <f>TEXT(TIMEVALUE(H1386)-TIMEVALUE(I1385)+(TIMEVALUE(H1386)&lt;TIMEVALUE(I1385)),"[h]:mm")</f>
        <v>0:55</v>
      </c>
      <c r="L1386" s="4" t="s">
        <v>33</v>
      </c>
      <c r="M1386" t="str">
        <f>IF($M$1384="","",$M$1384)</f>
        <v/>
      </c>
      <c r="O1386" t="str">
        <f>IF($O$1384="","",$O$1384)</f>
        <v/>
      </c>
      <c r="Q1386" s="4">
        <f>B1386</f>
        <v>1390</v>
      </c>
      <c r="R1386" s="4" t="str">
        <f>C1386</f>
        <v>16/10/2026</v>
      </c>
      <c r="S1386" s="4" t="str">
        <f>D1386</f>
        <v>viernes</v>
      </c>
      <c r="T1386" s="4" t="str">
        <f>E1386&amp;"/"&amp;E1387</f>
        <v>2127/2026</v>
      </c>
      <c r="U1386" s="4" t="str">
        <f>F1386&amp;"-"&amp;G1386&amp;"-"&amp;F1386</f>
        <v>LIM-CUZ-LIM</v>
      </c>
      <c r="V1386" s="4" t="str">
        <f>IF($M$1384="","",$M$1384)</f>
        <v/>
      </c>
      <c r="W1386" s="4" t="str">
        <f>IF($O$1384="","",$O$1384)</f>
        <v/>
      </c>
      <c r="X1386" s="4">
        <f>J1386</f>
        <v>319</v>
      </c>
    </row>
    <row r="1387" spans="2:24" ht="30" x14ac:dyDescent="0.25">
      <c r="B1387" s="4">
        <v>1390</v>
      </c>
      <c r="C1387" s="4" t="s">
        <v>183</v>
      </c>
      <c r="D1387" s="4" t="s">
        <v>96</v>
      </c>
      <c r="E1387" s="4">
        <v>2026</v>
      </c>
      <c r="F1387" s="4" t="s">
        <v>30</v>
      </c>
      <c r="G1387" s="4" t="s">
        <v>29</v>
      </c>
      <c r="H1387" s="4" t="s">
        <v>101</v>
      </c>
      <c r="I1387" s="4" t="s">
        <v>102</v>
      </c>
      <c r="J1387" s="4">
        <v>319</v>
      </c>
      <c r="K1387" t="str">
        <f>TEXT(TIMEVALUE(H1387)-TIMEVALUE(I1386)+(TIMEVALUE(H1387)&lt;TIMEVALUE(I1386)),"[h]:mm")</f>
        <v>0:40</v>
      </c>
      <c r="L1387" s="4" t="s">
        <v>71</v>
      </c>
      <c r="O1387" t="str">
        <f>"LIM-"&amp;G1386&amp;"-LIM   LA "&amp;E1386&amp;" ("&amp;LEFT(H1386,5)&amp;"-"&amp;LEFT(I1386,5)&amp;" hrs)  /  LA "&amp;E1387&amp;" ("&amp;LEFT(H1387,5)&amp;"-"&amp;LEFT(I1387,5)&amp;" hrs)"</f>
        <v>LIM-CUZ-LIM   LA 2127 (16:10-17:30 hrs)  /  LA 2026 (18:10-19:50 hrs)</v>
      </c>
    </row>
    <row r="1388" spans="2:24" x14ac:dyDescent="0.25">
      <c r="J1388" s="7" t="s">
        <v>43</v>
      </c>
      <c r="K1388" s="8" t="str">
        <f>TEXT(TIMEVALUE(I1387)-TIMEVALUE(H1384)+(I1387&lt;H1384),"[h]:mm")</f>
        <v>8:10</v>
      </c>
    </row>
    <row r="1390" spans="2:24" ht="30" x14ac:dyDescent="0.25">
      <c r="B1390" s="3" t="s">
        <v>9</v>
      </c>
      <c r="C1390" s="3" t="s">
        <v>17</v>
      </c>
      <c r="D1390" s="3" t="s">
        <v>18</v>
      </c>
      <c r="E1390" s="3" t="s">
        <v>19</v>
      </c>
      <c r="F1390" s="3" t="s">
        <v>20</v>
      </c>
      <c r="G1390" s="3" t="s">
        <v>21</v>
      </c>
      <c r="H1390" s="3" t="s">
        <v>22</v>
      </c>
      <c r="I1390" s="3" t="s">
        <v>23</v>
      </c>
      <c r="J1390" s="3" t="s">
        <v>24</v>
      </c>
      <c r="K1390" s="3" t="s">
        <v>25</v>
      </c>
      <c r="L1390" s="3" t="s">
        <v>26</v>
      </c>
    </row>
    <row r="1391" spans="2:24" ht="30" x14ac:dyDescent="0.25">
      <c r="B1391" s="4">
        <v>1365</v>
      </c>
      <c r="C1391" s="4" t="s">
        <v>183</v>
      </c>
      <c r="D1391" s="4" t="s">
        <v>96</v>
      </c>
      <c r="E1391" s="4">
        <v>2356</v>
      </c>
      <c r="F1391" s="4" t="s">
        <v>29</v>
      </c>
      <c r="G1391" s="4" t="s">
        <v>30</v>
      </c>
      <c r="H1391" s="4" t="s">
        <v>98</v>
      </c>
      <c r="I1391" s="4" t="s">
        <v>106</v>
      </c>
      <c r="J1391" s="4">
        <v>319</v>
      </c>
      <c r="L1391" s="4" t="s">
        <v>93</v>
      </c>
      <c r="M1391" s="5"/>
      <c r="O1391" s="5"/>
      <c r="Q1391" s="4">
        <f>B1391</f>
        <v>1365</v>
      </c>
      <c r="R1391" s="4" t="str">
        <f>C1391</f>
        <v>16/10/2026</v>
      </c>
      <c r="S1391" s="4" t="str">
        <f>D1391</f>
        <v>viernes</v>
      </c>
      <c r="T1391" s="4" t="str">
        <f>E1391&amp;"/"&amp;E1392</f>
        <v>2356/2357</v>
      </c>
      <c r="U1391" s="4" t="str">
        <f>F1391&amp;"-"&amp;G1391&amp;"-"&amp;F1391</f>
        <v>LIM-CUZ-LIM</v>
      </c>
      <c r="V1391" s="4" t="str">
        <f>IF($M$1391="","",$M$1391)</f>
        <v/>
      </c>
      <c r="W1391" s="4" t="str">
        <f>IF($O$1391="","",$O$1391)</f>
        <v/>
      </c>
      <c r="X1391" s="4">
        <f>J1391</f>
        <v>319</v>
      </c>
    </row>
    <row r="1392" spans="2:24" ht="30" x14ac:dyDescent="0.25">
      <c r="B1392" s="4">
        <v>1365</v>
      </c>
      <c r="C1392" s="4" t="s">
        <v>183</v>
      </c>
      <c r="D1392" s="4" t="s">
        <v>96</v>
      </c>
      <c r="E1392" s="4">
        <v>2357</v>
      </c>
      <c r="F1392" s="4" t="s">
        <v>30</v>
      </c>
      <c r="G1392" s="4" t="s">
        <v>29</v>
      </c>
      <c r="H1392" s="4" t="s">
        <v>107</v>
      </c>
      <c r="I1392" s="4" t="s">
        <v>108</v>
      </c>
      <c r="J1392" s="4">
        <v>319</v>
      </c>
      <c r="K1392" t="str">
        <f>TEXT(TIMEVALUE(H1392)-TIMEVALUE(I1391)+(TIMEVALUE(H1392)&lt;TIMEVALUE(I1391)),"[h]:mm")</f>
        <v>0:40</v>
      </c>
      <c r="L1392" s="4" t="s">
        <v>36</v>
      </c>
      <c r="O1392" t="str">
        <f>"LIM-"&amp;G1391&amp;"-LIM   LA "&amp;E1391&amp;" ("&amp;LEFT(H1391,5)&amp;"-"&amp;LEFT(I1391,5)&amp;" hrs)  /  LA "&amp;E1392&amp;" ("&amp;LEFT(H1392,5)&amp;"-"&amp;LEFT(I1392,5)&amp;" hrs)"</f>
        <v>LIM-CUZ-LIM   LA 2356 (12:10-13:35 hrs)  /  LA 2357 (14:15-15:50 hrs)</v>
      </c>
    </row>
    <row r="1393" spans="2:24" ht="30" x14ac:dyDescent="0.25">
      <c r="B1393" s="4">
        <v>1394</v>
      </c>
      <c r="C1393" s="4" t="s">
        <v>183</v>
      </c>
      <c r="D1393" s="4" t="s">
        <v>96</v>
      </c>
      <c r="E1393" s="4">
        <v>2115</v>
      </c>
      <c r="F1393" s="4" t="s">
        <v>29</v>
      </c>
      <c r="G1393" s="4" t="s">
        <v>56</v>
      </c>
      <c r="H1393" s="4" t="s">
        <v>42</v>
      </c>
      <c r="I1393" s="4" t="s">
        <v>68</v>
      </c>
      <c r="J1393" s="4">
        <v>320</v>
      </c>
      <c r="K1393" s="6" t="str">
        <f>TEXT(TIMEVALUE(H1393)-TIMEVALUE(I1392)+(TIMEVALUE(H1393)&lt;TIMEVALUE(I1392)),"[h]:mm")</f>
        <v>1:25</v>
      </c>
      <c r="L1393" s="4" t="s">
        <v>40</v>
      </c>
      <c r="M1393" t="str">
        <f>IF($M$1391="","",$M$1391)</f>
        <v/>
      </c>
      <c r="O1393" t="str">
        <f>IF($O$1391="","",$O$1391)</f>
        <v/>
      </c>
      <c r="Q1393" s="4">
        <f>B1393</f>
        <v>1394</v>
      </c>
      <c r="R1393" s="4" t="str">
        <f>C1393</f>
        <v>16/10/2026</v>
      </c>
      <c r="S1393" s="4" t="str">
        <f>D1393</f>
        <v>viernes</v>
      </c>
      <c r="T1393" s="4" t="str">
        <f>E1393&amp;"/"&amp;E1394</f>
        <v>2115/2114</v>
      </c>
      <c r="U1393" s="4" t="str">
        <f>F1393&amp;"-"&amp;G1393&amp;"-"&amp;F1393</f>
        <v>LIM-AQP-LIM</v>
      </c>
      <c r="V1393" s="4" t="str">
        <f>IF($M$1391="","",$M$1391)</f>
        <v/>
      </c>
      <c r="W1393" s="4" t="str">
        <f>IF($O$1391="","",$O$1391)</f>
        <v/>
      </c>
      <c r="X1393" s="4">
        <f>J1393</f>
        <v>320</v>
      </c>
    </row>
    <row r="1394" spans="2:24" ht="30" x14ac:dyDescent="0.25">
      <c r="B1394" s="4">
        <v>1394</v>
      </c>
      <c r="C1394" s="4" t="s">
        <v>183</v>
      </c>
      <c r="D1394" s="4" t="s">
        <v>96</v>
      </c>
      <c r="E1394" s="4">
        <v>2114</v>
      </c>
      <c r="F1394" s="4" t="s">
        <v>56</v>
      </c>
      <c r="G1394" s="4" t="s">
        <v>29</v>
      </c>
      <c r="H1394" s="4" t="s">
        <v>69</v>
      </c>
      <c r="I1394" s="4" t="s">
        <v>70</v>
      </c>
      <c r="J1394" s="4">
        <v>320</v>
      </c>
      <c r="K1394" t="str">
        <f>TEXT(TIMEVALUE(H1394)-TIMEVALUE(I1393)+(TIMEVALUE(H1394)&lt;TIMEVALUE(I1393)),"[h]:mm")</f>
        <v>0:35</v>
      </c>
      <c r="L1394" s="4" t="s">
        <v>71</v>
      </c>
      <c r="O1394" t="str">
        <f>"LIM-"&amp;G1393&amp;"-LIM   LA "&amp;E1393&amp;" ("&amp;LEFT(H1393,5)&amp;"-"&amp;LEFT(I1393,5)&amp;" hrs)  /  LA "&amp;E1394&amp;" ("&amp;LEFT(H1394,5)&amp;"-"&amp;LEFT(I1394,5)&amp;" hrs)"</f>
        <v>LIM-AQP-LIM   LA 2115 (17:15-18:45 hrs)  /  LA 2114 (19:20-21:00 hrs)</v>
      </c>
    </row>
    <row r="1395" spans="2:24" x14ac:dyDescent="0.25">
      <c r="J1395" s="7" t="s">
        <v>43</v>
      </c>
      <c r="K1395" s="8" t="str">
        <f>TEXT(TIMEVALUE(I1394)-TIMEVALUE(H1391)+(I1394&lt;H1391),"[h]:mm")</f>
        <v>8:50</v>
      </c>
    </row>
    <row r="1397" spans="2:24" ht="30" x14ac:dyDescent="0.25">
      <c r="B1397" s="3" t="s">
        <v>9</v>
      </c>
      <c r="C1397" s="3" t="s">
        <v>17</v>
      </c>
      <c r="D1397" s="3" t="s">
        <v>18</v>
      </c>
      <c r="E1397" s="3" t="s">
        <v>19</v>
      </c>
      <c r="F1397" s="3" t="s">
        <v>20</v>
      </c>
      <c r="G1397" s="3" t="s">
        <v>21</v>
      </c>
      <c r="H1397" s="3" t="s">
        <v>22</v>
      </c>
      <c r="I1397" s="3" t="s">
        <v>23</v>
      </c>
      <c r="J1397" s="3" t="s">
        <v>24</v>
      </c>
      <c r="K1397" s="3" t="s">
        <v>25</v>
      </c>
      <c r="L1397" s="3" t="s">
        <v>26</v>
      </c>
    </row>
    <row r="1398" spans="2:24" ht="30" x14ac:dyDescent="0.25">
      <c r="B1398" s="4">
        <v>1370</v>
      </c>
      <c r="C1398" s="4" t="s">
        <v>183</v>
      </c>
      <c r="D1398" s="4" t="s">
        <v>96</v>
      </c>
      <c r="E1398" s="4">
        <v>2308</v>
      </c>
      <c r="F1398" s="4" t="s">
        <v>29</v>
      </c>
      <c r="G1398" s="4" t="s">
        <v>125</v>
      </c>
      <c r="H1398" s="4" t="s">
        <v>144</v>
      </c>
      <c r="I1398" s="4" t="s">
        <v>145</v>
      </c>
      <c r="J1398" s="4">
        <v>319</v>
      </c>
      <c r="L1398" s="4" t="s">
        <v>47</v>
      </c>
      <c r="M1398" s="5"/>
      <c r="O1398" s="5"/>
      <c r="Q1398" s="4">
        <f>B1398</f>
        <v>1370</v>
      </c>
      <c r="R1398" s="4" t="str">
        <f>C1398</f>
        <v>16/10/2026</v>
      </c>
      <c r="S1398" s="4" t="str">
        <f>D1398</f>
        <v>viernes</v>
      </c>
      <c r="T1398" s="4" t="str">
        <f>E1398&amp;"/"&amp;E1399</f>
        <v>2308/2309</v>
      </c>
      <c r="U1398" s="4" t="str">
        <f>F1398&amp;"-"&amp;G1398&amp;"-"&amp;F1398</f>
        <v>LIM-PIU-LIM</v>
      </c>
      <c r="V1398" s="4" t="str">
        <f>IF($M$1398="","",$M$1398)</f>
        <v/>
      </c>
      <c r="W1398" s="4" t="str">
        <f>IF($O$1398="","",$O$1398)</f>
        <v/>
      </c>
      <c r="X1398" s="4">
        <f>J1398</f>
        <v>319</v>
      </c>
    </row>
    <row r="1399" spans="2:24" ht="30" x14ac:dyDescent="0.25">
      <c r="B1399" s="4">
        <v>1370</v>
      </c>
      <c r="C1399" s="4" t="s">
        <v>183</v>
      </c>
      <c r="D1399" s="4" t="s">
        <v>96</v>
      </c>
      <c r="E1399" s="4">
        <v>2309</v>
      </c>
      <c r="F1399" s="4" t="s">
        <v>125</v>
      </c>
      <c r="G1399" s="4" t="s">
        <v>29</v>
      </c>
      <c r="H1399" s="4" t="s">
        <v>146</v>
      </c>
      <c r="I1399" s="4" t="s">
        <v>60</v>
      </c>
      <c r="J1399" s="4">
        <v>319</v>
      </c>
      <c r="K1399" t="str">
        <f>TEXT(TIMEVALUE(H1399)-TIMEVALUE(I1398)+(TIMEVALUE(H1399)&lt;TIMEVALUE(I1398)),"[h]:mm")</f>
        <v>0:35</v>
      </c>
      <c r="L1399" s="4" t="s">
        <v>40</v>
      </c>
      <c r="O1399" t="str">
        <f>"LIM-"&amp;G1398&amp;"-LIM   LA "&amp;E1398&amp;" ("&amp;LEFT(H1398,5)&amp;"-"&amp;LEFT(I1398,5)&amp;" hrs)  /  LA "&amp;E1399&amp;" ("&amp;LEFT(H1399,5)&amp;"-"&amp;LEFT(I1399,5)&amp;" hrs)"</f>
        <v>LIM-PIU-LIM   LA 2308 (12:50-14:35 hrs)  /  LA 2309 (15:10-16:40 hrs)</v>
      </c>
    </row>
    <row r="1400" spans="2:24" x14ac:dyDescent="0.25">
      <c r="J1400" s="7" t="s">
        <v>43</v>
      </c>
      <c r="K1400" s="8" t="str">
        <f>TEXT(TIMEVALUE(I1399)-TIMEVALUE(H1398)+(I1399&lt;H1398),"[h]:mm")</f>
        <v>3:50</v>
      </c>
    </row>
    <row r="1402" spans="2:24" ht="30" x14ac:dyDescent="0.25">
      <c r="B1402" s="3" t="s">
        <v>9</v>
      </c>
      <c r="C1402" s="3" t="s">
        <v>17</v>
      </c>
      <c r="D1402" s="3" t="s">
        <v>18</v>
      </c>
      <c r="E1402" s="3" t="s">
        <v>19</v>
      </c>
      <c r="F1402" s="3" t="s">
        <v>20</v>
      </c>
      <c r="G1402" s="3" t="s">
        <v>21</v>
      </c>
      <c r="H1402" s="3" t="s">
        <v>22</v>
      </c>
      <c r="I1402" s="3" t="s">
        <v>23</v>
      </c>
      <c r="J1402" s="3" t="s">
        <v>24</v>
      </c>
      <c r="K1402" s="3" t="s">
        <v>25</v>
      </c>
      <c r="L1402" s="3" t="s">
        <v>26</v>
      </c>
    </row>
    <row r="1403" spans="2:24" ht="30" x14ac:dyDescent="0.25">
      <c r="B1403" s="4">
        <v>1375</v>
      </c>
      <c r="C1403" s="4" t="s">
        <v>183</v>
      </c>
      <c r="D1403" s="4" t="s">
        <v>96</v>
      </c>
      <c r="E1403" s="4">
        <v>2028</v>
      </c>
      <c r="F1403" s="4" t="s">
        <v>29</v>
      </c>
      <c r="G1403" s="4" t="s">
        <v>30</v>
      </c>
      <c r="H1403" s="4" t="s">
        <v>65</v>
      </c>
      <c r="I1403" s="4" t="s">
        <v>75</v>
      </c>
      <c r="J1403" s="4">
        <v>320</v>
      </c>
      <c r="L1403" s="4" t="s">
        <v>33</v>
      </c>
      <c r="M1403" s="5"/>
      <c r="O1403" s="5"/>
      <c r="Q1403" s="4">
        <f>B1403</f>
        <v>1375</v>
      </c>
      <c r="R1403" s="4" t="str">
        <f>C1403</f>
        <v>16/10/2026</v>
      </c>
      <c r="S1403" s="4" t="str">
        <f>D1403</f>
        <v>viernes</v>
      </c>
      <c r="T1403" s="4" t="str">
        <f>E1403&amp;"/"&amp;E1404</f>
        <v>2028/2029</v>
      </c>
      <c r="U1403" s="4" t="str">
        <f>F1403&amp;"-"&amp;G1403&amp;"-"&amp;F1403</f>
        <v>LIM-CUZ-LIM</v>
      </c>
      <c r="V1403" s="4" t="str">
        <f>IF($M$1403="","",$M$1403)</f>
        <v/>
      </c>
      <c r="W1403" s="4" t="str">
        <f>IF($O$1403="","",$O$1403)</f>
        <v/>
      </c>
      <c r="X1403" s="4">
        <f>J1403</f>
        <v>320</v>
      </c>
    </row>
    <row r="1404" spans="2:24" ht="30" x14ac:dyDescent="0.25">
      <c r="B1404" s="4">
        <v>1375</v>
      </c>
      <c r="C1404" s="4" t="s">
        <v>183</v>
      </c>
      <c r="D1404" s="4" t="s">
        <v>96</v>
      </c>
      <c r="E1404" s="4">
        <v>2029</v>
      </c>
      <c r="F1404" s="4" t="s">
        <v>30</v>
      </c>
      <c r="G1404" s="4" t="s">
        <v>29</v>
      </c>
      <c r="H1404" s="4" t="s">
        <v>76</v>
      </c>
      <c r="I1404" s="4" t="s">
        <v>77</v>
      </c>
      <c r="J1404" s="4">
        <v>320</v>
      </c>
      <c r="K1404" t="str">
        <f>TEXT(TIMEVALUE(H1404)-TIMEVALUE(I1403)+(TIMEVALUE(H1404)&lt;TIMEVALUE(I1403)),"[h]:mm")</f>
        <v>0:45</v>
      </c>
      <c r="L1404" s="4" t="s">
        <v>36</v>
      </c>
      <c r="O1404" t="str">
        <f>"LIM-"&amp;G1403&amp;"-LIM   LA "&amp;E1403&amp;" ("&amp;LEFT(H1403,5)&amp;"-"&amp;LEFT(I1403,5)&amp;" hrs)  /  LA "&amp;E1404&amp;" ("&amp;LEFT(H1404,5)&amp;"-"&amp;LEFT(I1404,5)&amp;" hrs)"</f>
        <v>LIM-CUZ-LIM   LA 2028 (13:25-14:45 hrs)  /  LA 2029 (15:30-17:05 hrs)</v>
      </c>
    </row>
    <row r="1405" spans="2:24" ht="30" x14ac:dyDescent="0.25">
      <c r="B1405" s="4">
        <v>1397</v>
      </c>
      <c r="C1405" s="4" t="s">
        <v>183</v>
      </c>
      <c r="D1405" s="4" t="s">
        <v>96</v>
      </c>
      <c r="E1405" s="4">
        <v>2310</v>
      </c>
      <c r="F1405" s="4" t="s">
        <v>29</v>
      </c>
      <c r="G1405" s="4" t="s">
        <v>37</v>
      </c>
      <c r="H1405" s="4" t="s">
        <v>111</v>
      </c>
      <c r="I1405" s="4" t="s">
        <v>112</v>
      </c>
      <c r="J1405" s="4">
        <v>320</v>
      </c>
      <c r="K1405" s="6" t="str">
        <f>TEXT(TIMEVALUE(H1405)-TIMEVALUE(I1404)+(TIMEVALUE(H1405)&lt;TIMEVALUE(I1404)),"[h]:mm")</f>
        <v>1:10</v>
      </c>
      <c r="L1405" s="4" t="s">
        <v>40</v>
      </c>
      <c r="M1405" t="str">
        <f>IF($M$1403="","",$M$1403)</f>
        <v/>
      </c>
      <c r="O1405" t="str">
        <f>IF($O$1403="","",$O$1403)</f>
        <v/>
      </c>
      <c r="Q1405" s="4">
        <f>B1405</f>
        <v>1397</v>
      </c>
      <c r="R1405" s="4" t="str">
        <f>C1405</f>
        <v>16/10/2026</v>
      </c>
      <c r="S1405" s="4" t="str">
        <f>D1405</f>
        <v>viernes</v>
      </c>
      <c r="T1405" s="4" t="str">
        <f>E1405&amp;"/"&amp;E1406</f>
        <v>2310/2311</v>
      </c>
      <c r="U1405" s="4" t="str">
        <f>F1405&amp;"-"&amp;G1405&amp;"-"&amp;F1405</f>
        <v>LIM-CIX-LIM</v>
      </c>
      <c r="V1405" s="4" t="str">
        <f>IF($M$1403="","",$M$1403)</f>
        <v/>
      </c>
      <c r="W1405" s="4" t="str">
        <f>IF($O$1403="","",$O$1403)</f>
        <v/>
      </c>
      <c r="X1405" s="4">
        <f>J1405</f>
        <v>320</v>
      </c>
    </row>
    <row r="1406" spans="2:24" ht="30" x14ac:dyDescent="0.25">
      <c r="B1406" s="4">
        <v>1397</v>
      </c>
      <c r="C1406" s="4" t="s">
        <v>183</v>
      </c>
      <c r="D1406" s="4" t="s">
        <v>96</v>
      </c>
      <c r="E1406" s="4">
        <v>2311</v>
      </c>
      <c r="F1406" s="4" t="s">
        <v>37</v>
      </c>
      <c r="G1406" s="4" t="s">
        <v>29</v>
      </c>
      <c r="H1406" s="4" t="s">
        <v>113</v>
      </c>
      <c r="I1406" s="4" t="s">
        <v>114</v>
      </c>
      <c r="J1406" s="4">
        <v>320</v>
      </c>
      <c r="K1406" t="str">
        <f>TEXT(TIMEVALUE(H1406)-TIMEVALUE(I1405)+(TIMEVALUE(H1406)&lt;TIMEVALUE(I1405)),"[h]:mm")</f>
        <v>0:35</v>
      </c>
      <c r="L1406" s="4" t="s">
        <v>93</v>
      </c>
      <c r="O1406" t="str">
        <f>"LIM-"&amp;G1405&amp;"-LIM   LA "&amp;E1405&amp;" ("&amp;LEFT(H1405,5)&amp;"-"&amp;LEFT(I1405,5)&amp;" hrs)  /  LA "&amp;E1406&amp;" ("&amp;LEFT(H1406,5)&amp;"-"&amp;LEFT(I1406,5)&amp;" hrs)"</f>
        <v>LIM-CIX-LIM   LA 2310 (18:15-19:45 hrs)  /  LA 2311 (20:20-21:45 hrs)</v>
      </c>
    </row>
    <row r="1407" spans="2:24" x14ac:dyDescent="0.25">
      <c r="J1407" s="7" t="s">
        <v>43</v>
      </c>
      <c r="K1407" s="8" t="str">
        <f>TEXT(TIMEVALUE(I1406)-TIMEVALUE(H1403)+(I1406&lt;H1403),"[h]:mm")</f>
        <v>8:20</v>
      </c>
    </row>
    <row r="1409" spans="2:24" ht="30" x14ac:dyDescent="0.25">
      <c r="B1409" s="3" t="s">
        <v>9</v>
      </c>
      <c r="C1409" s="3" t="s">
        <v>17</v>
      </c>
      <c r="D1409" s="3" t="s">
        <v>18</v>
      </c>
      <c r="E1409" s="3" t="s">
        <v>19</v>
      </c>
      <c r="F1409" s="3" t="s">
        <v>20</v>
      </c>
      <c r="G1409" s="3" t="s">
        <v>21</v>
      </c>
      <c r="H1409" s="3" t="s">
        <v>22</v>
      </c>
      <c r="I1409" s="3" t="s">
        <v>23</v>
      </c>
      <c r="J1409" s="3" t="s">
        <v>24</v>
      </c>
      <c r="K1409" s="3" t="s">
        <v>25</v>
      </c>
      <c r="L1409" s="3" t="s">
        <v>26</v>
      </c>
    </row>
    <row r="1410" spans="2:24" ht="30" x14ac:dyDescent="0.25">
      <c r="B1410" s="4">
        <v>1377</v>
      </c>
      <c r="C1410" s="4" t="s">
        <v>183</v>
      </c>
      <c r="D1410" s="4" t="s">
        <v>96</v>
      </c>
      <c r="E1410" s="4">
        <v>2196</v>
      </c>
      <c r="F1410" s="4" t="s">
        <v>29</v>
      </c>
      <c r="G1410" s="4" t="s">
        <v>125</v>
      </c>
      <c r="H1410" s="4" t="s">
        <v>38</v>
      </c>
      <c r="I1410" s="4" t="s">
        <v>89</v>
      </c>
      <c r="J1410" s="4">
        <v>320</v>
      </c>
      <c r="L1410" s="4" t="s">
        <v>47</v>
      </c>
      <c r="M1410" s="5"/>
      <c r="O1410" s="5"/>
      <c r="Q1410" s="4">
        <f>B1410</f>
        <v>1377</v>
      </c>
      <c r="R1410" s="4" t="str">
        <f>C1410</f>
        <v>16/10/2026</v>
      </c>
      <c r="S1410" s="4" t="str">
        <f>D1410</f>
        <v>viernes</v>
      </c>
      <c r="T1410" s="4" t="str">
        <f>E1410&amp;"/"&amp;E1411</f>
        <v>2196/2197</v>
      </c>
      <c r="U1410" s="4" t="str">
        <f>F1410&amp;"-"&amp;G1410&amp;"-"&amp;F1410</f>
        <v>LIM-PIU-LIM</v>
      </c>
      <c r="V1410" s="4" t="str">
        <f>IF($M$1410="","",$M$1410)</f>
        <v/>
      </c>
      <c r="W1410" s="4" t="str">
        <f>IF($O$1410="","",$O$1410)</f>
        <v/>
      </c>
      <c r="X1410" s="4">
        <f>J1410</f>
        <v>320</v>
      </c>
    </row>
    <row r="1411" spans="2:24" ht="30" x14ac:dyDescent="0.25">
      <c r="B1411" s="4">
        <v>1377</v>
      </c>
      <c r="C1411" s="4" t="s">
        <v>183</v>
      </c>
      <c r="D1411" s="4" t="s">
        <v>96</v>
      </c>
      <c r="E1411" s="4">
        <v>2197</v>
      </c>
      <c r="F1411" s="4" t="s">
        <v>125</v>
      </c>
      <c r="G1411" s="4" t="s">
        <v>29</v>
      </c>
      <c r="H1411" s="4" t="s">
        <v>83</v>
      </c>
      <c r="I1411" s="4" t="s">
        <v>181</v>
      </c>
      <c r="J1411" s="4">
        <v>320</v>
      </c>
      <c r="K1411" t="str">
        <f>TEXT(TIMEVALUE(H1411)-TIMEVALUE(I1410)+(TIMEVALUE(H1411)&lt;TIMEVALUE(I1410)),"[h]:mm")</f>
        <v>0:35</v>
      </c>
      <c r="L1411" s="4" t="s">
        <v>36</v>
      </c>
      <c r="O1411" t="str">
        <f>"LIM-"&amp;G1410&amp;"-LIM   LA "&amp;E1410&amp;" ("&amp;LEFT(H1410,5)&amp;"-"&amp;LEFT(I1410,5)&amp;" hrs)  /  LA "&amp;E1411&amp;" ("&amp;LEFT(H1411,5)&amp;"-"&amp;LEFT(I1411,5)&amp;" hrs)"</f>
        <v>LIM-PIU-LIM   LA 2196 (13:50-15:35 hrs)  /  LA 2197 (16:10-17:45 hrs)</v>
      </c>
    </row>
    <row r="1412" spans="2:24" x14ac:dyDescent="0.25">
      <c r="J1412" s="7" t="s">
        <v>43</v>
      </c>
      <c r="K1412" s="8" t="str">
        <f>TEXT(TIMEVALUE(I1411)-TIMEVALUE(H1410)+(I1411&lt;H1410),"[h]:mm")</f>
        <v>3:55</v>
      </c>
    </row>
    <row r="1414" spans="2:24" ht="30" x14ac:dyDescent="0.25">
      <c r="B1414" s="3" t="s">
        <v>9</v>
      </c>
      <c r="C1414" s="3" t="s">
        <v>17</v>
      </c>
      <c r="D1414" s="3" t="s">
        <v>18</v>
      </c>
      <c r="E1414" s="3" t="s">
        <v>19</v>
      </c>
      <c r="F1414" s="3" t="s">
        <v>20</v>
      </c>
      <c r="G1414" s="3" t="s">
        <v>21</v>
      </c>
      <c r="H1414" s="3" t="s">
        <v>22</v>
      </c>
      <c r="I1414" s="3" t="s">
        <v>23</v>
      </c>
      <c r="J1414" s="3" t="s">
        <v>24</v>
      </c>
      <c r="K1414" s="3" t="s">
        <v>25</v>
      </c>
      <c r="L1414" s="3" t="s">
        <v>26</v>
      </c>
    </row>
    <row r="1415" spans="2:24" ht="30" x14ac:dyDescent="0.25">
      <c r="B1415" s="4">
        <v>1379</v>
      </c>
      <c r="C1415" s="4" t="s">
        <v>183</v>
      </c>
      <c r="D1415" s="4" t="s">
        <v>96</v>
      </c>
      <c r="E1415" s="4">
        <v>2295</v>
      </c>
      <c r="F1415" s="4" t="s">
        <v>29</v>
      </c>
      <c r="G1415" s="4" t="s">
        <v>50</v>
      </c>
      <c r="H1415" s="4" t="s">
        <v>110</v>
      </c>
      <c r="I1415" s="4" t="s">
        <v>76</v>
      </c>
      <c r="J1415" s="4">
        <v>320</v>
      </c>
      <c r="L1415" s="4" t="s">
        <v>33</v>
      </c>
      <c r="M1415" s="5"/>
      <c r="O1415" s="5"/>
      <c r="Q1415" s="4">
        <f>B1415</f>
        <v>1379</v>
      </c>
      <c r="R1415" s="4" t="str">
        <f>C1415</f>
        <v>16/10/2026</v>
      </c>
      <c r="S1415" s="4" t="str">
        <f>D1415</f>
        <v>viernes</v>
      </c>
      <c r="T1415" s="4" t="str">
        <f>E1415&amp;"/"&amp;E1416</f>
        <v>2295/2294</v>
      </c>
      <c r="U1415" s="4" t="str">
        <f>F1415&amp;"-"&amp;G1415&amp;"-"&amp;F1415</f>
        <v>LIM-CJA-LIM</v>
      </c>
      <c r="V1415" s="4" t="str">
        <f>IF($M$1415="","",$M$1415)</f>
        <v/>
      </c>
      <c r="W1415" s="4" t="str">
        <f>IF($O$1415="","",$O$1415)</f>
        <v/>
      </c>
      <c r="X1415" s="4">
        <f>J1415</f>
        <v>320</v>
      </c>
    </row>
    <row r="1416" spans="2:24" ht="30" x14ac:dyDescent="0.25">
      <c r="B1416" s="4">
        <v>1379</v>
      </c>
      <c r="C1416" s="4" t="s">
        <v>183</v>
      </c>
      <c r="D1416" s="4" t="s">
        <v>96</v>
      </c>
      <c r="E1416" s="4">
        <v>2294</v>
      </c>
      <c r="F1416" s="4" t="s">
        <v>50</v>
      </c>
      <c r="G1416" s="4" t="s">
        <v>29</v>
      </c>
      <c r="H1416" s="4" t="s">
        <v>83</v>
      </c>
      <c r="I1416" s="4" t="s">
        <v>42</v>
      </c>
      <c r="J1416" s="4">
        <v>320</v>
      </c>
      <c r="K1416" t="str">
        <f>TEXT(TIMEVALUE(H1416)-TIMEVALUE(I1415)+(TIMEVALUE(H1416)&lt;TIMEVALUE(I1415)),"[h]:mm")</f>
        <v>0:40</v>
      </c>
      <c r="L1416" s="4" t="s">
        <v>55</v>
      </c>
      <c r="O1416" t="str">
        <f>"LIM-"&amp;G1415&amp;"-LIM   LA "&amp;E1415&amp;" ("&amp;LEFT(H1415,5)&amp;"-"&amp;LEFT(I1415,5)&amp;" hrs)  /  LA "&amp;E1416&amp;" ("&amp;LEFT(H1416,5)&amp;"-"&amp;LEFT(I1416,5)&amp;" hrs)"</f>
        <v>LIM-CJA-LIM   LA 2295 (14:10-15:30 hrs)  /  LA 2294 (16:10-17:15 hrs)</v>
      </c>
    </row>
    <row r="1417" spans="2:24" ht="30" x14ac:dyDescent="0.25">
      <c r="B1417" s="4">
        <v>1398</v>
      </c>
      <c r="C1417" s="4" t="s">
        <v>183</v>
      </c>
      <c r="D1417" s="4" t="s">
        <v>96</v>
      </c>
      <c r="E1417" s="4">
        <v>2091</v>
      </c>
      <c r="F1417" s="4" t="s">
        <v>29</v>
      </c>
      <c r="G1417" s="4" t="s">
        <v>91</v>
      </c>
      <c r="H1417" s="4" t="s">
        <v>62</v>
      </c>
      <c r="I1417" s="4" t="s">
        <v>176</v>
      </c>
      <c r="J1417" s="4">
        <v>320</v>
      </c>
      <c r="K1417" s="6" t="str">
        <f>TEXT(TIMEVALUE(H1417)-TIMEVALUE(I1416)+(TIMEVALUE(H1417)&lt;TIMEVALUE(I1416)),"[h]:mm")</f>
        <v>1:20</v>
      </c>
      <c r="L1417" s="4" t="s">
        <v>93</v>
      </c>
      <c r="M1417" t="str">
        <f>IF($M$1415="","",$M$1415)</f>
        <v/>
      </c>
      <c r="O1417" t="str">
        <f>IF($O$1415="","",$O$1415)</f>
        <v/>
      </c>
      <c r="Q1417" s="4">
        <f>B1417</f>
        <v>1398</v>
      </c>
      <c r="R1417" s="4" t="str">
        <f>C1417</f>
        <v>16/10/2026</v>
      </c>
      <c r="S1417" s="4" t="str">
        <f>D1417</f>
        <v>viernes</v>
      </c>
      <c r="T1417" s="4" t="str">
        <f>E1417&amp;"/"&amp;E1418</f>
        <v>2091/2092</v>
      </c>
      <c r="U1417" s="4" t="str">
        <f>F1417&amp;"-"&amp;G1417&amp;"-"&amp;F1417</f>
        <v>LIM-TPP-LIM</v>
      </c>
      <c r="V1417" s="4" t="str">
        <f>IF($M$1415="","",$M$1415)</f>
        <v/>
      </c>
      <c r="W1417" s="4" t="str">
        <f>IF($O$1415="","",$O$1415)</f>
        <v/>
      </c>
      <c r="X1417" s="4">
        <f>J1417</f>
        <v>320</v>
      </c>
    </row>
    <row r="1418" spans="2:24" ht="30" x14ac:dyDescent="0.25">
      <c r="B1418" s="4">
        <v>1398</v>
      </c>
      <c r="C1418" s="4" t="s">
        <v>183</v>
      </c>
      <c r="D1418" s="4" t="s">
        <v>96</v>
      </c>
      <c r="E1418" s="4">
        <v>2092</v>
      </c>
      <c r="F1418" s="4" t="s">
        <v>91</v>
      </c>
      <c r="G1418" s="4" t="s">
        <v>29</v>
      </c>
      <c r="H1418" s="4" t="s">
        <v>129</v>
      </c>
      <c r="I1418" s="4" t="s">
        <v>173</v>
      </c>
      <c r="J1418" s="4">
        <v>320</v>
      </c>
      <c r="K1418" t="str">
        <f>TEXT(TIMEVALUE(H1418)-TIMEVALUE(I1417)+(TIMEVALUE(H1418)&lt;TIMEVALUE(I1417)),"[h]:mm")</f>
        <v>0:40</v>
      </c>
      <c r="L1418" s="4" t="s">
        <v>40</v>
      </c>
      <c r="O1418" t="str">
        <f>"LIM-"&amp;G1417&amp;"-LIM   LA "&amp;E1417&amp;" ("&amp;LEFT(H1417,5)&amp;"-"&amp;LEFT(I1417,5)&amp;" hrs)  /  LA "&amp;E1418&amp;" ("&amp;LEFT(H1418,5)&amp;"-"&amp;LEFT(I1418,5)&amp;" hrs)"</f>
        <v>LIM-TPP-LIM   LA 2091 (18:35-20:00 hrs)  /  LA 2092 (20:40-22:10 hrs)</v>
      </c>
    </row>
    <row r="1419" spans="2:24" x14ac:dyDescent="0.25">
      <c r="J1419" s="7" t="s">
        <v>43</v>
      </c>
      <c r="K1419" s="8" t="str">
        <f>TEXT(TIMEVALUE(I1418)-TIMEVALUE(H1415)+(I1418&lt;H1415),"[h]:mm")</f>
        <v>8:00</v>
      </c>
    </row>
    <row r="1421" spans="2:24" ht="30" x14ac:dyDescent="0.25">
      <c r="B1421" s="3" t="s">
        <v>9</v>
      </c>
      <c r="C1421" s="3" t="s">
        <v>17</v>
      </c>
      <c r="D1421" s="3" t="s">
        <v>18</v>
      </c>
      <c r="E1421" s="3" t="s">
        <v>19</v>
      </c>
      <c r="F1421" s="3" t="s">
        <v>20</v>
      </c>
      <c r="G1421" s="3" t="s">
        <v>21</v>
      </c>
      <c r="H1421" s="3" t="s">
        <v>22</v>
      </c>
      <c r="I1421" s="3" t="s">
        <v>23</v>
      </c>
      <c r="J1421" s="3" t="s">
        <v>24</v>
      </c>
      <c r="K1421" s="3" t="s">
        <v>25</v>
      </c>
      <c r="L1421" s="3" t="s">
        <v>26</v>
      </c>
    </row>
    <row r="1422" spans="2:24" ht="30" x14ac:dyDescent="0.25">
      <c r="B1422" s="4">
        <v>1381</v>
      </c>
      <c r="C1422" s="4" t="s">
        <v>183</v>
      </c>
      <c r="D1422" s="4" t="s">
        <v>96</v>
      </c>
      <c r="E1422" s="4">
        <v>2154</v>
      </c>
      <c r="F1422" s="4" t="s">
        <v>29</v>
      </c>
      <c r="G1422" s="4" t="s">
        <v>30</v>
      </c>
      <c r="H1422" s="4" t="s">
        <v>75</v>
      </c>
      <c r="I1422" s="4" t="s">
        <v>85</v>
      </c>
      <c r="J1422" s="4">
        <v>320</v>
      </c>
      <c r="L1422" s="4" t="s">
        <v>33</v>
      </c>
      <c r="M1422" s="5"/>
      <c r="O1422" s="5"/>
      <c r="Q1422" s="4">
        <f>B1422</f>
        <v>1381</v>
      </c>
      <c r="R1422" s="4" t="str">
        <f>C1422</f>
        <v>16/10/2026</v>
      </c>
      <c r="S1422" s="4" t="str">
        <f>D1422</f>
        <v>viernes</v>
      </c>
      <c r="T1422" s="4" t="str">
        <f>E1422&amp;"/"&amp;E1423</f>
        <v>2154/2155</v>
      </c>
      <c r="U1422" s="4" t="str">
        <f>F1422&amp;"-"&amp;G1422&amp;"-"&amp;F1422</f>
        <v>LIM-CUZ-LIM</v>
      </c>
      <c r="V1422" s="4" t="str">
        <f>IF($M$1422="","",$M$1422)</f>
        <v/>
      </c>
      <c r="W1422" s="4" t="str">
        <f>IF($O$1422="","",$O$1422)</f>
        <v/>
      </c>
      <c r="X1422" s="4">
        <f>J1422</f>
        <v>320</v>
      </c>
    </row>
    <row r="1423" spans="2:24" ht="30" x14ac:dyDescent="0.25">
      <c r="B1423" s="4">
        <v>1381</v>
      </c>
      <c r="C1423" s="4" t="s">
        <v>183</v>
      </c>
      <c r="D1423" s="4" t="s">
        <v>96</v>
      </c>
      <c r="E1423" s="4">
        <v>2155</v>
      </c>
      <c r="F1423" s="4" t="s">
        <v>30</v>
      </c>
      <c r="G1423" s="4" t="s">
        <v>29</v>
      </c>
      <c r="H1423" s="4" t="s">
        <v>86</v>
      </c>
      <c r="I1423" s="4" t="s">
        <v>78</v>
      </c>
      <c r="J1423" s="4">
        <v>320</v>
      </c>
      <c r="K1423" t="str">
        <f>TEXT(TIMEVALUE(H1423)-TIMEVALUE(I1422)+(TIMEVALUE(H1423)&lt;TIMEVALUE(I1422)),"[h]:mm")</f>
        <v>0:40</v>
      </c>
      <c r="L1423" s="4" t="s">
        <v>36</v>
      </c>
      <c r="O1423" t="str">
        <f>"LIM-"&amp;G1422&amp;"-LIM   LA "&amp;E1422&amp;" ("&amp;LEFT(H1422,5)&amp;"-"&amp;LEFT(I1422,5)&amp;" hrs)  /  LA "&amp;E1423&amp;" ("&amp;LEFT(H1423,5)&amp;"-"&amp;LEFT(I1423,5)&amp;" hrs)"</f>
        <v>LIM-CUZ-LIM   LA 2154 (14:45-16:05 hrs)  /  LA 2155 (16:45-18:20 hrs)</v>
      </c>
    </row>
    <row r="1424" spans="2:24" x14ac:dyDescent="0.25">
      <c r="J1424" s="7" t="s">
        <v>43</v>
      </c>
      <c r="K1424" s="8" t="str">
        <f>TEXT(TIMEVALUE(I1423)-TIMEVALUE(H1422)+(I1423&lt;H1422),"[h]:mm")</f>
        <v>3:35</v>
      </c>
    </row>
    <row r="1426" spans="2:24" ht="30" x14ac:dyDescent="0.25">
      <c r="B1426" s="3" t="s">
        <v>9</v>
      </c>
      <c r="C1426" s="3" t="s">
        <v>17</v>
      </c>
      <c r="D1426" s="3" t="s">
        <v>18</v>
      </c>
      <c r="E1426" s="3" t="s">
        <v>19</v>
      </c>
      <c r="F1426" s="3" t="s">
        <v>20</v>
      </c>
      <c r="G1426" s="3" t="s">
        <v>21</v>
      </c>
      <c r="H1426" s="3" t="s">
        <v>22</v>
      </c>
      <c r="I1426" s="3" t="s">
        <v>23</v>
      </c>
      <c r="J1426" s="3" t="s">
        <v>24</v>
      </c>
      <c r="K1426" s="3" t="s">
        <v>25</v>
      </c>
      <c r="L1426" s="3" t="s">
        <v>26</v>
      </c>
    </row>
    <row r="1427" spans="2:24" ht="30" x14ac:dyDescent="0.25">
      <c r="B1427" s="4">
        <v>1384</v>
      </c>
      <c r="C1427" s="4" t="s">
        <v>183</v>
      </c>
      <c r="D1427" s="4" t="s">
        <v>96</v>
      </c>
      <c r="E1427" s="4">
        <v>2360</v>
      </c>
      <c r="F1427" s="4" t="s">
        <v>29</v>
      </c>
      <c r="G1427" s="4" t="s">
        <v>58</v>
      </c>
      <c r="H1427" s="4" t="s">
        <v>59</v>
      </c>
      <c r="I1427" s="4" t="s">
        <v>60</v>
      </c>
      <c r="J1427" s="4">
        <v>320</v>
      </c>
      <c r="L1427" s="4" t="s">
        <v>61</v>
      </c>
      <c r="M1427" s="5"/>
      <c r="O1427" s="5"/>
      <c r="Q1427" s="4">
        <f>B1427</f>
        <v>1384</v>
      </c>
      <c r="R1427" s="4" t="str">
        <f>C1427</f>
        <v>16/10/2026</v>
      </c>
      <c r="S1427" s="4" t="str">
        <f>D1427</f>
        <v>viernes</v>
      </c>
      <c r="T1427" s="4" t="str">
        <f>E1427&amp;"/"&amp;E1428</f>
        <v>2360/2361</v>
      </c>
      <c r="U1427" s="4" t="str">
        <f>F1427&amp;"-"&amp;G1427&amp;"-"&amp;F1427</f>
        <v>LIM-PCL-LIM</v>
      </c>
      <c r="V1427" s="4" t="str">
        <f>IF($M$1427="","",$M$1427)</f>
        <v/>
      </c>
      <c r="W1427" s="4" t="str">
        <f>IF($O$1427="","",$O$1427)</f>
        <v/>
      </c>
      <c r="X1427" s="4">
        <f>J1427</f>
        <v>320</v>
      </c>
    </row>
    <row r="1428" spans="2:24" ht="30" x14ac:dyDescent="0.25">
      <c r="B1428" s="4">
        <v>1384</v>
      </c>
      <c r="C1428" s="4" t="s">
        <v>183</v>
      </c>
      <c r="D1428" s="4" t="s">
        <v>96</v>
      </c>
      <c r="E1428" s="4">
        <v>2361</v>
      </c>
      <c r="F1428" s="4" t="s">
        <v>58</v>
      </c>
      <c r="G1428" s="4" t="s">
        <v>29</v>
      </c>
      <c r="H1428" s="4" t="s">
        <v>53</v>
      </c>
      <c r="I1428" s="4" t="s">
        <v>62</v>
      </c>
      <c r="J1428" s="4">
        <v>320</v>
      </c>
      <c r="K1428" t="str">
        <f>TEXT(TIMEVALUE(H1428)-TIMEVALUE(I1427)+(TIMEVALUE(H1428)&lt;TIMEVALUE(I1427)),"[h]:mm")</f>
        <v>0:40</v>
      </c>
      <c r="L1428" s="4" t="s">
        <v>61</v>
      </c>
      <c r="O1428" t="str">
        <f>"LIM-"&amp;G1427&amp;"-LIM   LA "&amp;E1427&amp;" ("&amp;LEFT(H1427,5)&amp;"-"&amp;LEFT(I1427,5)&amp;" hrs)  /  LA "&amp;E1428&amp;" ("&amp;LEFT(H1428,5)&amp;"-"&amp;LEFT(I1428,5)&amp;" hrs)"</f>
        <v>LIM-PCL-LIM   LA 2360 (15:25-16:40 hrs)  /  LA 2361 (17:20-18:35 hrs)</v>
      </c>
    </row>
    <row r="1429" spans="2:24" x14ac:dyDescent="0.25">
      <c r="J1429" s="7" t="s">
        <v>43</v>
      </c>
      <c r="K1429" s="8" t="str">
        <f>TEXT(TIMEVALUE(I1428)-TIMEVALUE(H1427)+(I1428&lt;H1427),"[h]:mm")</f>
        <v>3:10</v>
      </c>
    </row>
    <row r="1431" spans="2:24" ht="30" x14ac:dyDescent="0.25">
      <c r="B1431" s="3" t="s">
        <v>9</v>
      </c>
      <c r="C1431" s="3" t="s">
        <v>17</v>
      </c>
      <c r="D1431" s="3" t="s">
        <v>18</v>
      </c>
      <c r="E1431" s="3" t="s">
        <v>19</v>
      </c>
      <c r="F1431" s="3" t="s">
        <v>20</v>
      </c>
      <c r="G1431" s="3" t="s">
        <v>21</v>
      </c>
      <c r="H1431" s="3" t="s">
        <v>22</v>
      </c>
      <c r="I1431" s="3" t="s">
        <v>23</v>
      </c>
      <c r="J1431" s="3" t="s">
        <v>24</v>
      </c>
      <c r="K1431" s="3" t="s">
        <v>25</v>
      </c>
      <c r="L1431" s="3" t="s">
        <v>26</v>
      </c>
    </row>
    <row r="1432" spans="2:24" ht="30" x14ac:dyDescent="0.25">
      <c r="B1432" s="4">
        <v>1385</v>
      </c>
      <c r="C1432" s="4" t="s">
        <v>183</v>
      </c>
      <c r="D1432" s="4" t="s">
        <v>96</v>
      </c>
      <c r="E1432" s="4">
        <v>2312</v>
      </c>
      <c r="F1432" s="4" t="s">
        <v>29</v>
      </c>
      <c r="G1432" s="4" t="s">
        <v>37</v>
      </c>
      <c r="H1432" s="4" t="s">
        <v>89</v>
      </c>
      <c r="I1432" s="4" t="s">
        <v>77</v>
      </c>
      <c r="J1432" s="4">
        <v>320</v>
      </c>
      <c r="L1432" s="4" t="s">
        <v>40</v>
      </c>
      <c r="M1432" s="5"/>
      <c r="O1432" s="5"/>
      <c r="Q1432" s="4">
        <f>B1432</f>
        <v>1385</v>
      </c>
      <c r="R1432" s="4" t="str">
        <f>C1432</f>
        <v>16/10/2026</v>
      </c>
      <c r="S1432" s="4" t="str">
        <f>D1432</f>
        <v>viernes</v>
      </c>
      <c r="T1432" s="4" t="str">
        <f>E1432&amp;"/"&amp;E1433</f>
        <v>2312/2313</v>
      </c>
      <c r="U1432" s="4" t="str">
        <f>F1432&amp;"-"&amp;G1432&amp;"-"&amp;F1432</f>
        <v>LIM-CIX-LIM</v>
      </c>
      <c r="V1432" s="4" t="str">
        <f>IF($M$1432="","",$M$1432)</f>
        <v/>
      </c>
      <c r="W1432" s="4" t="str">
        <f>IF($O$1432="","",$O$1432)</f>
        <v/>
      </c>
      <c r="X1432" s="4">
        <f>J1432</f>
        <v>320</v>
      </c>
    </row>
    <row r="1433" spans="2:24" ht="30" x14ac:dyDescent="0.25">
      <c r="B1433" s="4">
        <v>1385</v>
      </c>
      <c r="C1433" s="4" t="s">
        <v>183</v>
      </c>
      <c r="D1433" s="4" t="s">
        <v>96</v>
      </c>
      <c r="E1433" s="4">
        <v>2313</v>
      </c>
      <c r="F1433" s="4" t="s">
        <v>37</v>
      </c>
      <c r="G1433" s="4" t="s">
        <v>29</v>
      </c>
      <c r="H1433" s="4" t="s">
        <v>84</v>
      </c>
      <c r="I1433" s="4" t="s">
        <v>90</v>
      </c>
      <c r="J1433" s="4">
        <v>320</v>
      </c>
      <c r="K1433" t="str">
        <f>TEXT(TIMEVALUE(H1433)-TIMEVALUE(I1432)+(TIMEVALUE(H1433)&lt;TIMEVALUE(I1432)),"[h]:mm")</f>
        <v>0:45</v>
      </c>
      <c r="L1433" s="4" t="s">
        <v>33</v>
      </c>
      <c r="O1433" t="str">
        <f>"LIM-"&amp;G1432&amp;"-LIM   LA "&amp;E1432&amp;" ("&amp;LEFT(H1432,5)&amp;"-"&amp;LEFT(I1432,5)&amp;" hrs)  /  LA "&amp;E1433&amp;" ("&amp;LEFT(H1433,5)&amp;"-"&amp;LEFT(I1433,5)&amp;" hrs)"</f>
        <v>LIM-CIX-LIM   LA 2312 (15:35-17:05 hrs)  /  LA 2313 (17:50-19:10 hrs)</v>
      </c>
    </row>
    <row r="1434" spans="2:24" x14ac:dyDescent="0.25">
      <c r="J1434" s="7" t="s">
        <v>43</v>
      </c>
      <c r="K1434" s="8" t="str">
        <f>TEXT(TIMEVALUE(I1433)-TIMEVALUE(H1432)+(I1433&lt;H1432),"[h]:mm")</f>
        <v>3:35</v>
      </c>
    </row>
    <row r="1436" spans="2:24" ht="30" x14ac:dyDescent="0.25">
      <c r="B1436" s="3" t="s">
        <v>9</v>
      </c>
      <c r="C1436" s="3" t="s">
        <v>17</v>
      </c>
      <c r="D1436" s="3" t="s">
        <v>18</v>
      </c>
      <c r="E1436" s="3" t="s">
        <v>19</v>
      </c>
      <c r="F1436" s="3" t="s">
        <v>20</v>
      </c>
      <c r="G1436" s="3" t="s">
        <v>21</v>
      </c>
      <c r="H1436" s="3" t="s">
        <v>22</v>
      </c>
      <c r="I1436" s="3" t="s">
        <v>23</v>
      </c>
      <c r="J1436" s="3" t="s">
        <v>24</v>
      </c>
      <c r="K1436" s="3" t="s">
        <v>25</v>
      </c>
      <c r="L1436" s="3" t="s">
        <v>26</v>
      </c>
    </row>
    <row r="1437" spans="2:24" ht="30" x14ac:dyDescent="0.25">
      <c r="B1437" s="4">
        <v>1386</v>
      </c>
      <c r="C1437" s="4" t="s">
        <v>183</v>
      </c>
      <c r="D1437" s="4" t="s">
        <v>96</v>
      </c>
      <c r="E1437" s="4">
        <v>2312</v>
      </c>
      <c r="F1437" s="4" t="s">
        <v>29</v>
      </c>
      <c r="G1437" s="4" t="s">
        <v>37</v>
      </c>
      <c r="H1437" s="4" t="s">
        <v>89</v>
      </c>
      <c r="I1437" s="4" t="s">
        <v>77</v>
      </c>
      <c r="J1437" s="4">
        <v>320</v>
      </c>
      <c r="L1437" s="4" t="s">
        <v>40</v>
      </c>
      <c r="M1437" s="5"/>
      <c r="O1437" s="5"/>
      <c r="Q1437" s="4">
        <f>B1437</f>
        <v>1386</v>
      </c>
      <c r="R1437" s="4" t="str">
        <f>C1437</f>
        <v>16/10/2026</v>
      </c>
      <c r="S1437" s="4" t="str">
        <f>D1437</f>
        <v>viernes</v>
      </c>
      <c r="T1437" s="4" t="str">
        <f>E1437&amp;"/"&amp;E1438</f>
        <v>2312/2313</v>
      </c>
      <c r="U1437" s="4" t="str">
        <f>F1437&amp;"-"&amp;G1437&amp;"-"&amp;F1437</f>
        <v>LIM-CIX-LIM</v>
      </c>
      <c r="V1437" s="4" t="str">
        <f>IF($M$1437="","",$M$1437)</f>
        <v/>
      </c>
      <c r="W1437" s="4" t="str">
        <f>IF($O$1437="","",$O$1437)</f>
        <v/>
      </c>
      <c r="X1437" s="4">
        <f>J1437</f>
        <v>320</v>
      </c>
    </row>
    <row r="1438" spans="2:24" ht="30" x14ac:dyDescent="0.25">
      <c r="B1438" s="4">
        <v>1386</v>
      </c>
      <c r="C1438" s="4" t="s">
        <v>183</v>
      </c>
      <c r="D1438" s="4" t="s">
        <v>96</v>
      </c>
      <c r="E1438" s="4">
        <v>2313</v>
      </c>
      <c r="F1438" s="4" t="s">
        <v>37</v>
      </c>
      <c r="G1438" s="4" t="s">
        <v>29</v>
      </c>
      <c r="H1438" s="4" t="s">
        <v>84</v>
      </c>
      <c r="I1438" s="4" t="s">
        <v>90</v>
      </c>
      <c r="J1438" s="4">
        <v>320</v>
      </c>
      <c r="K1438" t="str">
        <f>TEXT(TIMEVALUE(H1438)-TIMEVALUE(I1437)+(TIMEVALUE(H1438)&lt;TIMEVALUE(I1437)),"[h]:mm")</f>
        <v>0:45</v>
      </c>
      <c r="L1438" s="4" t="s">
        <v>33</v>
      </c>
      <c r="O1438" t="str">
        <f>"LIM-"&amp;G1437&amp;"-LIM   LA "&amp;E1437&amp;" ("&amp;LEFT(H1437,5)&amp;"-"&amp;LEFT(I1437,5)&amp;" hrs)  /  LA "&amp;E1438&amp;" ("&amp;LEFT(H1438,5)&amp;"-"&amp;LEFT(I1438,5)&amp;" hrs)"</f>
        <v>LIM-CIX-LIM   LA 2312 (15:35-17:05 hrs)  /  LA 2313 (17:50-19:10 hrs)</v>
      </c>
    </row>
    <row r="1439" spans="2:24" x14ac:dyDescent="0.25">
      <c r="J1439" s="7" t="s">
        <v>43</v>
      </c>
      <c r="K1439" s="8" t="str">
        <f>TEXT(TIMEVALUE(I1438)-TIMEVALUE(H1437)+(I1438&lt;H1437),"[h]:mm")</f>
        <v>3:35</v>
      </c>
    </row>
    <row r="1441" spans="2:24" ht="30" x14ac:dyDescent="0.25">
      <c r="B1441" s="3" t="s">
        <v>9</v>
      </c>
      <c r="C1441" s="3" t="s">
        <v>17</v>
      </c>
      <c r="D1441" s="3" t="s">
        <v>18</v>
      </c>
      <c r="E1441" s="3" t="s">
        <v>19</v>
      </c>
      <c r="F1441" s="3" t="s">
        <v>20</v>
      </c>
      <c r="G1441" s="3" t="s">
        <v>21</v>
      </c>
      <c r="H1441" s="3" t="s">
        <v>22</v>
      </c>
      <c r="I1441" s="3" t="s">
        <v>23</v>
      </c>
      <c r="J1441" s="3" t="s">
        <v>24</v>
      </c>
      <c r="K1441" s="3" t="s">
        <v>25</v>
      </c>
      <c r="L1441" s="3" t="s">
        <v>26</v>
      </c>
    </row>
    <row r="1442" spans="2:24" ht="30" x14ac:dyDescent="0.25">
      <c r="B1442" s="4">
        <v>1387</v>
      </c>
      <c r="C1442" s="4" t="s">
        <v>183</v>
      </c>
      <c r="D1442" s="4" t="s">
        <v>96</v>
      </c>
      <c r="E1442" s="4">
        <v>2301</v>
      </c>
      <c r="F1442" s="4" t="s">
        <v>29</v>
      </c>
      <c r="G1442" s="4" t="s">
        <v>91</v>
      </c>
      <c r="H1442" s="4" t="s">
        <v>92</v>
      </c>
      <c r="I1442" s="4" t="s">
        <v>77</v>
      </c>
      <c r="J1442" s="4">
        <v>320</v>
      </c>
      <c r="L1442" s="4" t="s">
        <v>93</v>
      </c>
      <c r="M1442" s="5"/>
      <c r="O1442" s="5"/>
      <c r="Q1442" s="4">
        <f>B1442</f>
        <v>1387</v>
      </c>
      <c r="R1442" s="4" t="str">
        <f>C1442</f>
        <v>16/10/2026</v>
      </c>
      <c r="S1442" s="4" t="str">
        <f>D1442</f>
        <v>viernes</v>
      </c>
      <c r="T1442" s="4" t="str">
        <f>E1442&amp;"/"&amp;E1443</f>
        <v>2301/2300</v>
      </c>
      <c r="U1442" s="4" t="str">
        <f>F1442&amp;"-"&amp;G1442&amp;"-"&amp;F1442</f>
        <v>LIM-TPP-LIM</v>
      </c>
      <c r="V1442" s="4" t="str">
        <f>IF($M$1442="","",$M$1442)</f>
        <v/>
      </c>
      <c r="W1442" s="4" t="str">
        <f>IF($O$1442="","",$O$1442)</f>
        <v/>
      </c>
      <c r="X1442" s="4">
        <f>J1442</f>
        <v>320</v>
      </c>
    </row>
    <row r="1443" spans="2:24" ht="30" x14ac:dyDescent="0.25">
      <c r="B1443" s="4">
        <v>1387</v>
      </c>
      <c r="C1443" s="4" t="s">
        <v>183</v>
      </c>
      <c r="D1443" s="4" t="s">
        <v>96</v>
      </c>
      <c r="E1443" s="4">
        <v>2300</v>
      </c>
      <c r="F1443" s="4" t="s">
        <v>91</v>
      </c>
      <c r="G1443" s="4" t="s">
        <v>29</v>
      </c>
      <c r="H1443" s="4" t="s">
        <v>84</v>
      </c>
      <c r="I1443" s="4" t="s">
        <v>94</v>
      </c>
      <c r="J1443" s="4">
        <v>320</v>
      </c>
      <c r="K1443" t="str">
        <f>TEXT(TIMEVALUE(H1443)-TIMEVALUE(I1442)+(TIMEVALUE(H1443)&lt;TIMEVALUE(I1442)),"[h]:mm")</f>
        <v>0:45</v>
      </c>
      <c r="L1443" s="4" t="s">
        <v>93</v>
      </c>
      <c r="O1443" t="str">
        <f>"LIM-"&amp;G1442&amp;"-LIM   LA "&amp;E1442&amp;" ("&amp;LEFT(H1442,5)&amp;"-"&amp;LEFT(I1442,5)&amp;" hrs)  /  LA "&amp;E1443&amp;" ("&amp;LEFT(H1443,5)&amp;"-"&amp;LEFT(I1443,5)&amp;" hrs)"</f>
        <v>LIM-TPP-LIM   LA 2301 (15:40-17:05 hrs)  /  LA 2300 (17:50-19:15 hrs)</v>
      </c>
    </row>
    <row r="1444" spans="2:24" x14ac:dyDescent="0.25">
      <c r="J1444" s="7" t="s">
        <v>43</v>
      </c>
      <c r="K1444" s="8" t="str">
        <f>TEXT(TIMEVALUE(I1443)-TIMEVALUE(H1442)+(I1443&lt;H1442),"[h]:mm")</f>
        <v>3:35</v>
      </c>
    </row>
    <row r="1446" spans="2:24" ht="30" x14ac:dyDescent="0.25">
      <c r="B1446" s="3" t="s">
        <v>9</v>
      </c>
      <c r="C1446" s="3" t="s">
        <v>17</v>
      </c>
      <c r="D1446" s="3" t="s">
        <v>18</v>
      </c>
      <c r="E1446" s="3" t="s">
        <v>19</v>
      </c>
      <c r="F1446" s="3" t="s">
        <v>20</v>
      </c>
      <c r="G1446" s="3" t="s">
        <v>21</v>
      </c>
      <c r="H1446" s="3" t="s">
        <v>22</v>
      </c>
      <c r="I1446" s="3" t="s">
        <v>23</v>
      </c>
      <c r="J1446" s="3" t="s">
        <v>24</v>
      </c>
      <c r="K1446" s="3" t="s">
        <v>25</v>
      </c>
      <c r="L1446" s="3" t="s">
        <v>26</v>
      </c>
    </row>
    <row r="1447" spans="2:24" ht="30" x14ac:dyDescent="0.25">
      <c r="B1447" s="4">
        <v>1391</v>
      </c>
      <c r="C1447" s="4" t="s">
        <v>183</v>
      </c>
      <c r="D1447" s="4" t="s">
        <v>96</v>
      </c>
      <c r="E1447" s="4">
        <v>2276</v>
      </c>
      <c r="F1447" s="4" t="s">
        <v>29</v>
      </c>
      <c r="G1447" s="4" t="s">
        <v>30</v>
      </c>
      <c r="H1447" s="4" t="s">
        <v>52</v>
      </c>
      <c r="I1447" s="4" t="s">
        <v>121</v>
      </c>
      <c r="J1447" s="4">
        <v>320</v>
      </c>
      <c r="L1447" s="4" t="s">
        <v>33</v>
      </c>
      <c r="M1447" s="5"/>
      <c r="O1447" s="5"/>
      <c r="Q1447" s="4">
        <f>B1447</f>
        <v>1391</v>
      </c>
      <c r="R1447" s="4" t="str">
        <f>C1447</f>
        <v>16/10/2026</v>
      </c>
      <c r="S1447" s="4" t="str">
        <f>D1447</f>
        <v>viernes</v>
      </c>
      <c r="T1447" s="4" t="str">
        <f>E1447&amp;"/"&amp;E1448</f>
        <v>2276/2277</v>
      </c>
      <c r="U1447" s="4" t="str">
        <f>F1447&amp;"-"&amp;G1447&amp;"-"&amp;F1447</f>
        <v>LIM-CUZ-LIM</v>
      </c>
      <c r="V1447" s="4" t="str">
        <f>IF($M$1447="","",$M$1447)</f>
        <v/>
      </c>
      <c r="W1447" s="4" t="str">
        <f>IF($O$1447="","",$O$1447)</f>
        <v/>
      </c>
      <c r="X1447" s="4">
        <f>J1447</f>
        <v>320</v>
      </c>
    </row>
    <row r="1448" spans="2:24" ht="30" x14ac:dyDescent="0.25">
      <c r="B1448" s="4">
        <v>1391</v>
      </c>
      <c r="C1448" s="4" t="s">
        <v>183</v>
      </c>
      <c r="D1448" s="4" t="s">
        <v>96</v>
      </c>
      <c r="E1448" s="4">
        <v>2277</v>
      </c>
      <c r="F1448" s="4" t="s">
        <v>30</v>
      </c>
      <c r="G1448" s="4" t="s">
        <v>29</v>
      </c>
      <c r="H1448" s="4" t="s">
        <v>127</v>
      </c>
      <c r="I1448" s="4" t="s">
        <v>155</v>
      </c>
      <c r="J1448" s="4">
        <v>320</v>
      </c>
      <c r="K1448" t="str">
        <f>TEXT(TIMEVALUE(H1448)-TIMEVALUE(I1447)+(TIMEVALUE(H1448)&lt;TIMEVALUE(I1447)),"[h]:mm")</f>
        <v>0:55</v>
      </c>
      <c r="L1448" s="4" t="s">
        <v>36</v>
      </c>
      <c r="O1448" t="str">
        <f>"LIM-"&amp;G1447&amp;"-LIM   LA "&amp;E1447&amp;" ("&amp;LEFT(H1447,5)&amp;"-"&amp;LEFT(I1447,5)&amp;" hrs)  /  LA "&amp;E1448&amp;" ("&amp;LEFT(H1448,5)&amp;"-"&amp;LEFT(I1448,5)&amp;" hrs)"</f>
        <v>LIM-CUZ-LIM   LA 2276 (16:35-17:55 hrs)  /  LA 2277 (18:50-20:25 hrs)</v>
      </c>
    </row>
    <row r="1449" spans="2:24" x14ac:dyDescent="0.25">
      <c r="J1449" s="7" t="s">
        <v>43</v>
      </c>
      <c r="K1449" s="8" t="str">
        <f>TEXT(TIMEVALUE(I1448)-TIMEVALUE(H1447)+(I1448&lt;H1447),"[h]:mm")</f>
        <v>3:50</v>
      </c>
    </row>
    <row r="1451" spans="2:24" ht="30" x14ac:dyDescent="0.25">
      <c r="B1451" s="3" t="s">
        <v>9</v>
      </c>
      <c r="C1451" s="3" t="s">
        <v>17</v>
      </c>
      <c r="D1451" s="3" t="s">
        <v>18</v>
      </c>
      <c r="E1451" s="3" t="s">
        <v>19</v>
      </c>
      <c r="F1451" s="3" t="s">
        <v>20</v>
      </c>
      <c r="G1451" s="3" t="s">
        <v>21</v>
      </c>
      <c r="H1451" s="3" t="s">
        <v>22</v>
      </c>
      <c r="I1451" s="3" t="s">
        <v>23</v>
      </c>
      <c r="J1451" s="3" t="s">
        <v>24</v>
      </c>
      <c r="K1451" s="3" t="s">
        <v>25</v>
      </c>
      <c r="L1451" s="3" t="s">
        <v>26</v>
      </c>
    </row>
    <row r="1452" spans="2:24" ht="30" x14ac:dyDescent="0.25">
      <c r="B1452" s="4">
        <v>1392</v>
      </c>
      <c r="C1452" s="4" t="s">
        <v>183</v>
      </c>
      <c r="D1452" s="4" t="s">
        <v>96</v>
      </c>
      <c r="E1452" s="4">
        <v>2276</v>
      </c>
      <c r="F1452" s="4" t="s">
        <v>29</v>
      </c>
      <c r="G1452" s="4" t="s">
        <v>30</v>
      </c>
      <c r="H1452" s="4" t="s">
        <v>52</v>
      </c>
      <c r="I1452" s="4" t="s">
        <v>121</v>
      </c>
      <c r="J1452" s="4">
        <v>320</v>
      </c>
      <c r="L1452" s="4" t="s">
        <v>33</v>
      </c>
      <c r="M1452" s="5"/>
      <c r="O1452" s="5"/>
      <c r="Q1452" s="4">
        <f>B1452</f>
        <v>1392</v>
      </c>
      <c r="R1452" s="4" t="str">
        <f>C1452</f>
        <v>16/10/2026</v>
      </c>
      <c r="S1452" s="4" t="str">
        <f>D1452</f>
        <v>viernes</v>
      </c>
      <c r="T1452" s="4" t="str">
        <f>E1452&amp;"/"&amp;E1453</f>
        <v>2276/2277</v>
      </c>
      <c r="U1452" s="4" t="str">
        <f>F1452&amp;"-"&amp;G1452&amp;"-"&amp;F1452</f>
        <v>LIM-CUZ-LIM</v>
      </c>
      <c r="V1452" s="4" t="str">
        <f>IF($M$1452="","",$M$1452)</f>
        <v/>
      </c>
      <c r="W1452" s="4" t="str">
        <f>IF($O$1452="","",$O$1452)</f>
        <v/>
      </c>
      <c r="X1452" s="4">
        <f>J1452</f>
        <v>320</v>
      </c>
    </row>
    <row r="1453" spans="2:24" ht="30" x14ac:dyDescent="0.25">
      <c r="B1453" s="4">
        <v>1392</v>
      </c>
      <c r="C1453" s="4" t="s">
        <v>183</v>
      </c>
      <c r="D1453" s="4" t="s">
        <v>96</v>
      </c>
      <c r="E1453" s="4">
        <v>2277</v>
      </c>
      <c r="F1453" s="4" t="s">
        <v>30</v>
      </c>
      <c r="G1453" s="4" t="s">
        <v>29</v>
      </c>
      <c r="H1453" s="4" t="s">
        <v>127</v>
      </c>
      <c r="I1453" s="4" t="s">
        <v>155</v>
      </c>
      <c r="J1453" s="4">
        <v>320</v>
      </c>
      <c r="K1453" t="str">
        <f>TEXT(TIMEVALUE(H1453)-TIMEVALUE(I1452)+(TIMEVALUE(H1453)&lt;TIMEVALUE(I1452)),"[h]:mm")</f>
        <v>0:55</v>
      </c>
      <c r="L1453" s="4" t="s">
        <v>36</v>
      </c>
      <c r="O1453" t="str">
        <f>"LIM-"&amp;G1452&amp;"-LIM   LA "&amp;E1452&amp;" ("&amp;LEFT(H1452,5)&amp;"-"&amp;LEFT(I1452,5)&amp;" hrs)  /  LA "&amp;E1453&amp;" ("&amp;LEFT(H1453,5)&amp;"-"&amp;LEFT(I1453,5)&amp;" hrs)"</f>
        <v>LIM-CUZ-LIM   LA 2276 (16:35-17:55 hrs)  /  LA 2277 (18:50-20:25 hrs)</v>
      </c>
    </row>
    <row r="1454" spans="2:24" x14ac:dyDescent="0.25">
      <c r="J1454" s="7" t="s">
        <v>43</v>
      </c>
      <c r="K1454" s="8" t="str">
        <f>TEXT(TIMEVALUE(I1453)-TIMEVALUE(H1452)+(I1453&lt;H1452),"[h]:mm")</f>
        <v>3:50</v>
      </c>
    </row>
    <row r="1456" spans="2:24" ht="30" x14ac:dyDescent="0.25">
      <c r="B1456" s="3" t="s">
        <v>9</v>
      </c>
      <c r="C1456" s="3" t="s">
        <v>17</v>
      </c>
      <c r="D1456" s="3" t="s">
        <v>18</v>
      </c>
      <c r="E1456" s="3" t="s">
        <v>19</v>
      </c>
      <c r="F1456" s="3" t="s">
        <v>20</v>
      </c>
      <c r="G1456" s="3" t="s">
        <v>21</v>
      </c>
      <c r="H1456" s="3" t="s">
        <v>22</v>
      </c>
      <c r="I1456" s="3" t="s">
        <v>23</v>
      </c>
      <c r="J1456" s="3" t="s">
        <v>24</v>
      </c>
      <c r="K1456" s="3" t="s">
        <v>25</v>
      </c>
      <c r="L1456" s="3" t="s">
        <v>26</v>
      </c>
    </row>
    <row r="1457" spans="2:24" ht="30" x14ac:dyDescent="0.25">
      <c r="B1457" s="4">
        <v>1395</v>
      </c>
      <c r="C1457" s="4" t="s">
        <v>183</v>
      </c>
      <c r="D1457" s="4" t="s">
        <v>96</v>
      </c>
      <c r="E1457" s="4">
        <v>2115</v>
      </c>
      <c r="F1457" s="4" t="s">
        <v>29</v>
      </c>
      <c r="G1457" s="4" t="s">
        <v>56</v>
      </c>
      <c r="H1457" s="4" t="s">
        <v>42</v>
      </c>
      <c r="I1457" s="4" t="s">
        <v>68</v>
      </c>
      <c r="J1457" s="4">
        <v>320</v>
      </c>
      <c r="L1457" s="4" t="s">
        <v>40</v>
      </c>
      <c r="M1457" s="5"/>
      <c r="O1457" s="5"/>
      <c r="Q1457" s="4">
        <f>B1457</f>
        <v>1395</v>
      </c>
      <c r="R1457" s="4" t="str">
        <f>C1457</f>
        <v>16/10/2026</v>
      </c>
      <c r="S1457" s="4" t="str">
        <f>D1457</f>
        <v>viernes</v>
      </c>
      <c r="T1457" s="4" t="str">
        <f>E1457&amp;"/"&amp;E1458</f>
        <v>2115/2114</v>
      </c>
      <c r="U1457" s="4" t="str">
        <f>F1457&amp;"-"&amp;G1457&amp;"-"&amp;F1457</f>
        <v>LIM-AQP-LIM</v>
      </c>
      <c r="V1457" s="4" t="str">
        <f>IF($M$1457="","",$M$1457)</f>
        <v/>
      </c>
      <c r="W1457" s="4" t="str">
        <f>IF($O$1457="","",$O$1457)</f>
        <v/>
      </c>
      <c r="X1457" s="4">
        <f>J1457</f>
        <v>320</v>
      </c>
    </row>
    <row r="1458" spans="2:24" ht="30" x14ac:dyDescent="0.25">
      <c r="B1458" s="4">
        <v>1395</v>
      </c>
      <c r="C1458" s="4" t="s">
        <v>183</v>
      </c>
      <c r="D1458" s="4" t="s">
        <v>96</v>
      </c>
      <c r="E1458" s="4">
        <v>2114</v>
      </c>
      <c r="F1458" s="4" t="s">
        <v>56</v>
      </c>
      <c r="G1458" s="4" t="s">
        <v>29</v>
      </c>
      <c r="H1458" s="4" t="s">
        <v>69</v>
      </c>
      <c r="I1458" s="4" t="s">
        <v>70</v>
      </c>
      <c r="J1458" s="4">
        <v>320</v>
      </c>
      <c r="K1458" t="str">
        <f>TEXT(TIMEVALUE(H1458)-TIMEVALUE(I1457)+(TIMEVALUE(H1458)&lt;TIMEVALUE(I1457)),"[h]:mm")</f>
        <v>0:35</v>
      </c>
      <c r="L1458" s="4" t="s">
        <v>71</v>
      </c>
      <c r="O1458" t="str">
        <f>"LIM-"&amp;G1457&amp;"-LIM   LA "&amp;E1457&amp;" ("&amp;LEFT(H1457,5)&amp;"-"&amp;LEFT(I1457,5)&amp;" hrs)  /  LA "&amp;E1458&amp;" ("&amp;LEFT(H1458,5)&amp;"-"&amp;LEFT(I1458,5)&amp;" hrs)"</f>
        <v>LIM-AQP-LIM   LA 2115 (17:15-18:45 hrs)  /  LA 2114 (19:20-21:00 hrs)</v>
      </c>
    </row>
    <row r="1459" spans="2:24" x14ac:dyDescent="0.25">
      <c r="J1459" s="7" t="s">
        <v>43</v>
      </c>
      <c r="K1459" s="8" t="str">
        <f>TEXT(TIMEVALUE(I1458)-TIMEVALUE(H1457)+(I1458&lt;H1457),"[h]:mm")</f>
        <v>3:45</v>
      </c>
    </row>
    <row r="1461" spans="2:24" ht="30" x14ac:dyDescent="0.25">
      <c r="B1461" s="3" t="s">
        <v>9</v>
      </c>
      <c r="C1461" s="3" t="s">
        <v>17</v>
      </c>
      <c r="D1461" s="3" t="s">
        <v>18</v>
      </c>
      <c r="E1461" s="3" t="s">
        <v>19</v>
      </c>
      <c r="F1461" s="3" t="s">
        <v>20</v>
      </c>
      <c r="G1461" s="3" t="s">
        <v>21</v>
      </c>
      <c r="H1461" s="3" t="s">
        <v>22</v>
      </c>
      <c r="I1461" s="3" t="s">
        <v>23</v>
      </c>
      <c r="J1461" s="3" t="s">
        <v>24</v>
      </c>
      <c r="K1461" s="3" t="s">
        <v>25</v>
      </c>
      <c r="L1461" s="3" t="s">
        <v>26</v>
      </c>
    </row>
    <row r="1462" spans="2:24" ht="30" x14ac:dyDescent="0.25">
      <c r="B1462" s="4">
        <v>1396</v>
      </c>
      <c r="C1462" s="4" t="s">
        <v>183</v>
      </c>
      <c r="D1462" s="4" t="s">
        <v>96</v>
      </c>
      <c r="E1462" s="4">
        <v>2556</v>
      </c>
      <c r="F1462" s="4" t="s">
        <v>29</v>
      </c>
      <c r="G1462" s="4" t="s">
        <v>125</v>
      </c>
      <c r="H1462" s="4" t="s">
        <v>100</v>
      </c>
      <c r="I1462" s="4" t="s">
        <v>90</v>
      </c>
      <c r="J1462" s="4">
        <v>320</v>
      </c>
      <c r="L1462" s="4" t="s">
        <v>71</v>
      </c>
      <c r="M1462" s="5"/>
      <c r="O1462" s="5"/>
      <c r="Q1462" s="4">
        <f>B1462</f>
        <v>1396</v>
      </c>
      <c r="R1462" s="4" t="str">
        <f>C1462</f>
        <v>16/10/2026</v>
      </c>
      <c r="S1462" s="4" t="str">
        <f>D1462</f>
        <v>viernes</v>
      </c>
      <c r="T1462" s="4" t="str">
        <f>E1462&amp;"/"&amp;E1463</f>
        <v>2556/2557</v>
      </c>
      <c r="U1462" s="4" t="str">
        <f>F1462&amp;"-"&amp;G1462&amp;"-"&amp;F1462</f>
        <v>LIM-PIU-LIM</v>
      </c>
      <c r="V1462" s="4" t="str">
        <f>IF($M$1462="","",$M$1462)</f>
        <v/>
      </c>
      <c r="W1462" s="4" t="str">
        <f>IF($O$1462="","",$O$1462)</f>
        <v/>
      </c>
      <c r="X1462" s="4">
        <f>J1462</f>
        <v>320</v>
      </c>
    </row>
    <row r="1463" spans="2:24" ht="30" x14ac:dyDescent="0.25">
      <c r="B1463" s="4">
        <v>1396</v>
      </c>
      <c r="C1463" s="4" t="s">
        <v>183</v>
      </c>
      <c r="D1463" s="4" t="s">
        <v>96</v>
      </c>
      <c r="E1463" s="4">
        <v>2557</v>
      </c>
      <c r="F1463" s="4" t="s">
        <v>125</v>
      </c>
      <c r="G1463" s="4" t="s">
        <v>29</v>
      </c>
      <c r="H1463" s="4" t="s">
        <v>112</v>
      </c>
      <c r="I1463" s="4" t="s">
        <v>130</v>
      </c>
      <c r="J1463" s="4">
        <v>320</v>
      </c>
      <c r="K1463" t="str">
        <f>TEXT(TIMEVALUE(H1463)-TIMEVALUE(I1462)+(TIMEVALUE(H1463)&lt;TIMEVALUE(I1462)),"[h]:mm")</f>
        <v>0:35</v>
      </c>
      <c r="L1463" s="4" t="s">
        <v>40</v>
      </c>
      <c r="O1463" t="str">
        <f>"LIM-"&amp;G1462&amp;"-LIM   LA "&amp;E1462&amp;" ("&amp;LEFT(H1462,5)&amp;"-"&amp;LEFT(I1462,5)&amp;" hrs)  /  LA "&amp;E1463&amp;" ("&amp;LEFT(H1463,5)&amp;"-"&amp;LEFT(I1463,5)&amp;" hrs)"</f>
        <v>LIM-PIU-LIM   LA 2556 (17:30-19:10 hrs)  /  LA 2557 (19:45-21:15 hrs)</v>
      </c>
    </row>
    <row r="1464" spans="2:24" x14ac:dyDescent="0.25">
      <c r="J1464" s="7" t="s">
        <v>43</v>
      </c>
      <c r="K1464" s="8" t="str">
        <f>TEXT(TIMEVALUE(I1463)-TIMEVALUE(H1462)+(I1463&lt;H1462),"[h]:mm")</f>
        <v>3:45</v>
      </c>
    </row>
    <row r="1466" spans="2:24" ht="30" x14ac:dyDescent="0.25">
      <c r="B1466" s="3" t="s">
        <v>9</v>
      </c>
      <c r="C1466" s="3" t="s">
        <v>17</v>
      </c>
      <c r="D1466" s="3" t="s">
        <v>18</v>
      </c>
      <c r="E1466" s="3" t="s">
        <v>19</v>
      </c>
      <c r="F1466" s="3" t="s">
        <v>20</v>
      </c>
      <c r="G1466" s="3" t="s">
        <v>21</v>
      </c>
      <c r="H1466" s="3" t="s">
        <v>22</v>
      </c>
      <c r="I1466" s="3" t="s">
        <v>23</v>
      </c>
      <c r="J1466" s="3" t="s">
        <v>24</v>
      </c>
      <c r="K1466" s="3" t="s">
        <v>25</v>
      </c>
      <c r="L1466" s="3" t="s">
        <v>26</v>
      </c>
    </row>
    <row r="1467" spans="2:24" ht="30" x14ac:dyDescent="0.25">
      <c r="B1467" s="4">
        <v>1399</v>
      </c>
      <c r="C1467" s="4" t="s">
        <v>183</v>
      </c>
      <c r="D1467" s="4" t="s">
        <v>96</v>
      </c>
      <c r="E1467" s="4">
        <v>2091</v>
      </c>
      <c r="F1467" s="4" t="s">
        <v>29</v>
      </c>
      <c r="G1467" s="4" t="s">
        <v>91</v>
      </c>
      <c r="H1467" s="4" t="s">
        <v>62</v>
      </c>
      <c r="I1467" s="4" t="s">
        <v>176</v>
      </c>
      <c r="J1467" s="4">
        <v>320</v>
      </c>
      <c r="L1467" s="4" t="s">
        <v>93</v>
      </c>
      <c r="M1467" s="5"/>
      <c r="O1467" s="5"/>
      <c r="Q1467" s="4">
        <f>B1467</f>
        <v>1399</v>
      </c>
      <c r="R1467" s="4" t="str">
        <f>C1467</f>
        <v>16/10/2026</v>
      </c>
      <c r="S1467" s="4" t="str">
        <f>D1467</f>
        <v>viernes</v>
      </c>
      <c r="T1467" s="4" t="str">
        <f>E1467&amp;"/"&amp;E1468</f>
        <v>2091/2092</v>
      </c>
      <c r="U1467" s="4" t="str">
        <f>F1467&amp;"-"&amp;G1467&amp;"-"&amp;F1467</f>
        <v>LIM-TPP-LIM</v>
      </c>
      <c r="V1467" s="4" t="str">
        <f>IF($M$1467="","",$M$1467)</f>
        <v/>
      </c>
      <c r="W1467" s="4" t="str">
        <f>IF($O$1467="","",$O$1467)</f>
        <v/>
      </c>
      <c r="X1467" s="4">
        <f>J1467</f>
        <v>320</v>
      </c>
    </row>
    <row r="1468" spans="2:24" ht="30" x14ac:dyDescent="0.25">
      <c r="B1468" s="4">
        <v>1399</v>
      </c>
      <c r="C1468" s="4" t="s">
        <v>183</v>
      </c>
      <c r="D1468" s="4" t="s">
        <v>96</v>
      </c>
      <c r="E1468" s="4">
        <v>2092</v>
      </c>
      <c r="F1468" s="4" t="s">
        <v>91</v>
      </c>
      <c r="G1468" s="4" t="s">
        <v>29</v>
      </c>
      <c r="H1468" s="4" t="s">
        <v>129</v>
      </c>
      <c r="I1468" s="4" t="s">
        <v>173</v>
      </c>
      <c r="J1468" s="4">
        <v>320</v>
      </c>
      <c r="K1468" t="str">
        <f>TEXT(TIMEVALUE(H1468)-TIMEVALUE(I1467)+(TIMEVALUE(H1468)&lt;TIMEVALUE(I1467)),"[h]:mm")</f>
        <v>0:40</v>
      </c>
      <c r="L1468" s="4" t="s">
        <v>40</v>
      </c>
      <c r="O1468" t="str">
        <f>"LIM-"&amp;G1467&amp;"-LIM   LA "&amp;E1467&amp;" ("&amp;LEFT(H1467,5)&amp;"-"&amp;LEFT(I1467,5)&amp;" hrs)  /  LA "&amp;E1468&amp;" ("&amp;LEFT(H1468,5)&amp;"-"&amp;LEFT(I1468,5)&amp;" hrs)"</f>
        <v>LIM-TPP-LIM   LA 2091 (18:35-20:00 hrs)  /  LA 2092 (20:40-22:10 hrs)</v>
      </c>
    </row>
    <row r="1469" spans="2:24" x14ac:dyDescent="0.25">
      <c r="J1469" s="7" t="s">
        <v>43</v>
      </c>
      <c r="K1469" s="8" t="str">
        <f>TEXT(TIMEVALUE(I1468)-TIMEVALUE(H1467)+(I1468&lt;H1467),"[h]:mm")</f>
        <v>3:35</v>
      </c>
    </row>
    <row r="1471" spans="2:24" ht="30" x14ac:dyDescent="0.25">
      <c r="B1471" s="3" t="s">
        <v>9</v>
      </c>
      <c r="C1471" s="3" t="s">
        <v>17</v>
      </c>
      <c r="D1471" s="3" t="s">
        <v>18</v>
      </c>
      <c r="E1471" s="3" t="s">
        <v>19</v>
      </c>
      <c r="F1471" s="3" t="s">
        <v>20</v>
      </c>
      <c r="G1471" s="3" t="s">
        <v>21</v>
      </c>
      <c r="H1471" s="3" t="s">
        <v>22</v>
      </c>
      <c r="I1471" s="3" t="s">
        <v>23</v>
      </c>
      <c r="J1471" s="3" t="s">
        <v>24</v>
      </c>
      <c r="K1471" s="3" t="s">
        <v>25</v>
      </c>
      <c r="L1471" s="3" t="s">
        <v>26</v>
      </c>
    </row>
    <row r="1472" spans="2:24" ht="30" x14ac:dyDescent="0.25">
      <c r="B1472" s="4">
        <v>1446</v>
      </c>
      <c r="C1472" s="4" t="s">
        <v>184</v>
      </c>
      <c r="D1472" s="4" t="s">
        <v>119</v>
      </c>
      <c r="E1472" s="4">
        <v>2260</v>
      </c>
      <c r="F1472" s="4" t="s">
        <v>29</v>
      </c>
      <c r="G1472" s="4" t="s">
        <v>44</v>
      </c>
      <c r="H1472" s="4" t="s">
        <v>45</v>
      </c>
      <c r="I1472" s="4" t="s">
        <v>46</v>
      </c>
      <c r="J1472" s="4">
        <v>320</v>
      </c>
      <c r="L1472" s="4" t="s">
        <v>47</v>
      </c>
      <c r="M1472" s="5"/>
      <c r="O1472" s="5"/>
      <c r="Q1472" s="4">
        <f>B1472</f>
        <v>1446</v>
      </c>
      <c r="R1472" s="4" t="str">
        <f>C1472</f>
        <v>17/10/2026</v>
      </c>
      <c r="S1472" s="4" t="str">
        <f>D1472</f>
        <v>sábado</v>
      </c>
      <c r="T1472" s="4" t="str">
        <f>E1472&amp;"/"&amp;E1473</f>
        <v>2260/2261</v>
      </c>
      <c r="U1472" s="4" t="str">
        <f>F1472&amp;"-"&amp;G1472&amp;"-"&amp;F1472</f>
        <v>LIM-PEM-LIM</v>
      </c>
      <c r="V1472" s="4" t="str">
        <f>IF($M$1472="","",$M$1472)</f>
        <v/>
      </c>
      <c r="W1472" s="4" t="str">
        <f>IF($O$1472="","",$O$1472)</f>
        <v/>
      </c>
      <c r="X1472" s="4">
        <f>J1472</f>
        <v>320</v>
      </c>
    </row>
    <row r="1473" spans="2:24" ht="30" x14ac:dyDescent="0.25">
      <c r="B1473" s="4">
        <v>1446</v>
      </c>
      <c r="C1473" s="4" t="s">
        <v>184</v>
      </c>
      <c r="D1473" s="4" t="s">
        <v>119</v>
      </c>
      <c r="E1473" s="4">
        <v>2261</v>
      </c>
      <c r="F1473" s="4" t="s">
        <v>44</v>
      </c>
      <c r="G1473" s="4" t="s">
        <v>29</v>
      </c>
      <c r="H1473" s="4" t="s">
        <v>48</v>
      </c>
      <c r="I1473" s="4" t="s">
        <v>49</v>
      </c>
      <c r="J1473" s="4">
        <v>320</v>
      </c>
      <c r="K1473" t="str">
        <f>TEXT(TIMEVALUE(H1473)-TIMEVALUE(I1472)+(TIMEVALUE(H1473)&lt;TIMEVALUE(I1472)),"[h]:mm")</f>
        <v>0:40</v>
      </c>
      <c r="L1473" s="4" t="s">
        <v>36</v>
      </c>
      <c r="O1473" t="str">
        <f>"LIM-"&amp;G1472&amp;"-LIM   LA "&amp;E1472&amp;" ("&amp;LEFT(H1472,5)&amp;"-"&amp;LEFT(I1472,5)&amp;" hrs)  /  LA "&amp;E1473&amp;" ("&amp;LEFT(H1473,5)&amp;"-"&amp;LEFT(I1473,5)&amp;" hrs)"</f>
        <v>LIM-PEM-LIM   LA 2260 (10:20-12:05 hrs)  /  LA 2261 (12:45-14:20 hrs)</v>
      </c>
    </row>
    <row r="1474" spans="2:24" ht="30" x14ac:dyDescent="0.25">
      <c r="B1474" s="4">
        <v>1471</v>
      </c>
      <c r="C1474" s="4" t="s">
        <v>184</v>
      </c>
      <c r="D1474" s="4" t="s">
        <v>119</v>
      </c>
      <c r="E1474" s="4">
        <v>2297</v>
      </c>
      <c r="F1474" s="4" t="s">
        <v>29</v>
      </c>
      <c r="G1474" s="4" t="s">
        <v>50</v>
      </c>
      <c r="H1474" s="4" t="s">
        <v>51</v>
      </c>
      <c r="I1474" s="4" t="s">
        <v>52</v>
      </c>
      <c r="J1474" s="4">
        <v>320</v>
      </c>
      <c r="K1474" s="6" t="str">
        <f>TEXT(TIMEVALUE(H1474)-TIMEVALUE(I1473)+(TIMEVALUE(H1474)&lt;TIMEVALUE(I1473)),"[h]:mm")</f>
        <v>0:55</v>
      </c>
      <c r="L1474" s="4" t="s">
        <v>33</v>
      </c>
      <c r="M1474" t="str">
        <f>IF($M$1472="","",$M$1472)</f>
        <v/>
      </c>
      <c r="O1474" t="str">
        <f>IF($O$1472="","",$O$1472)</f>
        <v/>
      </c>
      <c r="Q1474" s="4">
        <f>B1474</f>
        <v>1471</v>
      </c>
      <c r="R1474" s="4" t="str">
        <f>C1474</f>
        <v>17/10/2026</v>
      </c>
      <c r="S1474" s="4" t="str">
        <f>D1474</f>
        <v>sábado</v>
      </c>
      <c r="T1474" s="4" t="str">
        <f>E1474&amp;"/"&amp;E1475</f>
        <v>2297/2296</v>
      </c>
      <c r="U1474" s="4" t="str">
        <f>F1474&amp;"-"&amp;G1474&amp;"-"&amp;F1474</f>
        <v>LIM-CJA-LIM</v>
      </c>
      <c r="V1474" s="4" t="str">
        <f>IF($M$1472="","",$M$1472)</f>
        <v/>
      </c>
      <c r="W1474" s="4" t="str">
        <f>IF($O$1472="","",$O$1472)</f>
        <v/>
      </c>
      <c r="X1474" s="4">
        <f>J1474</f>
        <v>320</v>
      </c>
    </row>
    <row r="1475" spans="2:24" ht="30" x14ac:dyDescent="0.25">
      <c r="B1475" s="4">
        <v>1471</v>
      </c>
      <c r="C1475" s="4" t="s">
        <v>184</v>
      </c>
      <c r="D1475" s="4" t="s">
        <v>119</v>
      </c>
      <c r="E1475" s="4">
        <v>2296</v>
      </c>
      <c r="F1475" s="4" t="s">
        <v>50</v>
      </c>
      <c r="G1475" s="4" t="s">
        <v>29</v>
      </c>
      <c r="H1475" s="4" t="s">
        <v>53</v>
      </c>
      <c r="I1475" s="4" t="s">
        <v>54</v>
      </c>
      <c r="J1475" s="4">
        <v>320</v>
      </c>
      <c r="K1475" t="str">
        <f>TEXT(TIMEVALUE(H1475)-TIMEVALUE(I1474)+(TIMEVALUE(H1475)&lt;TIMEVALUE(I1474)),"[h]:mm")</f>
        <v>0:45</v>
      </c>
      <c r="L1475" s="4" t="s">
        <v>55</v>
      </c>
      <c r="O1475" t="str">
        <f>"LIM-"&amp;G1474&amp;"-LIM   LA "&amp;E1474&amp;" ("&amp;LEFT(H1474,5)&amp;"-"&amp;LEFT(I1474,5)&amp;" hrs)  /  LA "&amp;E1475&amp;" ("&amp;LEFT(H1475,5)&amp;"-"&amp;LEFT(I1475,5)&amp;" hrs)"</f>
        <v>LIM-CJA-LIM   LA 2297 (15:15-16:35 hrs)  /  LA 2296 (17:20-18:25 hrs)</v>
      </c>
    </row>
    <row r="1476" spans="2:24" x14ac:dyDescent="0.25">
      <c r="J1476" s="7" t="s">
        <v>43</v>
      </c>
      <c r="K1476" s="8" t="str">
        <f>TEXT(TIMEVALUE(I1475)-TIMEVALUE(H1472)+(I1475&lt;H1472),"[h]:mm")</f>
        <v>8:05</v>
      </c>
    </row>
    <row r="1478" spans="2:24" ht="30" x14ac:dyDescent="0.25">
      <c r="B1478" s="3" t="s">
        <v>9</v>
      </c>
      <c r="C1478" s="3" t="s">
        <v>17</v>
      </c>
      <c r="D1478" s="3" t="s">
        <v>18</v>
      </c>
      <c r="E1478" s="3" t="s">
        <v>19</v>
      </c>
      <c r="F1478" s="3" t="s">
        <v>20</v>
      </c>
      <c r="G1478" s="3" t="s">
        <v>21</v>
      </c>
      <c r="H1478" s="3" t="s">
        <v>22</v>
      </c>
      <c r="I1478" s="3" t="s">
        <v>23</v>
      </c>
      <c r="J1478" s="3" t="s">
        <v>24</v>
      </c>
      <c r="K1478" s="3" t="s">
        <v>25</v>
      </c>
      <c r="L1478" s="3" t="s">
        <v>26</v>
      </c>
    </row>
    <row r="1479" spans="2:24" ht="30" x14ac:dyDescent="0.25">
      <c r="B1479" s="4">
        <v>1447</v>
      </c>
      <c r="C1479" s="4" t="s">
        <v>184</v>
      </c>
      <c r="D1479" s="4" t="s">
        <v>119</v>
      </c>
      <c r="E1479" s="4">
        <v>2015</v>
      </c>
      <c r="F1479" s="4" t="s">
        <v>29</v>
      </c>
      <c r="G1479" s="4" t="s">
        <v>125</v>
      </c>
      <c r="H1479" s="4" t="s">
        <v>169</v>
      </c>
      <c r="I1479" s="4" t="s">
        <v>170</v>
      </c>
      <c r="J1479" s="4">
        <v>319</v>
      </c>
      <c r="L1479" s="4" t="s">
        <v>47</v>
      </c>
      <c r="M1479" s="5"/>
      <c r="O1479" s="5"/>
      <c r="Q1479" s="4">
        <f>B1479</f>
        <v>1447</v>
      </c>
      <c r="R1479" s="4" t="str">
        <f>C1479</f>
        <v>17/10/2026</v>
      </c>
      <c r="S1479" s="4" t="str">
        <f>D1479</f>
        <v>sábado</v>
      </c>
      <c r="T1479" s="4" t="str">
        <f>E1479&amp;"/"&amp;E1480</f>
        <v>2015/2016</v>
      </c>
      <c r="U1479" s="4" t="str">
        <f>F1479&amp;"-"&amp;G1479&amp;"-"&amp;F1479</f>
        <v>LIM-PIU-LIM</v>
      </c>
      <c r="V1479" s="4" t="str">
        <f>IF($M$1479="","",$M$1479)</f>
        <v/>
      </c>
      <c r="W1479" s="4" t="str">
        <f>IF($O$1479="","",$O$1479)</f>
        <v/>
      </c>
      <c r="X1479" s="4">
        <f>J1479</f>
        <v>319</v>
      </c>
    </row>
    <row r="1480" spans="2:24" ht="30" x14ac:dyDescent="0.25">
      <c r="B1480" s="4">
        <v>1447</v>
      </c>
      <c r="C1480" s="4" t="s">
        <v>184</v>
      </c>
      <c r="D1480" s="4" t="s">
        <v>119</v>
      </c>
      <c r="E1480" s="4">
        <v>2016</v>
      </c>
      <c r="F1480" s="4" t="s">
        <v>125</v>
      </c>
      <c r="G1480" s="4" t="s">
        <v>29</v>
      </c>
      <c r="H1480" s="4" t="s">
        <v>171</v>
      </c>
      <c r="I1480" s="4" t="s">
        <v>87</v>
      </c>
      <c r="J1480" s="4">
        <v>319</v>
      </c>
      <c r="K1480" t="str">
        <f>TEXT(TIMEVALUE(H1480)-TIMEVALUE(I1479)+(TIMEVALUE(H1480)&lt;TIMEVALUE(I1479)),"[h]:mm")</f>
        <v>0:40</v>
      </c>
      <c r="L1480" s="4" t="s">
        <v>36</v>
      </c>
      <c r="O1480" t="str">
        <f>"LIM-"&amp;G1479&amp;"-LIM   LA "&amp;E1479&amp;" ("&amp;LEFT(H1479,5)&amp;"-"&amp;LEFT(I1479,5)&amp;" hrs)  /  LA "&amp;E1480&amp;" ("&amp;LEFT(H1480,5)&amp;"-"&amp;LEFT(I1480,5)&amp;" hrs)"</f>
        <v>LIM-PIU-LIM   LA 2015 (10:55-12:40 hrs)  /  LA 2016 (13:20-14:55 hrs)</v>
      </c>
    </row>
    <row r="1481" spans="2:24" x14ac:dyDescent="0.25">
      <c r="J1481" s="7" t="s">
        <v>43</v>
      </c>
      <c r="K1481" s="8" t="str">
        <f>TEXT(TIMEVALUE(I1480)-TIMEVALUE(H1479)+(I1480&lt;H1479),"[h]:mm")</f>
        <v>4:00</v>
      </c>
    </row>
    <row r="1483" spans="2:24" ht="30" x14ac:dyDescent="0.25">
      <c r="B1483" s="3" t="s">
        <v>9</v>
      </c>
      <c r="C1483" s="3" t="s">
        <v>17</v>
      </c>
      <c r="D1483" s="3" t="s">
        <v>18</v>
      </c>
      <c r="E1483" s="3" t="s">
        <v>19</v>
      </c>
      <c r="F1483" s="3" t="s">
        <v>20</v>
      </c>
      <c r="G1483" s="3" t="s">
        <v>21</v>
      </c>
      <c r="H1483" s="3" t="s">
        <v>22</v>
      </c>
      <c r="I1483" s="3" t="s">
        <v>23</v>
      </c>
      <c r="J1483" s="3" t="s">
        <v>24</v>
      </c>
      <c r="K1483" s="3" t="s">
        <v>25</v>
      </c>
      <c r="L1483" s="3" t="s">
        <v>26</v>
      </c>
    </row>
    <row r="1484" spans="2:24" ht="30" x14ac:dyDescent="0.25">
      <c r="B1484" s="4">
        <v>1448</v>
      </c>
      <c r="C1484" s="4" t="s">
        <v>184</v>
      </c>
      <c r="D1484" s="4" t="s">
        <v>119</v>
      </c>
      <c r="E1484" s="4">
        <v>2299</v>
      </c>
      <c r="F1484" s="4" t="s">
        <v>29</v>
      </c>
      <c r="G1484" s="4" t="s">
        <v>50</v>
      </c>
      <c r="H1484" s="4" t="s">
        <v>64</v>
      </c>
      <c r="I1484" s="4" t="s">
        <v>35</v>
      </c>
      <c r="J1484" s="4">
        <v>320</v>
      </c>
      <c r="L1484" s="4" t="s">
        <v>33</v>
      </c>
      <c r="M1484" s="5"/>
      <c r="O1484" s="5"/>
      <c r="Q1484" s="4">
        <f>B1484</f>
        <v>1448</v>
      </c>
      <c r="R1484" s="4" t="str">
        <f>C1484</f>
        <v>17/10/2026</v>
      </c>
      <c r="S1484" s="4" t="str">
        <f>D1484</f>
        <v>sábado</v>
      </c>
      <c r="T1484" s="4" t="str">
        <f>E1484&amp;"/"&amp;E1485</f>
        <v>2299/2298</v>
      </c>
      <c r="U1484" s="4" t="str">
        <f>F1484&amp;"-"&amp;G1484&amp;"-"&amp;F1484</f>
        <v>LIM-CJA-LIM</v>
      </c>
      <c r="V1484" s="4" t="str">
        <f>IF($M$1484="","",$M$1484)</f>
        <v/>
      </c>
      <c r="W1484" s="4" t="str">
        <f>IF($O$1484="","",$O$1484)</f>
        <v/>
      </c>
      <c r="X1484" s="4">
        <f>J1484</f>
        <v>320</v>
      </c>
    </row>
    <row r="1485" spans="2:24" ht="30" x14ac:dyDescent="0.25">
      <c r="B1485" s="4">
        <v>1448</v>
      </c>
      <c r="C1485" s="4" t="s">
        <v>184</v>
      </c>
      <c r="D1485" s="4" t="s">
        <v>119</v>
      </c>
      <c r="E1485" s="4">
        <v>2298</v>
      </c>
      <c r="F1485" s="4" t="s">
        <v>50</v>
      </c>
      <c r="G1485" s="4" t="s">
        <v>29</v>
      </c>
      <c r="H1485" s="4" t="s">
        <v>72</v>
      </c>
      <c r="I1485" s="4" t="s">
        <v>73</v>
      </c>
      <c r="J1485" s="4">
        <v>320</v>
      </c>
      <c r="K1485" t="str">
        <f>TEXT(TIMEVALUE(H1485)-TIMEVALUE(I1484)+(TIMEVALUE(H1485)&lt;TIMEVALUE(I1484)),"[h]:mm")</f>
        <v>0:45</v>
      </c>
      <c r="L1485" s="4" t="s">
        <v>74</v>
      </c>
      <c r="O1485" t="str">
        <f>"LIM-"&amp;G1484&amp;"-LIM   LA "&amp;E1484&amp;" ("&amp;LEFT(H1484,5)&amp;"-"&amp;LEFT(I1484,5)&amp;" hrs)  /  LA "&amp;E1485&amp;" ("&amp;LEFT(H1485,5)&amp;"-"&amp;LEFT(I1485,5)&amp;" hrs)"</f>
        <v>LIM-CJA-LIM   LA 2299 (11:35-12:55 hrs)  /  LA 2298 (13:40-14:50 hrs)</v>
      </c>
    </row>
    <row r="1486" spans="2:24" x14ac:dyDescent="0.25">
      <c r="J1486" s="7" t="s">
        <v>43</v>
      </c>
      <c r="K1486" s="8" t="str">
        <f>TEXT(TIMEVALUE(I1485)-TIMEVALUE(H1484)+(I1485&lt;H1484),"[h]:mm")</f>
        <v>3:15</v>
      </c>
    </row>
    <row r="1488" spans="2:24" ht="30" x14ac:dyDescent="0.25">
      <c r="B1488" s="3" t="s">
        <v>9</v>
      </c>
      <c r="C1488" s="3" t="s">
        <v>17</v>
      </c>
      <c r="D1488" s="3" t="s">
        <v>18</v>
      </c>
      <c r="E1488" s="3" t="s">
        <v>19</v>
      </c>
      <c r="F1488" s="3" t="s">
        <v>20</v>
      </c>
      <c r="G1488" s="3" t="s">
        <v>21</v>
      </c>
      <c r="H1488" s="3" t="s">
        <v>22</v>
      </c>
      <c r="I1488" s="3" t="s">
        <v>23</v>
      </c>
      <c r="J1488" s="3" t="s">
        <v>24</v>
      </c>
      <c r="K1488" s="3" t="s">
        <v>25</v>
      </c>
      <c r="L1488" s="3" t="s">
        <v>26</v>
      </c>
    </row>
    <row r="1489" spans="2:24" ht="30" x14ac:dyDescent="0.25">
      <c r="B1489" s="4">
        <v>1450</v>
      </c>
      <c r="C1489" s="4" t="s">
        <v>184</v>
      </c>
      <c r="D1489" s="4" t="s">
        <v>119</v>
      </c>
      <c r="E1489" s="4">
        <v>2061</v>
      </c>
      <c r="F1489" s="4" t="s">
        <v>29</v>
      </c>
      <c r="G1489" s="4" t="s">
        <v>30</v>
      </c>
      <c r="H1489" s="4" t="s">
        <v>103</v>
      </c>
      <c r="I1489" s="4" t="s">
        <v>120</v>
      </c>
      <c r="J1489" s="4">
        <v>320</v>
      </c>
      <c r="L1489" s="4" t="s">
        <v>33</v>
      </c>
      <c r="M1489" s="5"/>
      <c r="O1489" s="5"/>
      <c r="Q1489" s="4">
        <f>B1489</f>
        <v>1450</v>
      </c>
      <c r="R1489" s="4" t="str">
        <f>C1489</f>
        <v>17/10/2026</v>
      </c>
      <c r="S1489" s="4" t="str">
        <f>D1489</f>
        <v>sábado</v>
      </c>
      <c r="T1489" s="4" t="str">
        <f>E1489&amp;"/"&amp;E1490</f>
        <v>2061/2062</v>
      </c>
      <c r="U1489" s="4" t="str">
        <f>F1489&amp;"-"&amp;G1489&amp;"-"&amp;F1489</f>
        <v>LIM-CUZ-LIM</v>
      </c>
      <c r="V1489" s="4" t="str">
        <f>IF($M$1489="","",$M$1489)</f>
        <v/>
      </c>
      <c r="W1489" s="4" t="str">
        <f>IF($O$1489="","",$O$1489)</f>
        <v/>
      </c>
      <c r="X1489" s="4">
        <f>J1489</f>
        <v>320</v>
      </c>
    </row>
    <row r="1490" spans="2:24" ht="30" x14ac:dyDescent="0.25">
      <c r="B1490" s="4">
        <v>1450</v>
      </c>
      <c r="C1490" s="4" t="s">
        <v>184</v>
      </c>
      <c r="D1490" s="4" t="s">
        <v>119</v>
      </c>
      <c r="E1490" s="4">
        <v>2062</v>
      </c>
      <c r="F1490" s="4" t="s">
        <v>30</v>
      </c>
      <c r="G1490" s="4" t="s">
        <v>29</v>
      </c>
      <c r="H1490" s="4" t="s">
        <v>72</v>
      </c>
      <c r="I1490" s="4" t="s">
        <v>51</v>
      </c>
      <c r="J1490" s="4">
        <v>320</v>
      </c>
      <c r="K1490" t="str">
        <f>TEXT(TIMEVALUE(H1490)-TIMEVALUE(I1489)+(TIMEVALUE(H1490)&lt;TIMEVALUE(I1489)),"[h]:mm")</f>
        <v>0:40</v>
      </c>
      <c r="L1490" s="4" t="s">
        <v>36</v>
      </c>
      <c r="O1490" t="str">
        <f>"LIM-"&amp;G1489&amp;"-LIM   LA "&amp;E1489&amp;" ("&amp;LEFT(H1489,5)&amp;"-"&amp;LEFT(I1489,5)&amp;" hrs)  /  LA "&amp;E1490&amp;" ("&amp;LEFT(H1490,5)&amp;"-"&amp;LEFT(I1490,5)&amp;" hrs)"</f>
        <v>LIM-CUZ-LIM   LA 2061 (11:40-13:00 hrs)  /  LA 2062 (13:40-15:15 hrs)</v>
      </c>
    </row>
    <row r="1491" spans="2:24" x14ac:dyDescent="0.25">
      <c r="J1491" s="7" t="s">
        <v>43</v>
      </c>
      <c r="K1491" s="8" t="str">
        <f>TEXT(TIMEVALUE(I1490)-TIMEVALUE(H1489)+(I1490&lt;H1489),"[h]:mm")</f>
        <v>3:35</v>
      </c>
    </row>
    <row r="1493" spans="2:24" ht="30" x14ac:dyDescent="0.25">
      <c r="B1493" s="3" t="s">
        <v>9</v>
      </c>
      <c r="C1493" s="3" t="s">
        <v>17</v>
      </c>
      <c r="D1493" s="3" t="s">
        <v>18</v>
      </c>
      <c r="E1493" s="3" t="s">
        <v>19</v>
      </c>
      <c r="F1493" s="3" t="s">
        <v>20</v>
      </c>
      <c r="G1493" s="3" t="s">
        <v>21</v>
      </c>
      <c r="H1493" s="3" t="s">
        <v>22</v>
      </c>
      <c r="I1493" s="3" t="s">
        <v>23</v>
      </c>
      <c r="J1493" s="3" t="s">
        <v>24</v>
      </c>
      <c r="K1493" s="3" t="s">
        <v>25</v>
      </c>
      <c r="L1493" s="3" t="s">
        <v>26</v>
      </c>
    </row>
    <row r="1494" spans="2:24" ht="30" x14ac:dyDescent="0.25">
      <c r="B1494" s="4">
        <v>1460</v>
      </c>
      <c r="C1494" s="4" t="s">
        <v>184</v>
      </c>
      <c r="D1494" s="4" t="s">
        <v>119</v>
      </c>
      <c r="E1494" s="4">
        <v>2028</v>
      </c>
      <c r="F1494" s="4" t="s">
        <v>29</v>
      </c>
      <c r="G1494" s="4" t="s">
        <v>30</v>
      </c>
      <c r="H1494" s="4" t="s">
        <v>65</v>
      </c>
      <c r="I1494" s="4" t="s">
        <v>75</v>
      </c>
      <c r="J1494" s="4">
        <v>319</v>
      </c>
      <c r="L1494" s="4" t="s">
        <v>33</v>
      </c>
      <c r="M1494" s="5"/>
      <c r="O1494" s="5"/>
      <c r="Q1494" s="4">
        <f>B1494</f>
        <v>1460</v>
      </c>
      <c r="R1494" s="4" t="str">
        <f>C1494</f>
        <v>17/10/2026</v>
      </c>
      <c r="S1494" s="4" t="str">
        <f>D1494</f>
        <v>sábado</v>
      </c>
      <c r="T1494" s="4" t="str">
        <f>E1494&amp;"/"&amp;E1495</f>
        <v>2028/2029</v>
      </c>
      <c r="U1494" s="4" t="str">
        <f>F1494&amp;"-"&amp;G1494&amp;"-"&amp;F1494</f>
        <v>LIM-CUZ-LIM</v>
      </c>
      <c r="V1494" s="4" t="str">
        <f>IF($M$1494="","",$M$1494)</f>
        <v/>
      </c>
      <c r="W1494" s="4" t="str">
        <f>IF($O$1494="","",$O$1494)</f>
        <v/>
      </c>
      <c r="X1494" s="4">
        <f>J1494</f>
        <v>319</v>
      </c>
    </row>
    <row r="1495" spans="2:24" ht="30" x14ac:dyDescent="0.25">
      <c r="B1495" s="4">
        <v>1460</v>
      </c>
      <c r="C1495" s="4" t="s">
        <v>184</v>
      </c>
      <c r="D1495" s="4" t="s">
        <v>119</v>
      </c>
      <c r="E1495" s="4">
        <v>2029</v>
      </c>
      <c r="F1495" s="4" t="s">
        <v>30</v>
      </c>
      <c r="G1495" s="4" t="s">
        <v>29</v>
      </c>
      <c r="H1495" s="4" t="s">
        <v>76</v>
      </c>
      <c r="I1495" s="4" t="s">
        <v>77</v>
      </c>
      <c r="J1495" s="4">
        <v>319</v>
      </c>
      <c r="K1495" t="str">
        <f>TEXT(TIMEVALUE(H1495)-TIMEVALUE(I1494)+(TIMEVALUE(H1495)&lt;TIMEVALUE(I1494)),"[h]:mm")</f>
        <v>0:45</v>
      </c>
      <c r="L1495" s="4" t="s">
        <v>36</v>
      </c>
      <c r="O1495" t="str">
        <f>"LIM-"&amp;G1494&amp;"-LIM   LA "&amp;E1494&amp;" ("&amp;LEFT(H1494,5)&amp;"-"&amp;LEFT(I1494,5)&amp;" hrs)  /  LA "&amp;E1495&amp;" ("&amp;LEFT(H1495,5)&amp;"-"&amp;LEFT(I1495,5)&amp;" hrs)"</f>
        <v>LIM-CUZ-LIM   LA 2028 (13:25-14:45 hrs)  /  LA 2029 (15:30-17:05 hrs)</v>
      </c>
    </row>
    <row r="1496" spans="2:24" ht="30" x14ac:dyDescent="0.25">
      <c r="B1496" s="4">
        <v>1480</v>
      </c>
      <c r="C1496" s="4" t="s">
        <v>184</v>
      </c>
      <c r="D1496" s="4" t="s">
        <v>119</v>
      </c>
      <c r="E1496" s="4">
        <v>2310</v>
      </c>
      <c r="F1496" s="4" t="s">
        <v>29</v>
      </c>
      <c r="G1496" s="4" t="s">
        <v>37</v>
      </c>
      <c r="H1496" s="4" t="s">
        <v>111</v>
      </c>
      <c r="I1496" s="4" t="s">
        <v>112</v>
      </c>
      <c r="J1496" s="4">
        <v>319</v>
      </c>
      <c r="K1496" s="6" t="str">
        <f>TEXT(TIMEVALUE(H1496)-TIMEVALUE(I1495)+(TIMEVALUE(H1496)&lt;TIMEVALUE(I1495)),"[h]:mm")</f>
        <v>1:10</v>
      </c>
      <c r="L1496" s="4" t="s">
        <v>40</v>
      </c>
      <c r="M1496" t="str">
        <f>IF($M$1494="","",$M$1494)</f>
        <v/>
      </c>
      <c r="O1496" t="str">
        <f>IF($O$1494="","",$O$1494)</f>
        <v/>
      </c>
      <c r="Q1496" s="4">
        <f>B1496</f>
        <v>1480</v>
      </c>
      <c r="R1496" s="4" t="str">
        <f>C1496</f>
        <v>17/10/2026</v>
      </c>
      <c r="S1496" s="4" t="str">
        <f>D1496</f>
        <v>sábado</v>
      </c>
      <c r="T1496" s="4" t="str">
        <f>E1496&amp;"/"&amp;E1497</f>
        <v>2310/2311</v>
      </c>
      <c r="U1496" s="4" t="str">
        <f>F1496&amp;"-"&amp;G1496&amp;"-"&amp;F1496</f>
        <v>LIM-CIX-LIM</v>
      </c>
      <c r="V1496" s="4" t="str">
        <f>IF($M$1494="","",$M$1494)</f>
        <v/>
      </c>
      <c r="W1496" s="4" t="str">
        <f>IF($O$1494="","",$O$1494)</f>
        <v/>
      </c>
      <c r="X1496" s="4">
        <f>J1496</f>
        <v>319</v>
      </c>
    </row>
    <row r="1497" spans="2:24" ht="30" x14ac:dyDescent="0.25">
      <c r="B1497" s="4">
        <v>1480</v>
      </c>
      <c r="C1497" s="4" t="s">
        <v>184</v>
      </c>
      <c r="D1497" s="4" t="s">
        <v>119</v>
      </c>
      <c r="E1497" s="4">
        <v>2311</v>
      </c>
      <c r="F1497" s="4" t="s">
        <v>37</v>
      </c>
      <c r="G1497" s="4" t="s">
        <v>29</v>
      </c>
      <c r="H1497" s="4" t="s">
        <v>113</v>
      </c>
      <c r="I1497" s="4" t="s">
        <v>114</v>
      </c>
      <c r="J1497" s="4">
        <v>319</v>
      </c>
      <c r="K1497" t="str">
        <f>TEXT(TIMEVALUE(H1497)-TIMEVALUE(I1496)+(TIMEVALUE(H1497)&lt;TIMEVALUE(I1496)),"[h]:mm")</f>
        <v>0:35</v>
      </c>
      <c r="L1497" s="4" t="s">
        <v>93</v>
      </c>
      <c r="O1497" t="str">
        <f>"LIM-"&amp;G1496&amp;"-LIM   LA "&amp;E1496&amp;" ("&amp;LEFT(H1496,5)&amp;"-"&amp;LEFT(I1496,5)&amp;" hrs)  /  LA "&amp;E1497&amp;" ("&amp;LEFT(H1497,5)&amp;"-"&amp;LEFT(I1497,5)&amp;" hrs)"</f>
        <v>LIM-CIX-LIM   LA 2310 (18:15-19:45 hrs)  /  LA 2311 (20:20-21:45 hrs)</v>
      </c>
    </row>
    <row r="1498" spans="2:24" x14ac:dyDescent="0.25">
      <c r="J1498" s="7" t="s">
        <v>43</v>
      </c>
      <c r="K1498" s="8" t="str">
        <f>TEXT(TIMEVALUE(I1497)-TIMEVALUE(H1494)+(I1497&lt;H1494),"[h]:mm")</f>
        <v>8:20</v>
      </c>
    </row>
    <row r="1500" spans="2:24" ht="30" x14ac:dyDescent="0.25">
      <c r="B1500" s="3" t="s">
        <v>9</v>
      </c>
      <c r="C1500" s="3" t="s">
        <v>17</v>
      </c>
      <c r="D1500" s="3" t="s">
        <v>18</v>
      </c>
      <c r="E1500" s="3" t="s">
        <v>19</v>
      </c>
      <c r="F1500" s="3" t="s">
        <v>20</v>
      </c>
      <c r="G1500" s="3" t="s">
        <v>21</v>
      </c>
      <c r="H1500" s="3" t="s">
        <v>22</v>
      </c>
      <c r="I1500" s="3" t="s">
        <v>23</v>
      </c>
      <c r="J1500" s="3" t="s">
        <v>24</v>
      </c>
      <c r="K1500" s="3" t="s">
        <v>25</v>
      </c>
      <c r="L1500" s="3" t="s">
        <v>26</v>
      </c>
    </row>
    <row r="1501" spans="2:24" ht="30" x14ac:dyDescent="0.25">
      <c r="B1501" s="4">
        <v>1461</v>
      </c>
      <c r="C1501" s="4" t="s">
        <v>184</v>
      </c>
      <c r="D1501" s="4" t="s">
        <v>119</v>
      </c>
      <c r="E1501" s="4">
        <v>2234</v>
      </c>
      <c r="F1501" s="4" t="s">
        <v>29</v>
      </c>
      <c r="G1501" s="4" t="s">
        <v>63</v>
      </c>
      <c r="H1501" s="4" t="s">
        <v>106</v>
      </c>
      <c r="I1501" s="4" t="s">
        <v>59</v>
      </c>
      <c r="J1501" s="4">
        <v>320</v>
      </c>
      <c r="L1501" s="4" t="s">
        <v>66</v>
      </c>
      <c r="M1501" s="5"/>
      <c r="O1501" s="5"/>
      <c r="Q1501" s="4">
        <f>B1501</f>
        <v>1461</v>
      </c>
      <c r="R1501" s="4" t="str">
        <f>C1501</f>
        <v>17/10/2026</v>
      </c>
      <c r="S1501" s="4" t="str">
        <f>D1501</f>
        <v>sábado</v>
      </c>
      <c r="T1501" s="4" t="str">
        <f>E1501&amp;"/"&amp;E1502</f>
        <v>2234/2235</v>
      </c>
      <c r="U1501" s="4" t="str">
        <f>F1501&amp;"-"&amp;G1501&amp;"-"&amp;F1501</f>
        <v>LIM-IQT-LIM</v>
      </c>
      <c r="V1501" s="4" t="str">
        <f>IF($M$1501="","",$M$1501)</f>
        <v/>
      </c>
      <c r="W1501" s="4" t="str">
        <f>IF($O$1501="","",$O$1501)</f>
        <v/>
      </c>
      <c r="X1501" s="4">
        <f>J1501</f>
        <v>320</v>
      </c>
    </row>
    <row r="1502" spans="2:24" ht="30" x14ac:dyDescent="0.25">
      <c r="B1502" s="4">
        <v>1461</v>
      </c>
      <c r="C1502" s="4" t="s">
        <v>184</v>
      </c>
      <c r="D1502" s="4" t="s">
        <v>119</v>
      </c>
      <c r="E1502" s="4">
        <v>2235</v>
      </c>
      <c r="F1502" s="4" t="s">
        <v>63</v>
      </c>
      <c r="G1502" s="4" t="s">
        <v>29</v>
      </c>
      <c r="H1502" s="4" t="s">
        <v>85</v>
      </c>
      <c r="I1502" s="4" t="s">
        <v>121</v>
      </c>
      <c r="J1502" s="4">
        <v>320</v>
      </c>
      <c r="K1502" t="str">
        <f>TEXT(TIMEVALUE(H1502)-TIMEVALUE(I1501)+(TIMEVALUE(H1502)&lt;TIMEVALUE(I1501)),"[h]:mm")</f>
        <v>0:40</v>
      </c>
      <c r="L1502" s="4" t="s">
        <v>66</v>
      </c>
      <c r="O1502" t="str">
        <f>"LIM-"&amp;G1501&amp;"-LIM   LA "&amp;E1501&amp;" ("&amp;LEFT(H1501,5)&amp;"-"&amp;LEFT(I1501,5)&amp;" hrs)  /  LA "&amp;E1502&amp;" ("&amp;LEFT(H1502,5)&amp;"-"&amp;LEFT(I1502,5)&amp;" hrs)"</f>
        <v>LIM-IQT-LIM   LA 2234 (13:35-15:25 hrs)  /  LA 2235 (16:05-17:55 hrs)</v>
      </c>
    </row>
    <row r="1503" spans="2:24" x14ac:dyDescent="0.25">
      <c r="J1503" s="7" t="s">
        <v>43</v>
      </c>
      <c r="K1503" s="8" t="str">
        <f>TEXT(TIMEVALUE(I1502)-TIMEVALUE(H1501)+(I1502&lt;H1501),"[h]:mm")</f>
        <v>4:20</v>
      </c>
    </row>
    <row r="1505" spans="2:24" ht="30" x14ac:dyDescent="0.25">
      <c r="B1505" s="3" t="s">
        <v>9</v>
      </c>
      <c r="C1505" s="3" t="s">
        <v>17</v>
      </c>
      <c r="D1505" s="3" t="s">
        <v>18</v>
      </c>
      <c r="E1505" s="3" t="s">
        <v>19</v>
      </c>
      <c r="F1505" s="3" t="s">
        <v>20</v>
      </c>
      <c r="G1505" s="3" t="s">
        <v>21</v>
      </c>
      <c r="H1505" s="3" t="s">
        <v>22</v>
      </c>
      <c r="I1505" s="3" t="s">
        <v>23</v>
      </c>
      <c r="J1505" s="3" t="s">
        <v>24</v>
      </c>
      <c r="K1505" s="3" t="s">
        <v>25</v>
      </c>
      <c r="L1505" s="3" t="s">
        <v>26</v>
      </c>
    </row>
    <row r="1506" spans="2:24" ht="30" x14ac:dyDescent="0.25">
      <c r="B1506" s="4">
        <v>1463</v>
      </c>
      <c r="C1506" s="4" t="s">
        <v>184</v>
      </c>
      <c r="D1506" s="4" t="s">
        <v>119</v>
      </c>
      <c r="E1506" s="4">
        <v>2152</v>
      </c>
      <c r="F1506" s="4" t="s">
        <v>29</v>
      </c>
      <c r="G1506" s="4" t="s">
        <v>37</v>
      </c>
      <c r="H1506" s="4" t="s">
        <v>38</v>
      </c>
      <c r="I1506" s="4" t="s">
        <v>39</v>
      </c>
      <c r="J1506" s="4">
        <v>319</v>
      </c>
      <c r="L1506" s="4" t="s">
        <v>40</v>
      </c>
      <c r="M1506" s="5"/>
      <c r="O1506" s="5"/>
      <c r="Q1506" s="4">
        <f>B1506</f>
        <v>1463</v>
      </c>
      <c r="R1506" s="4" t="str">
        <f>C1506</f>
        <v>17/10/2026</v>
      </c>
      <c r="S1506" s="4" t="str">
        <f>D1506</f>
        <v>sábado</v>
      </c>
      <c r="T1506" s="4" t="str">
        <f>E1506&amp;"/"&amp;E1507</f>
        <v>2152/2153</v>
      </c>
      <c r="U1506" s="4" t="str">
        <f>F1506&amp;"-"&amp;G1506&amp;"-"&amp;F1506</f>
        <v>LIM-CIX-LIM</v>
      </c>
      <c r="V1506" s="4" t="str">
        <f>IF($M$1506="","",$M$1506)</f>
        <v/>
      </c>
      <c r="W1506" s="4" t="str">
        <f>IF($O$1506="","",$O$1506)</f>
        <v/>
      </c>
      <c r="X1506" s="4">
        <f>J1506</f>
        <v>319</v>
      </c>
    </row>
    <row r="1507" spans="2:24" ht="30" x14ac:dyDescent="0.25">
      <c r="B1507" s="4">
        <v>1463</v>
      </c>
      <c r="C1507" s="4" t="s">
        <v>184</v>
      </c>
      <c r="D1507" s="4" t="s">
        <v>119</v>
      </c>
      <c r="E1507" s="4">
        <v>2153</v>
      </c>
      <c r="F1507" s="4" t="s">
        <v>37</v>
      </c>
      <c r="G1507" s="4" t="s">
        <v>29</v>
      </c>
      <c r="H1507" s="4" t="s">
        <v>41</v>
      </c>
      <c r="I1507" s="4" t="s">
        <v>42</v>
      </c>
      <c r="J1507" s="4">
        <v>319</v>
      </c>
      <c r="K1507" t="str">
        <f>TEXT(TIMEVALUE(H1507)-TIMEVALUE(I1506)+(TIMEVALUE(H1507)&lt;TIMEVALUE(I1506)),"[h]:mm")</f>
        <v>0:35</v>
      </c>
      <c r="L1507" s="4" t="s">
        <v>33</v>
      </c>
      <c r="O1507" t="str">
        <f>"LIM-"&amp;G1506&amp;"-LIM   LA "&amp;E1506&amp;" ("&amp;LEFT(H1506,5)&amp;"-"&amp;LEFT(I1506,5)&amp;" hrs)  /  LA "&amp;E1507&amp;" ("&amp;LEFT(H1507,5)&amp;"-"&amp;LEFT(I1507,5)&amp;" hrs)"</f>
        <v>LIM-CIX-LIM   LA 2152 (13:50-15:20 hrs)  /  LA 2153 (15:55-17:15 hrs)</v>
      </c>
    </row>
    <row r="1508" spans="2:24" ht="30" x14ac:dyDescent="0.25">
      <c r="B1508" s="4">
        <v>1481</v>
      </c>
      <c r="C1508" s="4" t="s">
        <v>184</v>
      </c>
      <c r="D1508" s="4" t="s">
        <v>119</v>
      </c>
      <c r="E1508" s="4">
        <v>2091</v>
      </c>
      <c r="F1508" s="4" t="s">
        <v>29</v>
      </c>
      <c r="G1508" s="4" t="s">
        <v>91</v>
      </c>
      <c r="H1508" s="4" t="s">
        <v>62</v>
      </c>
      <c r="I1508" s="4" t="s">
        <v>176</v>
      </c>
      <c r="J1508" s="4">
        <v>320</v>
      </c>
      <c r="K1508" s="6" t="str">
        <f>TEXT(TIMEVALUE(H1508)-TIMEVALUE(I1507)+(TIMEVALUE(H1508)&lt;TIMEVALUE(I1507)),"[h]:mm")</f>
        <v>1:20</v>
      </c>
      <c r="L1508" s="4" t="s">
        <v>93</v>
      </c>
      <c r="M1508" t="str">
        <f>IF($M$1506="","",$M$1506)</f>
        <v/>
      </c>
      <c r="O1508" t="str">
        <f>IF($O$1506="","",$O$1506)</f>
        <v/>
      </c>
      <c r="Q1508" s="4">
        <f>B1508</f>
        <v>1481</v>
      </c>
      <c r="R1508" s="4" t="str">
        <f>C1508</f>
        <v>17/10/2026</v>
      </c>
      <c r="S1508" s="4" t="str">
        <f>D1508</f>
        <v>sábado</v>
      </c>
      <c r="T1508" s="4" t="str">
        <f>E1508&amp;"/"&amp;E1509</f>
        <v>2091/2092</v>
      </c>
      <c r="U1508" s="4" t="str">
        <f>F1508&amp;"-"&amp;G1508&amp;"-"&amp;F1508</f>
        <v>LIM-TPP-LIM</v>
      </c>
      <c r="V1508" s="4" t="str">
        <f>IF($M$1506="","",$M$1506)</f>
        <v/>
      </c>
      <c r="W1508" s="4" t="str">
        <f>IF($O$1506="","",$O$1506)</f>
        <v/>
      </c>
      <c r="X1508" s="4">
        <f>J1508</f>
        <v>320</v>
      </c>
    </row>
    <row r="1509" spans="2:24" ht="30" x14ac:dyDescent="0.25">
      <c r="B1509" s="4">
        <v>1481</v>
      </c>
      <c r="C1509" s="4" t="s">
        <v>184</v>
      </c>
      <c r="D1509" s="4" t="s">
        <v>119</v>
      </c>
      <c r="E1509" s="4">
        <v>2092</v>
      </c>
      <c r="F1509" s="4" t="s">
        <v>91</v>
      </c>
      <c r="G1509" s="4" t="s">
        <v>29</v>
      </c>
      <c r="H1509" s="4" t="s">
        <v>129</v>
      </c>
      <c r="I1509" s="4" t="s">
        <v>173</v>
      </c>
      <c r="J1509" s="4">
        <v>320</v>
      </c>
      <c r="K1509" t="str">
        <f>TEXT(TIMEVALUE(H1509)-TIMEVALUE(I1508)+(TIMEVALUE(H1509)&lt;TIMEVALUE(I1508)),"[h]:mm")</f>
        <v>0:40</v>
      </c>
      <c r="L1509" s="4" t="s">
        <v>40</v>
      </c>
      <c r="O1509" t="str">
        <f>"LIM-"&amp;G1508&amp;"-LIM   LA "&amp;E1508&amp;" ("&amp;LEFT(H1508,5)&amp;"-"&amp;LEFT(I1508,5)&amp;" hrs)  /  LA "&amp;E1509&amp;" ("&amp;LEFT(H1509,5)&amp;"-"&amp;LEFT(I1509,5)&amp;" hrs)"</f>
        <v>LIM-TPP-LIM   LA 2091 (18:35-20:00 hrs)  /  LA 2092 (20:40-22:10 hrs)</v>
      </c>
    </row>
    <row r="1510" spans="2:24" x14ac:dyDescent="0.25">
      <c r="J1510" s="7" t="s">
        <v>43</v>
      </c>
      <c r="K1510" s="8" t="str">
        <f>TEXT(TIMEVALUE(I1509)-TIMEVALUE(H1506)+(I1509&lt;H1506),"[h]:mm")</f>
        <v>8:20</v>
      </c>
    </row>
    <row r="1512" spans="2:24" ht="30" x14ac:dyDescent="0.25">
      <c r="B1512" s="3" t="s">
        <v>9</v>
      </c>
      <c r="C1512" s="3" t="s">
        <v>17</v>
      </c>
      <c r="D1512" s="3" t="s">
        <v>18</v>
      </c>
      <c r="E1512" s="3" t="s">
        <v>19</v>
      </c>
      <c r="F1512" s="3" t="s">
        <v>20</v>
      </c>
      <c r="G1512" s="3" t="s">
        <v>21</v>
      </c>
      <c r="H1512" s="3" t="s">
        <v>22</v>
      </c>
      <c r="I1512" s="3" t="s">
        <v>23</v>
      </c>
      <c r="J1512" s="3" t="s">
        <v>24</v>
      </c>
      <c r="K1512" s="3" t="s">
        <v>25</v>
      </c>
      <c r="L1512" s="3" t="s">
        <v>26</v>
      </c>
    </row>
    <row r="1513" spans="2:24" ht="30" x14ac:dyDescent="0.25">
      <c r="B1513" s="4">
        <v>1465</v>
      </c>
      <c r="C1513" s="4" t="s">
        <v>184</v>
      </c>
      <c r="D1513" s="4" t="s">
        <v>119</v>
      </c>
      <c r="E1513" s="4">
        <v>2295</v>
      </c>
      <c r="F1513" s="4" t="s">
        <v>29</v>
      </c>
      <c r="G1513" s="4" t="s">
        <v>50</v>
      </c>
      <c r="H1513" s="4" t="s">
        <v>110</v>
      </c>
      <c r="I1513" s="4" t="s">
        <v>76</v>
      </c>
      <c r="J1513" s="4">
        <v>320</v>
      </c>
      <c r="L1513" s="4" t="s">
        <v>33</v>
      </c>
      <c r="M1513" s="5"/>
      <c r="O1513" s="5"/>
      <c r="Q1513" s="4">
        <f>B1513</f>
        <v>1465</v>
      </c>
      <c r="R1513" s="4" t="str">
        <f>C1513</f>
        <v>17/10/2026</v>
      </c>
      <c r="S1513" s="4" t="str">
        <f>D1513</f>
        <v>sábado</v>
      </c>
      <c r="T1513" s="4" t="str">
        <f>E1513&amp;"/"&amp;E1514</f>
        <v>2295/2294</v>
      </c>
      <c r="U1513" s="4" t="str">
        <f>F1513&amp;"-"&amp;G1513&amp;"-"&amp;F1513</f>
        <v>LIM-CJA-LIM</v>
      </c>
      <c r="V1513" s="4" t="str">
        <f>IF($M$1513="","",$M$1513)</f>
        <v/>
      </c>
      <c r="W1513" s="4" t="str">
        <f>IF($O$1513="","",$O$1513)</f>
        <v/>
      </c>
      <c r="X1513" s="4">
        <f>J1513</f>
        <v>320</v>
      </c>
    </row>
    <row r="1514" spans="2:24" ht="30" x14ac:dyDescent="0.25">
      <c r="B1514" s="4">
        <v>1465</v>
      </c>
      <c r="C1514" s="4" t="s">
        <v>184</v>
      </c>
      <c r="D1514" s="4" t="s">
        <v>119</v>
      </c>
      <c r="E1514" s="4">
        <v>2294</v>
      </c>
      <c r="F1514" s="4" t="s">
        <v>50</v>
      </c>
      <c r="G1514" s="4" t="s">
        <v>29</v>
      </c>
      <c r="H1514" s="4" t="s">
        <v>83</v>
      </c>
      <c r="I1514" s="4" t="s">
        <v>42</v>
      </c>
      <c r="J1514" s="4">
        <v>320</v>
      </c>
      <c r="K1514" t="str">
        <f>TEXT(TIMEVALUE(H1514)-TIMEVALUE(I1513)+(TIMEVALUE(H1514)&lt;TIMEVALUE(I1513)),"[h]:mm")</f>
        <v>0:40</v>
      </c>
      <c r="L1514" s="4" t="s">
        <v>55</v>
      </c>
      <c r="O1514" t="str">
        <f>"LIM-"&amp;G1513&amp;"-LIM   LA "&amp;E1513&amp;" ("&amp;LEFT(H1513,5)&amp;"-"&amp;LEFT(I1513,5)&amp;" hrs)  /  LA "&amp;E1514&amp;" ("&amp;LEFT(H1514,5)&amp;"-"&amp;LEFT(I1514,5)&amp;" hrs)"</f>
        <v>LIM-CJA-LIM   LA 2295 (14:10-15:30 hrs)  /  LA 2294 (16:10-17:15 hrs)</v>
      </c>
    </row>
    <row r="1515" spans="2:24" x14ac:dyDescent="0.25">
      <c r="J1515" s="7" t="s">
        <v>43</v>
      </c>
      <c r="K1515" s="8" t="str">
        <f>TEXT(TIMEVALUE(I1514)-TIMEVALUE(H1513)+(I1514&lt;H1513),"[h]:mm")</f>
        <v>3:05</v>
      </c>
    </row>
    <row r="1517" spans="2:24" ht="30" x14ac:dyDescent="0.25">
      <c r="B1517" s="3" t="s">
        <v>9</v>
      </c>
      <c r="C1517" s="3" t="s">
        <v>17</v>
      </c>
      <c r="D1517" s="3" t="s">
        <v>18</v>
      </c>
      <c r="E1517" s="3" t="s">
        <v>19</v>
      </c>
      <c r="F1517" s="3" t="s">
        <v>20</v>
      </c>
      <c r="G1517" s="3" t="s">
        <v>21</v>
      </c>
      <c r="H1517" s="3" t="s">
        <v>22</v>
      </c>
      <c r="I1517" s="3" t="s">
        <v>23</v>
      </c>
      <c r="J1517" s="3" t="s">
        <v>24</v>
      </c>
      <c r="K1517" s="3" t="s">
        <v>25</v>
      </c>
      <c r="L1517" s="3" t="s">
        <v>26</v>
      </c>
    </row>
    <row r="1518" spans="2:24" ht="30" x14ac:dyDescent="0.25">
      <c r="B1518" s="4">
        <v>1467</v>
      </c>
      <c r="C1518" s="4" t="s">
        <v>184</v>
      </c>
      <c r="D1518" s="4" t="s">
        <v>119</v>
      </c>
      <c r="E1518" s="4">
        <v>2338</v>
      </c>
      <c r="F1518" s="4" t="s">
        <v>29</v>
      </c>
      <c r="G1518" s="4" t="s">
        <v>125</v>
      </c>
      <c r="H1518" s="4" t="s">
        <v>109</v>
      </c>
      <c r="I1518" s="4" t="s">
        <v>86</v>
      </c>
      <c r="J1518" s="4">
        <v>320</v>
      </c>
      <c r="L1518" s="4" t="s">
        <v>47</v>
      </c>
      <c r="M1518" s="5"/>
      <c r="O1518" s="5"/>
      <c r="Q1518" s="4">
        <f>B1518</f>
        <v>1467</v>
      </c>
      <c r="R1518" s="4" t="str">
        <f>C1518</f>
        <v>17/10/2026</v>
      </c>
      <c r="S1518" s="4" t="str">
        <f>D1518</f>
        <v>sábado</v>
      </c>
      <c r="T1518" s="4" t="str">
        <f>E1518&amp;"/"&amp;E1519</f>
        <v>2338/2339</v>
      </c>
      <c r="U1518" s="4" t="str">
        <f>F1518&amp;"-"&amp;G1518&amp;"-"&amp;F1518</f>
        <v>LIM-PIU-LIM</v>
      </c>
      <c r="V1518" s="4" t="str">
        <f>IF($M$1518="","",$M$1518)</f>
        <v/>
      </c>
      <c r="W1518" s="4" t="str">
        <f>IF($O$1518="","",$O$1518)</f>
        <v/>
      </c>
      <c r="X1518" s="4">
        <f>J1518</f>
        <v>320</v>
      </c>
    </row>
    <row r="1519" spans="2:24" ht="30" x14ac:dyDescent="0.25">
      <c r="B1519" s="4">
        <v>1467</v>
      </c>
      <c r="C1519" s="4" t="s">
        <v>184</v>
      </c>
      <c r="D1519" s="4" t="s">
        <v>119</v>
      </c>
      <c r="E1519" s="4">
        <v>2339</v>
      </c>
      <c r="F1519" s="4" t="s">
        <v>125</v>
      </c>
      <c r="G1519" s="4" t="s">
        <v>29</v>
      </c>
      <c r="H1519" s="4" t="s">
        <v>53</v>
      </c>
      <c r="I1519" s="4" t="s">
        <v>88</v>
      </c>
      <c r="J1519" s="4">
        <v>320</v>
      </c>
      <c r="K1519" t="str">
        <f>TEXT(TIMEVALUE(H1519)-TIMEVALUE(I1518)+(TIMEVALUE(H1519)&lt;TIMEVALUE(I1518)),"[h]:mm")</f>
        <v>0:35</v>
      </c>
      <c r="L1519" s="4" t="s">
        <v>36</v>
      </c>
      <c r="O1519" t="str">
        <f>"LIM-"&amp;G1518&amp;"-LIM   LA "&amp;E1518&amp;" ("&amp;LEFT(H1518,5)&amp;"-"&amp;LEFT(I1518,5)&amp;" hrs)  /  LA "&amp;E1519&amp;" ("&amp;LEFT(H1519,5)&amp;"-"&amp;LEFT(I1519,5)&amp;" hrs)"</f>
        <v>LIM-PIU-LIM   LA 2338 (15:00-16:45 hrs)  /  LA 2339 (17:20-18:55 hrs)</v>
      </c>
    </row>
    <row r="1520" spans="2:24" ht="30" x14ac:dyDescent="0.25">
      <c r="B1520" s="4">
        <v>1482</v>
      </c>
      <c r="C1520" s="4" t="s">
        <v>184</v>
      </c>
      <c r="D1520" s="4" t="s">
        <v>119</v>
      </c>
      <c r="E1520" s="4">
        <v>2048</v>
      </c>
      <c r="F1520" s="4" t="s">
        <v>29</v>
      </c>
      <c r="G1520" s="4" t="s">
        <v>30</v>
      </c>
      <c r="H1520" s="4" t="s">
        <v>148</v>
      </c>
      <c r="I1520" s="4" t="s">
        <v>80</v>
      </c>
      <c r="J1520" s="4">
        <v>320</v>
      </c>
      <c r="K1520" s="6" t="str">
        <f>TEXT(TIMEVALUE(H1520)-TIMEVALUE(I1519)+(TIMEVALUE(H1520)&lt;TIMEVALUE(I1519)),"[h]:mm")</f>
        <v>1:00</v>
      </c>
      <c r="L1520" s="4" t="s">
        <v>93</v>
      </c>
      <c r="M1520" t="str">
        <f>IF($M$1518="","",$M$1518)</f>
        <v/>
      </c>
      <c r="O1520" t="str">
        <f>IF($O$1518="","",$O$1518)</f>
        <v/>
      </c>
      <c r="Q1520" s="4">
        <f>B1520</f>
        <v>1482</v>
      </c>
      <c r="R1520" s="4" t="str">
        <f>C1520</f>
        <v>17/10/2026</v>
      </c>
      <c r="S1520" s="4" t="str">
        <f>D1520</f>
        <v>sábado</v>
      </c>
      <c r="T1520" s="4" t="str">
        <f>E1520&amp;"/"&amp;E1521</f>
        <v>2048/2070</v>
      </c>
      <c r="U1520" s="4" t="str">
        <f>F1520&amp;"-"&amp;G1520&amp;"-"&amp;F1520</f>
        <v>LIM-CUZ-LIM</v>
      </c>
      <c r="V1520" s="4" t="str">
        <f>IF($M$1518="","",$M$1518)</f>
        <v/>
      </c>
      <c r="W1520" s="4" t="str">
        <f>IF($O$1518="","",$O$1518)</f>
        <v/>
      </c>
      <c r="X1520" s="4">
        <f>J1520</f>
        <v>320</v>
      </c>
    </row>
    <row r="1521" spans="2:24" ht="30" x14ac:dyDescent="0.25">
      <c r="B1521" s="4">
        <v>1482</v>
      </c>
      <c r="C1521" s="4" t="s">
        <v>184</v>
      </c>
      <c r="D1521" s="4" t="s">
        <v>119</v>
      </c>
      <c r="E1521" s="4">
        <v>2070</v>
      </c>
      <c r="F1521" s="4" t="s">
        <v>30</v>
      </c>
      <c r="G1521" s="4" t="s">
        <v>29</v>
      </c>
      <c r="H1521" s="4" t="s">
        <v>173</v>
      </c>
      <c r="I1521" s="4" t="s">
        <v>174</v>
      </c>
      <c r="J1521" s="4">
        <v>320</v>
      </c>
      <c r="K1521" t="str">
        <f>TEXT(TIMEVALUE(H1521)-TIMEVALUE(I1520)+(TIMEVALUE(H1521)&lt;TIMEVALUE(I1520)),"[h]:mm")</f>
        <v>0:50</v>
      </c>
      <c r="L1521" s="4" t="s">
        <v>71</v>
      </c>
      <c r="O1521" t="str">
        <f>"LIM-"&amp;G1520&amp;"-LIM   LA "&amp;E1520&amp;" ("&amp;LEFT(H1520,5)&amp;"-"&amp;LEFT(I1520,5)&amp;" hrs)  /  LA "&amp;E1521&amp;" ("&amp;LEFT(H1521,5)&amp;"-"&amp;LEFT(I1521,5)&amp;" hrs)"</f>
        <v>LIM-CUZ-LIM   LA 2048 (19:55-21:20 hrs)  /  LA 2070 (22:10-23:50 hrs)</v>
      </c>
    </row>
    <row r="1522" spans="2:24" x14ac:dyDescent="0.25">
      <c r="J1522" s="7" t="s">
        <v>43</v>
      </c>
      <c r="K1522" s="8" t="str">
        <f>TEXT(TIMEVALUE(I1521)-TIMEVALUE(H1518)+(I1521&lt;H1518),"[h]:mm")</f>
        <v>8:50</v>
      </c>
    </row>
    <row r="1524" spans="2:24" ht="30" x14ac:dyDescent="0.25">
      <c r="B1524" s="3" t="s">
        <v>9</v>
      </c>
      <c r="C1524" s="3" t="s">
        <v>17</v>
      </c>
      <c r="D1524" s="3" t="s">
        <v>18</v>
      </c>
      <c r="E1524" s="3" t="s">
        <v>19</v>
      </c>
      <c r="F1524" s="3" t="s">
        <v>20</v>
      </c>
      <c r="G1524" s="3" t="s">
        <v>21</v>
      </c>
      <c r="H1524" s="3" t="s">
        <v>22</v>
      </c>
      <c r="I1524" s="3" t="s">
        <v>23</v>
      </c>
      <c r="J1524" s="3" t="s">
        <v>24</v>
      </c>
      <c r="K1524" s="3" t="s">
        <v>25</v>
      </c>
      <c r="L1524" s="3" t="s">
        <v>26</v>
      </c>
    </row>
    <row r="1525" spans="2:24" ht="30" x14ac:dyDescent="0.25">
      <c r="B1525" s="4">
        <v>1468</v>
      </c>
      <c r="C1525" s="4" t="s">
        <v>184</v>
      </c>
      <c r="D1525" s="4" t="s">
        <v>119</v>
      </c>
      <c r="E1525" s="4">
        <v>2338</v>
      </c>
      <c r="F1525" s="4" t="s">
        <v>29</v>
      </c>
      <c r="G1525" s="4" t="s">
        <v>125</v>
      </c>
      <c r="H1525" s="4" t="s">
        <v>109</v>
      </c>
      <c r="I1525" s="4" t="s">
        <v>86</v>
      </c>
      <c r="J1525" s="4">
        <v>320</v>
      </c>
      <c r="L1525" s="4" t="s">
        <v>47</v>
      </c>
      <c r="M1525" s="5"/>
      <c r="O1525" s="5"/>
      <c r="Q1525" s="4">
        <f>B1525</f>
        <v>1468</v>
      </c>
      <c r="R1525" s="4" t="str">
        <f>C1525</f>
        <v>17/10/2026</v>
      </c>
      <c r="S1525" s="4" t="str">
        <f>D1525</f>
        <v>sábado</v>
      </c>
      <c r="T1525" s="4" t="str">
        <f>E1525&amp;"/"&amp;E1526</f>
        <v>2338/2339</v>
      </c>
      <c r="U1525" s="4" t="str">
        <f>F1525&amp;"-"&amp;G1525&amp;"-"&amp;F1525</f>
        <v>LIM-PIU-LIM</v>
      </c>
      <c r="V1525" s="4" t="str">
        <f>IF($M$1525="","",$M$1525)</f>
        <v/>
      </c>
      <c r="W1525" s="4" t="str">
        <f>IF($O$1525="","",$O$1525)</f>
        <v/>
      </c>
      <c r="X1525" s="4">
        <f>J1525</f>
        <v>320</v>
      </c>
    </row>
    <row r="1526" spans="2:24" ht="30" x14ac:dyDescent="0.25">
      <c r="B1526" s="4">
        <v>1468</v>
      </c>
      <c r="C1526" s="4" t="s">
        <v>184</v>
      </c>
      <c r="D1526" s="4" t="s">
        <v>119</v>
      </c>
      <c r="E1526" s="4">
        <v>2339</v>
      </c>
      <c r="F1526" s="4" t="s">
        <v>125</v>
      </c>
      <c r="G1526" s="4" t="s">
        <v>29</v>
      </c>
      <c r="H1526" s="4" t="s">
        <v>53</v>
      </c>
      <c r="I1526" s="4" t="s">
        <v>88</v>
      </c>
      <c r="J1526" s="4">
        <v>320</v>
      </c>
      <c r="K1526" t="str">
        <f>TEXT(TIMEVALUE(H1526)-TIMEVALUE(I1525)+(TIMEVALUE(H1526)&lt;TIMEVALUE(I1525)),"[h]:mm")</f>
        <v>0:35</v>
      </c>
      <c r="L1526" s="4" t="s">
        <v>36</v>
      </c>
      <c r="O1526" t="str">
        <f>"LIM-"&amp;G1525&amp;"-LIM   LA "&amp;E1525&amp;" ("&amp;LEFT(H1525,5)&amp;"-"&amp;LEFT(I1525,5)&amp;" hrs)  /  LA "&amp;E1526&amp;" ("&amp;LEFT(H1526,5)&amp;"-"&amp;LEFT(I1526,5)&amp;" hrs)"</f>
        <v>LIM-PIU-LIM   LA 2338 (15:00-16:45 hrs)  /  LA 2339 (17:20-18:55 hrs)</v>
      </c>
    </row>
    <row r="1527" spans="2:24" x14ac:dyDescent="0.25">
      <c r="J1527" s="7" t="s">
        <v>43</v>
      </c>
      <c r="K1527" s="8" t="str">
        <f>TEXT(TIMEVALUE(I1526)-TIMEVALUE(H1525)+(I1526&lt;H1525),"[h]:mm")</f>
        <v>3:55</v>
      </c>
    </row>
    <row r="1529" spans="2:24" ht="30" x14ac:dyDescent="0.25">
      <c r="B1529" s="3" t="s">
        <v>9</v>
      </c>
      <c r="C1529" s="3" t="s">
        <v>17</v>
      </c>
      <c r="D1529" s="3" t="s">
        <v>18</v>
      </c>
      <c r="E1529" s="3" t="s">
        <v>19</v>
      </c>
      <c r="F1529" s="3" t="s">
        <v>20</v>
      </c>
      <c r="G1529" s="3" t="s">
        <v>21</v>
      </c>
      <c r="H1529" s="3" t="s">
        <v>22</v>
      </c>
      <c r="I1529" s="3" t="s">
        <v>23</v>
      </c>
      <c r="J1529" s="3" t="s">
        <v>24</v>
      </c>
      <c r="K1529" s="3" t="s">
        <v>25</v>
      </c>
      <c r="L1529" s="3" t="s">
        <v>26</v>
      </c>
    </row>
    <row r="1530" spans="2:24" ht="30" x14ac:dyDescent="0.25">
      <c r="B1530" s="4">
        <v>1469</v>
      </c>
      <c r="C1530" s="4" t="s">
        <v>184</v>
      </c>
      <c r="D1530" s="4" t="s">
        <v>119</v>
      </c>
      <c r="E1530" s="4">
        <v>2113</v>
      </c>
      <c r="F1530" s="4" t="s">
        <v>29</v>
      </c>
      <c r="G1530" s="4" t="s">
        <v>56</v>
      </c>
      <c r="H1530" s="4" t="s">
        <v>126</v>
      </c>
      <c r="I1530" s="4" t="s">
        <v>52</v>
      </c>
      <c r="J1530" s="4">
        <v>320</v>
      </c>
      <c r="L1530" s="4" t="s">
        <v>40</v>
      </c>
      <c r="M1530" s="5"/>
      <c r="O1530" s="5"/>
      <c r="Q1530" s="4">
        <f>B1530</f>
        <v>1469</v>
      </c>
      <c r="R1530" s="4" t="str">
        <f>C1530</f>
        <v>17/10/2026</v>
      </c>
      <c r="S1530" s="4" t="str">
        <f>D1530</f>
        <v>sábado</v>
      </c>
      <c r="T1530" s="4" t="str">
        <f>E1530&amp;"/"&amp;E1531</f>
        <v>2113/2112</v>
      </c>
      <c r="U1530" s="4" t="str">
        <f>F1530&amp;"-"&amp;G1530&amp;"-"&amp;F1530</f>
        <v>LIM-AQP-LIM</v>
      </c>
      <c r="V1530" s="4" t="str">
        <f>IF($M$1530="","",$M$1530)</f>
        <v/>
      </c>
      <c r="W1530" s="4" t="str">
        <f>IF($O$1530="","",$O$1530)</f>
        <v/>
      </c>
      <c r="X1530" s="4">
        <f>J1530</f>
        <v>320</v>
      </c>
    </row>
    <row r="1531" spans="2:24" ht="30" x14ac:dyDescent="0.25">
      <c r="B1531" s="4">
        <v>1469</v>
      </c>
      <c r="C1531" s="4" t="s">
        <v>184</v>
      </c>
      <c r="D1531" s="4" t="s">
        <v>119</v>
      </c>
      <c r="E1531" s="4">
        <v>2112</v>
      </c>
      <c r="F1531" s="4" t="s">
        <v>56</v>
      </c>
      <c r="G1531" s="4" t="s">
        <v>29</v>
      </c>
      <c r="H1531" s="4" t="s">
        <v>42</v>
      </c>
      <c r="I1531" s="4" t="s">
        <v>88</v>
      </c>
      <c r="J1531" s="4">
        <v>320</v>
      </c>
      <c r="K1531" t="str">
        <f>TEXT(TIMEVALUE(H1531)-TIMEVALUE(I1530)+(TIMEVALUE(H1531)&lt;TIMEVALUE(I1530)),"[h]:mm")</f>
        <v>0:40</v>
      </c>
      <c r="L1531" s="4" t="s">
        <v>71</v>
      </c>
      <c r="O1531" t="str">
        <f>"LIM-"&amp;G1530&amp;"-LIM   LA "&amp;E1530&amp;" ("&amp;LEFT(H1530,5)&amp;"-"&amp;LEFT(I1530,5)&amp;" hrs)  /  LA "&amp;E1531&amp;" ("&amp;LEFT(H1531,5)&amp;"-"&amp;LEFT(I1531,5)&amp;" hrs)"</f>
        <v>LIM-AQP-LIM   LA 2113 (15:05-16:35 hrs)  /  LA 2112 (17:15-18:55 hrs)</v>
      </c>
    </row>
    <row r="1532" spans="2:24" x14ac:dyDescent="0.25">
      <c r="J1532" s="7" t="s">
        <v>43</v>
      </c>
      <c r="K1532" s="8" t="str">
        <f>TEXT(TIMEVALUE(I1531)-TIMEVALUE(H1530)+(I1531&lt;H1530),"[h]:mm")</f>
        <v>3:50</v>
      </c>
    </row>
    <row r="1534" spans="2:24" ht="30" x14ac:dyDescent="0.25">
      <c r="B1534" s="3" t="s">
        <v>9</v>
      </c>
      <c r="C1534" s="3" t="s">
        <v>17</v>
      </c>
      <c r="D1534" s="3" t="s">
        <v>18</v>
      </c>
      <c r="E1534" s="3" t="s">
        <v>19</v>
      </c>
      <c r="F1534" s="3" t="s">
        <v>20</v>
      </c>
      <c r="G1534" s="3" t="s">
        <v>21</v>
      </c>
      <c r="H1534" s="3" t="s">
        <v>22</v>
      </c>
      <c r="I1534" s="3" t="s">
        <v>23</v>
      </c>
      <c r="J1534" s="3" t="s">
        <v>24</v>
      </c>
      <c r="K1534" s="3" t="s">
        <v>25</v>
      </c>
      <c r="L1534" s="3" t="s">
        <v>26</v>
      </c>
    </row>
    <row r="1535" spans="2:24" ht="30" x14ac:dyDescent="0.25">
      <c r="B1535" s="4">
        <v>1472</v>
      </c>
      <c r="C1535" s="4" t="s">
        <v>184</v>
      </c>
      <c r="D1535" s="4" t="s">
        <v>119</v>
      </c>
      <c r="E1535" s="4">
        <v>2297</v>
      </c>
      <c r="F1535" s="4" t="s">
        <v>29</v>
      </c>
      <c r="G1535" s="4" t="s">
        <v>50</v>
      </c>
      <c r="H1535" s="4" t="s">
        <v>51</v>
      </c>
      <c r="I1535" s="4" t="s">
        <v>52</v>
      </c>
      <c r="J1535" s="4">
        <v>320</v>
      </c>
      <c r="L1535" s="4" t="s">
        <v>33</v>
      </c>
      <c r="M1535" s="5"/>
      <c r="O1535" s="5"/>
      <c r="Q1535" s="4">
        <f>B1535</f>
        <v>1472</v>
      </c>
      <c r="R1535" s="4" t="str">
        <f>C1535</f>
        <v>17/10/2026</v>
      </c>
      <c r="S1535" s="4" t="str">
        <f>D1535</f>
        <v>sábado</v>
      </c>
      <c r="T1535" s="4" t="str">
        <f>E1535&amp;"/"&amp;E1536</f>
        <v>2297/2296</v>
      </c>
      <c r="U1535" s="4" t="str">
        <f>F1535&amp;"-"&amp;G1535&amp;"-"&amp;F1535</f>
        <v>LIM-CJA-LIM</v>
      </c>
      <c r="V1535" s="4" t="str">
        <f>IF($M$1535="","",$M$1535)</f>
        <v/>
      </c>
      <c r="W1535" s="4" t="str">
        <f>IF($O$1535="","",$O$1535)</f>
        <v/>
      </c>
      <c r="X1535" s="4">
        <f>J1535</f>
        <v>320</v>
      </c>
    </row>
    <row r="1536" spans="2:24" ht="30" x14ac:dyDescent="0.25">
      <c r="B1536" s="4">
        <v>1472</v>
      </c>
      <c r="C1536" s="4" t="s">
        <v>184</v>
      </c>
      <c r="D1536" s="4" t="s">
        <v>119</v>
      </c>
      <c r="E1536" s="4">
        <v>2296</v>
      </c>
      <c r="F1536" s="4" t="s">
        <v>50</v>
      </c>
      <c r="G1536" s="4" t="s">
        <v>29</v>
      </c>
      <c r="H1536" s="4" t="s">
        <v>53</v>
      </c>
      <c r="I1536" s="4" t="s">
        <v>54</v>
      </c>
      <c r="J1536" s="4">
        <v>320</v>
      </c>
      <c r="K1536" t="str">
        <f>TEXT(TIMEVALUE(H1536)-TIMEVALUE(I1535)+(TIMEVALUE(H1536)&lt;TIMEVALUE(I1535)),"[h]:mm")</f>
        <v>0:45</v>
      </c>
      <c r="L1536" s="4" t="s">
        <v>55</v>
      </c>
      <c r="O1536" t="str">
        <f>"LIM-"&amp;G1535&amp;"-LIM   LA "&amp;E1535&amp;" ("&amp;LEFT(H1535,5)&amp;"-"&amp;LEFT(I1535,5)&amp;" hrs)  /  LA "&amp;E1536&amp;" ("&amp;LEFT(H1536,5)&amp;"-"&amp;LEFT(I1536,5)&amp;" hrs)"</f>
        <v>LIM-CJA-LIM   LA 2297 (15:15-16:35 hrs)  /  LA 2296 (17:20-18:25 hrs)</v>
      </c>
    </row>
    <row r="1537" spans="2:24" x14ac:dyDescent="0.25">
      <c r="J1537" s="7" t="s">
        <v>43</v>
      </c>
      <c r="K1537" s="8" t="str">
        <f>TEXT(TIMEVALUE(I1536)-TIMEVALUE(H1535)+(I1536&lt;H1535),"[h]:mm")</f>
        <v>3:10</v>
      </c>
    </row>
    <row r="1539" spans="2:24" ht="30" x14ac:dyDescent="0.25">
      <c r="B1539" s="3" t="s">
        <v>9</v>
      </c>
      <c r="C1539" s="3" t="s">
        <v>17</v>
      </c>
      <c r="D1539" s="3" t="s">
        <v>18</v>
      </c>
      <c r="E1539" s="3" t="s">
        <v>19</v>
      </c>
      <c r="F1539" s="3" t="s">
        <v>20</v>
      </c>
      <c r="G1539" s="3" t="s">
        <v>21</v>
      </c>
      <c r="H1539" s="3" t="s">
        <v>22</v>
      </c>
      <c r="I1539" s="3" t="s">
        <v>23</v>
      </c>
      <c r="J1539" s="3" t="s">
        <v>24</v>
      </c>
      <c r="K1539" s="3" t="s">
        <v>25</v>
      </c>
      <c r="L1539" s="3" t="s">
        <v>26</v>
      </c>
    </row>
    <row r="1540" spans="2:24" ht="30" x14ac:dyDescent="0.25">
      <c r="B1540" s="4">
        <v>1473</v>
      </c>
      <c r="C1540" s="4" t="s">
        <v>184</v>
      </c>
      <c r="D1540" s="4" t="s">
        <v>119</v>
      </c>
      <c r="E1540" s="4">
        <v>2360</v>
      </c>
      <c r="F1540" s="4" t="s">
        <v>29</v>
      </c>
      <c r="G1540" s="4" t="s">
        <v>58</v>
      </c>
      <c r="H1540" s="4" t="s">
        <v>59</v>
      </c>
      <c r="I1540" s="4" t="s">
        <v>60</v>
      </c>
      <c r="J1540" s="4">
        <v>319</v>
      </c>
      <c r="L1540" s="4" t="s">
        <v>61</v>
      </c>
      <c r="M1540" s="5"/>
      <c r="O1540" s="5"/>
      <c r="Q1540" s="4">
        <f>B1540</f>
        <v>1473</v>
      </c>
      <c r="R1540" s="4" t="str">
        <f>C1540</f>
        <v>17/10/2026</v>
      </c>
      <c r="S1540" s="4" t="str">
        <f>D1540</f>
        <v>sábado</v>
      </c>
      <c r="T1540" s="4" t="str">
        <f>E1540&amp;"/"&amp;E1541</f>
        <v>2360/2361</v>
      </c>
      <c r="U1540" s="4" t="str">
        <f>F1540&amp;"-"&amp;G1540&amp;"-"&amp;F1540</f>
        <v>LIM-PCL-LIM</v>
      </c>
      <c r="V1540" s="4" t="str">
        <f>IF($M$1540="","",$M$1540)</f>
        <v/>
      </c>
      <c r="W1540" s="4" t="str">
        <f>IF($O$1540="","",$O$1540)</f>
        <v/>
      </c>
      <c r="X1540" s="4">
        <f>J1540</f>
        <v>319</v>
      </c>
    </row>
    <row r="1541" spans="2:24" ht="30" x14ac:dyDescent="0.25">
      <c r="B1541" s="4">
        <v>1473</v>
      </c>
      <c r="C1541" s="4" t="s">
        <v>184</v>
      </c>
      <c r="D1541" s="4" t="s">
        <v>119</v>
      </c>
      <c r="E1541" s="4">
        <v>2361</v>
      </c>
      <c r="F1541" s="4" t="s">
        <v>58</v>
      </c>
      <c r="G1541" s="4" t="s">
        <v>29</v>
      </c>
      <c r="H1541" s="4" t="s">
        <v>53</v>
      </c>
      <c r="I1541" s="4" t="s">
        <v>62</v>
      </c>
      <c r="J1541" s="4">
        <v>319</v>
      </c>
      <c r="K1541" t="str">
        <f>TEXT(TIMEVALUE(H1541)-TIMEVALUE(I1540)+(TIMEVALUE(H1541)&lt;TIMEVALUE(I1540)),"[h]:mm")</f>
        <v>0:40</v>
      </c>
      <c r="L1541" s="4" t="s">
        <v>61</v>
      </c>
      <c r="O1541" t="str">
        <f>"LIM-"&amp;G1540&amp;"-LIM   LA "&amp;E1540&amp;" ("&amp;LEFT(H1540,5)&amp;"-"&amp;LEFT(I1540,5)&amp;" hrs)  /  LA "&amp;E1541&amp;" ("&amp;LEFT(H1541,5)&amp;"-"&amp;LEFT(I1541,5)&amp;" hrs)"</f>
        <v>LIM-PCL-LIM   LA 2360 (15:25-16:40 hrs)  /  LA 2361 (17:20-18:35 hrs)</v>
      </c>
    </row>
    <row r="1542" spans="2:24" x14ac:dyDescent="0.25">
      <c r="J1542" s="7" t="s">
        <v>43</v>
      </c>
      <c r="K1542" s="8" t="str">
        <f>TEXT(TIMEVALUE(I1541)-TIMEVALUE(H1540)+(I1541&lt;H1540),"[h]:mm")</f>
        <v>3:10</v>
      </c>
    </row>
    <row r="1544" spans="2:24" ht="30" x14ac:dyDescent="0.25">
      <c r="B1544" s="3" t="s">
        <v>9</v>
      </c>
      <c r="C1544" s="3" t="s">
        <v>17</v>
      </c>
      <c r="D1544" s="3" t="s">
        <v>18</v>
      </c>
      <c r="E1544" s="3" t="s">
        <v>19</v>
      </c>
      <c r="F1544" s="3" t="s">
        <v>20</v>
      </c>
      <c r="G1544" s="3" t="s">
        <v>21</v>
      </c>
      <c r="H1544" s="3" t="s">
        <v>22</v>
      </c>
      <c r="I1544" s="3" t="s">
        <v>23</v>
      </c>
      <c r="J1544" s="3" t="s">
        <v>24</v>
      </c>
      <c r="K1544" s="3" t="s">
        <v>25</v>
      </c>
      <c r="L1544" s="3" t="s">
        <v>26</v>
      </c>
    </row>
    <row r="1545" spans="2:24" ht="30" x14ac:dyDescent="0.25">
      <c r="B1545" s="4">
        <v>1474</v>
      </c>
      <c r="C1545" s="4" t="s">
        <v>184</v>
      </c>
      <c r="D1545" s="4" t="s">
        <v>119</v>
      </c>
      <c r="E1545" s="4">
        <v>2301</v>
      </c>
      <c r="F1545" s="4" t="s">
        <v>29</v>
      </c>
      <c r="G1545" s="4" t="s">
        <v>91</v>
      </c>
      <c r="H1545" s="4" t="s">
        <v>92</v>
      </c>
      <c r="I1545" s="4" t="s">
        <v>77</v>
      </c>
      <c r="J1545" s="4">
        <v>320</v>
      </c>
      <c r="L1545" s="4" t="s">
        <v>93</v>
      </c>
      <c r="M1545" s="5"/>
      <c r="O1545" s="5"/>
      <c r="Q1545" s="4">
        <f>B1545</f>
        <v>1474</v>
      </c>
      <c r="R1545" s="4" t="str">
        <f>C1545</f>
        <v>17/10/2026</v>
      </c>
      <c r="S1545" s="4" t="str">
        <f>D1545</f>
        <v>sábado</v>
      </c>
      <c r="T1545" s="4" t="str">
        <f>E1545&amp;"/"&amp;E1546</f>
        <v>2301/2300</v>
      </c>
      <c r="U1545" s="4" t="str">
        <f>F1545&amp;"-"&amp;G1545&amp;"-"&amp;F1545</f>
        <v>LIM-TPP-LIM</v>
      </c>
      <c r="V1545" s="4" t="str">
        <f>IF($M$1545="","",$M$1545)</f>
        <v/>
      </c>
      <c r="W1545" s="4" t="str">
        <f>IF($O$1545="","",$O$1545)</f>
        <v/>
      </c>
      <c r="X1545" s="4">
        <f>J1545</f>
        <v>320</v>
      </c>
    </row>
    <row r="1546" spans="2:24" ht="30" x14ac:dyDescent="0.25">
      <c r="B1546" s="4">
        <v>1474</v>
      </c>
      <c r="C1546" s="4" t="s">
        <v>184</v>
      </c>
      <c r="D1546" s="4" t="s">
        <v>119</v>
      </c>
      <c r="E1546" s="4">
        <v>2300</v>
      </c>
      <c r="F1546" s="4" t="s">
        <v>91</v>
      </c>
      <c r="G1546" s="4" t="s">
        <v>29</v>
      </c>
      <c r="H1546" s="4" t="s">
        <v>84</v>
      </c>
      <c r="I1546" s="4" t="s">
        <v>94</v>
      </c>
      <c r="J1546" s="4">
        <v>320</v>
      </c>
      <c r="K1546" t="str">
        <f>TEXT(TIMEVALUE(H1546)-TIMEVALUE(I1545)+(TIMEVALUE(H1546)&lt;TIMEVALUE(I1545)),"[h]:mm")</f>
        <v>0:45</v>
      </c>
      <c r="L1546" s="4" t="s">
        <v>93</v>
      </c>
      <c r="O1546" t="str">
        <f>"LIM-"&amp;G1545&amp;"-LIM   LA "&amp;E1545&amp;" ("&amp;LEFT(H1545,5)&amp;"-"&amp;LEFT(I1545,5)&amp;" hrs)  /  LA "&amp;E1546&amp;" ("&amp;LEFT(H1546,5)&amp;"-"&amp;LEFT(I1546,5)&amp;" hrs)"</f>
        <v>LIM-TPP-LIM   LA 2301 (15:40-17:05 hrs)  /  LA 2300 (17:50-19:15 hrs)</v>
      </c>
    </row>
    <row r="1547" spans="2:24" x14ac:dyDescent="0.25">
      <c r="J1547" s="7" t="s">
        <v>43</v>
      </c>
      <c r="K1547" s="8" t="str">
        <f>TEXT(TIMEVALUE(I1546)-TIMEVALUE(H1545)+(I1546&lt;H1545),"[h]:mm")</f>
        <v>3:35</v>
      </c>
    </row>
    <row r="1549" spans="2:24" ht="30" x14ac:dyDescent="0.25">
      <c r="B1549" s="3" t="s">
        <v>9</v>
      </c>
      <c r="C1549" s="3" t="s">
        <v>17</v>
      </c>
      <c r="D1549" s="3" t="s">
        <v>18</v>
      </c>
      <c r="E1549" s="3" t="s">
        <v>19</v>
      </c>
      <c r="F1549" s="3" t="s">
        <v>20</v>
      </c>
      <c r="G1549" s="3" t="s">
        <v>21</v>
      </c>
      <c r="H1549" s="3" t="s">
        <v>22</v>
      </c>
      <c r="I1549" s="3" t="s">
        <v>23</v>
      </c>
      <c r="J1549" s="3" t="s">
        <v>24</v>
      </c>
      <c r="K1549" s="3" t="s">
        <v>25</v>
      </c>
      <c r="L1549" s="3" t="s">
        <v>26</v>
      </c>
    </row>
    <row r="1550" spans="2:24" ht="30" x14ac:dyDescent="0.25">
      <c r="B1550" s="4">
        <v>1478</v>
      </c>
      <c r="C1550" s="4" t="s">
        <v>184</v>
      </c>
      <c r="D1550" s="4" t="s">
        <v>119</v>
      </c>
      <c r="E1550" s="4">
        <v>2213</v>
      </c>
      <c r="F1550" s="4" t="s">
        <v>29</v>
      </c>
      <c r="G1550" s="4" t="s">
        <v>37</v>
      </c>
      <c r="H1550" s="4" t="s">
        <v>53</v>
      </c>
      <c r="I1550" s="4" t="s">
        <v>127</v>
      </c>
      <c r="J1550" s="4">
        <v>320</v>
      </c>
      <c r="L1550" s="4" t="s">
        <v>40</v>
      </c>
      <c r="M1550" s="5"/>
      <c r="O1550" s="5"/>
      <c r="Q1550" s="4">
        <f>B1550</f>
        <v>1478</v>
      </c>
      <c r="R1550" s="4" t="str">
        <f>C1550</f>
        <v>17/10/2026</v>
      </c>
      <c r="S1550" s="4" t="str">
        <f>D1550</f>
        <v>sábado</v>
      </c>
      <c r="T1550" s="4" t="str">
        <f>E1550&amp;"/"&amp;E1551</f>
        <v>2213/2214</v>
      </c>
      <c r="U1550" s="4" t="str">
        <f>F1550&amp;"-"&amp;G1550&amp;"-"&amp;F1550</f>
        <v>LIM-CIX-LIM</v>
      </c>
      <c r="V1550" s="4" t="str">
        <f>IF($M$1550="","",$M$1550)</f>
        <v/>
      </c>
      <c r="W1550" s="4" t="str">
        <f>IF($O$1550="","",$O$1550)</f>
        <v/>
      </c>
      <c r="X1550" s="4">
        <f>J1550</f>
        <v>320</v>
      </c>
    </row>
    <row r="1551" spans="2:24" ht="30" x14ac:dyDescent="0.25">
      <c r="B1551" s="4">
        <v>1478</v>
      </c>
      <c r="C1551" s="4" t="s">
        <v>184</v>
      </c>
      <c r="D1551" s="4" t="s">
        <v>119</v>
      </c>
      <c r="E1551" s="4">
        <v>2214</v>
      </c>
      <c r="F1551" s="4" t="s">
        <v>37</v>
      </c>
      <c r="G1551" s="4" t="s">
        <v>29</v>
      </c>
      <c r="H1551" s="4" t="s">
        <v>128</v>
      </c>
      <c r="I1551" s="4" t="s">
        <v>129</v>
      </c>
      <c r="J1551" s="4">
        <v>320</v>
      </c>
      <c r="K1551" t="str">
        <f>TEXT(TIMEVALUE(H1551)-TIMEVALUE(I1550)+(TIMEVALUE(H1551)&lt;TIMEVALUE(I1550)),"[h]:mm")</f>
        <v>0:35</v>
      </c>
      <c r="L1551" s="4" t="s">
        <v>61</v>
      </c>
      <c r="O1551" t="str">
        <f>"LIM-"&amp;G1550&amp;"-LIM   LA "&amp;E1550&amp;" ("&amp;LEFT(H1550,5)&amp;"-"&amp;LEFT(I1550,5)&amp;" hrs)  /  LA "&amp;E1551&amp;" ("&amp;LEFT(H1551,5)&amp;"-"&amp;LEFT(I1551,5)&amp;" hrs)"</f>
        <v>LIM-CIX-LIM   LA 2213 (17:20-18:50 hrs)  /  LA 2214 (19:25-20:40 hrs)</v>
      </c>
    </row>
    <row r="1552" spans="2:24" x14ac:dyDescent="0.25">
      <c r="J1552" s="7" t="s">
        <v>43</v>
      </c>
      <c r="K1552" s="8" t="str">
        <f>TEXT(TIMEVALUE(I1551)-TIMEVALUE(H1550)+(I1551&lt;H1550),"[h]:mm")</f>
        <v>3:20</v>
      </c>
    </row>
    <row r="1554" spans="2:24" ht="30" x14ac:dyDescent="0.25">
      <c r="B1554" s="3" t="s">
        <v>9</v>
      </c>
      <c r="C1554" s="3" t="s">
        <v>17</v>
      </c>
      <c r="D1554" s="3" t="s">
        <v>18</v>
      </c>
      <c r="E1554" s="3" t="s">
        <v>19</v>
      </c>
      <c r="F1554" s="3" t="s">
        <v>20</v>
      </c>
      <c r="G1554" s="3" t="s">
        <v>21</v>
      </c>
      <c r="H1554" s="3" t="s">
        <v>22</v>
      </c>
      <c r="I1554" s="3" t="s">
        <v>23</v>
      </c>
      <c r="J1554" s="3" t="s">
        <v>24</v>
      </c>
      <c r="K1554" s="3" t="s">
        <v>25</v>
      </c>
      <c r="L1554" s="3" t="s">
        <v>26</v>
      </c>
    </row>
    <row r="1555" spans="2:24" ht="30" x14ac:dyDescent="0.25">
      <c r="B1555" s="4">
        <v>1484</v>
      </c>
      <c r="C1555" s="4" t="s">
        <v>184</v>
      </c>
      <c r="D1555" s="4" t="s">
        <v>119</v>
      </c>
      <c r="E1555" s="4">
        <v>2200</v>
      </c>
      <c r="F1555" s="4" t="s">
        <v>29</v>
      </c>
      <c r="G1555" s="4" t="s">
        <v>30</v>
      </c>
      <c r="H1555" s="4" t="s">
        <v>130</v>
      </c>
      <c r="I1555" s="4" t="s">
        <v>131</v>
      </c>
      <c r="J1555" s="4">
        <v>320</v>
      </c>
      <c r="L1555" s="4" t="s">
        <v>33</v>
      </c>
      <c r="M1555" s="5"/>
      <c r="O1555" s="5"/>
      <c r="Q1555" s="4">
        <f>B1555</f>
        <v>1484</v>
      </c>
      <c r="R1555" s="4" t="str">
        <f>C1555</f>
        <v>17/10/2026</v>
      </c>
      <c r="S1555" s="4" t="str">
        <f>D1555</f>
        <v>sábado</v>
      </c>
      <c r="T1555" s="4" t="str">
        <f>E1555&amp;"/"&amp;E1556</f>
        <v>2200/2201</v>
      </c>
      <c r="U1555" s="4" t="str">
        <f>F1555&amp;"-"&amp;G1555&amp;"-"&amp;F1555</f>
        <v>LIM-CUZ-LIM</v>
      </c>
      <c r="V1555" s="4" t="str">
        <f>IF($M$1555="","",$M$1555)</f>
        <v/>
      </c>
      <c r="W1555" s="4" t="str">
        <f>IF($O$1555="","",$O$1555)</f>
        <v/>
      </c>
      <c r="X1555" s="4">
        <f>J1555</f>
        <v>320</v>
      </c>
    </row>
    <row r="1556" spans="2:24" ht="30" x14ac:dyDescent="0.25">
      <c r="B1556" s="4">
        <v>1484</v>
      </c>
      <c r="C1556" s="4" t="s">
        <v>184</v>
      </c>
      <c r="D1556" s="4" t="s">
        <v>119</v>
      </c>
      <c r="E1556" s="4">
        <v>2201</v>
      </c>
      <c r="F1556" s="4" t="s">
        <v>30</v>
      </c>
      <c r="G1556" s="4" t="s">
        <v>29</v>
      </c>
      <c r="H1556" s="4" t="s">
        <v>132</v>
      </c>
      <c r="I1556" s="4" t="s">
        <v>133</v>
      </c>
      <c r="J1556" s="4">
        <v>320</v>
      </c>
      <c r="K1556" t="str">
        <f>TEXT(TIMEVALUE(H1556)-TIMEVALUE(I1555)+(TIMEVALUE(H1556)&lt;TIMEVALUE(I1555)),"[h]:mm")</f>
        <v>0:45</v>
      </c>
      <c r="L1556" s="4" t="s">
        <v>40</v>
      </c>
      <c r="O1556" t="str">
        <f>"LIM-"&amp;G1555&amp;"-LIM   LA "&amp;E1555&amp;" ("&amp;LEFT(H1555,5)&amp;"-"&amp;LEFT(I1555,5)&amp;" hrs)  /  LA "&amp;E1556&amp;" ("&amp;LEFT(H1556,5)&amp;"-"&amp;LEFT(I1556,5)&amp;" hrs)"</f>
        <v>LIM-CUZ-LIM   LA 2200 (21:15-22:35 hrs)  /  LA 2201 (23:20-00:50 hrs)</v>
      </c>
    </row>
    <row r="1557" spans="2:24" x14ac:dyDescent="0.25">
      <c r="J1557" s="7" t="s">
        <v>43</v>
      </c>
      <c r="K1557" s="8" t="str">
        <f>TEXT(TIMEVALUE(I1556)-TIMEVALUE(H1555)+(I1556&lt;H1555),"[h]:mm")</f>
        <v>3:35</v>
      </c>
    </row>
    <row r="1559" spans="2:24" ht="30" x14ac:dyDescent="0.25">
      <c r="B1559" s="3" t="s">
        <v>9</v>
      </c>
      <c r="C1559" s="3" t="s">
        <v>17</v>
      </c>
      <c r="D1559" s="3" t="s">
        <v>18</v>
      </c>
      <c r="E1559" s="3" t="s">
        <v>19</v>
      </c>
      <c r="F1559" s="3" t="s">
        <v>20</v>
      </c>
      <c r="G1559" s="3" t="s">
        <v>21</v>
      </c>
      <c r="H1559" s="3" t="s">
        <v>22</v>
      </c>
      <c r="I1559" s="3" t="s">
        <v>23</v>
      </c>
      <c r="J1559" s="3" t="s">
        <v>24</v>
      </c>
      <c r="K1559" s="3" t="s">
        <v>25</v>
      </c>
      <c r="L1559" s="3" t="s">
        <v>26</v>
      </c>
    </row>
    <row r="1560" spans="2:24" ht="30" x14ac:dyDescent="0.25">
      <c r="B1560" s="4">
        <v>1527</v>
      </c>
      <c r="C1560" s="4" t="s">
        <v>185</v>
      </c>
      <c r="D1560" s="4" t="s">
        <v>135</v>
      </c>
      <c r="E1560" s="4">
        <v>2123</v>
      </c>
      <c r="F1560" s="4" t="s">
        <v>29</v>
      </c>
      <c r="G1560" s="4" t="s">
        <v>56</v>
      </c>
      <c r="H1560" s="4" t="s">
        <v>139</v>
      </c>
      <c r="I1560" s="4" t="s">
        <v>140</v>
      </c>
      <c r="J1560" s="4">
        <v>320</v>
      </c>
      <c r="L1560" s="4" t="s">
        <v>40</v>
      </c>
      <c r="M1560" s="5"/>
      <c r="O1560" s="5"/>
      <c r="Q1560" s="4">
        <f>B1560</f>
        <v>1527</v>
      </c>
      <c r="R1560" s="4" t="str">
        <f>C1560</f>
        <v>18/10/2026</v>
      </c>
      <c r="S1560" s="4" t="str">
        <f>D1560</f>
        <v>domingo</v>
      </c>
      <c r="T1560" s="4" t="str">
        <f>E1560&amp;"/"&amp;E1561</f>
        <v>2123/2124</v>
      </c>
      <c r="U1560" s="4" t="str">
        <f>F1560&amp;"-"&amp;G1560&amp;"-"&amp;F1560</f>
        <v>LIM-AQP-LIM</v>
      </c>
      <c r="V1560" s="4" t="str">
        <f>IF($M$1560="","",$M$1560)</f>
        <v/>
      </c>
      <c r="W1560" s="4" t="str">
        <f>IF($O$1560="","",$O$1560)</f>
        <v/>
      </c>
      <c r="X1560" s="4">
        <f>J1560</f>
        <v>320</v>
      </c>
    </row>
    <row r="1561" spans="2:24" ht="30" x14ac:dyDescent="0.25">
      <c r="B1561" s="4">
        <v>1527</v>
      </c>
      <c r="C1561" s="4" t="s">
        <v>185</v>
      </c>
      <c r="D1561" s="4" t="s">
        <v>135</v>
      </c>
      <c r="E1561" s="4">
        <v>2124</v>
      </c>
      <c r="F1561" s="4" t="s">
        <v>56</v>
      </c>
      <c r="G1561" s="4" t="s">
        <v>29</v>
      </c>
      <c r="H1561" s="4" t="s">
        <v>141</v>
      </c>
      <c r="I1561" s="4" t="s">
        <v>142</v>
      </c>
      <c r="J1561" s="4">
        <v>320</v>
      </c>
      <c r="K1561" t="str">
        <f>TEXT(TIMEVALUE(H1561)-TIMEVALUE(I1560)+(TIMEVALUE(H1561)&lt;TIMEVALUE(I1560)),"[h]:mm")</f>
        <v>0:45</v>
      </c>
      <c r="L1561" s="4" t="s">
        <v>36</v>
      </c>
      <c r="O1561" t="str">
        <f>"LIM-"&amp;G1560&amp;"-LIM   LA "&amp;E1560&amp;" ("&amp;LEFT(H1560,5)&amp;"-"&amp;LEFT(I1560,5)&amp;" hrs)  /  LA "&amp;E1561&amp;" ("&amp;LEFT(H1561,5)&amp;"-"&amp;LEFT(I1561,5)&amp;" hrs)"</f>
        <v>LIM-AQP-LIM   LA 2123 (09:15-10:45 hrs)  /  LA 2124 (11:30-13:05 hrs)</v>
      </c>
    </row>
    <row r="1562" spans="2:24" ht="30" x14ac:dyDescent="0.25">
      <c r="B1562" s="4">
        <v>1547</v>
      </c>
      <c r="C1562" s="4" t="s">
        <v>185</v>
      </c>
      <c r="D1562" s="4" t="s">
        <v>135</v>
      </c>
      <c r="E1562" s="4">
        <v>2087</v>
      </c>
      <c r="F1562" s="4" t="s">
        <v>29</v>
      </c>
      <c r="G1562" s="4" t="s">
        <v>91</v>
      </c>
      <c r="H1562" s="4" t="s">
        <v>67</v>
      </c>
      <c r="I1562" s="4" t="s">
        <v>76</v>
      </c>
      <c r="J1562" s="4">
        <v>320</v>
      </c>
      <c r="K1562" s="6" t="str">
        <f>TEXT(TIMEVALUE(H1562)-TIMEVALUE(I1561)+(TIMEVALUE(H1562)&lt;TIMEVALUE(I1561)),"[h]:mm")</f>
        <v>1:00</v>
      </c>
      <c r="L1562" s="4" t="s">
        <v>93</v>
      </c>
      <c r="M1562" t="str">
        <f>IF($M$1560="","",$M$1560)</f>
        <v/>
      </c>
      <c r="O1562" t="str">
        <f>IF($O$1560="","",$O$1560)</f>
        <v/>
      </c>
      <c r="Q1562" s="4">
        <f>B1562</f>
        <v>1547</v>
      </c>
      <c r="R1562" s="4" t="str">
        <f>C1562</f>
        <v>18/10/2026</v>
      </c>
      <c r="S1562" s="4" t="str">
        <f>D1562</f>
        <v>domingo</v>
      </c>
      <c r="T1562" s="4" t="str">
        <f>E1562&amp;"/"&amp;E1563</f>
        <v>2087/2088</v>
      </c>
      <c r="U1562" s="4" t="str">
        <f>F1562&amp;"-"&amp;G1562&amp;"-"&amp;F1562</f>
        <v>LIM-TPP-LIM</v>
      </c>
      <c r="V1562" s="4" t="str">
        <f>IF($M$1560="","",$M$1560)</f>
        <v/>
      </c>
      <c r="W1562" s="4" t="str">
        <f>IF($O$1560="","",$O$1560)</f>
        <v/>
      </c>
      <c r="X1562" s="4">
        <f>J1562</f>
        <v>320</v>
      </c>
    </row>
    <row r="1563" spans="2:24" ht="30" x14ac:dyDescent="0.25">
      <c r="B1563" s="4">
        <v>1547</v>
      </c>
      <c r="C1563" s="4" t="s">
        <v>185</v>
      </c>
      <c r="D1563" s="4" t="s">
        <v>135</v>
      </c>
      <c r="E1563" s="4">
        <v>2088</v>
      </c>
      <c r="F1563" s="4" t="s">
        <v>91</v>
      </c>
      <c r="G1563" s="4" t="s">
        <v>29</v>
      </c>
      <c r="H1563" s="4" t="s">
        <v>85</v>
      </c>
      <c r="I1563" s="4" t="s">
        <v>100</v>
      </c>
      <c r="J1563" s="4">
        <v>320</v>
      </c>
      <c r="K1563" t="str">
        <f>TEXT(TIMEVALUE(H1563)-TIMEVALUE(I1562)+(TIMEVALUE(H1563)&lt;TIMEVALUE(I1562)),"[h]:mm")</f>
        <v>0:35</v>
      </c>
      <c r="L1563" s="4" t="s">
        <v>93</v>
      </c>
      <c r="O1563" t="str">
        <f>"LIM-"&amp;G1562&amp;"-LIM   LA "&amp;E1562&amp;" ("&amp;LEFT(H1562,5)&amp;"-"&amp;LEFT(I1562,5)&amp;" hrs)  /  LA "&amp;E1563&amp;" ("&amp;LEFT(H1563,5)&amp;"-"&amp;LEFT(I1563,5)&amp;" hrs)"</f>
        <v>LIM-TPP-LIM   LA 2087 (14:05-15:30 hrs)  /  LA 2088 (16:05-17:30 hrs)</v>
      </c>
    </row>
    <row r="1564" spans="2:24" x14ac:dyDescent="0.25">
      <c r="J1564" s="7" t="s">
        <v>43</v>
      </c>
      <c r="K1564" s="8" t="str">
        <f>TEXT(TIMEVALUE(I1563)-TIMEVALUE(H1560)+(I1563&lt;H1560),"[h]:mm")</f>
        <v>8:15</v>
      </c>
    </row>
    <row r="1566" spans="2:24" ht="30" x14ac:dyDescent="0.25">
      <c r="B1566" s="3" t="s">
        <v>9</v>
      </c>
      <c r="C1566" s="3" t="s">
        <v>17</v>
      </c>
      <c r="D1566" s="3" t="s">
        <v>18</v>
      </c>
      <c r="E1566" s="3" t="s">
        <v>19</v>
      </c>
      <c r="F1566" s="3" t="s">
        <v>20</v>
      </c>
      <c r="G1566" s="3" t="s">
        <v>21</v>
      </c>
      <c r="H1566" s="3" t="s">
        <v>22</v>
      </c>
      <c r="I1566" s="3" t="s">
        <v>23</v>
      </c>
      <c r="J1566" s="3" t="s">
        <v>24</v>
      </c>
      <c r="K1566" s="3" t="s">
        <v>25</v>
      </c>
      <c r="L1566" s="3" t="s">
        <v>26</v>
      </c>
    </row>
    <row r="1567" spans="2:24" ht="30" x14ac:dyDescent="0.25">
      <c r="B1567" s="4">
        <v>1533</v>
      </c>
      <c r="C1567" s="4" t="s">
        <v>185</v>
      </c>
      <c r="D1567" s="4" t="s">
        <v>135</v>
      </c>
      <c r="E1567" s="4">
        <v>2260</v>
      </c>
      <c r="F1567" s="4" t="s">
        <v>29</v>
      </c>
      <c r="G1567" s="4" t="s">
        <v>44</v>
      </c>
      <c r="H1567" s="4" t="s">
        <v>45</v>
      </c>
      <c r="I1567" s="4" t="s">
        <v>46</v>
      </c>
      <c r="J1567" s="4">
        <v>320</v>
      </c>
      <c r="L1567" s="4" t="s">
        <v>47</v>
      </c>
      <c r="M1567" s="5"/>
      <c r="O1567" s="5"/>
      <c r="Q1567" s="4">
        <f>B1567</f>
        <v>1533</v>
      </c>
      <c r="R1567" s="4" t="str">
        <f>C1567</f>
        <v>18/10/2026</v>
      </c>
      <c r="S1567" s="4" t="str">
        <f>D1567</f>
        <v>domingo</v>
      </c>
      <c r="T1567" s="4" t="str">
        <f>E1567&amp;"/"&amp;E1568</f>
        <v>2260/2261</v>
      </c>
      <c r="U1567" s="4" t="str">
        <f>F1567&amp;"-"&amp;G1567&amp;"-"&amp;F1567</f>
        <v>LIM-PEM-LIM</v>
      </c>
      <c r="V1567" s="4" t="str">
        <f>IF($M$1567="","",$M$1567)</f>
        <v/>
      </c>
      <c r="W1567" s="4" t="str">
        <f>IF($O$1567="","",$O$1567)</f>
        <v/>
      </c>
      <c r="X1567" s="4">
        <f>J1567</f>
        <v>320</v>
      </c>
    </row>
    <row r="1568" spans="2:24" ht="30" x14ac:dyDescent="0.25">
      <c r="B1568" s="4">
        <v>1533</v>
      </c>
      <c r="C1568" s="4" t="s">
        <v>185</v>
      </c>
      <c r="D1568" s="4" t="s">
        <v>135</v>
      </c>
      <c r="E1568" s="4">
        <v>2261</v>
      </c>
      <c r="F1568" s="4" t="s">
        <v>44</v>
      </c>
      <c r="G1568" s="4" t="s">
        <v>29</v>
      </c>
      <c r="H1568" s="4" t="s">
        <v>48</v>
      </c>
      <c r="I1568" s="4" t="s">
        <v>49</v>
      </c>
      <c r="J1568" s="4">
        <v>320</v>
      </c>
      <c r="K1568" t="str">
        <f>TEXT(TIMEVALUE(H1568)-TIMEVALUE(I1567)+(TIMEVALUE(H1568)&lt;TIMEVALUE(I1567)),"[h]:mm")</f>
        <v>0:40</v>
      </c>
      <c r="L1568" s="4" t="s">
        <v>36</v>
      </c>
      <c r="O1568" t="str">
        <f>"LIM-"&amp;G1567&amp;"-LIM   LA "&amp;E1567&amp;" ("&amp;LEFT(H1567,5)&amp;"-"&amp;LEFT(I1567,5)&amp;" hrs)  /  LA "&amp;E1568&amp;" ("&amp;LEFT(H1568,5)&amp;"-"&amp;LEFT(I1568,5)&amp;" hrs)"</f>
        <v>LIM-PEM-LIM   LA 2260 (10:20-12:05 hrs)  /  LA 2261 (12:45-14:20 hrs)</v>
      </c>
    </row>
    <row r="1569" spans="2:24" ht="30" x14ac:dyDescent="0.25">
      <c r="B1569" s="4">
        <v>1556</v>
      </c>
      <c r="C1569" s="4" t="s">
        <v>185</v>
      </c>
      <c r="D1569" s="4" t="s">
        <v>135</v>
      </c>
      <c r="E1569" s="4">
        <v>2297</v>
      </c>
      <c r="F1569" s="4" t="s">
        <v>29</v>
      </c>
      <c r="G1569" s="4" t="s">
        <v>50</v>
      </c>
      <c r="H1569" s="4" t="s">
        <v>51</v>
      </c>
      <c r="I1569" s="4" t="s">
        <v>52</v>
      </c>
      <c r="J1569" s="4">
        <v>319</v>
      </c>
      <c r="K1569" s="6" t="str">
        <f>TEXT(TIMEVALUE(H1569)-TIMEVALUE(I1568)+(TIMEVALUE(H1569)&lt;TIMEVALUE(I1568)),"[h]:mm")</f>
        <v>0:55</v>
      </c>
      <c r="L1569" s="4" t="s">
        <v>33</v>
      </c>
      <c r="M1569" t="str">
        <f>IF($M$1567="","",$M$1567)</f>
        <v/>
      </c>
      <c r="O1569" t="str">
        <f>IF($O$1567="","",$O$1567)</f>
        <v/>
      </c>
      <c r="Q1569" s="4">
        <f>B1569</f>
        <v>1556</v>
      </c>
      <c r="R1569" s="4" t="str">
        <f>C1569</f>
        <v>18/10/2026</v>
      </c>
      <c r="S1569" s="4" t="str">
        <f>D1569</f>
        <v>domingo</v>
      </c>
      <c r="T1569" s="4" t="str">
        <f>E1569&amp;"/"&amp;E1570</f>
        <v>2297/2296</v>
      </c>
      <c r="U1569" s="4" t="str">
        <f>F1569&amp;"-"&amp;G1569&amp;"-"&amp;F1569</f>
        <v>LIM-CJA-LIM</v>
      </c>
      <c r="V1569" s="4" t="str">
        <f>IF($M$1567="","",$M$1567)</f>
        <v/>
      </c>
      <c r="W1569" s="4" t="str">
        <f>IF($O$1567="","",$O$1567)</f>
        <v/>
      </c>
      <c r="X1569" s="4">
        <f>J1569</f>
        <v>319</v>
      </c>
    </row>
    <row r="1570" spans="2:24" ht="30" x14ac:dyDescent="0.25">
      <c r="B1570" s="4">
        <v>1556</v>
      </c>
      <c r="C1570" s="4" t="s">
        <v>185</v>
      </c>
      <c r="D1570" s="4" t="s">
        <v>135</v>
      </c>
      <c r="E1570" s="4">
        <v>2296</v>
      </c>
      <c r="F1570" s="4" t="s">
        <v>50</v>
      </c>
      <c r="G1570" s="4" t="s">
        <v>29</v>
      </c>
      <c r="H1570" s="4" t="s">
        <v>53</v>
      </c>
      <c r="I1570" s="4" t="s">
        <v>54</v>
      </c>
      <c r="J1570" s="4">
        <v>319</v>
      </c>
      <c r="K1570" t="str">
        <f>TEXT(TIMEVALUE(H1570)-TIMEVALUE(I1569)+(TIMEVALUE(H1570)&lt;TIMEVALUE(I1569)),"[h]:mm")</f>
        <v>0:45</v>
      </c>
      <c r="L1570" s="4" t="s">
        <v>55</v>
      </c>
      <c r="O1570" t="str">
        <f>"LIM-"&amp;G1569&amp;"-LIM   LA "&amp;E1569&amp;" ("&amp;LEFT(H1569,5)&amp;"-"&amp;LEFT(I1569,5)&amp;" hrs)  /  LA "&amp;E1570&amp;" ("&amp;LEFT(H1570,5)&amp;"-"&amp;LEFT(I1570,5)&amp;" hrs)"</f>
        <v>LIM-CJA-LIM   LA 2297 (15:15-16:35 hrs)  /  LA 2296 (17:20-18:25 hrs)</v>
      </c>
    </row>
    <row r="1571" spans="2:24" x14ac:dyDescent="0.25">
      <c r="J1571" s="7" t="s">
        <v>43</v>
      </c>
      <c r="K1571" s="8" t="str">
        <f>TEXT(TIMEVALUE(I1570)-TIMEVALUE(H1567)+(I1570&lt;H1567),"[h]:mm")</f>
        <v>8:05</v>
      </c>
    </row>
    <row r="1573" spans="2:24" ht="30" x14ac:dyDescent="0.25">
      <c r="B1573" s="3" t="s">
        <v>9</v>
      </c>
      <c r="C1573" s="3" t="s">
        <v>17</v>
      </c>
      <c r="D1573" s="3" t="s">
        <v>18</v>
      </c>
      <c r="E1573" s="3" t="s">
        <v>19</v>
      </c>
      <c r="F1573" s="3" t="s">
        <v>20</v>
      </c>
      <c r="G1573" s="3" t="s">
        <v>21</v>
      </c>
      <c r="H1573" s="3" t="s">
        <v>22</v>
      </c>
      <c r="I1573" s="3" t="s">
        <v>23</v>
      </c>
      <c r="J1573" s="3" t="s">
        <v>24</v>
      </c>
      <c r="K1573" s="3" t="s">
        <v>25</v>
      </c>
      <c r="L1573" s="3" t="s">
        <v>26</v>
      </c>
    </row>
    <row r="1574" spans="2:24" ht="30" x14ac:dyDescent="0.25">
      <c r="B1574" s="4">
        <v>1534</v>
      </c>
      <c r="C1574" s="4" t="s">
        <v>185</v>
      </c>
      <c r="D1574" s="4" t="s">
        <v>135</v>
      </c>
      <c r="E1574" s="4">
        <v>2299</v>
      </c>
      <c r="F1574" s="4" t="s">
        <v>29</v>
      </c>
      <c r="G1574" s="4" t="s">
        <v>50</v>
      </c>
      <c r="H1574" s="4" t="s">
        <v>64</v>
      </c>
      <c r="I1574" s="4" t="s">
        <v>35</v>
      </c>
      <c r="J1574" s="4">
        <v>320</v>
      </c>
      <c r="L1574" s="4" t="s">
        <v>33</v>
      </c>
      <c r="M1574" s="5"/>
      <c r="O1574" s="5"/>
      <c r="Q1574" s="4">
        <f>B1574</f>
        <v>1534</v>
      </c>
      <c r="R1574" s="4" t="str">
        <f>C1574</f>
        <v>18/10/2026</v>
      </c>
      <c r="S1574" s="4" t="str">
        <f>D1574</f>
        <v>domingo</v>
      </c>
      <c r="T1574" s="4" t="str">
        <f>E1574&amp;"/"&amp;E1575</f>
        <v>2299/2298</v>
      </c>
      <c r="U1574" s="4" t="str">
        <f>F1574&amp;"-"&amp;G1574&amp;"-"&amp;F1574</f>
        <v>LIM-CJA-LIM</v>
      </c>
      <c r="V1574" s="4" t="str">
        <f>IF($M$1574="","",$M$1574)</f>
        <v/>
      </c>
      <c r="W1574" s="4" t="str">
        <f>IF($O$1574="","",$O$1574)</f>
        <v/>
      </c>
      <c r="X1574" s="4">
        <f>J1574</f>
        <v>320</v>
      </c>
    </row>
    <row r="1575" spans="2:24" ht="30" x14ac:dyDescent="0.25">
      <c r="B1575" s="4">
        <v>1534</v>
      </c>
      <c r="C1575" s="4" t="s">
        <v>185</v>
      </c>
      <c r="D1575" s="4" t="s">
        <v>135</v>
      </c>
      <c r="E1575" s="4">
        <v>2298</v>
      </c>
      <c r="F1575" s="4" t="s">
        <v>50</v>
      </c>
      <c r="G1575" s="4" t="s">
        <v>29</v>
      </c>
      <c r="H1575" s="4" t="s">
        <v>99</v>
      </c>
      <c r="I1575" s="4" t="s">
        <v>87</v>
      </c>
      <c r="J1575" s="4">
        <v>320</v>
      </c>
      <c r="K1575" t="str">
        <f>TEXT(TIMEVALUE(H1575)-TIMEVALUE(I1574)+(TIMEVALUE(H1575)&lt;TIMEVALUE(I1574)),"[h]:mm")</f>
        <v>0:50</v>
      </c>
      <c r="L1575" s="4" t="s">
        <v>74</v>
      </c>
      <c r="O1575" t="str">
        <f>"LIM-"&amp;G1574&amp;"-LIM   LA "&amp;E1574&amp;" ("&amp;LEFT(H1574,5)&amp;"-"&amp;LEFT(I1574,5)&amp;" hrs)  /  LA "&amp;E1575&amp;" ("&amp;LEFT(H1575,5)&amp;"-"&amp;LEFT(I1575,5)&amp;" hrs)"</f>
        <v>LIM-CJA-LIM   LA 2299 (11:35-12:55 hrs)  /  LA 2298 (13:45-14:55 hrs)</v>
      </c>
    </row>
    <row r="1576" spans="2:24" ht="30" x14ac:dyDescent="0.25">
      <c r="B1576" s="4">
        <v>1563</v>
      </c>
      <c r="C1576" s="4" t="s">
        <v>185</v>
      </c>
      <c r="D1576" s="4" t="s">
        <v>135</v>
      </c>
      <c r="E1576" s="4">
        <v>2127</v>
      </c>
      <c r="F1576" s="4" t="s">
        <v>29</v>
      </c>
      <c r="G1576" s="4" t="s">
        <v>30</v>
      </c>
      <c r="H1576" s="4" t="s">
        <v>83</v>
      </c>
      <c r="I1576" s="4" t="s">
        <v>100</v>
      </c>
      <c r="J1576" s="4">
        <v>320</v>
      </c>
      <c r="K1576" s="6" t="str">
        <f>TEXT(TIMEVALUE(H1576)-TIMEVALUE(I1575)+(TIMEVALUE(H1576)&lt;TIMEVALUE(I1575)),"[h]:mm")</f>
        <v>1:15</v>
      </c>
      <c r="L1576" s="4" t="s">
        <v>33</v>
      </c>
      <c r="M1576" t="str">
        <f>IF($M$1574="","",$M$1574)</f>
        <v/>
      </c>
      <c r="O1576" t="str">
        <f>IF($O$1574="","",$O$1574)</f>
        <v/>
      </c>
      <c r="Q1576" s="4">
        <f>B1576</f>
        <v>1563</v>
      </c>
      <c r="R1576" s="4" t="str">
        <f>C1576</f>
        <v>18/10/2026</v>
      </c>
      <c r="S1576" s="4" t="str">
        <f>D1576</f>
        <v>domingo</v>
      </c>
      <c r="T1576" s="4" t="str">
        <f>E1576&amp;"/"&amp;E1577</f>
        <v>2127/2026</v>
      </c>
      <c r="U1576" s="4" t="str">
        <f>F1576&amp;"-"&amp;G1576&amp;"-"&amp;F1576</f>
        <v>LIM-CUZ-LIM</v>
      </c>
      <c r="V1576" s="4" t="str">
        <f>IF($M$1574="","",$M$1574)</f>
        <v/>
      </c>
      <c r="W1576" s="4" t="str">
        <f>IF($O$1574="","",$O$1574)</f>
        <v/>
      </c>
      <c r="X1576" s="4">
        <f>J1576</f>
        <v>320</v>
      </c>
    </row>
    <row r="1577" spans="2:24" ht="30" x14ac:dyDescent="0.25">
      <c r="B1577" s="4">
        <v>1563</v>
      </c>
      <c r="C1577" s="4" t="s">
        <v>185</v>
      </c>
      <c r="D1577" s="4" t="s">
        <v>135</v>
      </c>
      <c r="E1577" s="4">
        <v>2026</v>
      </c>
      <c r="F1577" s="4" t="s">
        <v>30</v>
      </c>
      <c r="G1577" s="4" t="s">
        <v>29</v>
      </c>
      <c r="H1577" s="4" t="s">
        <v>101</v>
      </c>
      <c r="I1577" s="4" t="s">
        <v>102</v>
      </c>
      <c r="J1577" s="4">
        <v>320</v>
      </c>
      <c r="K1577" t="str">
        <f>TEXT(TIMEVALUE(H1577)-TIMEVALUE(I1576)+(TIMEVALUE(H1577)&lt;TIMEVALUE(I1576)),"[h]:mm")</f>
        <v>0:40</v>
      </c>
      <c r="L1577" s="4" t="s">
        <v>71</v>
      </c>
      <c r="O1577" t="str">
        <f>"LIM-"&amp;G1576&amp;"-LIM   LA "&amp;E1576&amp;" ("&amp;LEFT(H1576,5)&amp;"-"&amp;LEFT(I1576,5)&amp;" hrs)  /  LA "&amp;E1577&amp;" ("&amp;LEFT(H1577,5)&amp;"-"&amp;LEFT(I1577,5)&amp;" hrs)"</f>
        <v>LIM-CUZ-LIM   LA 2127 (16:10-17:30 hrs)  /  LA 2026 (18:10-19:50 hrs)</v>
      </c>
    </row>
    <row r="1578" spans="2:24" x14ac:dyDescent="0.25">
      <c r="J1578" s="7" t="s">
        <v>43</v>
      </c>
      <c r="K1578" s="8" t="str">
        <f>TEXT(TIMEVALUE(I1577)-TIMEVALUE(H1574)+(I1577&lt;H1574),"[h]:mm")</f>
        <v>8:15</v>
      </c>
    </row>
    <row r="1580" spans="2:24" ht="30" x14ac:dyDescent="0.25">
      <c r="B1580" s="3" t="s">
        <v>9</v>
      </c>
      <c r="C1580" s="3" t="s">
        <v>17</v>
      </c>
      <c r="D1580" s="3" t="s">
        <v>18</v>
      </c>
      <c r="E1580" s="3" t="s">
        <v>19</v>
      </c>
      <c r="F1580" s="3" t="s">
        <v>20</v>
      </c>
      <c r="G1580" s="3" t="s">
        <v>21</v>
      </c>
      <c r="H1580" s="3" t="s">
        <v>22</v>
      </c>
      <c r="I1580" s="3" t="s">
        <v>23</v>
      </c>
      <c r="J1580" s="3" t="s">
        <v>24</v>
      </c>
      <c r="K1580" s="3" t="s">
        <v>25</v>
      </c>
      <c r="L1580" s="3" t="s">
        <v>26</v>
      </c>
    </row>
    <row r="1581" spans="2:24" ht="30" x14ac:dyDescent="0.25">
      <c r="B1581" s="4">
        <v>1535</v>
      </c>
      <c r="C1581" s="4" t="s">
        <v>185</v>
      </c>
      <c r="D1581" s="4" t="s">
        <v>135</v>
      </c>
      <c r="E1581" s="4">
        <v>2019</v>
      </c>
      <c r="F1581" s="4" t="s">
        <v>29</v>
      </c>
      <c r="G1581" s="4" t="s">
        <v>63</v>
      </c>
      <c r="H1581" s="4" t="s">
        <v>64</v>
      </c>
      <c r="I1581" s="4" t="s">
        <v>65</v>
      </c>
      <c r="J1581" s="4">
        <v>319</v>
      </c>
      <c r="L1581" s="4" t="s">
        <v>66</v>
      </c>
      <c r="M1581" s="5"/>
      <c r="O1581" s="5"/>
      <c r="Q1581" s="4">
        <f>B1581</f>
        <v>1535</v>
      </c>
      <c r="R1581" s="4" t="str">
        <f>C1581</f>
        <v>18/10/2026</v>
      </c>
      <c r="S1581" s="4" t="str">
        <f>D1581</f>
        <v>domingo</v>
      </c>
      <c r="T1581" s="4" t="str">
        <f>E1581&amp;"/"&amp;E1582</f>
        <v>2019/2038</v>
      </c>
      <c r="U1581" s="4" t="str">
        <f>F1581&amp;"-"&amp;G1581&amp;"-"&amp;F1581</f>
        <v>LIM-IQT-LIM</v>
      </c>
      <c r="V1581" s="4" t="str">
        <f>IF($M$1581="","",$M$1581)</f>
        <v/>
      </c>
      <c r="W1581" s="4" t="str">
        <f>IF($O$1581="","",$O$1581)</f>
        <v/>
      </c>
      <c r="X1581" s="4">
        <f>J1581</f>
        <v>319</v>
      </c>
    </row>
    <row r="1582" spans="2:24" ht="30" x14ac:dyDescent="0.25">
      <c r="B1582" s="4">
        <v>1535</v>
      </c>
      <c r="C1582" s="4" t="s">
        <v>185</v>
      </c>
      <c r="D1582" s="4" t="s">
        <v>135</v>
      </c>
      <c r="E1582" s="4">
        <v>2038</v>
      </c>
      <c r="F1582" s="4" t="s">
        <v>63</v>
      </c>
      <c r="G1582" s="4" t="s">
        <v>29</v>
      </c>
      <c r="H1582" s="4" t="s">
        <v>67</v>
      </c>
      <c r="I1582" s="4" t="s">
        <v>41</v>
      </c>
      <c r="J1582" s="4">
        <v>319</v>
      </c>
      <c r="K1582" t="str">
        <f>TEXT(TIMEVALUE(H1582)-TIMEVALUE(I1581)+(TIMEVALUE(H1582)&lt;TIMEVALUE(I1581)),"[h]:mm")</f>
        <v>0:40</v>
      </c>
      <c r="L1582" s="4" t="s">
        <v>66</v>
      </c>
      <c r="O1582" t="str">
        <f>"LIM-"&amp;G1581&amp;"-LIM   LA "&amp;E1581&amp;" ("&amp;LEFT(H1581,5)&amp;"-"&amp;LEFT(I1581,5)&amp;" hrs)  /  LA "&amp;E1582&amp;" ("&amp;LEFT(H1582,5)&amp;"-"&amp;LEFT(I1582,5)&amp;" hrs)"</f>
        <v>LIM-IQT-LIM   LA 2019 (11:35-13:25 hrs)  /  LA 2038 (14:05-15:55 hrs)</v>
      </c>
    </row>
    <row r="1583" spans="2:24" ht="30" x14ac:dyDescent="0.25">
      <c r="B1583" s="4">
        <v>1564</v>
      </c>
      <c r="C1583" s="4" t="s">
        <v>185</v>
      </c>
      <c r="D1583" s="4" t="s">
        <v>135</v>
      </c>
      <c r="E1583" s="4">
        <v>2115</v>
      </c>
      <c r="F1583" s="4" t="s">
        <v>29</v>
      </c>
      <c r="G1583" s="4" t="s">
        <v>56</v>
      </c>
      <c r="H1583" s="4" t="s">
        <v>42</v>
      </c>
      <c r="I1583" s="4" t="s">
        <v>68</v>
      </c>
      <c r="J1583" s="4">
        <v>320</v>
      </c>
      <c r="K1583" s="6" t="str">
        <f>TEXT(TIMEVALUE(H1583)-TIMEVALUE(I1582)+(TIMEVALUE(H1583)&lt;TIMEVALUE(I1582)),"[h]:mm")</f>
        <v>1:20</v>
      </c>
      <c r="L1583" s="4" t="s">
        <v>40</v>
      </c>
      <c r="M1583" t="str">
        <f>IF($M$1581="","",$M$1581)</f>
        <v/>
      </c>
      <c r="O1583" t="str">
        <f>IF($O$1581="","",$O$1581)</f>
        <v/>
      </c>
      <c r="Q1583" s="4">
        <f>B1583</f>
        <v>1564</v>
      </c>
      <c r="R1583" s="4" t="str">
        <f>C1583</f>
        <v>18/10/2026</v>
      </c>
      <c r="S1583" s="4" t="str">
        <f>D1583</f>
        <v>domingo</v>
      </c>
      <c r="T1583" s="4" t="str">
        <f>E1583&amp;"/"&amp;E1584</f>
        <v>2115/2114</v>
      </c>
      <c r="U1583" s="4" t="str">
        <f>F1583&amp;"-"&amp;G1583&amp;"-"&amp;F1583</f>
        <v>LIM-AQP-LIM</v>
      </c>
      <c r="V1583" s="4" t="str">
        <f>IF($M$1581="","",$M$1581)</f>
        <v/>
      </c>
      <c r="W1583" s="4" t="str">
        <f>IF($O$1581="","",$O$1581)</f>
        <v/>
      </c>
      <c r="X1583" s="4">
        <f>J1583</f>
        <v>320</v>
      </c>
    </row>
    <row r="1584" spans="2:24" ht="30" x14ac:dyDescent="0.25">
      <c r="B1584" s="4">
        <v>1564</v>
      </c>
      <c r="C1584" s="4" t="s">
        <v>185</v>
      </c>
      <c r="D1584" s="4" t="s">
        <v>135</v>
      </c>
      <c r="E1584" s="4">
        <v>2114</v>
      </c>
      <c r="F1584" s="4" t="s">
        <v>56</v>
      </c>
      <c r="G1584" s="4" t="s">
        <v>29</v>
      </c>
      <c r="H1584" s="4" t="s">
        <v>69</v>
      </c>
      <c r="I1584" s="4" t="s">
        <v>70</v>
      </c>
      <c r="J1584" s="4">
        <v>320</v>
      </c>
      <c r="K1584" t="str">
        <f>TEXT(TIMEVALUE(H1584)-TIMEVALUE(I1583)+(TIMEVALUE(H1584)&lt;TIMEVALUE(I1583)),"[h]:mm")</f>
        <v>0:35</v>
      </c>
      <c r="L1584" s="4" t="s">
        <v>71</v>
      </c>
      <c r="O1584" t="str">
        <f>"LIM-"&amp;G1583&amp;"-LIM   LA "&amp;E1583&amp;" ("&amp;LEFT(H1583,5)&amp;"-"&amp;LEFT(I1583,5)&amp;" hrs)  /  LA "&amp;E1584&amp;" ("&amp;LEFT(H1584,5)&amp;"-"&amp;LEFT(I1584,5)&amp;" hrs)"</f>
        <v>LIM-AQP-LIM   LA 2115 (17:15-18:45 hrs)  /  LA 2114 (19:20-21:00 hrs)</v>
      </c>
    </row>
    <row r="1585" spans="2:24" x14ac:dyDescent="0.25">
      <c r="J1585" s="7" t="s">
        <v>43</v>
      </c>
      <c r="K1585" s="8" t="str">
        <f>TEXT(TIMEVALUE(I1584)-TIMEVALUE(H1581)+(I1584&lt;H1581),"[h]:mm")</f>
        <v>9:25</v>
      </c>
    </row>
    <row r="1587" spans="2:24" ht="30" x14ac:dyDescent="0.25">
      <c r="B1587" s="3" t="s">
        <v>9</v>
      </c>
      <c r="C1587" s="3" t="s">
        <v>17</v>
      </c>
      <c r="D1587" s="3" t="s">
        <v>18</v>
      </c>
      <c r="E1587" s="3" t="s">
        <v>19</v>
      </c>
      <c r="F1587" s="3" t="s">
        <v>20</v>
      </c>
      <c r="G1587" s="3" t="s">
        <v>21</v>
      </c>
      <c r="H1587" s="3" t="s">
        <v>22</v>
      </c>
      <c r="I1587" s="3" t="s">
        <v>23</v>
      </c>
      <c r="J1587" s="3" t="s">
        <v>24</v>
      </c>
      <c r="K1587" s="3" t="s">
        <v>25</v>
      </c>
      <c r="L1587" s="3" t="s">
        <v>26</v>
      </c>
    </row>
    <row r="1588" spans="2:24" ht="30" x14ac:dyDescent="0.25">
      <c r="B1588" s="4">
        <v>1548</v>
      </c>
      <c r="C1588" s="4" t="s">
        <v>185</v>
      </c>
      <c r="D1588" s="4" t="s">
        <v>135</v>
      </c>
      <c r="E1588" s="4">
        <v>2295</v>
      </c>
      <c r="F1588" s="4" t="s">
        <v>29</v>
      </c>
      <c r="G1588" s="4" t="s">
        <v>50</v>
      </c>
      <c r="H1588" s="4" t="s">
        <v>110</v>
      </c>
      <c r="I1588" s="4" t="s">
        <v>76</v>
      </c>
      <c r="J1588" s="4">
        <v>320</v>
      </c>
      <c r="L1588" s="4" t="s">
        <v>33</v>
      </c>
      <c r="M1588" s="5"/>
      <c r="O1588" s="5"/>
      <c r="Q1588" s="4">
        <f>B1588</f>
        <v>1548</v>
      </c>
      <c r="R1588" s="4" t="str">
        <f>C1588</f>
        <v>18/10/2026</v>
      </c>
      <c r="S1588" s="4" t="str">
        <f>D1588</f>
        <v>domingo</v>
      </c>
      <c r="T1588" s="4" t="str">
        <f>E1588&amp;"/"&amp;E1589</f>
        <v>2295/2294</v>
      </c>
      <c r="U1588" s="4" t="str">
        <f>F1588&amp;"-"&amp;G1588&amp;"-"&amp;F1588</f>
        <v>LIM-CJA-LIM</v>
      </c>
      <c r="V1588" s="4" t="str">
        <f>IF($M$1588="","",$M$1588)</f>
        <v/>
      </c>
      <c r="W1588" s="4" t="str">
        <f>IF($O$1588="","",$O$1588)</f>
        <v/>
      </c>
      <c r="X1588" s="4">
        <f>J1588</f>
        <v>320</v>
      </c>
    </row>
    <row r="1589" spans="2:24" ht="30" x14ac:dyDescent="0.25">
      <c r="B1589" s="4">
        <v>1548</v>
      </c>
      <c r="C1589" s="4" t="s">
        <v>185</v>
      </c>
      <c r="D1589" s="4" t="s">
        <v>135</v>
      </c>
      <c r="E1589" s="4">
        <v>2294</v>
      </c>
      <c r="F1589" s="4" t="s">
        <v>50</v>
      </c>
      <c r="G1589" s="4" t="s">
        <v>29</v>
      </c>
      <c r="H1589" s="4" t="s">
        <v>83</v>
      </c>
      <c r="I1589" s="4" t="s">
        <v>42</v>
      </c>
      <c r="J1589" s="4">
        <v>320</v>
      </c>
      <c r="K1589" t="str">
        <f>TEXT(TIMEVALUE(H1589)-TIMEVALUE(I1588)+(TIMEVALUE(H1589)&lt;TIMEVALUE(I1588)),"[h]:mm")</f>
        <v>0:40</v>
      </c>
      <c r="L1589" s="4" t="s">
        <v>55</v>
      </c>
      <c r="O1589" t="str">
        <f>"LIM-"&amp;G1588&amp;"-LIM   LA "&amp;E1588&amp;" ("&amp;LEFT(H1588,5)&amp;"-"&amp;LEFT(I1588,5)&amp;" hrs)  /  LA "&amp;E1589&amp;" ("&amp;LEFT(H1589,5)&amp;"-"&amp;LEFT(I1589,5)&amp;" hrs)"</f>
        <v>LIM-CJA-LIM   LA 2295 (14:10-15:30 hrs)  /  LA 2294 (16:10-17:15 hrs)</v>
      </c>
    </row>
    <row r="1590" spans="2:24" ht="30" x14ac:dyDescent="0.25">
      <c r="B1590" s="4">
        <v>1566</v>
      </c>
      <c r="C1590" s="4" t="s">
        <v>185</v>
      </c>
      <c r="D1590" s="4" t="s">
        <v>135</v>
      </c>
      <c r="E1590" s="4">
        <v>2310</v>
      </c>
      <c r="F1590" s="4" t="s">
        <v>29</v>
      </c>
      <c r="G1590" s="4" t="s">
        <v>37</v>
      </c>
      <c r="H1590" s="4" t="s">
        <v>111</v>
      </c>
      <c r="I1590" s="4" t="s">
        <v>112</v>
      </c>
      <c r="J1590" s="4">
        <v>320</v>
      </c>
      <c r="K1590" s="6" t="str">
        <f>TEXT(TIMEVALUE(H1590)-TIMEVALUE(I1589)+(TIMEVALUE(H1590)&lt;TIMEVALUE(I1589)),"[h]:mm")</f>
        <v>1:00</v>
      </c>
      <c r="L1590" s="4" t="s">
        <v>40</v>
      </c>
      <c r="M1590" t="str">
        <f>IF($M$1588="","",$M$1588)</f>
        <v/>
      </c>
      <c r="O1590" t="str">
        <f>IF($O$1588="","",$O$1588)</f>
        <v/>
      </c>
      <c r="Q1590" s="4">
        <f>B1590</f>
        <v>1566</v>
      </c>
      <c r="R1590" s="4" t="str">
        <f>C1590</f>
        <v>18/10/2026</v>
      </c>
      <c r="S1590" s="4" t="str">
        <f>D1590</f>
        <v>domingo</v>
      </c>
      <c r="T1590" s="4" t="str">
        <f>E1590&amp;"/"&amp;E1591</f>
        <v>2310/2311</v>
      </c>
      <c r="U1590" s="4" t="str">
        <f>F1590&amp;"-"&amp;G1590&amp;"-"&amp;F1590</f>
        <v>LIM-CIX-LIM</v>
      </c>
      <c r="V1590" s="4" t="str">
        <f>IF($M$1588="","",$M$1588)</f>
        <v/>
      </c>
      <c r="W1590" s="4" t="str">
        <f>IF($O$1588="","",$O$1588)</f>
        <v/>
      </c>
      <c r="X1590" s="4">
        <f>J1590</f>
        <v>320</v>
      </c>
    </row>
    <row r="1591" spans="2:24" ht="30" x14ac:dyDescent="0.25">
      <c r="B1591" s="4">
        <v>1566</v>
      </c>
      <c r="C1591" s="4" t="s">
        <v>185</v>
      </c>
      <c r="D1591" s="4" t="s">
        <v>135</v>
      </c>
      <c r="E1591" s="4">
        <v>2311</v>
      </c>
      <c r="F1591" s="4" t="s">
        <v>37</v>
      </c>
      <c r="G1591" s="4" t="s">
        <v>29</v>
      </c>
      <c r="H1591" s="4" t="s">
        <v>113</v>
      </c>
      <c r="I1591" s="4" t="s">
        <v>114</v>
      </c>
      <c r="J1591" s="4">
        <v>320</v>
      </c>
      <c r="K1591" t="str">
        <f>TEXT(TIMEVALUE(H1591)-TIMEVALUE(I1590)+(TIMEVALUE(H1591)&lt;TIMEVALUE(I1590)),"[h]:mm")</f>
        <v>0:35</v>
      </c>
      <c r="L1591" s="4" t="s">
        <v>93</v>
      </c>
      <c r="O1591" t="str">
        <f>"LIM-"&amp;G1590&amp;"-LIM   LA "&amp;E1590&amp;" ("&amp;LEFT(H1590,5)&amp;"-"&amp;LEFT(I1590,5)&amp;" hrs)  /  LA "&amp;E1591&amp;" ("&amp;LEFT(H1591,5)&amp;"-"&amp;LEFT(I1591,5)&amp;" hrs)"</f>
        <v>LIM-CIX-LIM   LA 2310 (18:15-19:45 hrs)  /  LA 2311 (20:20-21:45 hrs)</v>
      </c>
    </row>
    <row r="1592" spans="2:24" x14ac:dyDescent="0.25">
      <c r="J1592" s="7" t="s">
        <v>43</v>
      </c>
      <c r="K1592" s="8" t="str">
        <f>TEXT(TIMEVALUE(I1591)-TIMEVALUE(H1588)+(I1591&lt;H1588),"[h]:mm")</f>
        <v>7:35</v>
      </c>
    </row>
    <row r="1594" spans="2:24" ht="30" x14ac:dyDescent="0.25">
      <c r="B1594" s="3" t="s">
        <v>9</v>
      </c>
      <c r="C1594" s="3" t="s">
        <v>17</v>
      </c>
      <c r="D1594" s="3" t="s">
        <v>18</v>
      </c>
      <c r="E1594" s="3" t="s">
        <v>19</v>
      </c>
      <c r="F1594" s="3" t="s">
        <v>20</v>
      </c>
      <c r="G1594" s="3" t="s">
        <v>21</v>
      </c>
      <c r="H1594" s="3" t="s">
        <v>22</v>
      </c>
      <c r="I1594" s="3" t="s">
        <v>23</v>
      </c>
      <c r="J1594" s="3" t="s">
        <v>24</v>
      </c>
      <c r="K1594" s="3" t="s">
        <v>25</v>
      </c>
      <c r="L1594" s="3" t="s">
        <v>26</v>
      </c>
    </row>
    <row r="1595" spans="2:24" ht="30" x14ac:dyDescent="0.25">
      <c r="B1595" s="4">
        <v>1551</v>
      </c>
      <c r="C1595" s="4" t="s">
        <v>185</v>
      </c>
      <c r="D1595" s="4" t="s">
        <v>135</v>
      </c>
      <c r="E1595" s="4">
        <v>2154</v>
      </c>
      <c r="F1595" s="4" t="s">
        <v>29</v>
      </c>
      <c r="G1595" s="4" t="s">
        <v>30</v>
      </c>
      <c r="H1595" s="4" t="s">
        <v>75</v>
      </c>
      <c r="I1595" s="4" t="s">
        <v>85</v>
      </c>
      <c r="J1595" s="4">
        <v>320</v>
      </c>
      <c r="L1595" s="4" t="s">
        <v>33</v>
      </c>
      <c r="M1595" s="5"/>
      <c r="O1595" s="5"/>
      <c r="Q1595" s="4">
        <f>B1595</f>
        <v>1551</v>
      </c>
      <c r="R1595" s="4" t="str">
        <f>C1595</f>
        <v>18/10/2026</v>
      </c>
      <c r="S1595" s="4" t="str">
        <f>D1595</f>
        <v>domingo</v>
      </c>
      <c r="T1595" s="4" t="str">
        <f>E1595&amp;"/"&amp;E1596</f>
        <v>2154/2155</v>
      </c>
      <c r="U1595" s="4" t="str">
        <f>F1595&amp;"-"&amp;G1595&amp;"-"&amp;F1595</f>
        <v>LIM-CUZ-LIM</v>
      </c>
      <c r="V1595" s="4" t="str">
        <f>IF($M$1595="","",$M$1595)</f>
        <v/>
      </c>
      <c r="W1595" s="4" t="str">
        <f>IF($O$1595="","",$O$1595)</f>
        <v/>
      </c>
      <c r="X1595" s="4">
        <f>J1595</f>
        <v>320</v>
      </c>
    </row>
    <row r="1596" spans="2:24" ht="30" x14ac:dyDescent="0.25">
      <c r="B1596" s="4">
        <v>1551</v>
      </c>
      <c r="C1596" s="4" t="s">
        <v>185</v>
      </c>
      <c r="D1596" s="4" t="s">
        <v>135</v>
      </c>
      <c r="E1596" s="4">
        <v>2155</v>
      </c>
      <c r="F1596" s="4" t="s">
        <v>30</v>
      </c>
      <c r="G1596" s="4" t="s">
        <v>29</v>
      </c>
      <c r="H1596" s="4" t="s">
        <v>86</v>
      </c>
      <c r="I1596" s="4" t="s">
        <v>78</v>
      </c>
      <c r="J1596" s="4">
        <v>320</v>
      </c>
      <c r="K1596" t="str">
        <f>TEXT(TIMEVALUE(H1596)-TIMEVALUE(I1595)+(TIMEVALUE(H1596)&lt;TIMEVALUE(I1595)),"[h]:mm")</f>
        <v>0:40</v>
      </c>
      <c r="L1596" s="4" t="s">
        <v>36</v>
      </c>
      <c r="O1596" t="str">
        <f>"LIM-"&amp;G1595&amp;"-LIM   LA "&amp;E1595&amp;" ("&amp;LEFT(H1595,5)&amp;"-"&amp;LEFT(I1595,5)&amp;" hrs)  /  LA "&amp;E1596&amp;" ("&amp;LEFT(H1596,5)&amp;"-"&amp;LEFT(I1596,5)&amp;" hrs)"</f>
        <v>LIM-CUZ-LIM   LA 2154 (14:45-16:05 hrs)  /  LA 2155 (16:45-18:20 hrs)</v>
      </c>
    </row>
    <row r="1597" spans="2:24" x14ac:dyDescent="0.25">
      <c r="J1597" s="7" t="s">
        <v>43</v>
      </c>
      <c r="K1597" s="8" t="str">
        <f>TEXT(TIMEVALUE(I1596)-TIMEVALUE(H1595)+(I1596&lt;H1595),"[h]:mm")</f>
        <v>3:35</v>
      </c>
    </row>
    <row r="1599" spans="2:24" ht="30" x14ac:dyDescent="0.25">
      <c r="B1599" s="3" t="s">
        <v>9</v>
      </c>
      <c r="C1599" s="3" t="s">
        <v>17</v>
      </c>
      <c r="D1599" s="3" t="s">
        <v>18</v>
      </c>
      <c r="E1599" s="3" t="s">
        <v>19</v>
      </c>
      <c r="F1599" s="3" t="s">
        <v>20</v>
      </c>
      <c r="G1599" s="3" t="s">
        <v>21</v>
      </c>
      <c r="H1599" s="3" t="s">
        <v>22</v>
      </c>
      <c r="I1599" s="3" t="s">
        <v>23</v>
      </c>
      <c r="J1599" s="3" t="s">
        <v>24</v>
      </c>
      <c r="K1599" s="3" t="s">
        <v>25</v>
      </c>
      <c r="L1599" s="3" t="s">
        <v>26</v>
      </c>
    </row>
    <row r="1600" spans="2:24" ht="30" x14ac:dyDescent="0.25">
      <c r="B1600" s="4">
        <v>1552</v>
      </c>
      <c r="C1600" s="4" t="s">
        <v>185</v>
      </c>
      <c r="D1600" s="4" t="s">
        <v>135</v>
      </c>
      <c r="E1600" s="4">
        <v>2338</v>
      </c>
      <c r="F1600" s="4" t="s">
        <v>29</v>
      </c>
      <c r="G1600" s="4" t="s">
        <v>125</v>
      </c>
      <c r="H1600" s="4" t="s">
        <v>109</v>
      </c>
      <c r="I1600" s="4" t="s">
        <v>86</v>
      </c>
      <c r="J1600" s="4">
        <v>320</v>
      </c>
      <c r="L1600" s="4" t="s">
        <v>47</v>
      </c>
      <c r="M1600" s="5"/>
      <c r="O1600" s="5"/>
      <c r="Q1600" s="4">
        <f>B1600</f>
        <v>1552</v>
      </c>
      <c r="R1600" s="4" t="str">
        <f>C1600</f>
        <v>18/10/2026</v>
      </c>
      <c r="S1600" s="4" t="str">
        <f>D1600</f>
        <v>domingo</v>
      </c>
      <c r="T1600" s="4" t="str">
        <f>E1600&amp;"/"&amp;E1601</f>
        <v>2338/2339</v>
      </c>
      <c r="U1600" s="4" t="str">
        <f>F1600&amp;"-"&amp;G1600&amp;"-"&amp;F1600</f>
        <v>LIM-PIU-LIM</v>
      </c>
      <c r="V1600" s="4" t="str">
        <f>IF($M$1600="","",$M$1600)</f>
        <v/>
      </c>
      <c r="W1600" s="4" t="str">
        <f>IF($O$1600="","",$O$1600)</f>
        <v/>
      </c>
      <c r="X1600" s="4">
        <f>J1600</f>
        <v>320</v>
      </c>
    </row>
    <row r="1601" spans="2:24" ht="30" x14ac:dyDescent="0.25">
      <c r="B1601" s="4">
        <v>1552</v>
      </c>
      <c r="C1601" s="4" t="s">
        <v>185</v>
      </c>
      <c r="D1601" s="4" t="s">
        <v>135</v>
      </c>
      <c r="E1601" s="4">
        <v>2339</v>
      </c>
      <c r="F1601" s="4" t="s">
        <v>125</v>
      </c>
      <c r="G1601" s="4" t="s">
        <v>29</v>
      </c>
      <c r="H1601" s="4" t="s">
        <v>53</v>
      </c>
      <c r="I1601" s="4" t="s">
        <v>88</v>
      </c>
      <c r="J1601" s="4">
        <v>320</v>
      </c>
      <c r="K1601" t="str">
        <f>TEXT(TIMEVALUE(H1601)-TIMEVALUE(I1600)+(TIMEVALUE(H1601)&lt;TIMEVALUE(I1600)),"[h]:mm")</f>
        <v>0:35</v>
      </c>
      <c r="L1601" s="4" t="s">
        <v>36</v>
      </c>
      <c r="O1601" t="str">
        <f>"LIM-"&amp;G1600&amp;"-LIM   LA "&amp;E1600&amp;" ("&amp;LEFT(H1600,5)&amp;"-"&amp;LEFT(I1600,5)&amp;" hrs)  /  LA "&amp;E1601&amp;" ("&amp;LEFT(H1601,5)&amp;"-"&amp;LEFT(I1601,5)&amp;" hrs)"</f>
        <v>LIM-PIU-LIM   LA 2338 (15:00-16:45 hrs)  /  LA 2339 (17:20-18:55 hrs)</v>
      </c>
    </row>
    <row r="1602" spans="2:24" x14ac:dyDescent="0.25">
      <c r="J1602" s="7" t="s">
        <v>43</v>
      </c>
      <c r="K1602" s="8" t="str">
        <f>TEXT(TIMEVALUE(I1601)-TIMEVALUE(H1600)+(I1601&lt;H1600),"[h]:mm")</f>
        <v>3:55</v>
      </c>
    </row>
    <row r="1604" spans="2:24" ht="30" x14ac:dyDescent="0.25">
      <c r="B1604" s="3" t="s">
        <v>9</v>
      </c>
      <c r="C1604" s="3" t="s">
        <v>17</v>
      </c>
      <c r="D1604" s="3" t="s">
        <v>18</v>
      </c>
      <c r="E1604" s="3" t="s">
        <v>19</v>
      </c>
      <c r="F1604" s="3" t="s">
        <v>20</v>
      </c>
      <c r="G1604" s="3" t="s">
        <v>21</v>
      </c>
      <c r="H1604" s="3" t="s">
        <v>22</v>
      </c>
      <c r="I1604" s="3" t="s">
        <v>23</v>
      </c>
      <c r="J1604" s="3" t="s">
        <v>24</v>
      </c>
      <c r="K1604" s="3" t="s">
        <v>25</v>
      </c>
      <c r="L1604" s="3" t="s">
        <v>26</v>
      </c>
    </row>
    <row r="1605" spans="2:24" ht="30" x14ac:dyDescent="0.25">
      <c r="B1605" s="4">
        <v>1553</v>
      </c>
      <c r="C1605" s="4" t="s">
        <v>185</v>
      </c>
      <c r="D1605" s="4" t="s">
        <v>135</v>
      </c>
      <c r="E1605" s="4">
        <v>2113</v>
      </c>
      <c r="F1605" s="4" t="s">
        <v>29</v>
      </c>
      <c r="G1605" s="4" t="s">
        <v>56</v>
      </c>
      <c r="H1605" s="4" t="s">
        <v>126</v>
      </c>
      <c r="I1605" s="4" t="s">
        <v>52</v>
      </c>
      <c r="J1605" s="4">
        <v>319</v>
      </c>
      <c r="L1605" s="4" t="s">
        <v>40</v>
      </c>
      <c r="M1605" s="5"/>
      <c r="O1605" s="5"/>
      <c r="Q1605" s="4">
        <f>B1605</f>
        <v>1553</v>
      </c>
      <c r="R1605" s="4" t="str">
        <f>C1605</f>
        <v>18/10/2026</v>
      </c>
      <c r="S1605" s="4" t="str">
        <f>D1605</f>
        <v>domingo</v>
      </c>
      <c r="T1605" s="4" t="str">
        <f>E1605&amp;"/"&amp;E1606</f>
        <v>2113/2112</v>
      </c>
      <c r="U1605" s="4" t="str">
        <f>F1605&amp;"-"&amp;G1605&amp;"-"&amp;F1605</f>
        <v>LIM-AQP-LIM</v>
      </c>
      <c r="V1605" s="4" t="str">
        <f>IF($M$1605="","",$M$1605)</f>
        <v/>
      </c>
      <c r="W1605" s="4" t="str">
        <f>IF($O$1605="","",$O$1605)</f>
        <v/>
      </c>
      <c r="X1605" s="4">
        <f>J1605</f>
        <v>319</v>
      </c>
    </row>
    <row r="1606" spans="2:24" ht="30" x14ac:dyDescent="0.25">
      <c r="B1606" s="4">
        <v>1553</v>
      </c>
      <c r="C1606" s="4" t="s">
        <v>185</v>
      </c>
      <c r="D1606" s="4" t="s">
        <v>135</v>
      </c>
      <c r="E1606" s="4">
        <v>2112</v>
      </c>
      <c r="F1606" s="4" t="s">
        <v>56</v>
      </c>
      <c r="G1606" s="4" t="s">
        <v>29</v>
      </c>
      <c r="H1606" s="4" t="s">
        <v>42</v>
      </c>
      <c r="I1606" s="4" t="s">
        <v>88</v>
      </c>
      <c r="J1606" s="4">
        <v>319</v>
      </c>
      <c r="K1606" t="str">
        <f>TEXT(TIMEVALUE(H1606)-TIMEVALUE(I1605)+(TIMEVALUE(H1606)&lt;TIMEVALUE(I1605)),"[h]:mm")</f>
        <v>0:40</v>
      </c>
      <c r="L1606" s="4" t="s">
        <v>71</v>
      </c>
      <c r="O1606" t="str">
        <f>"LIM-"&amp;G1605&amp;"-LIM   LA "&amp;E1605&amp;" ("&amp;LEFT(H1605,5)&amp;"-"&amp;LEFT(I1605,5)&amp;" hrs)  /  LA "&amp;E1606&amp;" ("&amp;LEFT(H1606,5)&amp;"-"&amp;LEFT(I1606,5)&amp;" hrs)"</f>
        <v>LIM-AQP-LIM   LA 2113 (15:05-16:35 hrs)  /  LA 2112 (17:15-18:55 hrs)</v>
      </c>
    </row>
    <row r="1607" spans="2:24" x14ac:dyDescent="0.25">
      <c r="J1607" s="7" t="s">
        <v>43</v>
      </c>
      <c r="K1607" s="8" t="str">
        <f>TEXT(TIMEVALUE(I1606)-TIMEVALUE(H1605)+(I1606&lt;H1605),"[h]:mm")</f>
        <v>3:50</v>
      </c>
    </row>
    <row r="1609" spans="2:24" ht="30" x14ac:dyDescent="0.25">
      <c r="B1609" s="3" t="s">
        <v>9</v>
      </c>
      <c r="C1609" s="3" t="s">
        <v>17</v>
      </c>
      <c r="D1609" s="3" t="s">
        <v>18</v>
      </c>
      <c r="E1609" s="3" t="s">
        <v>19</v>
      </c>
      <c r="F1609" s="3" t="s">
        <v>20</v>
      </c>
      <c r="G1609" s="3" t="s">
        <v>21</v>
      </c>
      <c r="H1609" s="3" t="s">
        <v>22</v>
      </c>
      <c r="I1609" s="3" t="s">
        <v>23</v>
      </c>
      <c r="J1609" s="3" t="s">
        <v>24</v>
      </c>
      <c r="K1609" s="3" t="s">
        <v>25</v>
      </c>
      <c r="L1609" s="3" t="s">
        <v>26</v>
      </c>
    </row>
    <row r="1610" spans="2:24" ht="30" x14ac:dyDescent="0.25">
      <c r="B1610" s="4">
        <v>1557</v>
      </c>
      <c r="C1610" s="4" t="s">
        <v>185</v>
      </c>
      <c r="D1610" s="4" t="s">
        <v>135</v>
      </c>
      <c r="E1610" s="4">
        <v>2360</v>
      </c>
      <c r="F1610" s="4" t="s">
        <v>29</v>
      </c>
      <c r="G1610" s="4" t="s">
        <v>58</v>
      </c>
      <c r="H1610" s="4" t="s">
        <v>59</v>
      </c>
      <c r="I1610" s="4" t="s">
        <v>60</v>
      </c>
      <c r="J1610" s="4">
        <v>320</v>
      </c>
      <c r="L1610" s="4" t="s">
        <v>61</v>
      </c>
      <c r="M1610" s="5"/>
      <c r="O1610" s="5"/>
      <c r="Q1610" s="4">
        <f>B1610</f>
        <v>1557</v>
      </c>
      <c r="R1610" s="4" t="str">
        <f>C1610</f>
        <v>18/10/2026</v>
      </c>
      <c r="S1610" s="4" t="str">
        <f>D1610</f>
        <v>domingo</v>
      </c>
      <c r="T1610" s="4" t="str">
        <f>E1610&amp;"/"&amp;E1611</f>
        <v>2360/2361</v>
      </c>
      <c r="U1610" s="4" t="str">
        <f>F1610&amp;"-"&amp;G1610&amp;"-"&amp;F1610</f>
        <v>LIM-PCL-LIM</v>
      </c>
      <c r="V1610" s="4" t="str">
        <f>IF($M$1610="","",$M$1610)</f>
        <v/>
      </c>
      <c r="W1610" s="4" t="str">
        <f>IF($O$1610="","",$O$1610)</f>
        <v/>
      </c>
      <c r="X1610" s="4">
        <f>J1610</f>
        <v>320</v>
      </c>
    </row>
    <row r="1611" spans="2:24" ht="30" x14ac:dyDescent="0.25">
      <c r="B1611" s="4">
        <v>1557</v>
      </c>
      <c r="C1611" s="4" t="s">
        <v>185</v>
      </c>
      <c r="D1611" s="4" t="s">
        <v>135</v>
      </c>
      <c r="E1611" s="4">
        <v>2361</v>
      </c>
      <c r="F1611" s="4" t="s">
        <v>58</v>
      </c>
      <c r="G1611" s="4" t="s">
        <v>29</v>
      </c>
      <c r="H1611" s="4" t="s">
        <v>53</v>
      </c>
      <c r="I1611" s="4" t="s">
        <v>62</v>
      </c>
      <c r="J1611" s="4">
        <v>320</v>
      </c>
      <c r="K1611" t="str">
        <f>TEXT(TIMEVALUE(H1611)-TIMEVALUE(I1610)+(TIMEVALUE(H1611)&lt;TIMEVALUE(I1610)),"[h]:mm")</f>
        <v>0:40</v>
      </c>
      <c r="L1611" s="4" t="s">
        <v>61</v>
      </c>
      <c r="O1611" t="str">
        <f>"LIM-"&amp;G1610&amp;"-LIM   LA "&amp;E1610&amp;" ("&amp;LEFT(H1610,5)&amp;"-"&amp;LEFT(I1610,5)&amp;" hrs)  /  LA "&amp;E1611&amp;" ("&amp;LEFT(H1611,5)&amp;"-"&amp;LEFT(I1611,5)&amp;" hrs)"</f>
        <v>LIM-PCL-LIM   LA 2360 (15:25-16:40 hrs)  /  LA 2361 (17:20-18:35 hrs)</v>
      </c>
    </row>
    <row r="1612" spans="2:24" x14ac:dyDescent="0.25">
      <c r="J1612" s="7" t="s">
        <v>43</v>
      </c>
      <c r="K1612" s="8" t="str">
        <f>TEXT(TIMEVALUE(I1611)-TIMEVALUE(H1610)+(I1611&lt;H1610),"[h]:mm")</f>
        <v>3:10</v>
      </c>
    </row>
    <row r="1614" spans="2:24" ht="30" x14ac:dyDescent="0.25">
      <c r="B1614" s="3" t="s">
        <v>9</v>
      </c>
      <c r="C1614" s="3" t="s">
        <v>17</v>
      </c>
      <c r="D1614" s="3" t="s">
        <v>18</v>
      </c>
      <c r="E1614" s="3" t="s">
        <v>19</v>
      </c>
      <c r="F1614" s="3" t="s">
        <v>20</v>
      </c>
      <c r="G1614" s="3" t="s">
        <v>21</v>
      </c>
      <c r="H1614" s="3" t="s">
        <v>22</v>
      </c>
      <c r="I1614" s="3" t="s">
        <v>23</v>
      </c>
      <c r="J1614" s="3" t="s">
        <v>24</v>
      </c>
      <c r="K1614" s="3" t="s">
        <v>25</v>
      </c>
      <c r="L1614" s="3" t="s">
        <v>26</v>
      </c>
    </row>
    <row r="1615" spans="2:24" ht="30" x14ac:dyDescent="0.25">
      <c r="B1615" s="4">
        <v>1558</v>
      </c>
      <c r="C1615" s="4" t="s">
        <v>185</v>
      </c>
      <c r="D1615" s="4" t="s">
        <v>135</v>
      </c>
      <c r="E1615" s="4">
        <v>2360</v>
      </c>
      <c r="F1615" s="4" t="s">
        <v>29</v>
      </c>
      <c r="G1615" s="4" t="s">
        <v>58</v>
      </c>
      <c r="H1615" s="4" t="s">
        <v>59</v>
      </c>
      <c r="I1615" s="4" t="s">
        <v>60</v>
      </c>
      <c r="J1615" s="4">
        <v>320</v>
      </c>
      <c r="L1615" s="4" t="s">
        <v>61</v>
      </c>
      <c r="M1615" s="5"/>
      <c r="O1615" s="5"/>
      <c r="Q1615" s="4">
        <f>B1615</f>
        <v>1558</v>
      </c>
      <c r="R1615" s="4" t="str">
        <f>C1615</f>
        <v>18/10/2026</v>
      </c>
      <c r="S1615" s="4" t="str">
        <f>D1615</f>
        <v>domingo</v>
      </c>
      <c r="T1615" s="4" t="str">
        <f>E1615&amp;"/"&amp;E1616</f>
        <v>2360/2361</v>
      </c>
      <c r="U1615" s="4" t="str">
        <f>F1615&amp;"-"&amp;G1615&amp;"-"&amp;F1615</f>
        <v>LIM-PCL-LIM</v>
      </c>
      <c r="V1615" s="4" t="str">
        <f>IF($M$1615="","",$M$1615)</f>
        <v/>
      </c>
      <c r="W1615" s="4" t="str">
        <f>IF($O$1615="","",$O$1615)</f>
        <v/>
      </c>
      <c r="X1615" s="4">
        <f>J1615</f>
        <v>320</v>
      </c>
    </row>
    <row r="1616" spans="2:24" ht="30" x14ac:dyDescent="0.25">
      <c r="B1616" s="4">
        <v>1558</v>
      </c>
      <c r="C1616" s="4" t="s">
        <v>185</v>
      </c>
      <c r="D1616" s="4" t="s">
        <v>135</v>
      </c>
      <c r="E1616" s="4">
        <v>2361</v>
      </c>
      <c r="F1616" s="4" t="s">
        <v>58</v>
      </c>
      <c r="G1616" s="4" t="s">
        <v>29</v>
      </c>
      <c r="H1616" s="4" t="s">
        <v>53</v>
      </c>
      <c r="I1616" s="4" t="s">
        <v>62</v>
      </c>
      <c r="J1616" s="4">
        <v>320</v>
      </c>
      <c r="K1616" t="str">
        <f>TEXT(TIMEVALUE(H1616)-TIMEVALUE(I1615)+(TIMEVALUE(H1616)&lt;TIMEVALUE(I1615)),"[h]:mm")</f>
        <v>0:40</v>
      </c>
      <c r="L1616" s="4" t="s">
        <v>61</v>
      </c>
      <c r="O1616" t="str">
        <f>"LIM-"&amp;G1615&amp;"-LIM   LA "&amp;E1615&amp;" ("&amp;LEFT(H1615,5)&amp;"-"&amp;LEFT(I1615,5)&amp;" hrs)  /  LA "&amp;E1616&amp;" ("&amp;LEFT(H1616,5)&amp;"-"&amp;LEFT(I1616,5)&amp;" hrs)"</f>
        <v>LIM-PCL-LIM   LA 2360 (15:25-16:40 hrs)  /  LA 2361 (17:20-18:35 hrs)</v>
      </c>
    </row>
    <row r="1617" spans="2:24" x14ac:dyDescent="0.25">
      <c r="J1617" s="7" t="s">
        <v>43</v>
      </c>
      <c r="K1617" s="8" t="str">
        <f>TEXT(TIMEVALUE(I1616)-TIMEVALUE(H1615)+(I1616&lt;H1615),"[h]:mm")</f>
        <v>3:10</v>
      </c>
    </row>
    <row r="1619" spans="2:24" ht="30" x14ac:dyDescent="0.25">
      <c r="B1619" s="3" t="s">
        <v>9</v>
      </c>
      <c r="C1619" s="3" t="s">
        <v>17</v>
      </c>
      <c r="D1619" s="3" t="s">
        <v>18</v>
      </c>
      <c r="E1619" s="3" t="s">
        <v>19</v>
      </c>
      <c r="F1619" s="3" t="s">
        <v>20</v>
      </c>
      <c r="G1619" s="3" t="s">
        <v>21</v>
      </c>
      <c r="H1619" s="3" t="s">
        <v>22</v>
      </c>
      <c r="I1619" s="3" t="s">
        <v>23</v>
      </c>
      <c r="J1619" s="3" t="s">
        <v>24</v>
      </c>
      <c r="K1619" s="3" t="s">
        <v>25</v>
      </c>
      <c r="L1619" s="3" t="s">
        <v>26</v>
      </c>
    </row>
    <row r="1620" spans="2:24" ht="30" x14ac:dyDescent="0.25">
      <c r="B1620" s="4">
        <v>1559</v>
      </c>
      <c r="C1620" s="4" t="s">
        <v>185</v>
      </c>
      <c r="D1620" s="4" t="s">
        <v>135</v>
      </c>
      <c r="E1620" s="4">
        <v>2312</v>
      </c>
      <c r="F1620" s="4" t="s">
        <v>29</v>
      </c>
      <c r="G1620" s="4" t="s">
        <v>37</v>
      </c>
      <c r="H1620" s="4" t="s">
        <v>89</v>
      </c>
      <c r="I1620" s="4" t="s">
        <v>77</v>
      </c>
      <c r="J1620" s="4">
        <v>320</v>
      </c>
      <c r="L1620" s="4" t="s">
        <v>40</v>
      </c>
      <c r="M1620" s="5"/>
      <c r="O1620" s="5"/>
      <c r="Q1620" s="4">
        <f>B1620</f>
        <v>1559</v>
      </c>
      <c r="R1620" s="4" t="str">
        <f>C1620</f>
        <v>18/10/2026</v>
      </c>
      <c r="S1620" s="4" t="str">
        <f>D1620</f>
        <v>domingo</v>
      </c>
      <c r="T1620" s="4" t="str">
        <f>E1620&amp;"/"&amp;E1621</f>
        <v>2312/2313</v>
      </c>
      <c r="U1620" s="4" t="str">
        <f>F1620&amp;"-"&amp;G1620&amp;"-"&amp;F1620</f>
        <v>LIM-CIX-LIM</v>
      </c>
      <c r="V1620" s="4" t="str">
        <f>IF($M$1620="","",$M$1620)</f>
        <v/>
      </c>
      <c r="W1620" s="4" t="str">
        <f>IF($O$1620="","",$O$1620)</f>
        <v/>
      </c>
      <c r="X1620" s="4">
        <f>J1620</f>
        <v>320</v>
      </c>
    </row>
    <row r="1621" spans="2:24" ht="30" x14ac:dyDescent="0.25">
      <c r="B1621" s="4">
        <v>1559</v>
      </c>
      <c r="C1621" s="4" t="s">
        <v>185</v>
      </c>
      <c r="D1621" s="4" t="s">
        <v>135</v>
      </c>
      <c r="E1621" s="4">
        <v>2313</v>
      </c>
      <c r="F1621" s="4" t="s">
        <v>37</v>
      </c>
      <c r="G1621" s="4" t="s">
        <v>29</v>
      </c>
      <c r="H1621" s="4" t="s">
        <v>84</v>
      </c>
      <c r="I1621" s="4" t="s">
        <v>90</v>
      </c>
      <c r="J1621" s="4">
        <v>320</v>
      </c>
      <c r="K1621" t="str">
        <f>TEXT(TIMEVALUE(H1621)-TIMEVALUE(I1620)+(TIMEVALUE(H1621)&lt;TIMEVALUE(I1620)),"[h]:mm")</f>
        <v>0:45</v>
      </c>
      <c r="L1621" s="4" t="s">
        <v>33</v>
      </c>
      <c r="O1621" t="str">
        <f>"LIM-"&amp;G1620&amp;"-LIM   LA "&amp;E1620&amp;" ("&amp;LEFT(H1620,5)&amp;"-"&amp;LEFT(I1620,5)&amp;" hrs)  /  LA "&amp;E1621&amp;" ("&amp;LEFT(H1621,5)&amp;"-"&amp;LEFT(I1621,5)&amp;" hrs)"</f>
        <v>LIM-CIX-LIM   LA 2312 (15:35-17:05 hrs)  /  LA 2313 (17:50-19:10 hrs)</v>
      </c>
    </row>
    <row r="1622" spans="2:24" x14ac:dyDescent="0.25">
      <c r="J1622" s="7" t="s">
        <v>43</v>
      </c>
      <c r="K1622" s="8" t="str">
        <f>TEXT(TIMEVALUE(I1621)-TIMEVALUE(H1620)+(I1621&lt;H1620),"[h]:mm")</f>
        <v>3:35</v>
      </c>
    </row>
    <row r="1624" spans="2:24" ht="30" x14ac:dyDescent="0.25">
      <c r="B1624" s="3" t="s">
        <v>9</v>
      </c>
      <c r="C1624" s="3" t="s">
        <v>17</v>
      </c>
      <c r="D1624" s="3" t="s">
        <v>18</v>
      </c>
      <c r="E1624" s="3" t="s">
        <v>19</v>
      </c>
      <c r="F1624" s="3" t="s">
        <v>20</v>
      </c>
      <c r="G1624" s="3" t="s">
        <v>21</v>
      </c>
      <c r="H1624" s="3" t="s">
        <v>22</v>
      </c>
      <c r="I1624" s="3" t="s">
        <v>23</v>
      </c>
      <c r="J1624" s="3" t="s">
        <v>24</v>
      </c>
      <c r="K1624" s="3" t="s">
        <v>25</v>
      </c>
      <c r="L1624" s="3" t="s">
        <v>26</v>
      </c>
    </row>
    <row r="1625" spans="2:24" ht="30" x14ac:dyDescent="0.25">
      <c r="B1625" s="4">
        <v>1560</v>
      </c>
      <c r="C1625" s="4" t="s">
        <v>185</v>
      </c>
      <c r="D1625" s="4" t="s">
        <v>135</v>
      </c>
      <c r="E1625" s="4">
        <v>2312</v>
      </c>
      <c r="F1625" s="4" t="s">
        <v>29</v>
      </c>
      <c r="G1625" s="4" t="s">
        <v>37</v>
      </c>
      <c r="H1625" s="4" t="s">
        <v>89</v>
      </c>
      <c r="I1625" s="4" t="s">
        <v>77</v>
      </c>
      <c r="J1625" s="4">
        <v>320</v>
      </c>
      <c r="L1625" s="4" t="s">
        <v>40</v>
      </c>
      <c r="M1625" s="5"/>
      <c r="O1625" s="5"/>
      <c r="Q1625" s="4">
        <f>B1625</f>
        <v>1560</v>
      </c>
      <c r="R1625" s="4" t="str">
        <f>C1625</f>
        <v>18/10/2026</v>
      </c>
      <c r="S1625" s="4" t="str">
        <f>D1625</f>
        <v>domingo</v>
      </c>
      <c r="T1625" s="4" t="str">
        <f>E1625&amp;"/"&amp;E1626</f>
        <v>2312/2313</v>
      </c>
      <c r="U1625" s="4" t="str">
        <f>F1625&amp;"-"&amp;G1625&amp;"-"&amp;F1625</f>
        <v>LIM-CIX-LIM</v>
      </c>
      <c r="V1625" s="4" t="str">
        <f>IF($M$1625="","",$M$1625)</f>
        <v/>
      </c>
      <c r="W1625" s="4" t="str">
        <f>IF($O$1625="","",$O$1625)</f>
        <v/>
      </c>
      <c r="X1625" s="4">
        <f>J1625</f>
        <v>320</v>
      </c>
    </row>
    <row r="1626" spans="2:24" ht="30" x14ac:dyDescent="0.25">
      <c r="B1626" s="4">
        <v>1560</v>
      </c>
      <c r="C1626" s="4" t="s">
        <v>185</v>
      </c>
      <c r="D1626" s="4" t="s">
        <v>135</v>
      </c>
      <c r="E1626" s="4">
        <v>2313</v>
      </c>
      <c r="F1626" s="4" t="s">
        <v>37</v>
      </c>
      <c r="G1626" s="4" t="s">
        <v>29</v>
      </c>
      <c r="H1626" s="4" t="s">
        <v>84</v>
      </c>
      <c r="I1626" s="4" t="s">
        <v>90</v>
      </c>
      <c r="J1626" s="4">
        <v>320</v>
      </c>
      <c r="K1626" t="str">
        <f>TEXT(TIMEVALUE(H1626)-TIMEVALUE(I1625)+(TIMEVALUE(H1626)&lt;TIMEVALUE(I1625)),"[h]:mm")</f>
        <v>0:45</v>
      </c>
      <c r="L1626" s="4" t="s">
        <v>33</v>
      </c>
      <c r="O1626" t="str">
        <f>"LIM-"&amp;G1625&amp;"-LIM   LA "&amp;E1625&amp;" ("&amp;LEFT(H1625,5)&amp;"-"&amp;LEFT(I1625,5)&amp;" hrs)  /  LA "&amp;E1626&amp;" ("&amp;LEFT(H1626,5)&amp;"-"&amp;LEFT(I1626,5)&amp;" hrs)"</f>
        <v>LIM-CIX-LIM   LA 2312 (15:35-17:05 hrs)  /  LA 2313 (17:50-19:10 hrs)</v>
      </c>
    </row>
    <row r="1627" spans="2:24" x14ac:dyDescent="0.25">
      <c r="J1627" s="7" t="s">
        <v>43</v>
      </c>
      <c r="K1627" s="8" t="str">
        <f>TEXT(TIMEVALUE(I1626)-TIMEVALUE(H1625)+(I1626&lt;H1625),"[h]:mm")</f>
        <v>3:35</v>
      </c>
    </row>
    <row r="1629" spans="2:24" ht="30" x14ac:dyDescent="0.25">
      <c r="B1629" s="3" t="s">
        <v>9</v>
      </c>
      <c r="C1629" s="3" t="s">
        <v>17</v>
      </c>
      <c r="D1629" s="3" t="s">
        <v>18</v>
      </c>
      <c r="E1629" s="3" t="s">
        <v>19</v>
      </c>
      <c r="F1629" s="3" t="s">
        <v>20</v>
      </c>
      <c r="G1629" s="3" t="s">
        <v>21</v>
      </c>
      <c r="H1629" s="3" t="s">
        <v>22</v>
      </c>
      <c r="I1629" s="3" t="s">
        <v>23</v>
      </c>
      <c r="J1629" s="3" t="s">
        <v>24</v>
      </c>
      <c r="K1629" s="3" t="s">
        <v>25</v>
      </c>
      <c r="L1629" s="3" t="s">
        <v>26</v>
      </c>
    </row>
    <row r="1630" spans="2:24" ht="30" x14ac:dyDescent="0.25">
      <c r="B1630" s="4">
        <v>1561</v>
      </c>
      <c r="C1630" s="4" t="s">
        <v>185</v>
      </c>
      <c r="D1630" s="4" t="s">
        <v>135</v>
      </c>
      <c r="E1630" s="4">
        <v>2301</v>
      </c>
      <c r="F1630" s="4" t="s">
        <v>29</v>
      </c>
      <c r="G1630" s="4" t="s">
        <v>91</v>
      </c>
      <c r="H1630" s="4" t="s">
        <v>92</v>
      </c>
      <c r="I1630" s="4" t="s">
        <v>77</v>
      </c>
      <c r="J1630" s="4">
        <v>320</v>
      </c>
      <c r="L1630" s="4" t="s">
        <v>93</v>
      </c>
      <c r="M1630" s="5"/>
      <c r="O1630" s="5"/>
      <c r="Q1630" s="4">
        <f>B1630</f>
        <v>1561</v>
      </c>
      <c r="R1630" s="4" t="str">
        <f>C1630</f>
        <v>18/10/2026</v>
      </c>
      <c r="S1630" s="4" t="str">
        <f>D1630</f>
        <v>domingo</v>
      </c>
      <c r="T1630" s="4" t="str">
        <f>E1630&amp;"/"&amp;E1631</f>
        <v>2301/2300</v>
      </c>
      <c r="U1630" s="4" t="str">
        <f>F1630&amp;"-"&amp;G1630&amp;"-"&amp;F1630</f>
        <v>LIM-TPP-LIM</v>
      </c>
      <c r="V1630" s="4" t="str">
        <f>IF($M$1630="","",$M$1630)</f>
        <v/>
      </c>
      <c r="W1630" s="4" t="str">
        <f>IF($O$1630="","",$O$1630)</f>
        <v/>
      </c>
      <c r="X1630" s="4">
        <f>J1630</f>
        <v>320</v>
      </c>
    </row>
    <row r="1631" spans="2:24" ht="30" x14ac:dyDescent="0.25">
      <c r="B1631" s="4">
        <v>1561</v>
      </c>
      <c r="C1631" s="4" t="s">
        <v>185</v>
      </c>
      <c r="D1631" s="4" t="s">
        <v>135</v>
      </c>
      <c r="E1631" s="4">
        <v>2300</v>
      </c>
      <c r="F1631" s="4" t="s">
        <v>91</v>
      </c>
      <c r="G1631" s="4" t="s">
        <v>29</v>
      </c>
      <c r="H1631" s="4" t="s">
        <v>84</v>
      </c>
      <c r="I1631" s="4" t="s">
        <v>94</v>
      </c>
      <c r="J1631" s="4">
        <v>320</v>
      </c>
      <c r="K1631" t="str">
        <f>TEXT(TIMEVALUE(H1631)-TIMEVALUE(I1630)+(TIMEVALUE(H1631)&lt;TIMEVALUE(I1630)),"[h]:mm")</f>
        <v>0:45</v>
      </c>
      <c r="L1631" s="4" t="s">
        <v>93</v>
      </c>
      <c r="O1631" t="str">
        <f>"LIM-"&amp;G1630&amp;"-LIM   LA "&amp;E1630&amp;" ("&amp;LEFT(H1630,5)&amp;"-"&amp;LEFT(I1630,5)&amp;" hrs)  /  LA "&amp;E1631&amp;" ("&amp;LEFT(H1631,5)&amp;"-"&amp;LEFT(I1631,5)&amp;" hrs)"</f>
        <v>LIM-TPP-LIM   LA 2301 (15:40-17:05 hrs)  /  LA 2300 (17:50-19:15 hrs)</v>
      </c>
    </row>
    <row r="1632" spans="2:24" x14ac:dyDescent="0.25">
      <c r="J1632" s="7" t="s">
        <v>43</v>
      </c>
      <c r="K1632" s="8" t="str">
        <f>TEXT(TIMEVALUE(I1631)-TIMEVALUE(H1630)+(I1631&lt;H1630),"[h]:mm")</f>
        <v>3:35</v>
      </c>
    </row>
    <row r="1634" spans="2:24" ht="30" x14ac:dyDescent="0.25">
      <c r="B1634" s="3" t="s">
        <v>9</v>
      </c>
      <c r="C1634" s="3" t="s">
        <v>17</v>
      </c>
      <c r="D1634" s="3" t="s">
        <v>18</v>
      </c>
      <c r="E1634" s="3" t="s">
        <v>19</v>
      </c>
      <c r="F1634" s="3" t="s">
        <v>20</v>
      </c>
      <c r="G1634" s="3" t="s">
        <v>21</v>
      </c>
      <c r="H1634" s="3" t="s">
        <v>22</v>
      </c>
      <c r="I1634" s="3" t="s">
        <v>23</v>
      </c>
      <c r="J1634" s="3" t="s">
        <v>24</v>
      </c>
      <c r="K1634" s="3" t="s">
        <v>25</v>
      </c>
      <c r="L1634" s="3" t="s">
        <v>26</v>
      </c>
    </row>
    <row r="1635" spans="2:24" ht="30" x14ac:dyDescent="0.25">
      <c r="B1635" s="4">
        <v>1565</v>
      </c>
      <c r="C1635" s="4" t="s">
        <v>185</v>
      </c>
      <c r="D1635" s="4" t="s">
        <v>135</v>
      </c>
      <c r="E1635" s="4">
        <v>2213</v>
      </c>
      <c r="F1635" s="4" t="s">
        <v>29</v>
      </c>
      <c r="G1635" s="4" t="s">
        <v>37</v>
      </c>
      <c r="H1635" s="4" t="s">
        <v>53</v>
      </c>
      <c r="I1635" s="4" t="s">
        <v>127</v>
      </c>
      <c r="J1635" s="4">
        <v>320</v>
      </c>
      <c r="L1635" s="4" t="s">
        <v>40</v>
      </c>
      <c r="M1635" s="5"/>
      <c r="O1635" s="5"/>
      <c r="Q1635" s="4">
        <f>B1635</f>
        <v>1565</v>
      </c>
      <c r="R1635" s="4" t="str">
        <f>C1635</f>
        <v>18/10/2026</v>
      </c>
      <c r="S1635" s="4" t="str">
        <f>D1635</f>
        <v>domingo</v>
      </c>
      <c r="T1635" s="4" t="str">
        <f>E1635&amp;"/"&amp;E1636</f>
        <v>2213/2214</v>
      </c>
      <c r="U1635" s="4" t="str">
        <f>F1635&amp;"-"&amp;G1635&amp;"-"&amp;F1635</f>
        <v>LIM-CIX-LIM</v>
      </c>
      <c r="V1635" s="4" t="str">
        <f>IF($M$1635="","",$M$1635)</f>
        <v/>
      </c>
      <c r="W1635" s="4" t="str">
        <f>IF($O$1635="","",$O$1635)</f>
        <v/>
      </c>
      <c r="X1635" s="4">
        <f>J1635</f>
        <v>320</v>
      </c>
    </row>
    <row r="1636" spans="2:24" ht="30" x14ac:dyDescent="0.25">
      <c r="B1636" s="4">
        <v>1565</v>
      </c>
      <c r="C1636" s="4" t="s">
        <v>185</v>
      </c>
      <c r="D1636" s="4" t="s">
        <v>135</v>
      </c>
      <c r="E1636" s="4">
        <v>2214</v>
      </c>
      <c r="F1636" s="4" t="s">
        <v>37</v>
      </c>
      <c r="G1636" s="4" t="s">
        <v>29</v>
      </c>
      <c r="H1636" s="4" t="s">
        <v>128</v>
      </c>
      <c r="I1636" s="4" t="s">
        <v>129</v>
      </c>
      <c r="J1636" s="4">
        <v>320</v>
      </c>
      <c r="K1636" t="str">
        <f>TEXT(TIMEVALUE(H1636)-TIMEVALUE(I1635)+(TIMEVALUE(H1636)&lt;TIMEVALUE(I1635)),"[h]:mm")</f>
        <v>0:35</v>
      </c>
      <c r="L1636" s="4" t="s">
        <v>61</v>
      </c>
      <c r="O1636" t="str">
        <f>"LIM-"&amp;G1635&amp;"-LIM   LA "&amp;E1635&amp;" ("&amp;LEFT(H1635,5)&amp;"-"&amp;LEFT(I1635,5)&amp;" hrs)  /  LA "&amp;E1636&amp;" ("&amp;LEFT(H1636,5)&amp;"-"&amp;LEFT(I1636,5)&amp;" hrs)"</f>
        <v>LIM-CIX-LIM   LA 2213 (17:20-18:50 hrs)  /  LA 2214 (19:25-20:40 hrs)</v>
      </c>
    </row>
    <row r="1637" spans="2:24" x14ac:dyDescent="0.25">
      <c r="J1637" s="7" t="s">
        <v>43</v>
      </c>
      <c r="K1637" s="8" t="str">
        <f>TEXT(TIMEVALUE(I1636)-TIMEVALUE(H1635)+(I1636&lt;H1635),"[h]:mm")</f>
        <v>3:20</v>
      </c>
    </row>
    <row r="1639" spans="2:24" ht="30" x14ac:dyDescent="0.25">
      <c r="B1639" s="3" t="s">
        <v>9</v>
      </c>
      <c r="C1639" s="3" t="s">
        <v>17</v>
      </c>
      <c r="D1639" s="3" t="s">
        <v>18</v>
      </c>
      <c r="E1639" s="3" t="s">
        <v>19</v>
      </c>
      <c r="F1639" s="3" t="s">
        <v>20</v>
      </c>
      <c r="G1639" s="3" t="s">
        <v>21</v>
      </c>
      <c r="H1639" s="3" t="s">
        <v>22</v>
      </c>
      <c r="I1639" s="3" t="s">
        <v>23</v>
      </c>
      <c r="J1639" s="3" t="s">
        <v>24</v>
      </c>
      <c r="K1639" s="3" t="s">
        <v>25</v>
      </c>
      <c r="L1639" s="3" t="s">
        <v>26</v>
      </c>
    </row>
    <row r="1640" spans="2:24" ht="30" x14ac:dyDescent="0.25">
      <c r="B1640" s="4">
        <v>1568</v>
      </c>
      <c r="C1640" s="4" t="s">
        <v>185</v>
      </c>
      <c r="D1640" s="4" t="s">
        <v>135</v>
      </c>
      <c r="E1640" s="4">
        <v>2091</v>
      </c>
      <c r="F1640" s="4" t="s">
        <v>29</v>
      </c>
      <c r="G1640" s="4" t="s">
        <v>91</v>
      </c>
      <c r="H1640" s="4" t="s">
        <v>62</v>
      </c>
      <c r="I1640" s="4" t="s">
        <v>176</v>
      </c>
      <c r="J1640" s="4">
        <v>320</v>
      </c>
      <c r="L1640" s="4" t="s">
        <v>93</v>
      </c>
      <c r="M1640" s="5"/>
      <c r="O1640" s="5"/>
      <c r="Q1640" s="4">
        <f>B1640</f>
        <v>1568</v>
      </c>
      <c r="R1640" s="4" t="str">
        <f>C1640</f>
        <v>18/10/2026</v>
      </c>
      <c r="S1640" s="4" t="str">
        <f>D1640</f>
        <v>domingo</v>
      </c>
      <c r="T1640" s="4" t="str">
        <f>E1640&amp;"/"&amp;E1641</f>
        <v>2091/2092</v>
      </c>
      <c r="U1640" s="4" t="str">
        <f>F1640&amp;"-"&amp;G1640&amp;"-"&amp;F1640</f>
        <v>LIM-TPP-LIM</v>
      </c>
      <c r="V1640" s="4" t="str">
        <f>IF($M$1640="","",$M$1640)</f>
        <v/>
      </c>
      <c r="W1640" s="4" t="str">
        <f>IF($O$1640="","",$O$1640)</f>
        <v/>
      </c>
      <c r="X1640" s="4">
        <f>J1640</f>
        <v>320</v>
      </c>
    </row>
    <row r="1641" spans="2:24" ht="30" x14ac:dyDescent="0.25">
      <c r="B1641" s="4">
        <v>1568</v>
      </c>
      <c r="C1641" s="4" t="s">
        <v>185</v>
      </c>
      <c r="D1641" s="4" t="s">
        <v>135</v>
      </c>
      <c r="E1641" s="4">
        <v>2092</v>
      </c>
      <c r="F1641" s="4" t="s">
        <v>91</v>
      </c>
      <c r="G1641" s="4" t="s">
        <v>29</v>
      </c>
      <c r="H1641" s="4" t="s">
        <v>129</v>
      </c>
      <c r="I1641" s="4" t="s">
        <v>173</v>
      </c>
      <c r="J1641" s="4">
        <v>320</v>
      </c>
      <c r="K1641" t="str">
        <f>TEXT(TIMEVALUE(H1641)-TIMEVALUE(I1640)+(TIMEVALUE(H1641)&lt;TIMEVALUE(I1640)),"[h]:mm")</f>
        <v>0:40</v>
      </c>
      <c r="L1641" s="4" t="s">
        <v>40</v>
      </c>
      <c r="O1641" t="str">
        <f>"LIM-"&amp;G1640&amp;"-LIM   LA "&amp;E1640&amp;" ("&amp;LEFT(H1640,5)&amp;"-"&amp;LEFT(I1640,5)&amp;" hrs)  /  LA "&amp;E1641&amp;" ("&amp;LEFT(H1641,5)&amp;"-"&amp;LEFT(I1641,5)&amp;" hrs)"</f>
        <v>LIM-TPP-LIM   LA 2091 (18:35-20:00 hrs)  /  LA 2092 (20:40-22:10 hrs)</v>
      </c>
    </row>
    <row r="1642" spans="2:24" x14ac:dyDescent="0.25">
      <c r="J1642" s="7" t="s">
        <v>43</v>
      </c>
      <c r="K1642" s="8" t="str">
        <f>TEXT(TIMEVALUE(I1641)-TIMEVALUE(H1640)+(I1641&lt;H1640),"[h]:mm")</f>
        <v>3:35</v>
      </c>
    </row>
    <row r="1644" spans="2:24" ht="30" x14ac:dyDescent="0.25">
      <c r="B1644" s="3" t="s">
        <v>9</v>
      </c>
      <c r="C1644" s="3" t="s">
        <v>17</v>
      </c>
      <c r="D1644" s="3" t="s">
        <v>18</v>
      </c>
      <c r="E1644" s="3" t="s">
        <v>19</v>
      </c>
      <c r="F1644" s="3" t="s">
        <v>20</v>
      </c>
      <c r="G1644" s="3" t="s">
        <v>21</v>
      </c>
      <c r="H1644" s="3" t="s">
        <v>22</v>
      </c>
      <c r="I1644" s="3" t="s">
        <v>23</v>
      </c>
      <c r="J1644" s="3" t="s">
        <v>24</v>
      </c>
      <c r="K1644" s="3" t="s">
        <v>25</v>
      </c>
      <c r="L1644" s="3" t="s">
        <v>26</v>
      </c>
    </row>
    <row r="1645" spans="2:24" ht="30" x14ac:dyDescent="0.25">
      <c r="B1645" s="4">
        <v>1612</v>
      </c>
      <c r="C1645" s="4" t="s">
        <v>186</v>
      </c>
      <c r="D1645" s="4" t="s">
        <v>138</v>
      </c>
      <c r="E1645" s="4">
        <v>2019</v>
      </c>
      <c r="F1645" s="4" t="s">
        <v>29</v>
      </c>
      <c r="G1645" s="4" t="s">
        <v>63</v>
      </c>
      <c r="H1645" s="4" t="s">
        <v>64</v>
      </c>
      <c r="I1645" s="4" t="s">
        <v>65</v>
      </c>
      <c r="J1645" s="4">
        <v>320</v>
      </c>
      <c r="L1645" s="4" t="s">
        <v>66</v>
      </c>
      <c r="M1645" s="5"/>
      <c r="O1645" s="5"/>
      <c r="Q1645" s="4">
        <f>B1645</f>
        <v>1612</v>
      </c>
      <c r="R1645" s="4" t="str">
        <f>C1645</f>
        <v>19/10/2026</v>
      </c>
      <c r="S1645" s="4" t="str">
        <f>D1645</f>
        <v>lunes</v>
      </c>
      <c r="T1645" s="4" t="str">
        <f>E1645&amp;"/"&amp;E1646</f>
        <v>2019/2038</v>
      </c>
      <c r="U1645" s="4" t="str">
        <f>F1645&amp;"-"&amp;G1645&amp;"-"&amp;F1645</f>
        <v>LIM-IQT-LIM</v>
      </c>
      <c r="V1645" s="4" t="str">
        <f>IF($M$1645="","",$M$1645)</f>
        <v/>
      </c>
      <c r="W1645" s="4" t="str">
        <f>IF($O$1645="","",$O$1645)</f>
        <v/>
      </c>
      <c r="X1645" s="4">
        <f>J1645</f>
        <v>320</v>
      </c>
    </row>
    <row r="1646" spans="2:24" ht="30" x14ac:dyDescent="0.25">
      <c r="B1646" s="4">
        <v>1612</v>
      </c>
      <c r="C1646" s="4" t="s">
        <v>186</v>
      </c>
      <c r="D1646" s="4" t="s">
        <v>138</v>
      </c>
      <c r="E1646" s="4">
        <v>2038</v>
      </c>
      <c r="F1646" s="4" t="s">
        <v>63</v>
      </c>
      <c r="G1646" s="4" t="s">
        <v>29</v>
      </c>
      <c r="H1646" s="4" t="s">
        <v>67</v>
      </c>
      <c r="I1646" s="4" t="s">
        <v>41</v>
      </c>
      <c r="J1646" s="4">
        <v>320</v>
      </c>
      <c r="K1646" t="str">
        <f>TEXT(TIMEVALUE(H1646)-TIMEVALUE(I1645)+(TIMEVALUE(H1646)&lt;TIMEVALUE(I1645)),"[h]:mm")</f>
        <v>0:40</v>
      </c>
      <c r="L1646" s="4" t="s">
        <v>66</v>
      </c>
      <c r="O1646" t="str">
        <f>"LIM-"&amp;G1645&amp;"-LIM   LA "&amp;E1645&amp;" ("&amp;LEFT(H1645,5)&amp;"-"&amp;LEFT(I1645,5)&amp;" hrs)  /  LA "&amp;E1646&amp;" ("&amp;LEFT(H1646,5)&amp;"-"&amp;LEFT(I1646,5)&amp;" hrs)"</f>
        <v>LIM-IQT-LIM   LA 2019 (11:35-13:25 hrs)  /  LA 2038 (14:05-15:55 hrs)</v>
      </c>
    </row>
    <row r="1647" spans="2:24" x14ac:dyDescent="0.25">
      <c r="J1647" s="7" t="s">
        <v>43</v>
      </c>
      <c r="K1647" s="8" t="str">
        <f>TEXT(TIMEVALUE(I1646)-TIMEVALUE(H1645)+(I1646&lt;H1645),"[h]:mm")</f>
        <v>4:20</v>
      </c>
    </row>
    <row r="1649" spans="2:24" ht="30" x14ac:dyDescent="0.25">
      <c r="B1649" s="3" t="s">
        <v>9</v>
      </c>
      <c r="C1649" s="3" t="s">
        <v>17</v>
      </c>
      <c r="D1649" s="3" t="s">
        <v>18</v>
      </c>
      <c r="E1649" s="3" t="s">
        <v>19</v>
      </c>
      <c r="F1649" s="3" t="s">
        <v>20</v>
      </c>
      <c r="G1649" s="3" t="s">
        <v>21</v>
      </c>
      <c r="H1649" s="3" t="s">
        <v>22</v>
      </c>
      <c r="I1649" s="3" t="s">
        <v>23</v>
      </c>
      <c r="J1649" s="3" t="s">
        <v>24</v>
      </c>
      <c r="K1649" s="3" t="s">
        <v>25</v>
      </c>
      <c r="L1649" s="3" t="s">
        <v>26</v>
      </c>
    </row>
    <row r="1650" spans="2:24" ht="30" x14ac:dyDescent="0.25">
      <c r="B1650" s="4">
        <v>1613</v>
      </c>
      <c r="C1650" s="4" t="s">
        <v>186</v>
      </c>
      <c r="D1650" s="4" t="s">
        <v>138</v>
      </c>
      <c r="E1650" s="4">
        <v>2299</v>
      </c>
      <c r="F1650" s="4" t="s">
        <v>29</v>
      </c>
      <c r="G1650" s="4" t="s">
        <v>50</v>
      </c>
      <c r="H1650" s="4" t="s">
        <v>64</v>
      </c>
      <c r="I1650" s="4" t="s">
        <v>35</v>
      </c>
      <c r="J1650" s="4">
        <v>320</v>
      </c>
      <c r="L1650" s="4" t="s">
        <v>33</v>
      </c>
      <c r="M1650" s="5"/>
      <c r="O1650" s="5"/>
      <c r="Q1650" s="4">
        <f>B1650</f>
        <v>1613</v>
      </c>
      <c r="R1650" s="4" t="str">
        <f>C1650</f>
        <v>19/10/2026</v>
      </c>
      <c r="S1650" s="4" t="str">
        <f>D1650</f>
        <v>lunes</v>
      </c>
      <c r="T1650" s="4" t="str">
        <f>E1650&amp;"/"&amp;E1651</f>
        <v>2299/2298</v>
      </c>
      <c r="U1650" s="4" t="str">
        <f>F1650&amp;"-"&amp;G1650&amp;"-"&amp;F1650</f>
        <v>LIM-CJA-LIM</v>
      </c>
      <c r="V1650" s="4" t="str">
        <f>IF($M$1650="","",$M$1650)</f>
        <v/>
      </c>
      <c r="W1650" s="4" t="str">
        <f>IF($O$1650="","",$O$1650)</f>
        <v/>
      </c>
      <c r="X1650" s="4">
        <f>J1650</f>
        <v>320</v>
      </c>
    </row>
    <row r="1651" spans="2:24" ht="30" x14ac:dyDescent="0.25">
      <c r="B1651" s="4">
        <v>1613</v>
      </c>
      <c r="C1651" s="4" t="s">
        <v>186</v>
      </c>
      <c r="D1651" s="4" t="s">
        <v>138</v>
      </c>
      <c r="E1651" s="4">
        <v>2298</v>
      </c>
      <c r="F1651" s="4" t="s">
        <v>50</v>
      </c>
      <c r="G1651" s="4" t="s">
        <v>29</v>
      </c>
      <c r="H1651" s="4" t="s">
        <v>99</v>
      </c>
      <c r="I1651" s="4" t="s">
        <v>87</v>
      </c>
      <c r="J1651" s="4">
        <v>320</v>
      </c>
      <c r="K1651" t="str">
        <f>TEXT(TIMEVALUE(H1651)-TIMEVALUE(I1650)+(TIMEVALUE(H1651)&lt;TIMEVALUE(I1650)),"[h]:mm")</f>
        <v>0:50</v>
      </c>
      <c r="L1651" s="4" t="s">
        <v>74</v>
      </c>
      <c r="O1651" t="str">
        <f>"LIM-"&amp;G1650&amp;"-LIM   LA "&amp;E1650&amp;" ("&amp;LEFT(H1650,5)&amp;"-"&amp;LEFT(I1650,5)&amp;" hrs)  /  LA "&amp;E1651&amp;" ("&amp;LEFT(H1651,5)&amp;"-"&amp;LEFT(I1651,5)&amp;" hrs)"</f>
        <v>LIM-CJA-LIM   LA 2299 (11:35-12:55 hrs)  /  LA 2298 (13:45-14:55 hrs)</v>
      </c>
    </row>
    <row r="1652" spans="2:24" ht="30" x14ac:dyDescent="0.25">
      <c r="B1652" s="4">
        <v>1643</v>
      </c>
      <c r="C1652" s="4" t="s">
        <v>186</v>
      </c>
      <c r="D1652" s="4" t="s">
        <v>138</v>
      </c>
      <c r="E1652" s="4">
        <v>2127</v>
      </c>
      <c r="F1652" s="4" t="s">
        <v>29</v>
      </c>
      <c r="G1652" s="4" t="s">
        <v>30</v>
      </c>
      <c r="H1652" s="4" t="s">
        <v>83</v>
      </c>
      <c r="I1652" s="4" t="s">
        <v>100</v>
      </c>
      <c r="J1652" s="4">
        <v>320</v>
      </c>
      <c r="K1652" s="6" t="str">
        <f>TEXT(TIMEVALUE(H1652)-TIMEVALUE(I1651)+(TIMEVALUE(H1652)&lt;TIMEVALUE(I1651)),"[h]:mm")</f>
        <v>1:15</v>
      </c>
      <c r="L1652" s="4" t="s">
        <v>33</v>
      </c>
      <c r="M1652" t="str">
        <f>IF($M$1650="","",$M$1650)</f>
        <v/>
      </c>
      <c r="O1652" t="str">
        <f>IF($O$1650="","",$O$1650)</f>
        <v/>
      </c>
      <c r="Q1652" s="4">
        <f>B1652</f>
        <v>1643</v>
      </c>
      <c r="R1652" s="4" t="str">
        <f>C1652</f>
        <v>19/10/2026</v>
      </c>
      <c r="S1652" s="4" t="str">
        <f>D1652</f>
        <v>lunes</v>
      </c>
      <c r="T1652" s="4" t="str">
        <f>E1652&amp;"/"&amp;E1653</f>
        <v>2127/2026</v>
      </c>
      <c r="U1652" s="4" t="str">
        <f>F1652&amp;"-"&amp;G1652&amp;"-"&amp;F1652</f>
        <v>LIM-CUZ-LIM</v>
      </c>
      <c r="V1652" s="4" t="str">
        <f>IF($M$1650="","",$M$1650)</f>
        <v/>
      </c>
      <c r="W1652" s="4" t="str">
        <f>IF($O$1650="","",$O$1650)</f>
        <v/>
      </c>
      <c r="X1652" s="4">
        <f>J1652</f>
        <v>320</v>
      </c>
    </row>
    <row r="1653" spans="2:24" ht="30" x14ac:dyDescent="0.25">
      <c r="B1653" s="4">
        <v>1643</v>
      </c>
      <c r="C1653" s="4" t="s">
        <v>186</v>
      </c>
      <c r="D1653" s="4" t="s">
        <v>138</v>
      </c>
      <c r="E1653" s="4">
        <v>2026</v>
      </c>
      <c r="F1653" s="4" t="s">
        <v>30</v>
      </c>
      <c r="G1653" s="4" t="s">
        <v>29</v>
      </c>
      <c r="H1653" s="4" t="s">
        <v>101</v>
      </c>
      <c r="I1653" s="4" t="s">
        <v>102</v>
      </c>
      <c r="J1653" s="4">
        <v>320</v>
      </c>
      <c r="K1653" t="str">
        <f>TEXT(TIMEVALUE(H1653)-TIMEVALUE(I1652)+(TIMEVALUE(H1653)&lt;TIMEVALUE(I1652)),"[h]:mm")</f>
        <v>0:40</v>
      </c>
      <c r="L1653" s="4" t="s">
        <v>71</v>
      </c>
      <c r="O1653" t="str">
        <f>"LIM-"&amp;G1652&amp;"-LIM   LA "&amp;E1652&amp;" ("&amp;LEFT(H1652,5)&amp;"-"&amp;LEFT(I1652,5)&amp;" hrs)  /  LA "&amp;E1653&amp;" ("&amp;LEFT(H1653,5)&amp;"-"&amp;LEFT(I1653,5)&amp;" hrs)"</f>
        <v>LIM-CUZ-LIM   LA 2127 (16:10-17:30 hrs)  /  LA 2026 (18:10-19:50 hrs)</v>
      </c>
    </row>
    <row r="1654" spans="2:24" x14ac:dyDescent="0.25">
      <c r="J1654" s="7" t="s">
        <v>43</v>
      </c>
      <c r="K1654" s="8" t="str">
        <f>TEXT(TIMEVALUE(I1653)-TIMEVALUE(H1650)+(I1653&lt;H1650),"[h]:mm")</f>
        <v>8:15</v>
      </c>
    </row>
    <row r="1656" spans="2:24" ht="30" x14ac:dyDescent="0.25">
      <c r="B1656" s="3" t="s">
        <v>9</v>
      </c>
      <c r="C1656" s="3" t="s">
        <v>17</v>
      </c>
      <c r="D1656" s="3" t="s">
        <v>18</v>
      </c>
      <c r="E1656" s="3" t="s">
        <v>19</v>
      </c>
      <c r="F1656" s="3" t="s">
        <v>20</v>
      </c>
      <c r="G1656" s="3" t="s">
        <v>21</v>
      </c>
      <c r="H1656" s="3" t="s">
        <v>22</v>
      </c>
      <c r="I1656" s="3" t="s">
        <v>23</v>
      </c>
      <c r="J1656" s="3" t="s">
        <v>24</v>
      </c>
      <c r="K1656" s="3" t="s">
        <v>25</v>
      </c>
      <c r="L1656" s="3" t="s">
        <v>26</v>
      </c>
    </row>
    <row r="1657" spans="2:24" ht="30" x14ac:dyDescent="0.25">
      <c r="B1657" s="4">
        <v>1617</v>
      </c>
      <c r="C1657" s="4" t="s">
        <v>186</v>
      </c>
      <c r="D1657" s="4" t="s">
        <v>138</v>
      </c>
      <c r="E1657" s="4">
        <v>2061</v>
      </c>
      <c r="F1657" s="4" t="s">
        <v>29</v>
      </c>
      <c r="G1657" s="4" t="s">
        <v>30</v>
      </c>
      <c r="H1657" s="4" t="s">
        <v>103</v>
      </c>
      <c r="I1657" s="4" t="s">
        <v>120</v>
      </c>
      <c r="J1657" s="4">
        <v>320</v>
      </c>
      <c r="L1657" s="4" t="s">
        <v>33</v>
      </c>
      <c r="M1657" s="5"/>
      <c r="O1657" s="5"/>
      <c r="Q1657" s="4">
        <f>B1657</f>
        <v>1617</v>
      </c>
      <c r="R1657" s="4" t="str">
        <f>C1657</f>
        <v>19/10/2026</v>
      </c>
      <c r="S1657" s="4" t="str">
        <f>D1657</f>
        <v>lunes</v>
      </c>
      <c r="T1657" s="4" t="str">
        <f>E1657&amp;"/"&amp;E1658</f>
        <v>2061/2062</v>
      </c>
      <c r="U1657" s="4" t="str">
        <f>F1657&amp;"-"&amp;G1657&amp;"-"&amp;F1657</f>
        <v>LIM-CUZ-LIM</v>
      </c>
      <c r="V1657" s="4" t="str">
        <f>IF($M$1657="","",$M$1657)</f>
        <v/>
      </c>
      <c r="W1657" s="4" t="str">
        <f>IF($O$1657="","",$O$1657)</f>
        <v/>
      </c>
      <c r="X1657" s="4">
        <f>J1657</f>
        <v>320</v>
      </c>
    </row>
    <row r="1658" spans="2:24" ht="30" x14ac:dyDescent="0.25">
      <c r="B1658" s="4">
        <v>1617</v>
      </c>
      <c r="C1658" s="4" t="s">
        <v>186</v>
      </c>
      <c r="D1658" s="4" t="s">
        <v>138</v>
      </c>
      <c r="E1658" s="4">
        <v>2062</v>
      </c>
      <c r="F1658" s="4" t="s">
        <v>30</v>
      </c>
      <c r="G1658" s="4" t="s">
        <v>29</v>
      </c>
      <c r="H1658" s="4" t="s">
        <v>72</v>
      </c>
      <c r="I1658" s="4" t="s">
        <v>51</v>
      </c>
      <c r="J1658" s="4">
        <v>320</v>
      </c>
      <c r="K1658" t="str">
        <f>TEXT(TIMEVALUE(H1658)-TIMEVALUE(I1657)+(TIMEVALUE(H1658)&lt;TIMEVALUE(I1657)),"[h]:mm")</f>
        <v>0:40</v>
      </c>
      <c r="L1658" s="4" t="s">
        <v>36</v>
      </c>
      <c r="O1658" t="str">
        <f>"LIM-"&amp;G1657&amp;"-LIM   LA "&amp;E1657&amp;" ("&amp;LEFT(H1657,5)&amp;"-"&amp;LEFT(I1657,5)&amp;" hrs)  /  LA "&amp;E1658&amp;" ("&amp;LEFT(H1658,5)&amp;"-"&amp;LEFT(I1658,5)&amp;" hrs)"</f>
        <v>LIM-CUZ-LIM   LA 2061 (11:40-13:00 hrs)  /  LA 2062 (13:40-15:15 hrs)</v>
      </c>
    </row>
    <row r="1659" spans="2:24" x14ac:dyDescent="0.25">
      <c r="J1659" s="7" t="s">
        <v>43</v>
      </c>
      <c r="K1659" s="8" t="str">
        <f>TEXT(TIMEVALUE(I1658)-TIMEVALUE(H1657)+(I1658&lt;H1657),"[h]:mm")</f>
        <v>3:35</v>
      </c>
    </row>
    <row r="1661" spans="2:24" ht="30" x14ac:dyDescent="0.25">
      <c r="B1661" s="3" t="s">
        <v>9</v>
      </c>
      <c r="C1661" s="3" t="s">
        <v>17</v>
      </c>
      <c r="D1661" s="3" t="s">
        <v>18</v>
      </c>
      <c r="E1661" s="3" t="s">
        <v>19</v>
      </c>
      <c r="F1661" s="3" t="s">
        <v>20</v>
      </c>
      <c r="G1661" s="3" t="s">
        <v>21</v>
      </c>
      <c r="H1661" s="3" t="s">
        <v>22</v>
      </c>
      <c r="I1661" s="3" t="s">
        <v>23</v>
      </c>
      <c r="J1661" s="3" t="s">
        <v>24</v>
      </c>
      <c r="K1661" s="3" t="s">
        <v>25</v>
      </c>
      <c r="L1661" s="3" t="s">
        <v>26</v>
      </c>
    </row>
    <row r="1662" spans="2:24" ht="30" x14ac:dyDescent="0.25">
      <c r="B1662" s="4">
        <v>1615</v>
      </c>
      <c r="C1662" s="4" t="s">
        <v>186</v>
      </c>
      <c r="D1662" s="4" t="s">
        <v>138</v>
      </c>
      <c r="E1662" s="4">
        <v>2111</v>
      </c>
      <c r="F1662" s="4" t="s">
        <v>29</v>
      </c>
      <c r="G1662" s="4" t="s">
        <v>56</v>
      </c>
      <c r="H1662" s="4" t="s">
        <v>103</v>
      </c>
      <c r="I1662" s="4" t="s">
        <v>104</v>
      </c>
      <c r="J1662" s="4">
        <v>320</v>
      </c>
      <c r="L1662" s="4" t="s">
        <v>40</v>
      </c>
      <c r="M1662" s="5"/>
      <c r="O1662" s="5"/>
      <c r="Q1662" s="4">
        <f>B1662</f>
        <v>1615</v>
      </c>
      <c r="R1662" s="4" t="str">
        <f>C1662</f>
        <v>19/10/2026</v>
      </c>
      <c r="S1662" s="4" t="str">
        <f>D1662</f>
        <v>lunes</v>
      </c>
      <c r="T1662" s="4" t="str">
        <f>E1662&amp;"/"&amp;E1663</f>
        <v>2111/2110</v>
      </c>
      <c r="U1662" s="4" t="str">
        <f>F1662&amp;"-"&amp;G1662&amp;"-"&amp;F1662</f>
        <v>LIM-AQP-LIM</v>
      </c>
      <c r="V1662" s="4" t="str">
        <f>IF($M$1662="","",$M$1662)</f>
        <v/>
      </c>
      <c r="W1662" s="4" t="str">
        <f>IF($O$1662="","",$O$1662)</f>
        <v/>
      </c>
      <c r="X1662" s="4">
        <f>J1662</f>
        <v>320</v>
      </c>
    </row>
    <row r="1663" spans="2:24" ht="30" x14ac:dyDescent="0.25">
      <c r="B1663" s="4">
        <v>1615</v>
      </c>
      <c r="C1663" s="4" t="s">
        <v>186</v>
      </c>
      <c r="D1663" s="4" t="s">
        <v>138</v>
      </c>
      <c r="E1663" s="4">
        <v>2110</v>
      </c>
      <c r="F1663" s="4" t="s">
        <v>56</v>
      </c>
      <c r="G1663" s="4" t="s">
        <v>29</v>
      </c>
      <c r="H1663" s="4" t="s">
        <v>84</v>
      </c>
      <c r="I1663" s="4" t="s">
        <v>105</v>
      </c>
      <c r="J1663" s="4">
        <v>320</v>
      </c>
      <c r="K1663" t="str">
        <f>TEXT(TIMEVALUE(H1663)-TIMEVALUE(I1662)+(TIMEVALUE(H1663)&lt;TIMEVALUE(I1662)),"[h]:mm")</f>
        <v>4:40</v>
      </c>
      <c r="L1663" s="4" t="s">
        <v>71</v>
      </c>
      <c r="O1663" t="str">
        <f>"LIM-"&amp;G1662&amp;"-LIM   LA "&amp;E1662&amp;" ("&amp;LEFT(H1662,5)&amp;"-"&amp;LEFT(I1662,5)&amp;" hrs)  /  LA "&amp;E1663&amp;" ("&amp;LEFT(H1663,5)&amp;"-"&amp;LEFT(I1663,5)&amp;" hrs)"</f>
        <v>LIM-AQP-LIM   LA 2111 (11:40-13:10 hrs)  /  LA 2110 (17:50-19:30 hrs)</v>
      </c>
    </row>
    <row r="1664" spans="2:24" x14ac:dyDescent="0.25">
      <c r="J1664" s="7" t="s">
        <v>43</v>
      </c>
      <c r="K1664" s="8" t="str">
        <f>TEXT(TIMEVALUE(I1663)-TIMEVALUE(H1662)+(I1663&lt;H1662),"[h]:mm")</f>
        <v>7:50</v>
      </c>
    </row>
    <row r="1666" spans="2:24" ht="30" x14ac:dyDescent="0.25">
      <c r="B1666" s="3" t="s">
        <v>9</v>
      </c>
      <c r="C1666" s="3" t="s">
        <v>17</v>
      </c>
      <c r="D1666" s="3" t="s">
        <v>18</v>
      </c>
      <c r="E1666" s="3" t="s">
        <v>19</v>
      </c>
      <c r="F1666" s="3" t="s">
        <v>20</v>
      </c>
      <c r="G1666" s="3" t="s">
        <v>21</v>
      </c>
      <c r="H1666" s="3" t="s">
        <v>22</v>
      </c>
      <c r="I1666" s="3" t="s">
        <v>23</v>
      </c>
      <c r="J1666" s="3" t="s">
        <v>24</v>
      </c>
      <c r="K1666" s="3" t="s">
        <v>25</v>
      </c>
      <c r="L1666" s="3" t="s">
        <v>26</v>
      </c>
    </row>
    <row r="1667" spans="2:24" ht="30" x14ac:dyDescent="0.25">
      <c r="B1667" s="4">
        <v>1616</v>
      </c>
      <c r="C1667" s="4" t="s">
        <v>186</v>
      </c>
      <c r="D1667" s="4" t="s">
        <v>138</v>
      </c>
      <c r="E1667" s="4">
        <v>2316</v>
      </c>
      <c r="F1667" s="4" t="s">
        <v>29</v>
      </c>
      <c r="G1667" s="4" t="s">
        <v>125</v>
      </c>
      <c r="H1667" s="4" t="s">
        <v>103</v>
      </c>
      <c r="I1667" s="4" t="s">
        <v>65</v>
      </c>
      <c r="J1667" s="4">
        <v>320</v>
      </c>
      <c r="L1667" s="4" t="s">
        <v>47</v>
      </c>
      <c r="M1667" s="5"/>
      <c r="O1667" s="5"/>
      <c r="Q1667" s="4">
        <f>B1667</f>
        <v>1616</v>
      </c>
      <c r="R1667" s="4" t="str">
        <f>C1667</f>
        <v>19/10/2026</v>
      </c>
      <c r="S1667" s="4" t="str">
        <f>D1667</f>
        <v>lunes</v>
      </c>
      <c r="T1667" s="4" t="str">
        <f>E1667&amp;"/"&amp;E1668</f>
        <v>2316/2317</v>
      </c>
      <c r="U1667" s="4" t="str">
        <f>F1667&amp;"-"&amp;G1667&amp;"-"&amp;F1667</f>
        <v>LIM-PIU-LIM</v>
      </c>
      <c r="V1667" s="4" t="str">
        <f>IF($M$1667="","",$M$1667)</f>
        <v/>
      </c>
      <c r="W1667" s="4" t="str">
        <f>IF($O$1667="","",$O$1667)</f>
        <v/>
      </c>
      <c r="X1667" s="4">
        <f>J1667</f>
        <v>320</v>
      </c>
    </row>
    <row r="1668" spans="2:24" ht="30" x14ac:dyDescent="0.25">
      <c r="B1668" s="4">
        <v>1616</v>
      </c>
      <c r="C1668" s="4" t="s">
        <v>186</v>
      </c>
      <c r="D1668" s="4" t="s">
        <v>138</v>
      </c>
      <c r="E1668" s="4">
        <v>2317</v>
      </c>
      <c r="F1668" s="4" t="s">
        <v>125</v>
      </c>
      <c r="G1668" s="4" t="s">
        <v>29</v>
      </c>
      <c r="H1668" s="4" t="s">
        <v>67</v>
      </c>
      <c r="I1668" s="4" t="s">
        <v>92</v>
      </c>
      <c r="J1668" s="4">
        <v>320</v>
      </c>
      <c r="K1668" t="str">
        <f>TEXT(TIMEVALUE(H1668)-TIMEVALUE(I1667)+(TIMEVALUE(H1668)&lt;TIMEVALUE(I1667)),"[h]:mm")</f>
        <v>0:40</v>
      </c>
      <c r="L1668" s="4" t="s">
        <v>36</v>
      </c>
      <c r="O1668" t="str">
        <f>"LIM-"&amp;G1667&amp;"-LIM   LA "&amp;E1667&amp;" ("&amp;LEFT(H1667,5)&amp;"-"&amp;LEFT(I1667,5)&amp;" hrs)  /  LA "&amp;E1668&amp;" ("&amp;LEFT(H1668,5)&amp;"-"&amp;LEFT(I1668,5)&amp;" hrs)"</f>
        <v>LIM-PIU-LIM   LA 2316 (11:40-13:25 hrs)  /  LA 2317 (14:05-15:40 hrs)</v>
      </c>
    </row>
    <row r="1669" spans="2:24" x14ac:dyDescent="0.25">
      <c r="J1669" s="7" t="s">
        <v>43</v>
      </c>
      <c r="K1669" s="8" t="str">
        <f>TEXT(TIMEVALUE(I1668)-TIMEVALUE(H1667)+(I1668&lt;H1667),"[h]:mm")</f>
        <v>4:00</v>
      </c>
    </row>
    <row r="1671" spans="2:24" ht="30" x14ac:dyDescent="0.25">
      <c r="B1671" s="3" t="s">
        <v>9</v>
      </c>
      <c r="C1671" s="3" t="s">
        <v>17</v>
      </c>
      <c r="D1671" s="3" t="s">
        <v>18</v>
      </c>
      <c r="E1671" s="3" t="s">
        <v>19</v>
      </c>
      <c r="F1671" s="3" t="s">
        <v>20</v>
      </c>
      <c r="G1671" s="3" t="s">
        <v>21</v>
      </c>
      <c r="H1671" s="3" t="s">
        <v>22</v>
      </c>
      <c r="I1671" s="3" t="s">
        <v>23</v>
      </c>
      <c r="J1671" s="3" t="s">
        <v>24</v>
      </c>
      <c r="K1671" s="3" t="s">
        <v>25</v>
      </c>
      <c r="L1671" s="3" t="s">
        <v>26</v>
      </c>
    </row>
    <row r="1672" spans="2:24" ht="30" x14ac:dyDescent="0.25">
      <c r="B1672" s="4">
        <v>1622</v>
      </c>
      <c r="C1672" s="4" t="s">
        <v>186</v>
      </c>
      <c r="D1672" s="4" t="s">
        <v>138</v>
      </c>
      <c r="E1672" s="4">
        <v>2043</v>
      </c>
      <c r="F1672" s="4" t="s">
        <v>29</v>
      </c>
      <c r="G1672" s="4" t="s">
        <v>56</v>
      </c>
      <c r="H1672" s="4" t="s">
        <v>48</v>
      </c>
      <c r="I1672" s="4" t="s">
        <v>107</v>
      </c>
      <c r="J1672" s="4">
        <v>320</v>
      </c>
      <c r="L1672" s="4" t="s">
        <v>40</v>
      </c>
      <c r="M1672" s="5"/>
      <c r="O1672" s="5"/>
      <c r="Q1672" s="4">
        <f>B1672</f>
        <v>1622</v>
      </c>
      <c r="R1672" s="4" t="str">
        <f>C1672</f>
        <v>19/10/2026</v>
      </c>
      <c r="S1672" s="4" t="str">
        <f>D1672</f>
        <v>lunes</v>
      </c>
      <c r="T1672" s="4" t="str">
        <f>E1672&amp;"/"&amp;E1673</f>
        <v>2043/2044</v>
      </c>
      <c r="U1672" s="4" t="str">
        <f>F1672&amp;"-"&amp;G1672&amp;"-"&amp;F1672</f>
        <v>LIM-AQP-LIM</v>
      </c>
      <c r="V1672" s="4" t="str">
        <f>IF($M$1672="","",$M$1672)</f>
        <v/>
      </c>
      <c r="W1672" s="4" t="str">
        <f>IF($O$1672="","",$O$1672)</f>
        <v/>
      </c>
      <c r="X1672" s="4">
        <f>J1672</f>
        <v>320</v>
      </c>
    </row>
    <row r="1673" spans="2:24" ht="30" x14ac:dyDescent="0.25">
      <c r="B1673" s="4">
        <v>1622</v>
      </c>
      <c r="C1673" s="4" t="s">
        <v>186</v>
      </c>
      <c r="D1673" s="4" t="s">
        <v>138</v>
      </c>
      <c r="E1673" s="4">
        <v>2044</v>
      </c>
      <c r="F1673" s="4" t="s">
        <v>56</v>
      </c>
      <c r="G1673" s="4" t="s">
        <v>29</v>
      </c>
      <c r="H1673" s="4" t="s">
        <v>109</v>
      </c>
      <c r="I1673" s="4" t="s">
        <v>52</v>
      </c>
      <c r="J1673" s="4">
        <v>320</v>
      </c>
      <c r="K1673" t="str">
        <f>TEXT(TIMEVALUE(H1673)-TIMEVALUE(I1672)+(TIMEVALUE(H1673)&lt;TIMEVALUE(I1672)),"[h]:mm")</f>
        <v>0:45</v>
      </c>
      <c r="L1673" s="4" t="s">
        <v>36</v>
      </c>
      <c r="O1673" t="str">
        <f>"LIM-"&amp;G1672&amp;"-LIM   LA "&amp;E1672&amp;" ("&amp;LEFT(H1672,5)&amp;"-"&amp;LEFT(I1672,5)&amp;" hrs)  /  LA "&amp;E1673&amp;" ("&amp;LEFT(H1673,5)&amp;"-"&amp;LEFT(I1673,5)&amp;" hrs)"</f>
        <v>LIM-AQP-LIM   LA 2043 (12:45-14:15 hrs)  /  LA 2044 (15:00-16:35 hrs)</v>
      </c>
    </row>
    <row r="1674" spans="2:24" x14ac:dyDescent="0.25">
      <c r="J1674" s="7" t="s">
        <v>43</v>
      </c>
      <c r="K1674" s="8" t="str">
        <f>TEXT(TIMEVALUE(I1673)-TIMEVALUE(H1672)+(I1673&lt;H1672),"[h]:mm")</f>
        <v>3:50</v>
      </c>
    </row>
    <row r="1676" spans="2:24" ht="30" x14ac:dyDescent="0.25">
      <c r="B1676" s="3" t="s">
        <v>9</v>
      </c>
      <c r="C1676" s="3" t="s">
        <v>17</v>
      </c>
      <c r="D1676" s="3" t="s">
        <v>18</v>
      </c>
      <c r="E1676" s="3" t="s">
        <v>19</v>
      </c>
      <c r="F1676" s="3" t="s">
        <v>20</v>
      </c>
      <c r="G1676" s="3" t="s">
        <v>21</v>
      </c>
      <c r="H1676" s="3" t="s">
        <v>22</v>
      </c>
      <c r="I1676" s="3" t="s">
        <v>23</v>
      </c>
      <c r="J1676" s="3" t="s">
        <v>24</v>
      </c>
      <c r="K1676" s="3" t="s">
        <v>25</v>
      </c>
      <c r="L1676" s="3" t="s">
        <v>26</v>
      </c>
    </row>
    <row r="1677" spans="2:24" ht="30" x14ac:dyDescent="0.25">
      <c r="B1677" s="4">
        <v>1628</v>
      </c>
      <c r="C1677" s="4" t="s">
        <v>186</v>
      </c>
      <c r="D1677" s="4" t="s">
        <v>138</v>
      </c>
      <c r="E1677" s="4">
        <v>2055</v>
      </c>
      <c r="F1677" s="4" t="s">
        <v>29</v>
      </c>
      <c r="G1677" s="4" t="s">
        <v>56</v>
      </c>
      <c r="H1677" s="4" t="s">
        <v>82</v>
      </c>
      <c r="I1677" s="4" t="s">
        <v>59</v>
      </c>
      <c r="J1677" s="4">
        <v>320</v>
      </c>
      <c r="L1677" s="4" t="s">
        <v>40</v>
      </c>
      <c r="M1677" s="5"/>
      <c r="O1677" s="5"/>
      <c r="Q1677" s="4">
        <f>B1677</f>
        <v>1628</v>
      </c>
      <c r="R1677" s="4" t="str">
        <f>C1677</f>
        <v>19/10/2026</v>
      </c>
      <c r="S1677" s="4" t="str">
        <f>D1677</f>
        <v>lunes</v>
      </c>
      <c r="T1677" s="4" t="str">
        <f>E1677&amp;"/"&amp;E1678</f>
        <v>2055/2056</v>
      </c>
      <c r="U1677" s="4" t="str">
        <f>F1677&amp;"-"&amp;G1677&amp;"-"&amp;F1677</f>
        <v>LIM-AQP-LIM</v>
      </c>
      <c r="V1677" s="4" t="str">
        <f>IF($M$1677="","",$M$1677)</f>
        <v/>
      </c>
      <c r="W1677" s="4" t="str">
        <f>IF($O$1677="","",$O$1677)</f>
        <v/>
      </c>
      <c r="X1677" s="4">
        <f>J1677</f>
        <v>320</v>
      </c>
    </row>
    <row r="1678" spans="2:24" ht="30" x14ac:dyDescent="0.25">
      <c r="B1678" s="4">
        <v>1628</v>
      </c>
      <c r="C1678" s="4" t="s">
        <v>186</v>
      </c>
      <c r="D1678" s="4" t="s">
        <v>138</v>
      </c>
      <c r="E1678" s="4">
        <v>2056</v>
      </c>
      <c r="F1678" s="4" t="s">
        <v>56</v>
      </c>
      <c r="G1678" s="4" t="s">
        <v>29</v>
      </c>
      <c r="H1678" s="4" t="s">
        <v>83</v>
      </c>
      <c r="I1678" s="4" t="s">
        <v>84</v>
      </c>
      <c r="J1678" s="4">
        <v>320</v>
      </c>
      <c r="K1678" t="str">
        <f>TEXT(TIMEVALUE(H1678)-TIMEVALUE(I1677)+(TIMEVALUE(H1678)&lt;TIMEVALUE(I1677)),"[h]:mm")</f>
        <v>0:45</v>
      </c>
      <c r="L1678" s="4" t="s">
        <v>71</v>
      </c>
      <c r="O1678" t="str">
        <f>"LIM-"&amp;G1677&amp;"-LIM   LA "&amp;E1677&amp;" ("&amp;LEFT(H1677,5)&amp;"-"&amp;LEFT(I1677,5)&amp;" hrs)  /  LA "&amp;E1678&amp;" ("&amp;LEFT(H1678,5)&amp;"-"&amp;LEFT(I1678,5)&amp;" hrs)"</f>
        <v>LIM-AQP-LIM   LA 2055 (13:55-15:25 hrs)  /  LA 2056 (16:10-17:50 hrs)</v>
      </c>
    </row>
    <row r="1679" spans="2:24" x14ac:dyDescent="0.25">
      <c r="J1679" s="7" t="s">
        <v>43</v>
      </c>
      <c r="K1679" s="8" t="str">
        <f>TEXT(TIMEVALUE(I1678)-TIMEVALUE(H1677)+(I1678&lt;H1677),"[h]:mm")</f>
        <v>3:55</v>
      </c>
    </row>
    <row r="1681" spans="2:24" ht="30" x14ac:dyDescent="0.25">
      <c r="B1681" s="3" t="s">
        <v>9</v>
      </c>
      <c r="C1681" s="3" t="s">
        <v>17</v>
      </c>
      <c r="D1681" s="3" t="s">
        <v>18</v>
      </c>
      <c r="E1681" s="3" t="s">
        <v>19</v>
      </c>
      <c r="F1681" s="3" t="s">
        <v>20</v>
      </c>
      <c r="G1681" s="3" t="s">
        <v>21</v>
      </c>
      <c r="H1681" s="3" t="s">
        <v>22</v>
      </c>
      <c r="I1681" s="3" t="s">
        <v>23</v>
      </c>
      <c r="J1681" s="3" t="s">
        <v>24</v>
      </c>
      <c r="K1681" s="3" t="s">
        <v>25</v>
      </c>
      <c r="L1681" s="3" t="s">
        <v>26</v>
      </c>
    </row>
    <row r="1682" spans="2:24" ht="30" x14ac:dyDescent="0.25">
      <c r="B1682" s="4">
        <v>1630</v>
      </c>
      <c r="C1682" s="4" t="s">
        <v>186</v>
      </c>
      <c r="D1682" s="4" t="s">
        <v>138</v>
      </c>
      <c r="E1682" s="4">
        <v>2087</v>
      </c>
      <c r="F1682" s="4" t="s">
        <v>29</v>
      </c>
      <c r="G1682" s="4" t="s">
        <v>91</v>
      </c>
      <c r="H1682" s="4" t="s">
        <v>67</v>
      </c>
      <c r="I1682" s="4" t="s">
        <v>76</v>
      </c>
      <c r="J1682" s="4">
        <v>320</v>
      </c>
      <c r="L1682" s="4" t="s">
        <v>93</v>
      </c>
      <c r="M1682" s="5"/>
      <c r="O1682" s="5"/>
      <c r="Q1682" s="4">
        <f>B1682</f>
        <v>1630</v>
      </c>
      <c r="R1682" s="4" t="str">
        <f>C1682</f>
        <v>19/10/2026</v>
      </c>
      <c r="S1682" s="4" t="str">
        <f>D1682</f>
        <v>lunes</v>
      </c>
      <c r="T1682" s="4" t="str">
        <f>E1682&amp;"/"&amp;E1683</f>
        <v>2087/2088</v>
      </c>
      <c r="U1682" s="4" t="str">
        <f>F1682&amp;"-"&amp;G1682&amp;"-"&amp;F1682</f>
        <v>LIM-TPP-LIM</v>
      </c>
      <c r="V1682" s="4" t="str">
        <f>IF($M$1682="","",$M$1682)</f>
        <v/>
      </c>
      <c r="W1682" s="4" t="str">
        <f>IF($O$1682="","",$O$1682)</f>
        <v/>
      </c>
      <c r="X1682" s="4">
        <f>J1682</f>
        <v>320</v>
      </c>
    </row>
    <row r="1683" spans="2:24" ht="30" x14ac:dyDescent="0.25">
      <c r="B1683" s="4">
        <v>1630</v>
      </c>
      <c r="C1683" s="4" t="s">
        <v>186</v>
      </c>
      <c r="D1683" s="4" t="s">
        <v>138</v>
      </c>
      <c r="E1683" s="4">
        <v>2088</v>
      </c>
      <c r="F1683" s="4" t="s">
        <v>91</v>
      </c>
      <c r="G1683" s="4" t="s">
        <v>29</v>
      </c>
      <c r="H1683" s="4" t="s">
        <v>85</v>
      </c>
      <c r="I1683" s="4" t="s">
        <v>100</v>
      </c>
      <c r="J1683" s="4">
        <v>320</v>
      </c>
      <c r="K1683" t="str">
        <f>TEXT(TIMEVALUE(H1683)-TIMEVALUE(I1682)+(TIMEVALUE(H1683)&lt;TIMEVALUE(I1682)),"[h]:mm")</f>
        <v>0:35</v>
      </c>
      <c r="L1683" s="4" t="s">
        <v>93</v>
      </c>
      <c r="O1683" t="str">
        <f>"LIM-"&amp;G1682&amp;"-LIM   LA "&amp;E1682&amp;" ("&amp;LEFT(H1682,5)&amp;"-"&amp;LEFT(I1682,5)&amp;" hrs)  /  LA "&amp;E1683&amp;" ("&amp;LEFT(H1683,5)&amp;"-"&amp;LEFT(I1683,5)&amp;" hrs)"</f>
        <v>LIM-TPP-LIM   LA 2087 (14:05-15:30 hrs)  /  LA 2088 (16:05-17:30 hrs)</v>
      </c>
    </row>
    <row r="1684" spans="2:24" ht="30" x14ac:dyDescent="0.25">
      <c r="B1684" s="4">
        <v>1647</v>
      </c>
      <c r="C1684" s="4" t="s">
        <v>186</v>
      </c>
      <c r="D1684" s="4" t="s">
        <v>138</v>
      </c>
      <c r="E1684" s="4">
        <v>2117</v>
      </c>
      <c r="F1684" s="4" t="s">
        <v>29</v>
      </c>
      <c r="G1684" s="4" t="s">
        <v>56</v>
      </c>
      <c r="H1684" s="4" t="s">
        <v>62</v>
      </c>
      <c r="I1684" s="4" t="s">
        <v>151</v>
      </c>
      <c r="J1684" s="4">
        <v>320</v>
      </c>
      <c r="K1684" s="6" t="str">
        <f>TEXT(TIMEVALUE(H1684)-TIMEVALUE(I1683)+(TIMEVALUE(H1684)&lt;TIMEVALUE(I1683)),"[h]:mm")</f>
        <v>1:05</v>
      </c>
      <c r="L1684" s="4" t="s">
        <v>40</v>
      </c>
      <c r="M1684" t="str">
        <f>IF($M$1682="","",$M$1682)</f>
        <v/>
      </c>
      <c r="O1684" t="str">
        <f>IF($O$1682="","",$O$1682)</f>
        <v/>
      </c>
      <c r="Q1684" s="4">
        <f>B1684</f>
        <v>1647</v>
      </c>
      <c r="R1684" s="4" t="str">
        <f>C1684</f>
        <v>19/10/2026</v>
      </c>
      <c r="S1684" s="4" t="str">
        <f>D1684</f>
        <v>lunes</v>
      </c>
      <c r="T1684" s="4" t="str">
        <f>E1684&amp;"/"&amp;E1685</f>
        <v>2117/2116</v>
      </c>
      <c r="U1684" s="4" t="str">
        <f>F1684&amp;"-"&amp;G1684&amp;"-"&amp;F1684</f>
        <v>LIM-AQP-LIM</v>
      </c>
      <c r="V1684" s="4" t="str">
        <f>IF($M$1682="","",$M$1682)</f>
        <v/>
      </c>
      <c r="W1684" s="4" t="str">
        <f>IF($O$1682="","",$O$1682)</f>
        <v/>
      </c>
      <c r="X1684" s="4">
        <f>J1684</f>
        <v>320</v>
      </c>
    </row>
    <row r="1685" spans="2:24" ht="30" x14ac:dyDescent="0.25">
      <c r="B1685" s="4">
        <v>1647</v>
      </c>
      <c r="C1685" s="4" t="s">
        <v>186</v>
      </c>
      <c r="D1685" s="4" t="s">
        <v>138</v>
      </c>
      <c r="E1685" s="4">
        <v>2116</v>
      </c>
      <c r="F1685" s="4" t="s">
        <v>56</v>
      </c>
      <c r="G1685" s="4" t="s">
        <v>29</v>
      </c>
      <c r="H1685" s="4" t="s">
        <v>129</v>
      </c>
      <c r="I1685" s="4" t="s">
        <v>152</v>
      </c>
      <c r="J1685" s="4">
        <v>320</v>
      </c>
      <c r="K1685" t="str">
        <f>TEXT(TIMEVALUE(H1685)-TIMEVALUE(I1684)+(TIMEVALUE(H1685)&lt;TIMEVALUE(I1684)),"[h]:mm")</f>
        <v>0:35</v>
      </c>
      <c r="L1685" s="4" t="s">
        <v>71</v>
      </c>
      <c r="O1685" t="str">
        <f>"LIM-"&amp;G1684&amp;"-LIM   LA "&amp;E1684&amp;" ("&amp;LEFT(H1684,5)&amp;"-"&amp;LEFT(I1684,5)&amp;" hrs)  /  LA "&amp;E1685&amp;" ("&amp;LEFT(H1685,5)&amp;"-"&amp;LEFT(I1685,5)&amp;" hrs)"</f>
        <v>LIM-AQP-LIM   LA 2117 (18:35-20:05 hrs)  /  LA 2116 (20:40-22:20 hrs)</v>
      </c>
    </row>
    <row r="1686" spans="2:24" x14ac:dyDescent="0.25">
      <c r="J1686" s="7" t="s">
        <v>43</v>
      </c>
      <c r="K1686" s="8" t="str">
        <f>TEXT(TIMEVALUE(I1685)-TIMEVALUE(H1682)+(I1685&lt;H1682),"[h]:mm")</f>
        <v>8:15</v>
      </c>
    </row>
    <row r="1688" spans="2:24" ht="30" x14ac:dyDescent="0.25">
      <c r="B1688" s="3" t="s">
        <v>9</v>
      </c>
      <c r="C1688" s="3" t="s">
        <v>17</v>
      </c>
      <c r="D1688" s="3" t="s">
        <v>18</v>
      </c>
      <c r="E1688" s="3" t="s">
        <v>19</v>
      </c>
      <c r="F1688" s="3" t="s">
        <v>20</v>
      </c>
      <c r="G1688" s="3" t="s">
        <v>21</v>
      </c>
      <c r="H1688" s="3" t="s">
        <v>22</v>
      </c>
      <c r="I1688" s="3" t="s">
        <v>23</v>
      </c>
      <c r="J1688" s="3" t="s">
        <v>24</v>
      </c>
      <c r="K1688" s="3" t="s">
        <v>25</v>
      </c>
      <c r="L1688" s="3" t="s">
        <v>26</v>
      </c>
    </row>
    <row r="1689" spans="2:24" ht="30" x14ac:dyDescent="0.25">
      <c r="B1689" s="4">
        <v>1631</v>
      </c>
      <c r="C1689" s="4" t="s">
        <v>186</v>
      </c>
      <c r="D1689" s="4" t="s">
        <v>138</v>
      </c>
      <c r="E1689" s="4">
        <v>2295</v>
      </c>
      <c r="F1689" s="4" t="s">
        <v>29</v>
      </c>
      <c r="G1689" s="4" t="s">
        <v>50</v>
      </c>
      <c r="H1689" s="4" t="s">
        <v>110</v>
      </c>
      <c r="I1689" s="4" t="s">
        <v>76</v>
      </c>
      <c r="J1689" s="4">
        <v>320</v>
      </c>
      <c r="L1689" s="4" t="s">
        <v>33</v>
      </c>
      <c r="M1689" s="5"/>
      <c r="O1689" s="5"/>
      <c r="Q1689" s="4">
        <f>B1689</f>
        <v>1631</v>
      </c>
      <c r="R1689" s="4" t="str">
        <f>C1689</f>
        <v>19/10/2026</v>
      </c>
      <c r="S1689" s="4" t="str">
        <f>D1689</f>
        <v>lunes</v>
      </c>
      <c r="T1689" s="4" t="str">
        <f>E1689&amp;"/"&amp;E1690</f>
        <v>2295/2294</v>
      </c>
      <c r="U1689" s="4" t="str">
        <f>F1689&amp;"-"&amp;G1689&amp;"-"&amp;F1689</f>
        <v>LIM-CJA-LIM</v>
      </c>
      <c r="V1689" s="4" t="str">
        <f>IF($M$1689="","",$M$1689)</f>
        <v/>
      </c>
      <c r="W1689" s="4" t="str">
        <f>IF($O$1689="","",$O$1689)</f>
        <v/>
      </c>
      <c r="X1689" s="4">
        <f>J1689</f>
        <v>320</v>
      </c>
    </row>
    <row r="1690" spans="2:24" ht="30" x14ac:dyDescent="0.25">
      <c r="B1690" s="4">
        <v>1631</v>
      </c>
      <c r="C1690" s="4" t="s">
        <v>186</v>
      </c>
      <c r="D1690" s="4" t="s">
        <v>138</v>
      </c>
      <c r="E1690" s="4">
        <v>2294</v>
      </c>
      <c r="F1690" s="4" t="s">
        <v>50</v>
      </c>
      <c r="G1690" s="4" t="s">
        <v>29</v>
      </c>
      <c r="H1690" s="4" t="s">
        <v>83</v>
      </c>
      <c r="I1690" s="4" t="s">
        <v>42</v>
      </c>
      <c r="J1690" s="4">
        <v>320</v>
      </c>
      <c r="K1690" t="str">
        <f>TEXT(TIMEVALUE(H1690)-TIMEVALUE(I1689)+(TIMEVALUE(H1690)&lt;TIMEVALUE(I1689)),"[h]:mm")</f>
        <v>0:40</v>
      </c>
      <c r="L1690" s="4" t="s">
        <v>55</v>
      </c>
      <c r="O1690" t="str">
        <f>"LIM-"&amp;G1689&amp;"-LIM   LA "&amp;E1689&amp;" ("&amp;LEFT(H1689,5)&amp;"-"&amp;LEFT(I1689,5)&amp;" hrs)  /  LA "&amp;E1690&amp;" ("&amp;LEFT(H1690,5)&amp;"-"&amp;LEFT(I1690,5)&amp;" hrs)"</f>
        <v>LIM-CJA-LIM   LA 2295 (14:10-15:30 hrs)  /  LA 2294 (16:10-17:15 hrs)</v>
      </c>
    </row>
    <row r="1691" spans="2:24" ht="30" x14ac:dyDescent="0.25">
      <c r="B1691" s="4">
        <v>1646</v>
      </c>
      <c r="C1691" s="4" t="s">
        <v>186</v>
      </c>
      <c r="D1691" s="4" t="s">
        <v>138</v>
      </c>
      <c r="E1691" s="4">
        <v>2310</v>
      </c>
      <c r="F1691" s="4" t="s">
        <v>29</v>
      </c>
      <c r="G1691" s="4" t="s">
        <v>37</v>
      </c>
      <c r="H1691" s="4" t="s">
        <v>111</v>
      </c>
      <c r="I1691" s="4" t="s">
        <v>112</v>
      </c>
      <c r="J1691" s="4">
        <v>320</v>
      </c>
      <c r="K1691" s="6" t="str">
        <f>TEXT(TIMEVALUE(H1691)-TIMEVALUE(I1690)+(TIMEVALUE(H1691)&lt;TIMEVALUE(I1690)),"[h]:mm")</f>
        <v>1:00</v>
      </c>
      <c r="L1691" s="4" t="s">
        <v>40</v>
      </c>
      <c r="M1691" t="str">
        <f>IF($M$1689="","",$M$1689)</f>
        <v/>
      </c>
      <c r="O1691" t="str">
        <f>IF($O$1689="","",$O$1689)</f>
        <v/>
      </c>
      <c r="Q1691" s="4">
        <f>B1691</f>
        <v>1646</v>
      </c>
      <c r="R1691" s="4" t="str">
        <f>C1691</f>
        <v>19/10/2026</v>
      </c>
      <c r="S1691" s="4" t="str">
        <f>D1691</f>
        <v>lunes</v>
      </c>
      <c r="T1691" s="4" t="str">
        <f>E1691&amp;"/"&amp;E1692</f>
        <v>2310/2311</v>
      </c>
      <c r="U1691" s="4" t="str">
        <f>F1691&amp;"-"&amp;G1691&amp;"-"&amp;F1691</f>
        <v>LIM-CIX-LIM</v>
      </c>
      <c r="V1691" s="4" t="str">
        <f>IF($M$1689="","",$M$1689)</f>
        <v/>
      </c>
      <c r="W1691" s="4" t="str">
        <f>IF($O$1689="","",$O$1689)</f>
        <v/>
      </c>
      <c r="X1691" s="4">
        <f>J1691</f>
        <v>320</v>
      </c>
    </row>
    <row r="1692" spans="2:24" ht="30" x14ac:dyDescent="0.25">
      <c r="B1692" s="4">
        <v>1646</v>
      </c>
      <c r="C1692" s="4" t="s">
        <v>186</v>
      </c>
      <c r="D1692" s="4" t="s">
        <v>138</v>
      </c>
      <c r="E1692" s="4">
        <v>2311</v>
      </c>
      <c r="F1692" s="4" t="s">
        <v>37</v>
      </c>
      <c r="G1692" s="4" t="s">
        <v>29</v>
      </c>
      <c r="H1692" s="4" t="s">
        <v>113</v>
      </c>
      <c r="I1692" s="4" t="s">
        <v>114</v>
      </c>
      <c r="J1692" s="4">
        <v>320</v>
      </c>
      <c r="K1692" t="str">
        <f>TEXT(TIMEVALUE(H1692)-TIMEVALUE(I1691)+(TIMEVALUE(H1692)&lt;TIMEVALUE(I1691)),"[h]:mm")</f>
        <v>0:35</v>
      </c>
      <c r="L1692" s="4" t="s">
        <v>93</v>
      </c>
      <c r="O1692" t="str">
        <f>"LIM-"&amp;G1691&amp;"-LIM   LA "&amp;E1691&amp;" ("&amp;LEFT(H1691,5)&amp;"-"&amp;LEFT(I1691,5)&amp;" hrs)  /  LA "&amp;E1692&amp;" ("&amp;LEFT(H1692,5)&amp;"-"&amp;LEFT(I1692,5)&amp;" hrs)"</f>
        <v>LIM-CIX-LIM   LA 2310 (18:15-19:45 hrs)  /  LA 2311 (20:20-21:45 hrs)</v>
      </c>
    </row>
    <row r="1693" spans="2:24" x14ac:dyDescent="0.25">
      <c r="J1693" s="7" t="s">
        <v>43</v>
      </c>
      <c r="K1693" s="8" t="str">
        <f>TEXT(TIMEVALUE(I1692)-TIMEVALUE(H1689)+(I1692&lt;H1689),"[h]:mm")</f>
        <v>7:35</v>
      </c>
    </row>
    <row r="1695" spans="2:24" ht="30" x14ac:dyDescent="0.25">
      <c r="B1695" s="3" t="s">
        <v>9</v>
      </c>
      <c r="C1695" s="3" t="s">
        <v>17</v>
      </c>
      <c r="D1695" s="3" t="s">
        <v>18</v>
      </c>
      <c r="E1695" s="3" t="s">
        <v>19</v>
      </c>
      <c r="F1695" s="3" t="s">
        <v>20</v>
      </c>
      <c r="G1695" s="3" t="s">
        <v>21</v>
      </c>
      <c r="H1695" s="3" t="s">
        <v>22</v>
      </c>
      <c r="I1695" s="3" t="s">
        <v>23</v>
      </c>
      <c r="J1695" s="3" t="s">
        <v>24</v>
      </c>
      <c r="K1695" s="3" t="s">
        <v>25</v>
      </c>
      <c r="L1695" s="3" t="s">
        <v>26</v>
      </c>
    </row>
    <row r="1696" spans="2:24" ht="30" x14ac:dyDescent="0.25">
      <c r="B1696" s="4">
        <v>1633</v>
      </c>
      <c r="C1696" s="4" t="s">
        <v>186</v>
      </c>
      <c r="D1696" s="4" t="s">
        <v>138</v>
      </c>
      <c r="E1696" s="4">
        <v>2264</v>
      </c>
      <c r="F1696" s="4" t="s">
        <v>29</v>
      </c>
      <c r="G1696" s="4" t="s">
        <v>44</v>
      </c>
      <c r="H1696" s="4" t="s">
        <v>87</v>
      </c>
      <c r="I1696" s="4" t="s">
        <v>60</v>
      </c>
      <c r="J1696" s="4">
        <v>320</v>
      </c>
      <c r="L1696" s="4" t="s">
        <v>47</v>
      </c>
      <c r="M1696" s="5"/>
      <c r="O1696" s="5"/>
      <c r="Q1696" s="4">
        <f>B1696</f>
        <v>1633</v>
      </c>
      <c r="R1696" s="4" t="str">
        <f>C1696</f>
        <v>19/10/2026</v>
      </c>
      <c r="S1696" s="4" t="str">
        <f>D1696</f>
        <v>lunes</v>
      </c>
      <c r="T1696" s="4" t="str">
        <f>E1696&amp;"/"&amp;E1697</f>
        <v>2264/2265</v>
      </c>
      <c r="U1696" s="4" t="str">
        <f>F1696&amp;"-"&amp;G1696&amp;"-"&amp;F1696</f>
        <v>LIM-PEM-LIM</v>
      </c>
      <c r="V1696" s="4" t="str">
        <f>IF($M$1696="","",$M$1696)</f>
        <v/>
      </c>
      <c r="W1696" s="4" t="str">
        <f>IF($O$1696="","",$O$1696)</f>
        <v/>
      </c>
      <c r="X1696" s="4">
        <f>J1696</f>
        <v>320</v>
      </c>
    </row>
    <row r="1697" spans="2:24" ht="30" x14ac:dyDescent="0.25">
      <c r="B1697" s="4">
        <v>1633</v>
      </c>
      <c r="C1697" s="4" t="s">
        <v>186</v>
      </c>
      <c r="D1697" s="4" t="s">
        <v>138</v>
      </c>
      <c r="E1697" s="4">
        <v>2265</v>
      </c>
      <c r="F1697" s="4" t="s">
        <v>44</v>
      </c>
      <c r="G1697" s="4" t="s">
        <v>29</v>
      </c>
      <c r="H1697" s="4" t="s">
        <v>53</v>
      </c>
      <c r="I1697" s="4" t="s">
        <v>88</v>
      </c>
      <c r="J1697" s="4">
        <v>320</v>
      </c>
      <c r="K1697" t="str">
        <f>TEXT(TIMEVALUE(H1697)-TIMEVALUE(I1696)+(TIMEVALUE(H1697)&lt;TIMEVALUE(I1696)),"[h]:mm")</f>
        <v>0:40</v>
      </c>
      <c r="L1697" s="4" t="s">
        <v>36</v>
      </c>
      <c r="O1697" t="str">
        <f>"LIM-"&amp;G1696&amp;"-LIM   LA "&amp;E1696&amp;" ("&amp;LEFT(H1696,5)&amp;"-"&amp;LEFT(I1696,5)&amp;" hrs)  /  LA "&amp;E1697&amp;" ("&amp;LEFT(H1697,5)&amp;"-"&amp;LEFT(I1697,5)&amp;" hrs)"</f>
        <v>LIM-PEM-LIM   LA 2264 (14:55-16:40 hrs)  /  LA 2265 (17:20-18:55 hrs)</v>
      </c>
    </row>
    <row r="1698" spans="2:24" x14ac:dyDescent="0.25">
      <c r="J1698" s="7" t="s">
        <v>43</v>
      </c>
      <c r="K1698" s="8" t="str">
        <f>TEXT(TIMEVALUE(I1697)-TIMEVALUE(H1696)+(I1697&lt;H1696),"[h]:mm")</f>
        <v>4:00</v>
      </c>
    </row>
    <row r="1700" spans="2:24" ht="30" x14ac:dyDescent="0.25">
      <c r="B1700" s="3" t="s">
        <v>9</v>
      </c>
      <c r="C1700" s="3" t="s">
        <v>17</v>
      </c>
      <c r="D1700" s="3" t="s">
        <v>18</v>
      </c>
      <c r="E1700" s="3" t="s">
        <v>19</v>
      </c>
      <c r="F1700" s="3" t="s">
        <v>20</v>
      </c>
      <c r="G1700" s="3" t="s">
        <v>21</v>
      </c>
      <c r="H1700" s="3" t="s">
        <v>22</v>
      </c>
      <c r="I1700" s="3" t="s">
        <v>23</v>
      </c>
      <c r="J1700" s="3" t="s">
        <v>24</v>
      </c>
      <c r="K1700" s="3" t="s">
        <v>25</v>
      </c>
      <c r="L1700" s="3" t="s">
        <v>26</v>
      </c>
    </row>
    <row r="1701" spans="2:24" ht="30" x14ac:dyDescent="0.25">
      <c r="B1701" s="4">
        <v>1634</v>
      </c>
      <c r="C1701" s="4" t="s">
        <v>186</v>
      </c>
      <c r="D1701" s="4" t="s">
        <v>138</v>
      </c>
      <c r="E1701" s="4">
        <v>2264</v>
      </c>
      <c r="F1701" s="4" t="s">
        <v>29</v>
      </c>
      <c r="G1701" s="4" t="s">
        <v>44</v>
      </c>
      <c r="H1701" s="4" t="s">
        <v>87</v>
      </c>
      <c r="I1701" s="4" t="s">
        <v>60</v>
      </c>
      <c r="J1701" s="4">
        <v>320</v>
      </c>
      <c r="L1701" s="4" t="s">
        <v>47</v>
      </c>
      <c r="M1701" s="5"/>
      <c r="O1701" s="5"/>
      <c r="Q1701" s="4">
        <f>B1701</f>
        <v>1634</v>
      </c>
      <c r="R1701" s="4" t="str">
        <f>C1701</f>
        <v>19/10/2026</v>
      </c>
      <c r="S1701" s="4" t="str">
        <f>D1701</f>
        <v>lunes</v>
      </c>
      <c r="T1701" s="4" t="str">
        <f>E1701&amp;"/"&amp;E1702</f>
        <v>2264/2265</v>
      </c>
      <c r="U1701" s="4" t="str">
        <f>F1701&amp;"-"&amp;G1701&amp;"-"&amp;F1701</f>
        <v>LIM-PEM-LIM</v>
      </c>
      <c r="V1701" s="4" t="str">
        <f>IF($M$1701="","",$M$1701)</f>
        <v/>
      </c>
      <c r="W1701" s="4" t="str">
        <f>IF($O$1701="","",$O$1701)</f>
        <v/>
      </c>
      <c r="X1701" s="4">
        <f>J1701</f>
        <v>320</v>
      </c>
    </row>
    <row r="1702" spans="2:24" ht="30" x14ac:dyDescent="0.25">
      <c r="B1702" s="4">
        <v>1634</v>
      </c>
      <c r="C1702" s="4" t="s">
        <v>186</v>
      </c>
      <c r="D1702" s="4" t="s">
        <v>138</v>
      </c>
      <c r="E1702" s="4">
        <v>2265</v>
      </c>
      <c r="F1702" s="4" t="s">
        <v>44</v>
      </c>
      <c r="G1702" s="4" t="s">
        <v>29</v>
      </c>
      <c r="H1702" s="4" t="s">
        <v>53</v>
      </c>
      <c r="I1702" s="4" t="s">
        <v>88</v>
      </c>
      <c r="J1702" s="4">
        <v>320</v>
      </c>
      <c r="K1702" t="str">
        <f>TEXT(TIMEVALUE(H1702)-TIMEVALUE(I1701)+(TIMEVALUE(H1702)&lt;TIMEVALUE(I1701)),"[h]:mm")</f>
        <v>0:40</v>
      </c>
      <c r="L1702" s="4" t="s">
        <v>36</v>
      </c>
      <c r="O1702" t="str">
        <f>"LIM-"&amp;G1701&amp;"-LIM   LA "&amp;E1701&amp;" ("&amp;LEFT(H1701,5)&amp;"-"&amp;LEFT(I1701,5)&amp;" hrs)  /  LA "&amp;E1702&amp;" ("&amp;LEFT(H1702,5)&amp;"-"&amp;LEFT(I1702,5)&amp;" hrs)"</f>
        <v>LIM-PEM-LIM   LA 2264 (14:55-16:40 hrs)  /  LA 2265 (17:20-18:55 hrs)</v>
      </c>
    </row>
    <row r="1703" spans="2:24" x14ac:dyDescent="0.25">
      <c r="J1703" s="7" t="s">
        <v>43</v>
      </c>
      <c r="K1703" s="8" t="str">
        <f>TEXT(TIMEVALUE(I1702)-TIMEVALUE(H1701)+(I1702&lt;H1701),"[h]:mm")</f>
        <v>4:00</v>
      </c>
    </row>
    <row r="1705" spans="2:24" ht="30" x14ac:dyDescent="0.25">
      <c r="B1705" s="3" t="s">
        <v>9</v>
      </c>
      <c r="C1705" s="3" t="s">
        <v>17</v>
      </c>
      <c r="D1705" s="3" t="s">
        <v>18</v>
      </c>
      <c r="E1705" s="3" t="s">
        <v>19</v>
      </c>
      <c r="F1705" s="3" t="s">
        <v>20</v>
      </c>
      <c r="G1705" s="3" t="s">
        <v>21</v>
      </c>
      <c r="H1705" s="3" t="s">
        <v>22</v>
      </c>
      <c r="I1705" s="3" t="s">
        <v>23</v>
      </c>
      <c r="J1705" s="3" t="s">
        <v>24</v>
      </c>
      <c r="K1705" s="3" t="s">
        <v>25</v>
      </c>
      <c r="L1705" s="3" t="s">
        <v>26</v>
      </c>
    </row>
    <row r="1706" spans="2:24" ht="30" x14ac:dyDescent="0.25">
      <c r="B1706" s="4">
        <v>1635</v>
      </c>
      <c r="C1706" s="4" t="s">
        <v>186</v>
      </c>
      <c r="D1706" s="4" t="s">
        <v>138</v>
      </c>
      <c r="E1706" s="4">
        <v>2338</v>
      </c>
      <c r="F1706" s="4" t="s">
        <v>29</v>
      </c>
      <c r="G1706" s="4" t="s">
        <v>125</v>
      </c>
      <c r="H1706" s="4" t="s">
        <v>109</v>
      </c>
      <c r="I1706" s="4" t="s">
        <v>86</v>
      </c>
      <c r="J1706" s="4">
        <v>319</v>
      </c>
      <c r="L1706" s="4" t="s">
        <v>47</v>
      </c>
      <c r="M1706" s="5"/>
      <c r="O1706" s="5"/>
      <c r="Q1706" s="4">
        <f>B1706</f>
        <v>1635</v>
      </c>
      <c r="R1706" s="4" t="str">
        <f>C1706</f>
        <v>19/10/2026</v>
      </c>
      <c r="S1706" s="4" t="str">
        <f>D1706</f>
        <v>lunes</v>
      </c>
      <c r="T1706" s="4" t="str">
        <f>E1706&amp;"/"&amp;E1707</f>
        <v>2338/2339</v>
      </c>
      <c r="U1706" s="4" t="str">
        <f>F1706&amp;"-"&amp;G1706&amp;"-"&amp;F1706</f>
        <v>LIM-PIU-LIM</v>
      </c>
      <c r="V1706" s="4" t="str">
        <f>IF($M$1706="","",$M$1706)</f>
        <v/>
      </c>
      <c r="W1706" s="4" t="str">
        <f>IF($O$1706="","",$O$1706)</f>
        <v/>
      </c>
      <c r="X1706" s="4">
        <f>J1706</f>
        <v>319</v>
      </c>
    </row>
    <row r="1707" spans="2:24" ht="30" x14ac:dyDescent="0.25">
      <c r="B1707" s="4">
        <v>1635</v>
      </c>
      <c r="C1707" s="4" t="s">
        <v>186</v>
      </c>
      <c r="D1707" s="4" t="s">
        <v>138</v>
      </c>
      <c r="E1707" s="4">
        <v>2339</v>
      </c>
      <c r="F1707" s="4" t="s">
        <v>125</v>
      </c>
      <c r="G1707" s="4" t="s">
        <v>29</v>
      </c>
      <c r="H1707" s="4" t="s">
        <v>53</v>
      </c>
      <c r="I1707" s="4" t="s">
        <v>88</v>
      </c>
      <c r="J1707" s="4">
        <v>319</v>
      </c>
      <c r="K1707" t="str">
        <f>TEXT(TIMEVALUE(H1707)-TIMEVALUE(I1706)+(TIMEVALUE(H1707)&lt;TIMEVALUE(I1706)),"[h]:mm")</f>
        <v>0:35</v>
      </c>
      <c r="L1707" s="4" t="s">
        <v>36</v>
      </c>
      <c r="O1707" t="str">
        <f>"LIM-"&amp;G1706&amp;"-LIM   LA "&amp;E1706&amp;" ("&amp;LEFT(H1706,5)&amp;"-"&amp;LEFT(I1706,5)&amp;" hrs)  /  LA "&amp;E1707&amp;" ("&amp;LEFT(H1707,5)&amp;"-"&amp;LEFT(I1707,5)&amp;" hrs)"</f>
        <v>LIM-PIU-LIM   LA 2338 (15:00-16:45 hrs)  /  LA 2339 (17:20-18:55 hrs)</v>
      </c>
    </row>
    <row r="1708" spans="2:24" x14ac:dyDescent="0.25">
      <c r="J1708" s="7" t="s">
        <v>43</v>
      </c>
      <c r="K1708" s="8" t="str">
        <f>TEXT(TIMEVALUE(I1707)-TIMEVALUE(H1706)+(I1707&lt;H1706),"[h]:mm")</f>
        <v>3:55</v>
      </c>
    </row>
    <row r="1710" spans="2:24" ht="30" x14ac:dyDescent="0.25">
      <c r="B1710" s="3" t="s">
        <v>9</v>
      </c>
      <c r="C1710" s="3" t="s">
        <v>17</v>
      </c>
      <c r="D1710" s="3" t="s">
        <v>18</v>
      </c>
      <c r="E1710" s="3" t="s">
        <v>19</v>
      </c>
      <c r="F1710" s="3" t="s">
        <v>20</v>
      </c>
      <c r="G1710" s="3" t="s">
        <v>21</v>
      </c>
      <c r="H1710" s="3" t="s">
        <v>22</v>
      </c>
      <c r="I1710" s="3" t="s">
        <v>23</v>
      </c>
      <c r="J1710" s="3" t="s">
        <v>24</v>
      </c>
      <c r="K1710" s="3" t="s">
        <v>25</v>
      </c>
      <c r="L1710" s="3" t="s">
        <v>26</v>
      </c>
    </row>
    <row r="1711" spans="2:24" ht="30" x14ac:dyDescent="0.25">
      <c r="B1711" s="4">
        <v>1636</v>
      </c>
      <c r="C1711" s="4" t="s">
        <v>186</v>
      </c>
      <c r="D1711" s="4" t="s">
        <v>138</v>
      </c>
      <c r="E1711" s="4">
        <v>2113</v>
      </c>
      <c r="F1711" s="4" t="s">
        <v>29</v>
      </c>
      <c r="G1711" s="4" t="s">
        <v>56</v>
      </c>
      <c r="H1711" s="4" t="s">
        <v>126</v>
      </c>
      <c r="I1711" s="4" t="s">
        <v>52</v>
      </c>
      <c r="J1711" s="4">
        <v>320</v>
      </c>
      <c r="L1711" s="4" t="s">
        <v>40</v>
      </c>
      <c r="M1711" s="5"/>
      <c r="O1711" s="5"/>
      <c r="Q1711" s="4">
        <f>B1711</f>
        <v>1636</v>
      </c>
      <c r="R1711" s="4" t="str">
        <f>C1711</f>
        <v>19/10/2026</v>
      </c>
      <c r="S1711" s="4" t="str">
        <f>D1711</f>
        <v>lunes</v>
      </c>
      <c r="T1711" s="4" t="str">
        <f>E1711&amp;"/"&amp;E1712</f>
        <v>2113/2112</v>
      </c>
      <c r="U1711" s="4" t="str">
        <f>F1711&amp;"-"&amp;G1711&amp;"-"&amp;F1711</f>
        <v>LIM-AQP-LIM</v>
      </c>
      <c r="V1711" s="4" t="str">
        <f>IF($M$1711="","",$M$1711)</f>
        <v/>
      </c>
      <c r="W1711" s="4" t="str">
        <f>IF($O$1711="","",$O$1711)</f>
        <v/>
      </c>
      <c r="X1711" s="4">
        <f>J1711</f>
        <v>320</v>
      </c>
    </row>
    <row r="1712" spans="2:24" ht="30" x14ac:dyDescent="0.25">
      <c r="B1712" s="4">
        <v>1636</v>
      </c>
      <c r="C1712" s="4" t="s">
        <v>186</v>
      </c>
      <c r="D1712" s="4" t="s">
        <v>138</v>
      </c>
      <c r="E1712" s="4">
        <v>2112</v>
      </c>
      <c r="F1712" s="4" t="s">
        <v>56</v>
      </c>
      <c r="G1712" s="4" t="s">
        <v>29</v>
      </c>
      <c r="H1712" s="4" t="s">
        <v>42</v>
      </c>
      <c r="I1712" s="4" t="s">
        <v>88</v>
      </c>
      <c r="J1712" s="4">
        <v>320</v>
      </c>
      <c r="K1712" t="str">
        <f>TEXT(TIMEVALUE(H1712)-TIMEVALUE(I1711)+(TIMEVALUE(H1712)&lt;TIMEVALUE(I1711)),"[h]:mm")</f>
        <v>0:40</v>
      </c>
      <c r="L1712" s="4" t="s">
        <v>71</v>
      </c>
      <c r="O1712" t="str">
        <f>"LIM-"&amp;G1711&amp;"-LIM   LA "&amp;E1711&amp;" ("&amp;LEFT(H1711,5)&amp;"-"&amp;LEFT(I1711,5)&amp;" hrs)  /  LA "&amp;E1712&amp;" ("&amp;LEFT(H1712,5)&amp;"-"&amp;LEFT(I1712,5)&amp;" hrs)"</f>
        <v>LIM-AQP-LIM   LA 2113 (15:05-16:35 hrs)  /  LA 2112 (17:15-18:55 hrs)</v>
      </c>
    </row>
    <row r="1713" spans="2:24" x14ac:dyDescent="0.25">
      <c r="J1713" s="7" t="s">
        <v>43</v>
      </c>
      <c r="K1713" s="8" t="str">
        <f>TEXT(TIMEVALUE(I1712)-TIMEVALUE(H1711)+(I1712&lt;H1711),"[h]:mm")</f>
        <v>3:50</v>
      </c>
    </row>
    <row r="1715" spans="2:24" ht="30" x14ac:dyDescent="0.25">
      <c r="B1715" s="3" t="s">
        <v>9</v>
      </c>
      <c r="C1715" s="3" t="s">
        <v>17</v>
      </c>
      <c r="D1715" s="3" t="s">
        <v>18</v>
      </c>
      <c r="E1715" s="3" t="s">
        <v>19</v>
      </c>
      <c r="F1715" s="3" t="s">
        <v>20</v>
      </c>
      <c r="G1715" s="3" t="s">
        <v>21</v>
      </c>
      <c r="H1715" s="3" t="s">
        <v>22</v>
      </c>
      <c r="I1715" s="3" t="s">
        <v>23</v>
      </c>
      <c r="J1715" s="3" t="s">
        <v>24</v>
      </c>
      <c r="K1715" s="3" t="s">
        <v>25</v>
      </c>
      <c r="L1715" s="3" t="s">
        <v>26</v>
      </c>
    </row>
    <row r="1716" spans="2:24" ht="30" x14ac:dyDescent="0.25">
      <c r="B1716" s="4">
        <v>1638</v>
      </c>
      <c r="C1716" s="4" t="s">
        <v>186</v>
      </c>
      <c r="D1716" s="4" t="s">
        <v>138</v>
      </c>
      <c r="E1716" s="4">
        <v>2297</v>
      </c>
      <c r="F1716" s="4" t="s">
        <v>29</v>
      </c>
      <c r="G1716" s="4" t="s">
        <v>50</v>
      </c>
      <c r="H1716" s="4" t="s">
        <v>51</v>
      </c>
      <c r="I1716" s="4" t="s">
        <v>52</v>
      </c>
      <c r="J1716" s="4">
        <v>319</v>
      </c>
      <c r="L1716" s="4" t="s">
        <v>33</v>
      </c>
      <c r="M1716" s="5"/>
      <c r="O1716" s="5"/>
      <c r="Q1716" s="4">
        <f>B1716</f>
        <v>1638</v>
      </c>
      <c r="R1716" s="4" t="str">
        <f>C1716</f>
        <v>19/10/2026</v>
      </c>
      <c r="S1716" s="4" t="str">
        <f>D1716</f>
        <v>lunes</v>
      </c>
      <c r="T1716" s="4" t="str">
        <f>E1716&amp;"/"&amp;E1717</f>
        <v>2297/2296</v>
      </c>
      <c r="U1716" s="4" t="str">
        <f>F1716&amp;"-"&amp;G1716&amp;"-"&amp;F1716</f>
        <v>LIM-CJA-LIM</v>
      </c>
      <c r="V1716" s="4" t="str">
        <f>IF($M$1716="","",$M$1716)</f>
        <v/>
      </c>
      <c r="W1716" s="4" t="str">
        <f>IF($O$1716="","",$O$1716)</f>
        <v/>
      </c>
      <c r="X1716" s="4">
        <f>J1716</f>
        <v>319</v>
      </c>
    </row>
    <row r="1717" spans="2:24" ht="30" x14ac:dyDescent="0.25">
      <c r="B1717" s="4">
        <v>1638</v>
      </c>
      <c r="C1717" s="4" t="s">
        <v>186</v>
      </c>
      <c r="D1717" s="4" t="s">
        <v>138</v>
      </c>
      <c r="E1717" s="4">
        <v>2296</v>
      </c>
      <c r="F1717" s="4" t="s">
        <v>50</v>
      </c>
      <c r="G1717" s="4" t="s">
        <v>29</v>
      </c>
      <c r="H1717" s="4" t="s">
        <v>53</v>
      </c>
      <c r="I1717" s="4" t="s">
        <v>54</v>
      </c>
      <c r="J1717" s="4">
        <v>319</v>
      </c>
      <c r="K1717" t="str">
        <f>TEXT(TIMEVALUE(H1717)-TIMEVALUE(I1716)+(TIMEVALUE(H1717)&lt;TIMEVALUE(I1716)),"[h]:mm")</f>
        <v>0:45</v>
      </c>
      <c r="L1717" s="4" t="s">
        <v>55</v>
      </c>
      <c r="O1717" t="str">
        <f>"LIM-"&amp;G1716&amp;"-LIM   LA "&amp;E1716&amp;" ("&amp;LEFT(H1716,5)&amp;"-"&amp;LEFT(I1716,5)&amp;" hrs)  /  LA "&amp;E1717&amp;" ("&amp;LEFT(H1717,5)&amp;"-"&amp;LEFT(I1717,5)&amp;" hrs)"</f>
        <v>LIM-CJA-LIM   LA 2297 (15:15-16:35 hrs)  /  LA 2296 (17:20-18:25 hrs)</v>
      </c>
    </row>
    <row r="1718" spans="2:24" x14ac:dyDescent="0.25">
      <c r="J1718" s="7" t="s">
        <v>43</v>
      </c>
      <c r="K1718" s="8" t="str">
        <f>TEXT(TIMEVALUE(I1717)-TIMEVALUE(H1716)+(I1717&lt;H1716),"[h]:mm")</f>
        <v>3:10</v>
      </c>
    </row>
    <row r="1720" spans="2:24" ht="30" x14ac:dyDescent="0.25">
      <c r="B1720" s="3" t="s">
        <v>9</v>
      </c>
      <c r="C1720" s="3" t="s">
        <v>17</v>
      </c>
      <c r="D1720" s="3" t="s">
        <v>18</v>
      </c>
      <c r="E1720" s="3" t="s">
        <v>19</v>
      </c>
      <c r="F1720" s="3" t="s">
        <v>20</v>
      </c>
      <c r="G1720" s="3" t="s">
        <v>21</v>
      </c>
      <c r="H1720" s="3" t="s">
        <v>22</v>
      </c>
      <c r="I1720" s="3" t="s">
        <v>23</v>
      </c>
      <c r="J1720" s="3" t="s">
        <v>24</v>
      </c>
      <c r="K1720" s="3" t="s">
        <v>25</v>
      </c>
      <c r="L1720" s="3" t="s">
        <v>26</v>
      </c>
    </row>
    <row r="1721" spans="2:24" ht="30" x14ac:dyDescent="0.25">
      <c r="B1721" s="4">
        <v>1639</v>
      </c>
      <c r="C1721" s="4" t="s">
        <v>186</v>
      </c>
      <c r="D1721" s="4" t="s">
        <v>138</v>
      </c>
      <c r="E1721" s="4">
        <v>2360</v>
      </c>
      <c r="F1721" s="4" t="s">
        <v>29</v>
      </c>
      <c r="G1721" s="4" t="s">
        <v>58</v>
      </c>
      <c r="H1721" s="4" t="s">
        <v>59</v>
      </c>
      <c r="I1721" s="4" t="s">
        <v>60</v>
      </c>
      <c r="J1721" s="4">
        <v>320</v>
      </c>
      <c r="L1721" s="4" t="s">
        <v>61</v>
      </c>
      <c r="M1721" s="5"/>
      <c r="O1721" s="5"/>
      <c r="Q1721" s="4">
        <f>B1721</f>
        <v>1639</v>
      </c>
      <c r="R1721" s="4" t="str">
        <f>C1721</f>
        <v>19/10/2026</v>
      </c>
      <c r="S1721" s="4" t="str">
        <f>D1721</f>
        <v>lunes</v>
      </c>
      <c r="T1721" s="4" t="str">
        <f>E1721&amp;"/"&amp;E1722</f>
        <v>2360/2361</v>
      </c>
      <c r="U1721" s="4" t="str">
        <f>F1721&amp;"-"&amp;G1721&amp;"-"&amp;F1721</f>
        <v>LIM-PCL-LIM</v>
      </c>
      <c r="V1721" s="4" t="str">
        <f>IF($M$1721="","",$M$1721)</f>
        <v/>
      </c>
      <c r="W1721" s="4" t="str">
        <f>IF($O$1721="","",$O$1721)</f>
        <v/>
      </c>
      <c r="X1721" s="4">
        <f>J1721</f>
        <v>320</v>
      </c>
    </row>
    <row r="1722" spans="2:24" ht="30" x14ac:dyDescent="0.25">
      <c r="B1722" s="4">
        <v>1639</v>
      </c>
      <c r="C1722" s="4" t="s">
        <v>186</v>
      </c>
      <c r="D1722" s="4" t="s">
        <v>138</v>
      </c>
      <c r="E1722" s="4">
        <v>2361</v>
      </c>
      <c r="F1722" s="4" t="s">
        <v>58</v>
      </c>
      <c r="G1722" s="4" t="s">
        <v>29</v>
      </c>
      <c r="H1722" s="4" t="s">
        <v>53</v>
      </c>
      <c r="I1722" s="4" t="s">
        <v>62</v>
      </c>
      <c r="J1722" s="4">
        <v>320</v>
      </c>
      <c r="K1722" t="str">
        <f>TEXT(TIMEVALUE(H1722)-TIMEVALUE(I1721)+(TIMEVALUE(H1722)&lt;TIMEVALUE(I1721)),"[h]:mm")</f>
        <v>0:40</v>
      </c>
      <c r="L1722" s="4" t="s">
        <v>61</v>
      </c>
      <c r="O1722" t="str">
        <f>"LIM-"&amp;G1721&amp;"-LIM   LA "&amp;E1721&amp;" ("&amp;LEFT(H1721,5)&amp;"-"&amp;LEFT(I1721,5)&amp;" hrs)  /  LA "&amp;E1722&amp;" ("&amp;LEFT(H1722,5)&amp;"-"&amp;LEFT(I1722,5)&amp;" hrs)"</f>
        <v>LIM-PCL-LIM   LA 2360 (15:25-16:40 hrs)  /  LA 2361 (17:20-18:35 hrs)</v>
      </c>
    </row>
    <row r="1723" spans="2:24" x14ac:dyDescent="0.25">
      <c r="J1723" s="7" t="s">
        <v>43</v>
      </c>
      <c r="K1723" s="8" t="str">
        <f>TEXT(TIMEVALUE(I1722)-TIMEVALUE(H1721)+(I1722&lt;H1721),"[h]:mm")</f>
        <v>3:10</v>
      </c>
    </row>
    <row r="1725" spans="2:24" ht="30" x14ac:dyDescent="0.25">
      <c r="B1725" s="3" t="s">
        <v>9</v>
      </c>
      <c r="C1725" s="3" t="s">
        <v>17</v>
      </c>
      <c r="D1725" s="3" t="s">
        <v>18</v>
      </c>
      <c r="E1725" s="3" t="s">
        <v>19</v>
      </c>
      <c r="F1725" s="3" t="s">
        <v>20</v>
      </c>
      <c r="G1725" s="3" t="s">
        <v>21</v>
      </c>
      <c r="H1725" s="3" t="s">
        <v>22</v>
      </c>
      <c r="I1725" s="3" t="s">
        <v>23</v>
      </c>
      <c r="J1725" s="3" t="s">
        <v>24</v>
      </c>
      <c r="K1725" s="3" t="s">
        <v>25</v>
      </c>
      <c r="L1725" s="3" t="s">
        <v>26</v>
      </c>
    </row>
    <row r="1726" spans="2:24" ht="30" x14ac:dyDescent="0.25">
      <c r="B1726" s="4">
        <v>1640</v>
      </c>
      <c r="C1726" s="4" t="s">
        <v>186</v>
      </c>
      <c r="D1726" s="4" t="s">
        <v>138</v>
      </c>
      <c r="E1726" s="4">
        <v>2312</v>
      </c>
      <c r="F1726" s="4" t="s">
        <v>29</v>
      </c>
      <c r="G1726" s="4" t="s">
        <v>37</v>
      </c>
      <c r="H1726" s="4" t="s">
        <v>89</v>
      </c>
      <c r="I1726" s="4" t="s">
        <v>77</v>
      </c>
      <c r="J1726" s="4">
        <v>320</v>
      </c>
      <c r="L1726" s="4" t="s">
        <v>40</v>
      </c>
      <c r="M1726" s="5"/>
      <c r="O1726" s="5"/>
      <c r="Q1726" s="4">
        <f>B1726</f>
        <v>1640</v>
      </c>
      <c r="R1726" s="4" t="str">
        <f>C1726</f>
        <v>19/10/2026</v>
      </c>
      <c r="S1726" s="4" t="str">
        <f>D1726</f>
        <v>lunes</v>
      </c>
      <c r="T1726" s="4" t="str">
        <f>E1726&amp;"/"&amp;E1727</f>
        <v>2312/2313</v>
      </c>
      <c r="U1726" s="4" t="str">
        <f>F1726&amp;"-"&amp;G1726&amp;"-"&amp;F1726</f>
        <v>LIM-CIX-LIM</v>
      </c>
      <c r="V1726" s="4" t="str">
        <f>IF($M$1726="","",$M$1726)</f>
        <v/>
      </c>
      <c r="W1726" s="4" t="str">
        <f>IF($O$1726="","",$O$1726)</f>
        <v/>
      </c>
      <c r="X1726" s="4">
        <f>J1726</f>
        <v>320</v>
      </c>
    </row>
    <row r="1727" spans="2:24" ht="30" x14ac:dyDescent="0.25">
      <c r="B1727" s="4">
        <v>1640</v>
      </c>
      <c r="C1727" s="4" t="s">
        <v>186</v>
      </c>
      <c r="D1727" s="4" t="s">
        <v>138</v>
      </c>
      <c r="E1727" s="4">
        <v>2313</v>
      </c>
      <c r="F1727" s="4" t="s">
        <v>37</v>
      </c>
      <c r="G1727" s="4" t="s">
        <v>29</v>
      </c>
      <c r="H1727" s="4" t="s">
        <v>84</v>
      </c>
      <c r="I1727" s="4" t="s">
        <v>90</v>
      </c>
      <c r="J1727" s="4">
        <v>320</v>
      </c>
      <c r="K1727" t="str">
        <f>TEXT(TIMEVALUE(H1727)-TIMEVALUE(I1726)+(TIMEVALUE(H1727)&lt;TIMEVALUE(I1726)),"[h]:mm")</f>
        <v>0:45</v>
      </c>
      <c r="L1727" s="4" t="s">
        <v>33</v>
      </c>
      <c r="O1727" t="str">
        <f>"LIM-"&amp;G1726&amp;"-LIM   LA "&amp;E1726&amp;" ("&amp;LEFT(H1726,5)&amp;"-"&amp;LEFT(I1726,5)&amp;" hrs)  /  LA "&amp;E1727&amp;" ("&amp;LEFT(H1727,5)&amp;"-"&amp;LEFT(I1727,5)&amp;" hrs)"</f>
        <v>LIM-CIX-LIM   LA 2312 (15:35-17:05 hrs)  /  LA 2313 (17:50-19:10 hrs)</v>
      </c>
    </row>
    <row r="1728" spans="2:24" x14ac:dyDescent="0.25">
      <c r="J1728" s="7" t="s">
        <v>43</v>
      </c>
      <c r="K1728" s="8" t="str">
        <f>TEXT(TIMEVALUE(I1727)-TIMEVALUE(H1726)+(I1727&lt;H1726),"[h]:mm")</f>
        <v>3:35</v>
      </c>
    </row>
    <row r="1730" spans="2:24" ht="30" x14ac:dyDescent="0.25">
      <c r="B1730" s="3" t="s">
        <v>9</v>
      </c>
      <c r="C1730" s="3" t="s">
        <v>17</v>
      </c>
      <c r="D1730" s="3" t="s">
        <v>18</v>
      </c>
      <c r="E1730" s="3" t="s">
        <v>19</v>
      </c>
      <c r="F1730" s="3" t="s">
        <v>20</v>
      </c>
      <c r="G1730" s="3" t="s">
        <v>21</v>
      </c>
      <c r="H1730" s="3" t="s">
        <v>22</v>
      </c>
      <c r="I1730" s="3" t="s">
        <v>23</v>
      </c>
      <c r="J1730" s="3" t="s">
        <v>24</v>
      </c>
      <c r="K1730" s="3" t="s">
        <v>25</v>
      </c>
      <c r="L1730" s="3" t="s">
        <v>26</v>
      </c>
    </row>
    <row r="1731" spans="2:24" ht="30" x14ac:dyDescent="0.25">
      <c r="B1731" s="4">
        <v>1641</v>
      </c>
      <c r="C1731" s="4" t="s">
        <v>186</v>
      </c>
      <c r="D1731" s="4" t="s">
        <v>138</v>
      </c>
      <c r="E1731" s="4">
        <v>2301</v>
      </c>
      <c r="F1731" s="4" t="s">
        <v>29</v>
      </c>
      <c r="G1731" s="4" t="s">
        <v>91</v>
      </c>
      <c r="H1731" s="4" t="s">
        <v>92</v>
      </c>
      <c r="I1731" s="4" t="s">
        <v>77</v>
      </c>
      <c r="J1731" s="4">
        <v>319</v>
      </c>
      <c r="L1731" s="4" t="s">
        <v>93</v>
      </c>
      <c r="M1731" s="5"/>
      <c r="O1731" s="5"/>
      <c r="Q1731" s="4">
        <f>B1731</f>
        <v>1641</v>
      </c>
      <c r="R1731" s="4" t="str">
        <f>C1731</f>
        <v>19/10/2026</v>
      </c>
      <c r="S1731" s="4" t="str">
        <f>D1731</f>
        <v>lunes</v>
      </c>
      <c r="T1731" s="4" t="str">
        <f>E1731&amp;"/"&amp;E1732</f>
        <v>2301/2300</v>
      </c>
      <c r="U1731" s="4" t="str">
        <f>F1731&amp;"-"&amp;G1731&amp;"-"&amp;F1731</f>
        <v>LIM-TPP-LIM</v>
      </c>
      <c r="V1731" s="4" t="str">
        <f>IF($M$1731="","",$M$1731)</f>
        <v/>
      </c>
      <c r="W1731" s="4" t="str">
        <f>IF($O$1731="","",$O$1731)</f>
        <v/>
      </c>
      <c r="X1731" s="4">
        <f>J1731</f>
        <v>319</v>
      </c>
    </row>
    <row r="1732" spans="2:24" ht="30" x14ac:dyDescent="0.25">
      <c r="B1732" s="4">
        <v>1641</v>
      </c>
      <c r="C1732" s="4" t="s">
        <v>186</v>
      </c>
      <c r="D1732" s="4" t="s">
        <v>138</v>
      </c>
      <c r="E1732" s="4">
        <v>2300</v>
      </c>
      <c r="F1732" s="4" t="s">
        <v>91</v>
      </c>
      <c r="G1732" s="4" t="s">
        <v>29</v>
      </c>
      <c r="H1732" s="4" t="s">
        <v>84</v>
      </c>
      <c r="I1732" s="4" t="s">
        <v>94</v>
      </c>
      <c r="J1732" s="4">
        <v>319</v>
      </c>
      <c r="K1732" t="str">
        <f>TEXT(TIMEVALUE(H1732)-TIMEVALUE(I1731)+(TIMEVALUE(H1732)&lt;TIMEVALUE(I1731)),"[h]:mm")</f>
        <v>0:45</v>
      </c>
      <c r="L1732" s="4" t="s">
        <v>93</v>
      </c>
      <c r="O1732" t="str">
        <f>"LIM-"&amp;G1731&amp;"-LIM   LA "&amp;E1731&amp;" ("&amp;LEFT(H1731,5)&amp;"-"&amp;LEFT(I1731,5)&amp;" hrs)  /  LA "&amp;E1732&amp;" ("&amp;LEFT(H1732,5)&amp;"-"&amp;LEFT(I1732,5)&amp;" hrs)"</f>
        <v>LIM-TPP-LIM   LA 2301 (15:40-17:05 hrs)  /  LA 2300 (17:50-19:15 hrs)</v>
      </c>
    </row>
    <row r="1733" spans="2:24" x14ac:dyDescent="0.25">
      <c r="J1733" s="7" t="s">
        <v>43</v>
      </c>
      <c r="K1733" s="8" t="str">
        <f>TEXT(TIMEVALUE(I1732)-TIMEVALUE(H1731)+(I1732&lt;H1731),"[h]:mm")</f>
        <v>3:35</v>
      </c>
    </row>
    <row r="1735" spans="2:24" ht="30" x14ac:dyDescent="0.25">
      <c r="B1735" s="3" t="s">
        <v>9</v>
      </c>
      <c r="C1735" s="3" t="s">
        <v>17</v>
      </c>
      <c r="D1735" s="3" t="s">
        <v>18</v>
      </c>
      <c r="E1735" s="3" t="s">
        <v>19</v>
      </c>
      <c r="F1735" s="3" t="s">
        <v>20</v>
      </c>
      <c r="G1735" s="3" t="s">
        <v>21</v>
      </c>
      <c r="H1735" s="3" t="s">
        <v>22</v>
      </c>
      <c r="I1735" s="3" t="s">
        <v>23</v>
      </c>
      <c r="J1735" s="3" t="s">
        <v>24</v>
      </c>
      <c r="K1735" s="3" t="s">
        <v>25</v>
      </c>
      <c r="L1735" s="3" t="s">
        <v>26</v>
      </c>
    </row>
    <row r="1736" spans="2:24" ht="30" x14ac:dyDescent="0.25">
      <c r="B1736" s="4">
        <v>1648</v>
      </c>
      <c r="C1736" s="4" t="s">
        <v>186</v>
      </c>
      <c r="D1736" s="4" t="s">
        <v>138</v>
      </c>
      <c r="E1736" s="4">
        <v>2200</v>
      </c>
      <c r="F1736" s="4" t="s">
        <v>29</v>
      </c>
      <c r="G1736" s="4" t="s">
        <v>30</v>
      </c>
      <c r="H1736" s="4" t="s">
        <v>130</v>
      </c>
      <c r="I1736" s="4" t="s">
        <v>131</v>
      </c>
      <c r="J1736" s="4">
        <v>320</v>
      </c>
      <c r="L1736" s="4" t="s">
        <v>33</v>
      </c>
      <c r="M1736" s="5"/>
      <c r="O1736" s="5"/>
      <c r="Q1736" s="4">
        <f>B1736</f>
        <v>1648</v>
      </c>
      <c r="R1736" s="4" t="str">
        <f>C1736</f>
        <v>19/10/2026</v>
      </c>
      <c r="S1736" s="4" t="str">
        <f>D1736</f>
        <v>lunes</v>
      </c>
      <c r="T1736" s="4" t="str">
        <f>E1736&amp;"/"&amp;E1737</f>
        <v>2200/2201</v>
      </c>
      <c r="U1736" s="4" t="str">
        <f>F1736&amp;"-"&amp;G1736&amp;"-"&amp;F1736</f>
        <v>LIM-CUZ-LIM</v>
      </c>
      <c r="V1736" s="4" t="str">
        <f>IF($M$1736="","",$M$1736)</f>
        <v/>
      </c>
      <c r="W1736" s="4" t="str">
        <f>IF($O$1736="","",$O$1736)</f>
        <v/>
      </c>
      <c r="X1736" s="4">
        <f>J1736</f>
        <v>320</v>
      </c>
    </row>
    <row r="1737" spans="2:24" ht="30" x14ac:dyDescent="0.25">
      <c r="B1737" s="4">
        <v>1648</v>
      </c>
      <c r="C1737" s="4" t="s">
        <v>186</v>
      </c>
      <c r="D1737" s="4" t="s">
        <v>138</v>
      </c>
      <c r="E1737" s="4">
        <v>2201</v>
      </c>
      <c r="F1737" s="4" t="s">
        <v>30</v>
      </c>
      <c r="G1737" s="4" t="s">
        <v>29</v>
      </c>
      <c r="H1737" s="4" t="s">
        <v>132</v>
      </c>
      <c r="I1737" s="4" t="s">
        <v>133</v>
      </c>
      <c r="J1737" s="4">
        <v>320</v>
      </c>
      <c r="K1737" t="str">
        <f>TEXT(TIMEVALUE(H1737)-TIMEVALUE(I1736)+(TIMEVALUE(H1737)&lt;TIMEVALUE(I1736)),"[h]:mm")</f>
        <v>0:45</v>
      </c>
      <c r="L1737" s="4" t="s">
        <v>40</v>
      </c>
      <c r="O1737" t="str">
        <f>"LIM-"&amp;G1736&amp;"-LIM   LA "&amp;E1736&amp;" ("&amp;LEFT(H1736,5)&amp;"-"&amp;LEFT(I1736,5)&amp;" hrs)  /  LA "&amp;E1737&amp;" ("&amp;LEFT(H1737,5)&amp;"-"&amp;LEFT(I1737,5)&amp;" hrs)"</f>
        <v>LIM-CUZ-LIM   LA 2200 (21:15-22:35 hrs)  /  LA 2201 (23:20-00:50 hrs)</v>
      </c>
    </row>
    <row r="1738" spans="2:24" x14ac:dyDescent="0.25">
      <c r="J1738" s="7" t="s">
        <v>43</v>
      </c>
      <c r="K1738" s="8" t="str">
        <f>TEXT(TIMEVALUE(I1737)-TIMEVALUE(H1736)+(I1737&lt;H1736),"[h]:mm")</f>
        <v>3:35</v>
      </c>
    </row>
    <row r="1740" spans="2:24" ht="30" x14ac:dyDescent="0.25">
      <c r="B1740" s="3" t="s">
        <v>9</v>
      </c>
      <c r="C1740" s="3" t="s">
        <v>17</v>
      </c>
      <c r="D1740" s="3" t="s">
        <v>18</v>
      </c>
      <c r="E1740" s="3" t="s">
        <v>19</v>
      </c>
      <c r="F1740" s="3" t="s">
        <v>20</v>
      </c>
      <c r="G1740" s="3" t="s">
        <v>21</v>
      </c>
      <c r="H1740" s="3" t="s">
        <v>22</v>
      </c>
      <c r="I1740" s="3" t="s">
        <v>23</v>
      </c>
      <c r="J1740" s="3" t="s">
        <v>24</v>
      </c>
      <c r="K1740" s="3" t="s">
        <v>25</v>
      </c>
      <c r="L1740" s="3" t="s">
        <v>26</v>
      </c>
    </row>
    <row r="1741" spans="2:24" ht="30" x14ac:dyDescent="0.25">
      <c r="B1741" s="4">
        <v>1685</v>
      </c>
      <c r="C1741" s="4" t="s">
        <v>187</v>
      </c>
      <c r="D1741" s="4" t="s">
        <v>154</v>
      </c>
      <c r="E1741" s="4">
        <v>2013</v>
      </c>
      <c r="F1741" s="4" t="s">
        <v>29</v>
      </c>
      <c r="G1741" s="4" t="s">
        <v>30</v>
      </c>
      <c r="H1741" s="4" t="s">
        <v>188</v>
      </c>
      <c r="I1741" s="4" t="s">
        <v>189</v>
      </c>
      <c r="J1741" s="4">
        <v>319</v>
      </c>
      <c r="L1741" s="4" t="s">
        <v>33</v>
      </c>
      <c r="M1741" s="5"/>
      <c r="O1741" s="5"/>
      <c r="Q1741" s="4">
        <f>B1741</f>
        <v>1685</v>
      </c>
      <c r="R1741" s="4" t="str">
        <f>C1741</f>
        <v>20/10/2026</v>
      </c>
      <c r="S1741" s="4" t="str">
        <f>D1741</f>
        <v>martes</v>
      </c>
      <c r="T1741" s="4" t="str">
        <f>E1741&amp;"/"&amp;E1742</f>
        <v>2013/2014</v>
      </c>
      <c r="U1741" s="4" t="str">
        <f>F1741&amp;"-"&amp;G1741&amp;"-"&amp;F1741</f>
        <v>LIM-CUZ-LIM</v>
      </c>
      <c r="V1741" s="4" t="str">
        <f>IF($M$1741="","",$M$1741)</f>
        <v/>
      </c>
      <c r="W1741" s="4" t="str">
        <f>IF($O$1741="","",$O$1741)</f>
        <v/>
      </c>
      <c r="X1741" s="4">
        <f>J1741</f>
        <v>319</v>
      </c>
    </row>
    <row r="1742" spans="2:24" ht="30" x14ac:dyDescent="0.25">
      <c r="B1742" s="4">
        <v>1685</v>
      </c>
      <c r="C1742" s="4" t="s">
        <v>187</v>
      </c>
      <c r="D1742" s="4" t="s">
        <v>154</v>
      </c>
      <c r="E1742" s="4">
        <v>2014</v>
      </c>
      <c r="F1742" s="4" t="s">
        <v>30</v>
      </c>
      <c r="G1742" s="4" t="s">
        <v>29</v>
      </c>
      <c r="H1742" s="4" t="s">
        <v>190</v>
      </c>
      <c r="I1742" s="4" t="s">
        <v>98</v>
      </c>
      <c r="J1742" s="4">
        <v>319</v>
      </c>
      <c r="K1742" t="str">
        <f>TEXT(TIMEVALUE(H1742)-TIMEVALUE(I1741)+(TIMEVALUE(H1742)&lt;TIMEVALUE(I1741)),"[h]:mm")</f>
        <v>0:40</v>
      </c>
      <c r="L1742" s="4" t="s">
        <v>36</v>
      </c>
      <c r="O1742" t="str">
        <f>"LIM-"&amp;G1741&amp;"-LIM   LA "&amp;E1741&amp;" ("&amp;LEFT(H1741,5)&amp;"-"&amp;LEFT(I1741,5)&amp;" hrs)  /  LA "&amp;E1742&amp;" ("&amp;LEFT(H1742,5)&amp;"-"&amp;LEFT(I1742,5)&amp;" hrs)"</f>
        <v>LIM-CUZ-LIM   LA 2013 (08:35-09:55 hrs)  /  LA 2014 (10:35-12:10 hrs)</v>
      </c>
    </row>
    <row r="1743" spans="2:24" ht="30" x14ac:dyDescent="0.25">
      <c r="B1743" s="4">
        <v>1710</v>
      </c>
      <c r="C1743" s="4" t="s">
        <v>187</v>
      </c>
      <c r="D1743" s="4" t="s">
        <v>154</v>
      </c>
      <c r="E1743" s="4">
        <v>2028</v>
      </c>
      <c r="F1743" s="4" t="s">
        <v>29</v>
      </c>
      <c r="G1743" s="4" t="s">
        <v>30</v>
      </c>
      <c r="H1743" s="4" t="s">
        <v>65</v>
      </c>
      <c r="I1743" s="4" t="s">
        <v>75</v>
      </c>
      <c r="J1743" s="4">
        <v>320</v>
      </c>
      <c r="K1743" s="6" t="str">
        <f>TEXT(TIMEVALUE(H1743)-TIMEVALUE(I1742)+(TIMEVALUE(H1743)&lt;TIMEVALUE(I1742)),"[h]:mm")</f>
        <v>1:15</v>
      </c>
      <c r="L1743" s="4" t="s">
        <v>33</v>
      </c>
      <c r="M1743" t="str">
        <f>IF($M$1741="","",$M$1741)</f>
        <v/>
      </c>
      <c r="O1743" t="str">
        <f>IF($O$1741="","",$O$1741)</f>
        <v/>
      </c>
      <c r="Q1743" s="4">
        <f>B1743</f>
        <v>1710</v>
      </c>
      <c r="R1743" s="4" t="str">
        <f>C1743</f>
        <v>20/10/2026</v>
      </c>
      <c r="S1743" s="4" t="str">
        <f>D1743</f>
        <v>martes</v>
      </c>
      <c r="T1743" s="4" t="str">
        <f>E1743&amp;"/"&amp;E1744</f>
        <v>2028/2029</v>
      </c>
      <c r="U1743" s="4" t="str">
        <f>F1743&amp;"-"&amp;G1743&amp;"-"&amp;F1743</f>
        <v>LIM-CUZ-LIM</v>
      </c>
      <c r="V1743" s="4" t="str">
        <f>IF($M$1741="","",$M$1741)</f>
        <v/>
      </c>
      <c r="W1743" s="4" t="str">
        <f>IF($O$1741="","",$O$1741)</f>
        <v/>
      </c>
      <c r="X1743" s="4">
        <f>J1743</f>
        <v>320</v>
      </c>
    </row>
    <row r="1744" spans="2:24" ht="30" x14ac:dyDescent="0.25">
      <c r="B1744" s="4">
        <v>1710</v>
      </c>
      <c r="C1744" s="4" t="s">
        <v>187</v>
      </c>
      <c r="D1744" s="4" t="s">
        <v>154</v>
      </c>
      <c r="E1744" s="4">
        <v>2029</v>
      </c>
      <c r="F1744" s="4" t="s">
        <v>30</v>
      </c>
      <c r="G1744" s="4" t="s">
        <v>29</v>
      </c>
      <c r="H1744" s="4" t="s">
        <v>76</v>
      </c>
      <c r="I1744" s="4" t="s">
        <v>77</v>
      </c>
      <c r="J1744" s="4">
        <v>320</v>
      </c>
      <c r="K1744" t="str">
        <f>TEXT(TIMEVALUE(H1744)-TIMEVALUE(I1743)+(TIMEVALUE(H1744)&lt;TIMEVALUE(I1743)),"[h]:mm")</f>
        <v>0:45</v>
      </c>
      <c r="L1744" s="4" t="s">
        <v>36</v>
      </c>
      <c r="O1744" t="str">
        <f>"LIM-"&amp;G1743&amp;"-LIM   LA "&amp;E1743&amp;" ("&amp;LEFT(H1743,5)&amp;"-"&amp;LEFT(I1743,5)&amp;" hrs)  /  LA "&amp;E1744&amp;" ("&amp;LEFT(H1744,5)&amp;"-"&amp;LEFT(I1744,5)&amp;" hrs)"</f>
        <v>LIM-CUZ-LIM   LA 2028 (13:25-14:45 hrs)  /  LA 2029 (15:30-17:05 hrs)</v>
      </c>
    </row>
    <row r="1745" spans="2:24" x14ac:dyDescent="0.25">
      <c r="J1745" s="7" t="s">
        <v>43</v>
      </c>
      <c r="K1745" s="8" t="str">
        <f>TEXT(TIMEVALUE(I1744)-TIMEVALUE(H1741)+(I1744&lt;H1741),"[h]:mm")</f>
        <v>8:30</v>
      </c>
    </row>
    <row r="1747" spans="2:24" ht="30" x14ac:dyDescent="0.25">
      <c r="B1747" s="3" t="s">
        <v>9</v>
      </c>
      <c r="C1747" s="3" t="s">
        <v>17</v>
      </c>
      <c r="D1747" s="3" t="s">
        <v>18</v>
      </c>
      <c r="E1747" s="3" t="s">
        <v>19</v>
      </c>
      <c r="F1747" s="3" t="s">
        <v>20</v>
      </c>
      <c r="G1747" s="3" t="s">
        <v>21</v>
      </c>
      <c r="H1747" s="3" t="s">
        <v>22</v>
      </c>
      <c r="I1747" s="3" t="s">
        <v>23</v>
      </c>
      <c r="J1747" s="3" t="s">
        <v>24</v>
      </c>
      <c r="K1747" s="3" t="s">
        <v>25</v>
      </c>
      <c r="L1747" s="3" t="s">
        <v>26</v>
      </c>
    </row>
    <row r="1748" spans="2:24" ht="30" x14ac:dyDescent="0.25">
      <c r="B1748" s="4">
        <v>1688</v>
      </c>
      <c r="C1748" s="4" t="s">
        <v>187</v>
      </c>
      <c r="D1748" s="4" t="s">
        <v>154</v>
      </c>
      <c r="E1748" s="4">
        <v>2007</v>
      </c>
      <c r="F1748" s="4" t="s">
        <v>29</v>
      </c>
      <c r="G1748" s="4" t="s">
        <v>30</v>
      </c>
      <c r="H1748" s="4" t="s">
        <v>31</v>
      </c>
      <c r="I1748" s="4" t="s">
        <v>32</v>
      </c>
      <c r="J1748" s="4">
        <v>320</v>
      </c>
      <c r="L1748" s="4" t="s">
        <v>33</v>
      </c>
      <c r="M1748" s="5"/>
      <c r="O1748" s="5"/>
      <c r="Q1748" s="4">
        <f>B1748</f>
        <v>1688</v>
      </c>
      <c r="R1748" s="4" t="str">
        <f>C1748</f>
        <v>20/10/2026</v>
      </c>
      <c r="S1748" s="4" t="str">
        <f>D1748</f>
        <v>martes</v>
      </c>
      <c r="T1748" s="4" t="str">
        <f>E1748&amp;"/"&amp;E1749</f>
        <v>2007/2008</v>
      </c>
      <c r="U1748" s="4" t="str">
        <f>F1748&amp;"-"&amp;G1748&amp;"-"&amp;F1748</f>
        <v>LIM-CUZ-LIM</v>
      </c>
      <c r="V1748" s="4" t="str">
        <f>IF($M$1748="","",$M$1748)</f>
        <v/>
      </c>
      <c r="W1748" s="4" t="str">
        <f>IF($O$1748="","",$O$1748)</f>
        <v/>
      </c>
      <c r="X1748" s="4">
        <f>J1748</f>
        <v>320</v>
      </c>
    </row>
    <row r="1749" spans="2:24" ht="30" x14ac:dyDescent="0.25">
      <c r="B1749" s="4">
        <v>1688</v>
      </c>
      <c r="C1749" s="4" t="s">
        <v>187</v>
      </c>
      <c r="D1749" s="4" t="s">
        <v>154</v>
      </c>
      <c r="E1749" s="4">
        <v>2008</v>
      </c>
      <c r="F1749" s="4" t="s">
        <v>30</v>
      </c>
      <c r="G1749" s="4" t="s">
        <v>29</v>
      </c>
      <c r="H1749" s="4" t="s">
        <v>34</v>
      </c>
      <c r="I1749" s="4" t="s">
        <v>35</v>
      </c>
      <c r="J1749" s="4">
        <v>320</v>
      </c>
      <c r="K1749" t="str">
        <f>TEXT(TIMEVALUE(H1749)-TIMEVALUE(I1748)+(TIMEVALUE(H1749)&lt;TIMEVALUE(I1748)),"[h]:mm")</f>
        <v>0:50</v>
      </c>
      <c r="L1749" s="4" t="s">
        <v>36</v>
      </c>
      <c r="O1749" t="str">
        <f>"LIM-"&amp;G1748&amp;"-LIM   LA "&amp;E1748&amp;" ("&amp;LEFT(H1748,5)&amp;"-"&amp;LEFT(I1748,5)&amp;" hrs)  /  LA "&amp;E1749&amp;" ("&amp;LEFT(H1749,5)&amp;"-"&amp;LEFT(I1749,5)&amp;" hrs)"</f>
        <v>LIM-CUZ-LIM   LA 2007 (09:10-10:30 hrs)  /  LA 2008 (11:20-12:55 hrs)</v>
      </c>
    </row>
    <row r="1750" spans="2:24" ht="30" x14ac:dyDescent="0.25">
      <c r="B1750" s="4">
        <v>1712</v>
      </c>
      <c r="C1750" s="4" t="s">
        <v>187</v>
      </c>
      <c r="D1750" s="4" t="s">
        <v>154</v>
      </c>
      <c r="E1750" s="4">
        <v>2087</v>
      </c>
      <c r="F1750" s="4" t="s">
        <v>29</v>
      </c>
      <c r="G1750" s="4" t="s">
        <v>91</v>
      </c>
      <c r="H1750" s="4" t="s">
        <v>67</v>
      </c>
      <c r="I1750" s="4" t="s">
        <v>76</v>
      </c>
      <c r="J1750" s="4">
        <v>320</v>
      </c>
      <c r="K1750" s="6" t="str">
        <f>TEXT(TIMEVALUE(H1750)-TIMEVALUE(I1749)+(TIMEVALUE(H1750)&lt;TIMEVALUE(I1749)),"[h]:mm")</f>
        <v>1:10</v>
      </c>
      <c r="L1750" s="4" t="s">
        <v>93</v>
      </c>
      <c r="M1750" t="str">
        <f>IF($M$1748="","",$M$1748)</f>
        <v/>
      </c>
      <c r="O1750" t="str">
        <f>IF($O$1748="","",$O$1748)</f>
        <v/>
      </c>
      <c r="Q1750" s="4">
        <f>B1750</f>
        <v>1712</v>
      </c>
      <c r="R1750" s="4" t="str">
        <f>C1750</f>
        <v>20/10/2026</v>
      </c>
      <c r="S1750" s="4" t="str">
        <f>D1750</f>
        <v>martes</v>
      </c>
      <c r="T1750" s="4" t="str">
        <f>E1750&amp;"/"&amp;E1751</f>
        <v>2087/2088</v>
      </c>
      <c r="U1750" s="4" t="str">
        <f>F1750&amp;"-"&amp;G1750&amp;"-"&amp;F1750</f>
        <v>LIM-TPP-LIM</v>
      </c>
      <c r="V1750" s="4" t="str">
        <f>IF($M$1748="","",$M$1748)</f>
        <v/>
      </c>
      <c r="W1750" s="4" t="str">
        <f>IF($O$1748="","",$O$1748)</f>
        <v/>
      </c>
      <c r="X1750" s="4">
        <f>J1750</f>
        <v>320</v>
      </c>
    </row>
    <row r="1751" spans="2:24" ht="30" x14ac:dyDescent="0.25">
      <c r="B1751" s="4">
        <v>1712</v>
      </c>
      <c r="C1751" s="4" t="s">
        <v>187</v>
      </c>
      <c r="D1751" s="4" t="s">
        <v>154</v>
      </c>
      <c r="E1751" s="4">
        <v>2088</v>
      </c>
      <c r="F1751" s="4" t="s">
        <v>91</v>
      </c>
      <c r="G1751" s="4" t="s">
        <v>29</v>
      </c>
      <c r="H1751" s="4" t="s">
        <v>85</v>
      </c>
      <c r="I1751" s="4" t="s">
        <v>100</v>
      </c>
      <c r="J1751" s="4">
        <v>320</v>
      </c>
      <c r="K1751" t="str">
        <f>TEXT(TIMEVALUE(H1751)-TIMEVALUE(I1750)+(TIMEVALUE(H1751)&lt;TIMEVALUE(I1750)),"[h]:mm")</f>
        <v>0:35</v>
      </c>
      <c r="L1751" s="4" t="s">
        <v>93</v>
      </c>
      <c r="O1751" t="str">
        <f>"LIM-"&amp;G1750&amp;"-LIM   LA "&amp;E1750&amp;" ("&amp;LEFT(H1750,5)&amp;"-"&amp;LEFT(I1750,5)&amp;" hrs)  /  LA "&amp;E1751&amp;" ("&amp;LEFT(H1751,5)&amp;"-"&amp;LEFT(I1751,5)&amp;" hrs)"</f>
        <v>LIM-TPP-LIM   LA 2087 (14:05-15:30 hrs)  /  LA 2088 (16:05-17:30 hrs)</v>
      </c>
    </row>
    <row r="1752" spans="2:24" x14ac:dyDescent="0.25">
      <c r="J1752" s="7" t="s">
        <v>43</v>
      </c>
      <c r="K1752" s="8" t="str">
        <f>TEXT(TIMEVALUE(I1751)-TIMEVALUE(H1748)+(I1751&lt;H1748),"[h]:mm")</f>
        <v>8:20</v>
      </c>
    </row>
    <row r="1754" spans="2:24" ht="30" x14ac:dyDescent="0.25">
      <c r="B1754" s="3" t="s">
        <v>9</v>
      </c>
      <c r="C1754" s="3" t="s">
        <v>17</v>
      </c>
      <c r="D1754" s="3" t="s">
        <v>18</v>
      </c>
      <c r="E1754" s="3" t="s">
        <v>19</v>
      </c>
      <c r="F1754" s="3" t="s">
        <v>20</v>
      </c>
      <c r="G1754" s="3" t="s">
        <v>21</v>
      </c>
      <c r="H1754" s="3" t="s">
        <v>22</v>
      </c>
      <c r="I1754" s="3" t="s">
        <v>23</v>
      </c>
      <c r="J1754" s="3" t="s">
        <v>24</v>
      </c>
      <c r="K1754" s="3" t="s">
        <v>25</v>
      </c>
      <c r="L1754" s="3" t="s">
        <v>26</v>
      </c>
    </row>
    <row r="1755" spans="2:24" ht="30" x14ac:dyDescent="0.25">
      <c r="B1755" s="4">
        <v>1694</v>
      </c>
      <c r="C1755" s="4" t="s">
        <v>187</v>
      </c>
      <c r="D1755" s="4" t="s">
        <v>154</v>
      </c>
      <c r="E1755" s="4">
        <v>2350</v>
      </c>
      <c r="F1755" s="4" t="s">
        <v>29</v>
      </c>
      <c r="G1755" s="4" t="s">
        <v>50</v>
      </c>
      <c r="H1755" s="4" t="s">
        <v>179</v>
      </c>
      <c r="I1755" s="4" t="s">
        <v>34</v>
      </c>
      <c r="J1755" s="4">
        <v>320</v>
      </c>
      <c r="L1755" s="4" t="s">
        <v>33</v>
      </c>
      <c r="M1755" s="5"/>
      <c r="O1755" s="5"/>
      <c r="Q1755" s="4">
        <f>B1755</f>
        <v>1694</v>
      </c>
      <c r="R1755" s="4" t="str">
        <f>C1755</f>
        <v>20/10/2026</v>
      </c>
      <c r="S1755" s="4" t="str">
        <f>D1755</f>
        <v>martes</v>
      </c>
      <c r="T1755" s="4" t="str">
        <f>E1755&amp;"/"&amp;E1756</f>
        <v>2350/2351</v>
      </c>
      <c r="U1755" s="4" t="str">
        <f>F1755&amp;"-"&amp;G1755&amp;"-"&amp;F1755</f>
        <v>LIM-CJA-LIM</v>
      </c>
      <c r="V1755" s="4" t="str">
        <f>IF($M$1755="","",$M$1755)</f>
        <v/>
      </c>
      <c r="W1755" s="4" t="str">
        <f>IF($O$1755="","",$O$1755)</f>
        <v/>
      </c>
      <c r="X1755" s="4">
        <f>J1755</f>
        <v>320</v>
      </c>
    </row>
    <row r="1756" spans="2:24" ht="30" x14ac:dyDescent="0.25">
      <c r="B1756" s="4">
        <v>1694</v>
      </c>
      <c r="C1756" s="4" t="s">
        <v>187</v>
      </c>
      <c r="D1756" s="4" t="s">
        <v>154</v>
      </c>
      <c r="E1756" s="4">
        <v>2351</v>
      </c>
      <c r="F1756" s="4" t="s">
        <v>50</v>
      </c>
      <c r="G1756" s="4" t="s">
        <v>29</v>
      </c>
      <c r="H1756" s="4" t="s">
        <v>57</v>
      </c>
      <c r="I1756" s="4" t="s">
        <v>104</v>
      </c>
      <c r="J1756" s="4">
        <v>320</v>
      </c>
      <c r="K1756" t="str">
        <f>TEXT(TIMEVALUE(H1756)-TIMEVALUE(I1755)+(TIMEVALUE(H1756)&lt;TIMEVALUE(I1755)),"[h]:mm")</f>
        <v>0:40</v>
      </c>
      <c r="L1756" s="4" t="s">
        <v>74</v>
      </c>
      <c r="O1756" t="str">
        <f>"LIM-"&amp;G1755&amp;"-LIM   LA "&amp;E1755&amp;" ("&amp;LEFT(H1755,5)&amp;"-"&amp;LEFT(I1755,5)&amp;" hrs)  /  LA "&amp;E1756&amp;" ("&amp;LEFT(H1756,5)&amp;"-"&amp;LEFT(I1756,5)&amp;" hrs)"</f>
        <v>LIM-CJA-LIM   LA 2350 (10:00-11:20 hrs)  /  LA 2351 (12:00-13:10 hrs)</v>
      </c>
    </row>
    <row r="1757" spans="2:24" ht="30" x14ac:dyDescent="0.25">
      <c r="B1757" s="4">
        <v>1713</v>
      </c>
      <c r="C1757" s="4" t="s">
        <v>187</v>
      </c>
      <c r="D1757" s="4" t="s">
        <v>154</v>
      </c>
      <c r="E1757" s="4">
        <v>2295</v>
      </c>
      <c r="F1757" s="4" t="s">
        <v>29</v>
      </c>
      <c r="G1757" s="4" t="s">
        <v>50</v>
      </c>
      <c r="H1757" s="4" t="s">
        <v>110</v>
      </c>
      <c r="I1757" s="4" t="s">
        <v>76</v>
      </c>
      <c r="J1757" s="4">
        <v>320</v>
      </c>
      <c r="K1757" s="6" t="str">
        <f>TEXT(TIMEVALUE(H1757)-TIMEVALUE(I1756)+(TIMEVALUE(H1757)&lt;TIMEVALUE(I1756)),"[h]:mm")</f>
        <v>1:00</v>
      </c>
      <c r="L1757" s="4" t="s">
        <v>33</v>
      </c>
      <c r="M1757" t="str">
        <f>IF($M$1755="","",$M$1755)</f>
        <v/>
      </c>
      <c r="O1757" t="str">
        <f>IF($O$1755="","",$O$1755)</f>
        <v/>
      </c>
      <c r="Q1757" s="4">
        <f>B1757</f>
        <v>1713</v>
      </c>
      <c r="R1757" s="4" t="str">
        <f>C1757</f>
        <v>20/10/2026</v>
      </c>
      <c r="S1757" s="4" t="str">
        <f>D1757</f>
        <v>martes</v>
      </c>
      <c r="T1757" s="4" t="str">
        <f>E1757&amp;"/"&amp;E1758</f>
        <v>2295/2294</v>
      </c>
      <c r="U1757" s="4" t="str">
        <f>F1757&amp;"-"&amp;G1757&amp;"-"&amp;F1757</f>
        <v>LIM-CJA-LIM</v>
      </c>
      <c r="V1757" s="4" t="str">
        <f>IF($M$1755="","",$M$1755)</f>
        <v/>
      </c>
      <c r="W1757" s="4" t="str">
        <f>IF($O$1755="","",$O$1755)</f>
        <v/>
      </c>
      <c r="X1757" s="4">
        <f>J1757</f>
        <v>320</v>
      </c>
    </row>
    <row r="1758" spans="2:24" ht="30" x14ac:dyDescent="0.25">
      <c r="B1758" s="4">
        <v>1713</v>
      </c>
      <c r="C1758" s="4" t="s">
        <v>187</v>
      </c>
      <c r="D1758" s="4" t="s">
        <v>154</v>
      </c>
      <c r="E1758" s="4">
        <v>2294</v>
      </c>
      <c r="F1758" s="4" t="s">
        <v>50</v>
      </c>
      <c r="G1758" s="4" t="s">
        <v>29</v>
      </c>
      <c r="H1758" s="4" t="s">
        <v>83</v>
      </c>
      <c r="I1758" s="4" t="s">
        <v>42</v>
      </c>
      <c r="J1758" s="4">
        <v>320</v>
      </c>
      <c r="K1758" t="str">
        <f>TEXT(TIMEVALUE(H1758)-TIMEVALUE(I1757)+(TIMEVALUE(H1758)&lt;TIMEVALUE(I1757)),"[h]:mm")</f>
        <v>0:40</v>
      </c>
      <c r="L1758" s="4" t="s">
        <v>55</v>
      </c>
      <c r="O1758" t="str">
        <f>"LIM-"&amp;G1757&amp;"-LIM   LA "&amp;E1757&amp;" ("&amp;LEFT(H1757,5)&amp;"-"&amp;LEFT(I1757,5)&amp;" hrs)  /  LA "&amp;E1758&amp;" ("&amp;LEFT(H1758,5)&amp;"-"&amp;LEFT(I1758,5)&amp;" hrs)"</f>
        <v>LIM-CJA-LIM   LA 2295 (14:10-15:30 hrs)  /  LA 2294 (16:10-17:15 hrs)</v>
      </c>
    </row>
    <row r="1759" spans="2:24" x14ac:dyDescent="0.25">
      <c r="J1759" s="7" t="s">
        <v>43</v>
      </c>
      <c r="K1759" s="8" t="str">
        <f>TEXT(TIMEVALUE(I1758)-TIMEVALUE(H1755)+(I1758&lt;H1755),"[h]:mm")</f>
        <v>7:15</v>
      </c>
    </row>
    <row r="1761" spans="2:24" ht="30" x14ac:dyDescent="0.25">
      <c r="B1761" s="3" t="s">
        <v>9</v>
      </c>
      <c r="C1761" s="3" t="s">
        <v>17</v>
      </c>
      <c r="D1761" s="3" t="s">
        <v>18</v>
      </c>
      <c r="E1761" s="3" t="s">
        <v>19</v>
      </c>
      <c r="F1761" s="3" t="s">
        <v>20</v>
      </c>
      <c r="G1761" s="3" t="s">
        <v>21</v>
      </c>
      <c r="H1761" s="3" t="s">
        <v>22</v>
      </c>
      <c r="I1761" s="3" t="s">
        <v>23</v>
      </c>
      <c r="J1761" s="3" t="s">
        <v>24</v>
      </c>
      <c r="K1761" s="3" t="s">
        <v>25</v>
      </c>
      <c r="L1761" s="3" t="s">
        <v>26</v>
      </c>
    </row>
    <row r="1762" spans="2:24" ht="30" x14ac:dyDescent="0.25">
      <c r="B1762" s="4">
        <v>1695</v>
      </c>
      <c r="C1762" s="4" t="s">
        <v>187</v>
      </c>
      <c r="D1762" s="4" t="s">
        <v>154</v>
      </c>
      <c r="E1762" s="4">
        <v>2075</v>
      </c>
      <c r="F1762" s="4" t="s">
        <v>29</v>
      </c>
      <c r="G1762" s="4" t="s">
        <v>30</v>
      </c>
      <c r="H1762" s="4" t="s">
        <v>97</v>
      </c>
      <c r="I1762" s="4" t="s">
        <v>98</v>
      </c>
      <c r="J1762" s="4">
        <v>319</v>
      </c>
      <c r="L1762" s="4" t="s">
        <v>33</v>
      </c>
      <c r="M1762" s="5"/>
      <c r="O1762" s="5"/>
      <c r="Q1762" s="4">
        <f>B1762</f>
        <v>1695</v>
      </c>
      <c r="R1762" s="4" t="str">
        <f>C1762</f>
        <v>20/10/2026</v>
      </c>
      <c r="S1762" s="4" t="str">
        <f>D1762</f>
        <v>martes</v>
      </c>
      <c r="T1762" s="4" t="str">
        <f>E1762&amp;"/"&amp;E1763</f>
        <v>2075/2076</v>
      </c>
      <c r="U1762" s="4" t="str">
        <f>F1762&amp;"-"&amp;G1762&amp;"-"&amp;F1762</f>
        <v>LIM-CUZ-LIM</v>
      </c>
      <c r="V1762" s="4" t="str">
        <f>IF($M$1762="","",$M$1762)</f>
        <v/>
      </c>
      <c r="W1762" s="4" t="str">
        <f>IF($O$1762="","",$O$1762)</f>
        <v/>
      </c>
      <c r="X1762" s="4">
        <f>J1762</f>
        <v>319</v>
      </c>
    </row>
    <row r="1763" spans="2:24" ht="30" x14ac:dyDescent="0.25">
      <c r="B1763" s="4">
        <v>1695</v>
      </c>
      <c r="C1763" s="4" t="s">
        <v>187</v>
      </c>
      <c r="D1763" s="4" t="s">
        <v>154</v>
      </c>
      <c r="E1763" s="4">
        <v>2076</v>
      </c>
      <c r="F1763" s="4" t="s">
        <v>30</v>
      </c>
      <c r="G1763" s="4" t="s">
        <v>29</v>
      </c>
      <c r="H1763" s="4" t="s">
        <v>48</v>
      </c>
      <c r="I1763" s="4" t="s">
        <v>49</v>
      </c>
      <c r="J1763" s="4">
        <v>319</v>
      </c>
      <c r="K1763" t="str">
        <f>TEXT(TIMEVALUE(H1763)-TIMEVALUE(I1762)+(TIMEVALUE(H1763)&lt;TIMEVALUE(I1762)),"[h]:mm")</f>
        <v>0:35</v>
      </c>
      <c r="L1763" s="4" t="s">
        <v>36</v>
      </c>
      <c r="O1763" t="str">
        <f>"LIM-"&amp;G1762&amp;"-LIM   LA "&amp;E1762&amp;" ("&amp;LEFT(H1762,5)&amp;"-"&amp;LEFT(I1762,5)&amp;" hrs)  /  LA "&amp;E1763&amp;" ("&amp;LEFT(H1763,5)&amp;"-"&amp;LEFT(I1763,5)&amp;" hrs)"</f>
        <v>LIM-CUZ-LIM   LA 2075 (10:50-12:10 hrs)  /  LA 2076 (12:45-14:20 hrs)</v>
      </c>
    </row>
    <row r="1764" spans="2:24" ht="30" x14ac:dyDescent="0.25">
      <c r="B1764" s="4">
        <v>1722</v>
      </c>
      <c r="C1764" s="4" t="s">
        <v>187</v>
      </c>
      <c r="D1764" s="4" t="s">
        <v>154</v>
      </c>
      <c r="E1764" s="4">
        <v>2297</v>
      </c>
      <c r="F1764" s="4" t="s">
        <v>29</v>
      </c>
      <c r="G1764" s="4" t="s">
        <v>50</v>
      </c>
      <c r="H1764" s="4" t="s">
        <v>51</v>
      </c>
      <c r="I1764" s="4" t="s">
        <v>52</v>
      </c>
      <c r="J1764" s="4">
        <v>320</v>
      </c>
      <c r="K1764" s="6" t="str">
        <f>TEXT(TIMEVALUE(H1764)-TIMEVALUE(I1763)+(TIMEVALUE(H1764)&lt;TIMEVALUE(I1763)),"[h]:mm")</f>
        <v>0:55</v>
      </c>
      <c r="L1764" s="4" t="s">
        <v>33</v>
      </c>
      <c r="M1764" t="str">
        <f>IF($M$1762="","",$M$1762)</f>
        <v/>
      </c>
      <c r="O1764" t="str">
        <f>IF($O$1762="","",$O$1762)</f>
        <v/>
      </c>
      <c r="Q1764" s="4">
        <f>B1764</f>
        <v>1722</v>
      </c>
      <c r="R1764" s="4" t="str">
        <f>C1764</f>
        <v>20/10/2026</v>
      </c>
      <c r="S1764" s="4" t="str">
        <f>D1764</f>
        <v>martes</v>
      </c>
      <c r="T1764" s="4" t="str">
        <f>E1764&amp;"/"&amp;E1765</f>
        <v>2297/2296</v>
      </c>
      <c r="U1764" s="4" t="str">
        <f>F1764&amp;"-"&amp;G1764&amp;"-"&amp;F1764</f>
        <v>LIM-CJA-LIM</v>
      </c>
      <c r="V1764" s="4" t="str">
        <f>IF($M$1762="","",$M$1762)</f>
        <v/>
      </c>
      <c r="W1764" s="4" t="str">
        <f>IF($O$1762="","",$O$1762)</f>
        <v/>
      </c>
      <c r="X1764" s="4">
        <f>J1764</f>
        <v>320</v>
      </c>
    </row>
    <row r="1765" spans="2:24" ht="30" x14ac:dyDescent="0.25">
      <c r="B1765" s="4">
        <v>1722</v>
      </c>
      <c r="C1765" s="4" t="s">
        <v>187</v>
      </c>
      <c r="D1765" s="4" t="s">
        <v>154</v>
      </c>
      <c r="E1765" s="4">
        <v>2296</v>
      </c>
      <c r="F1765" s="4" t="s">
        <v>50</v>
      </c>
      <c r="G1765" s="4" t="s">
        <v>29</v>
      </c>
      <c r="H1765" s="4" t="s">
        <v>53</v>
      </c>
      <c r="I1765" s="4" t="s">
        <v>54</v>
      </c>
      <c r="J1765" s="4">
        <v>320</v>
      </c>
      <c r="K1765" t="str">
        <f>TEXT(TIMEVALUE(H1765)-TIMEVALUE(I1764)+(TIMEVALUE(H1765)&lt;TIMEVALUE(I1764)),"[h]:mm")</f>
        <v>0:45</v>
      </c>
      <c r="L1765" s="4" t="s">
        <v>55</v>
      </c>
      <c r="O1765" t="str">
        <f>"LIM-"&amp;G1764&amp;"-LIM   LA "&amp;E1764&amp;" ("&amp;LEFT(H1764,5)&amp;"-"&amp;LEFT(I1764,5)&amp;" hrs)  /  LA "&amp;E1765&amp;" ("&amp;LEFT(H1765,5)&amp;"-"&amp;LEFT(I1765,5)&amp;" hrs)"</f>
        <v>LIM-CJA-LIM   LA 2297 (15:15-16:35 hrs)  /  LA 2296 (17:20-18:25 hrs)</v>
      </c>
    </row>
    <row r="1766" spans="2:24" x14ac:dyDescent="0.25">
      <c r="J1766" s="7" t="s">
        <v>43</v>
      </c>
      <c r="K1766" s="8" t="str">
        <f>TEXT(TIMEVALUE(I1765)-TIMEVALUE(H1762)+(I1765&lt;H1762),"[h]:mm")</f>
        <v>7:35</v>
      </c>
    </row>
    <row r="1768" spans="2:24" ht="30" x14ac:dyDescent="0.25">
      <c r="B1768" s="3" t="s">
        <v>9</v>
      </c>
      <c r="C1768" s="3" t="s">
        <v>17</v>
      </c>
      <c r="D1768" s="3" t="s">
        <v>18</v>
      </c>
      <c r="E1768" s="3" t="s">
        <v>19</v>
      </c>
      <c r="F1768" s="3" t="s">
        <v>20</v>
      </c>
      <c r="G1768" s="3" t="s">
        <v>21</v>
      </c>
      <c r="H1768" s="3" t="s">
        <v>22</v>
      </c>
      <c r="I1768" s="3" t="s">
        <v>23</v>
      </c>
      <c r="J1768" s="3" t="s">
        <v>24</v>
      </c>
      <c r="K1768" s="3" t="s">
        <v>25</v>
      </c>
      <c r="L1768" s="3" t="s">
        <v>26</v>
      </c>
    </row>
    <row r="1769" spans="2:24" ht="30" x14ac:dyDescent="0.25">
      <c r="B1769" s="4">
        <v>1697</v>
      </c>
      <c r="C1769" s="4" t="s">
        <v>187</v>
      </c>
      <c r="D1769" s="4" t="s">
        <v>154</v>
      </c>
      <c r="E1769" s="4">
        <v>2019</v>
      </c>
      <c r="F1769" s="4" t="s">
        <v>29</v>
      </c>
      <c r="G1769" s="4" t="s">
        <v>63</v>
      </c>
      <c r="H1769" s="4" t="s">
        <v>64</v>
      </c>
      <c r="I1769" s="4" t="s">
        <v>65</v>
      </c>
      <c r="J1769" s="4">
        <v>319</v>
      </c>
      <c r="L1769" s="4" t="s">
        <v>66</v>
      </c>
      <c r="M1769" s="5"/>
      <c r="O1769" s="5"/>
      <c r="Q1769" s="4">
        <f>B1769</f>
        <v>1697</v>
      </c>
      <c r="R1769" s="4" t="str">
        <f>C1769</f>
        <v>20/10/2026</v>
      </c>
      <c r="S1769" s="4" t="str">
        <f>D1769</f>
        <v>martes</v>
      </c>
      <c r="T1769" s="4" t="str">
        <f>E1769&amp;"/"&amp;E1770</f>
        <v>2019/2038</v>
      </c>
      <c r="U1769" s="4" t="str">
        <f>F1769&amp;"-"&amp;G1769&amp;"-"&amp;F1769</f>
        <v>LIM-IQT-LIM</v>
      </c>
      <c r="V1769" s="4" t="str">
        <f>IF($M$1769="","",$M$1769)</f>
        <v/>
      </c>
      <c r="W1769" s="4" t="str">
        <f>IF($O$1769="","",$O$1769)</f>
        <v/>
      </c>
      <c r="X1769" s="4">
        <f>J1769</f>
        <v>319</v>
      </c>
    </row>
    <row r="1770" spans="2:24" ht="30" x14ac:dyDescent="0.25">
      <c r="B1770" s="4">
        <v>1697</v>
      </c>
      <c r="C1770" s="4" t="s">
        <v>187</v>
      </c>
      <c r="D1770" s="4" t="s">
        <v>154</v>
      </c>
      <c r="E1770" s="4">
        <v>2038</v>
      </c>
      <c r="F1770" s="4" t="s">
        <v>63</v>
      </c>
      <c r="G1770" s="4" t="s">
        <v>29</v>
      </c>
      <c r="H1770" s="4" t="s">
        <v>67</v>
      </c>
      <c r="I1770" s="4" t="s">
        <v>41</v>
      </c>
      <c r="J1770" s="4">
        <v>319</v>
      </c>
      <c r="K1770" t="str">
        <f>TEXT(TIMEVALUE(H1770)-TIMEVALUE(I1769)+(TIMEVALUE(H1770)&lt;TIMEVALUE(I1769)),"[h]:mm")</f>
        <v>0:40</v>
      </c>
      <c r="L1770" s="4" t="s">
        <v>66</v>
      </c>
      <c r="O1770" t="str">
        <f>"LIM-"&amp;G1769&amp;"-LIM   LA "&amp;E1769&amp;" ("&amp;LEFT(H1769,5)&amp;"-"&amp;LEFT(I1769,5)&amp;" hrs)  /  LA "&amp;E1770&amp;" ("&amp;LEFT(H1770,5)&amp;"-"&amp;LEFT(I1770,5)&amp;" hrs)"</f>
        <v>LIM-IQT-LIM   LA 2019 (11:35-13:25 hrs)  /  LA 2038 (14:05-15:55 hrs)</v>
      </c>
    </row>
    <row r="1771" spans="2:24" ht="30" x14ac:dyDescent="0.25">
      <c r="B1771" s="4">
        <v>1732</v>
      </c>
      <c r="C1771" s="4" t="s">
        <v>187</v>
      </c>
      <c r="D1771" s="4" t="s">
        <v>154</v>
      </c>
      <c r="E1771" s="4">
        <v>2115</v>
      </c>
      <c r="F1771" s="4" t="s">
        <v>29</v>
      </c>
      <c r="G1771" s="4" t="s">
        <v>56</v>
      </c>
      <c r="H1771" s="4" t="s">
        <v>42</v>
      </c>
      <c r="I1771" s="4" t="s">
        <v>68</v>
      </c>
      <c r="J1771" s="4">
        <v>320</v>
      </c>
      <c r="K1771" s="6" t="str">
        <f>TEXT(TIMEVALUE(H1771)-TIMEVALUE(I1770)+(TIMEVALUE(H1771)&lt;TIMEVALUE(I1770)),"[h]:mm")</f>
        <v>1:20</v>
      </c>
      <c r="L1771" s="4" t="s">
        <v>40</v>
      </c>
      <c r="M1771" t="str">
        <f>IF($M$1769="","",$M$1769)</f>
        <v/>
      </c>
      <c r="O1771" t="str">
        <f>IF($O$1769="","",$O$1769)</f>
        <v/>
      </c>
      <c r="Q1771" s="4">
        <f>B1771</f>
        <v>1732</v>
      </c>
      <c r="R1771" s="4" t="str">
        <f>C1771</f>
        <v>20/10/2026</v>
      </c>
      <c r="S1771" s="4" t="str">
        <f>D1771</f>
        <v>martes</v>
      </c>
      <c r="T1771" s="4" t="str">
        <f>E1771&amp;"/"&amp;E1772</f>
        <v>2115/2114</v>
      </c>
      <c r="U1771" s="4" t="str">
        <f>F1771&amp;"-"&amp;G1771&amp;"-"&amp;F1771</f>
        <v>LIM-AQP-LIM</v>
      </c>
      <c r="V1771" s="4" t="str">
        <f>IF($M$1769="","",$M$1769)</f>
        <v/>
      </c>
      <c r="W1771" s="4" t="str">
        <f>IF($O$1769="","",$O$1769)</f>
        <v/>
      </c>
      <c r="X1771" s="4">
        <f>J1771</f>
        <v>320</v>
      </c>
    </row>
    <row r="1772" spans="2:24" ht="30" x14ac:dyDescent="0.25">
      <c r="B1772" s="4">
        <v>1732</v>
      </c>
      <c r="C1772" s="4" t="s">
        <v>187</v>
      </c>
      <c r="D1772" s="4" t="s">
        <v>154</v>
      </c>
      <c r="E1772" s="4">
        <v>2114</v>
      </c>
      <c r="F1772" s="4" t="s">
        <v>56</v>
      </c>
      <c r="G1772" s="4" t="s">
        <v>29</v>
      </c>
      <c r="H1772" s="4" t="s">
        <v>69</v>
      </c>
      <c r="I1772" s="4" t="s">
        <v>70</v>
      </c>
      <c r="J1772" s="4">
        <v>320</v>
      </c>
      <c r="K1772" t="str">
        <f>TEXT(TIMEVALUE(H1772)-TIMEVALUE(I1771)+(TIMEVALUE(H1772)&lt;TIMEVALUE(I1771)),"[h]:mm")</f>
        <v>0:35</v>
      </c>
      <c r="L1772" s="4" t="s">
        <v>71</v>
      </c>
      <c r="O1772" t="str">
        <f>"LIM-"&amp;G1771&amp;"-LIM   LA "&amp;E1771&amp;" ("&amp;LEFT(H1771,5)&amp;"-"&amp;LEFT(I1771,5)&amp;" hrs)  /  LA "&amp;E1772&amp;" ("&amp;LEFT(H1772,5)&amp;"-"&amp;LEFT(I1772,5)&amp;" hrs)"</f>
        <v>LIM-AQP-LIM   LA 2115 (17:15-18:45 hrs)  /  LA 2114 (19:20-21:00 hrs)</v>
      </c>
    </row>
    <row r="1773" spans="2:24" x14ac:dyDescent="0.25">
      <c r="J1773" s="7" t="s">
        <v>43</v>
      </c>
      <c r="K1773" s="8" t="str">
        <f>TEXT(TIMEVALUE(I1772)-TIMEVALUE(H1769)+(I1772&lt;H1769),"[h]:mm")</f>
        <v>9:25</v>
      </c>
    </row>
    <row r="1775" spans="2:24" ht="30" x14ac:dyDescent="0.25">
      <c r="B1775" s="3" t="s">
        <v>9</v>
      </c>
      <c r="C1775" s="3" t="s">
        <v>17</v>
      </c>
      <c r="D1775" s="3" t="s">
        <v>18</v>
      </c>
      <c r="E1775" s="3" t="s">
        <v>19</v>
      </c>
      <c r="F1775" s="3" t="s">
        <v>20</v>
      </c>
      <c r="G1775" s="3" t="s">
        <v>21</v>
      </c>
      <c r="H1775" s="3" t="s">
        <v>22</v>
      </c>
      <c r="I1775" s="3" t="s">
        <v>23</v>
      </c>
      <c r="J1775" s="3" t="s">
        <v>24</v>
      </c>
      <c r="K1775" s="3" t="s">
        <v>25</v>
      </c>
      <c r="L1775" s="3" t="s">
        <v>26</v>
      </c>
    </row>
    <row r="1776" spans="2:24" ht="30" x14ac:dyDescent="0.25">
      <c r="B1776" s="4">
        <v>1699</v>
      </c>
      <c r="C1776" s="4" t="s">
        <v>187</v>
      </c>
      <c r="D1776" s="4" t="s">
        <v>154</v>
      </c>
      <c r="E1776" s="4">
        <v>2061</v>
      </c>
      <c r="F1776" s="4" t="s">
        <v>29</v>
      </c>
      <c r="G1776" s="4" t="s">
        <v>30</v>
      </c>
      <c r="H1776" s="4" t="s">
        <v>103</v>
      </c>
      <c r="I1776" s="4" t="s">
        <v>120</v>
      </c>
      <c r="J1776" s="4">
        <v>320</v>
      </c>
      <c r="L1776" s="4" t="s">
        <v>33</v>
      </c>
      <c r="M1776" s="5"/>
      <c r="O1776" s="5"/>
      <c r="Q1776" s="4">
        <f>B1776</f>
        <v>1699</v>
      </c>
      <c r="R1776" s="4" t="str">
        <f>C1776</f>
        <v>20/10/2026</v>
      </c>
      <c r="S1776" s="4" t="str">
        <f>D1776</f>
        <v>martes</v>
      </c>
      <c r="T1776" s="4" t="str">
        <f>E1776&amp;"/"&amp;E1777</f>
        <v>2061/2062</v>
      </c>
      <c r="U1776" s="4" t="str">
        <f>F1776&amp;"-"&amp;G1776&amp;"-"&amp;F1776</f>
        <v>LIM-CUZ-LIM</v>
      </c>
      <c r="V1776" s="4" t="str">
        <f>IF($M$1776="","",$M$1776)</f>
        <v/>
      </c>
      <c r="W1776" s="4" t="str">
        <f>IF($O$1776="","",$O$1776)</f>
        <v/>
      </c>
      <c r="X1776" s="4">
        <f>J1776</f>
        <v>320</v>
      </c>
    </row>
    <row r="1777" spans="2:24" ht="30" x14ac:dyDescent="0.25">
      <c r="B1777" s="4">
        <v>1699</v>
      </c>
      <c r="C1777" s="4" t="s">
        <v>187</v>
      </c>
      <c r="D1777" s="4" t="s">
        <v>154</v>
      </c>
      <c r="E1777" s="4">
        <v>2062</v>
      </c>
      <c r="F1777" s="4" t="s">
        <v>30</v>
      </c>
      <c r="G1777" s="4" t="s">
        <v>29</v>
      </c>
      <c r="H1777" s="4" t="s">
        <v>72</v>
      </c>
      <c r="I1777" s="4" t="s">
        <v>51</v>
      </c>
      <c r="J1777" s="4">
        <v>320</v>
      </c>
      <c r="K1777" t="str">
        <f>TEXT(TIMEVALUE(H1777)-TIMEVALUE(I1776)+(TIMEVALUE(H1777)&lt;TIMEVALUE(I1776)),"[h]:mm")</f>
        <v>0:40</v>
      </c>
      <c r="L1777" s="4" t="s">
        <v>36</v>
      </c>
      <c r="O1777" t="str">
        <f>"LIM-"&amp;G1776&amp;"-LIM   LA "&amp;E1776&amp;" ("&amp;LEFT(H1776,5)&amp;"-"&amp;LEFT(I1776,5)&amp;" hrs)  /  LA "&amp;E1777&amp;" ("&amp;LEFT(H1777,5)&amp;"-"&amp;LEFT(I1777,5)&amp;" hrs)"</f>
        <v>LIM-CUZ-LIM   LA 2061 (11:40-13:00 hrs)  /  LA 2062 (13:40-15:15 hrs)</v>
      </c>
    </row>
    <row r="1778" spans="2:24" ht="30" x14ac:dyDescent="0.25">
      <c r="B1778" s="4">
        <v>1730</v>
      </c>
      <c r="C1778" s="4" t="s">
        <v>187</v>
      </c>
      <c r="D1778" s="4" t="s">
        <v>154</v>
      </c>
      <c r="E1778" s="4">
        <v>2276</v>
      </c>
      <c r="F1778" s="4" t="s">
        <v>29</v>
      </c>
      <c r="G1778" s="4" t="s">
        <v>30</v>
      </c>
      <c r="H1778" s="4" t="s">
        <v>52</v>
      </c>
      <c r="I1778" s="4" t="s">
        <v>121</v>
      </c>
      <c r="J1778" s="4">
        <v>320</v>
      </c>
      <c r="K1778" s="6" t="str">
        <f>TEXT(TIMEVALUE(H1778)-TIMEVALUE(I1777)+(TIMEVALUE(H1778)&lt;TIMEVALUE(I1777)),"[h]:mm")</f>
        <v>1:20</v>
      </c>
      <c r="L1778" s="4" t="s">
        <v>33</v>
      </c>
      <c r="M1778" t="str">
        <f>IF($M$1776="","",$M$1776)</f>
        <v/>
      </c>
      <c r="O1778" t="str">
        <f>IF($O$1776="","",$O$1776)</f>
        <v/>
      </c>
      <c r="Q1778" s="4">
        <f>B1778</f>
        <v>1730</v>
      </c>
      <c r="R1778" s="4" t="str">
        <f>C1778</f>
        <v>20/10/2026</v>
      </c>
      <c r="S1778" s="4" t="str">
        <f>D1778</f>
        <v>martes</v>
      </c>
      <c r="T1778" s="4" t="str">
        <f>E1778&amp;"/"&amp;E1779</f>
        <v>2276/2277</v>
      </c>
      <c r="U1778" s="4" t="str">
        <f>F1778&amp;"-"&amp;G1778&amp;"-"&amp;F1778</f>
        <v>LIM-CUZ-LIM</v>
      </c>
      <c r="V1778" s="4" t="str">
        <f>IF($M$1776="","",$M$1776)</f>
        <v/>
      </c>
      <c r="W1778" s="4" t="str">
        <f>IF($O$1776="","",$O$1776)</f>
        <v/>
      </c>
      <c r="X1778" s="4">
        <f>J1778</f>
        <v>320</v>
      </c>
    </row>
    <row r="1779" spans="2:24" ht="30" x14ac:dyDescent="0.25">
      <c r="B1779" s="4">
        <v>1730</v>
      </c>
      <c r="C1779" s="4" t="s">
        <v>187</v>
      </c>
      <c r="D1779" s="4" t="s">
        <v>154</v>
      </c>
      <c r="E1779" s="4">
        <v>2277</v>
      </c>
      <c r="F1779" s="4" t="s">
        <v>30</v>
      </c>
      <c r="G1779" s="4" t="s">
        <v>29</v>
      </c>
      <c r="H1779" s="4" t="s">
        <v>127</v>
      </c>
      <c r="I1779" s="4" t="s">
        <v>155</v>
      </c>
      <c r="J1779" s="4">
        <v>320</v>
      </c>
      <c r="K1779" t="str">
        <f>TEXT(TIMEVALUE(H1779)-TIMEVALUE(I1778)+(TIMEVALUE(H1779)&lt;TIMEVALUE(I1778)),"[h]:mm")</f>
        <v>0:55</v>
      </c>
      <c r="L1779" s="4" t="s">
        <v>36</v>
      </c>
      <c r="O1779" t="str">
        <f>"LIM-"&amp;G1778&amp;"-LIM   LA "&amp;E1778&amp;" ("&amp;LEFT(H1778,5)&amp;"-"&amp;LEFT(I1778,5)&amp;" hrs)  /  LA "&amp;E1779&amp;" ("&amp;LEFT(H1779,5)&amp;"-"&amp;LEFT(I1779,5)&amp;" hrs)"</f>
        <v>LIM-CUZ-LIM   LA 2276 (16:35-17:55 hrs)  /  LA 2277 (18:50-20:25 hrs)</v>
      </c>
    </row>
    <row r="1780" spans="2:24" x14ac:dyDescent="0.25">
      <c r="J1780" s="7" t="s">
        <v>43</v>
      </c>
      <c r="K1780" s="8" t="str">
        <f>TEXT(TIMEVALUE(I1779)-TIMEVALUE(H1776)+(I1779&lt;H1776),"[h]:mm")</f>
        <v>8:45</v>
      </c>
    </row>
    <row r="1782" spans="2:24" ht="30" x14ac:dyDescent="0.25">
      <c r="B1782" s="3" t="s">
        <v>9</v>
      </c>
      <c r="C1782" s="3" t="s">
        <v>17</v>
      </c>
      <c r="D1782" s="3" t="s">
        <v>18</v>
      </c>
      <c r="E1782" s="3" t="s">
        <v>19</v>
      </c>
      <c r="F1782" s="3" t="s">
        <v>20</v>
      </c>
      <c r="G1782" s="3" t="s">
        <v>21</v>
      </c>
      <c r="H1782" s="3" t="s">
        <v>22</v>
      </c>
      <c r="I1782" s="3" t="s">
        <v>23</v>
      </c>
      <c r="J1782" s="3" t="s">
        <v>24</v>
      </c>
      <c r="K1782" s="3" t="s">
        <v>25</v>
      </c>
      <c r="L1782" s="3" t="s">
        <v>26</v>
      </c>
    </row>
    <row r="1783" spans="2:24" ht="30" x14ac:dyDescent="0.25">
      <c r="B1783" s="4">
        <v>1702</v>
      </c>
      <c r="C1783" s="4" t="s">
        <v>187</v>
      </c>
      <c r="D1783" s="4" t="s">
        <v>154</v>
      </c>
      <c r="E1783" s="4">
        <v>2023</v>
      </c>
      <c r="F1783" s="4" t="s">
        <v>29</v>
      </c>
      <c r="G1783" s="4" t="s">
        <v>44</v>
      </c>
      <c r="H1783" s="4" t="s">
        <v>172</v>
      </c>
      <c r="I1783" s="4" t="s">
        <v>82</v>
      </c>
      <c r="J1783" s="4">
        <v>320</v>
      </c>
      <c r="L1783" s="4" t="s">
        <v>71</v>
      </c>
      <c r="M1783" s="5"/>
      <c r="O1783" s="5"/>
      <c r="Q1783" s="4">
        <f>B1783</f>
        <v>1702</v>
      </c>
      <c r="R1783" s="4" t="str">
        <f>C1783</f>
        <v>20/10/2026</v>
      </c>
      <c r="S1783" s="4" t="str">
        <f>D1783</f>
        <v>martes</v>
      </c>
      <c r="T1783" s="4" t="str">
        <f>E1783&amp;"/"&amp;E1784</f>
        <v>2023/2024</v>
      </c>
      <c r="U1783" s="4" t="str">
        <f>F1783&amp;"-"&amp;G1783&amp;"-"&amp;F1783</f>
        <v>LIM-PEM-LIM</v>
      </c>
      <c r="V1783" s="4" t="str">
        <f>IF($M$1783="","",$M$1783)</f>
        <v/>
      </c>
      <c r="W1783" s="4" t="str">
        <f>IF($O$1783="","",$O$1783)</f>
        <v/>
      </c>
      <c r="X1783" s="4">
        <f>J1783</f>
        <v>320</v>
      </c>
    </row>
    <row r="1784" spans="2:24" ht="30" x14ac:dyDescent="0.25">
      <c r="B1784" s="4">
        <v>1702</v>
      </c>
      <c r="C1784" s="4" t="s">
        <v>187</v>
      </c>
      <c r="D1784" s="4" t="s">
        <v>154</v>
      </c>
      <c r="E1784" s="4">
        <v>2024</v>
      </c>
      <c r="F1784" s="4" t="s">
        <v>44</v>
      </c>
      <c r="G1784" s="4" t="s">
        <v>29</v>
      </c>
      <c r="H1784" s="4" t="s">
        <v>145</v>
      </c>
      <c r="I1784" s="4" t="s">
        <v>83</v>
      </c>
      <c r="J1784" s="4">
        <v>320</v>
      </c>
      <c r="K1784" t="str">
        <f>TEXT(TIMEVALUE(H1784)-TIMEVALUE(I1783)+(TIMEVALUE(H1784)&lt;TIMEVALUE(I1783)),"[h]:mm")</f>
        <v>0:40</v>
      </c>
      <c r="L1784" s="4" t="s">
        <v>36</v>
      </c>
      <c r="O1784" t="str">
        <f>"LIM-"&amp;G1783&amp;"-LIM   LA "&amp;E1783&amp;" ("&amp;LEFT(H1783,5)&amp;"-"&amp;LEFT(I1783,5)&amp;" hrs)  /  LA "&amp;E1784&amp;" ("&amp;LEFT(H1784,5)&amp;"-"&amp;LEFT(I1784,5)&amp;" hrs)"</f>
        <v>LIM-PEM-LIM   LA 2023 (12:15-13:55 hrs)  /  LA 2024 (14:35-16:10 hrs)</v>
      </c>
    </row>
    <row r="1785" spans="2:24" ht="30" x14ac:dyDescent="0.25">
      <c r="B1785" s="4">
        <v>1733</v>
      </c>
      <c r="C1785" s="4" t="s">
        <v>187</v>
      </c>
      <c r="D1785" s="4" t="s">
        <v>154</v>
      </c>
      <c r="E1785" s="4">
        <v>2115</v>
      </c>
      <c r="F1785" s="4" t="s">
        <v>29</v>
      </c>
      <c r="G1785" s="4" t="s">
        <v>56</v>
      </c>
      <c r="H1785" s="4" t="s">
        <v>42</v>
      </c>
      <c r="I1785" s="4" t="s">
        <v>68</v>
      </c>
      <c r="J1785" s="4">
        <v>320</v>
      </c>
      <c r="K1785" s="6" t="str">
        <f>TEXT(TIMEVALUE(H1785)-TIMEVALUE(I1784)+(TIMEVALUE(H1785)&lt;TIMEVALUE(I1784)),"[h]:mm")</f>
        <v>1:05</v>
      </c>
      <c r="L1785" s="4" t="s">
        <v>40</v>
      </c>
      <c r="M1785" t="str">
        <f>IF($M$1783="","",$M$1783)</f>
        <v/>
      </c>
      <c r="O1785" t="str">
        <f>IF($O$1783="","",$O$1783)</f>
        <v/>
      </c>
      <c r="Q1785" s="4">
        <f>B1785</f>
        <v>1733</v>
      </c>
      <c r="R1785" s="4" t="str">
        <f>C1785</f>
        <v>20/10/2026</v>
      </c>
      <c r="S1785" s="4" t="str">
        <f>D1785</f>
        <v>martes</v>
      </c>
      <c r="T1785" s="4" t="str">
        <f>E1785&amp;"/"&amp;E1786</f>
        <v>2115/2114</v>
      </c>
      <c r="U1785" s="4" t="str">
        <f>F1785&amp;"-"&amp;G1785&amp;"-"&amp;F1785</f>
        <v>LIM-AQP-LIM</v>
      </c>
      <c r="V1785" s="4" t="str">
        <f>IF($M$1783="","",$M$1783)</f>
        <v/>
      </c>
      <c r="W1785" s="4" t="str">
        <f>IF($O$1783="","",$O$1783)</f>
        <v/>
      </c>
      <c r="X1785" s="4">
        <f>J1785</f>
        <v>320</v>
      </c>
    </row>
    <row r="1786" spans="2:24" ht="30" x14ac:dyDescent="0.25">
      <c r="B1786" s="4">
        <v>1733</v>
      </c>
      <c r="C1786" s="4" t="s">
        <v>187</v>
      </c>
      <c r="D1786" s="4" t="s">
        <v>154</v>
      </c>
      <c r="E1786" s="4">
        <v>2114</v>
      </c>
      <c r="F1786" s="4" t="s">
        <v>56</v>
      </c>
      <c r="G1786" s="4" t="s">
        <v>29</v>
      </c>
      <c r="H1786" s="4" t="s">
        <v>69</v>
      </c>
      <c r="I1786" s="4" t="s">
        <v>70</v>
      </c>
      <c r="J1786" s="4">
        <v>320</v>
      </c>
      <c r="K1786" t="str">
        <f>TEXT(TIMEVALUE(H1786)-TIMEVALUE(I1785)+(TIMEVALUE(H1786)&lt;TIMEVALUE(I1785)),"[h]:mm")</f>
        <v>0:35</v>
      </c>
      <c r="L1786" s="4" t="s">
        <v>71</v>
      </c>
      <c r="O1786" t="str">
        <f>"LIM-"&amp;G1785&amp;"-LIM   LA "&amp;E1785&amp;" ("&amp;LEFT(H1785,5)&amp;"-"&amp;LEFT(I1785,5)&amp;" hrs)  /  LA "&amp;E1786&amp;" ("&amp;LEFT(H1786,5)&amp;"-"&amp;LEFT(I1786,5)&amp;" hrs)"</f>
        <v>LIM-AQP-LIM   LA 2115 (17:15-18:45 hrs)  /  LA 2114 (19:20-21:00 hrs)</v>
      </c>
    </row>
    <row r="1787" spans="2:24" x14ac:dyDescent="0.25">
      <c r="J1787" s="7" t="s">
        <v>43</v>
      </c>
      <c r="K1787" s="8" t="str">
        <f>TEXT(TIMEVALUE(I1786)-TIMEVALUE(H1783)+(I1786&lt;H1783),"[h]:mm")</f>
        <v>8:45</v>
      </c>
    </row>
    <row r="1789" spans="2:24" ht="30" x14ac:dyDescent="0.25">
      <c r="B1789" s="3" t="s">
        <v>9</v>
      </c>
      <c r="C1789" s="3" t="s">
        <v>17</v>
      </c>
      <c r="D1789" s="3" t="s">
        <v>18</v>
      </c>
      <c r="E1789" s="3" t="s">
        <v>19</v>
      </c>
      <c r="F1789" s="3" t="s">
        <v>20</v>
      </c>
      <c r="G1789" s="3" t="s">
        <v>21</v>
      </c>
      <c r="H1789" s="3" t="s">
        <v>22</v>
      </c>
      <c r="I1789" s="3" t="s">
        <v>23</v>
      </c>
      <c r="J1789" s="3" t="s">
        <v>24</v>
      </c>
      <c r="K1789" s="3" t="s">
        <v>25</v>
      </c>
      <c r="L1789" s="3" t="s">
        <v>26</v>
      </c>
    </row>
    <row r="1790" spans="2:24" ht="30" x14ac:dyDescent="0.25">
      <c r="B1790" s="4">
        <v>1705</v>
      </c>
      <c r="C1790" s="4" t="s">
        <v>187</v>
      </c>
      <c r="D1790" s="4" t="s">
        <v>154</v>
      </c>
      <c r="E1790" s="4">
        <v>2043</v>
      </c>
      <c r="F1790" s="4" t="s">
        <v>29</v>
      </c>
      <c r="G1790" s="4" t="s">
        <v>56</v>
      </c>
      <c r="H1790" s="4" t="s">
        <v>48</v>
      </c>
      <c r="I1790" s="4" t="s">
        <v>107</v>
      </c>
      <c r="J1790" s="4">
        <v>320</v>
      </c>
      <c r="L1790" s="4" t="s">
        <v>40</v>
      </c>
      <c r="M1790" s="5"/>
      <c r="O1790" s="5"/>
      <c r="Q1790" s="4">
        <f>B1790</f>
        <v>1705</v>
      </c>
      <c r="R1790" s="4" t="str">
        <f>C1790</f>
        <v>20/10/2026</v>
      </c>
      <c r="S1790" s="4" t="str">
        <f>D1790</f>
        <v>martes</v>
      </c>
      <c r="T1790" s="4" t="str">
        <f>E1790&amp;"/"&amp;E1791</f>
        <v>2043/2044</v>
      </c>
      <c r="U1790" s="4" t="str">
        <f>F1790&amp;"-"&amp;G1790&amp;"-"&amp;F1790</f>
        <v>LIM-AQP-LIM</v>
      </c>
      <c r="V1790" s="4" t="str">
        <f>IF($M$1790="","",$M$1790)</f>
        <v/>
      </c>
      <c r="W1790" s="4" t="str">
        <f>IF($O$1790="","",$O$1790)</f>
        <v/>
      </c>
      <c r="X1790" s="4">
        <f>J1790</f>
        <v>320</v>
      </c>
    </row>
    <row r="1791" spans="2:24" ht="30" x14ac:dyDescent="0.25">
      <c r="B1791" s="4">
        <v>1705</v>
      </c>
      <c r="C1791" s="4" t="s">
        <v>187</v>
      </c>
      <c r="D1791" s="4" t="s">
        <v>154</v>
      </c>
      <c r="E1791" s="4">
        <v>2044</v>
      </c>
      <c r="F1791" s="4" t="s">
        <v>56</v>
      </c>
      <c r="G1791" s="4" t="s">
        <v>29</v>
      </c>
      <c r="H1791" s="4" t="s">
        <v>109</v>
      </c>
      <c r="I1791" s="4" t="s">
        <v>52</v>
      </c>
      <c r="J1791" s="4">
        <v>320</v>
      </c>
      <c r="K1791" t="str">
        <f>TEXT(TIMEVALUE(H1791)-TIMEVALUE(I1790)+(TIMEVALUE(H1791)&lt;TIMEVALUE(I1790)),"[h]:mm")</f>
        <v>0:45</v>
      </c>
      <c r="L1791" s="4" t="s">
        <v>36</v>
      </c>
      <c r="O1791" t="str">
        <f>"LIM-"&amp;G1790&amp;"-LIM   LA "&amp;E1790&amp;" ("&amp;LEFT(H1790,5)&amp;"-"&amp;LEFT(I1790,5)&amp;" hrs)  /  LA "&amp;E1791&amp;" ("&amp;LEFT(H1791,5)&amp;"-"&amp;LEFT(I1791,5)&amp;" hrs)"</f>
        <v>LIM-AQP-LIM   LA 2043 (12:45-14:15 hrs)  /  LA 2044 (15:00-16:35 hrs)</v>
      </c>
    </row>
    <row r="1792" spans="2:24" x14ac:dyDescent="0.25">
      <c r="J1792" s="7" t="s">
        <v>43</v>
      </c>
      <c r="K1792" s="8" t="str">
        <f>TEXT(TIMEVALUE(I1791)-TIMEVALUE(H1790)+(I1791&lt;H1790),"[h]:mm")</f>
        <v>3:50</v>
      </c>
    </row>
    <row r="1794" spans="2:24" ht="30" x14ac:dyDescent="0.25">
      <c r="B1794" s="3" t="s">
        <v>9</v>
      </c>
      <c r="C1794" s="3" t="s">
        <v>17</v>
      </c>
      <c r="D1794" s="3" t="s">
        <v>18</v>
      </c>
      <c r="E1794" s="3" t="s">
        <v>19</v>
      </c>
      <c r="F1794" s="3" t="s">
        <v>20</v>
      </c>
      <c r="G1794" s="3" t="s">
        <v>21</v>
      </c>
      <c r="H1794" s="3" t="s">
        <v>22</v>
      </c>
      <c r="I1794" s="3" t="s">
        <v>23</v>
      </c>
      <c r="J1794" s="3" t="s">
        <v>24</v>
      </c>
      <c r="K1794" s="3" t="s">
        <v>25</v>
      </c>
      <c r="L1794" s="3" t="s">
        <v>26</v>
      </c>
    </row>
    <row r="1795" spans="2:24" ht="30" x14ac:dyDescent="0.25">
      <c r="B1795" s="4">
        <v>1706</v>
      </c>
      <c r="C1795" s="4" t="s">
        <v>187</v>
      </c>
      <c r="D1795" s="4" t="s">
        <v>154</v>
      </c>
      <c r="E1795" s="4">
        <v>2308</v>
      </c>
      <c r="F1795" s="4" t="s">
        <v>29</v>
      </c>
      <c r="G1795" s="4" t="s">
        <v>125</v>
      </c>
      <c r="H1795" s="4" t="s">
        <v>144</v>
      </c>
      <c r="I1795" s="4" t="s">
        <v>145</v>
      </c>
      <c r="J1795" s="4">
        <v>320</v>
      </c>
      <c r="L1795" s="4" t="s">
        <v>47</v>
      </c>
      <c r="M1795" s="5"/>
      <c r="O1795" s="5"/>
      <c r="Q1795" s="4">
        <f>B1795</f>
        <v>1706</v>
      </c>
      <c r="R1795" s="4" t="str">
        <f>C1795</f>
        <v>20/10/2026</v>
      </c>
      <c r="S1795" s="4" t="str">
        <f>D1795</f>
        <v>martes</v>
      </c>
      <c r="T1795" s="4" t="str">
        <f>E1795&amp;"/"&amp;E1796</f>
        <v>2308/2309</v>
      </c>
      <c r="U1795" s="4" t="str">
        <f>F1795&amp;"-"&amp;G1795&amp;"-"&amp;F1795</f>
        <v>LIM-PIU-LIM</v>
      </c>
      <c r="V1795" s="4" t="str">
        <f>IF($M$1795="","",$M$1795)</f>
        <v/>
      </c>
      <c r="W1795" s="4" t="str">
        <f>IF($O$1795="","",$O$1795)</f>
        <v/>
      </c>
      <c r="X1795" s="4">
        <f>J1795</f>
        <v>320</v>
      </c>
    </row>
    <row r="1796" spans="2:24" ht="30" x14ac:dyDescent="0.25">
      <c r="B1796" s="4">
        <v>1706</v>
      </c>
      <c r="C1796" s="4" t="s">
        <v>187</v>
      </c>
      <c r="D1796" s="4" t="s">
        <v>154</v>
      </c>
      <c r="E1796" s="4">
        <v>2309</v>
      </c>
      <c r="F1796" s="4" t="s">
        <v>125</v>
      </c>
      <c r="G1796" s="4" t="s">
        <v>29</v>
      </c>
      <c r="H1796" s="4" t="s">
        <v>146</v>
      </c>
      <c r="I1796" s="4" t="s">
        <v>60</v>
      </c>
      <c r="J1796" s="4">
        <v>320</v>
      </c>
      <c r="K1796" t="str">
        <f>TEXT(TIMEVALUE(H1796)-TIMEVALUE(I1795)+(TIMEVALUE(H1796)&lt;TIMEVALUE(I1795)),"[h]:mm")</f>
        <v>0:35</v>
      </c>
      <c r="L1796" s="4" t="s">
        <v>40</v>
      </c>
      <c r="O1796" t="str">
        <f>"LIM-"&amp;G1795&amp;"-LIM   LA "&amp;E1795&amp;" ("&amp;LEFT(H1795,5)&amp;"-"&amp;LEFT(I1795,5)&amp;" hrs)  /  LA "&amp;E1796&amp;" ("&amp;LEFT(H1796,5)&amp;"-"&amp;LEFT(I1796,5)&amp;" hrs)"</f>
        <v>LIM-PIU-LIM   LA 2308 (12:50-14:35 hrs)  /  LA 2309 (15:10-16:40 hrs)</v>
      </c>
    </row>
    <row r="1797" spans="2:24" x14ac:dyDescent="0.25">
      <c r="J1797" s="7" t="s">
        <v>43</v>
      </c>
      <c r="K1797" s="8" t="str">
        <f>TEXT(TIMEVALUE(I1796)-TIMEVALUE(H1795)+(I1796&lt;H1795),"[h]:mm")</f>
        <v>3:50</v>
      </c>
    </row>
    <row r="1799" spans="2:24" ht="30" x14ac:dyDescent="0.25">
      <c r="B1799" s="3" t="s">
        <v>9</v>
      </c>
      <c r="C1799" s="3" t="s">
        <v>17</v>
      </c>
      <c r="D1799" s="3" t="s">
        <v>18</v>
      </c>
      <c r="E1799" s="3" t="s">
        <v>19</v>
      </c>
      <c r="F1799" s="3" t="s">
        <v>20</v>
      </c>
      <c r="G1799" s="3" t="s">
        <v>21</v>
      </c>
      <c r="H1799" s="3" t="s">
        <v>22</v>
      </c>
      <c r="I1799" s="3" t="s">
        <v>23</v>
      </c>
      <c r="J1799" s="3" t="s">
        <v>24</v>
      </c>
      <c r="K1799" s="3" t="s">
        <v>25</v>
      </c>
      <c r="L1799" s="3" t="s">
        <v>26</v>
      </c>
    </row>
    <row r="1800" spans="2:24" ht="30" x14ac:dyDescent="0.25">
      <c r="B1800" s="4">
        <v>1715</v>
      </c>
      <c r="C1800" s="4" t="s">
        <v>187</v>
      </c>
      <c r="D1800" s="4" t="s">
        <v>154</v>
      </c>
      <c r="E1800" s="4">
        <v>2154</v>
      </c>
      <c r="F1800" s="4" t="s">
        <v>29</v>
      </c>
      <c r="G1800" s="4" t="s">
        <v>30</v>
      </c>
      <c r="H1800" s="4" t="s">
        <v>75</v>
      </c>
      <c r="I1800" s="4" t="s">
        <v>85</v>
      </c>
      <c r="J1800" s="4">
        <v>319</v>
      </c>
      <c r="L1800" s="4" t="s">
        <v>33</v>
      </c>
      <c r="M1800" s="5"/>
      <c r="O1800" s="5"/>
      <c r="Q1800" s="4">
        <f>B1800</f>
        <v>1715</v>
      </c>
      <c r="R1800" s="4" t="str">
        <f>C1800</f>
        <v>20/10/2026</v>
      </c>
      <c r="S1800" s="4" t="str">
        <f>D1800</f>
        <v>martes</v>
      </c>
      <c r="T1800" s="4" t="str">
        <f>E1800&amp;"/"&amp;E1801</f>
        <v>2154/2155</v>
      </c>
      <c r="U1800" s="4" t="str">
        <f>F1800&amp;"-"&amp;G1800&amp;"-"&amp;F1800</f>
        <v>LIM-CUZ-LIM</v>
      </c>
      <c r="V1800" s="4" t="str">
        <f>IF($M$1800="","",$M$1800)</f>
        <v/>
      </c>
      <c r="W1800" s="4" t="str">
        <f>IF($O$1800="","",$O$1800)</f>
        <v/>
      </c>
      <c r="X1800" s="4">
        <f>J1800</f>
        <v>319</v>
      </c>
    </row>
    <row r="1801" spans="2:24" ht="30" x14ac:dyDescent="0.25">
      <c r="B1801" s="4">
        <v>1715</v>
      </c>
      <c r="C1801" s="4" t="s">
        <v>187</v>
      </c>
      <c r="D1801" s="4" t="s">
        <v>154</v>
      </c>
      <c r="E1801" s="4">
        <v>2155</v>
      </c>
      <c r="F1801" s="4" t="s">
        <v>30</v>
      </c>
      <c r="G1801" s="4" t="s">
        <v>29</v>
      </c>
      <c r="H1801" s="4" t="s">
        <v>86</v>
      </c>
      <c r="I1801" s="4" t="s">
        <v>78</v>
      </c>
      <c r="J1801" s="4">
        <v>319</v>
      </c>
      <c r="K1801" t="str">
        <f>TEXT(TIMEVALUE(H1801)-TIMEVALUE(I1800)+(TIMEVALUE(H1801)&lt;TIMEVALUE(I1800)),"[h]:mm")</f>
        <v>0:40</v>
      </c>
      <c r="L1801" s="4" t="s">
        <v>36</v>
      </c>
      <c r="O1801" t="str">
        <f>"LIM-"&amp;G1800&amp;"-LIM   LA "&amp;E1800&amp;" ("&amp;LEFT(H1800,5)&amp;"-"&amp;LEFT(I1800,5)&amp;" hrs)  /  LA "&amp;E1801&amp;" ("&amp;LEFT(H1801,5)&amp;"-"&amp;LEFT(I1801,5)&amp;" hrs)"</f>
        <v>LIM-CUZ-LIM   LA 2154 (14:45-16:05 hrs)  /  LA 2155 (16:45-18:20 hrs)</v>
      </c>
    </row>
    <row r="1802" spans="2:24" x14ac:dyDescent="0.25">
      <c r="J1802" s="7" t="s">
        <v>43</v>
      </c>
      <c r="K1802" s="8" t="str">
        <f>TEXT(TIMEVALUE(I1801)-TIMEVALUE(H1800)+(I1801&lt;H1800),"[h]:mm")</f>
        <v>3:35</v>
      </c>
    </row>
    <row r="1804" spans="2:24" ht="30" x14ac:dyDescent="0.25">
      <c r="B1804" s="3" t="s">
        <v>9</v>
      </c>
      <c r="C1804" s="3" t="s">
        <v>17</v>
      </c>
      <c r="D1804" s="3" t="s">
        <v>18</v>
      </c>
      <c r="E1804" s="3" t="s">
        <v>19</v>
      </c>
      <c r="F1804" s="3" t="s">
        <v>20</v>
      </c>
      <c r="G1804" s="3" t="s">
        <v>21</v>
      </c>
      <c r="H1804" s="3" t="s">
        <v>22</v>
      </c>
      <c r="I1804" s="3" t="s">
        <v>23</v>
      </c>
      <c r="J1804" s="3" t="s">
        <v>24</v>
      </c>
      <c r="K1804" s="3" t="s">
        <v>25</v>
      </c>
      <c r="L1804" s="3" t="s">
        <v>26</v>
      </c>
    </row>
    <row r="1805" spans="2:24" ht="30" x14ac:dyDescent="0.25">
      <c r="B1805" s="4">
        <v>1716</v>
      </c>
      <c r="C1805" s="4" t="s">
        <v>187</v>
      </c>
      <c r="D1805" s="4" t="s">
        <v>154</v>
      </c>
      <c r="E1805" s="4">
        <v>2264</v>
      </c>
      <c r="F1805" s="4" t="s">
        <v>29</v>
      </c>
      <c r="G1805" s="4" t="s">
        <v>44</v>
      </c>
      <c r="H1805" s="4" t="s">
        <v>87</v>
      </c>
      <c r="I1805" s="4" t="s">
        <v>60</v>
      </c>
      <c r="J1805" s="4">
        <v>320</v>
      </c>
      <c r="L1805" s="4" t="s">
        <v>47</v>
      </c>
      <c r="M1805" s="5"/>
      <c r="O1805" s="5"/>
      <c r="Q1805" s="4">
        <f>B1805</f>
        <v>1716</v>
      </c>
      <c r="R1805" s="4" t="str">
        <f>C1805</f>
        <v>20/10/2026</v>
      </c>
      <c r="S1805" s="4" t="str">
        <f>D1805</f>
        <v>martes</v>
      </c>
      <c r="T1805" s="4" t="str">
        <f>E1805&amp;"/"&amp;E1806</f>
        <v>2264/2265</v>
      </c>
      <c r="U1805" s="4" t="str">
        <f>F1805&amp;"-"&amp;G1805&amp;"-"&amp;F1805</f>
        <v>LIM-PEM-LIM</v>
      </c>
      <c r="V1805" s="4" t="str">
        <f>IF($M$1805="","",$M$1805)</f>
        <v/>
      </c>
      <c r="W1805" s="4" t="str">
        <f>IF($O$1805="","",$O$1805)</f>
        <v/>
      </c>
      <c r="X1805" s="4">
        <f>J1805</f>
        <v>320</v>
      </c>
    </row>
    <row r="1806" spans="2:24" ht="30" x14ac:dyDescent="0.25">
      <c r="B1806" s="4">
        <v>1716</v>
      </c>
      <c r="C1806" s="4" t="s">
        <v>187</v>
      </c>
      <c r="D1806" s="4" t="s">
        <v>154</v>
      </c>
      <c r="E1806" s="4">
        <v>2265</v>
      </c>
      <c r="F1806" s="4" t="s">
        <v>44</v>
      </c>
      <c r="G1806" s="4" t="s">
        <v>29</v>
      </c>
      <c r="H1806" s="4" t="s">
        <v>53</v>
      </c>
      <c r="I1806" s="4" t="s">
        <v>88</v>
      </c>
      <c r="J1806" s="4">
        <v>320</v>
      </c>
      <c r="K1806" t="str">
        <f>TEXT(TIMEVALUE(H1806)-TIMEVALUE(I1805)+(TIMEVALUE(H1806)&lt;TIMEVALUE(I1805)),"[h]:mm")</f>
        <v>0:40</v>
      </c>
      <c r="L1806" s="4" t="s">
        <v>36</v>
      </c>
      <c r="O1806" t="str">
        <f>"LIM-"&amp;G1805&amp;"-LIM   LA "&amp;E1805&amp;" ("&amp;LEFT(H1805,5)&amp;"-"&amp;LEFT(I1805,5)&amp;" hrs)  /  LA "&amp;E1806&amp;" ("&amp;LEFT(H1806,5)&amp;"-"&amp;LEFT(I1806,5)&amp;" hrs)"</f>
        <v>LIM-PEM-LIM   LA 2264 (14:55-16:40 hrs)  /  LA 2265 (17:20-18:55 hrs)</v>
      </c>
    </row>
    <row r="1807" spans="2:24" x14ac:dyDescent="0.25">
      <c r="J1807" s="7" t="s">
        <v>43</v>
      </c>
      <c r="K1807" s="8" t="str">
        <f>TEXT(TIMEVALUE(I1806)-TIMEVALUE(H1805)+(I1806&lt;H1805),"[h]:mm")</f>
        <v>4:00</v>
      </c>
    </row>
    <row r="1809" spans="2:24" ht="30" x14ac:dyDescent="0.25">
      <c r="B1809" s="3" t="s">
        <v>9</v>
      </c>
      <c r="C1809" s="3" t="s">
        <v>17</v>
      </c>
      <c r="D1809" s="3" t="s">
        <v>18</v>
      </c>
      <c r="E1809" s="3" t="s">
        <v>19</v>
      </c>
      <c r="F1809" s="3" t="s">
        <v>20</v>
      </c>
      <c r="G1809" s="3" t="s">
        <v>21</v>
      </c>
      <c r="H1809" s="3" t="s">
        <v>22</v>
      </c>
      <c r="I1809" s="3" t="s">
        <v>23</v>
      </c>
      <c r="J1809" s="3" t="s">
        <v>24</v>
      </c>
      <c r="K1809" s="3" t="s">
        <v>25</v>
      </c>
      <c r="L1809" s="3" t="s">
        <v>26</v>
      </c>
    </row>
    <row r="1810" spans="2:24" ht="30" x14ac:dyDescent="0.25">
      <c r="B1810" s="4">
        <v>1717</v>
      </c>
      <c r="C1810" s="4" t="s">
        <v>187</v>
      </c>
      <c r="D1810" s="4" t="s">
        <v>154</v>
      </c>
      <c r="E1810" s="4">
        <v>2264</v>
      </c>
      <c r="F1810" s="4" t="s">
        <v>29</v>
      </c>
      <c r="G1810" s="4" t="s">
        <v>44</v>
      </c>
      <c r="H1810" s="4" t="s">
        <v>87</v>
      </c>
      <c r="I1810" s="4" t="s">
        <v>60</v>
      </c>
      <c r="J1810" s="4">
        <v>320</v>
      </c>
      <c r="L1810" s="4" t="s">
        <v>47</v>
      </c>
      <c r="M1810" s="5"/>
      <c r="O1810" s="5"/>
      <c r="Q1810" s="4">
        <f>B1810</f>
        <v>1717</v>
      </c>
      <c r="R1810" s="4" t="str">
        <f>C1810</f>
        <v>20/10/2026</v>
      </c>
      <c r="S1810" s="4" t="str">
        <f>D1810</f>
        <v>martes</v>
      </c>
      <c r="T1810" s="4" t="str">
        <f>E1810&amp;"/"&amp;E1811</f>
        <v>2264/2265</v>
      </c>
      <c r="U1810" s="4" t="str">
        <f>F1810&amp;"-"&amp;G1810&amp;"-"&amp;F1810</f>
        <v>LIM-PEM-LIM</v>
      </c>
      <c r="V1810" s="4" t="str">
        <f>IF($M$1810="","",$M$1810)</f>
        <v/>
      </c>
      <c r="W1810" s="4" t="str">
        <f>IF($O$1810="","",$O$1810)</f>
        <v/>
      </c>
      <c r="X1810" s="4">
        <f>J1810</f>
        <v>320</v>
      </c>
    </row>
    <row r="1811" spans="2:24" ht="30" x14ac:dyDescent="0.25">
      <c r="B1811" s="4">
        <v>1717</v>
      </c>
      <c r="C1811" s="4" t="s">
        <v>187</v>
      </c>
      <c r="D1811" s="4" t="s">
        <v>154</v>
      </c>
      <c r="E1811" s="4">
        <v>2265</v>
      </c>
      <c r="F1811" s="4" t="s">
        <v>44</v>
      </c>
      <c r="G1811" s="4" t="s">
        <v>29</v>
      </c>
      <c r="H1811" s="4" t="s">
        <v>53</v>
      </c>
      <c r="I1811" s="4" t="s">
        <v>88</v>
      </c>
      <c r="J1811" s="4">
        <v>320</v>
      </c>
      <c r="K1811" t="str">
        <f>TEXT(TIMEVALUE(H1811)-TIMEVALUE(I1810)+(TIMEVALUE(H1811)&lt;TIMEVALUE(I1810)),"[h]:mm")</f>
        <v>0:40</v>
      </c>
      <c r="L1811" s="4" t="s">
        <v>36</v>
      </c>
      <c r="O1811" t="str">
        <f>"LIM-"&amp;G1810&amp;"-LIM   LA "&amp;E1810&amp;" ("&amp;LEFT(H1810,5)&amp;"-"&amp;LEFT(I1810,5)&amp;" hrs)  /  LA "&amp;E1811&amp;" ("&amp;LEFT(H1811,5)&amp;"-"&amp;LEFT(I1811,5)&amp;" hrs)"</f>
        <v>LIM-PEM-LIM   LA 2264 (14:55-16:40 hrs)  /  LA 2265 (17:20-18:55 hrs)</v>
      </c>
    </row>
    <row r="1812" spans="2:24" x14ac:dyDescent="0.25">
      <c r="J1812" s="7" t="s">
        <v>43</v>
      </c>
      <c r="K1812" s="8" t="str">
        <f>TEXT(TIMEVALUE(I1811)-TIMEVALUE(H1810)+(I1811&lt;H1810),"[h]:mm")</f>
        <v>4:00</v>
      </c>
    </row>
    <row r="1814" spans="2:24" ht="30" x14ac:dyDescent="0.25">
      <c r="B1814" s="3" t="s">
        <v>9</v>
      </c>
      <c r="C1814" s="3" t="s">
        <v>17</v>
      </c>
      <c r="D1814" s="3" t="s">
        <v>18</v>
      </c>
      <c r="E1814" s="3" t="s">
        <v>19</v>
      </c>
      <c r="F1814" s="3" t="s">
        <v>20</v>
      </c>
      <c r="G1814" s="3" t="s">
        <v>21</v>
      </c>
      <c r="H1814" s="3" t="s">
        <v>22</v>
      </c>
      <c r="I1814" s="3" t="s">
        <v>23</v>
      </c>
      <c r="J1814" s="3" t="s">
        <v>24</v>
      </c>
      <c r="K1814" s="3" t="s">
        <v>25</v>
      </c>
      <c r="L1814" s="3" t="s">
        <v>26</v>
      </c>
    </row>
    <row r="1815" spans="2:24" ht="30" x14ac:dyDescent="0.25">
      <c r="B1815" s="4">
        <v>1718</v>
      </c>
      <c r="C1815" s="4" t="s">
        <v>187</v>
      </c>
      <c r="D1815" s="4" t="s">
        <v>154</v>
      </c>
      <c r="E1815" s="4">
        <v>2338</v>
      </c>
      <c r="F1815" s="4" t="s">
        <v>29</v>
      </c>
      <c r="G1815" s="4" t="s">
        <v>125</v>
      </c>
      <c r="H1815" s="4" t="s">
        <v>109</v>
      </c>
      <c r="I1815" s="4" t="s">
        <v>86</v>
      </c>
      <c r="J1815" s="4">
        <v>319</v>
      </c>
      <c r="L1815" s="4" t="s">
        <v>47</v>
      </c>
      <c r="M1815" s="5"/>
      <c r="O1815" s="5"/>
      <c r="Q1815" s="4">
        <f>B1815</f>
        <v>1718</v>
      </c>
      <c r="R1815" s="4" t="str">
        <f>C1815</f>
        <v>20/10/2026</v>
      </c>
      <c r="S1815" s="4" t="str">
        <f>D1815</f>
        <v>martes</v>
      </c>
      <c r="T1815" s="4" t="str">
        <f>E1815&amp;"/"&amp;E1816</f>
        <v>2338/2339</v>
      </c>
      <c r="U1815" s="4" t="str">
        <f>F1815&amp;"-"&amp;G1815&amp;"-"&amp;F1815</f>
        <v>LIM-PIU-LIM</v>
      </c>
      <c r="V1815" s="4" t="str">
        <f>IF($M$1815="","",$M$1815)</f>
        <v/>
      </c>
      <c r="W1815" s="4" t="str">
        <f>IF($O$1815="","",$O$1815)</f>
        <v/>
      </c>
      <c r="X1815" s="4">
        <f>J1815</f>
        <v>319</v>
      </c>
    </row>
    <row r="1816" spans="2:24" ht="30" x14ac:dyDescent="0.25">
      <c r="B1816" s="4">
        <v>1718</v>
      </c>
      <c r="C1816" s="4" t="s">
        <v>187</v>
      </c>
      <c r="D1816" s="4" t="s">
        <v>154</v>
      </c>
      <c r="E1816" s="4">
        <v>2339</v>
      </c>
      <c r="F1816" s="4" t="s">
        <v>125</v>
      </c>
      <c r="G1816" s="4" t="s">
        <v>29</v>
      </c>
      <c r="H1816" s="4" t="s">
        <v>53</v>
      </c>
      <c r="I1816" s="4" t="s">
        <v>88</v>
      </c>
      <c r="J1816" s="4">
        <v>319</v>
      </c>
      <c r="K1816" t="str">
        <f>TEXT(TIMEVALUE(H1816)-TIMEVALUE(I1815)+(TIMEVALUE(H1816)&lt;TIMEVALUE(I1815)),"[h]:mm")</f>
        <v>0:35</v>
      </c>
      <c r="L1816" s="4" t="s">
        <v>36</v>
      </c>
      <c r="O1816" t="str">
        <f>"LIM-"&amp;G1815&amp;"-LIM   LA "&amp;E1815&amp;" ("&amp;LEFT(H1815,5)&amp;"-"&amp;LEFT(I1815,5)&amp;" hrs)  /  LA "&amp;E1816&amp;" ("&amp;LEFT(H1816,5)&amp;"-"&amp;LEFT(I1816,5)&amp;" hrs)"</f>
        <v>LIM-PIU-LIM   LA 2338 (15:00-16:45 hrs)  /  LA 2339 (17:20-18:55 hrs)</v>
      </c>
    </row>
    <row r="1817" spans="2:24" x14ac:dyDescent="0.25">
      <c r="J1817" s="7" t="s">
        <v>43</v>
      </c>
      <c r="K1817" s="8" t="str">
        <f>TEXT(TIMEVALUE(I1816)-TIMEVALUE(H1815)+(I1816&lt;H1815),"[h]:mm")</f>
        <v>3:55</v>
      </c>
    </row>
    <row r="1819" spans="2:24" ht="30" x14ac:dyDescent="0.25">
      <c r="B1819" s="3" t="s">
        <v>9</v>
      </c>
      <c r="C1819" s="3" t="s">
        <v>17</v>
      </c>
      <c r="D1819" s="3" t="s">
        <v>18</v>
      </c>
      <c r="E1819" s="3" t="s">
        <v>19</v>
      </c>
      <c r="F1819" s="3" t="s">
        <v>20</v>
      </c>
      <c r="G1819" s="3" t="s">
        <v>21</v>
      </c>
      <c r="H1819" s="3" t="s">
        <v>22</v>
      </c>
      <c r="I1819" s="3" t="s">
        <v>23</v>
      </c>
      <c r="J1819" s="3" t="s">
        <v>24</v>
      </c>
      <c r="K1819" s="3" t="s">
        <v>25</v>
      </c>
      <c r="L1819" s="3" t="s">
        <v>26</v>
      </c>
    </row>
    <row r="1820" spans="2:24" ht="30" x14ac:dyDescent="0.25">
      <c r="B1820" s="4">
        <v>1719</v>
      </c>
      <c r="C1820" s="4" t="s">
        <v>187</v>
      </c>
      <c r="D1820" s="4" t="s">
        <v>154</v>
      </c>
      <c r="E1820" s="4">
        <v>2113</v>
      </c>
      <c r="F1820" s="4" t="s">
        <v>29</v>
      </c>
      <c r="G1820" s="4" t="s">
        <v>56</v>
      </c>
      <c r="H1820" s="4" t="s">
        <v>126</v>
      </c>
      <c r="I1820" s="4" t="s">
        <v>52</v>
      </c>
      <c r="J1820" s="4">
        <v>320</v>
      </c>
      <c r="L1820" s="4" t="s">
        <v>40</v>
      </c>
      <c r="M1820" s="5"/>
      <c r="O1820" s="5"/>
      <c r="Q1820" s="4">
        <f>B1820</f>
        <v>1719</v>
      </c>
      <c r="R1820" s="4" t="str">
        <f>C1820</f>
        <v>20/10/2026</v>
      </c>
      <c r="S1820" s="4" t="str">
        <f>D1820</f>
        <v>martes</v>
      </c>
      <c r="T1820" s="4" t="str">
        <f>E1820&amp;"/"&amp;E1821</f>
        <v>2113/2112</v>
      </c>
      <c r="U1820" s="4" t="str">
        <f>F1820&amp;"-"&amp;G1820&amp;"-"&amp;F1820</f>
        <v>LIM-AQP-LIM</v>
      </c>
      <c r="V1820" s="4" t="str">
        <f>IF($M$1820="","",$M$1820)</f>
        <v/>
      </c>
      <c r="W1820" s="4" t="str">
        <f>IF($O$1820="","",$O$1820)</f>
        <v/>
      </c>
      <c r="X1820" s="4">
        <f>J1820</f>
        <v>320</v>
      </c>
    </row>
    <row r="1821" spans="2:24" ht="30" x14ac:dyDescent="0.25">
      <c r="B1821" s="4">
        <v>1719</v>
      </c>
      <c r="C1821" s="4" t="s">
        <v>187</v>
      </c>
      <c r="D1821" s="4" t="s">
        <v>154</v>
      </c>
      <c r="E1821" s="4">
        <v>2112</v>
      </c>
      <c r="F1821" s="4" t="s">
        <v>56</v>
      </c>
      <c r="G1821" s="4" t="s">
        <v>29</v>
      </c>
      <c r="H1821" s="4" t="s">
        <v>42</v>
      </c>
      <c r="I1821" s="4" t="s">
        <v>88</v>
      </c>
      <c r="J1821" s="4">
        <v>320</v>
      </c>
      <c r="K1821" t="str">
        <f>TEXT(TIMEVALUE(H1821)-TIMEVALUE(I1820)+(TIMEVALUE(H1821)&lt;TIMEVALUE(I1820)),"[h]:mm")</f>
        <v>0:40</v>
      </c>
      <c r="L1821" s="4" t="s">
        <v>71</v>
      </c>
      <c r="O1821" t="str">
        <f>"LIM-"&amp;G1820&amp;"-LIM   LA "&amp;E1820&amp;" ("&amp;LEFT(H1820,5)&amp;"-"&amp;LEFT(I1820,5)&amp;" hrs)  /  LA "&amp;E1821&amp;" ("&amp;LEFT(H1821,5)&amp;"-"&amp;LEFT(I1821,5)&amp;" hrs)"</f>
        <v>LIM-AQP-LIM   LA 2113 (15:05-16:35 hrs)  /  LA 2112 (17:15-18:55 hrs)</v>
      </c>
    </row>
    <row r="1822" spans="2:24" x14ac:dyDescent="0.25">
      <c r="J1822" s="7" t="s">
        <v>43</v>
      </c>
      <c r="K1822" s="8" t="str">
        <f>TEXT(TIMEVALUE(I1821)-TIMEVALUE(H1820)+(I1821&lt;H1820),"[h]:mm")</f>
        <v>3:50</v>
      </c>
    </row>
    <row r="1824" spans="2:24" ht="30" x14ac:dyDescent="0.25">
      <c r="B1824" s="3" t="s">
        <v>9</v>
      </c>
      <c r="C1824" s="3" t="s">
        <v>17</v>
      </c>
      <c r="D1824" s="3" t="s">
        <v>18</v>
      </c>
      <c r="E1824" s="3" t="s">
        <v>19</v>
      </c>
      <c r="F1824" s="3" t="s">
        <v>20</v>
      </c>
      <c r="G1824" s="3" t="s">
        <v>21</v>
      </c>
      <c r="H1824" s="3" t="s">
        <v>22</v>
      </c>
      <c r="I1824" s="3" t="s">
        <v>23</v>
      </c>
      <c r="J1824" s="3" t="s">
        <v>24</v>
      </c>
      <c r="K1824" s="3" t="s">
        <v>25</v>
      </c>
      <c r="L1824" s="3" t="s">
        <v>26</v>
      </c>
    </row>
    <row r="1825" spans="2:24" ht="30" x14ac:dyDescent="0.25">
      <c r="B1825" s="4">
        <v>1720</v>
      </c>
      <c r="C1825" s="4" t="s">
        <v>187</v>
      </c>
      <c r="D1825" s="4" t="s">
        <v>154</v>
      </c>
      <c r="E1825" s="4">
        <v>2113</v>
      </c>
      <c r="F1825" s="4" t="s">
        <v>29</v>
      </c>
      <c r="G1825" s="4" t="s">
        <v>56</v>
      </c>
      <c r="H1825" s="4" t="s">
        <v>126</v>
      </c>
      <c r="I1825" s="4" t="s">
        <v>52</v>
      </c>
      <c r="J1825" s="4">
        <v>320</v>
      </c>
      <c r="L1825" s="4" t="s">
        <v>40</v>
      </c>
      <c r="M1825" s="5"/>
      <c r="O1825" s="5"/>
      <c r="Q1825" s="4">
        <f>B1825</f>
        <v>1720</v>
      </c>
      <c r="R1825" s="4" t="str">
        <f>C1825</f>
        <v>20/10/2026</v>
      </c>
      <c r="S1825" s="4" t="str">
        <f>D1825</f>
        <v>martes</v>
      </c>
      <c r="T1825" s="4" t="str">
        <f>E1825&amp;"/"&amp;E1826</f>
        <v>2113/2112</v>
      </c>
      <c r="U1825" s="4" t="str">
        <f>F1825&amp;"-"&amp;G1825&amp;"-"&amp;F1825</f>
        <v>LIM-AQP-LIM</v>
      </c>
      <c r="V1825" s="4" t="str">
        <f>IF($M$1825="","",$M$1825)</f>
        <v/>
      </c>
      <c r="W1825" s="4" t="str">
        <f>IF($O$1825="","",$O$1825)</f>
        <v/>
      </c>
      <c r="X1825" s="4">
        <f>J1825</f>
        <v>320</v>
      </c>
    </row>
    <row r="1826" spans="2:24" ht="30" x14ac:dyDescent="0.25">
      <c r="B1826" s="4">
        <v>1720</v>
      </c>
      <c r="C1826" s="4" t="s">
        <v>187</v>
      </c>
      <c r="D1826" s="4" t="s">
        <v>154</v>
      </c>
      <c r="E1826" s="4">
        <v>2112</v>
      </c>
      <c r="F1826" s="4" t="s">
        <v>56</v>
      </c>
      <c r="G1826" s="4" t="s">
        <v>29</v>
      </c>
      <c r="H1826" s="4" t="s">
        <v>42</v>
      </c>
      <c r="I1826" s="4" t="s">
        <v>88</v>
      </c>
      <c r="J1826" s="4">
        <v>320</v>
      </c>
      <c r="K1826" t="str">
        <f>TEXT(TIMEVALUE(H1826)-TIMEVALUE(I1825)+(TIMEVALUE(H1826)&lt;TIMEVALUE(I1825)),"[h]:mm")</f>
        <v>0:40</v>
      </c>
      <c r="L1826" s="4" t="s">
        <v>71</v>
      </c>
      <c r="O1826" t="str">
        <f>"LIM-"&amp;G1825&amp;"-LIM   LA "&amp;E1825&amp;" ("&amp;LEFT(H1825,5)&amp;"-"&amp;LEFT(I1825,5)&amp;" hrs)  /  LA "&amp;E1826&amp;" ("&amp;LEFT(H1826,5)&amp;"-"&amp;LEFT(I1826,5)&amp;" hrs)"</f>
        <v>LIM-AQP-LIM   LA 2113 (15:05-16:35 hrs)  /  LA 2112 (17:15-18:55 hrs)</v>
      </c>
    </row>
    <row r="1827" spans="2:24" x14ac:dyDescent="0.25">
      <c r="J1827" s="7" t="s">
        <v>43</v>
      </c>
      <c r="K1827" s="8" t="str">
        <f>TEXT(TIMEVALUE(I1826)-TIMEVALUE(H1825)+(I1826&lt;H1825),"[h]:mm")</f>
        <v>3:50</v>
      </c>
    </row>
    <row r="1829" spans="2:24" ht="30" x14ac:dyDescent="0.25">
      <c r="B1829" s="3" t="s">
        <v>9</v>
      </c>
      <c r="C1829" s="3" t="s">
        <v>17</v>
      </c>
      <c r="D1829" s="3" t="s">
        <v>18</v>
      </c>
      <c r="E1829" s="3" t="s">
        <v>19</v>
      </c>
      <c r="F1829" s="3" t="s">
        <v>20</v>
      </c>
      <c r="G1829" s="3" t="s">
        <v>21</v>
      </c>
      <c r="H1829" s="3" t="s">
        <v>22</v>
      </c>
      <c r="I1829" s="3" t="s">
        <v>23</v>
      </c>
      <c r="J1829" s="3" t="s">
        <v>24</v>
      </c>
      <c r="K1829" s="3" t="s">
        <v>25</v>
      </c>
      <c r="L1829" s="3" t="s">
        <v>26</v>
      </c>
    </row>
    <row r="1830" spans="2:24" ht="30" x14ac:dyDescent="0.25">
      <c r="B1830" s="4">
        <v>1723</v>
      </c>
      <c r="C1830" s="4" t="s">
        <v>187</v>
      </c>
      <c r="D1830" s="4" t="s">
        <v>154</v>
      </c>
      <c r="E1830" s="4">
        <v>2360</v>
      </c>
      <c r="F1830" s="4" t="s">
        <v>29</v>
      </c>
      <c r="G1830" s="4" t="s">
        <v>58</v>
      </c>
      <c r="H1830" s="4" t="s">
        <v>59</v>
      </c>
      <c r="I1830" s="4" t="s">
        <v>60</v>
      </c>
      <c r="J1830" s="4">
        <v>320</v>
      </c>
      <c r="L1830" s="4" t="s">
        <v>61</v>
      </c>
      <c r="M1830" s="5"/>
      <c r="O1830" s="5"/>
      <c r="Q1830" s="4">
        <f>B1830</f>
        <v>1723</v>
      </c>
      <c r="R1830" s="4" t="str">
        <f>C1830</f>
        <v>20/10/2026</v>
      </c>
      <c r="S1830" s="4" t="str">
        <f>D1830</f>
        <v>martes</v>
      </c>
      <c r="T1830" s="4" t="str">
        <f>E1830&amp;"/"&amp;E1831</f>
        <v>2360/2361</v>
      </c>
      <c r="U1830" s="4" t="str">
        <f>F1830&amp;"-"&amp;G1830&amp;"-"&amp;F1830</f>
        <v>LIM-PCL-LIM</v>
      </c>
      <c r="V1830" s="4" t="str">
        <f>IF($M$1830="","",$M$1830)</f>
        <v/>
      </c>
      <c r="W1830" s="4" t="str">
        <f>IF($O$1830="","",$O$1830)</f>
        <v/>
      </c>
      <c r="X1830" s="4">
        <f>J1830</f>
        <v>320</v>
      </c>
    </row>
    <row r="1831" spans="2:24" ht="30" x14ac:dyDescent="0.25">
      <c r="B1831" s="4">
        <v>1723</v>
      </c>
      <c r="C1831" s="4" t="s">
        <v>187</v>
      </c>
      <c r="D1831" s="4" t="s">
        <v>154</v>
      </c>
      <c r="E1831" s="4">
        <v>2361</v>
      </c>
      <c r="F1831" s="4" t="s">
        <v>58</v>
      </c>
      <c r="G1831" s="4" t="s">
        <v>29</v>
      </c>
      <c r="H1831" s="4" t="s">
        <v>53</v>
      </c>
      <c r="I1831" s="4" t="s">
        <v>62</v>
      </c>
      <c r="J1831" s="4">
        <v>320</v>
      </c>
      <c r="K1831" t="str">
        <f>TEXT(TIMEVALUE(H1831)-TIMEVALUE(I1830)+(TIMEVALUE(H1831)&lt;TIMEVALUE(I1830)),"[h]:mm")</f>
        <v>0:40</v>
      </c>
      <c r="L1831" s="4" t="s">
        <v>61</v>
      </c>
      <c r="O1831" t="str">
        <f>"LIM-"&amp;G1830&amp;"-LIM   LA "&amp;E1830&amp;" ("&amp;LEFT(H1830,5)&amp;"-"&amp;LEFT(I1830,5)&amp;" hrs)  /  LA "&amp;E1831&amp;" ("&amp;LEFT(H1831,5)&amp;"-"&amp;LEFT(I1831,5)&amp;" hrs)"</f>
        <v>LIM-PCL-LIM   LA 2360 (15:25-16:40 hrs)  /  LA 2361 (17:20-18:35 hrs)</v>
      </c>
    </row>
    <row r="1832" spans="2:24" x14ac:dyDescent="0.25">
      <c r="J1832" s="7" t="s">
        <v>43</v>
      </c>
      <c r="K1832" s="8" t="str">
        <f>TEXT(TIMEVALUE(I1831)-TIMEVALUE(H1830)+(I1831&lt;H1830),"[h]:mm")</f>
        <v>3:10</v>
      </c>
    </row>
    <row r="1834" spans="2:24" ht="30" x14ac:dyDescent="0.25">
      <c r="B1834" s="3" t="s">
        <v>9</v>
      </c>
      <c r="C1834" s="3" t="s">
        <v>17</v>
      </c>
      <c r="D1834" s="3" t="s">
        <v>18</v>
      </c>
      <c r="E1834" s="3" t="s">
        <v>19</v>
      </c>
      <c r="F1834" s="3" t="s">
        <v>20</v>
      </c>
      <c r="G1834" s="3" t="s">
        <v>21</v>
      </c>
      <c r="H1834" s="3" t="s">
        <v>22</v>
      </c>
      <c r="I1834" s="3" t="s">
        <v>23</v>
      </c>
      <c r="J1834" s="3" t="s">
        <v>24</v>
      </c>
      <c r="K1834" s="3" t="s">
        <v>25</v>
      </c>
      <c r="L1834" s="3" t="s">
        <v>26</v>
      </c>
    </row>
    <row r="1835" spans="2:24" ht="30" x14ac:dyDescent="0.25">
      <c r="B1835" s="4">
        <v>1724</v>
      </c>
      <c r="C1835" s="4" t="s">
        <v>187</v>
      </c>
      <c r="D1835" s="4" t="s">
        <v>154</v>
      </c>
      <c r="E1835" s="4">
        <v>2312</v>
      </c>
      <c r="F1835" s="4" t="s">
        <v>29</v>
      </c>
      <c r="G1835" s="4" t="s">
        <v>37</v>
      </c>
      <c r="H1835" s="4" t="s">
        <v>89</v>
      </c>
      <c r="I1835" s="4" t="s">
        <v>77</v>
      </c>
      <c r="J1835" s="4">
        <v>320</v>
      </c>
      <c r="L1835" s="4" t="s">
        <v>40</v>
      </c>
      <c r="M1835" s="5"/>
      <c r="O1835" s="5"/>
      <c r="Q1835" s="4">
        <f>B1835</f>
        <v>1724</v>
      </c>
      <c r="R1835" s="4" t="str">
        <f>C1835</f>
        <v>20/10/2026</v>
      </c>
      <c r="S1835" s="4" t="str">
        <f>D1835</f>
        <v>martes</v>
      </c>
      <c r="T1835" s="4" t="str">
        <f>E1835&amp;"/"&amp;E1836</f>
        <v>2312/2313</v>
      </c>
      <c r="U1835" s="4" t="str">
        <f>F1835&amp;"-"&amp;G1835&amp;"-"&amp;F1835</f>
        <v>LIM-CIX-LIM</v>
      </c>
      <c r="V1835" s="4" t="str">
        <f>IF($M$1835="","",$M$1835)</f>
        <v/>
      </c>
      <c r="W1835" s="4" t="str">
        <f>IF($O$1835="","",$O$1835)</f>
        <v/>
      </c>
      <c r="X1835" s="4">
        <f>J1835</f>
        <v>320</v>
      </c>
    </row>
    <row r="1836" spans="2:24" ht="30" x14ac:dyDescent="0.25">
      <c r="B1836" s="4">
        <v>1724</v>
      </c>
      <c r="C1836" s="4" t="s">
        <v>187</v>
      </c>
      <c r="D1836" s="4" t="s">
        <v>154</v>
      </c>
      <c r="E1836" s="4">
        <v>2313</v>
      </c>
      <c r="F1836" s="4" t="s">
        <v>37</v>
      </c>
      <c r="G1836" s="4" t="s">
        <v>29</v>
      </c>
      <c r="H1836" s="4" t="s">
        <v>84</v>
      </c>
      <c r="I1836" s="4" t="s">
        <v>90</v>
      </c>
      <c r="J1836" s="4">
        <v>320</v>
      </c>
      <c r="K1836" t="str">
        <f>TEXT(TIMEVALUE(H1836)-TIMEVALUE(I1835)+(TIMEVALUE(H1836)&lt;TIMEVALUE(I1835)),"[h]:mm")</f>
        <v>0:45</v>
      </c>
      <c r="L1836" s="4" t="s">
        <v>33</v>
      </c>
      <c r="O1836" t="str">
        <f>"LIM-"&amp;G1835&amp;"-LIM   LA "&amp;E1835&amp;" ("&amp;LEFT(H1835,5)&amp;"-"&amp;LEFT(I1835,5)&amp;" hrs)  /  LA "&amp;E1836&amp;" ("&amp;LEFT(H1836,5)&amp;"-"&amp;LEFT(I1836,5)&amp;" hrs)"</f>
        <v>LIM-CIX-LIM   LA 2312 (15:35-17:05 hrs)  /  LA 2313 (17:50-19:10 hrs)</v>
      </c>
    </row>
    <row r="1837" spans="2:24" x14ac:dyDescent="0.25">
      <c r="J1837" s="7" t="s">
        <v>43</v>
      </c>
      <c r="K1837" s="8" t="str">
        <f>TEXT(TIMEVALUE(I1836)-TIMEVALUE(H1835)+(I1836&lt;H1835),"[h]:mm")</f>
        <v>3:35</v>
      </c>
    </row>
    <row r="1839" spans="2:24" ht="30" x14ac:dyDescent="0.25">
      <c r="B1839" s="3" t="s">
        <v>9</v>
      </c>
      <c r="C1839" s="3" t="s">
        <v>17</v>
      </c>
      <c r="D1839" s="3" t="s">
        <v>18</v>
      </c>
      <c r="E1839" s="3" t="s">
        <v>19</v>
      </c>
      <c r="F1839" s="3" t="s">
        <v>20</v>
      </c>
      <c r="G1839" s="3" t="s">
        <v>21</v>
      </c>
      <c r="H1839" s="3" t="s">
        <v>22</v>
      </c>
      <c r="I1839" s="3" t="s">
        <v>23</v>
      </c>
      <c r="J1839" s="3" t="s">
        <v>24</v>
      </c>
      <c r="K1839" s="3" t="s">
        <v>25</v>
      </c>
      <c r="L1839" s="3" t="s">
        <v>26</v>
      </c>
    </row>
    <row r="1840" spans="2:24" ht="30" x14ac:dyDescent="0.25">
      <c r="B1840" s="4">
        <v>1725</v>
      </c>
      <c r="C1840" s="4" t="s">
        <v>187</v>
      </c>
      <c r="D1840" s="4" t="s">
        <v>154</v>
      </c>
      <c r="E1840" s="4">
        <v>2312</v>
      </c>
      <c r="F1840" s="4" t="s">
        <v>29</v>
      </c>
      <c r="G1840" s="4" t="s">
        <v>37</v>
      </c>
      <c r="H1840" s="4" t="s">
        <v>89</v>
      </c>
      <c r="I1840" s="4" t="s">
        <v>77</v>
      </c>
      <c r="J1840" s="4">
        <v>320</v>
      </c>
      <c r="L1840" s="4" t="s">
        <v>40</v>
      </c>
      <c r="M1840" s="5"/>
      <c r="O1840" s="5"/>
      <c r="Q1840" s="4">
        <f>B1840</f>
        <v>1725</v>
      </c>
      <c r="R1840" s="4" t="str">
        <f>C1840</f>
        <v>20/10/2026</v>
      </c>
      <c r="S1840" s="4" t="str">
        <f>D1840</f>
        <v>martes</v>
      </c>
      <c r="T1840" s="4" t="str">
        <f>E1840&amp;"/"&amp;E1841</f>
        <v>2312/2313</v>
      </c>
      <c r="U1840" s="4" t="str">
        <f>F1840&amp;"-"&amp;G1840&amp;"-"&amp;F1840</f>
        <v>LIM-CIX-LIM</v>
      </c>
      <c r="V1840" s="4" t="str">
        <f>IF($M$1840="","",$M$1840)</f>
        <v/>
      </c>
      <c r="W1840" s="4" t="str">
        <f>IF($O$1840="","",$O$1840)</f>
        <v/>
      </c>
      <c r="X1840" s="4">
        <f>J1840</f>
        <v>320</v>
      </c>
    </row>
    <row r="1841" spans="2:24" ht="30" x14ac:dyDescent="0.25">
      <c r="B1841" s="4">
        <v>1725</v>
      </c>
      <c r="C1841" s="4" t="s">
        <v>187</v>
      </c>
      <c r="D1841" s="4" t="s">
        <v>154</v>
      </c>
      <c r="E1841" s="4">
        <v>2313</v>
      </c>
      <c r="F1841" s="4" t="s">
        <v>37</v>
      </c>
      <c r="G1841" s="4" t="s">
        <v>29</v>
      </c>
      <c r="H1841" s="4" t="s">
        <v>84</v>
      </c>
      <c r="I1841" s="4" t="s">
        <v>90</v>
      </c>
      <c r="J1841" s="4">
        <v>320</v>
      </c>
      <c r="K1841" t="str">
        <f>TEXT(TIMEVALUE(H1841)-TIMEVALUE(I1840)+(TIMEVALUE(H1841)&lt;TIMEVALUE(I1840)),"[h]:mm")</f>
        <v>0:45</v>
      </c>
      <c r="L1841" s="4" t="s">
        <v>33</v>
      </c>
      <c r="O1841" t="str">
        <f>"LIM-"&amp;G1840&amp;"-LIM   LA "&amp;E1840&amp;" ("&amp;LEFT(H1840,5)&amp;"-"&amp;LEFT(I1840,5)&amp;" hrs)  /  LA "&amp;E1841&amp;" ("&amp;LEFT(H1841,5)&amp;"-"&amp;LEFT(I1841,5)&amp;" hrs)"</f>
        <v>LIM-CIX-LIM   LA 2312 (15:35-17:05 hrs)  /  LA 2313 (17:50-19:10 hrs)</v>
      </c>
    </row>
    <row r="1842" spans="2:24" x14ac:dyDescent="0.25">
      <c r="J1842" s="7" t="s">
        <v>43</v>
      </c>
      <c r="K1842" s="8" t="str">
        <f>TEXT(TIMEVALUE(I1841)-TIMEVALUE(H1840)+(I1841&lt;H1840),"[h]:mm")</f>
        <v>3:35</v>
      </c>
    </row>
    <row r="1844" spans="2:24" ht="30" x14ac:dyDescent="0.25">
      <c r="B1844" s="3" t="s">
        <v>9</v>
      </c>
      <c r="C1844" s="3" t="s">
        <v>17</v>
      </c>
      <c r="D1844" s="3" t="s">
        <v>18</v>
      </c>
      <c r="E1844" s="3" t="s">
        <v>19</v>
      </c>
      <c r="F1844" s="3" t="s">
        <v>20</v>
      </c>
      <c r="G1844" s="3" t="s">
        <v>21</v>
      </c>
      <c r="H1844" s="3" t="s">
        <v>22</v>
      </c>
      <c r="I1844" s="3" t="s">
        <v>23</v>
      </c>
      <c r="J1844" s="3" t="s">
        <v>24</v>
      </c>
      <c r="K1844" s="3" t="s">
        <v>25</v>
      </c>
      <c r="L1844" s="3" t="s">
        <v>26</v>
      </c>
    </row>
    <row r="1845" spans="2:24" ht="30" x14ac:dyDescent="0.25">
      <c r="B1845" s="4">
        <v>1726</v>
      </c>
      <c r="C1845" s="4" t="s">
        <v>187</v>
      </c>
      <c r="D1845" s="4" t="s">
        <v>154</v>
      </c>
      <c r="E1845" s="4">
        <v>2301</v>
      </c>
      <c r="F1845" s="4" t="s">
        <v>29</v>
      </c>
      <c r="G1845" s="4" t="s">
        <v>91</v>
      </c>
      <c r="H1845" s="4" t="s">
        <v>92</v>
      </c>
      <c r="I1845" s="4" t="s">
        <v>77</v>
      </c>
      <c r="J1845" s="4">
        <v>320</v>
      </c>
      <c r="L1845" s="4" t="s">
        <v>93</v>
      </c>
      <c r="M1845" s="5"/>
      <c r="O1845" s="5"/>
      <c r="Q1845" s="4">
        <f>B1845</f>
        <v>1726</v>
      </c>
      <c r="R1845" s="4" t="str">
        <f>C1845</f>
        <v>20/10/2026</v>
      </c>
      <c r="S1845" s="4" t="str">
        <f>D1845</f>
        <v>martes</v>
      </c>
      <c r="T1845" s="4" t="str">
        <f>E1845&amp;"/"&amp;E1846</f>
        <v>2301/2300</v>
      </c>
      <c r="U1845" s="4" t="str">
        <f>F1845&amp;"-"&amp;G1845&amp;"-"&amp;F1845</f>
        <v>LIM-TPP-LIM</v>
      </c>
      <c r="V1845" s="4" t="str">
        <f>IF($M$1845="","",$M$1845)</f>
        <v/>
      </c>
      <c r="W1845" s="4" t="str">
        <f>IF($O$1845="","",$O$1845)</f>
        <v/>
      </c>
      <c r="X1845" s="4">
        <f>J1845</f>
        <v>320</v>
      </c>
    </row>
    <row r="1846" spans="2:24" ht="30" x14ac:dyDescent="0.25">
      <c r="B1846" s="4">
        <v>1726</v>
      </c>
      <c r="C1846" s="4" t="s">
        <v>187</v>
      </c>
      <c r="D1846" s="4" t="s">
        <v>154</v>
      </c>
      <c r="E1846" s="4">
        <v>2300</v>
      </c>
      <c r="F1846" s="4" t="s">
        <v>91</v>
      </c>
      <c r="G1846" s="4" t="s">
        <v>29</v>
      </c>
      <c r="H1846" s="4" t="s">
        <v>84</v>
      </c>
      <c r="I1846" s="4" t="s">
        <v>94</v>
      </c>
      <c r="J1846" s="4">
        <v>320</v>
      </c>
      <c r="K1846" t="str">
        <f>TEXT(TIMEVALUE(H1846)-TIMEVALUE(I1845)+(TIMEVALUE(H1846)&lt;TIMEVALUE(I1845)),"[h]:mm")</f>
        <v>0:45</v>
      </c>
      <c r="L1846" s="4" t="s">
        <v>93</v>
      </c>
      <c r="O1846" t="str">
        <f>"LIM-"&amp;G1845&amp;"-LIM   LA "&amp;E1845&amp;" ("&amp;LEFT(H1845,5)&amp;"-"&amp;LEFT(I1845,5)&amp;" hrs)  /  LA "&amp;E1846&amp;" ("&amp;LEFT(H1846,5)&amp;"-"&amp;LEFT(I1846,5)&amp;" hrs)"</f>
        <v>LIM-TPP-LIM   LA 2301 (15:40-17:05 hrs)  /  LA 2300 (17:50-19:15 hrs)</v>
      </c>
    </row>
    <row r="1847" spans="2:24" x14ac:dyDescent="0.25">
      <c r="J1847" s="7" t="s">
        <v>43</v>
      </c>
      <c r="K1847" s="8" t="str">
        <f>TEXT(TIMEVALUE(I1846)-TIMEVALUE(H1845)+(I1846&lt;H1845),"[h]:mm")</f>
        <v>3:35</v>
      </c>
    </row>
    <row r="1849" spans="2:24" ht="30" x14ac:dyDescent="0.25">
      <c r="B1849" s="3" t="s">
        <v>9</v>
      </c>
      <c r="C1849" s="3" t="s">
        <v>17</v>
      </c>
      <c r="D1849" s="3" t="s">
        <v>18</v>
      </c>
      <c r="E1849" s="3" t="s">
        <v>19</v>
      </c>
      <c r="F1849" s="3" t="s">
        <v>20</v>
      </c>
      <c r="G1849" s="3" t="s">
        <v>21</v>
      </c>
      <c r="H1849" s="3" t="s">
        <v>22</v>
      </c>
      <c r="I1849" s="3" t="s">
        <v>23</v>
      </c>
      <c r="J1849" s="3" t="s">
        <v>24</v>
      </c>
      <c r="K1849" s="3" t="s">
        <v>25</v>
      </c>
      <c r="L1849" s="3" t="s">
        <v>26</v>
      </c>
    </row>
    <row r="1850" spans="2:24" ht="30" x14ac:dyDescent="0.25">
      <c r="B1850" s="4">
        <v>1731</v>
      </c>
      <c r="C1850" s="4" t="s">
        <v>187</v>
      </c>
      <c r="D1850" s="4" t="s">
        <v>154</v>
      </c>
      <c r="E1850" s="4">
        <v>2276</v>
      </c>
      <c r="F1850" s="4" t="s">
        <v>29</v>
      </c>
      <c r="G1850" s="4" t="s">
        <v>30</v>
      </c>
      <c r="H1850" s="4" t="s">
        <v>52</v>
      </c>
      <c r="I1850" s="4" t="s">
        <v>121</v>
      </c>
      <c r="J1850" s="4">
        <v>320</v>
      </c>
      <c r="L1850" s="4" t="s">
        <v>33</v>
      </c>
      <c r="M1850" s="5"/>
      <c r="O1850" s="5"/>
      <c r="Q1850" s="4">
        <f>B1850</f>
        <v>1731</v>
      </c>
      <c r="R1850" s="4" t="str">
        <f>C1850</f>
        <v>20/10/2026</v>
      </c>
      <c r="S1850" s="4" t="str">
        <f>D1850</f>
        <v>martes</v>
      </c>
      <c r="T1850" s="4" t="str">
        <f>E1850&amp;"/"&amp;E1851</f>
        <v>2276/2277</v>
      </c>
      <c r="U1850" s="4" t="str">
        <f>F1850&amp;"-"&amp;G1850&amp;"-"&amp;F1850</f>
        <v>LIM-CUZ-LIM</v>
      </c>
      <c r="V1850" s="4" t="str">
        <f>IF($M$1850="","",$M$1850)</f>
        <v/>
      </c>
      <c r="W1850" s="4" t="str">
        <f>IF($O$1850="","",$O$1850)</f>
        <v/>
      </c>
      <c r="X1850" s="4">
        <f>J1850</f>
        <v>320</v>
      </c>
    </row>
    <row r="1851" spans="2:24" ht="30" x14ac:dyDescent="0.25">
      <c r="B1851" s="4">
        <v>1731</v>
      </c>
      <c r="C1851" s="4" t="s">
        <v>187</v>
      </c>
      <c r="D1851" s="4" t="s">
        <v>154</v>
      </c>
      <c r="E1851" s="4">
        <v>2277</v>
      </c>
      <c r="F1851" s="4" t="s">
        <v>30</v>
      </c>
      <c r="G1851" s="4" t="s">
        <v>29</v>
      </c>
      <c r="H1851" s="4" t="s">
        <v>127</v>
      </c>
      <c r="I1851" s="4" t="s">
        <v>155</v>
      </c>
      <c r="J1851" s="4">
        <v>320</v>
      </c>
      <c r="K1851" t="str">
        <f>TEXT(TIMEVALUE(H1851)-TIMEVALUE(I1850)+(TIMEVALUE(H1851)&lt;TIMEVALUE(I1850)),"[h]:mm")</f>
        <v>0:55</v>
      </c>
      <c r="L1851" s="4" t="s">
        <v>36</v>
      </c>
      <c r="O1851" t="str">
        <f>"LIM-"&amp;G1850&amp;"-LIM   LA "&amp;E1850&amp;" ("&amp;LEFT(H1850,5)&amp;"-"&amp;LEFT(I1850,5)&amp;" hrs)  /  LA "&amp;E1851&amp;" ("&amp;LEFT(H1851,5)&amp;"-"&amp;LEFT(I1851,5)&amp;" hrs)"</f>
        <v>LIM-CUZ-LIM   LA 2276 (16:35-17:55 hrs)  /  LA 2277 (18:50-20:25 hrs)</v>
      </c>
    </row>
    <row r="1852" spans="2:24" x14ac:dyDescent="0.25">
      <c r="J1852" s="7" t="s">
        <v>43</v>
      </c>
      <c r="K1852" s="8" t="str">
        <f>TEXT(TIMEVALUE(I1851)-TIMEVALUE(H1850)+(I1851&lt;H1850),"[h]:mm")</f>
        <v>3:50</v>
      </c>
    </row>
    <row r="1854" spans="2:24" ht="30" x14ac:dyDescent="0.25">
      <c r="B1854" s="3" t="s">
        <v>9</v>
      </c>
      <c r="C1854" s="3" t="s">
        <v>17</v>
      </c>
      <c r="D1854" s="3" t="s">
        <v>18</v>
      </c>
      <c r="E1854" s="3" t="s">
        <v>19</v>
      </c>
      <c r="F1854" s="3" t="s">
        <v>20</v>
      </c>
      <c r="G1854" s="3" t="s">
        <v>21</v>
      </c>
      <c r="H1854" s="3" t="s">
        <v>22</v>
      </c>
      <c r="I1854" s="3" t="s">
        <v>23</v>
      </c>
      <c r="J1854" s="3" t="s">
        <v>24</v>
      </c>
      <c r="K1854" s="3" t="s">
        <v>25</v>
      </c>
      <c r="L1854" s="3" t="s">
        <v>26</v>
      </c>
    </row>
    <row r="1855" spans="2:24" ht="30" x14ac:dyDescent="0.25">
      <c r="B1855" s="4">
        <v>1734</v>
      </c>
      <c r="C1855" s="4" t="s">
        <v>187</v>
      </c>
      <c r="D1855" s="4" t="s">
        <v>154</v>
      </c>
      <c r="E1855" s="4">
        <v>2310</v>
      </c>
      <c r="F1855" s="4" t="s">
        <v>29</v>
      </c>
      <c r="G1855" s="4" t="s">
        <v>37</v>
      </c>
      <c r="H1855" s="4" t="s">
        <v>111</v>
      </c>
      <c r="I1855" s="4" t="s">
        <v>112</v>
      </c>
      <c r="J1855" s="4">
        <v>320</v>
      </c>
      <c r="L1855" s="4" t="s">
        <v>40</v>
      </c>
      <c r="M1855" s="5"/>
      <c r="O1855" s="5"/>
      <c r="Q1855" s="4">
        <f>B1855</f>
        <v>1734</v>
      </c>
      <c r="R1855" s="4" t="str">
        <f>C1855</f>
        <v>20/10/2026</v>
      </c>
      <c r="S1855" s="4" t="str">
        <f>D1855</f>
        <v>martes</v>
      </c>
      <c r="T1855" s="4" t="str">
        <f>E1855&amp;"/"&amp;E1856</f>
        <v>2310/2311</v>
      </c>
      <c r="U1855" s="4" t="str">
        <f>F1855&amp;"-"&amp;G1855&amp;"-"&amp;F1855</f>
        <v>LIM-CIX-LIM</v>
      </c>
      <c r="V1855" s="4" t="str">
        <f>IF($M$1855="","",$M$1855)</f>
        <v/>
      </c>
      <c r="W1855" s="4" t="str">
        <f>IF($O$1855="","",$O$1855)</f>
        <v/>
      </c>
      <c r="X1855" s="4">
        <f>J1855</f>
        <v>320</v>
      </c>
    </row>
    <row r="1856" spans="2:24" ht="30" x14ac:dyDescent="0.25">
      <c r="B1856" s="4">
        <v>1734</v>
      </c>
      <c r="C1856" s="4" t="s">
        <v>187</v>
      </c>
      <c r="D1856" s="4" t="s">
        <v>154</v>
      </c>
      <c r="E1856" s="4">
        <v>2311</v>
      </c>
      <c r="F1856" s="4" t="s">
        <v>37</v>
      </c>
      <c r="G1856" s="4" t="s">
        <v>29</v>
      </c>
      <c r="H1856" s="4" t="s">
        <v>113</v>
      </c>
      <c r="I1856" s="4" t="s">
        <v>114</v>
      </c>
      <c r="J1856" s="4">
        <v>320</v>
      </c>
      <c r="K1856" t="str">
        <f>TEXT(TIMEVALUE(H1856)-TIMEVALUE(I1855)+(TIMEVALUE(H1856)&lt;TIMEVALUE(I1855)),"[h]:mm")</f>
        <v>0:35</v>
      </c>
      <c r="L1856" s="4" t="s">
        <v>93</v>
      </c>
      <c r="O1856" t="str">
        <f>"LIM-"&amp;G1855&amp;"-LIM   LA "&amp;E1855&amp;" ("&amp;LEFT(H1855,5)&amp;"-"&amp;LEFT(I1855,5)&amp;" hrs)  /  LA "&amp;E1856&amp;" ("&amp;LEFT(H1856,5)&amp;"-"&amp;LEFT(I1856,5)&amp;" hrs)"</f>
        <v>LIM-CIX-LIM   LA 2310 (18:15-19:45 hrs)  /  LA 2311 (20:20-21:45 hrs)</v>
      </c>
    </row>
    <row r="1857" spans="2:24" x14ac:dyDescent="0.25">
      <c r="J1857" s="7" t="s">
        <v>43</v>
      </c>
      <c r="K1857" s="8" t="str">
        <f>TEXT(TIMEVALUE(I1856)-TIMEVALUE(H1855)+(I1856&lt;H1855),"[h]:mm")</f>
        <v>3:30</v>
      </c>
    </row>
    <row r="1859" spans="2:24" ht="30" x14ac:dyDescent="0.25">
      <c r="B1859" s="3" t="s">
        <v>9</v>
      </c>
      <c r="C1859" s="3" t="s">
        <v>17</v>
      </c>
      <c r="D1859" s="3" t="s">
        <v>18</v>
      </c>
      <c r="E1859" s="3" t="s">
        <v>19</v>
      </c>
      <c r="F1859" s="3" t="s">
        <v>20</v>
      </c>
      <c r="G1859" s="3" t="s">
        <v>21</v>
      </c>
      <c r="H1859" s="3" t="s">
        <v>22</v>
      </c>
      <c r="I1859" s="3" t="s">
        <v>23</v>
      </c>
      <c r="J1859" s="3" t="s">
        <v>24</v>
      </c>
      <c r="K1859" s="3" t="s">
        <v>25</v>
      </c>
      <c r="L1859" s="3" t="s">
        <v>26</v>
      </c>
    </row>
    <row r="1860" spans="2:24" ht="30" x14ac:dyDescent="0.25">
      <c r="B1860" s="4">
        <v>1776</v>
      </c>
      <c r="C1860" s="4" t="s">
        <v>191</v>
      </c>
      <c r="D1860" s="4" t="s">
        <v>165</v>
      </c>
      <c r="E1860" s="4">
        <v>2007</v>
      </c>
      <c r="F1860" s="4" t="s">
        <v>29</v>
      </c>
      <c r="G1860" s="4" t="s">
        <v>30</v>
      </c>
      <c r="H1860" s="4" t="s">
        <v>31</v>
      </c>
      <c r="I1860" s="4" t="s">
        <v>32</v>
      </c>
      <c r="J1860" s="4">
        <v>320</v>
      </c>
      <c r="L1860" s="4" t="s">
        <v>33</v>
      </c>
      <c r="M1860" s="5"/>
      <c r="O1860" s="5"/>
      <c r="Q1860" s="4">
        <f>B1860</f>
        <v>1776</v>
      </c>
      <c r="R1860" s="4" t="str">
        <f>C1860</f>
        <v>21/10/2026</v>
      </c>
      <c r="S1860" s="4" t="str">
        <f>D1860</f>
        <v>miércoles</v>
      </c>
      <c r="T1860" s="4" t="str">
        <f>E1860&amp;"/"&amp;E1861</f>
        <v>2007/2008</v>
      </c>
      <c r="U1860" s="4" t="str">
        <f>F1860&amp;"-"&amp;G1860&amp;"-"&amp;F1860</f>
        <v>LIM-CUZ-LIM</v>
      </c>
      <c r="V1860" s="4" t="str">
        <f>IF($M$1860="","",$M$1860)</f>
        <v/>
      </c>
      <c r="W1860" s="4" t="str">
        <f>IF($O$1860="","",$O$1860)</f>
        <v/>
      </c>
      <c r="X1860" s="4">
        <f>J1860</f>
        <v>320</v>
      </c>
    </row>
    <row r="1861" spans="2:24" ht="30" x14ac:dyDescent="0.25">
      <c r="B1861" s="4">
        <v>1776</v>
      </c>
      <c r="C1861" s="4" t="s">
        <v>191</v>
      </c>
      <c r="D1861" s="4" t="s">
        <v>165</v>
      </c>
      <c r="E1861" s="4">
        <v>2008</v>
      </c>
      <c r="F1861" s="4" t="s">
        <v>30</v>
      </c>
      <c r="G1861" s="4" t="s">
        <v>29</v>
      </c>
      <c r="H1861" s="4" t="s">
        <v>34</v>
      </c>
      <c r="I1861" s="4" t="s">
        <v>35</v>
      </c>
      <c r="J1861" s="4">
        <v>320</v>
      </c>
      <c r="K1861" t="str">
        <f>TEXT(TIMEVALUE(H1861)-TIMEVALUE(I1860)+(TIMEVALUE(H1861)&lt;TIMEVALUE(I1860)),"[h]:mm")</f>
        <v>0:50</v>
      </c>
      <c r="L1861" s="4" t="s">
        <v>36</v>
      </c>
      <c r="O1861" t="str">
        <f>"LIM-"&amp;G1860&amp;"-LIM   LA "&amp;E1860&amp;" ("&amp;LEFT(H1860,5)&amp;"-"&amp;LEFT(I1860,5)&amp;" hrs)  /  LA "&amp;E1861&amp;" ("&amp;LEFT(H1861,5)&amp;"-"&amp;LEFT(I1861,5)&amp;" hrs)"</f>
        <v>LIM-CUZ-LIM   LA 2007 (09:10-10:30 hrs)  /  LA 2008 (11:20-12:55 hrs)</v>
      </c>
    </row>
    <row r="1862" spans="2:24" ht="30" x14ac:dyDescent="0.25">
      <c r="B1862" s="4">
        <v>1793</v>
      </c>
      <c r="C1862" s="4" t="s">
        <v>191</v>
      </c>
      <c r="D1862" s="4" t="s">
        <v>165</v>
      </c>
      <c r="E1862" s="4">
        <v>2196</v>
      </c>
      <c r="F1862" s="4" t="s">
        <v>29</v>
      </c>
      <c r="G1862" s="4" t="s">
        <v>125</v>
      </c>
      <c r="H1862" s="4" t="s">
        <v>38</v>
      </c>
      <c r="I1862" s="4" t="s">
        <v>89</v>
      </c>
      <c r="J1862" s="4">
        <v>320</v>
      </c>
      <c r="K1862" s="6" t="str">
        <f>TEXT(TIMEVALUE(H1862)-TIMEVALUE(I1861)+(TIMEVALUE(H1862)&lt;TIMEVALUE(I1861)),"[h]:mm")</f>
        <v>0:55</v>
      </c>
      <c r="L1862" s="4" t="s">
        <v>47</v>
      </c>
      <c r="M1862" t="str">
        <f>IF($M$1860="","",$M$1860)</f>
        <v/>
      </c>
      <c r="O1862" t="str">
        <f>IF($O$1860="","",$O$1860)</f>
        <v/>
      </c>
      <c r="Q1862" s="4">
        <f>B1862</f>
        <v>1793</v>
      </c>
      <c r="R1862" s="4" t="str">
        <f>C1862</f>
        <v>21/10/2026</v>
      </c>
      <c r="S1862" s="4" t="str">
        <f>D1862</f>
        <v>miércoles</v>
      </c>
      <c r="T1862" s="4" t="str">
        <f>E1862&amp;"/"&amp;E1863</f>
        <v>2196/2197</v>
      </c>
      <c r="U1862" s="4" t="str">
        <f>F1862&amp;"-"&amp;G1862&amp;"-"&amp;F1862</f>
        <v>LIM-PIU-LIM</v>
      </c>
      <c r="V1862" s="4" t="str">
        <f>IF($M$1860="","",$M$1860)</f>
        <v/>
      </c>
      <c r="W1862" s="4" t="str">
        <f>IF($O$1860="","",$O$1860)</f>
        <v/>
      </c>
      <c r="X1862" s="4">
        <f>J1862</f>
        <v>320</v>
      </c>
    </row>
    <row r="1863" spans="2:24" ht="30" x14ac:dyDescent="0.25">
      <c r="B1863" s="4">
        <v>1793</v>
      </c>
      <c r="C1863" s="4" t="s">
        <v>191</v>
      </c>
      <c r="D1863" s="4" t="s">
        <v>165</v>
      </c>
      <c r="E1863" s="4">
        <v>2197</v>
      </c>
      <c r="F1863" s="4" t="s">
        <v>125</v>
      </c>
      <c r="G1863" s="4" t="s">
        <v>29</v>
      </c>
      <c r="H1863" s="4" t="s">
        <v>83</v>
      </c>
      <c r="I1863" s="4" t="s">
        <v>181</v>
      </c>
      <c r="J1863" s="4">
        <v>320</v>
      </c>
      <c r="K1863" t="str">
        <f>TEXT(TIMEVALUE(H1863)-TIMEVALUE(I1862)+(TIMEVALUE(H1863)&lt;TIMEVALUE(I1862)),"[h]:mm")</f>
        <v>0:35</v>
      </c>
      <c r="L1863" s="4" t="s">
        <v>36</v>
      </c>
      <c r="O1863" t="str">
        <f>"LIM-"&amp;G1862&amp;"-LIM   LA "&amp;E1862&amp;" ("&amp;LEFT(H1862,5)&amp;"-"&amp;LEFT(I1862,5)&amp;" hrs)  /  LA "&amp;E1863&amp;" ("&amp;LEFT(H1863,5)&amp;"-"&amp;LEFT(I1863,5)&amp;" hrs)"</f>
        <v>LIM-PIU-LIM   LA 2196 (13:50-15:35 hrs)  /  LA 2197 (16:10-17:45 hrs)</v>
      </c>
    </row>
    <row r="1864" spans="2:24" x14ac:dyDescent="0.25">
      <c r="J1864" s="7" t="s">
        <v>43</v>
      </c>
      <c r="K1864" s="8" t="str">
        <f>TEXT(TIMEVALUE(I1863)-TIMEVALUE(H1860)+(I1863&lt;H1860),"[h]:mm")</f>
        <v>8:35</v>
      </c>
    </row>
    <row r="1866" spans="2:24" ht="30" x14ac:dyDescent="0.25">
      <c r="B1866" s="3" t="s">
        <v>9</v>
      </c>
      <c r="C1866" s="3" t="s">
        <v>17</v>
      </c>
      <c r="D1866" s="3" t="s">
        <v>18</v>
      </c>
      <c r="E1866" s="3" t="s">
        <v>19</v>
      </c>
      <c r="F1866" s="3" t="s">
        <v>20</v>
      </c>
      <c r="G1866" s="3" t="s">
        <v>21</v>
      </c>
      <c r="H1866" s="3" t="s">
        <v>22</v>
      </c>
      <c r="I1866" s="3" t="s">
        <v>23</v>
      </c>
      <c r="J1866" s="3" t="s">
        <v>24</v>
      </c>
      <c r="K1866" s="3" t="s">
        <v>25</v>
      </c>
      <c r="L1866" s="3" t="s">
        <v>26</v>
      </c>
    </row>
    <row r="1867" spans="2:24" ht="30" x14ac:dyDescent="0.25">
      <c r="B1867" s="4">
        <v>1780</v>
      </c>
      <c r="C1867" s="4" t="s">
        <v>191</v>
      </c>
      <c r="D1867" s="4" t="s">
        <v>165</v>
      </c>
      <c r="E1867" s="4">
        <v>2299</v>
      </c>
      <c r="F1867" s="4" t="s">
        <v>29</v>
      </c>
      <c r="G1867" s="4" t="s">
        <v>50</v>
      </c>
      <c r="H1867" s="4" t="s">
        <v>64</v>
      </c>
      <c r="I1867" s="4" t="s">
        <v>35</v>
      </c>
      <c r="J1867" s="4">
        <v>319</v>
      </c>
      <c r="L1867" s="4" t="s">
        <v>33</v>
      </c>
      <c r="M1867" s="5"/>
      <c r="O1867" s="5"/>
      <c r="Q1867" s="4">
        <f>B1867</f>
        <v>1780</v>
      </c>
      <c r="R1867" s="4" t="str">
        <f>C1867</f>
        <v>21/10/2026</v>
      </c>
      <c r="S1867" s="4" t="str">
        <f>D1867</f>
        <v>miércoles</v>
      </c>
      <c r="T1867" s="4" t="str">
        <f>E1867&amp;"/"&amp;E1868</f>
        <v>2299/2298</v>
      </c>
      <c r="U1867" s="4" t="str">
        <f>F1867&amp;"-"&amp;G1867&amp;"-"&amp;F1867</f>
        <v>LIM-CJA-LIM</v>
      </c>
      <c r="V1867" s="4" t="str">
        <f>IF($M$1867="","",$M$1867)</f>
        <v/>
      </c>
      <c r="W1867" s="4" t="str">
        <f>IF($O$1867="","",$O$1867)</f>
        <v/>
      </c>
      <c r="X1867" s="4">
        <f>J1867</f>
        <v>319</v>
      </c>
    </row>
    <row r="1868" spans="2:24" ht="30" x14ac:dyDescent="0.25">
      <c r="B1868" s="4">
        <v>1780</v>
      </c>
      <c r="C1868" s="4" t="s">
        <v>191</v>
      </c>
      <c r="D1868" s="4" t="s">
        <v>165</v>
      </c>
      <c r="E1868" s="4">
        <v>2298</v>
      </c>
      <c r="F1868" s="4" t="s">
        <v>50</v>
      </c>
      <c r="G1868" s="4" t="s">
        <v>29</v>
      </c>
      <c r="H1868" s="4" t="s">
        <v>99</v>
      </c>
      <c r="I1868" s="4" t="s">
        <v>87</v>
      </c>
      <c r="J1868" s="4">
        <v>319</v>
      </c>
      <c r="K1868" t="str">
        <f>TEXT(TIMEVALUE(H1868)-TIMEVALUE(I1867)+(TIMEVALUE(H1868)&lt;TIMEVALUE(I1867)),"[h]:mm")</f>
        <v>0:50</v>
      </c>
      <c r="L1868" s="4" t="s">
        <v>74</v>
      </c>
      <c r="O1868" t="str">
        <f>"LIM-"&amp;G1867&amp;"-LIM   LA "&amp;E1867&amp;" ("&amp;LEFT(H1867,5)&amp;"-"&amp;LEFT(I1867,5)&amp;" hrs)  /  LA "&amp;E1868&amp;" ("&amp;LEFT(H1868,5)&amp;"-"&amp;LEFT(I1868,5)&amp;" hrs)"</f>
        <v>LIM-CJA-LIM   LA 2299 (11:35-12:55 hrs)  /  LA 2298 (13:45-14:55 hrs)</v>
      </c>
    </row>
    <row r="1869" spans="2:24" ht="30" x14ac:dyDescent="0.25">
      <c r="B1869" s="4">
        <v>1808</v>
      </c>
      <c r="C1869" s="4" t="s">
        <v>191</v>
      </c>
      <c r="D1869" s="4" t="s">
        <v>165</v>
      </c>
      <c r="E1869" s="4">
        <v>2127</v>
      </c>
      <c r="F1869" s="4" t="s">
        <v>29</v>
      </c>
      <c r="G1869" s="4" t="s">
        <v>30</v>
      </c>
      <c r="H1869" s="4" t="s">
        <v>83</v>
      </c>
      <c r="I1869" s="4" t="s">
        <v>100</v>
      </c>
      <c r="J1869" s="4">
        <v>320</v>
      </c>
      <c r="K1869" s="6" t="str">
        <f>TEXT(TIMEVALUE(H1869)-TIMEVALUE(I1868)+(TIMEVALUE(H1869)&lt;TIMEVALUE(I1868)),"[h]:mm")</f>
        <v>1:15</v>
      </c>
      <c r="L1869" s="4" t="s">
        <v>33</v>
      </c>
      <c r="M1869" t="str">
        <f>IF($M$1867="","",$M$1867)</f>
        <v/>
      </c>
      <c r="O1869" t="str">
        <f>IF($O$1867="","",$O$1867)</f>
        <v/>
      </c>
      <c r="Q1869" s="4">
        <f>B1869</f>
        <v>1808</v>
      </c>
      <c r="R1869" s="4" t="str">
        <f>C1869</f>
        <v>21/10/2026</v>
      </c>
      <c r="S1869" s="4" t="str">
        <f>D1869</f>
        <v>miércoles</v>
      </c>
      <c r="T1869" s="4" t="str">
        <f>E1869&amp;"/"&amp;E1870</f>
        <v>2127/2026</v>
      </c>
      <c r="U1869" s="4" t="str">
        <f>F1869&amp;"-"&amp;G1869&amp;"-"&amp;F1869</f>
        <v>LIM-CUZ-LIM</v>
      </c>
      <c r="V1869" s="4" t="str">
        <f>IF($M$1867="","",$M$1867)</f>
        <v/>
      </c>
      <c r="W1869" s="4" t="str">
        <f>IF($O$1867="","",$O$1867)</f>
        <v/>
      </c>
      <c r="X1869" s="4">
        <f>J1869</f>
        <v>320</v>
      </c>
    </row>
    <row r="1870" spans="2:24" ht="30" x14ac:dyDescent="0.25">
      <c r="B1870" s="4">
        <v>1808</v>
      </c>
      <c r="C1870" s="4" t="s">
        <v>191</v>
      </c>
      <c r="D1870" s="4" t="s">
        <v>165</v>
      </c>
      <c r="E1870" s="4">
        <v>2026</v>
      </c>
      <c r="F1870" s="4" t="s">
        <v>30</v>
      </c>
      <c r="G1870" s="4" t="s">
        <v>29</v>
      </c>
      <c r="H1870" s="4" t="s">
        <v>101</v>
      </c>
      <c r="I1870" s="4" t="s">
        <v>102</v>
      </c>
      <c r="J1870" s="4">
        <v>320</v>
      </c>
      <c r="K1870" t="str">
        <f>TEXT(TIMEVALUE(H1870)-TIMEVALUE(I1869)+(TIMEVALUE(H1870)&lt;TIMEVALUE(I1869)),"[h]:mm")</f>
        <v>0:40</v>
      </c>
      <c r="L1870" s="4" t="s">
        <v>71</v>
      </c>
      <c r="O1870" t="str">
        <f>"LIM-"&amp;G1869&amp;"-LIM   LA "&amp;E1869&amp;" ("&amp;LEFT(H1869,5)&amp;"-"&amp;LEFT(I1869,5)&amp;" hrs)  /  LA "&amp;E1870&amp;" ("&amp;LEFT(H1870,5)&amp;"-"&amp;LEFT(I1870,5)&amp;" hrs)"</f>
        <v>LIM-CUZ-LIM   LA 2127 (16:10-17:30 hrs)  /  LA 2026 (18:10-19:50 hrs)</v>
      </c>
    </row>
    <row r="1871" spans="2:24" x14ac:dyDescent="0.25">
      <c r="J1871" s="7" t="s">
        <v>43</v>
      </c>
      <c r="K1871" s="8" t="str">
        <f>TEXT(TIMEVALUE(I1870)-TIMEVALUE(H1867)+(I1870&lt;H1867),"[h]:mm")</f>
        <v>8:15</v>
      </c>
    </row>
    <row r="1873" spans="2:24" ht="30" x14ac:dyDescent="0.25">
      <c r="B1873" s="3" t="s">
        <v>9</v>
      </c>
      <c r="C1873" s="3" t="s">
        <v>17</v>
      </c>
      <c r="D1873" s="3" t="s">
        <v>18</v>
      </c>
      <c r="E1873" s="3" t="s">
        <v>19</v>
      </c>
      <c r="F1873" s="3" t="s">
        <v>20</v>
      </c>
      <c r="G1873" s="3" t="s">
        <v>21</v>
      </c>
      <c r="H1873" s="3" t="s">
        <v>22</v>
      </c>
      <c r="I1873" s="3" t="s">
        <v>23</v>
      </c>
      <c r="J1873" s="3" t="s">
        <v>24</v>
      </c>
      <c r="K1873" s="3" t="s">
        <v>25</v>
      </c>
      <c r="L1873" s="3" t="s">
        <v>26</v>
      </c>
    </row>
    <row r="1874" spans="2:24" ht="30" x14ac:dyDescent="0.25">
      <c r="B1874" s="4">
        <v>1781</v>
      </c>
      <c r="C1874" s="4" t="s">
        <v>191</v>
      </c>
      <c r="D1874" s="4" t="s">
        <v>165</v>
      </c>
      <c r="E1874" s="4">
        <v>2019</v>
      </c>
      <c r="F1874" s="4" t="s">
        <v>29</v>
      </c>
      <c r="G1874" s="4" t="s">
        <v>63</v>
      </c>
      <c r="H1874" s="4" t="s">
        <v>64</v>
      </c>
      <c r="I1874" s="4" t="s">
        <v>65</v>
      </c>
      <c r="J1874" s="4">
        <v>320</v>
      </c>
      <c r="L1874" s="4" t="s">
        <v>66</v>
      </c>
      <c r="M1874" s="5"/>
      <c r="O1874" s="5"/>
      <c r="Q1874" s="4">
        <f>B1874</f>
        <v>1781</v>
      </c>
      <c r="R1874" s="4" t="str">
        <f>C1874</f>
        <v>21/10/2026</v>
      </c>
      <c r="S1874" s="4" t="str">
        <f>D1874</f>
        <v>miércoles</v>
      </c>
      <c r="T1874" s="4" t="str">
        <f>E1874&amp;"/"&amp;E1875</f>
        <v>2019/2038</v>
      </c>
      <c r="U1874" s="4" t="str">
        <f>F1874&amp;"-"&amp;G1874&amp;"-"&amp;F1874</f>
        <v>LIM-IQT-LIM</v>
      </c>
      <c r="V1874" s="4" t="str">
        <f>IF($M$1874="","",$M$1874)</f>
        <v/>
      </c>
      <c r="W1874" s="4" t="str">
        <f>IF($O$1874="","",$O$1874)</f>
        <v/>
      </c>
      <c r="X1874" s="4">
        <f>J1874</f>
        <v>320</v>
      </c>
    </row>
    <row r="1875" spans="2:24" ht="30" x14ac:dyDescent="0.25">
      <c r="B1875" s="4">
        <v>1781</v>
      </c>
      <c r="C1875" s="4" t="s">
        <v>191</v>
      </c>
      <c r="D1875" s="4" t="s">
        <v>165</v>
      </c>
      <c r="E1875" s="4">
        <v>2038</v>
      </c>
      <c r="F1875" s="4" t="s">
        <v>63</v>
      </c>
      <c r="G1875" s="4" t="s">
        <v>29</v>
      </c>
      <c r="H1875" s="4" t="s">
        <v>67</v>
      </c>
      <c r="I1875" s="4" t="s">
        <v>41</v>
      </c>
      <c r="J1875" s="4">
        <v>320</v>
      </c>
      <c r="K1875" t="str">
        <f>TEXT(TIMEVALUE(H1875)-TIMEVALUE(I1874)+(TIMEVALUE(H1875)&lt;TIMEVALUE(I1874)),"[h]:mm")</f>
        <v>0:40</v>
      </c>
      <c r="L1875" s="4" t="s">
        <v>66</v>
      </c>
      <c r="O1875" t="str">
        <f>"LIM-"&amp;G1874&amp;"-LIM   LA "&amp;E1874&amp;" ("&amp;LEFT(H1874,5)&amp;"-"&amp;LEFT(I1874,5)&amp;" hrs)  /  LA "&amp;E1875&amp;" ("&amp;LEFT(H1875,5)&amp;"-"&amp;LEFT(I1875,5)&amp;" hrs)"</f>
        <v>LIM-IQT-LIM   LA 2019 (11:35-13:25 hrs)  /  LA 2038 (14:05-15:55 hrs)</v>
      </c>
    </row>
    <row r="1876" spans="2:24" ht="30" x14ac:dyDescent="0.25">
      <c r="B1876" s="4">
        <v>1812</v>
      </c>
      <c r="C1876" s="4" t="s">
        <v>191</v>
      </c>
      <c r="D1876" s="4" t="s">
        <v>165</v>
      </c>
      <c r="E1876" s="4">
        <v>2304</v>
      </c>
      <c r="F1876" s="4" t="s">
        <v>29</v>
      </c>
      <c r="G1876" s="4" t="s">
        <v>125</v>
      </c>
      <c r="H1876" s="4" t="s">
        <v>192</v>
      </c>
      <c r="I1876" s="4" t="s">
        <v>62</v>
      </c>
      <c r="J1876" s="4">
        <v>319</v>
      </c>
      <c r="K1876" s="6" t="str">
        <f>TEXT(TIMEVALUE(H1876)-TIMEVALUE(I1875)+(TIMEVALUE(H1876)&lt;TIMEVALUE(I1875)),"[h]:mm")</f>
        <v>1:00</v>
      </c>
      <c r="L1876" s="4" t="s">
        <v>71</v>
      </c>
      <c r="M1876" t="str">
        <f>IF($M$1874="","",$M$1874)</f>
        <v/>
      </c>
      <c r="O1876" t="str">
        <f>IF($O$1874="","",$O$1874)</f>
        <v/>
      </c>
      <c r="Q1876" s="4">
        <f>B1876</f>
        <v>1812</v>
      </c>
      <c r="R1876" s="4" t="str">
        <f>C1876</f>
        <v>21/10/2026</v>
      </c>
      <c r="S1876" s="4" t="str">
        <f>D1876</f>
        <v>miércoles</v>
      </c>
      <c r="T1876" s="4" t="str">
        <f>E1876&amp;"/"&amp;E1877</f>
        <v>2304/2305</v>
      </c>
      <c r="U1876" s="4" t="str">
        <f>F1876&amp;"-"&amp;G1876&amp;"-"&amp;F1876</f>
        <v>LIM-PIU-LIM</v>
      </c>
      <c r="V1876" s="4" t="str">
        <f>IF($M$1874="","",$M$1874)</f>
        <v/>
      </c>
      <c r="W1876" s="4" t="str">
        <f>IF($O$1874="","",$O$1874)</f>
        <v/>
      </c>
      <c r="X1876" s="4">
        <f>J1876</f>
        <v>319</v>
      </c>
    </row>
    <row r="1877" spans="2:24" ht="30" x14ac:dyDescent="0.25">
      <c r="B1877" s="4">
        <v>1812</v>
      </c>
      <c r="C1877" s="4" t="s">
        <v>191</v>
      </c>
      <c r="D1877" s="4" t="s">
        <v>165</v>
      </c>
      <c r="E1877" s="4">
        <v>2305</v>
      </c>
      <c r="F1877" s="4" t="s">
        <v>125</v>
      </c>
      <c r="G1877" s="4" t="s">
        <v>29</v>
      </c>
      <c r="H1877" s="4" t="s">
        <v>90</v>
      </c>
      <c r="I1877" s="4" t="s">
        <v>193</v>
      </c>
      <c r="J1877" s="4">
        <v>319</v>
      </c>
      <c r="K1877" t="str">
        <f>TEXT(TIMEVALUE(H1877)-TIMEVALUE(I1876)+(TIMEVALUE(H1877)&lt;TIMEVALUE(I1876)),"[h]:mm")</f>
        <v>0:35</v>
      </c>
      <c r="L1877" s="4" t="s">
        <v>36</v>
      </c>
      <c r="O1877" t="str">
        <f>"LIM-"&amp;G1876&amp;"-LIM   LA "&amp;E1876&amp;" ("&amp;LEFT(H1876,5)&amp;"-"&amp;LEFT(I1876,5)&amp;" hrs)  /  LA "&amp;E1877&amp;" ("&amp;LEFT(H1877,5)&amp;"-"&amp;LEFT(I1877,5)&amp;" hrs)"</f>
        <v>LIM-PIU-LIM   LA 2304 (16:55-18:35 hrs)  /  LA 2305 (19:10-20:45 hrs)</v>
      </c>
    </row>
    <row r="1878" spans="2:24" x14ac:dyDescent="0.25">
      <c r="J1878" s="7" t="s">
        <v>43</v>
      </c>
      <c r="K1878" s="8" t="str">
        <f>TEXT(TIMEVALUE(I1877)-TIMEVALUE(H1874)+(I1877&lt;H1874),"[h]:mm")</f>
        <v>9:10</v>
      </c>
    </row>
    <row r="1880" spans="2:24" ht="30" x14ac:dyDescent="0.25">
      <c r="B1880" s="3" t="s">
        <v>9</v>
      </c>
      <c r="C1880" s="3" t="s">
        <v>17</v>
      </c>
      <c r="D1880" s="3" t="s">
        <v>18</v>
      </c>
      <c r="E1880" s="3" t="s">
        <v>19</v>
      </c>
      <c r="F1880" s="3" t="s">
        <v>20</v>
      </c>
      <c r="G1880" s="3" t="s">
        <v>21</v>
      </c>
      <c r="H1880" s="3" t="s">
        <v>22</v>
      </c>
      <c r="I1880" s="3" t="s">
        <v>23</v>
      </c>
      <c r="J1880" s="3" t="s">
        <v>24</v>
      </c>
      <c r="K1880" s="3" t="s">
        <v>25</v>
      </c>
      <c r="L1880" s="3" t="s">
        <v>26</v>
      </c>
    </row>
    <row r="1881" spans="2:24" ht="30" x14ac:dyDescent="0.25">
      <c r="B1881" s="4">
        <v>1783</v>
      </c>
      <c r="C1881" s="4" t="s">
        <v>191</v>
      </c>
      <c r="D1881" s="4" t="s">
        <v>165</v>
      </c>
      <c r="E1881" s="4">
        <v>2061</v>
      </c>
      <c r="F1881" s="4" t="s">
        <v>29</v>
      </c>
      <c r="G1881" s="4" t="s">
        <v>30</v>
      </c>
      <c r="H1881" s="4" t="s">
        <v>103</v>
      </c>
      <c r="I1881" s="4" t="s">
        <v>120</v>
      </c>
      <c r="J1881" s="4">
        <v>320</v>
      </c>
      <c r="L1881" s="4" t="s">
        <v>33</v>
      </c>
      <c r="M1881" s="5"/>
      <c r="O1881" s="5"/>
      <c r="Q1881" s="4">
        <f>B1881</f>
        <v>1783</v>
      </c>
      <c r="R1881" s="4" t="str">
        <f>C1881</f>
        <v>21/10/2026</v>
      </c>
      <c r="S1881" s="4" t="str">
        <f>D1881</f>
        <v>miércoles</v>
      </c>
      <c r="T1881" s="4" t="str">
        <f>E1881&amp;"/"&amp;E1882</f>
        <v>2061/2062</v>
      </c>
      <c r="U1881" s="4" t="str">
        <f>F1881&amp;"-"&amp;G1881&amp;"-"&amp;F1881</f>
        <v>LIM-CUZ-LIM</v>
      </c>
      <c r="V1881" s="4" t="str">
        <f>IF($M$1881="","",$M$1881)</f>
        <v/>
      </c>
      <c r="W1881" s="4" t="str">
        <f>IF($O$1881="","",$O$1881)</f>
        <v/>
      </c>
      <c r="X1881" s="4">
        <f>J1881</f>
        <v>320</v>
      </c>
    </row>
    <row r="1882" spans="2:24" ht="30" x14ac:dyDescent="0.25">
      <c r="B1882" s="4">
        <v>1783</v>
      </c>
      <c r="C1882" s="4" t="s">
        <v>191</v>
      </c>
      <c r="D1882" s="4" t="s">
        <v>165</v>
      </c>
      <c r="E1882" s="4">
        <v>2062</v>
      </c>
      <c r="F1882" s="4" t="s">
        <v>30</v>
      </c>
      <c r="G1882" s="4" t="s">
        <v>29</v>
      </c>
      <c r="H1882" s="4" t="s">
        <v>72</v>
      </c>
      <c r="I1882" s="4" t="s">
        <v>51</v>
      </c>
      <c r="J1882" s="4">
        <v>320</v>
      </c>
      <c r="K1882" t="str">
        <f>TEXT(TIMEVALUE(H1882)-TIMEVALUE(I1881)+(TIMEVALUE(H1882)&lt;TIMEVALUE(I1881)),"[h]:mm")</f>
        <v>0:40</v>
      </c>
      <c r="L1882" s="4" t="s">
        <v>36</v>
      </c>
      <c r="O1882" t="str">
        <f>"LIM-"&amp;G1881&amp;"-LIM   LA "&amp;E1881&amp;" ("&amp;LEFT(H1881,5)&amp;"-"&amp;LEFT(I1881,5)&amp;" hrs)  /  LA "&amp;E1882&amp;" ("&amp;LEFT(H1882,5)&amp;"-"&amp;LEFT(I1882,5)&amp;" hrs)"</f>
        <v>LIM-CUZ-LIM   LA 2061 (11:40-13:00 hrs)  /  LA 2062 (13:40-15:15 hrs)</v>
      </c>
    </row>
    <row r="1883" spans="2:24" ht="30" x14ac:dyDescent="0.25">
      <c r="B1883" s="4">
        <v>1810</v>
      </c>
      <c r="C1883" s="4" t="s">
        <v>191</v>
      </c>
      <c r="D1883" s="4" t="s">
        <v>165</v>
      </c>
      <c r="E1883" s="4">
        <v>2127</v>
      </c>
      <c r="F1883" s="4" t="s">
        <v>29</v>
      </c>
      <c r="G1883" s="4" t="s">
        <v>30</v>
      </c>
      <c r="H1883" s="4" t="s">
        <v>83</v>
      </c>
      <c r="I1883" s="4" t="s">
        <v>100</v>
      </c>
      <c r="J1883" s="4">
        <v>320</v>
      </c>
      <c r="K1883" s="6" t="str">
        <f>TEXT(TIMEVALUE(H1883)-TIMEVALUE(I1882)+(TIMEVALUE(H1883)&lt;TIMEVALUE(I1882)),"[h]:mm")</f>
        <v>0:55</v>
      </c>
      <c r="L1883" s="4" t="s">
        <v>33</v>
      </c>
      <c r="M1883" t="str">
        <f>IF($M$1881="","",$M$1881)</f>
        <v/>
      </c>
      <c r="O1883" t="str">
        <f>IF($O$1881="","",$O$1881)</f>
        <v/>
      </c>
      <c r="Q1883" s="4">
        <f>B1883</f>
        <v>1810</v>
      </c>
      <c r="R1883" s="4" t="str">
        <f>C1883</f>
        <v>21/10/2026</v>
      </c>
      <c r="S1883" s="4" t="str">
        <f>D1883</f>
        <v>miércoles</v>
      </c>
      <c r="T1883" s="4" t="str">
        <f>E1883&amp;"/"&amp;E1884</f>
        <v>2127/2026</v>
      </c>
      <c r="U1883" s="4" t="str">
        <f>F1883&amp;"-"&amp;G1883&amp;"-"&amp;F1883</f>
        <v>LIM-CUZ-LIM</v>
      </c>
      <c r="V1883" s="4" t="str">
        <f>IF($M$1881="","",$M$1881)</f>
        <v/>
      </c>
      <c r="W1883" s="4" t="str">
        <f>IF($O$1881="","",$O$1881)</f>
        <v/>
      </c>
      <c r="X1883" s="4">
        <f>J1883</f>
        <v>320</v>
      </c>
    </row>
    <row r="1884" spans="2:24" ht="30" x14ac:dyDescent="0.25">
      <c r="B1884" s="4">
        <v>1810</v>
      </c>
      <c r="C1884" s="4" t="s">
        <v>191</v>
      </c>
      <c r="D1884" s="4" t="s">
        <v>165</v>
      </c>
      <c r="E1884" s="4">
        <v>2026</v>
      </c>
      <c r="F1884" s="4" t="s">
        <v>30</v>
      </c>
      <c r="G1884" s="4" t="s">
        <v>29</v>
      </c>
      <c r="H1884" s="4" t="s">
        <v>101</v>
      </c>
      <c r="I1884" s="4" t="s">
        <v>102</v>
      </c>
      <c r="J1884" s="4">
        <v>320</v>
      </c>
      <c r="K1884" t="str">
        <f>TEXT(TIMEVALUE(H1884)-TIMEVALUE(I1883)+(TIMEVALUE(H1884)&lt;TIMEVALUE(I1883)),"[h]:mm")</f>
        <v>0:40</v>
      </c>
      <c r="L1884" s="4" t="s">
        <v>71</v>
      </c>
      <c r="O1884" t="str">
        <f>"LIM-"&amp;G1883&amp;"-LIM   LA "&amp;E1883&amp;" ("&amp;LEFT(H1883,5)&amp;"-"&amp;LEFT(I1883,5)&amp;" hrs)  /  LA "&amp;E1884&amp;" ("&amp;LEFT(H1884,5)&amp;"-"&amp;LEFT(I1884,5)&amp;" hrs)"</f>
        <v>LIM-CUZ-LIM   LA 2127 (16:10-17:30 hrs)  /  LA 2026 (18:10-19:50 hrs)</v>
      </c>
    </row>
    <row r="1885" spans="2:24" x14ac:dyDescent="0.25">
      <c r="J1885" s="7" t="s">
        <v>43</v>
      </c>
      <c r="K1885" s="8" t="str">
        <f>TEXT(TIMEVALUE(I1884)-TIMEVALUE(H1881)+(I1884&lt;H1881),"[h]:mm")</f>
        <v>8:10</v>
      </c>
    </row>
    <row r="1887" spans="2:24" ht="30" x14ac:dyDescent="0.25">
      <c r="B1887" s="3" t="s">
        <v>9</v>
      </c>
      <c r="C1887" s="3" t="s">
        <v>17</v>
      </c>
      <c r="D1887" s="3" t="s">
        <v>18</v>
      </c>
      <c r="E1887" s="3" t="s">
        <v>19</v>
      </c>
      <c r="F1887" s="3" t="s">
        <v>20</v>
      </c>
      <c r="G1887" s="3" t="s">
        <v>21</v>
      </c>
      <c r="H1887" s="3" t="s">
        <v>22</v>
      </c>
      <c r="I1887" s="3" t="s">
        <v>23</v>
      </c>
      <c r="J1887" s="3" t="s">
        <v>24</v>
      </c>
      <c r="K1887" s="3" t="s">
        <v>25</v>
      </c>
      <c r="L1887" s="3" t="s">
        <v>26</v>
      </c>
    </row>
    <row r="1888" spans="2:24" ht="30" x14ac:dyDescent="0.25">
      <c r="B1888" s="4">
        <v>1794</v>
      </c>
      <c r="C1888" s="4" t="s">
        <v>191</v>
      </c>
      <c r="D1888" s="4" t="s">
        <v>165</v>
      </c>
      <c r="E1888" s="4">
        <v>2232</v>
      </c>
      <c r="F1888" s="4" t="s">
        <v>29</v>
      </c>
      <c r="G1888" s="4" t="s">
        <v>30</v>
      </c>
      <c r="H1888" s="4" t="s">
        <v>82</v>
      </c>
      <c r="I1888" s="4" t="s">
        <v>51</v>
      </c>
      <c r="J1888" s="4">
        <v>320</v>
      </c>
      <c r="L1888" s="4" t="s">
        <v>33</v>
      </c>
      <c r="M1888" s="5"/>
      <c r="O1888" s="5"/>
      <c r="Q1888" s="4">
        <f>B1888</f>
        <v>1794</v>
      </c>
      <c r="R1888" s="4" t="str">
        <f>C1888</f>
        <v>21/10/2026</v>
      </c>
      <c r="S1888" s="4" t="str">
        <f>D1888</f>
        <v>miércoles</v>
      </c>
      <c r="T1888" s="4" t="str">
        <f>E1888&amp;"/"&amp;E1889</f>
        <v>2232/2233</v>
      </c>
      <c r="U1888" s="4" t="str">
        <f>F1888&amp;"-"&amp;G1888&amp;"-"&amp;F1888</f>
        <v>LIM-CUZ-LIM</v>
      </c>
      <c r="V1888" s="4" t="str">
        <f>IF($M$1888="","",$M$1888)</f>
        <v/>
      </c>
      <c r="W1888" s="4" t="str">
        <f>IF($O$1888="","",$O$1888)</f>
        <v/>
      </c>
      <c r="X1888" s="4">
        <f>J1888</f>
        <v>320</v>
      </c>
    </row>
    <row r="1889" spans="2:24" ht="30" x14ac:dyDescent="0.25">
      <c r="B1889" s="4">
        <v>1794</v>
      </c>
      <c r="C1889" s="4" t="s">
        <v>191</v>
      </c>
      <c r="D1889" s="4" t="s">
        <v>165</v>
      </c>
      <c r="E1889" s="4">
        <v>2233</v>
      </c>
      <c r="F1889" s="4" t="s">
        <v>30</v>
      </c>
      <c r="G1889" s="4" t="s">
        <v>29</v>
      </c>
      <c r="H1889" s="4" t="s">
        <v>41</v>
      </c>
      <c r="I1889" s="4" t="s">
        <v>124</v>
      </c>
      <c r="J1889" s="4">
        <v>320</v>
      </c>
      <c r="K1889" t="str">
        <f>TEXT(TIMEVALUE(H1889)-TIMEVALUE(I1888)+(TIMEVALUE(H1889)&lt;TIMEVALUE(I1888)),"[h]:mm")</f>
        <v>0:40</v>
      </c>
      <c r="L1889" s="4" t="s">
        <v>71</v>
      </c>
      <c r="O1889" t="str">
        <f>"LIM-"&amp;G1888&amp;"-LIM   LA "&amp;E1888&amp;" ("&amp;LEFT(H1888,5)&amp;"-"&amp;LEFT(I1888,5)&amp;" hrs)  /  LA "&amp;E1889&amp;" ("&amp;LEFT(H1889,5)&amp;"-"&amp;LEFT(I1889,5)&amp;" hrs)"</f>
        <v>LIM-CUZ-LIM   LA 2232 (13:55-15:15 hrs)  /  LA 2233 (15:55-17:35 hrs)</v>
      </c>
    </row>
    <row r="1890" spans="2:24" x14ac:dyDescent="0.25">
      <c r="J1890" s="7" t="s">
        <v>43</v>
      </c>
      <c r="K1890" s="8" t="str">
        <f>TEXT(TIMEVALUE(I1889)-TIMEVALUE(H1888)+(I1889&lt;H1888),"[h]:mm")</f>
        <v>3:40</v>
      </c>
    </row>
    <row r="1892" spans="2:24" ht="30" x14ac:dyDescent="0.25">
      <c r="B1892" s="3" t="s">
        <v>9</v>
      </c>
      <c r="C1892" s="3" t="s">
        <v>17</v>
      </c>
      <c r="D1892" s="3" t="s">
        <v>18</v>
      </c>
      <c r="E1892" s="3" t="s">
        <v>19</v>
      </c>
      <c r="F1892" s="3" t="s">
        <v>20</v>
      </c>
      <c r="G1892" s="3" t="s">
        <v>21</v>
      </c>
      <c r="H1892" s="3" t="s">
        <v>22</v>
      </c>
      <c r="I1892" s="3" t="s">
        <v>23</v>
      </c>
      <c r="J1892" s="3" t="s">
        <v>24</v>
      </c>
      <c r="K1892" s="3" t="s">
        <v>25</v>
      </c>
      <c r="L1892" s="3" t="s">
        <v>26</v>
      </c>
    </row>
    <row r="1893" spans="2:24" ht="30" x14ac:dyDescent="0.25">
      <c r="B1893" s="4">
        <v>1795</v>
      </c>
      <c r="C1893" s="4" t="s">
        <v>191</v>
      </c>
      <c r="D1893" s="4" t="s">
        <v>165</v>
      </c>
      <c r="E1893" s="4">
        <v>2087</v>
      </c>
      <c r="F1893" s="4" t="s">
        <v>29</v>
      </c>
      <c r="G1893" s="4" t="s">
        <v>91</v>
      </c>
      <c r="H1893" s="4" t="s">
        <v>67</v>
      </c>
      <c r="I1893" s="4" t="s">
        <v>76</v>
      </c>
      <c r="J1893" s="4">
        <v>320</v>
      </c>
      <c r="L1893" s="4" t="s">
        <v>93</v>
      </c>
      <c r="M1893" s="5"/>
      <c r="O1893" s="5"/>
      <c r="Q1893" s="4">
        <f>B1893</f>
        <v>1795</v>
      </c>
      <c r="R1893" s="4" t="str">
        <f>C1893</f>
        <v>21/10/2026</v>
      </c>
      <c r="S1893" s="4" t="str">
        <f>D1893</f>
        <v>miércoles</v>
      </c>
      <c r="T1893" s="4" t="str">
        <f>E1893&amp;"/"&amp;E1894</f>
        <v>2087/2088</v>
      </c>
      <c r="U1893" s="4" t="str">
        <f>F1893&amp;"-"&amp;G1893&amp;"-"&amp;F1893</f>
        <v>LIM-TPP-LIM</v>
      </c>
      <c r="V1893" s="4" t="str">
        <f>IF($M$1893="","",$M$1893)</f>
        <v/>
      </c>
      <c r="W1893" s="4" t="str">
        <f>IF($O$1893="","",$O$1893)</f>
        <v/>
      </c>
      <c r="X1893" s="4">
        <f>J1893</f>
        <v>320</v>
      </c>
    </row>
    <row r="1894" spans="2:24" ht="30" x14ac:dyDescent="0.25">
      <c r="B1894" s="4">
        <v>1795</v>
      </c>
      <c r="C1894" s="4" t="s">
        <v>191</v>
      </c>
      <c r="D1894" s="4" t="s">
        <v>165</v>
      </c>
      <c r="E1894" s="4">
        <v>2088</v>
      </c>
      <c r="F1894" s="4" t="s">
        <v>91</v>
      </c>
      <c r="G1894" s="4" t="s">
        <v>29</v>
      </c>
      <c r="H1894" s="4" t="s">
        <v>85</v>
      </c>
      <c r="I1894" s="4" t="s">
        <v>100</v>
      </c>
      <c r="J1894" s="4">
        <v>320</v>
      </c>
      <c r="K1894" t="str">
        <f>TEXT(TIMEVALUE(H1894)-TIMEVALUE(I1893)+(TIMEVALUE(H1894)&lt;TIMEVALUE(I1893)),"[h]:mm")</f>
        <v>0:35</v>
      </c>
      <c r="L1894" s="4" t="s">
        <v>93</v>
      </c>
      <c r="O1894" t="str">
        <f>"LIM-"&amp;G1893&amp;"-LIM   LA "&amp;E1893&amp;" ("&amp;LEFT(H1893,5)&amp;"-"&amp;LEFT(I1893,5)&amp;" hrs)  /  LA "&amp;E1894&amp;" ("&amp;LEFT(H1894,5)&amp;"-"&amp;LEFT(I1894,5)&amp;" hrs)"</f>
        <v>LIM-TPP-LIM   LA 2087 (14:05-15:30 hrs)  /  LA 2088 (16:05-17:30 hrs)</v>
      </c>
    </row>
    <row r="1895" spans="2:24" x14ac:dyDescent="0.25">
      <c r="J1895" s="7" t="s">
        <v>43</v>
      </c>
      <c r="K1895" s="8" t="str">
        <f>TEXT(TIMEVALUE(I1894)-TIMEVALUE(H1893)+(I1894&lt;H1893),"[h]:mm")</f>
        <v>3:25</v>
      </c>
    </row>
    <row r="1897" spans="2:24" ht="30" x14ac:dyDescent="0.25">
      <c r="B1897" s="3" t="s">
        <v>9</v>
      </c>
      <c r="C1897" s="3" t="s">
        <v>17</v>
      </c>
      <c r="D1897" s="3" t="s">
        <v>18</v>
      </c>
      <c r="E1897" s="3" t="s">
        <v>19</v>
      </c>
      <c r="F1897" s="3" t="s">
        <v>20</v>
      </c>
      <c r="G1897" s="3" t="s">
        <v>21</v>
      </c>
      <c r="H1897" s="3" t="s">
        <v>22</v>
      </c>
      <c r="I1897" s="3" t="s">
        <v>23</v>
      </c>
      <c r="J1897" s="3" t="s">
        <v>24</v>
      </c>
      <c r="K1897" s="3" t="s">
        <v>25</v>
      </c>
      <c r="L1897" s="3" t="s">
        <v>26</v>
      </c>
    </row>
    <row r="1898" spans="2:24" ht="30" x14ac:dyDescent="0.25">
      <c r="B1898" s="4">
        <v>1796</v>
      </c>
      <c r="C1898" s="4" t="s">
        <v>191</v>
      </c>
      <c r="D1898" s="4" t="s">
        <v>165</v>
      </c>
      <c r="E1898" s="4">
        <v>2295</v>
      </c>
      <c r="F1898" s="4" t="s">
        <v>29</v>
      </c>
      <c r="G1898" s="4" t="s">
        <v>50</v>
      </c>
      <c r="H1898" s="4" t="s">
        <v>110</v>
      </c>
      <c r="I1898" s="4" t="s">
        <v>76</v>
      </c>
      <c r="J1898" s="4">
        <v>320</v>
      </c>
      <c r="L1898" s="4" t="s">
        <v>33</v>
      </c>
      <c r="M1898" s="5"/>
      <c r="O1898" s="5"/>
      <c r="Q1898" s="4">
        <f>B1898</f>
        <v>1796</v>
      </c>
      <c r="R1898" s="4" t="str">
        <f>C1898</f>
        <v>21/10/2026</v>
      </c>
      <c r="S1898" s="4" t="str">
        <f>D1898</f>
        <v>miércoles</v>
      </c>
      <c r="T1898" s="4" t="str">
        <f>E1898&amp;"/"&amp;E1899</f>
        <v>2295/2294</v>
      </c>
      <c r="U1898" s="4" t="str">
        <f>F1898&amp;"-"&amp;G1898&amp;"-"&amp;F1898</f>
        <v>LIM-CJA-LIM</v>
      </c>
      <c r="V1898" s="4" t="str">
        <f>IF($M$1898="","",$M$1898)</f>
        <v/>
      </c>
      <c r="W1898" s="4" t="str">
        <f>IF($O$1898="","",$O$1898)</f>
        <v/>
      </c>
      <c r="X1898" s="4">
        <f>J1898</f>
        <v>320</v>
      </c>
    </row>
    <row r="1899" spans="2:24" ht="30" x14ac:dyDescent="0.25">
      <c r="B1899" s="4">
        <v>1796</v>
      </c>
      <c r="C1899" s="4" t="s">
        <v>191</v>
      </c>
      <c r="D1899" s="4" t="s">
        <v>165</v>
      </c>
      <c r="E1899" s="4">
        <v>2294</v>
      </c>
      <c r="F1899" s="4" t="s">
        <v>50</v>
      </c>
      <c r="G1899" s="4" t="s">
        <v>29</v>
      </c>
      <c r="H1899" s="4" t="s">
        <v>83</v>
      </c>
      <c r="I1899" s="4" t="s">
        <v>42</v>
      </c>
      <c r="J1899" s="4">
        <v>320</v>
      </c>
      <c r="K1899" t="str">
        <f>TEXT(TIMEVALUE(H1899)-TIMEVALUE(I1898)+(TIMEVALUE(H1899)&lt;TIMEVALUE(I1898)),"[h]:mm")</f>
        <v>0:40</v>
      </c>
      <c r="L1899" s="4" t="s">
        <v>55</v>
      </c>
      <c r="O1899" t="str">
        <f>"LIM-"&amp;G1898&amp;"-LIM   LA "&amp;E1898&amp;" ("&amp;LEFT(H1898,5)&amp;"-"&amp;LEFT(I1898,5)&amp;" hrs)  /  LA "&amp;E1899&amp;" ("&amp;LEFT(H1899,5)&amp;"-"&amp;LEFT(I1899,5)&amp;" hrs)"</f>
        <v>LIM-CJA-LIM   LA 2295 (14:10-15:30 hrs)  /  LA 2294 (16:10-17:15 hrs)</v>
      </c>
    </row>
    <row r="1900" spans="2:24" x14ac:dyDescent="0.25">
      <c r="J1900" s="7" t="s">
        <v>43</v>
      </c>
      <c r="K1900" s="8" t="str">
        <f>TEXT(TIMEVALUE(I1899)-TIMEVALUE(H1898)+(I1899&lt;H1898),"[h]:mm")</f>
        <v>3:05</v>
      </c>
    </row>
    <row r="1902" spans="2:24" ht="30" x14ac:dyDescent="0.25">
      <c r="B1902" s="3" t="s">
        <v>9</v>
      </c>
      <c r="C1902" s="3" t="s">
        <v>17</v>
      </c>
      <c r="D1902" s="3" t="s">
        <v>18</v>
      </c>
      <c r="E1902" s="3" t="s">
        <v>19</v>
      </c>
      <c r="F1902" s="3" t="s">
        <v>20</v>
      </c>
      <c r="G1902" s="3" t="s">
        <v>21</v>
      </c>
      <c r="H1902" s="3" t="s">
        <v>22</v>
      </c>
      <c r="I1902" s="3" t="s">
        <v>23</v>
      </c>
      <c r="J1902" s="3" t="s">
        <v>24</v>
      </c>
      <c r="K1902" s="3" t="s">
        <v>25</v>
      </c>
      <c r="L1902" s="3" t="s">
        <v>26</v>
      </c>
    </row>
    <row r="1903" spans="2:24" ht="30" x14ac:dyDescent="0.25">
      <c r="B1903" s="4">
        <v>1798</v>
      </c>
      <c r="C1903" s="4" t="s">
        <v>191</v>
      </c>
      <c r="D1903" s="4" t="s">
        <v>165</v>
      </c>
      <c r="E1903" s="4">
        <v>2154</v>
      </c>
      <c r="F1903" s="4" t="s">
        <v>29</v>
      </c>
      <c r="G1903" s="4" t="s">
        <v>30</v>
      </c>
      <c r="H1903" s="4" t="s">
        <v>75</v>
      </c>
      <c r="I1903" s="4" t="s">
        <v>85</v>
      </c>
      <c r="J1903" s="4">
        <v>320</v>
      </c>
      <c r="L1903" s="4" t="s">
        <v>33</v>
      </c>
      <c r="M1903" s="5"/>
      <c r="O1903" s="5"/>
      <c r="Q1903" s="4">
        <f>B1903</f>
        <v>1798</v>
      </c>
      <c r="R1903" s="4" t="str">
        <f>C1903</f>
        <v>21/10/2026</v>
      </c>
      <c r="S1903" s="4" t="str">
        <f>D1903</f>
        <v>miércoles</v>
      </c>
      <c r="T1903" s="4" t="str">
        <f>E1903&amp;"/"&amp;E1904</f>
        <v>2154/2155</v>
      </c>
      <c r="U1903" s="4" t="str">
        <f>F1903&amp;"-"&amp;G1903&amp;"-"&amp;F1903</f>
        <v>LIM-CUZ-LIM</v>
      </c>
      <c r="V1903" s="4" t="str">
        <f>IF($M$1903="","",$M$1903)</f>
        <v/>
      </c>
      <c r="W1903" s="4" t="str">
        <f>IF($O$1903="","",$O$1903)</f>
        <v/>
      </c>
      <c r="X1903" s="4">
        <f>J1903</f>
        <v>320</v>
      </c>
    </row>
    <row r="1904" spans="2:24" ht="30" x14ac:dyDescent="0.25">
      <c r="B1904" s="4">
        <v>1798</v>
      </c>
      <c r="C1904" s="4" t="s">
        <v>191</v>
      </c>
      <c r="D1904" s="4" t="s">
        <v>165</v>
      </c>
      <c r="E1904" s="4">
        <v>2155</v>
      </c>
      <c r="F1904" s="4" t="s">
        <v>30</v>
      </c>
      <c r="G1904" s="4" t="s">
        <v>29</v>
      </c>
      <c r="H1904" s="4" t="s">
        <v>86</v>
      </c>
      <c r="I1904" s="4" t="s">
        <v>78</v>
      </c>
      <c r="J1904" s="4">
        <v>320</v>
      </c>
      <c r="K1904" t="str">
        <f>TEXT(TIMEVALUE(H1904)-TIMEVALUE(I1903)+(TIMEVALUE(H1904)&lt;TIMEVALUE(I1903)),"[h]:mm")</f>
        <v>0:40</v>
      </c>
      <c r="L1904" s="4" t="s">
        <v>36</v>
      </c>
      <c r="O1904" t="str">
        <f>"LIM-"&amp;G1903&amp;"-LIM   LA "&amp;E1903&amp;" ("&amp;LEFT(H1903,5)&amp;"-"&amp;LEFT(I1903,5)&amp;" hrs)  /  LA "&amp;E1904&amp;" ("&amp;LEFT(H1904,5)&amp;"-"&amp;LEFT(I1904,5)&amp;" hrs)"</f>
        <v>LIM-CUZ-LIM   LA 2154 (14:45-16:05 hrs)  /  LA 2155 (16:45-18:20 hrs)</v>
      </c>
    </row>
    <row r="1905" spans="2:24" x14ac:dyDescent="0.25">
      <c r="J1905" s="7" t="s">
        <v>43</v>
      </c>
      <c r="K1905" s="8" t="str">
        <f>TEXT(TIMEVALUE(I1904)-TIMEVALUE(H1903)+(I1904&lt;H1903),"[h]:mm")</f>
        <v>3:35</v>
      </c>
    </row>
    <row r="1907" spans="2:24" ht="30" x14ac:dyDescent="0.25">
      <c r="B1907" s="3" t="s">
        <v>9</v>
      </c>
      <c r="C1907" s="3" t="s">
        <v>17</v>
      </c>
      <c r="D1907" s="3" t="s">
        <v>18</v>
      </c>
      <c r="E1907" s="3" t="s">
        <v>19</v>
      </c>
      <c r="F1907" s="3" t="s">
        <v>20</v>
      </c>
      <c r="G1907" s="3" t="s">
        <v>21</v>
      </c>
      <c r="H1907" s="3" t="s">
        <v>22</v>
      </c>
      <c r="I1907" s="3" t="s">
        <v>23</v>
      </c>
      <c r="J1907" s="3" t="s">
        <v>24</v>
      </c>
      <c r="K1907" s="3" t="s">
        <v>25</v>
      </c>
      <c r="L1907" s="3" t="s">
        <v>26</v>
      </c>
    </row>
    <row r="1908" spans="2:24" ht="30" x14ac:dyDescent="0.25">
      <c r="B1908" s="4">
        <v>1799</v>
      </c>
      <c r="C1908" s="4" t="s">
        <v>191</v>
      </c>
      <c r="D1908" s="4" t="s">
        <v>165</v>
      </c>
      <c r="E1908" s="4">
        <v>2264</v>
      </c>
      <c r="F1908" s="4" t="s">
        <v>29</v>
      </c>
      <c r="G1908" s="4" t="s">
        <v>44</v>
      </c>
      <c r="H1908" s="4" t="s">
        <v>87</v>
      </c>
      <c r="I1908" s="4" t="s">
        <v>60</v>
      </c>
      <c r="J1908" s="4">
        <v>319</v>
      </c>
      <c r="L1908" s="4" t="s">
        <v>47</v>
      </c>
      <c r="M1908" s="5"/>
      <c r="O1908" s="5"/>
      <c r="Q1908" s="4">
        <f>B1908</f>
        <v>1799</v>
      </c>
      <c r="R1908" s="4" t="str">
        <f>C1908</f>
        <v>21/10/2026</v>
      </c>
      <c r="S1908" s="4" t="str">
        <f>D1908</f>
        <v>miércoles</v>
      </c>
      <c r="T1908" s="4" t="str">
        <f>E1908&amp;"/"&amp;E1909</f>
        <v>2264/2265</v>
      </c>
      <c r="U1908" s="4" t="str">
        <f>F1908&amp;"-"&amp;G1908&amp;"-"&amp;F1908</f>
        <v>LIM-PEM-LIM</v>
      </c>
      <c r="V1908" s="4" t="str">
        <f>IF($M$1908="","",$M$1908)</f>
        <v/>
      </c>
      <c r="W1908" s="4" t="str">
        <f>IF($O$1908="","",$O$1908)</f>
        <v/>
      </c>
      <c r="X1908" s="4">
        <f>J1908</f>
        <v>319</v>
      </c>
    </row>
    <row r="1909" spans="2:24" ht="30" x14ac:dyDescent="0.25">
      <c r="B1909" s="4">
        <v>1799</v>
      </c>
      <c r="C1909" s="4" t="s">
        <v>191</v>
      </c>
      <c r="D1909" s="4" t="s">
        <v>165</v>
      </c>
      <c r="E1909" s="4">
        <v>2265</v>
      </c>
      <c r="F1909" s="4" t="s">
        <v>44</v>
      </c>
      <c r="G1909" s="4" t="s">
        <v>29</v>
      </c>
      <c r="H1909" s="4" t="s">
        <v>53</v>
      </c>
      <c r="I1909" s="4" t="s">
        <v>88</v>
      </c>
      <c r="J1909" s="4">
        <v>319</v>
      </c>
      <c r="K1909" t="str">
        <f>TEXT(TIMEVALUE(H1909)-TIMEVALUE(I1908)+(TIMEVALUE(H1909)&lt;TIMEVALUE(I1908)),"[h]:mm")</f>
        <v>0:40</v>
      </c>
      <c r="L1909" s="4" t="s">
        <v>36</v>
      </c>
      <c r="O1909" t="str">
        <f>"LIM-"&amp;G1908&amp;"-LIM   LA "&amp;E1908&amp;" ("&amp;LEFT(H1908,5)&amp;"-"&amp;LEFT(I1908,5)&amp;" hrs)  /  LA "&amp;E1909&amp;" ("&amp;LEFT(H1909,5)&amp;"-"&amp;LEFT(I1909,5)&amp;" hrs)"</f>
        <v>LIM-PEM-LIM   LA 2264 (14:55-16:40 hrs)  /  LA 2265 (17:20-18:55 hrs)</v>
      </c>
    </row>
    <row r="1910" spans="2:24" x14ac:dyDescent="0.25">
      <c r="J1910" s="7" t="s">
        <v>43</v>
      </c>
      <c r="K1910" s="8" t="str">
        <f>TEXT(TIMEVALUE(I1909)-TIMEVALUE(H1908)+(I1909&lt;H1908),"[h]:mm")</f>
        <v>4:00</v>
      </c>
    </row>
    <row r="1912" spans="2:24" ht="30" x14ac:dyDescent="0.25">
      <c r="B1912" s="3" t="s">
        <v>9</v>
      </c>
      <c r="C1912" s="3" t="s">
        <v>17</v>
      </c>
      <c r="D1912" s="3" t="s">
        <v>18</v>
      </c>
      <c r="E1912" s="3" t="s">
        <v>19</v>
      </c>
      <c r="F1912" s="3" t="s">
        <v>20</v>
      </c>
      <c r="G1912" s="3" t="s">
        <v>21</v>
      </c>
      <c r="H1912" s="3" t="s">
        <v>22</v>
      </c>
      <c r="I1912" s="3" t="s">
        <v>23</v>
      </c>
      <c r="J1912" s="3" t="s">
        <v>24</v>
      </c>
      <c r="K1912" s="3" t="s">
        <v>25</v>
      </c>
      <c r="L1912" s="3" t="s">
        <v>26</v>
      </c>
    </row>
    <row r="1913" spans="2:24" ht="30" x14ac:dyDescent="0.25">
      <c r="B1913" s="4">
        <v>1800</v>
      </c>
      <c r="C1913" s="4" t="s">
        <v>191</v>
      </c>
      <c r="D1913" s="4" t="s">
        <v>165</v>
      </c>
      <c r="E1913" s="4">
        <v>2338</v>
      </c>
      <c r="F1913" s="4" t="s">
        <v>29</v>
      </c>
      <c r="G1913" s="4" t="s">
        <v>125</v>
      </c>
      <c r="H1913" s="4" t="s">
        <v>109</v>
      </c>
      <c r="I1913" s="4" t="s">
        <v>86</v>
      </c>
      <c r="J1913" s="4">
        <v>320</v>
      </c>
      <c r="L1913" s="4" t="s">
        <v>47</v>
      </c>
      <c r="M1913" s="5"/>
      <c r="O1913" s="5"/>
      <c r="Q1913" s="4">
        <f>B1913</f>
        <v>1800</v>
      </c>
      <c r="R1913" s="4" t="str">
        <f>C1913</f>
        <v>21/10/2026</v>
      </c>
      <c r="S1913" s="4" t="str">
        <f>D1913</f>
        <v>miércoles</v>
      </c>
      <c r="T1913" s="4" t="str">
        <f>E1913&amp;"/"&amp;E1914</f>
        <v>2338/2339</v>
      </c>
      <c r="U1913" s="4" t="str">
        <f>F1913&amp;"-"&amp;G1913&amp;"-"&amp;F1913</f>
        <v>LIM-PIU-LIM</v>
      </c>
      <c r="V1913" s="4" t="str">
        <f>IF($M$1913="","",$M$1913)</f>
        <v/>
      </c>
      <c r="W1913" s="4" t="str">
        <f>IF($O$1913="","",$O$1913)</f>
        <v/>
      </c>
      <c r="X1913" s="4">
        <f>J1913</f>
        <v>320</v>
      </c>
    </row>
    <row r="1914" spans="2:24" ht="30" x14ac:dyDescent="0.25">
      <c r="B1914" s="4">
        <v>1800</v>
      </c>
      <c r="C1914" s="4" t="s">
        <v>191</v>
      </c>
      <c r="D1914" s="4" t="s">
        <v>165</v>
      </c>
      <c r="E1914" s="4">
        <v>2339</v>
      </c>
      <c r="F1914" s="4" t="s">
        <v>125</v>
      </c>
      <c r="G1914" s="4" t="s">
        <v>29</v>
      </c>
      <c r="H1914" s="4" t="s">
        <v>53</v>
      </c>
      <c r="I1914" s="4" t="s">
        <v>88</v>
      </c>
      <c r="J1914" s="4">
        <v>320</v>
      </c>
      <c r="K1914" t="str">
        <f>TEXT(TIMEVALUE(H1914)-TIMEVALUE(I1913)+(TIMEVALUE(H1914)&lt;TIMEVALUE(I1913)),"[h]:mm")</f>
        <v>0:35</v>
      </c>
      <c r="L1914" s="4" t="s">
        <v>36</v>
      </c>
      <c r="O1914" t="str">
        <f>"LIM-"&amp;G1913&amp;"-LIM   LA "&amp;E1913&amp;" ("&amp;LEFT(H1913,5)&amp;"-"&amp;LEFT(I1913,5)&amp;" hrs)  /  LA "&amp;E1914&amp;" ("&amp;LEFT(H1914,5)&amp;"-"&amp;LEFT(I1914,5)&amp;" hrs)"</f>
        <v>LIM-PIU-LIM   LA 2338 (15:00-16:45 hrs)  /  LA 2339 (17:20-18:55 hrs)</v>
      </c>
    </row>
    <row r="1915" spans="2:24" x14ac:dyDescent="0.25">
      <c r="J1915" s="7" t="s">
        <v>43</v>
      </c>
      <c r="K1915" s="8" t="str">
        <f>TEXT(TIMEVALUE(I1914)-TIMEVALUE(H1913)+(I1914&lt;H1913),"[h]:mm")</f>
        <v>3:55</v>
      </c>
    </row>
    <row r="1917" spans="2:24" ht="30" x14ac:dyDescent="0.25">
      <c r="B1917" s="3" t="s">
        <v>9</v>
      </c>
      <c r="C1917" s="3" t="s">
        <v>17</v>
      </c>
      <c r="D1917" s="3" t="s">
        <v>18</v>
      </c>
      <c r="E1917" s="3" t="s">
        <v>19</v>
      </c>
      <c r="F1917" s="3" t="s">
        <v>20</v>
      </c>
      <c r="G1917" s="3" t="s">
        <v>21</v>
      </c>
      <c r="H1917" s="3" t="s">
        <v>22</v>
      </c>
      <c r="I1917" s="3" t="s">
        <v>23</v>
      </c>
      <c r="J1917" s="3" t="s">
        <v>24</v>
      </c>
      <c r="K1917" s="3" t="s">
        <v>25</v>
      </c>
      <c r="L1917" s="3" t="s">
        <v>26</v>
      </c>
    </row>
    <row r="1918" spans="2:24" ht="30" x14ac:dyDescent="0.25">
      <c r="B1918" s="4">
        <v>1801</v>
      </c>
      <c r="C1918" s="4" t="s">
        <v>191</v>
      </c>
      <c r="D1918" s="4" t="s">
        <v>165</v>
      </c>
      <c r="E1918" s="4">
        <v>2113</v>
      </c>
      <c r="F1918" s="4" t="s">
        <v>29</v>
      </c>
      <c r="G1918" s="4" t="s">
        <v>56</v>
      </c>
      <c r="H1918" s="4" t="s">
        <v>126</v>
      </c>
      <c r="I1918" s="4" t="s">
        <v>52</v>
      </c>
      <c r="J1918" s="4">
        <v>320</v>
      </c>
      <c r="L1918" s="4" t="s">
        <v>40</v>
      </c>
      <c r="M1918" s="5"/>
      <c r="O1918" s="5"/>
      <c r="Q1918" s="4">
        <f>B1918</f>
        <v>1801</v>
      </c>
      <c r="R1918" s="4" t="str">
        <f>C1918</f>
        <v>21/10/2026</v>
      </c>
      <c r="S1918" s="4" t="str">
        <f>D1918</f>
        <v>miércoles</v>
      </c>
      <c r="T1918" s="4" t="str">
        <f>E1918&amp;"/"&amp;E1919</f>
        <v>2113/2112</v>
      </c>
      <c r="U1918" s="4" t="str">
        <f>F1918&amp;"-"&amp;G1918&amp;"-"&amp;F1918</f>
        <v>LIM-AQP-LIM</v>
      </c>
      <c r="V1918" s="4" t="str">
        <f>IF($M$1918="","",$M$1918)</f>
        <v/>
      </c>
      <c r="W1918" s="4" t="str">
        <f>IF($O$1918="","",$O$1918)</f>
        <v/>
      </c>
      <c r="X1918" s="4">
        <f>J1918</f>
        <v>320</v>
      </c>
    </row>
    <row r="1919" spans="2:24" ht="30" x14ac:dyDescent="0.25">
      <c r="B1919" s="4">
        <v>1801</v>
      </c>
      <c r="C1919" s="4" t="s">
        <v>191</v>
      </c>
      <c r="D1919" s="4" t="s">
        <v>165</v>
      </c>
      <c r="E1919" s="4">
        <v>2112</v>
      </c>
      <c r="F1919" s="4" t="s">
        <v>56</v>
      </c>
      <c r="G1919" s="4" t="s">
        <v>29</v>
      </c>
      <c r="H1919" s="4" t="s">
        <v>42</v>
      </c>
      <c r="I1919" s="4" t="s">
        <v>88</v>
      </c>
      <c r="J1919" s="4">
        <v>320</v>
      </c>
      <c r="K1919" t="str">
        <f>TEXT(TIMEVALUE(H1919)-TIMEVALUE(I1918)+(TIMEVALUE(H1919)&lt;TIMEVALUE(I1918)),"[h]:mm")</f>
        <v>0:40</v>
      </c>
      <c r="L1919" s="4" t="s">
        <v>71</v>
      </c>
      <c r="O1919" t="str">
        <f>"LIM-"&amp;G1918&amp;"-LIM   LA "&amp;E1918&amp;" ("&amp;LEFT(H1918,5)&amp;"-"&amp;LEFT(I1918,5)&amp;" hrs)  /  LA "&amp;E1919&amp;" ("&amp;LEFT(H1919,5)&amp;"-"&amp;LEFT(I1919,5)&amp;" hrs)"</f>
        <v>LIM-AQP-LIM   LA 2113 (15:05-16:35 hrs)  /  LA 2112 (17:15-18:55 hrs)</v>
      </c>
    </row>
    <row r="1920" spans="2:24" x14ac:dyDescent="0.25">
      <c r="J1920" s="7" t="s">
        <v>43</v>
      </c>
      <c r="K1920" s="8" t="str">
        <f>TEXT(TIMEVALUE(I1919)-TIMEVALUE(H1918)+(I1919&lt;H1918),"[h]:mm")</f>
        <v>3:50</v>
      </c>
    </row>
    <row r="1922" spans="2:24" ht="30" x14ac:dyDescent="0.25">
      <c r="B1922" s="3" t="s">
        <v>9</v>
      </c>
      <c r="C1922" s="3" t="s">
        <v>17</v>
      </c>
      <c r="D1922" s="3" t="s">
        <v>18</v>
      </c>
      <c r="E1922" s="3" t="s">
        <v>19</v>
      </c>
      <c r="F1922" s="3" t="s">
        <v>20</v>
      </c>
      <c r="G1922" s="3" t="s">
        <v>21</v>
      </c>
      <c r="H1922" s="3" t="s">
        <v>22</v>
      </c>
      <c r="I1922" s="3" t="s">
        <v>23</v>
      </c>
      <c r="J1922" s="3" t="s">
        <v>24</v>
      </c>
      <c r="K1922" s="3" t="s">
        <v>25</v>
      </c>
      <c r="L1922" s="3" t="s">
        <v>26</v>
      </c>
    </row>
    <row r="1923" spans="2:24" ht="30" x14ac:dyDescent="0.25">
      <c r="B1923" s="4">
        <v>1802</v>
      </c>
      <c r="C1923" s="4" t="s">
        <v>191</v>
      </c>
      <c r="D1923" s="4" t="s">
        <v>165</v>
      </c>
      <c r="E1923" s="4">
        <v>2113</v>
      </c>
      <c r="F1923" s="4" t="s">
        <v>29</v>
      </c>
      <c r="G1923" s="4" t="s">
        <v>56</v>
      </c>
      <c r="H1923" s="4" t="s">
        <v>126</v>
      </c>
      <c r="I1923" s="4" t="s">
        <v>52</v>
      </c>
      <c r="J1923" s="4">
        <v>320</v>
      </c>
      <c r="L1923" s="4" t="s">
        <v>40</v>
      </c>
      <c r="M1923" s="5"/>
      <c r="O1923" s="5"/>
      <c r="Q1923" s="4">
        <f>B1923</f>
        <v>1802</v>
      </c>
      <c r="R1923" s="4" t="str">
        <f>C1923</f>
        <v>21/10/2026</v>
      </c>
      <c r="S1923" s="4" t="str">
        <f>D1923</f>
        <v>miércoles</v>
      </c>
      <c r="T1923" s="4" t="str">
        <f>E1923&amp;"/"&amp;E1924</f>
        <v>2113/2112</v>
      </c>
      <c r="U1923" s="4" t="str">
        <f>F1923&amp;"-"&amp;G1923&amp;"-"&amp;F1923</f>
        <v>LIM-AQP-LIM</v>
      </c>
      <c r="V1923" s="4" t="str">
        <f>IF($M$1923="","",$M$1923)</f>
        <v/>
      </c>
      <c r="W1923" s="4" t="str">
        <f>IF($O$1923="","",$O$1923)</f>
        <v/>
      </c>
      <c r="X1923" s="4">
        <f>J1923</f>
        <v>320</v>
      </c>
    </row>
    <row r="1924" spans="2:24" ht="30" x14ac:dyDescent="0.25">
      <c r="B1924" s="4">
        <v>1802</v>
      </c>
      <c r="C1924" s="4" t="s">
        <v>191</v>
      </c>
      <c r="D1924" s="4" t="s">
        <v>165</v>
      </c>
      <c r="E1924" s="4">
        <v>2112</v>
      </c>
      <c r="F1924" s="4" t="s">
        <v>56</v>
      </c>
      <c r="G1924" s="4" t="s">
        <v>29</v>
      </c>
      <c r="H1924" s="4" t="s">
        <v>42</v>
      </c>
      <c r="I1924" s="4" t="s">
        <v>88</v>
      </c>
      <c r="J1924" s="4">
        <v>320</v>
      </c>
      <c r="K1924" t="str">
        <f>TEXT(TIMEVALUE(H1924)-TIMEVALUE(I1923)+(TIMEVALUE(H1924)&lt;TIMEVALUE(I1923)),"[h]:mm")</f>
        <v>0:40</v>
      </c>
      <c r="L1924" s="4" t="s">
        <v>71</v>
      </c>
      <c r="O1924" t="str">
        <f>"LIM-"&amp;G1923&amp;"-LIM   LA "&amp;E1923&amp;" ("&amp;LEFT(H1923,5)&amp;"-"&amp;LEFT(I1923,5)&amp;" hrs)  /  LA "&amp;E1924&amp;" ("&amp;LEFT(H1924,5)&amp;"-"&amp;LEFT(I1924,5)&amp;" hrs)"</f>
        <v>LIM-AQP-LIM   LA 2113 (15:05-16:35 hrs)  /  LA 2112 (17:15-18:55 hrs)</v>
      </c>
    </row>
    <row r="1925" spans="2:24" x14ac:dyDescent="0.25">
      <c r="J1925" s="7" t="s">
        <v>43</v>
      </c>
      <c r="K1925" s="8" t="str">
        <f>TEXT(TIMEVALUE(I1924)-TIMEVALUE(H1923)+(I1924&lt;H1923),"[h]:mm")</f>
        <v>3:50</v>
      </c>
    </row>
    <row r="1927" spans="2:24" ht="30" x14ac:dyDescent="0.25">
      <c r="B1927" s="3" t="s">
        <v>9</v>
      </c>
      <c r="C1927" s="3" t="s">
        <v>17</v>
      </c>
      <c r="D1927" s="3" t="s">
        <v>18</v>
      </c>
      <c r="E1927" s="3" t="s">
        <v>19</v>
      </c>
      <c r="F1927" s="3" t="s">
        <v>20</v>
      </c>
      <c r="G1927" s="3" t="s">
        <v>21</v>
      </c>
      <c r="H1927" s="3" t="s">
        <v>22</v>
      </c>
      <c r="I1927" s="3" t="s">
        <v>23</v>
      </c>
      <c r="J1927" s="3" t="s">
        <v>24</v>
      </c>
      <c r="K1927" s="3" t="s">
        <v>25</v>
      </c>
      <c r="L1927" s="3" t="s">
        <v>26</v>
      </c>
    </row>
    <row r="1928" spans="2:24" ht="30" x14ac:dyDescent="0.25">
      <c r="B1928" s="4">
        <v>1804</v>
      </c>
      <c r="C1928" s="4" t="s">
        <v>191</v>
      </c>
      <c r="D1928" s="4" t="s">
        <v>165</v>
      </c>
      <c r="E1928" s="4">
        <v>2297</v>
      </c>
      <c r="F1928" s="4" t="s">
        <v>29</v>
      </c>
      <c r="G1928" s="4" t="s">
        <v>50</v>
      </c>
      <c r="H1928" s="4" t="s">
        <v>51</v>
      </c>
      <c r="I1928" s="4" t="s">
        <v>52</v>
      </c>
      <c r="J1928" s="4">
        <v>320</v>
      </c>
      <c r="L1928" s="4" t="s">
        <v>33</v>
      </c>
      <c r="M1928" s="5"/>
      <c r="O1928" s="5"/>
      <c r="Q1928" s="4">
        <f>B1928</f>
        <v>1804</v>
      </c>
      <c r="R1928" s="4" t="str">
        <f>C1928</f>
        <v>21/10/2026</v>
      </c>
      <c r="S1928" s="4" t="str">
        <f>D1928</f>
        <v>miércoles</v>
      </c>
      <c r="T1928" s="4" t="str">
        <f>E1928&amp;"/"&amp;E1929</f>
        <v>2297/2296</v>
      </c>
      <c r="U1928" s="4" t="str">
        <f>F1928&amp;"-"&amp;G1928&amp;"-"&amp;F1928</f>
        <v>LIM-CJA-LIM</v>
      </c>
      <c r="V1928" s="4" t="str">
        <f>IF($M$1928="","",$M$1928)</f>
        <v/>
      </c>
      <c r="W1928" s="4" t="str">
        <f>IF($O$1928="","",$O$1928)</f>
        <v/>
      </c>
      <c r="X1928" s="4">
        <f>J1928</f>
        <v>320</v>
      </c>
    </row>
    <row r="1929" spans="2:24" ht="30" x14ac:dyDescent="0.25">
      <c r="B1929" s="4">
        <v>1804</v>
      </c>
      <c r="C1929" s="4" t="s">
        <v>191</v>
      </c>
      <c r="D1929" s="4" t="s">
        <v>165</v>
      </c>
      <c r="E1929" s="4">
        <v>2296</v>
      </c>
      <c r="F1929" s="4" t="s">
        <v>50</v>
      </c>
      <c r="G1929" s="4" t="s">
        <v>29</v>
      </c>
      <c r="H1929" s="4" t="s">
        <v>53</v>
      </c>
      <c r="I1929" s="4" t="s">
        <v>54</v>
      </c>
      <c r="J1929" s="4">
        <v>320</v>
      </c>
      <c r="K1929" t="str">
        <f>TEXT(TIMEVALUE(H1929)-TIMEVALUE(I1928)+(TIMEVALUE(H1929)&lt;TIMEVALUE(I1928)),"[h]:mm")</f>
        <v>0:45</v>
      </c>
      <c r="L1929" s="4" t="s">
        <v>55</v>
      </c>
      <c r="O1929" t="str">
        <f>"LIM-"&amp;G1928&amp;"-LIM   LA "&amp;E1928&amp;" ("&amp;LEFT(H1928,5)&amp;"-"&amp;LEFT(I1928,5)&amp;" hrs)  /  LA "&amp;E1929&amp;" ("&amp;LEFT(H1929,5)&amp;"-"&amp;LEFT(I1929,5)&amp;" hrs)"</f>
        <v>LIM-CJA-LIM   LA 2297 (15:15-16:35 hrs)  /  LA 2296 (17:20-18:25 hrs)</v>
      </c>
    </row>
    <row r="1930" spans="2:24" x14ac:dyDescent="0.25">
      <c r="J1930" s="7" t="s">
        <v>43</v>
      </c>
      <c r="K1930" s="8" t="str">
        <f>TEXT(TIMEVALUE(I1929)-TIMEVALUE(H1928)+(I1929&lt;H1928),"[h]:mm")</f>
        <v>3:10</v>
      </c>
    </row>
    <row r="1932" spans="2:24" ht="30" x14ac:dyDescent="0.25">
      <c r="B1932" s="3" t="s">
        <v>9</v>
      </c>
      <c r="C1932" s="3" t="s">
        <v>17</v>
      </c>
      <c r="D1932" s="3" t="s">
        <v>18</v>
      </c>
      <c r="E1932" s="3" t="s">
        <v>19</v>
      </c>
      <c r="F1932" s="3" t="s">
        <v>20</v>
      </c>
      <c r="G1932" s="3" t="s">
        <v>21</v>
      </c>
      <c r="H1932" s="3" t="s">
        <v>22</v>
      </c>
      <c r="I1932" s="3" t="s">
        <v>23</v>
      </c>
      <c r="J1932" s="3" t="s">
        <v>24</v>
      </c>
      <c r="K1932" s="3" t="s">
        <v>25</v>
      </c>
      <c r="L1932" s="3" t="s">
        <v>26</v>
      </c>
    </row>
    <row r="1933" spans="2:24" ht="30" x14ac:dyDescent="0.25">
      <c r="B1933" s="4">
        <v>1805</v>
      </c>
      <c r="C1933" s="4" t="s">
        <v>191</v>
      </c>
      <c r="D1933" s="4" t="s">
        <v>165</v>
      </c>
      <c r="E1933" s="4">
        <v>2360</v>
      </c>
      <c r="F1933" s="4" t="s">
        <v>29</v>
      </c>
      <c r="G1933" s="4" t="s">
        <v>58</v>
      </c>
      <c r="H1933" s="4" t="s">
        <v>59</v>
      </c>
      <c r="I1933" s="4" t="s">
        <v>60</v>
      </c>
      <c r="J1933" s="4">
        <v>319</v>
      </c>
      <c r="L1933" s="4" t="s">
        <v>61</v>
      </c>
      <c r="M1933" s="5"/>
      <c r="O1933" s="5"/>
      <c r="Q1933" s="4">
        <f>B1933</f>
        <v>1805</v>
      </c>
      <c r="R1933" s="4" t="str">
        <f>C1933</f>
        <v>21/10/2026</v>
      </c>
      <c r="S1933" s="4" t="str">
        <f>D1933</f>
        <v>miércoles</v>
      </c>
      <c r="T1933" s="4" t="str">
        <f>E1933&amp;"/"&amp;E1934</f>
        <v>2360/2361</v>
      </c>
      <c r="U1933" s="4" t="str">
        <f>F1933&amp;"-"&amp;G1933&amp;"-"&amp;F1933</f>
        <v>LIM-PCL-LIM</v>
      </c>
      <c r="V1933" s="4" t="str">
        <f>IF($M$1933="","",$M$1933)</f>
        <v/>
      </c>
      <c r="W1933" s="4" t="str">
        <f>IF($O$1933="","",$O$1933)</f>
        <v/>
      </c>
      <c r="X1933" s="4">
        <f>J1933</f>
        <v>319</v>
      </c>
    </row>
    <row r="1934" spans="2:24" ht="30" x14ac:dyDescent="0.25">
      <c r="B1934" s="4">
        <v>1805</v>
      </c>
      <c r="C1934" s="4" t="s">
        <v>191</v>
      </c>
      <c r="D1934" s="4" t="s">
        <v>165</v>
      </c>
      <c r="E1934" s="4">
        <v>2361</v>
      </c>
      <c r="F1934" s="4" t="s">
        <v>58</v>
      </c>
      <c r="G1934" s="4" t="s">
        <v>29</v>
      </c>
      <c r="H1934" s="4" t="s">
        <v>53</v>
      </c>
      <c r="I1934" s="4" t="s">
        <v>62</v>
      </c>
      <c r="J1934" s="4">
        <v>319</v>
      </c>
      <c r="K1934" t="str">
        <f>TEXT(TIMEVALUE(H1934)-TIMEVALUE(I1933)+(TIMEVALUE(H1934)&lt;TIMEVALUE(I1933)),"[h]:mm")</f>
        <v>0:40</v>
      </c>
      <c r="L1934" s="4" t="s">
        <v>61</v>
      </c>
      <c r="O1934" t="str">
        <f>"LIM-"&amp;G1933&amp;"-LIM   LA "&amp;E1933&amp;" ("&amp;LEFT(H1933,5)&amp;"-"&amp;LEFT(I1933,5)&amp;" hrs)  /  LA "&amp;E1934&amp;" ("&amp;LEFT(H1934,5)&amp;"-"&amp;LEFT(I1934,5)&amp;" hrs)"</f>
        <v>LIM-PCL-LIM   LA 2360 (15:25-16:40 hrs)  /  LA 2361 (17:20-18:35 hrs)</v>
      </c>
    </row>
    <row r="1935" spans="2:24" x14ac:dyDescent="0.25">
      <c r="J1935" s="7" t="s">
        <v>43</v>
      </c>
      <c r="K1935" s="8" t="str">
        <f>TEXT(TIMEVALUE(I1934)-TIMEVALUE(H1933)+(I1934&lt;H1933),"[h]:mm")</f>
        <v>3:10</v>
      </c>
    </row>
    <row r="1937" spans="2:24" ht="30" x14ac:dyDescent="0.25">
      <c r="B1937" s="3" t="s">
        <v>9</v>
      </c>
      <c r="C1937" s="3" t="s">
        <v>17</v>
      </c>
      <c r="D1937" s="3" t="s">
        <v>18</v>
      </c>
      <c r="E1937" s="3" t="s">
        <v>19</v>
      </c>
      <c r="F1937" s="3" t="s">
        <v>20</v>
      </c>
      <c r="G1937" s="3" t="s">
        <v>21</v>
      </c>
      <c r="H1937" s="3" t="s">
        <v>22</v>
      </c>
      <c r="I1937" s="3" t="s">
        <v>23</v>
      </c>
      <c r="J1937" s="3" t="s">
        <v>24</v>
      </c>
      <c r="K1937" s="3" t="s">
        <v>25</v>
      </c>
      <c r="L1937" s="3" t="s">
        <v>26</v>
      </c>
    </row>
    <row r="1938" spans="2:24" ht="30" x14ac:dyDescent="0.25">
      <c r="B1938" s="4">
        <v>1806</v>
      </c>
      <c r="C1938" s="4" t="s">
        <v>191</v>
      </c>
      <c r="D1938" s="4" t="s">
        <v>165</v>
      </c>
      <c r="E1938" s="4">
        <v>2301</v>
      </c>
      <c r="F1938" s="4" t="s">
        <v>29</v>
      </c>
      <c r="G1938" s="4" t="s">
        <v>91</v>
      </c>
      <c r="H1938" s="4" t="s">
        <v>92</v>
      </c>
      <c r="I1938" s="4" t="s">
        <v>77</v>
      </c>
      <c r="J1938" s="4">
        <v>320</v>
      </c>
      <c r="L1938" s="4" t="s">
        <v>93</v>
      </c>
      <c r="M1938" s="5"/>
      <c r="O1938" s="5"/>
      <c r="Q1938" s="4">
        <f>B1938</f>
        <v>1806</v>
      </c>
      <c r="R1938" s="4" t="str">
        <f>C1938</f>
        <v>21/10/2026</v>
      </c>
      <c r="S1938" s="4" t="str">
        <f>D1938</f>
        <v>miércoles</v>
      </c>
      <c r="T1938" s="4" t="str">
        <f>E1938&amp;"/"&amp;E1939</f>
        <v>2301/2300</v>
      </c>
      <c r="U1938" s="4" t="str">
        <f>F1938&amp;"-"&amp;G1938&amp;"-"&amp;F1938</f>
        <v>LIM-TPP-LIM</v>
      </c>
      <c r="V1938" s="4" t="str">
        <f>IF($M$1938="","",$M$1938)</f>
        <v/>
      </c>
      <c r="W1938" s="4" t="str">
        <f>IF($O$1938="","",$O$1938)</f>
        <v/>
      </c>
      <c r="X1938" s="4">
        <f>J1938</f>
        <v>320</v>
      </c>
    </row>
    <row r="1939" spans="2:24" ht="30" x14ac:dyDescent="0.25">
      <c r="B1939" s="4">
        <v>1806</v>
      </c>
      <c r="C1939" s="4" t="s">
        <v>191</v>
      </c>
      <c r="D1939" s="4" t="s">
        <v>165</v>
      </c>
      <c r="E1939" s="4">
        <v>2300</v>
      </c>
      <c r="F1939" s="4" t="s">
        <v>91</v>
      </c>
      <c r="G1939" s="4" t="s">
        <v>29</v>
      </c>
      <c r="H1939" s="4" t="s">
        <v>84</v>
      </c>
      <c r="I1939" s="4" t="s">
        <v>94</v>
      </c>
      <c r="J1939" s="4">
        <v>320</v>
      </c>
      <c r="K1939" t="str">
        <f>TEXT(TIMEVALUE(H1939)-TIMEVALUE(I1938)+(TIMEVALUE(H1939)&lt;TIMEVALUE(I1938)),"[h]:mm")</f>
        <v>0:45</v>
      </c>
      <c r="L1939" s="4" t="s">
        <v>93</v>
      </c>
      <c r="O1939" t="str">
        <f>"LIM-"&amp;G1938&amp;"-LIM   LA "&amp;E1938&amp;" ("&amp;LEFT(H1938,5)&amp;"-"&amp;LEFT(I1938,5)&amp;" hrs)  /  LA "&amp;E1939&amp;" ("&amp;LEFT(H1939,5)&amp;"-"&amp;LEFT(I1939,5)&amp;" hrs)"</f>
        <v>LIM-TPP-LIM   LA 2301 (15:40-17:05 hrs)  /  LA 2300 (17:50-19:15 hrs)</v>
      </c>
    </row>
    <row r="1940" spans="2:24" x14ac:dyDescent="0.25">
      <c r="J1940" s="7" t="s">
        <v>43</v>
      </c>
      <c r="K1940" s="8" t="str">
        <f>TEXT(TIMEVALUE(I1939)-TIMEVALUE(H1938)+(I1939&lt;H1938),"[h]:mm")</f>
        <v>3:35</v>
      </c>
    </row>
    <row r="1942" spans="2:24" ht="30" x14ac:dyDescent="0.25">
      <c r="B1942" s="3" t="s">
        <v>9</v>
      </c>
      <c r="C1942" s="3" t="s">
        <v>17</v>
      </c>
      <c r="D1942" s="3" t="s">
        <v>18</v>
      </c>
      <c r="E1942" s="3" t="s">
        <v>19</v>
      </c>
      <c r="F1942" s="3" t="s">
        <v>20</v>
      </c>
      <c r="G1942" s="3" t="s">
        <v>21</v>
      </c>
      <c r="H1942" s="3" t="s">
        <v>22</v>
      </c>
      <c r="I1942" s="3" t="s">
        <v>23</v>
      </c>
      <c r="J1942" s="3" t="s">
        <v>24</v>
      </c>
      <c r="K1942" s="3" t="s">
        <v>25</v>
      </c>
      <c r="L1942" s="3" t="s">
        <v>26</v>
      </c>
    </row>
    <row r="1943" spans="2:24" ht="30" x14ac:dyDescent="0.25">
      <c r="B1943" s="4">
        <v>1811</v>
      </c>
      <c r="C1943" s="4" t="s">
        <v>191</v>
      </c>
      <c r="D1943" s="4" t="s">
        <v>165</v>
      </c>
      <c r="E1943" s="4">
        <v>2276</v>
      </c>
      <c r="F1943" s="4" t="s">
        <v>29</v>
      </c>
      <c r="G1943" s="4" t="s">
        <v>30</v>
      </c>
      <c r="H1943" s="4" t="s">
        <v>52</v>
      </c>
      <c r="I1943" s="4" t="s">
        <v>121</v>
      </c>
      <c r="J1943" s="4">
        <v>320</v>
      </c>
      <c r="L1943" s="4" t="s">
        <v>33</v>
      </c>
      <c r="M1943" s="5"/>
      <c r="O1943" s="5"/>
      <c r="Q1943" s="4">
        <f>B1943</f>
        <v>1811</v>
      </c>
      <c r="R1943" s="4" t="str">
        <f>C1943</f>
        <v>21/10/2026</v>
      </c>
      <c r="S1943" s="4" t="str">
        <f>D1943</f>
        <v>miércoles</v>
      </c>
      <c r="T1943" s="4" t="str">
        <f>E1943&amp;"/"&amp;E1944</f>
        <v>2276/2277</v>
      </c>
      <c r="U1943" s="4" t="str">
        <f>F1943&amp;"-"&amp;G1943&amp;"-"&amp;F1943</f>
        <v>LIM-CUZ-LIM</v>
      </c>
      <c r="V1943" s="4" t="str">
        <f>IF($M$1943="","",$M$1943)</f>
        <v/>
      </c>
      <c r="W1943" s="4" t="str">
        <f>IF($O$1943="","",$O$1943)</f>
        <v/>
      </c>
      <c r="X1943" s="4">
        <f>J1943</f>
        <v>320</v>
      </c>
    </row>
    <row r="1944" spans="2:24" ht="30" x14ac:dyDescent="0.25">
      <c r="B1944" s="4">
        <v>1811</v>
      </c>
      <c r="C1944" s="4" t="s">
        <v>191</v>
      </c>
      <c r="D1944" s="4" t="s">
        <v>165</v>
      </c>
      <c r="E1944" s="4">
        <v>2277</v>
      </c>
      <c r="F1944" s="4" t="s">
        <v>30</v>
      </c>
      <c r="G1944" s="4" t="s">
        <v>29</v>
      </c>
      <c r="H1944" s="4" t="s">
        <v>127</v>
      </c>
      <c r="I1944" s="4" t="s">
        <v>155</v>
      </c>
      <c r="J1944" s="4">
        <v>320</v>
      </c>
      <c r="K1944" t="str">
        <f>TEXT(TIMEVALUE(H1944)-TIMEVALUE(I1943)+(TIMEVALUE(H1944)&lt;TIMEVALUE(I1943)),"[h]:mm")</f>
        <v>0:55</v>
      </c>
      <c r="L1944" s="4" t="s">
        <v>36</v>
      </c>
      <c r="O1944" t="str">
        <f>"LIM-"&amp;G1943&amp;"-LIM   LA "&amp;E1943&amp;" ("&amp;LEFT(H1943,5)&amp;"-"&amp;LEFT(I1943,5)&amp;" hrs)  /  LA "&amp;E1944&amp;" ("&amp;LEFT(H1944,5)&amp;"-"&amp;LEFT(I1944,5)&amp;" hrs)"</f>
        <v>LIM-CUZ-LIM   LA 2276 (16:35-17:55 hrs)  /  LA 2277 (18:50-20:25 hrs)</v>
      </c>
    </row>
    <row r="1945" spans="2:24" x14ac:dyDescent="0.25">
      <c r="J1945" s="7" t="s">
        <v>43</v>
      </c>
      <c r="K1945" s="8" t="str">
        <f>TEXT(TIMEVALUE(I1944)-TIMEVALUE(H1943)+(I1944&lt;H1943),"[h]:mm")</f>
        <v>3:50</v>
      </c>
    </row>
    <row r="1947" spans="2:24" ht="30" x14ac:dyDescent="0.25">
      <c r="B1947" s="3" t="s">
        <v>9</v>
      </c>
      <c r="C1947" s="3" t="s">
        <v>17</v>
      </c>
      <c r="D1947" s="3" t="s">
        <v>18</v>
      </c>
      <c r="E1947" s="3" t="s">
        <v>19</v>
      </c>
      <c r="F1947" s="3" t="s">
        <v>20</v>
      </c>
      <c r="G1947" s="3" t="s">
        <v>21</v>
      </c>
      <c r="H1947" s="3" t="s">
        <v>22</v>
      </c>
      <c r="I1947" s="3" t="s">
        <v>23</v>
      </c>
      <c r="J1947" s="3" t="s">
        <v>24</v>
      </c>
      <c r="K1947" s="3" t="s">
        <v>25</v>
      </c>
      <c r="L1947" s="3" t="s">
        <v>26</v>
      </c>
    </row>
    <row r="1948" spans="2:24" ht="30" x14ac:dyDescent="0.25">
      <c r="B1948" s="4">
        <v>1860</v>
      </c>
      <c r="C1948" s="4" t="s">
        <v>194</v>
      </c>
      <c r="D1948" s="4" t="s">
        <v>28</v>
      </c>
      <c r="E1948" s="4">
        <v>2260</v>
      </c>
      <c r="F1948" s="4" t="s">
        <v>29</v>
      </c>
      <c r="G1948" s="4" t="s">
        <v>44</v>
      </c>
      <c r="H1948" s="4" t="s">
        <v>45</v>
      </c>
      <c r="I1948" s="4" t="s">
        <v>46</v>
      </c>
      <c r="J1948" s="4">
        <v>320</v>
      </c>
      <c r="L1948" s="4" t="s">
        <v>47</v>
      </c>
      <c r="M1948" s="5"/>
      <c r="O1948" s="5"/>
      <c r="Q1948" s="4">
        <f>B1948</f>
        <v>1860</v>
      </c>
      <c r="R1948" s="4" t="str">
        <f>C1948</f>
        <v>22/10/2026</v>
      </c>
      <c r="S1948" s="4" t="str">
        <f>D1948</f>
        <v>jueves</v>
      </c>
      <c r="T1948" s="4" t="str">
        <f>E1948&amp;"/"&amp;E1949</f>
        <v>2260/2261</v>
      </c>
      <c r="U1948" s="4" t="str">
        <f>F1948&amp;"-"&amp;G1948&amp;"-"&amp;F1948</f>
        <v>LIM-PEM-LIM</v>
      </c>
      <c r="V1948" s="4" t="str">
        <f>IF($M$1948="","",$M$1948)</f>
        <v/>
      </c>
      <c r="W1948" s="4" t="str">
        <f>IF($O$1948="","",$O$1948)</f>
        <v/>
      </c>
      <c r="X1948" s="4">
        <f>J1948</f>
        <v>320</v>
      </c>
    </row>
    <row r="1949" spans="2:24" ht="30" x14ac:dyDescent="0.25">
      <c r="B1949" s="4">
        <v>1860</v>
      </c>
      <c r="C1949" s="4" t="s">
        <v>194</v>
      </c>
      <c r="D1949" s="4" t="s">
        <v>28</v>
      </c>
      <c r="E1949" s="4">
        <v>2261</v>
      </c>
      <c r="F1949" s="4" t="s">
        <v>44</v>
      </c>
      <c r="G1949" s="4" t="s">
        <v>29</v>
      </c>
      <c r="H1949" s="4" t="s">
        <v>48</v>
      </c>
      <c r="I1949" s="4" t="s">
        <v>49</v>
      </c>
      <c r="J1949" s="4">
        <v>320</v>
      </c>
      <c r="K1949" t="str">
        <f>TEXT(TIMEVALUE(H1949)-TIMEVALUE(I1948)+(TIMEVALUE(H1949)&lt;TIMEVALUE(I1948)),"[h]:mm")</f>
        <v>0:40</v>
      </c>
      <c r="L1949" s="4" t="s">
        <v>36</v>
      </c>
      <c r="O1949" t="str">
        <f>"LIM-"&amp;G1948&amp;"-LIM   LA "&amp;E1948&amp;" ("&amp;LEFT(H1948,5)&amp;"-"&amp;LEFT(I1948,5)&amp;" hrs)  /  LA "&amp;E1949&amp;" ("&amp;LEFT(H1949,5)&amp;"-"&amp;LEFT(I1949,5)&amp;" hrs)"</f>
        <v>LIM-PEM-LIM   LA 2260 (10:20-12:05 hrs)  /  LA 2261 (12:45-14:20 hrs)</v>
      </c>
    </row>
    <row r="1950" spans="2:24" ht="30" x14ac:dyDescent="0.25">
      <c r="B1950" s="4">
        <v>1890</v>
      </c>
      <c r="C1950" s="4" t="s">
        <v>194</v>
      </c>
      <c r="D1950" s="4" t="s">
        <v>28</v>
      </c>
      <c r="E1950" s="4">
        <v>2297</v>
      </c>
      <c r="F1950" s="4" t="s">
        <v>29</v>
      </c>
      <c r="G1950" s="4" t="s">
        <v>50</v>
      </c>
      <c r="H1950" s="4" t="s">
        <v>51</v>
      </c>
      <c r="I1950" s="4" t="s">
        <v>52</v>
      </c>
      <c r="J1950" s="4">
        <v>320</v>
      </c>
      <c r="K1950" s="6" t="str">
        <f>TEXT(TIMEVALUE(H1950)-TIMEVALUE(I1949)+(TIMEVALUE(H1950)&lt;TIMEVALUE(I1949)),"[h]:mm")</f>
        <v>0:55</v>
      </c>
      <c r="L1950" s="4" t="s">
        <v>33</v>
      </c>
      <c r="M1950" t="str">
        <f>IF($M$1948="","",$M$1948)</f>
        <v/>
      </c>
      <c r="O1950" t="str">
        <f>IF($O$1948="","",$O$1948)</f>
        <v/>
      </c>
      <c r="Q1950" s="4">
        <f>B1950</f>
        <v>1890</v>
      </c>
      <c r="R1950" s="4" t="str">
        <f>C1950</f>
        <v>22/10/2026</v>
      </c>
      <c r="S1950" s="4" t="str">
        <f>D1950</f>
        <v>jueves</v>
      </c>
      <c r="T1950" s="4" t="str">
        <f>E1950&amp;"/"&amp;E1951</f>
        <v>2297/2296</v>
      </c>
      <c r="U1950" s="4" t="str">
        <f>F1950&amp;"-"&amp;G1950&amp;"-"&amp;F1950</f>
        <v>LIM-CJA-LIM</v>
      </c>
      <c r="V1950" s="4" t="str">
        <f>IF($M$1948="","",$M$1948)</f>
        <v/>
      </c>
      <c r="W1950" s="4" t="str">
        <f>IF($O$1948="","",$O$1948)</f>
        <v/>
      </c>
      <c r="X1950" s="4">
        <f>J1950</f>
        <v>320</v>
      </c>
    </row>
    <row r="1951" spans="2:24" ht="30" x14ac:dyDescent="0.25">
      <c r="B1951" s="4">
        <v>1890</v>
      </c>
      <c r="C1951" s="4" t="s">
        <v>194</v>
      </c>
      <c r="D1951" s="4" t="s">
        <v>28</v>
      </c>
      <c r="E1951" s="4">
        <v>2296</v>
      </c>
      <c r="F1951" s="4" t="s">
        <v>50</v>
      </c>
      <c r="G1951" s="4" t="s">
        <v>29</v>
      </c>
      <c r="H1951" s="4" t="s">
        <v>53</v>
      </c>
      <c r="I1951" s="4" t="s">
        <v>54</v>
      </c>
      <c r="J1951" s="4">
        <v>320</v>
      </c>
      <c r="K1951" t="str">
        <f>TEXT(TIMEVALUE(H1951)-TIMEVALUE(I1950)+(TIMEVALUE(H1951)&lt;TIMEVALUE(I1950)),"[h]:mm")</f>
        <v>0:45</v>
      </c>
      <c r="L1951" s="4" t="s">
        <v>55</v>
      </c>
      <c r="O1951" t="str">
        <f>"LIM-"&amp;G1950&amp;"-LIM   LA "&amp;E1950&amp;" ("&amp;LEFT(H1950,5)&amp;"-"&amp;LEFT(I1950,5)&amp;" hrs)  /  LA "&amp;E1951&amp;" ("&amp;LEFT(H1951,5)&amp;"-"&amp;LEFT(I1951,5)&amp;" hrs)"</f>
        <v>LIM-CJA-LIM   LA 2297 (15:15-16:35 hrs)  /  LA 2296 (17:20-18:25 hrs)</v>
      </c>
    </row>
    <row r="1952" spans="2:24" x14ac:dyDescent="0.25">
      <c r="J1952" s="7" t="s">
        <v>43</v>
      </c>
      <c r="K1952" s="8" t="str">
        <f>TEXT(TIMEVALUE(I1951)-TIMEVALUE(H1948)+(I1951&lt;H1948),"[h]:mm")</f>
        <v>8:05</v>
      </c>
    </row>
    <row r="1954" spans="2:24" ht="30" x14ac:dyDescent="0.25">
      <c r="B1954" s="3" t="s">
        <v>9</v>
      </c>
      <c r="C1954" s="3" t="s">
        <v>17</v>
      </c>
      <c r="D1954" s="3" t="s">
        <v>18</v>
      </c>
      <c r="E1954" s="3" t="s">
        <v>19</v>
      </c>
      <c r="F1954" s="3" t="s">
        <v>20</v>
      </c>
      <c r="G1954" s="3" t="s">
        <v>21</v>
      </c>
      <c r="H1954" s="3" t="s">
        <v>22</v>
      </c>
      <c r="I1954" s="3" t="s">
        <v>23</v>
      </c>
      <c r="J1954" s="3" t="s">
        <v>24</v>
      </c>
      <c r="K1954" s="3" t="s">
        <v>25</v>
      </c>
      <c r="L1954" s="3" t="s">
        <v>26</v>
      </c>
    </row>
    <row r="1955" spans="2:24" ht="30" x14ac:dyDescent="0.25">
      <c r="B1955" s="4">
        <v>1862</v>
      </c>
      <c r="C1955" s="4" t="s">
        <v>194</v>
      </c>
      <c r="D1955" s="4" t="s">
        <v>28</v>
      </c>
      <c r="E1955" s="4">
        <v>2019</v>
      </c>
      <c r="F1955" s="4" t="s">
        <v>29</v>
      </c>
      <c r="G1955" s="4" t="s">
        <v>63</v>
      </c>
      <c r="H1955" s="4" t="s">
        <v>64</v>
      </c>
      <c r="I1955" s="4" t="s">
        <v>65</v>
      </c>
      <c r="J1955" s="4">
        <v>320</v>
      </c>
      <c r="L1955" s="4" t="s">
        <v>66</v>
      </c>
      <c r="M1955" s="5"/>
      <c r="O1955" s="5"/>
      <c r="Q1955" s="4">
        <f>B1955</f>
        <v>1862</v>
      </c>
      <c r="R1955" s="4" t="str">
        <f>C1955</f>
        <v>22/10/2026</v>
      </c>
      <c r="S1955" s="4" t="str">
        <f>D1955</f>
        <v>jueves</v>
      </c>
      <c r="T1955" s="4" t="str">
        <f>E1955&amp;"/"&amp;E1956</f>
        <v>2019/2038</v>
      </c>
      <c r="U1955" s="4" t="str">
        <f>F1955&amp;"-"&amp;G1955&amp;"-"&amp;F1955</f>
        <v>LIM-IQT-LIM</v>
      </c>
      <c r="V1955" s="4" t="str">
        <f>IF($M$1955="","",$M$1955)</f>
        <v/>
      </c>
      <c r="W1955" s="4" t="str">
        <f>IF($O$1955="","",$O$1955)</f>
        <v/>
      </c>
      <c r="X1955" s="4">
        <f>J1955</f>
        <v>320</v>
      </c>
    </row>
    <row r="1956" spans="2:24" ht="30" x14ac:dyDescent="0.25">
      <c r="B1956" s="4">
        <v>1862</v>
      </c>
      <c r="C1956" s="4" t="s">
        <v>194</v>
      </c>
      <c r="D1956" s="4" t="s">
        <v>28</v>
      </c>
      <c r="E1956" s="4">
        <v>2038</v>
      </c>
      <c r="F1956" s="4" t="s">
        <v>63</v>
      </c>
      <c r="G1956" s="4" t="s">
        <v>29</v>
      </c>
      <c r="H1956" s="4" t="s">
        <v>67</v>
      </c>
      <c r="I1956" s="4" t="s">
        <v>41</v>
      </c>
      <c r="J1956" s="4">
        <v>320</v>
      </c>
      <c r="K1956" t="str">
        <f>TEXT(TIMEVALUE(H1956)-TIMEVALUE(I1955)+(TIMEVALUE(H1956)&lt;TIMEVALUE(I1955)),"[h]:mm")</f>
        <v>0:40</v>
      </c>
      <c r="L1956" s="4" t="s">
        <v>66</v>
      </c>
      <c r="O1956" t="str">
        <f>"LIM-"&amp;G1955&amp;"-LIM   LA "&amp;E1955&amp;" ("&amp;LEFT(H1955,5)&amp;"-"&amp;LEFT(I1955,5)&amp;" hrs)  /  LA "&amp;E1956&amp;" ("&amp;LEFT(H1956,5)&amp;"-"&amp;LEFT(I1956,5)&amp;" hrs)"</f>
        <v>LIM-IQT-LIM   LA 2019 (11:35-13:25 hrs)  /  LA 2038 (14:05-15:55 hrs)</v>
      </c>
    </row>
    <row r="1957" spans="2:24" ht="30" x14ac:dyDescent="0.25">
      <c r="B1957" s="4">
        <v>1898</v>
      </c>
      <c r="C1957" s="4" t="s">
        <v>194</v>
      </c>
      <c r="D1957" s="4" t="s">
        <v>28</v>
      </c>
      <c r="E1957" s="4">
        <v>2115</v>
      </c>
      <c r="F1957" s="4" t="s">
        <v>29</v>
      </c>
      <c r="G1957" s="4" t="s">
        <v>56</v>
      </c>
      <c r="H1957" s="4" t="s">
        <v>42</v>
      </c>
      <c r="I1957" s="4" t="s">
        <v>68</v>
      </c>
      <c r="J1957" s="4">
        <v>320</v>
      </c>
      <c r="K1957" s="6" t="str">
        <f>TEXT(TIMEVALUE(H1957)-TIMEVALUE(I1956)+(TIMEVALUE(H1957)&lt;TIMEVALUE(I1956)),"[h]:mm")</f>
        <v>1:20</v>
      </c>
      <c r="L1957" s="4" t="s">
        <v>40</v>
      </c>
      <c r="M1957" t="str">
        <f>IF($M$1955="","",$M$1955)</f>
        <v/>
      </c>
      <c r="O1957" t="str">
        <f>IF($O$1955="","",$O$1955)</f>
        <v/>
      </c>
      <c r="Q1957" s="4">
        <f>B1957</f>
        <v>1898</v>
      </c>
      <c r="R1957" s="4" t="str">
        <f>C1957</f>
        <v>22/10/2026</v>
      </c>
      <c r="S1957" s="4" t="str">
        <f>D1957</f>
        <v>jueves</v>
      </c>
      <c r="T1957" s="4" t="str">
        <f>E1957&amp;"/"&amp;E1958</f>
        <v>2115/2114</v>
      </c>
      <c r="U1957" s="4" t="str">
        <f>F1957&amp;"-"&amp;G1957&amp;"-"&amp;F1957</f>
        <v>LIM-AQP-LIM</v>
      </c>
      <c r="V1957" s="4" t="str">
        <f>IF($M$1955="","",$M$1955)</f>
        <v/>
      </c>
      <c r="W1957" s="4" t="str">
        <f>IF($O$1955="","",$O$1955)</f>
        <v/>
      </c>
      <c r="X1957" s="4">
        <f>J1957</f>
        <v>320</v>
      </c>
    </row>
    <row r="1958" spans="2:24" ht="30" x14ac:dyDescent="0.25">
      <c r="B1958" s="4">
        <v>1898</v>
      </c>
      <c r="C1958" s="4" t="s">
        <v>194</v>
      </c>
      <c r="D1958" s="4" t="s">
        <v>28</v>
      </c>
      <c r="E1958" s="4">
        <v>2114</v>
      </c>
      <c r="F1958" s="4" t="s">
        <v>56</v>
      </c>
      <c r="G1958" s="4" t="s">
        <v>29</v>
      </c>
      <c r="H1958" s="4" t="s">
        <v>69</v>
      </c>
      <c r="I1958" s="4" t="s">
        <v>70</v>
      </c>
      <c r="J1958" s="4">
        <v>320</v>
      </c>
      <c r="K1958" t="str">
        <f>TEXT(TIMEVALUE(H1958)-TIMEVALUE(I1957)+(TIMEVALUE(H1958)&lt;TIMEVALUE(I1957)),"[h]:mm")</f>
        <v>0:35</v>
      </c>
      <c r="L1958" s="4" t="s">
        <v>71</v>
      </c>
      <c r="O1958" t="str">
        <f>"LIM-"&amp;G1957&amp;"-LIM   LA "&amp;E1957&amp;" ("&amp;LEFT(H1957,5)&amp;"-"&amp;LEFT(I1957,5)&amp;" hrs)  /  LA "&amp;E1958&amp;" ("&amp;LEFT(H1958,5)&amp;"-"&amp;LEFT(I1958,5)&amp;" hrs)"</f>
        <v>LIM-AQP-LIM   LA 2115 (17:15-18:45 hrs)  /  LA 2114 (19:20-21:00 hrs)</v>
      </c>
    </row>
    <row r="1959" spans="2:24" x14ac:dyDescent="0.25">
      <c r="J1959" s="7" t="s">
        <v>43</v>
      </c>
      <c r="K1959" s="8" t="str">
        <f>TEXT(TIMEVALUE(I1958)-TIMEVALUE(H1955)+(I1958&lt;H1955),"[h]:mm")</f>
        <v>9:25</v>
      </c>
    </row>
    <row r="1961" spans="2:24" ht="30" x14ac:dyDescent="0.25">
      <c r="B1961" s="3" t="s">
        <v>9</v>
      </c>
      <c r="C1961" s="3" t="s">
        <v>17</v>
      </c>
      <c r="D1961" s="3" t="s">
        <v>18</v>
      </c>
      <c r="E1961" s="3" t="s">
        <v>19</v>
      </c>
      <c r="F1961" s="3" t="s">
        <v>20</v>
      </c>
      <c r="G1961" s="3" t="s">
        <v>21</v>
      </c>
      <c r="H1961" s="3" t="s">
        <v>22</v>
      </c>
      <c r="I1961" s="3" t="s">
        <v>23</v>
      </c>
      <c r="J1961" s="3" t="s">
        <v>24</v>
      </c>
      <c r="K1961" s="3" t="s">
        <v>25</v>
      </c>
      <c r="L1961" s="3" t="s">
        <v>26</v>
      </c>
    </row>
    <row r="1962" spans="2:24" ht="30" x14ac:dyDescent="0.25">
      <c r="B1962" s="4">
        <v>1863</v>
      </c>
      <c r="C1962" s="4" t="s">
        <v>194</v>
      </c>
      <c r="D1962" s="4" t="s">
        <v>28</v>
      </c>
      <c r="E1962" s="4">
        <v>2299</v>
      </c>
      <c r="F1962" s="4" t="s">
        <v>29</v>
      </c>
      <c r="G1962" s="4" t="s">
        <v>50</v>
      </c>
      <c r="H1962" s="4" t="s">
        <v>64</v>
      </c>
      <c r="I1962" s="4" t="s">
        <v>35</v>
      </c>
      <c r="J1962" s="4">
        <v>320</v>
      </c>
      <c r="L1962" s="4" t="s">
        <v>33</v>
      </c>
      <c r="M1962" s="5"/>
      <c r="O1962" s="5"/>
      <c r="Q1962" s="4">
        <f>B1962</f>
        <v>1863</v>
      </c>
      <c r="R1962" s="4" t="str">
        <f>C1962</f>
        <v>22/10/2026</v>
      </c>
      <c r="S1962" s="4" t="str">
        <f>D1962</f>
        <v>jueves</v>
      </c>
      <c r="T1962" s="4" t="str">
        <f>E1962&amp;"/"&amp;E1963</f>
        <v>2299/2298</v>
      </c>
      <c r="U1962" s="4" t="str">
        <f>F1962&amp;"-"&amp;G1962&amp;"-"&amp;F1962</f>
        <v>LIM-CJA-LIM</v>
      </c>
      <c r="V1962" s="4" t="str">
        <f>IF($M$1962="","",$M$1962)</f>
        <v/>
      </c>
      <c r="W1962" s="4" t="str">
        <f>IF($O$1962="","",$O$1962)</f>
        <v/>
      </c>
      <c r="X1962" s="4">
        <f>J1962</f>
        <v>320</v>
      </c>
    </row>
    <row r="1963" spans="2:24" ht="30" x14ac:dyDescent="0.25">
      <c r="B1963" s="4">
        <v>1863</v>
      </c>
      <c r="C1963" s="4" t="s">
        <v>194</v>
      </c>
      <c r="D1963" s="4" t="s">
        <v>28</v>
      </c>
      <c r="E1963" s="4">
        <v>2298</v>
      </c>
      <c r="F1963" s="4" t="s">
        <v>50</v>
      </c>
      <c r="G1963" s="4" t="s">
        <v>29</v>
      </c>
      <c r="H1963" s="4" t="s">
        <v>72</v>
      </c>
      <c r="I1963" s="4" t="s">
        <v>73</v>
      </c>
      <c r="J1963" s="4">
        <v>320</v>
      </c>
      <c r="K1963" t="str">
        <f>TEXT(TIMEVALUE(H1963)-TIMEVALUE(I1962)+(TIMEVALUE(H1963)&lt;TIMEVALUE(I1962)),"[h]:mm")</f>
        <v>0:45</v>
      </c>
      <c r="L1963" s="4" t="s">
        <v>74</v>
      </c>
      <c r="O1963" t="str">
        <f>"LIM-"&amp;G1962&amp;"-LIM   LA "&amp;E1962&amp;" ("&amp;LEFT(H1962,5)&amp;"-"&amp;LEFT(I1962,5)&amp;" hrs)  /  LA "&amp;E1963&amp;" ("&amp;LEFT(H1963,5)&amp;"-"&amp;LEFT(I1963,5)&amp;" hrs)"</f>
        <v>LIM-CJA-LIM   LA 2299 (11:35-12:55 hrs)  /  LA 2298 (13:40-14:50 hrs)</v>
      </c>
    </row>
    <row r="1964" spans="2:24" x14ac:dyDescent="0.25">
      <c r="J1964" s="7" t="s">
        <v>43</v>
      </c>
      <c r="K1964" s="8" t="str">
        <f>TEXT(TIMEVALUE(I1963)-TIMEVALUE(H1962)+(I1963&lt;H1962),"[h]:mm")</f>
        <v>3:15</v>
      </c>
    </row>
    <row r="1966" spans="2:24" ht="30" x14ac:dyDescent="0.25">
      <c r="B1966" s="3" t="s">
        <v>9</v>
      </c>
      <c r="C1966" s="3" t="s">
        <v>17</v>
      </c>
      <c r="D1966" s="3" t="s">
        <v>18</v>
      </c>
      <c r="E1966" s="3" t="s">
        <v>19</v>
      </c>
      <c r="F1966" s="3" t="s">
        <v>20</v>
      </c>
      <c r="G1966" s="3" t="s">
        <v>21</v>
      </c>
      <c r="H1966" s="3" t="s">
        <v>22</v>
      </c>
      <c r="I1966" s="3" t="s">
        <v>23</v>
      </c>
      <c r="J1966" s="3" t="s">
        <v>24</v>
      </c>
      <c r="K1966" s="3" t="s">
        <v>25</v>
      </c>
      <c r="L1966" s="3" t="s">
        <v>26</v>
      </c>
    </row>
    <row r="1967" spans="2:24" ht="30" x14ac:dyDescent="0.25">
      <c r="B1967" s="4">
        <v>1865</v>
      </c>
      <c r="C1967" s="4" t="s">
        <v>194</v>
      </c>
      <c r="D1967" s="4" t="s">
        <v>28</v>
      </c>
      <c r="E1967" s="4">
        <v>2061</v>
      </c>
      <c r="F1967" s="4" t="s">
        <v>29</v>
      </c>
      <c r="G1967" s="4" t="s">
        <v>30</v>
      </c>
      <c r="H1967" s="4" t="s">
        <v>103</v>
      </c>
      <c r="I1967" s="4" t="s">
        <v>120</v>
      </c>
      <c r="J1967" s="4">
        <v>320</v>
      </c>
      <c r="L1967" s="4" t="s">
        <v>33</v>
      </c>
      <c r="M1967" s="5"/>
      <c r="O1967" s="5"/>
      <c r="Q1967" s="4">
        <f>B1967</f>
        <v>1865</v>
      </c>
      <c r="R1967" s="4" t="str">
        <f>C1967</f>
        <v>22/10/2026</v>
      </c>
      <c r="S1967" s="4" t="str">
        <f>D1967</f>
        <v>jueves</v>
      </c>
      <c r="T1967" s="4" t="str">
        <f>E1967&amp;"/"&amp;E1968</f>
        <v>2061/2062</v>
      </c>
      <c r="U1967" s="4" t="str">
        <f>F1967&amp;"-"&amp;G1967&amp;"-"&amp;F1967</f>
        <v>LIM-CUZ-LIM</v>
      </c>
      <c r="V1967" s="4" t="str">
        <f>IF($M$1967="","",$M$1967)</f>
        <v/>
      </c>
      <c r="W1967" s="4" t="str">
        <f>IF($O$1967="","",$O$1967)</f>
        <v/>
      </c>
      <c r="X1967" s="4">
        <f>J1967</f>
        <v>320</v>
      </c>
    </row>
    <row r="1968" spans="2:24" ht="30" x14ac:dyDescent="0.25">
      <c r="B1968" s="4">
        <v>1865</v>
      </c>
      <c r="C1968" s="4" t="s">
        <v>194</v>
      </c>
      <c r="D1968" s="4" t="s">
        <v>28</v>
      </c>
      <c r="E1968" s="4">
        <v>2062</v>
      </c>
      <c r="F1968" s="4" t="s">
        <v>30</v>
      </c>
      <c r="G1968" s="4" t="s">
        <v>29</v>
      </c>
      <c r="H1968" s="4" t="s">
        <v>72</v>
      </c>
      <c r="I1968" s="4" t="s">
        <v>51</v>
      </c>
      <c r="J1968" s="4">
        <v>320</v>
      </c>
      <c r="K1968" t="str">
        <f>TEXT(TIMEVALUE(H1968)-TIMEVALUE(I1967)+(TIMEVALUE(H1968)&lt;TIMEVALUE(I1967)),"[h]:mm")</f>
        <v>0:40</v>
      </c>
      <c r="L1968" s="4" t="s">
        <v>36</v>
      </c>
      <c r="O1968" t="str">
        <f>"LIM-"&amp;G1967&amp;"-LIM   LA "&amp;E1967&amp;" ("&amp;LEFT(H1967,5)&amp;"-"&amp;LEFT(I1967,5)&amp;" hrs)  /  LA "&amp;E1968&amp;" ("&amp;LEFT(H1968,5)&amp;"-"&amp;LEFT(I1968,5)&amp;" hrs)"</f>
        <v>LIM-CUZ-LIM   LA 2061 (11:40-13:00 hrs)  /  LA 2062 (13:40-15:15 hrs)</v>
      </c>
    </row>
    <row r="1969" spans="2:24" x14ac:dyDescent="0.25">
      <c r="J1969" s="7" t="s">
        <v>43</v>
      </c>
      <c r="K1969" s="8" t="str">
        <f>TEXT(TIMEVALUE(I1968)-TIMEVALUE(H1967)+(I1968&lt;H1967),"[h]:mm")</f>
        <v>3:35</v>
      </c>
    </row>
    <row r="1971" spans="2:24" ht="30" x14ac:dyDescent="0.25">
      <c r="B1971" s="3" t="s">
        <v>9</v>
      </c>
      <c r="C1971" s="3" t="s">
        <v>17</v>
      </c>
      <c r="D1971" s="3" t="s">
        <v>18</v>
      </c>
      <c r="E1971" s="3" t="s">
        <v>19</v>
      </c>
      <c r="F1971" s="3" t="s">
        <v>20</v>
      </c>
      <c r="G1971" s="3" t="s">
        <v>21</v>
      </c>
      <c r="H1971" s="3" t="s">
        <v>22</v>
      </c>
      <c r="I1971" s="3" t="s">
        <v>23</v>
      </c>
      <c r="J1971" s="3" t="s">
        <v>24</v>
      </c>
      <c r="K1971" s="3" t="s">
        <v>25</v>
      </c>
      <c r="L1971" s="3" t="s">
        <v>26</v>
      </c>
    </row>
    <row r="1972" spans="2:24" ht="30" x14ac:dyDescent="0.25">
      <c r="B1972" s="4">
        <v>1870</v>
      </c>
      <c r="C1972" s="4" t="s">
        <v>194</v>
      </c>
      <c r="D1972" s="4" t="s">
        <v>28</v>
      </c>
      <c r="E1972" s="4">
        <v>2120</v>
      </c>
      <c r="F1972" s="4" t="s">
        <v>29</v>
      </c>
      <c r="G1972" s="4" t="s">
        <v>30</v>
      </c>
      <c r="H1972" s="4" t="s">
        <v>123</v>
      </c>
      <c r="I1972" s="4" t="s">
        <v>82</v>
      </c>
      <c r="J1972" s="4">
        <v>320</v>
      </c>
      <c r="L1972" s="4" t="s">
        <v>33</v>
      </c>
      <c r="M1972" s="5"/>
      <c r="O1972" s="5"/>
      <c r="Q1972" s="4">
        <f>B1972</f>
        <v>1870</v>
      </c>
      <c r="R1972" s="4" t="str">
        <f>C1972</f>
        <v>22/10/2026</v>
      </c>
      <c r="S1972" s="4" t="str">
        <f>D1972</f>
        <v>jueves</v>
      </c>
      <c r="T1972" s="4" t="str">
        <f>E1972&amp;"/"&amp;E1973</f>
        <v>2120/2121</v>
      </c>
      <c r="U1972" s="4" t="str">
        <f>F1972&amp;"-"&amp;G1972&amp;"-"&amp;F1972</f>
        <v>LIM-CUZ-LIM</v>
      </c>
      <c r="V1972" s="4" t="str">
        <f>IF($M$1972="","",$M$1972)</f>
        <v/>
      </c>
      <c r="W1972" s="4" t="str">
        <f>IF($O$1972="","",$O$1972)</f>
        <v/>
      </c>
      <c r="X1972" s="4">
        <f>J1972</f>
        <v>320</v>
      </c>
    </row>
    <row r="1973" spans="2:24" ht="30" x14ac:dyDescent="0.25">
      <c r="B1973" s="4">
        <v>1870</v>
      </c>
      <c r="C1973" s="4" t="s">
        <v>194</v>
      </c>
      <c r="D1973" s="4" t="s">
        <v>28</v>
      </c>
      <c r="E1973" s="4">
        <v>2121</v>
      </c>
      <c r="F1973" s="4" t="s">
        <v>30</v>
      </c>
      <c r="G1973" s="4" t="s">
        <v>29</v>
      </c>
      <c r="H1973" s="4" t="s">
        <v>124</v>
      </c>
      <c r="I1973" s="4" t="s">
        <v>90</v>
      </c>
      <c r="J1973" s="4">
        <v>320</v>
      </c>
      <c r="K1973" t="str">
        <f>TEXT(TIMEVALUE(H1973)-TIMEVALUE(I1972)+(TIMEVALUE(H1973)&lt;TIMEVALUE(I1972)),"[h]:mm")</f>
        <v>3:40</v>
      </c>
      <c r="L1973" s="4" t="s">
        <v>36</v>
      </c>
      <c r="O1973" t="str">
        <f>"LIM-"&amp;G1972&amp;"-LIM   LA "&amp;E1972&amp;" ("&amp;LEFT(H1972,5)&amp;"-"&amp;LEFT(I1972,5)&amp;" hrs)  /  LA "&amp;E1973&amp;" ("&amp;LEFT(H1973,5)&amp;"-"&amp;LEFT(I1973,5)&amp;" hrs)"</f>
        <v>LIM-CUZ-LIM   LA 2120 (12:35-13:55 hrs)  /  LA 2121 (17:35-19:10 hrs)</v>
      </c>
    </row>
    <row r="1974" spans="2:24" x14ac:dyDescent="0.25">
      <c r="J1974" s="7" t="s">
        <v>43</v>
      </c>
      <c r="K1974" s="8" t="str">
        <f>TEXT(TIMEVALUE(I1973)-TIMEVALUE(H1972)+(I1973&lt;H1972),"[h]:mm")</f>
        <v>6:35</v>
      </c>
    </row>
    <row r="1976" spans="2:24" ht="30" x14ac:dyDescent="0.25">
      <c r="B1976" s="3" t="s">
        <v>9</v>
      </c>
      <c r="C1976" s="3" t="s">
        <v>17</v>
      </c>
      <c r="D1976" s="3" t="s">
        <v>18</v>
      </c>
      <c r="E1976" s="3" t="s">
        <v>19</v>
      </c>
      <c r="F1976" s="3" t="s">
        <v>20</v>
      </c>
      <c r="G1976" s="3" t="s">
        <v>21</v>
      </c>
      <c r="H1976" s="3" t="s">
        <v>22</v>
      </c>
      <c r="I1976" s="3" t="s">
        <v>23</v>
      </c>
      <c r="J1976" s="3" t="s">
        <v>24</v>
      </c>
      <c r="K1976" s="3" t="s">
        <v>25</v>
      </c>
      <c r="L1976" s="3" t="s">
        <v>26</v>
      </c>
    </row>
    <row r="1977" spans="2:24" ht="30" x14ac:dyDescent="0.25">
      <c r="B1977" s="4">
        <v>1872</v>
      </c>
      <c r="C1977" s="4" t="s">
        <v>194</v>
      </c>
      <c r="D1977" s="4" t="s">
        <v>28</v>
      </c>
      <c r="E1977" s="4">
        <v>2308</v>
      </c>
      <c r="F1977" s="4" t="s">
        <v>29</v>
      </c>
      <c r="G1977" s="4" t="s">
        <v>125</v>
      </c>
      <c r="H1977" s="4" t="s">
        <v>144</v>
      </c>
      <c r="I1977" s="4" t="s">
        <v>145</v>
      </c>
      <c r="J1977" s="4">
        <v>320</v>
      </c>
      <c r="L1977" s="4" t="s">
        <v>47</v>
      </c>
      <c r="M1977" s="5"/>
      <c r="O1977" s="5"/>
      <c r="Q1977" s="4">
        <f>B1977</f>
        <v>1872</v>
      </c>
      <c r="R1977" s="4" t="str">
        <f>C1977</f>
        <v>22/10/2026</v>
      </c>
      <c r="S1977" s="4" t="str">
        <f>D1977</f>
        <v>jueves</v>
      </c>
      <c r="T1977" s="4" t="str">
        <f>E1977&amp;"/"&amp;E1978</f>
        <v>2308/2309</v>
      </c>
      <c r="U1977" s="4" t="str">
        <f>F1977&amp;"-"&amp;G1977&amp;"-"&amp;F1977</f>
        <v>LIM-PIU-LIM</v>
      </c>
      <c r="V1977" s="4" t="str">
        <f>IF($M$1977="","",$M$1977)</f>
        <v/>
      </c>
      <c r="W1977" s="4" t="str">
        <f>IF($O$1977="","",$O$1977)</f>
        <v/>
      </c>
      <c r="X1977" s="4">
        <f>J1977</f>
        <v>320</v>
      </c>
    </row>
    <row r="1978" spans="2:24" ht="30" x14ac:dyDescent="0.25">
      <c r="B1978" s="4">
        <v>1872</v>
      </c>
      <c r="C1978" s="4" t="s">
        <v>194</v>
      </c>
      <c r="D1978" s="4" t="s">
        <v>28</v>
      </c>
      <c r="E1978" s="4">
        <v>2309</v>
      </c>
      <c r="F1978" s="4" t="s">
        <v>125</v>
      </c>
      <c r="G1978" s="4" t="s">
        <v>29</v>
      </c>
      <c r="H1978" s="4" t="s">
        <v>146</v>
      </c>
      <c r="I1978" s="4" t="s">
        <v>60</v>
      </c>
      <c r="J1978" s="4">
        <v>320</v>
      </c>
      <c r="K1978" t="str">
        <f>TEXT(TIMEVALUE(H1978)-TIMEVALUE(I1977)+(TIMEVALUE(H1978)&lt;TIMEVALUE(I1977)),"[h]:mm")</f>
        <v>0:35</v>
      </c>
      <c r="L1978" s="4" t="s">
        <v>40</v>
      </c>
      <c r="O1978" t="str">
        <f>"LIM-"&amp;G1977&amp;"-LIM   LA "&amp;E1977&amp;" ("&amp;LEFT(H1977,5)&amp;"-"&amp;LEFT(I1977,5)&amp;" hrs)  /  LA "&amp;E1978&amp;" ("&amp;LEFT(H1978,5)&amp;"-"&amp;LEFT(I1978,5)&amp;" hrs)"</f>
        <v>LIM-PIU-LIM   LA 2308 (12:50-14:35 hrs)  /  LA 2309 (15:10-16:40 hrs)</v>
      </c>
    </row>
    <row r="1979" spans="2:24" x14ac:dyDescent="0.25">
      <c r="J1979" s="7" t="s">
        <v>43</v>
      </c>
      <c r="K1979" s="8" t="str">
        <f>TEXT(TIMEVALUE(I1978)-TIMEVALUE(H1977)+(I1978&lt;H1977),"[h]:mm")</f>
        <v>3:50</v>
      </c>
    </row>
    <row r="1981" spans="2:24" ht="30" x14ac:dyDescent="0.25">
      <c r="B1981" s="3" t="s">
        <v>9</v>
      </c>
      <c r="C1981" s="3" t="s">
        <v>17</v>
      </c>
      <c r="D1981" s="3" t="s">
        <v>18</v>
      </c>
      <c r="E1981" s="3" t="s">
        <v>19</v>
      </c>
      <c r="F1981" s="3" t="s">
        <v>20</v>
      </c>
      <c r="G1981" s="3" t="s">
        <v>21</v>
      </c>
      <c r="H1981" s="3" t="s">
        <v>22</v>
      </c>
      <c r="I1981" s="3" t="s">
        <v>23</v>
      </c>
      <c r="J1981" s="3" t="s">
        <v>24</v>
      </c>
      <c r="K1981" s="3" t="s">
        <v>25</v>
      </c>
      <c r="L1981" s="3" t="s">
        <v>26</v>
      </c>
    </row>
    <row r="1982" spans="2:24" ht="30" x14ac:dyDescent="0.25">
      <c r="B1982" s="4">
        <v>1878</v>
      </c>
      <c r="C1982" s="4" t="s">
        <v>194</v>
      </c>
      <c r="D1982" s="4" t="s">
        <v>28</v>
      </c>
      <c r="E1982" s="4">
        <v>2152</v>
      </c>
      <c r="F1982" s="4" t="s">
        <v>29</v>
      </c>
      <c r="G1982" s="4" t="s">
        <v>37</v>
      </c>
      <c r="H1982" s="4" t="s">
        <v>38</v>
      </c>
      <c r="I1982" s="4" t="s">
        <v>39</v>
      </c>
      <c r="J1982" s="4">
        <v>320</v>
      </c>
      <c r="L1982" s="4" t="s">
        <v>40</v>
      </c>
      <c r="M1982" s="5"/>
      <c r="O1982" s="5"/>
      <c r="Q1982" s="4">
        <f>B1982</f>
        <v>1878</v>
      </c>
      <c r="R1982" s="4" t="str">
        <f>C1982</f>
        <v>22/10/2026</v>
      </c>
      <c r="S1982" s="4" t="str">
        <f>D1982</f>
        <v>jueves</v>
      </c>
      <c r="T1982" s="4" t="str">
        <f>E1982&amp;"/"&amp;E1983</f>
        <v>2152/2153</v>
      </c>
      <c r="U1982" s="4" t="str">
        <f>F1982&amp;"-"&amp;G1982&amp;"-"&amp;F1982</f>
        <v>LIM-CIX-LIM</v>
      </c>
      <c r="V1982" s="4" t="str">
        <f>IF($M$1982="","",$M$1982)</f>
        <v/>
      </c>
      <c r="W1982" s="4" t="str">
        <f>IF($O$1982="","",$O$1982)</f>
        <v/>
      </c>
      <c r="X1982" s="4">
        <f>J1982</f>
        <v>320</v>
      </c>
    </row>
    <row r="1983" spans="2:24" ht="30" x14ac:dyDescent="0.25">
      <c r="B1983" s="4">
        <v>1878</v>
      </c>
      <c r="C1983" s="4" t="s">
        <v>194</v>
      </c>
      <c r="D1983" s="4" t="s">
        <v>28</v>
      </c>
      <c r="E1983" s="4">
        <v>2153</v>
      </c>
      <c r="F1983" s="4" t="s">
        <v>37</v>
      </c>
      <c r="G1983" s="4" t="s">
        <v>29</v>
      </c>
      <c r="H1983" s="4" t="s">
        <v>41</v>
      </c>
      <c r="I1983" s="4" t="s">
        <v>42</v>
      </c>
      <c r="J1983" s="4">
        <v>320</v>
      </c>
      <c r="K1983" t="str">
        <f>TEXT(TIMEVALUE(H1983)-TIMEVALUE(I1982)+(TIMEVALUE(H1983)&lt;TIMEVALUE(I1982)),"[h]:mm")</f>
        <v>0:35</v>
      </c>
      <c r="L1983" s="4" t="s">
        <v>33</v>
      </c>
      <c r="O1983" t="str">
        <f>"LIM-"&amp;G1982&amp;"-LIM   LA "&amp;E1982&amp;" ("&amp;LEFT(H1982,5)&amp;"-"&amp;LEFT(I1982,5)&amp;" hrs)  /  LA "&amp;E1983&amp;" ("&amp;LEFT(H1983,5)&amp;"-"&amp;LEFT(I1983,5)&amp;" hrs)"</f>
        <v>LIM-CIX-LIM   LA 2152 (13:50-15:20 hrs)  /  LA 2153 (15:55-17:15 hrs)</v>
      </c>
    </row>
    <row r="1984" spans="2:24" ht="30" x14ac:dyDescent="0.25">
      <c r="B1984" s="4">
        <v>1900</v>
      </c>
      <c r="C1984" s="4" t="s">
        <v>194</v>
      </c>
      <c r="D1984" s="4" t="s">
        <v>28</v>
      </c>
      <c r="E1984" s="4">
        <v>2117</v>
      </c>
      <c r="F1984" s="4" t="s">
        <v>29</v>
      </c>
      <c r="G1984" s="4" t="s">
        <v>56</v>
      </c>
      <c r="H1984" s="4" t="s">
        <v>62</v>
      </c>
      <c r="I1984" s="4" t="s">
        <v>151</v>
      </c>
      <c r="J1984" s="4">
        <v>320</v>
      </c>
      <c r="K1984" s="6" t="str">
        <f>TEXT(TIMEVALUE(H1984)-TIMEVALUE(I1983)+(TIMEVALUE(H1984)&lt;TIMEVALUE(I1983)),"[h]:mm")</f>
        <v>1:20</v>
      </c>
      <c r="L1984" s="4" t="s">
        <v>40</v>
      </c>
      <c r="M1984" t="str">
        <f>IF($M$1982="","",$M$1982)</f>
        <v/>
      </c>
      <c r="O1984" t="str">
        <f>IF($O$1982="","",$O$1982)</f>
        <v/>
      </c>
      <c r="Q1984" s="4">
        <f>B1984</f>
        <v>1900</v>
      </c>
      <c r="R1984" s="4" t="str">
        <f>C1984</f>
        <v>22/10/2026</v>
      </c>
      <c r="S1984" s="4" t="str">
        <f>D1984</f>
        <v>jueves</v>
      </c>
      <c r="T1984" s="4" t="str">
        <f>E1984&amp;"/"&amp;E1985</f>
        <v>2117/2116</v>
      </c>
      <c r="U1984" s="4" t="str">
        <f>F1984&amp;"-"&amp;G1984&amp;"-"&amp;F1984</f>
        <v>LIM-AQP-LIM</v>
      </c>
      <c r="V1984" s="4" t="str">
        <f>IF($M$1982="","",$M$1982)</f>
        <v/>
      </c>
      <c r="W1984" s="4" t="str">
        <f>IF($O$1982="","",$O$1982)</f>
        <v/>
      </c>
      <c r="X1984" s="4">
        <f>J1984</f>
        <v>320</v>
      </c>
    </row>
    <row r="1985" spans="2:24" ht="30" x14ac:dyDescent="0.25">
      <c r="B1985" s="4">
        <v>1900</v>
      </c>
      <c r="C1985" s="4" t="s">
        <v>194</v>
      </c>
      <c r="D1985" s="4" t="s">
        <v>28</v>
      </c>
      <c r="E1985" s="4">
        <v>2116</v>
      </c>
      <c r="F1985" s="4" t="s">
        <v>56</v>
      </c>
      <c r="G1985" s="4" t="s">
        <v>29</v>
      </c>
      <c r="H1985" s="4" t="s">
        <v>129</v>
      </c>
      <c r="I1985" s="4" t="s">
        <v>152</v>
      </c>
      <c r="J1985" s="4">
        <v>320</v>
      </c>
      <c r="K1985" t="str">
        <f>TEXT(TIMEVALUE(H1985)-TIMEVALUE(I1984)+(TIMEVALUE(H1985)&lt;TIMEVALUE(I1984)),"[h]:mm")</f>
        <v>0:35</v>
      </c>
      <c r="L1985" s="4" t="s">
        <v>71</v>
      </c>
      <c r="O1985" t="str">
        <f>"LIM-"&amp;G1984&amp;"-LIM   LA "&amp;E1984&amp;" ("&amp;LEFT(H1984,5)&amp;"-"&amp;LEFT(I1984,5)&amp;" hrs)  /  LA "&amp;E1985&amp;" ("&amp;LEFT(H1985,5)&amp;"-"&amp;LEFT(I1985,5)&amp;" hrs)"</f>
        <v>LIM-AQP-LIM   LA 2117 (18:35-20:05 hrs)  /  LA 2116 (20:40-22:20 hrs)</v>
      </c>
    </row>
    <row r="1986" spans="2:24" x14ac:dyDescent="0.25">
      <c r="J1986" s="7" t="s">
        <v>43</v>
      </c>
      <c r="K1986" s="8" t="str">
        <f>TEXT(TIMEVALUE(I1985)-TIMEVALUE(H1982)+(I1985&lt;H1982),"[h]:mm")</f>
        <v>8:30</v>
      </c>
    </row>
    <row r="1988" spans="2:24" ht="30" x14ac:dyDescent="0.25">
      <c r="B1988" s="3" t="s">
        <v>9</v>
      </c>
      <c r="C1988" s="3" t="s">
        <v>17</v>
      </c>
      <c r="D1988" s="3" t="s">
        <v>18</v>
      </c>
      <c r="E1988" s="3" t="s">
        <v>19</v>
      </c>
      <c r="F1988" s="3" t="s">
        <v>20</v>
      </c>
      <c r="G1988" s="3" t="s">
        <v>21</v>
      </c>
      <c r="H1988" s="3" t="s">
        <v>22</v>
      </c>
      <c r="I1988" s="3" t="s">
        <v>23</v>
      </c>
      <c r="J1988" s="3" t="s">
        <v>24</v>
      </c>
      <c r="K1988" s="3" t="s">
        <v>25</v>
      </c>
      <c r="L1988" s="3" t="s">
        <v>26</v>
      </c>
    </row>
    <row r="1989" spans="2:24" ht="30" x14ac:dyDescent="0.25">
      <c r="B1989" s="4">
        <v>1879</v>
      </c>
      <c r="C1989" s="4" t="s">
        <v>194</v>
      </c>
      <c r="D1989" s="4" t="s">
        <v>28</v>
      </c>
      <c r="E1989" s="4">
        <v>2055</v>
      </c>
      <c r="F1989" s="4" t="s">
        <v>29</v>
      </c>
      <c r="G1989" s="4" t="s">
        <v>56</v>
      </c>
      <c r="H1989" s="4" t="s">
        <v>82</v>
      </c>
      <c r="I1989" s="4" t="s">
        <v>59</v>
      </c>
      <c r="J1989" s="4">
        <v>320</v>
      </c>
      <c r="L1989" s="4" t="s">
        <v>40</v>
      </c>
      <c r="M1989" s="5"/>
      <c r="O1989" s="5"/>
      <c r="Q1989" s="4">
        <f>B1989</f>
        <v>1879</v>
      </c>
      <c r="R1989" s="4" t="str">
        <f>C1989</f>
        <v>22/10/2026</v>
      </c>
      <c r="S1989" s="4" t="str">
        <f>D1989</f>
        <v>jueves</v>
      </c>
      <c r="T1989" s="4" t="str">
        <f>E1989&amp;"/"&amp;E1990</f>
        <v>2055/2056</v>
      </c>
      <c r="U1989" s="4" t="str">
        <f>F1989&amp;"-"&amp;G1989&amp;"-"&amp;F1989</f>
        <v>LIM-AQP-LIM</v>
      </c>
      <c r="V1989" s="4" t="str">
        <f>IF($M$1989="","",$M$1989)</f>
        <v/>
      </c>
      <c r="W1989" s="4" t="str">
        <f>IF($O$1989="","",$O$1989)</f>
        <v/>
      </c>
      <c r="X1989" s="4">
        <f>J1989</f>
        <v>320</v>
      </c>
    </row>
    <row r="1990" spans="2:24" ht="30" x14ac:dyDescent="0.25">
      <c r="B1990" s="4">
        <v>1879</v>
      </c>
      <c r="C1990" s="4" t="s">
        <v>194</v>
      </c>
      <c r="D1990" s="4" t="s">
        <v>28</v>
      </c>
      <c r="E1990" s="4">
        <v>2056</v>
      </c>
      <c r="F1990" s="4" t="s">
        <v>56</v>
      </c>
      <c r="G1990" s="4" t="s">
        <v>29</v>
      </c>
      <c r="H1990" s="4" t="s">
        <v>83</v>
      </c>
      <c r="I1990" s="4" t="s">
        <v>84</v>
      </c>
      <c r="J1990" s="4">
        <v>320</v>
      </c>
      <c r="K1990" t="str">
        <f>TEXT(TIMEVALUE(H1990)-TIMEVALUE(I1989)+(TIMEVALUE(H1990)&lt;TIMEVALUE(I1989)),"[h]:mm")</f>
        <v>0:45</v>
      </c>
      <c r="L1990" s="4" t="s">
        <v>71</v>
      </c>
      <c r="O1990" t="str">
        <f>"LIM-"&amp;G1989&amp;"-LIM   LA "&amp;E1989&amp;" ("&amp;LEFT(H1989,5)&amp;"-"&amp;LEFT(I1989,5)&amp;" hrs)  /  LA "&amp;E1990&amp;" ("&amp;LEFT(H1990,5)&amp;"-"&amp;LEFT(I1990,5)&amp;" hrs)"</f>
        <v>LIM-AQP-LIM   LA 2055 (13:55-15:25 hrs)  /  LA 2056 (16:10-17:50 hrs)</v>
      </c>
    </row>
    <row r="1991" spans="2:24" x14ac:dyDescent="0.25">
      <c r="J1991" s="7" t="s">
        <v>43</v>
      </c>
      <c r="K1991" s="8" t="str">
        <f>TEXT(TIMEVALUE(I1990)-TIMEVALUE(H1989)+(I1990&lt;H1989),"[h]:mm")</f>
        <v>3:55</v>
      </c>
    </row>
    <row r="1993" spans="2:24" ht="30" x14ac:dyDescent="0.25">
      <c r="B1993" s="3" t="s">
        <v>9</v>
      </c>
      <c r="C1993" s="3" t="s">
        <v>17</v>
      </c>
      <c r="D1993" s="3" t="s">
        <v>18</v>
      </c>
      <c r="E1993" s="3" t="s">
        <v>19</v>
      </c>
      <c r="F1993" s="3" t="s">
        <v>20</v>
      </c>
      <c r="G1993" s="3" t="s">
        <v>21</v>
      </c>
      <c r="H1993" s="3" t="s">
        <v>22</v>
      </c>
      <c r="I1993" s="3" t="s">
        <v>23</v>
      </c>
      <c r="J1993" s="3" t="s">
        <v>24</v>
      </c>
      <c r="K1993" s="3" t="s">
        <v>25</v>
      </c>
      <c r="L1993" s="3" t="s">
        <v>26</v>
      </c>
    </row>
    <row r="1994" spans="2:24" ht="30" x14ac:dyDescent="0.25">
      <c r="B1994" s="4">
        <v>1880</v>
      </c>
      <c r="C1994" s="4" t="s">
        <v>194</v>
      </c>
      <c r="D1994" s="4" t="s">
        <v>28</v>
      </c>
      <c r="E1994" s="4">
        <v>2055</v>
      </c>
      <c r="F1994" s="4" t="s">
        <v>29</v>
      </c>
      <c r="G1994" s="4" t="s">
        <v>56</v>
      </c>
      <c r="H1994" s="4" t="s">
        <v>82</v>
      </c>
      <c r="I1994" s="4" t="s">
        <v>59</v>
      </c>
      <c r="J1994" s="4">
        <v>320</v>
      </c>
      <c r="L1994" s="4" t="s">
        <v>40</v>
      </c>
      <c r="M1994" s="5"/>
      <c r="O1994" s="5"/>
      <c r="Q1994" s="4">
        <f>B1994</f>
        <v>1880</v>
      </c>
      <c r="R1994" s="4" t="str">
        <f>C1994</f>
        <v>22/10/2026</v>
      </c>
      <c r="S1994" s="4" t="str">
        <f>D1994</f>
        <v>jueves</v>
      </c>
      <c r="T1994" s="4" t="str">
        <f>E1994&amp;"/"&amp;E1995</f>
        <v>2055/2056</v>
      </c>
      <c r="U1994" s="4" t="str">
        <f>F1994&amp;"-"&amp;G1994&amp;"-"&amp;F1994</f>
        <v>LIM-AQP-LIM</v>
      </c>
      <c r="V1994" s="4" t="str">
        <f>IF($M$1994="","",$M$1994)</f>
        <v/>
      </c>
      <c r="W1994" s="4" t="str">
        <f>IF($O$1994="","",$O$1994)</f>
        <v/>
      </c>
      <c r="X1994" s="4">
        <f>J1994</f>
        <v>320</v>
      </c>
    </row>
    <row r="1995" spans="2:24" ht="30" x14ac:dyDescent="0.25">
      <c r="B1995" s="4">
        <v>1880</v>
      </c>
      <c r="C1995" s="4" t="s">
        <v>194</v>
      </c>
      <c r="D1995" s="4" t="s">
        <v>28</v>
      </c>
      <c r="E1995" s="4">
        <v>2056</v>
      </c>
      <c r="F1995" s="4" t="s">
        <v>56</v>
      </c>
      <c r="G1995" s="4" t="s">
        <v>29</v>
      </c>
      <c r="H1995" s="4" t="s">
        <v>83</v>
      </c>
      <c r="I1995" s="4" t="s">
        <v>84</v>
      </c>
      <c r="J1995" s="4">
        <v>320</v>
      </c>
      <c r="K1995" t="str">
        <f>TEXT(TIMEVALUE(H1995)-TIMEVALUE(I1994)+(TIMEVALUE(H1995)&lt;TIMEVALUE(I1994)),"[h]:mm")</f>
        <v>0:45</v>
      </c>
      <c r="L1995" s="4" t="s">
        <v>71</v>
      </c>
      <c r="O1995" t="str">
        <f>"LIM-"&amp;G1994&amp;"-LIM   LA "&amp;E1994&amp;" ("&amp;LEFT(H1994,5)&amp;"-"&amp;LEFT(I1994,5)&amp;" hrs)  /  LA "&amp;E1995&amp;" ("&amp;LEFT(H1995,5)&amp;"-"&amp;LEFT(I1995,5)&amp;" hrs)"</f>
        <v>LIM-AQP-LIM   LA 2055 (13:55-15:25 hrs)  /  LA 2056 (16:10-17:50 hrs)</v>
      </c>
    </row>
    <row r="1996" spans="2:24" x14ac:dyDescent="0.25">
      <c r="J1996" s="7" t="s">
        <v>43</v>
      </c>
      <c r="K1996" s="8" t="str">
        <f>TEXT(TIMEVALUE(I1995)-TIMEVALUE(H1994)+(I1995&lt;H1994),"[h]:mm")</f>
        <v>3:55</v>
      </c>
    </row>
    <row r="1998" spans="2:24" ht="30" x14ac:dyDescent="0.25">
      <c r="B1998" s="3" t="s">
        <v>9</v>
      </c>
      <c r="C1998" s="3" t="s">
        <v>17</v>
      </c>
      <c r="D1998" s="3" t="s">
        <v>18</v>
      </c>
      <c r="E1998" s="3" t="s">
        <v>19</v>
      </c>
      <c r="F1998" s="3" t="s">
        <v>20</v>
      </c>
      <c r="G1998" s="3" t="s">
        <v>21</v>
      </c>
      <c r="H1998" s="3" t="s">
        <v>22</v>
      </c>
      <c r="I1998" s="3" t="s">
        <v>23</v>
      </c>
      <c r="J1998" s="3" t="s">
        <v>24</v>
      </c>
      <c r="K1998" s="3" t="s">
        <v>25</v>
      </c>
      <c r="L1998" s="3" t="s">
        <v>26</v>
      </c>
    </row>
    <row r="1999" spans="2:24" ht="30" x14ac:dyDescent="0.25">
      <c r="B1999" s="4">
        <v>1882</v>
      </c>
      <c r="C1999" s="4" t="s">
        <v>194</v>
      </c>
      <c r="D1999" s="4" t="s">
        <v>28</v>
      </c>
      <c r="E1999" s="4">
        <v>2087</v>
      </c>
      <c r="F1999" s="4" t="s">
        <v>29</v>
      </c>
      <c r="G1999" s="4" t="s">
        <v>91</v>
      </c>
      <c r="H1999" s="4" t="s">
        <v>67</v>
      </c>
      <c r="I1999" s="4" t="s">
        <v>76</v>
      </c>
      <c r="J1999" s="4">
        <v>320</v>
      </c>
      <c r="L1999" s="4" t="s">
        <v>93</v>
      </c>
      <c r="M1999" s="5"/>
      <c r="O1999" s="5"/>
      <c r="Q1999" s="4">
        <f>B1999</f>
        <v>1882</v>
      </c>
      <c r="R1999" s="4" t="str">
        <f>C1999</f>
        <v>22/10/2026</v>
      </c>
      <c r="S1999" s="4" t="str">
        <f>D1999</f>
        <v>jueves</v>
      </c>
      <c r="T1999" s="4" t="str">
        <f>E1999&amp;"/"&amp;E2000</f>
        <v>2087/2088</v>
      </c>
      <c r="U1999" s="4" t="str">
        <f>F1999&amp;"-"&amp;G1999&amp;"-"&amp;F1999</f>
        <v>LIM-TPP-LIM</v>
      </c>
      <c r="V1999" s="4" t="str">
        <f>IF($M$1999="","",$M$1999)</f>
        <v/>
      </c>
      <c r="W1999" s="4" t="str">
        <f>IF($O$1999="","",$O$1999)</f>
        <v/>
      </c>
      <c r="X1999" s="4">
        <f>J1999</f>
        <v>320</v>
      </c>
    </row>
    <row r="2000" spans="2:24" ht="30" x14ac:dyDescent="0.25">
      <c r="B2000" s="4">
        <v>1882</v>
      </c>
      <c r="C2000" s="4" t="s">
        <v>194</v>
      </c>
      <c r="D2000" s="4" t="s">
        <v>28</v>
      </c>
      <c r="E2000" s="4">
        <v>2088</v>
      </c>
      <c r="F2000" s="4" t="s">
        <v>91</v>
      </c>
      <c r="G2000" s="4" t="s">
        <v>29</v>
      </c>
      <c r="H2000" s="4" t="s">
        <v>85</v>
      </c>
      <c r="I2000" s="4" t="s">
        <v>100</v>
      </c>
      <c r="J2000" s="4">
        <v>320</v>
      </c>
      <c r="K2000" t="str">
        <f>TEXT(TIMEVALUE(H2000)-TIMEVALUE(I1999)+(TIMEVALUE(H2000)&lt;TIMEVALUE(I1999)),"[h]:mm")</f>
        <v>0:35</v>
      </c>
      <c r="L2000" s="4" t="s">
        <v>93</v>
      </c>
      <c r="O2000" t="str">
        <f>"LIM-"&amp;G1999&amp;"-LIM   LA "&amp;E1999&amp;" ("&amp;LEFT(H1999,5)&amp;"-"&amp;LEFT(I1999,5)&amp;" hrs)  /  LA "&amp;E2000&amp;" ("&amp;LEFT(H2000,5)&amp;"-"&amp;LEFT(I2000,5)&amp;" hrs)"</f>
        <v>LIM-TPP-LIM   LA 2087 (14:05-15:30 hrs)  /  LA 2088 (16:05-17:30 hrs)</v>
      </c>
    </row>
    <row r="2001" spans="2:24" x14ac:dyDescent="0.25">
      <c r="J2001" s="7" t="s">
        <v>43</v>
      </c>
      <c r="K2001" s="8" t="str">
        <f>TEXT(TIMEVALUE(I2000)-TIMEVALUE(H1999)+(I2000&lt;H1999),"[h]:mm")</f>
        <v>3:25</v>
      </c>
    </row>
    <row r="2003" spans="2:24" ht="30" x14ac:dyDescent="0.25">
      <c r="B2003" s="3" t="s">
        <v>9</v>
      </c>
      <c r="C2003" s="3" t="s">
        <v>17</v>
      </c>
      <c r="D2003" s="3" t="s">
        <v>18</v>
      </c>
      <c r="E2003" s="3" t="s">
        <v>19</v>
      </c>
      <c r="F2003" s="3" t="s">
        <v>20</v>
      </c>
      <c r="G2003" s="3" t="s">
        <v>21</v>
      </c>
      <c r="H2003" s="3" t="s">
        <v>22</v>
      </c>
      <c r="I2003" s="3" t="s">
        <v>23</v>
      </c>
      <c r="J2003" s="3" t="s">
        <v>24</v>
      </c>
      <c r="K2003" s="3" t="s">
        <v>25</v>
      </c>
      <c r="L2003" s="3" t="s">
        <v>26</v>
      </c>
    </row>
    <row r="2004" spans="2:24" ht="30" x14ac:dyDescent="0.25">
      <c r="B2004" s="4">
        <v>1885</v>
      </c>
      <c r="C2004" s="4" t="s">
        <v>194</v>
      </c>
      <c r="D2004" s="4" t="s">
        <v>28</v>
      </c>
      <c r="E2004" s="4">
        <v>2154</v>
      </c>
      <c r="F2004" s="4" t="s">
        <v>29</v>
      </c>
      <c r="G2004" s="4" t="s">
        <v>30</v>
      </c>
      <c r="H2004" s="4" t="s">
        <v>75</v>
      </c>
      <c r="I2004" s="4" t="s">
        <v>85</v>
      </c>
      <c r="J2004" s="4">
        <v>320</v>
      </c>
      <c r="L2004" s="4" t="s">
        <v>33</v>
      </c>
      <c r="M2004" s="5"/>
      <c r="O2004" s="5"/>
      <c r="Q2004" s="4">
        <f>B2004</f>
        <v>1885</v>
      </c>
      <c r="R2004" s="4" t="str">
        <f>C2004</f>
        <v>22/10/2026</v>
      </c>
      <c r="S2004" s="4" t="str">
        <f>D2004</f>
        <v>jueves</v>
      </c>
      <c r="T2004" s="4" t="str">
        <f>E2004&amp;"/"&amp;E2005</f>
        <v>2154/2155</v>
      </c>
      <c r="U2004" s="4" t="str">
        <f>F2004&amp;"-"&amp;G2004&amp;"-"&amp;F2004</f>
        <v>LIM-CUZ-LIM</v>
      </c>
      <c r="V2004" s="4" t="str">
        <f>IF($M$2004="","",$M$2004)</f>
        <v/>
      </c>
      <c r="W2004" s="4" t="str">
        <f>IF($O$2004="","",$O$2004)</f>
        <v/>
      </c>
      <c r="X2004" s="4">
        <f>J2004</f>
        <v>320</v>
      </c>
    </row>
    <row r="2005" spans="2:24" ht="30" x14ac:dyDescent="0.25">
      <c r="B2005" s="4">
        <v>1885</v>
      </c>
      <c r="C2005" s="4" t="s">
        <v>194</v>
      </c>
      <c r="D2005" s="4" t="s">
        <v>28</v>
      </c>
      <c r="E2005" s="4">
        <v>2155</v>
      </c>
      <c r="F2005" s="4" t="s">
        <v>30</v>
      </c>
      <c r="G2005" s="4" t="s">
        <v>29</v>
      </c>
      <c r="H2005" s="4" t="s">
        <v>86</v>
      </c>
      <c r="I2005" s="4" t="s">
        <v>78</v>
      </c>
      <c r="J2005" s="4">
        <v>320</v>
      </c>
      <c r="K2005" t="str">
        <f>TEXT(TIMEVALUE(H2005)-TIMEVALUE(I2004)+(TIMEVALUE(H2005)&lt;TIMEVALUE(I2004)),"[h]:mm")</f>
        <v>0:40</v>
      </c>
      <c r="L2005" s="4" t="s">
        <v>36</v>
      </c>
      <c r="O2005" t="str">
        <f>"LIM-"&amp;G2004&amp;"-LIM   LA "&amp;E2004&amp;" ("&amp;LEFT(H2004,5)&amp;"-"&amp;LEFT(I2004,5)&amp;" hrs)  /  LA "&amp;E2005&amp;" ("&amp;LEFT(H2005,5)&amp;"-"&amp;LEFT(I2005,5)&amp;" hrs)"</f>
        <v>LIM-CUZ-LIM   LA 2154 (14:45-16:05 hrs)  /  LA 2155 (16:45-18:20 hrs)</v>
      </c>
    </row>
    <row r="2006" spans="2:24" x14ac:dyDescent="0.25">
      <c r="J2006" s="7" t="s">
        <v>43</v>
      </c>
      <c r="K2006" s="8" t="str">
        <f>TEXT(TIMEVALUE(I2005)-TIMEVALUE(H2004)+(I2005&lt;H2004),"[h]:mm")</f>
        <v>3:35</v>
      </c>
    </row>
    <row r="2008" spans="2:24" ht="30" x14ac:dyDescent="0.25">
      <c r="B2008" s="3" t="s">
        <v>9</v>
      </c>
      <c r="C2008" s="3" t="s">
        <v>17</v>
      </c>
      <c r="D2008" s="3" t="s">
        <v>18</v>
      </c>
      <c r="E2008" s="3" t="s">
        <v>19</v>
      </c>
      <c r="F2008" s="3" t="s">
        <v>20</v>
      </c>
      <c r="G2008" s="3" t="s">
        <v>21</v>
      </c>
      <c r="H2008" s="3" t="s">
        <v>22</v>
      </c>
      <c r="I2008" s="3" t="s">
        <v>23</v>
      </c>
      <c r="J2008" s="3" t="s">
        <v>24</v>
      </c>
      <c r="K2008" s="3" t="s">
        <v>25</v>
      </c>
      <c r="L2008" s="3" t="s">
        <v>26</v>
      </c>
    </row>
    <row r="2009" spans="2:24" ht="30" x14ac:dyDescent="0.25">
      <c r="B2009" s="4">
        <v>1886</v>
      </c>
      <c r="C2009" s="4" t="s">
        <v>194</v>
      </c>
      <c r="D2009" s="4" t="s">
        <v>28</v>
      </c>
      <c r="E2009" s="4">
        <v>2264</v>
      </c>
      <c r="F2009" s="4" t="s">
        <v>29</v>
      </c>
      <c r="G2009" s="4" t="s">
        <v>44</v>
      </c>
      <c r="H2009" s="4" t="s">
        <v>87</v>
      </c>
      <c r="I2009" s="4" t="s">
        <v>60</v>
      </c>
      <c r="J2009" s="4">
        <v>320</v>
      </c>
      <c r="L2009" s="4" t="s">
        <v>47</v>
      </c>
      <c r="M2009" s="5"/>
      <c r="O2009" s="5"/>
      <c r="Q2009" s="4">
        <f>B2009</f>
        <v>1886</v>
      </c>
      <c r="R2009" s="4" t="str">
        <f>C2009</f>
        <v>22/10/2026</v>
      </c>
      <c r="S2009" s="4" t="str">
        <f>D2009</f>
        <v>jueves</v>
      </c>
      <c r="T2009" s="4" t="str">
        <f>E2009&amp;"/"&amp;E2010</f>
        <v>2264/2265</v>
      </c>
      <c r="U2009" s="4" t="str">
        <f>F2009&amp;"-"&amp;G2009&amp;"-"&amp;F2009</f>
        <v>LIM-PEM-LIM</v>
      </c>
      <c r="V2009" s="4" t="str">
        <f>IF($M$2009="","",$M$2009)</f>
        <v/>
      </c>
      <c r="W2009" s="4" t="str">
        <f>IF($O$2009="","",$O$2009)</f>
        <v/>
      </c>
      <c r="X2009" s="4">
        <f>J2009</f>
        <v>320</v>
      </c>
    </row>
    <row r="2010" spans="2:24" ht="30" x14ac:dyDescent="0.25">
      <c r="B2010" s="4">
        <v>1886</v>
      </c>
      <c r="C2010" s="4" t="s">
        <v>194</v>
      </c>
      <c r="D2010" s="4" t="s">
        <v>28</v>
      </c>
      <c r="E2010" s="4">
        <v>2265</v>
      </c>
      <c r="F2010" s="4" t="s">
        <v>44</v>
      </c>
      <c r="G2010" s="4" t="s">
        <v>29</v>
      </c>
      <c r="H2010" s="4" t="s">
        <v>53</v>
      </c>
      <c r="I2010" s="4" t="s">
        <v>88</v>
      </c>
      <c r="J2010" s="4">
        <v>320</v>
      </c>
      <c r="K2010" t="str">
        <f>TEXT(TIMEVALUE(H2010)-TIMEVALUE(I2009)+(TIMEVALUE(H2010)&lt;TIMEVALUE(I2009)),"[h]:mm")</f>
        <v>0:40</v>
      </c>
      <c r="L2010" s="4" t="s">
        <v>36</v>
      </c>
      <c r="O2010" t="str">
        <f>"LIM-"&amp;G2009&amp;"-LIM   LA "&amp;E2009&amp;" ("&amp;LEFT(H2009,5)&amp;"-"&amp;LEFT(I2009,5)&amp;" hrs)  /  LA "&amp;E2010&amp;" ("&amp;LEFT(H2010,5)&amp;"-"&amp;LEFT(I2010,5)&amp;" hrs)"</f>
        <v>LIM-PEM-LIM   LA 2264 (14:55-16:40 hrs)  /  LA 2265 (17:20-18:55 hrs)</v>
      </c>
    </row>
    <row r="2011" spans="2:24" x14ac:dyDescent="0.25">
      <c r="J2011" s="7" t="s">
        <v>43</v>
      </c>
      <c r="K2011" s="8" t="str">
        <f>TEXT(TIMEVALUE(I2010)-TIMEVALUE(H2009)+(I2010&lt;H2009),"[h]:mm")</f>
        <v>4:00</v>
      </c>
    </row>
    <row r="2013" spans="2:24" ht="30" x14ac:dyDescent="0.25">
      <c r="B2013" s="3" t="s">
        <v>9</v>
      </c>
      <c r="C2013" s="3" t="s">
        <v>17</v>
      </c>
      <c r="D2013" s="3" t="s">
        <v>18</v>
      </c>
      <c r="E2013" s="3" t="s">
        <v>19</v>
      </c>
      <c r="F2013" s="3" t="s">
        <v>20</v>
      </c>
      <c r="G2013" s="3" t="s">
        <v>21</v>
      </c>
      <c r="H2013" s="3" t="s">
        <v>22</v>
      </c>
      <c r="I2013" s="3" t="s">
        <v>23</v>
      </c>
      <c r="J2013" s="3" t="s">
        <v>24</v>
      </c>
      <c r="K2013" s="3" t="s">
        <v>25</v>
      </c>
      <c r="L2013" s="3" t="s">
        <v>26</v>
      </c>
    </row>
    <row r="2014" spans="2:24" ht="30" x14ac:dyDescent="0.25">
      <c r="B2014" s="4">
        <v>1887</v>
      </c>
      <c r="C2014" s="4" t="s">
        <v>194</v>
      </c>
      <c r="D2014" s="4" t="s">
        <v>28</v>
      </c>
      <c r="E2014" s="4">
        <v>2264</v>
      </c>
      <c r="F2014" s="4" t="s">
        <v>29</v>
      </c>
      <c r="G2014" s="4" t="s">
        <v>44</v>
      </c>
      <c r="H2014" s="4" t="s">
        <v>87</v>
      </c>
      <c r="I2014" s="4" t="s">
        <v>60</v>
      </c>
      <c r="J2014" s="4">
        <v>320</v>
      </c>
      <c r="L2014" s="4" t="s">
        <v>47</v>
      </c>
      <c r="M2014" s="5"/>
      <c r="O2014" s="5"/>
      <c r="Q2014" s="4">
        <f>B2014</f>
        <v>1887</v>
      </c>
      <c r="R2014" s="4" t="str">
        <f>C2014</f>
        <v>22/10/2026</v>
      </c>
      <c r="S2014" s="4" t="str">
        <f>D2014</f>
        <v>jueves</v>
      </c>
      <c r="T2014" s="4" t="str">
        <f>E2014&amp;"/"&amp;E2015</f>
        <v>2264/2265</v>
      </c>
      <c r="U2014" s="4" t="str">
        <f>F2014&amp;"-"&amp;G2014&amp;"-"&amp;F2014</f>
        <v>LIM-PEM-LIM</v>
      </c>
      <c r="V2014" s="4" t="str">
        <f>IF($M$2014="","",$M$2014)</f>
        <v/>
      </c>
      <c r="W2014" s="4" t="str">
        <f>IF($O$2014="","",$O$2014)</f>
        <v/>
      </c>
      <c r="X2014" s="4">
        <f>J2014</f>
        <v>320</v>
      </c>
    </row>
    <row r="2015" spans="2:24" ht="30" x14ac:dyDescent="0.25">
      <c r="B2015" s="4">
        <v>1887</v>
      </c>
      <c r="C2015" s="4" t="s">
        <v>194</v>
      </c>
      <c r="D2015" s="4" t="s">
        <v>28</v>
      </c>
      <c r="E2015" s="4">
        <v>2265</v>
      </c>
      <c r="F2015" s="4" t="s">
        <v>44</v>
      </c>
      <c r="G2015" s="4" t="s">
        <v>29</v>
      </c>
      <c r="H2015" s="4" t="s">
        <v>53</v>
      </c>
      <c r="I2015" s="4" t="s">
        <v>88</v>
      </c>
      <c r="J2015" s="4">
        <v>320</v>
      </c>
      <c r="K2015" t="str">
        <f>TEXT(TIMEVALUE(H2015)-TIMEVALUE(I2014)+(TIMEVALUE(H2015)&lt;TIMEVALUE(I2014)),"[h]:mm")</f>
        <v>0:40</v>
      </c>
      <c r="L2015" s="4" t="s">
        <v>36</v>
      </c>
      <c r="O2015" t="str">
        <f>"LIM-"&amp;G2014&amp;"-LIM   LA "&amp;E2014&amp;" ("&amp;LEFT(H2014,5)&amp;"-"&amp;LEFT(I2014,5)&amp;" hrs)  /  LA "&amp;E2015&amp;" ("&amp;LEFT(H2015,5)&amp;"-"&amp;LEFT(I2015,5)&amp;" hrs)"</f>
        <v>LIM-PEM-LIM   LA 2264 (14:55-16:40 hrs)  /  LA 2265 (17:20-18:55 hrs)</v>
      </c>
    </row>
    <row r="2016" spans="2:24" x14ac:dyDescent="0.25">
      <c r="J2016" s="7" t="s">
        <v>43</v>
      </c>
      <c r="K2016" s="8" t="str">
        <f>TEXT(TIMEVALUE(I2015)-TIMEVALUE(H2014)+(I2015&lt;H2014),"[h]:mm")</f>
        <v>4:00</v>
      </c>
    </row>
    <row r="2018" spans="2:24" ht="30" x14ac:dyDescent="0.25">
      <c r="B2018" s="3" t="s">
        <v>9</v>
      </c>
      <c r="C2018" s="3" t="s">
        <v>17</v>
      </c>
      <c r="D2018" s="3" t="s">
        <v>18</v>
      </c>
      <c r="E2018" s="3" t="s">
        <v>19</v>
      </c>
      <c r="F2018" s="3" t="s">
        <v>20</v>
      </c>
      <c r="G2018" s="3" t="s">
        <v>21</v>
      </c>
      <c r="H2018" s="3" t="s">
        <v>22</v>
      </c>
      <c r="I2018" s="3" t="s">
        <v>23</v>
      </c>
      <c r="J2018" s="3" t="s">
        <v>24</v>
      </c>
      <c r="K2018" s="3" t="s">
        <v>25</v>
      </c>
      <c r="L2018" s="3" t="s">
        <v>26</v>
      </c>
    </row>
    <row r="2019" spans="2:24" ht="30" x14ac:dyDescent="0.25">
      <c r="B2019" s="4">
        <v>1888</v>
      </c>
      <c r="C2019" s="4" t="s">
        <v>194</v>
      </c>
      <c r="D2019" s="4" t="s">
        <v>28</v>
      </c>
      <c r="E2019" s="4">
        <v>2113</v>
      </c>
      <c r="F2019" s="4" t="s">
        <v>29</v>
      </c>
      <c r="G2019" s="4" t="s">
        <v>56</v>
      </c>
      <c r="H2019" s="4" t="s">
        <v>126</v>
      </c>
      <c r="I2019" s="4" t="s">
        <v>52</v>
      </c>
      <c r="J2019" s="4">
        <v>320</v>
      </c>
      <c r="L2019" s="4" t="s">
        <v>40</v>
      </c>
      <c r="M2019" s="5"/>
      <c r="O2019" s="5"/>
      <c r="Q2019" s="4">
        <f>B2019</f>
        <v>1888</v>
      </c>
      <c r="R2019" s="4" t="str">
        <f>C2019</f>
        <v>22/10/2026</v>
      </c>
      <c r="S2019" s="4" t="str">
        <f>D2019</f>
        <v>jueves</v>
      </c>
      <c r="T2019" s="4" t="str">
        <f>E2019&amp;"/"&amp;E2020</f>
        <v>2113/2112</v>
      </c>
      <c r="U2019" s="4" t="str">
        <f>F2019&amp;"-"&amp;G2019&amp;"-"&amp;F2019</f>
        <v>LIM-AQP-LIM</v>
      </c>
      <c r="V2019" s="4" t="str">
        <f>IF($M$2019="","",$M$2019)</f>
        <v/>
      </c>
      <c r="W2019" s="4" t="str">
        <f>IF($O$2019="","",$O$2019)</f>
        <v/>
      </c>
      <c r="X2019" s="4">
        <f>J2019</f>
        <v>320</v>
      </c>
    </row>
    <row r="2020" spans="2:24" ht="30" x14ac:dyDescent="0.25">
      <c r="B2020" s="4">
        <v>1888</v>
      </c>
      <c r="C2020" s="4" t="s">
        <v>194</v>
      </c>
      <c r="D2020" s="4" t="s">
        <v>28</v>
      </c>
      <c r="E2020" s="4">
        <v>2112</v>
      </c>
      <c r="F2020" s="4" t="s">
        <v>56</v>
      </c>
      <c r="G2020" s="4" t="s">
        <v>29</v>
      </c>
      <c r="H2020" s="4" t="s">
        <v>42</v>
      </c>
      <c r="I2020" s="4" t="s">
        <v>88</v>
      </c>
      <c r="J2020" s="4">
        <v>320</v>
      </c>
      <c r="K2020" t="str">
        <f>TEXT(TIMEVALUE(H2020)-TIMEVALUE(I2019)+(TIMEVALUE(H2020)&lt;TIMEVALUE(I2019)),"[h]:mm")</f>
        <v>0:40</v>
      </c>
      <c r="L2020" s="4" t="s">
        <v>71</v>
      </c>
      <c r="O2020" t="str">
        <f>"LIM-"&amp;G2019&amp;"-LIM   LA "&amp;E2019&amp;" ("&amp;LEFT(H2019,5)&amp;"-"&amp;LEFT(I2019,5)&amp;" hrs)  /  LA "&amp;E2020&amp;" ("&amp;LEFT(H2020,5)&amp;"-"&amp;LEFT(I2020,5)&amp;" hrs)"</f>
        <v>LIM-AQP-LIM   LA 2113 (15:05-16:35 hrs)  /  LA 2112 (17:15-18:55 hrs)</v>
      </c>
    </row>
    <row r="2021" spans="2:24" x14ac:dyDescent="0.25">
      <c r="J2021" s="7" t="s">
        <v>43</v>
      </c>
      <c r="K2021" s="8" t="str">
        <f>TEXT(TIMEVALUE(I2020)-TIMEVALUE(H2019)+(I2020&lt;H2019),"[h]:mm")</f>
        <v>3:50</v>
      </c>
    </row>
    <row r="2023" spans="2:24" ht="30" x14ac:dyDescent="0.25">
      <c r="B2023" s="3" t="s">
        <v>9</v>
      </c>
      <c r="C2023" s="3" t="s">
        <v>17</v>
      </c>
      <c r="D2023" s="3" t="s">
        <v>18</v>
      </c>
      <c r="E2023" s="3" t="s">
        <v>19</v>
      </c>
      <c r="F2023" s="3" t="s">
        <v>20</v>
      </c>
      <c r="G2023" s="3" t="s">
        <v>21</v>
      </c>
      <c r="H2023" s="3" t="s">
        <v>22</v>
      </c>
      <c r="I2023" s="3" t="s">
        <v>23</v>
      </c>
      <c r="J2023" s="3" t="s">
        <v>24</v>
      </c>
      <c r="K2023" s="3" t="s">
        <v>25</v>
      </c>
      <c r="L2023" s="3" t="s">
        <v>26</v>
      </c>
    </row>
    <row r="2024" spans="2:24" ht="30" x14ac:dyDescent="0.25">
      <c r="B2024" s="4">
        <v>1891</v>
      </c>
      <c r="C2024" s="4" t="s">
        <v>194</v>
      </c>
      <c r="D2024" s="4" t="s">
        <v>28</v>
      </c>
      <c r="E2024" s="4">
        <v>2297</v>
      </c>
      <c r="F2024" s="4" t="s">
        <v>29</v>
      </c>
      <c r="G2024" s="4" t="s">
        <v>50</v>
      </c>
      <c r="H2024" s="4" t="s">
        <v>51</v>
      </c>
      <c r="I2024" s="4" t="s">
        <v>52</v>
      </c>
      <c r="J2024" s="4">
        <v>320</v>
      </c>
      <c r="L2024" s="4" t="s">
        <v>33</v>
      </c>
      <c r="M2024" s="5"/>
      <c r="O2024" s="5"/>
      <c r="Q2024" s="4">
        <f>B2024</f>
        <v>1891</v>
      </c>
      <c r="R2024" s="4" t="str">
        <f>C2024</f>
        <v>22/10/2026</v>
      </c>
      <c r="S2024" s="4" t="str">
        <f>D2024</f>
        <v>jueves</v>
      </c>
      <c r="T2024" s="4" t="str">
        <f>E2024&amp;"/"&amp;E2025</f>
        <v>2297/2296</v>
      </c>
      <c r="U2024" s="4" t="str">
        <f>F2024&amp;"-"&amp;G2024&amp;"-"&amp;F2024</f>
        <v>LIM-CJA-LIM</v>
      </c>
      <c r="V2024" s="4" t="str">
        <f>IF($M$2024="","",$M$2024)</f>
        <v/>
      </c>
      <c r="W2024" s="4" t="str">
        <f>IF($O$2024="","",$O$2024)</f>
        <v/>
      </c>
      <c r="X2024" s="4">
        <f>J2024</f>
        <v>320</v>
      </c>
    </row>
    <row r="2025" spans="2:24" ht="30" x14ac:dyDescent="0.25">
      <c r="B2025" s="4">
        <v>1891</v>
      </c>
      <c r="C2025" s="4" t="s">
        <v>194</v>
      </c>
      <c r="D2025" s="4" t="s">
        <v>28</v>
      </c>
      <c r="E2025" s="4">
        <v>2296</v>
      </c>
      <c r="F2025" s="4" t="s">
        <v>50</v>
      </c>
      <c r="G2025" s="4" t="s">
        <v>29</v>
      </c>
      <c r="H2025" s="4" t="s">
        <v>53</v>
      </c>
      <c r="I2025" s="4" t="s">
        <v>54</v>
      </c>
      <c r="J2025" s="4">
        <v>320</v>
      </c>
      <c r="K2025" t="str">
        <f>TEXT(TIMEVALUE(H2025)-TIMEVALUE(I2024)+(TIMEVALUE(H2025)&lt;TIMEVALUE(I2024)),"[h]:mm")</f>
        <v>0:45</v>
      </c>
      <c r="L2025" s="4" t="s">
        <v>55</v>
      </c>
      <c r="O2025" t="str">
        <f>"LIM-"&amp;G2024&amp;"-LIM   LA "&amp;E2024&amp;" ("&amp;LEFT(H2024,5)&amp;"-"&amp;LEFT(I2024,5)&amp;" hrs)  /  LA "&amp;E2025&amp;" ("&amp;LEFT(H2025,5)&amp;"-"&amp;LEFT(I2025,5)&amp;" hrs)"</f>
        <v>LIM-CJA-LIM   LA 2297 (15:15-16:35 hrs)  /  LA 2296 (17:20-18:25 hrs)</v>
      </c>
    </row>
    <row r="2026" spans="2:24" x14ac:dyDescent="0.25">
      <c r="J2026" s="7" t="s">
        <v>43</v>
      </c>
      <c r="K2026" s="8" t="str">
        <f>TEXT(TIMEVALUE(I2025)-TIMEVALUE(H2024)+(I2025&lt;H2024),"[h]:mm")</f>
        <v>3:10</v>
      </c>
    </row>
    <row r="2028" spans="2:24" ht="30" x14ac:dyDescent="0.25">
      <c r="B2028" s="3" t="s">
        <v>9</v>
      </c>
      <c r="C2028" s="3" t="s">
        <v>17</v>
      </c>
      <c r="D2028" s="3" t="s">
        <v>18</v>
      </c>
      <c r="E2028" s="3" t="s">
        <v>19</v>
      </c>
      <c r="F2028" s="3" t="s">
        <v>20</v>
      </c>
      <c r="G2028" s="3" t="s">
        <v>21</v>
      </c>
      <c r="H2028" s="3" t="s">
        <v>22</v>
      </c>
      <c r="I2028" s="3" t="s">
        <v>23</v>
      </c>
      <c r="J2028" s="3" t="s">
        <v>24</v>
      </c>
      <c r="K2028" s="3" t="s">
        <v>25</v>
      </c>
      <c r="L2028" s="3" t="s">
        <v>26</v>
      </c>
    </row>
    <row r="2029" spans="2:24" ht="30" x14ac:dyDescent="0.25">
      <c r="B2029" s="4">
        <v>1892</v>
      </c>
      <c r="C2029" s="4" t="s">
        <v>194</v>
      </c>
      <c r="D2029" s="4" t="s">
        <v>28</v>
      </c>
      <c r="E2029" s="4">
        <v>2360</v>
      </c>
      <c r="F2029" s="4" t="s">
        <v>29</v>
      </c>
      <c r="G2029" s="4" t="s">
        <v>58</v>
      </c>
      <c r="H2029" s="4" t="s">
        <v>59</v>
      </c>
      <c r="I2029" s="4" t="s">
        <v>60</v>
      </c>
      <c r="J2029" s="4">
        <v>319</v>
      </c>
      <c r="L2029" s="4" t="s">
        <v>61</v>
      </c>
      <c r="M2029" s="5"/>
      <c r="O2029" s="5"/>
      <c r="Q2029" s="4">
        <f>B2029</f>
        <v>1892</v>
      </c>
      <c r="R2029" s="4" t="str">
        <f>C2029</f>
        <v>22/10/2026</v>
      </c>
      <c r="S2029" s="4" t="str">
        <f>D2029</f>
        <v>jueves</v>
      </c>
      <c r="T2029" s="4" t="str">
        <f>E2029&amp;"/"&amp;E2030</f>
        <v>2360/2361</v>
      </c>
      <c r="U2029" s="4" t="str">
        <f>F2029&amp;"-"&amp;G2029&amp;"-"&amp;F2029</f>
        <v>LIM-PCL-LIM</v>
      </c>
      <c r="V2029" s="4" t="str">
        <f>IF($M$2029="","",$M$2029)</f>
        <v/>
      </c>
      <c r="W2029" s="4" t="str">
        <f>IF($O$2029="","",$O$2029)</f>
        <v/>
      </c>
      <c r="X2029" s="4">
        <f>J2029</f>
        <v>319</v>
      </c>
    </row>
    <row r="2030" spans="2:24" ht="30" x14ac:dyDescent="0.25">
      <c r="B2030" s="4">
        <v>1892</v>
      </c>
      <c r="C2030" s="4" t="s">
        <v>194</v>
      </c>
      <c r="D2030" s="4" t="s">
        <v>28</v>
      </c>
      <c r="E2030" s="4">
        <v>2361</v>
      </c>
      <c r="F2030" s="4" t="s">
        <v>58</v>
      </c>
      <c r="G2030" s="4" t="s">
        <v>29</v>
      </c>
      <c r="H2030" s="4" t="s">
        <v>53</v>
      </c>
      <c r="I2030" s="4" t="s">
        <v>62</v>
      </c>
      <c r="J2030" s="4">
        <v>319</v>
      </c>
      <c r="K2030" t="str">
        <f>TEXT(TIMEVALUE(H2030)-TIMEVALUE(I2029)+(TIMEVALUE(H2030)&lt;TIMEVALUE(I2029)),"[h]:mm")</f>
        <v>0:40</v>
      </c>
      <c r="L2030" s="4" t="s">
        <v>61</v>
      </c>
      <c r="O2030" t="str">
        <f>"LIM-"&amp;G2029&amp;"-LIM   LA "&amp;E2029&amp;" ("&amp;LEFT(H2029,5)&amp;"-"&amp;LEFT(I2029,5)&amp;" hrs)  /  LA "&amp;E2030&amp;" ("&amp;LEFT(H2030,5)&amp;"-"&amp;LEFT(I2030,5)&amp;" hrs)"</f>
        <v>LIM-PCL-LIM   LA 2360 (15:25-16:40 hrs)  /  LA 2361 (17:20-18:35 hrs)</v>
      </c>
    </row>
    <row r="2031" spans="2:24" x14ac:dyDescent="0.25">
      <c r="J2031" s="7" t="s">
        <v>43</v>
      </c>
      <c r="K2031" s="8" t="str">
        <f>TEXT(TIMEVALUE(I2030)-TIMEVALUE(H2029)+(I2030&lt;H2029),"[h]:mm")</f>
        <v>3:10</v>
      </c>
    </row>
    <row r="2033" spans="2:24" ht="30" x14ac:dyDescent="0.25">
      <c r="B2033" s="3" t="s">
        <v>9</v>
      </c>
      <c r="C2033" s="3" t="s">
        <v>17</v>
      </c>
      <c r="D2033" s="3" t="s">
        <v>18</v>
      </c>
      <c r="E2033" s="3" t="s">
        <v>19</v>
      </c>
      <c r="F2033" s="3" t="s">
        <v>20</v>
      </c>
      <c r="G2033" s="3" t="s">
        <v>21</v>
      </c>
      <c r="H2033" s="3" t="s">
        <v>22</v>
      </c>
      <c r="I2033" s="3" t="s">
        <v>23</v>
      </c>
      <c r="J2033" s="3" t="s">
        <v>24</v>
      </c>
      <c r="K2033" s="3" t="s">
        <v>25</v>
      </c>
      <c r="L2033" s="3" t="s">
        <v>26</v>
      </c>
    </row>
    <row r="2034" spans="2:24" ht="30" x14ac:dyDescent="0.25">
      <c r="B2034" s="4">
        <v>1893</v>
      </c>
      <c r="C2034" s="4" t="s">
        <v>194</v>
      </c>
      <c r="D2034" s="4" t="s">
        <v>28</v>
      </c>
      <c r="E2034" s="4">
        <v>2312</v>
      </c>
      <c r="F2034" s="4" t="s">
        <v>29</v>
      </c>
      <c r="G2034" s="4" t="s">
        <v>37</v>
      </c>
      <c r="H2034" s="4" t="s">
        <v>89</v>
      </c>
      <c r="I2034" s="4" t="s">
        <v>77</v>
      </c>
      <c r="J2034" s="4">
        <v>320</v>
      </c>
      <c r="L2034" s="4" t="s">
        <v>40</v>
      </c>
      <c r="M2034" s="5"/>
      <c r="O2034" s="5"/>
      <c r="Q2034" s="4">
        <f>B2034</f>
        <v>1893</v>
      </c>
      <c r="R2034" s="4" t="str">
        <f>C2034</f>
        <v>22/10/2026</v>
      </c>
      <c r="S2034" s="4" t="str">
        <f>D2034</f>
        <v>jueves</v>
      </c>
      <c r="T2034" s="4" t="str">
        <f>E2034&amp;"/"&amp;E2035</f>
        <v>2312/2313</v>
      </c>
      <c r="U2034" s="4" t="str">
        <f>F2034&amp;"-"&amp;G2034&amp;"-"&amp;F2034</f>
        <v>LIM-CIX-LIM</v>
      </c>
      <c r="V2034" s="4" t="str">
        <f>IF($M$2034="","",$M$2034)</f>
        <v/>
      </c>
      <c r="W2034" s="4" t="str">
        <f>IF($O$2034="","",$O$2034)</f>
        <v/>
      </c>
      <c r="X2034" s="4">
        <f>J2034</f>
        <v>320</v>
      </c>
    </row>
    <row r="2035" spans="2:24" ht="30" x14ac:dyDescent="0.25">
      <c r="B2035" s="4">
        <v>1893</v>
      </c>
      <c r="C2035" s="4" t="s">
        <v>194</v>
      </c>
      <c r="D2035" s="4" t="s">
        <v>28</v>
      </c>
      <c r="E2035" s="4">
        <v>2313</v>
      </c>
      <c r="F2035" s="4" t="s">
        <v>37</v>
      </c>
      <c r="G2035" s="4" t="s">
        <v>29</v>
      </c>
      <c r="H2035" s="4" t="s">
        <v>84</v>
      </c>
      <c r="I2035" s="4" t="s">
        <v>90</v>
      </c>
      <c r="J2035" s="4">
        <v>320</v>
      </c>
      <c r="K2035" t="str">
        <f>TEXT(TIMEVALUE(H2035)-TIMEVALUE(I2034)+(TIMEVALUE(H2035)&lt;TIMEVALUE(I2034)),"[h]:mm")</f>
        <v>0:45</v>
      </c>
      <c r="L2035" s="4" t="s">
        <v>33</v>
      </c>
      <c r="O2035" t="str">
        <f>"LIM-"&amp;G2034&amp;"-LIM   LA "&amp;E2034&amp;" ("&amp;LEFT(H2034,5)&amp;"-"&amp;LEFT(I2034,5)&amp;" hrs)  /  LA "&amp;E2035&amp;" ("&amp;LEFT(H2035,5)&amp;"-"&amp;LEFT(I2035,5)&amp;" hrs)"</f>
        <v>LIM-CIX-LIM   LA 2312 (15:35-17:05 hrs)  /  LA 2313 (17:50-19:10 hrs)</v>
      </c>
    </row>
    <row r="2036" spans="2:24" x14ac:dyDescent="0.25">
      <c r="J2036" s="7" t="s">
        <v>43</v>
      </c>
      <c r="K2036" s="8" t="str">
        <f>TEXT(TIMEVALUE(I2035)-TIMEVALUE(H2034)+(I2035&lt;H2034),"[h]:mm")</f>
        <v>3:35</v>
      </c>
    </row>
    <row r="2038" spans="2:24" ht="30" x14ac:dyDescent="0.25">
      <c r="B2038" s="3" t="s">
        <v>9</v>
      </c>
      <c r="C2038" s="3" t="s">
        <v>17</v>
      </c>
      <c r="D2038" s="3" t="s">
        <v>18</v>
      </c>
      <c r="E2038" s="3" t="s">
        <v>19</v>
      </c>
      <c r="F2038" s="3" t="s">
        <v>20</v>
      </c>
      <c r="G2038" s="3" t="s">
        <v>21</v>
      </c>
      <c r="H2038" s="3" t="s">
        <v>22</v>
      </c>
      <c r="I2038" s="3" t="s">
        <v>23</v>
      </c>
      <c r="J2038" s="3" t="s">
        <v>24</v>
      </c>
      <c r="K2038" s="3" t="s">
        <v>25</v>
      </c>
      <c r="L2038" s="3" t="s">
        <v>26</v>
      </c>
    </row>
    <row r="2039" spans="2:24" ht="30" x14ac:dyDescent="0.25">
      <c r="B2039" s="4">
        <v>1899</v>
      </c>
      <c r="C2039" s="4" t="s">
        <v>194</v>
      </c>
      <c r="D2039" s="4" t="s">
        <v>28</v>
      </c>
      <c r="E2039" s="4">
        <v>2115</v>
      </c>
      <c r="F2039" s="4" t="s">
        <v>29</v>
      </c>
      <c r="G2039" s="4" t="s">
        <v>56</v>
      </c>
      <c r="H2039" s="4" t="s">
        <v>42</v>
      </c>
      <c r="I2039" s="4" t="s">
        <v>68</v>
      </c>
      <c r="J2039" s="4">
        <v>320</v>
      </c>
      <c r="L2039" s="4" t="s">
        <v>40</v>
      </c>
      <c r="M2039" s="5"/>
      <c r="O2039" s="5"/>
      <c r="Q2039" s="4">
        <f>B2039</f>
        <v>1899</v>
      </c>
      <c r="R2039" s="4" t="str">
        <f>C2039</f>
        <v>22/10/2026</v>
      </c>
      <c r="S2039" s="4" t="str">
        <f>D2039</f>
        <v>jueves</v>
      </c>
      <c r="T2039" s="4" t="str">
        <f>E2039&amp;"/"&amp;E2040</f>
        <v>2115/2114</v>
      </c>
      <c r="U2039" s="4" t="str">
        <f>F2039&amp;"-"&amp;G2039&amp;"-"&amp;F2039</f>
        <v>LIM-AQP-LIM</v>
      </c>
      <c r="V2039" s="4" t="str">
        <f>IF($M$2039="","",$M$2039)</f>
        <v/>
      </c>
      <c r="W2039" s="4" t="str">
        <f>IF($O$2039="","",$O$2039)</f>
        <v/>
      </c>
      <c r="X2039" s="4">
        <f>J2039</f>
        <v>320</v>
      </c>
    </row>
    <row r="2040" spans="2:24" ht="30" x14ac:dyDescent="0.25">
      <c r="B2040" s="4">
        <v>1899</v>
      </c>
      <c r="C2040" s="4" t="s">
        <v>194</v>
      </c>
      <c r="D2040" s="4" t="s">
        <v>28</v>
      </c>
      <c r="E2040" s="4">
        <v>2114</v>
      </c>
      <c r="F2040" s="4" t="s">
        <v>56</v>
      </c>
      <c r="G2040" s="4" t="s">
        <v>29</v>
      </c>
      <c r="H2040" s="4" t="s">
        <v>69</v>
      </c>
      <c r="I2040" s="4" t="s">
        <v>70</v>
      </c>
      <c r="J2040" s="4">
        <v>320</v>
      </c>
      <c r="K2040" t="str">
        <f>TEXT(TIMEVALUE(H2040)-TIMEVALUE(I2039)+(TIMEVALUE(H2040)&lt;TIMEVALUE(I2039)),"[h]:mm")</f>
        <v>0:35</v>
      </c>
      <c r="L2040" s="4" t="s">
        <v>71</v>
      </c>
      <c r="O2040" t="str">
        <f>"LIM-"&amp;G2039&amp;"-LIM   LA "&amp;E2039&amp;" ("&amp;LEFT(H2039,5)&amp;"-"&amp;LEFT(I2039,5)&amp;" hrs)  /  LA "&amp;E2040&amp;" ("&amp;LEFT(H2040,5)&amp;"-"&amp;LEFT(I2040,5)&amp;" hrs)"</f>
        <v>LIM-AQP-LIM   LA 2115 (17:15-18:45 hrs)  /  LA 2114 (19:20-21:00 hrs)</v>
      </c>
    </row>
    <row r="2041" spans="2:24" x14ac:dyDescent="0.25">
      <c r="J2041" s="7" t="s">
        <v>43</v>
      </c>
      <c r="K2041" s="8" t="str">
        <f>TEXT(TIMEVALUE(I2040)-TIMEVALUE(H2039)+(I2040&lt;H2039),"[h]:mm")</f>
        <v>3:45</v>
      </c>
    </row>
    <row r="2043" spans="2:24" ht="30" x14ac:dyDescent="0.25">
      <c r="B2043" s="3" t="s">
        <v>9</v>
      </c>
      <c r="C2043" s="3" t="s">
        <v>17</v>
      </c>
      <c r="D2043" s="3" t="s">
        <v>18</v>
      </c>
      <c r="E2043" s="3" t="s">
        <v>19</v>
      </c>
      <c r="F2043" s="3" t="s">
        <v>20</v>
      </c>
      <c r="G2043" s="3" t="s">
        <v>21</v>
      </c>
      <c r="H2043" s="3" t="s">
        <v>22</v>
      </c>
      <c r="I2043" s="3" t="s">
        <v>23</v>
      </c>
      <c r="J2043" s="3" t="s">
        <v>24</v>
      </c>
      <c r="K2043" s="3" t="s">
        <v>25</v>
      </c>
      <c r="L2043" s="3" t="s">
        <v>26</v>
      </c>
    </row>
    <row r="2044" spans="2:24" ht="30" x14ac:dyDescent="0.25">
      <c r="B2044" s="4">
        <v>1941</v>
      </c>
      <c r="C2044" s="4" t="s">
        <v>195</v>
      </c>
      <c r="D2044" s="4" t="s">
        <v>96</v>
      </c>
      <c r="E2044" s="4">
        <v>2007</v>
      </c>
      <c r="F2044" s="4" t="s">
        <v>29</v>
      </c>
      <c r="G2044" s="4" t="s">
        <v>30</v>
      </c>
      <c r="H2044" s="4" t="s">
        <v>31</v>
      </c>
      <c r="I2044" s="4" t="s">
        <v>32</v>
      </c>
      <c r="J2044" s="4">
        <v>320</v>
      </c>
      <c r="L2044" s="4" t="s">
        <v>33</v>
      </c>
      <c r="M2044" s="5"/>
      <c r="O2044" s="5"/>
      <c r="Q2044" s="4">
        <f>B2044</f>
        <v>1941</v>
      </c>
      <c r="R2044" s="4" t="str">
        <f>C2044</f>
        <v>23/10/2026</v>
      </c>
      <c r="S2044" s="4" t="str">
        <f>D2044</f>
        <v>viernes</v>
      </c>
      <c r="T2044" s="4" t="str">
        <f>E2044&amp;"/"&amp;E2045</f>
        <v>2007/2008</v>
      </c>
      <c r="U2044" s="4" t="str">
        <f>F2044&amp;"-"&amp;G2044&amp;"-"&amp;F2044</f>
        <v>LIM-CUZ-LIM</v>
      </c>
      <c r="V2044" s="4" t="str">
        <f>IF($M$2044="","",$M$2044)</f>
        <v/>
      </c>
      <c r="W2044" s="4" t="str">
        <f>IF($O$2044="","",$O$2044)</f>
        <v/>
      </c>
      <c r="X2044" s="4">
        <f>J2044</f>
        <v>320</v>
      </c>
    </row>
    <row r="2045" spans="2:24" ht="30" x14ac:dyDescent="0.25">
      <c r="B2045" s="4">
        <v>1941</v>
      </c>
      <c r="C2045" s="4" t="s">
        <v>195</v>
      </c>
      <c r="D2045" s="4" t="s">
        <v>96</v>
      </c>
      <c r="E2045" s="4">
        <v>2008</v>
      </c>
      <c r="F2045" s="4" t="s">
        <v>30</v>
      </c>
      <c r="G2045" s="4" t="s">
        <v>29</v>
      </c>
      <c r="H2045" s="4" t="s">
        <v>34</v>
      </c>
      <c r="I2045" s="4" t="s">
        <v>35</v>
      </c>
      <c r="J2045" s="4">
        <v>320</v>
      </c>
      <c r="K2045" t="str">
        <f>TEXT(TIMEVALUE(H2045)-TIMEVALUE(I2044)+(TIMEVALUE(H2045)&lt;TIMEVALUE(I2044)),"[h]:mm")</f>
        <v>0:50</v>
      </c>
      <c r="L2045" s="4" t="s">
        <v>36</v>
      </c>
      <c r="O2045" t="str">
        <f>"LIM-"&amp;G2044&amp;"-LIM   LA "&amp;E2044&amp;" ("&amp;LEFT(H2044,5)&amp;"-"&amp;LEFT(I2044,5)&amp;" hrs)  /  LA "&amp;E2045&amp;" ("&amp;LEFT(H2045,5)&amp;"-"&amp;LEFT(I2045,5)&amp;" hrs)"</f>
        <v>LIM-CUZ-LIM   LA 2007 (09:10-10:30 hrs)  /  LA 2008 (11:20-12:55 hrs)</v>
      </c>
    </row>
    <row r="2046" spans="2:24" ht="30" x14ac:dyDescent="0.25">
      <c r="B2046" s="4">
        <v>1968</v>
      </c>
      <c r="C2046" s="4" t="s">
        <v>195</v>
      </c>
      <c r="D2046" s="4" t="s">
        <v>96</v>
      </c>
      <c r="E2046" s="4">
        <v>2087</v>
      </c>
      <c r="F2046" s="4" t="s">
        <v>29</v>
      </c>
      <c r="G2046" s="4" t="s">
        <v>91</v>
      </c>
      <c r="H2046" s="4" t="s">
        <v>67</v>
      </c>
      <c r="I2046" s="4" t="s">
        <v>76</v>
      </c>
      <c r="J2046" s="4">
        <v>320</v>
      </c>
      <c r="K2046" s="6" t="str">
        <f>TEXT(TIMEVALUE(H2046)-TIMEVALUE(I2045)+(TIMEVALUE(H2046)&lt;TIMEVALUE(I2045)),"[h]:mm")</f>
        <v>1:10</v>
      </c>
      <c r="L2046" s="4" t="s">
        <v>93</v>
      </c>
      <c r="M2046" t="str">
        <f>IF($M$2044="","",$M$2044)</f>
        <v/>
      </c>
      <c r="O2046" t="str">
        <f>IF($O$2044="","",$O$2044)</f>
        <v/>
      </c>
      <c r="Q2046" s="4">
        <f>B2046</f>
        <v>1968</v>
      </c>
      <c r="R2046" s="4" t="str">
        <f>C2046</f>
        <v>23/10/2026</v>
      </c>
      <c r="S2046" s="4" t="str">
        <f>D2046</f>
        <v>viernes</v>
      </c>
      <c r="T2046" s="4" t="str">
        <f>E2046&amp;"/"&amp;E2047</f>
        <v>2087/2088</v>
      </c>
      <c r="U2046" s="4" t="str">
        <f>F2046&amp;"-"&amp;G2046&amp;"-"&amp;F2046</f>
        <v>LIM-TPP-LIM</v>
      </c>
      <c r="V2046" s="4" t="str">
        <f>IF($M$2044="","",$M$2044)</f>
        <v/>
      </c>
      <c r="W2046" s="4" t="str">
        <f>IF($O$2044="","",$O$2044)</f>
        <v/>
      </c>
      <c r="X2046" s="4">
        <f>J2046</f>
        <v>320</v>
      </c>
    </row>
    <row r="2047" spans="2:24" ht="30" x14ac:dyDescent="0.25">
      <c r="B2047" s="4">
        <v>1968</v>
      </c>
      <c r="C2047" s="4" t="s">
        <v>195</v>
      </c>
      <c r="D2047" s="4" t="s">
        <v>96</v>
      </c>
      <c r="E2047" s="4">
        <v>2088</v>
      </c>
      <c r="F2047" s="4" t="s">
        <v>91</v>
      </c>
      <c r="G2047" s="4" t="s">
        <v>29</v>
      </c>
      <c r="H2047" s="4" t="s">
        <v>85</v>
      </c>
      <c r="I2047" s="4" t="s">
        <v>100</v>
      </c>
      <c r="J2047" s="4">
        <v>320</v>
      </c>
      <c r="K2047" t="str">
        <f>TEXT(TIMEVALUE(H2047)-TIMEVALUE(I2046)+(TIMEVALUE(H2047)&lt;TIMEVALUE(I2046)),"[h]:mm")</f>
        <v>0:35</v>
      </c>
      <c r="L2047" s="4" t="s">
        <v>93</v>
      </c>
      <c r="O2047" t="str">
        <f>"LIM-"&amp;G2046&amp;"-LIM   LA "&amp;E2046&amp;" ("&amp;LEFT(H2046,5)&amp;"-"&amp;LEFT(I2046,5)&amp;" hrs)  /  LA "&amp;E2047&amp;" ("&amp;LEFT(H2047,5)&amp;"-"&amp;LEFT(I2047,5)&amp;" hrs)"</f>
        <v>LIM-TPP-LIM   LA 2087 (14:05-15:30 hrs)  /  LA 2088 (16:05-17:30 hrs)</v>
      </c>
    </row>
    <row r="2048" spans="2:24" x14ac:dyDescent="0.25">
      <c r="J2048" s="7" t="s">
        <v>43</v>
      </c>
      <c r="K2048" s="8" t="str">
        <f>TEXT(TIMEVALUE(I2047)-TIMEVALUE(H2044)+(I2047&lt;H2044),"[h]:mm")</f>
        <v>8:20</v>
      </c>
    </row>
    <row r="2050" spans="2:24" ht="30" x14ac:dyDescent="0.25">
      <c r="B2050" s="3" t="s">
        <v>9</v>
      </c>
      <c r="C2050" s="3" t="s">
        <v>17</v>
      </c>
      <c r="D2050" s="3" t="s">
        <v>18</v>
      </c>
      <c r="E2050" s="3" t="s">
        <v>19</v>
      </c>
      <c r="F2050" s="3" t="s">
        <v>20</v>
      </c>
      <c r="G2050" s="3" t="s">
        <v>21</v>
      </c>
      <c r="H2050" s="3" t="s">
        <v>22</v>
      </c>
      <c r="I2050" s="3" t="s">
        <v>23</v>
      </c>
      <c r="J2050" s="3" t="s">
        <v>24</v>
      </c>
      <c r="K2050" s="3" t="s">
        <v>25</v>
      </c>
      <c r="L2050" s="3" t="s">
        <v>26</v>
      </c>
    </row>
    <row r="2051" spans="2:24" ht="30" x14ac:dyDescent="0.25">
      <c r="B2051" s="4">
        <v>1946</v>
      </c>
      <c r="C2051" s="4" t="s">
        <v>195</v>
      </c>
      <c r="D2051" s="4" t="s">
        <v>96</v>
      </c>
      <c r="E2051" s="4">
        <v>2077</v>
      </c>
      <c r="F2051" s="4" t="s">
        <v>29</v>
      </c>
      <c r="G2051" s="4" t="s">
        <v>30</v>
      </c>
      <c r="H2051" s="4" t="s">
        <v>196</v>
      </c>
      <c r="I2051" s="4" t="s">
        <v>197</v>
      </c>
      <c r="J2051" s="4">
        <v>319</v>
      </c>
      <c r="L2051" s="4" t="s">
        <v>33</v>
      </c>
      <c r="M2051" s="5"/>
      <c r="O2051" s="5"/>
      <c r="Q2051" s="4">
        <f>B2051</f>
        <v>1946</v>
      </c>
      <c r="R2051" s="4" t="str">
        <f>C2051</f>
        <v>23/10/2026</v>
      </c>
      <c r="S2051" s="4" t="str">
        <f>D2051</f>
        <v>viernes</v>
      </c>
      <c r="T2051" s="4" t="str">
        <f>E2051&amp;"/"&amp;E2052</f>
        <v>2077/2078</v>
      </c>
      <c r="U2051" s="4" t="str">
        <f>F2051&amp;"-"&amp;G2051&amp;"-"&amp;F2051</f>
        <v>LIM-CUZ-LIM</v>
      </c>
      <c r="V2051" s="4" t="str">
        <f>IF($M$2051="","",$M$2051)</f>
        <v/>
      </c>
      <c r="W2051" s="4" t="str">
        <f>IF($O$2051="","",$O$2051)</f>
        <v/>
      </c>
      <c r="X2051" s="4">
        <f>J2051</f>
        <v>319</v>
      </c>
    </row>
    <row r="2052" spans="2:24" ht="30" x14ac:dyDescent="0.25">
      <c r="B2052" s="4">
        <v>1946</v>
      </c>
      <c r="C2052" s="4" t="s">
        <v>195</v>
      </c>
      <c r="D2052" s="4" t="s">
        <v>96</v>
      </c>
      <c r="E2052" s="4">
        <v>2078</v>
      </c>
      <c r="F2052" s="4" t="s">
        <v>30</v>
      </c>
      <c r="G2052" s="4" t="s">
        <v>29</v>
      </c>
      <c r="H2052" s="4" t="s">
        <v>73</v>
      </c>
      <c r="I2052" s="4" t="s">
        <v>198</v>
      </c>
      <c r="J2052" s="4">
        <v>319</v>
      </c>
      <c r="K2052" t="str">
        <f>TEXT(TIMEVALUE(H2052)-TIMEVALUE(I2051)+(TIMEVALUE(H2052)&lt;TIMEVALUE(I2051)),"[h]:mm")</f>
        <v>3:40</v>
      </c>
      <c r="L2052" s="4" t="s">
        <v>36</v>
      </c>
      <c r="O2052" t="str">
        <f>"LIM-"&amp;G2051&amp;"-LIM   LA "&amp;E2051&amp;" ("&amp;LEFT(H2051,5)&amp;"-"&amp;LEFT(I2051,5)&amp;" hrs)  /  LA "&amp;E2052&amp;" ("&amp;LEFT(H2052,5)&amp;"-"&amp;LEFT(I2052,5)&amp;" hrs)"</f>
        <v>LIM-CUZ-LIM   LA 2077 (09:50-11:10 hrs)  /  LA 2078 (14:50-16:25 hrs)</v>
      </c>
    </row>
    <row r="2053" spans="2:24" ht="30" x14ac:dyDescent="0.25">
      <c r="B2053" s="4">
        <v>1986</v>
      </c>
      <c r="C2053" s="4" t="s">
        <v>195</v>
      </c>
      <c r="D2053" s="4" t="s">
        <v>96</v>
      </c>
      <c r="E2053" s="4">
        <v>2213</v>
      </c>
      <c r="F2053" s="4" t="s">
        <v>29</v>
      </c>
      <c r="G2053" s="4" t="s">
        <v>37</v>
      </c>
      <c r="H2053" s="4" t="s">
        <v>53</v>
      </c>
      <c r="I2053" s="4" t="s">
        <v>127</v>
      </c>
      <c r="J2053" s="4">
        <v>320</v>
      </c>
      <c r="K2053" s="6" t="str">
        <f>TEXT(TIMEVALUE(H2053)-TIMEVALUE(I2052)+(TIMEVALUE(H2053)&lt;TIMEVALUE(I2052)),"[h]:mm")</f>
        <v>0:55</v>
      </c>
      <c r="L2053" s="4" t="s">
        <v>40</v>
      </c>
      <c r="M2053" t="str">
        <f>IF($M$2051="","",$M$2051)</f>
        <v/>
      </c>
      <c r="O2053" t="str">
        <f>IF($O$2051="","",$O$2051)</f>
        <v/>
      </c>
      <c r="Q2053" s="4">
        <f>B2053</f>
        <v>1986</v>
      </c>
      <c r="R2053" s="4" t="str">
        <f>C2053</f>
        <v>23/10/2026</v>
      </c>
      <c r="S2053" s="4" t="str">
        <f>D2053</f>
        <v>viernes</v>
      </c>
      <c r="T2053" s="4" t="str">
        <f>E2053&amp;"/"&amp;E2054</f>
        <v>2213/2214</v>
      </c>
      <c r="U2053" s="4" t="str">
        <f>F2053&amp;"-"&amp;G2053&amp;"-"&amp;F2053</f>
        <v>LIM-CIX-LIM</v>
      </c>
      <c r="V2053" s="4" t="str">
        <f>IF($M$2051="","",$M$2051)</f>
        <v/>
      </c>
      <c r="W2053" s="4" t="str">
        <f>IF($O$2051="","",$O$2051)</f>
        <v/>
      </c>
      <c r="X2053" s="4">
        <f>J2053</f>
        <v>320</v>
      </c>
    </row>
    <row r="2054" spans="2:24" ht="30" x14ac:dyDescent="0.25">
      <c r="B2054" s="4">
        <v>1986</v>
      </c>
      <c r="C2054" s="4" t="s">
        <v>195</v>
      </c>
      <c r="D2054" s="4" t="s">
        <v>96</v>
      </c>
      <c r="E2054" s="4">
        <v>2214</v>
      </c>
      <c r="F2054" s="4" t="s">
        <v>37</v>
      </c>
      <c r="G2054" s="4" t="s">
        <v>29</v>
      </c>
      <c r="H2054" s="4" t="s">
        <v>128</v>
      </c>
      <c r="I2054" s="4" t="s">
        <v>129</v>
      </c>
      <c r="J2054" s="4">
        <v>320</v>
      </c>
      <c r="K2054" t="str">
        <f>TEXT(TIMEVALUE(H2054)-TIMEVALUE(I2053)+(TIMEVALUE(H2054)&lt;TIMEVALUE(I2053)),"[h]:mm")</f>
        <v>0:35</v>
      </c>
      <c r="L2054" s="4" t="s">
        <v>61</v>
      </c>
      <c r="O2054" t="str">
        <f>"LIM-"&amp;G2053&amp;"-LIM   LA "&amp;E2053&amp;" ("&amp;LEFT(H2053,5)&amp;"-"&amp;LEFT(I2053,5)&amp;" hrs)  /  LA "&amp;E2054&amp;" ("&amp;LEFT(H2054,5)&amp;"-"&amp;LEFT(I2054,5)&amp;" hrs)"</f>
        <v>LIM-CIX-LIM   LA 2213 (17:20-18:50 hrs)  /  LA 2214 (19:25-20:40 hrs)</v>
      </c>
    </row>
    <row r="2055" spans="2:24" x14ac:dyDescent="0.25">
      <c r="J2055" s="7" t="s">
        <v>43</v>
      </c>
      <c r="K2055" s="8" t="str">
        <f>TEXT(TIMEVALUE(I2054)-TIMEVALUE(H2051)+(I2054&lt;H2051),"[h]:mm")</f>
        <v>10:50</v>
      </c>
    </row>
    <row r="2057" spans="2:24" ht="30" x14ac:dyDescent="0.25">
      <c r="B2057" s="3" t="s">
        <v>9</v>
      </c>
      <c r="C2057" s="3" t="s">
        <v>17</v>
      </c>
      <c r="D2057" s="3" t="s">
        <v>18</v>
      </c>
      <c r="E2057" s="3" t="s">
        <v>19</v>
      </c>
      <c r="F2057" s="3" t="s">
        <v>20</v>
      </c>
      <c r="G2057" s="3" t="s">
        <v>21</v>
      </c>
      <c r="H2057" s="3" t="s">
        <v>22</v>
      </c>
      <c r="I2057" s="3" t="s">
        <v>23</v>
      </c>
      <c r="J2057" s="3" t="s">
        <v>24</v>
      </c>
      <c r="K2057" s="3" t="s">
        <v>25</v>
      </c>
      <c r="L2057" s="3" t="s">
        <v>26</v>
      </c>
    </row>
    <row r="2058" spans="2:24" ht="30" x14ac:dyDescent="0.25">
      <c r="B2058" s="4">
        <v>1949</v>
      </c>
      <c r="C2058" s="4" t="s">
        <v>195</v>
      </c>
      <c r="D2058" s="4" t="s">
        <v>96</v>
      </c>
      <c r="E2058" s="4">
        <v>2299</v>
      </c>
      <c r="F2058" s="4" t="s">
        <v>29</v>
      </c>
      <c r="G2058" s="4" t="s">
        <v>50</v>
      </c>
      <c r="H2058" s="4" t="s">
        <v>64</v>
      </c>
      <c r="I2058" s="4" t="s">
        <v>35</v>
      </c>
      <c r="J2058" s="4">
        <v>320</v>
      </c>
      <c r="L2058" s="4" t="s">
        <v>33</v>
      </c>
      <c r="M2058" s="5"/>
      <c r="O2058" s="5"/>
      <c r="Q2058" s="4">
        <f>B2058</f>
        <v>1949</v>
      </c>
      <c r="R2058" s="4" t="str">
        <f>C2058</f>
        <v>23/10/2026</v>
      </c>
      <c r="S2058" s="4" t="str">
        <f>D2058</f>
        <v>viernes</v>
      </c>
      <c r="T2058" s="4" t="str">
        <f>E2058&amp;"/"&amp;E2059</f>
        <v>2299/2298</v>
      </c>
      <c r="U2058" s="4" t="str">
        <f>F2058&amp;"-"&amp;G2058&amp;"-"&amp;F2058</f>
        <v>LIM-CJA-LIM</v>
      </c>
      <c r="V2058" s="4" t="str">
        <f>IF($M$2058="","",$M$2058)</f>
        <v/>
      </c>
      <c r="W2058" s="4" t="str">
        <f>IF($O$2058="","",$O$2058)</f>
        <v/>
      </c>
      <c r="X2058" s="4">
        <f>J2058</f>
        <v>320</v>
      </c>
    </row>
    <row r="2059" spans="2:24" ht="30" x14ac:dyDescent="0.25">
      <c r="B2059" s="4">
        <v>1949</v>
      </c>
      <c r="C2059" s="4" t="s">
        <v>195</v>
      </c>
      <c r="D2059" s="4" t="s">
        <v>96</v>
      </c>
      <c r="E2059" s="4">
        <v>2298</v>
      </c>
      <c r="F2059" s="4" t="s">
        <v>50</v>
      </c>
      <c r="G2059" s="4" t="s">
        <v>29</v>
      </c>
      <c r="H2059" s="4" t="s">
        <v>99</v>
      </c>
      <c r="I2059" s="4" t="s">
        <v>87</v>
      </c>
      <c r="J2059" s="4">
        <v>320</v>
      </c>
      <c r="K2059" t="str">
        <f>TEXT(TIMEVALUE(H2059)-TIMEVALUE(I2058)+(TIMEVALUE(H2059)&lt;TIMEVALUE(I2058)),"[h]:mm")</f>
        <v>0:50</v>
      </c>
      <c r="L2059" s="4" t="s">
        <v>74</v>
      </c>
      <c r="O2059" t="str">
        <f>"LIM-"&amp;G2058&amp;"-LIM   LA "&amp;E2058&amp;" ("&amp;LEFT(H2058,5)&amp;"-"&amp;LEFT(I2058,5)&amp;" hrs)  /  LA "&amp;E2059&amp;" ("&amp;LEFT(H2059,5)&amp;"-"&amp;LEFT(I2059,5)&amp;" hrs)"</f>
        <v>LIM-CJA-LIM   LA 2299 (11:35-12:55 hrs)  /  LA 2298 (13:45-14:55 hrs)</v>
      </c>
    </row>
    <row r="2060" spans="2:24" ht="30" x14ac:dyDescent="0.25">
      <c r="B2060" s="4">
        <v>1981</v>
      </c>
      <c r="C2060" s="4" t="s">
        <v>195</v>
      </c>
      <c r="D2060" s="4" t="s">
        <v>96</v>
      </c>
      <c r="E2060" s="4">
        <v>2127</v>
      </c>
      <c r="F2060" s="4" t="s">
        <v>29</v>
      </c>
      <c r="G2060" s="4" t="s">
        <v>30</v>
      </c>
      <c r="H2060" s="4" t="s">
        <v>83</v>
      </c>
      <c r="I2060" s="4" t="s">
        <v>100</v>
      </c>
      <c r="J2060" s="4">
        <v>320</v>
      </c>
      <c r="K2060" s="6" t="str">
        <f>TEXT(TIMEVALUE(H2060)-TIMEVALUE(I2059)+(TIMEVALUE(H2060)&lt;TIMEVALUE(I2059)),"[h]:mm")</f>
        <v>1:15</v>
      </c>
      <c r="L2060" s="4" t="s">
        <v>33</v>
      </c>
      <c r="M2060" t="str">
        <f>IF($M$2058="","",$M$2058)</f>
        <v/>
      </c>
      <c r="O2060" t="str">
        <f>IF($O$2058="","",$O$2058)</f>
        <v/>
      </c>
      <c r="Q2060" s="4">
        <f>B2060</f>
        <v>1981</v>
      </c>
      <c r="R2060" s="4" t="str">
        <f>C2060</f>
        <v>23/10/2026</v>
      </c>
      <c r="S2060" s="4" t="str">
        <f>D2060</f>
        <v>viernes</v>
      </c>
      <c r="T2060" s="4" t="str">
        <f>E2060&amp;"/"&amp;E2061</f>
        <v>2127/2026</v>
      </c>
      <c r="U2060" s="4" t="str">
        <f>F2060&amp;"-"&amp;G2060&amp;"-"&amp;F2060</f>
        <v>LIM-CUZ-LIM</v>
      </c>
      <c r="V2060" s="4" t="str">
        <f>IF($M$2058="","",$M$2058)</f>
        <v/>
      </c>
      <c r="W2060" s="4" t="str">
        <f>IF($O$2058="","",$O$2058)</f>
        <v/>
      </c>
      <c r="X2060" s="4">
        <f>J2060</f>
        <v>320</v>
      </c>
    </row>
    <row r="2061" spans="2:24" ht="30" x14ac:dyDescent="0.25">
      <c r="B2061" s="4">
        <v>1981</v>
      </c>
      <c r="C2061" s="4" t="s">
        <v>195</v>
      </c>
      <c r="D2061" s="4" t="s">
        <v>96</v>
      </c>
      <c r="E2061" s="4">
        <v>2026</v>
      </c>
      <c r="F2061" s="4" t="s">
        <v>30</v>
      </c>
      <c r="G2061" s="4" t="s">
        <v>29</v>
      </c>
      <c r="H2061" s="4" t="s">
        <v>101</v>
      </c>
      <c r="I2061" s="4" t="s">
        <v>102</v>
      </c>
      <c r="J2061" s="4">
        <v>320</v>
      </c>
      <c r="K2061" t="str">
        <f>TEXT(TIMEVALUE(H2061)-TIMEVALUE(I2060)+(TIMEVALUE(H2061)&lt;TIMEVALUE(I2060)),"[h]:mm")</f>
        <v>0:40</v>
      </c>
      <c r="L2061" s="4" t="s">
        <v>71</v>
      </c>
      <c r="O2061" t="str">
        <f>"LIM-"&amp;G2060&amp;"-LIM   LA "&amp;E2060&amp;" ("&amp;LEFT(H2060,5)&amp;"-"&amp;LEFT(I2060,5)&amp;" hrs)  /  LA "&amp;E2061&amp;" ("&amp;LEFT(H2061,5)&amp;"-"&amp;LEFT(I2061,5)&amp;" hrs)"</f>
        <v>LIM-CUZ-LIM   LA 2127 (16:10-17:30 hrs)  /  LA 2026 (18:10-19:50 hrs)</v>
      </c>
    </row>
    <row r="2062" spans="2:24" x14ac:dyDescent="0.25">
      <c r="J2062" s="7" t="s">
        <v>43</v>
      </c>
      <c r="K2062" s="8" t="str">
        <f>TEXT(TIMEVALUE(I2061)-TIMEVALUE(H2058)+(I2061&lt;H2058),"[h]:mm")</f>
        <v>8:15</v>
      </c>
    </row>
    <row r="2064" spans="2:24" ht="30" x14ac:dyDescent="0.25">
      <c r="B2064" s="3" t="s">
        <v>9</v>
      </c>
      <c r="C2064" s="3" t="s">
        <v>17</v>
      </c>
      <c r="D2064" s="3" t="s">
        <v>18</v>
      </c>
      <c r="E2064" s="3" t="s">
        <v>19</v>
      </c>
      <c r="F2064" s="3" t="s">
        <v>20</v>
      </c>
      <c r="G2064" s="3" t="s">
        <v>21</v>
      </c>
      <c r="H2064" s="3" t="s">
        <v>22</v>
      </c>
      <c r="I2064" s="3" t="s">
        <v>23</v>
      </c>
      <c r="J2064" s="3" t="s">
        <v>24</v>
      </c>
      <c r="K2064" s="3" t="s">
        <v>25</v>
      </c>
      <c r="L2064" s="3" t="s">
        <v>26</v>
      </c>
    </row>
    <row r="2065" spans="2:24" ht="30" x14ac:dyDescent="0.25">
      <c r="B2065" s="4">
        <v>1950</v>
      </c>
      <c r="C2065" s="4" t="s">
        <v>195</v>
      </c>
      <c r="D2065" s="4" t="s">
        <v>96</v>
      </c>
      <c r="E2065" s="4">
        <v>2019</v>
      </c>
      <c r="F2065" s="4" t="s">
        <v>29</v>
      </c>
      <c r="G2065" s="4" t="s">
        <v>63</v>
      </c>
      <c r="H2065" s="4" t="s">
        <v>64</v>
      </c>
      <c r="I2065" s="4" t="s">
        <v>65</v>
      </c>
      <c r="J2065" s="4">
        <v>320</v>
      </c>
      <c r="L2065" s="4" t="s">
        <v>66</v>
      </c>
      <c r="M2065" s="5"/>
      <c r="O2065" s="5"/>
      <c r="Q2065" s="4">
        <f>B2065</f>
        <v>1950</v>
      </c>
      <c r="R2065" s="4" t="str">
        <f>C2065</f>
        <v>23/10/2026</v>
      </c>
      <c r="S2065" s="4" t="str">
        <f>D2065</f>
        <v>viernes</v>
      </c>
      <c r="T2065" s="4" t="str">
        <f>E2065&amp;"/"&amp;E2066</f>
        <v>2019/2038</v>
      </c>
      <c r="U2065" s="4" t="str">
        <f>F2065&amp;"-"&amp;G2065&amp;"-"&amp;F2065</f>
        <v>LIM-IQT-LIM</v>
      </c>
      <c r="V2065" s="4" t="str">
        <f>IF($M$2065="","",$M$2065)</f>
        <v/>
      </c>
      <c r="W2065" s="4" t="str">
        <f>IF($O$2065="","",$O$2065)</f>
        <v/>
      </c>
      <c r="X2065" s="4">
        <f>J2065</f>
        <v>320</v>
      </c>
    </row>
    <row r="2066" spans="2:24" ht="30" x14ac:dyDescent="0.25">
      <c r="B2066" s="4">
        <v>1950</v>
      </c>
      <c r="C2066" s="4" t="s">
        <v>195</v>
      </c>
      <c r="D2066" s="4" t="s">
        <v>96</v>
      </c>
      <c r="E2066" s="4">
        <v>2038</v>
      </c>
      <c r="F2066" s="4" t="s">
        <v>63</v>
      </c>
      <c r="G2066" s="4" t="s">
        <v>29</v>
      </c>
      <c r="H2066" s="4" t="s">
        <v>67</v>
      </c>
      <c r="I2066" s="4" t="s">
        <v>41</v>
      </c>
      <c r="J2066" s="4">
        <v>320</v>
      </c>
      <c r="K2066" t="str">
        <f>TEXT(TIMEVALUE(H2066)-TIMEVALUE(I2065)+(TIMEVALUE(H2066)&lt;TIMEVALUE(I2065)),"[h]:mm")</f>
        <v>0:40</v>
      </c>
      <c r="L2066" s="4" t="s">
        <v>66</v>
      </c>
      <c r="O2066" t="str">
        <f>"LIM-"&amp;G2065&amp;"-LIM   LA "&amp;E2065&amp;" ("&amp;LEFT(H2065,5)&amp;"-"&amp;LEFT(I2065,5)&amp;" hrs)  /  LA "&amp;E2066&amp;" ("&amp;LEFT(H2066,5)&amp;"-"&amp;LEFT(I2066,5)&amp;" hrs)"</f>
        <v>LIM-IQT-LIM   LA 2019 (11:35-13:25 hrs)  /  LA 2038 (14:05-15:55 hrs)</v>
      </c>
    </row>
    <row r="2067" spans="2:24" x14ac:dyDescent="0.25">
      <c r="J2067" s="7" t="s">
        <v>43</v>
      </c>
      <c r="K2067" s="8" t="str">
        <f>TEXT(TIMEVALUE(I2066)-TIMEVALUE(H2065)+(I2066&lt;H2065),"[h]:mm")</f>
        <v>4:20</v>
      </c>
    </row>
    <row r="2069" spans="2:24" ht="30" x14ac:dyDescent="0.25">
      <c r="B2069" s="3" t="s">
        <v>9</v>
      </c>
      <c r="C2069" s="3" t="s">
        <v>17</v>
      </c>
      <c r="D2069" s="3" t="s">
        <v>18</v>
      </c>
      <c r="E2069" s="3" t="s">
        <v>19</v>
      </c>
      <c r="F2069" s="3" t="s">
        <v>20</v>
      </c>
      <c r="G2069" s="3" t="s">
        <v>21</v>
      </c>
      <c r="H2069" s="3" t="s">
        <v>22</v>
      </c>
      <c r="I2069" s="3" t="s">
        <v>23</v>
      </c>
      <c r="J2069" s="3" t="s">
        <v>24</v>
      </c>
      <c r="K2069" s="3" t="s">
        <v>25</v>
      </c>
      <c r="L2069" s="3" t="s">
        <v>26</v>
      </c>
    </row>
    <row r="2070" spans="2:24" ht="30" x14ac:dyDescent="0.25">
      <c r="B2070" s="4">
        <v>1952</v>
      </c>
      <c r="C2070" s="4" t="s">
        <v>195</v>
      </c>
      <c r="D2070" s="4" t="s">
        <v>96</v>
      </c>
      <c r="E2070" s="4">
        <v>2111</v>
      </c>
      <c r="F2070" s="4" t="s">
        <v>29</v>
      </c>
      <c r="G2070" s="4" t="s">
        <v>56</v>
      </c>
      <c r="H2070" s="4" t="s">
        <v>103</v>
      </c>
      <c r="I2070" s="4" t="s">
        <v>104</v>
      </c>
      <c r="J2070" s="4">
        <v>319</v>
      </c>
      <c r="L2070" s="4" t="s">
        <v>40</v>
      </c>
      <c r="M2070" s="5"/>
      <c r="O2070" s="5"/>
      <c r="Q2070" s="4">
        <f>B2070</f>
        <v>1952</v>
      </c>
      <c r="R2070" s="4" t="str">
        <f>C2070</f>
        <v>23/10/2026</v>
      </c>
      <c r="S2070" s="4" t="str">
        <f>D2070</f>
        <v>viernes</v>
      </c>
      <c r="T2070" s="4" t="str">
        <f>E2070&amp;"/"&amp;E2071</f>
        <v>2111/2110</v>
      </c>
      <c r="U2070" s="4" t="str">
        <f>F2070&amp;"-"&amp;G2070&amp;"-"&amp;F2070</f>
        <v>LIM-AQP-LIM</v>
      </c>
      <c r="V2070" s="4" t="str">
        <f>IF($M$2070="","",$M$2070)</f>
        <v/>
      </c>
      <c r="W2070" s="4" t="str">
        <f>IF($O$2070="","",$O$2070)</f>
        <v/>
      </c>
      <c r="X2070" s="4">
        <f>J2070</f>
        <v>319</v>
      </c>
    </row>
    <row r="2071" spans="2:24" ht="30" x14ac:dyDescent="0.25">
      <c r="B2071" s="4">
        <v>1952</v>
      </c>
      <c r="C2071" s="4" t="s">
        <v>195</v>
      </c>
      <c r="D2071" s="4" t="s">
        <v>96</v>
      </c>
      <c r="E2071" s="4">
        <v>2110</v>
      </c>
      <c r="F2071" s="4" t="s">
        <v>56</v>
      </c>
      <c r="G2071" s="4" t="s">
        <v>29</v>
      </c>
      <c r="H2071" s="4" t="s">
        <v>84</v>
      </c>
      <c r="I2071" s="4" t="s">
        <v>105</v>
      </c>
      <c r="J2071" s="4">
        <v>319</v>
      </c>
      <c r="K2071" t="str">
        <f>TEXT(TIMEVALUE(H2071)-TIMEVALUE(I2070)+(TIMEVALUE(H2071)&lt;TIMEVALUE(I2070)),"[h]:mm")</f>
        <v>4:40</v>
      </c>
      <c r="L2071" s="4" t="s">
        <v>71</v>
      </c>
      <c r="O2071" t="str">
        <f>"LIM-"&amp;G2070&amp;"-LIM   LA "&amp;E2070&amp;" ("&amp;LEFT(H2070,5)&amp;"-"&amp;LEFT(I2070,5)&amp;" hrs)  /  LA "&amp;E2071&amp;" ("&amp;LEFT(H2071,5)&amp;"-"&amp;LEFT(I2071,5)&amp;" hrs)"</f>
        <v>LIM-AQP-LIM   LA 2111 (11:40-13:10 hrs)  /  LA 2110 (17:50-19:30 hrs)</v>
      </c>
    </row>
    <row r="2072" spans="2:24" x14ac:dyDescent="0.25">
      <c r="J2072" s="7" t="s">
        <v>43</v>
      </c>
      <c r="K2072" s="8" t="str">
        <f>TEXT(TIMEVALUE(I2071)-TIMEVALUE(H2070)+(I2071&lt;H2070),"[h]:mm")</f>
        <v>7:50</v>
      </c>
    </row>
    <row r="2074" spans="2:24" ht="30" x14ac:dyDescent="0.25">
      <c r="B2074" s="3" t="s">
        <v>9</v>
      </c>
      <c r="C2074" s="3" t="s">
        <v>17</v>
      </c>
      <c r="D2074" s="3" t="s">
        <v>18</v>
      </c>
      <c r="E2074" s="3" t="s">
        <v>19</v>
      </c>
      <c r="F2074" s="3" t="s">
        <v>20</v>
      </c>
      <c r="G2074" s="3" t="s">
        <v>21</v>
      </c>
      <c r="H2074" s="3" t="s">
        <v>22</v>
      </c>
      <c r="I2074" s="3" t="s">
        <v>23</v>
      </c>
      <c r="J2074" s="3" t="s">
        <v>24</v>
      </c>
      <c r="K2074" s="3" t="s">
        <v>25</v>
      </c>
      <c r="L2074" s="3" t="s">
        <v>26</v>
      </c>
    </row>
    <row r="2075" spans="2:24" ht="30" x14ac:dyDescent="0.25">
      <c r="B2075" s="4">
        <v>1954</v>
      </c>
      <c r="C2075" s="4" t="s">
        <v>195</v>
      </c>
      <c r="D2075" s="4" t="s">
        <v>96</v>
      </c>
      <c r="E2075" s="4">
        <v>2356</v>
      </c>
      <c r="F2075" s="4" t="s">
        <v>29</v>
      </c>
      <c r="G2075" s="4" t="s">
        <v>30</v>
      </c>
      <c r="H2075" s="4" t="s">
        <v>98</v>
      </c>
      <c r="I2075" s="4" t="s">
        <v>106</v>
      </c>
      <c r="J2075" s="4">
        <v>319</v>
      </c>
      <c r="L2075" s="4" t="s">
        <v>93</v>
      </c>
      <c r="M2075" s="5"/>
      <c r="O2075" s="5"/>
      <c r="Q2075" s="4">
        <f>B2075</f>
        <v>1954</v>
      </c>
      <c r="R2075" s="4" t="str">
        <f>C2075</f>
        <v>23/10/2026</v>
      </c>
      <c r="S2075" s="4" t="str">
        <f>D2075</f>
        <v>viernes</v>
      </c>
      <c r="T2075" s="4" t="str">
        <f>E2075&amp;"/"&amp;E2076</f>
        <v>2356/2357</v>
      </c>
      <c r="U2075" s="4" t="str">
        <f>F2075&amp;"-"&amp;G2075&amp;"-"&amp;F2075</f>
        <v>LIM-CUZ-LIM</v>
      </c>
      <c r="V2075" s="4" t="str">
        <f>IF($M$2075="","",$M$2075)</f>
        <v/>
      </c>
      <c r="W2075" s="4" t="str">
        <f>IF($O$2075="","",$O$2075)</f>
        <v/>
      </c>
      <c r="X2075" s="4">
        <f>J2075</f>
        <v>319</v>
      </c>
    </row>
    <row r="2076" spans="2:24" ht="30" x14ac:dyDescent="0.25">
      <c r="B2076" s="4">
        <v>1954</v>
      </c>
      <c r="C2076" s="4" t="s">
        <v>195</v>
      </c>
      <c r="D2076" s="4" t="s">
        <v>96</v>
      </c>
      <c r="E2076" s="4">
        <v>2357</v>
      </c>
      <c r="F2076" s="4" t="s">
        <v>30</v>
      </c>
      <c r="G2076" s="4" t="s">
        <v>29</v>
      </c>
      <c r="H2076" s="4" t="s">
        <v>107</v>
      </c>
      <c r="I2076" s="4" t="s">
        <v>108</v>
      </c>
      <c r="J2076" s="4">
        <v>319</v>
      </c>
      <c r="K2076" t="str">
        <f>TEXT(TIMEVALUE(H2076)-TIMEVALUE(I2075)+(TIMEVALUE(H2076)&lt;TIMEVALUE(I2075)),"[h]:mm")</f>
        <v>0:40</v>
      </c>
      <c r="L2076" s="4" t="s">
        <v>36</v>
      </c>
      <c r="O2076" t="str">
        <f>"LIM-"&amp;G2075&amp;"-LIM   LA "&amp;E2075&amp;" ("&amp;LEFT(H2075,5)&amp;"-"&amp;LEFT(I2075,5)&amp;" hrs)  /  LA "&amp;E2076&amp;" ("&amp;LEFT(H2076,5)&amp;"-"&amp;LEFT(I2076,5)&amp;" hrs)"</f>
        <v>LIM-CUZ-LIM   LA 2356 (12:10-13:35 hrs)  /  LA 2357 (14:15-15:50 hrs)</v>
      </c>
    </row>
    <row r="2077" spans="2:24" x14ac:dyDescent="0.25">
      <c r="J2077" s="7" t="s">
        <v>43</v>
      </c>
      <c r="K2077" s="8" t="str">
        <f>TEXT(TIMEVALUE(I2076)-TIMEVALUE(H2075)+(I2076&lt;H2075),"[h]:mm")</f>
        <v>3:40</v>
      </c>
    </row>
    <row r="2079" spans="2:24" ht="30" x14ac:dyDescent="0.25">
      <c r="B2079" s="3" t="s">
        <v>9</v>
      </c>
      <c r="C2079" s="3" t="s">
        <v>17</v>
      </c>
      <c r="D2079" s="3" t="s">
        <v>18</v>
      </c>
      <c r="E2079" s="3" t="s">
        <v>19</v>
      </c>
      <c r="F2079" s="3" t="s">
        <v>20</v>
      </c>
      <c r="G2079" s="3" t="s">
        <v>21</v>
      </c>
      <c r="H2079" s="3" t="s">
        <v>22</v>
      </c>
      <c r="I2079" s="3" t="s">
        <v>23</v>
      </c>
      <c r="J2079" s="3" t="s">
        <v>24</v>
      </c>
      <c r="K2079" s="3" t="s">
        <v>25</v>
      </c>
      <c r="L2079" s="3" t="s">
        <v>26</v>
      </c>
    </row>
    <row r="2080" spans="2:24" ht="30" x14ac:dyDescent="0.25">
      <c r="B2080" s="4">
        <v>1958</v>
      </c>
      <c r="C2080" s="4" t="s">
        <v>195</v>
      </c>
      <c r="D2080" s="4" t="s">
        <v>96</v>
      </c>
      <c r="E2080" s="4">
        <v>2120</v>
      </c>
      <c r="F2080" s="4" t="s">
        <v>29</v>
      </c>
      <c r="G2080" s="4" t="s">
        <v>30</v>
      </c>
      <c r="H2080" s="4" t="s">
        <v>123</v>
      </c>
      <c r="I2080" s="4" t="s">
        <v>82</v>
      </c>
      <c r="J2080" s="4">
        <v>320</v>
      </c>
      <c r="L2080" s="4" t="s">
        <v>33</v>
      </c>
      <c r="M2080" s="5"/>
      <c r="O2080" s="5"/>
      <c r="Q2080" s="4">
        <f>B2080</f>
        <v>1958</v>
      </c>
      <c r="R2080" s="4" t="str">
        <f>C2080</f>
        <v>23/10/2026</v>
      </c>
      <c r="S2080" s="4" t="str">
        <f>D2080</f>
        <v>viernes</v>
      </c>
      <c r="T2080" s="4" t="str">
        <f>E2080&amp;"/"&amp;E2081</f>
        <v>2120/2121</v>
      </c>
      <c r="U2080" s="4" t="str">
        <f>F2080&amp;"-"&amp;G2080&amp;"-"&amp;F2080</f>
        <v>LIM-CUZ-LIM</v>
      </c>
      <c r="V2080" s="4" t="str">
        <f>IF($M$2080="","",$M$2080)</f>
        <v/>
      </c>
      <c r="W2080" s="4" t="str">
        <f>IF($O$2080="","",$O$2080)</f>
        <v/>
      </c>
      <c r="X2080" s="4">
        <f>J2080</f>
        <v>320</v>
      </c>
    </row>
    <row r="2081" spans="2:24" ht="30" x14ac:dyDescent="0.25">
      <c r="B2081" s="4">
        <v>1958</v>
      </c>
      <c r="C2081" s="4" t="s">
        <v>195</v>
      </c>
      <c r="D2081" s="4" t="s">
        <v>96</v>
      </c>
      <c r="E2081" s="4">
        <v>2121</v>
      </c>
      <c r="F2081" s="4" t="s">
        <v>30</v>
      </c>
      <c r="G2081" s="4" t="s">
        <v>29</v>
      </c>
      <c r="H2081" s="4" t="s">
        <v>124</v>
      </c>
      <c r="I2081" s="4" t="s">
        <v>90</v>
      </c>
      <c r="J2081" s="4">
        <v>320</v>
      </c>
      <c r="K2081" t="str">
        <f>TEXT(TIMEVALUE(H2081)-TIMEVALUE(I2080)+(TIMEVALUE(H2081)&lt;TIMEVALUE(I2080)),"[h]:mm")</f>
        <v>3:40</v>
      </c>
      <c r="L2081" s="4" t="s">
        <v>36</v>
      </c>
      <c r="O2081" t="str">
        <f>"LIM-"&amp;G2080&amp;"-LIM   LA "&amp;E2080&amp;" ("&amp;LEFT(H2080,5)&amp;"-"&amp;LEFT(I2080,5)&amp;" hrs)  /  LA "&amp;E2081&amp;" ("&amp;LEFT(H2081,5)&amp;"-"&amp;LEFT(I2081,5)&amp;" hrs)"</f>
        <v>LIM-CUZ-LIM   LA 2120 (12:35-13:55 hrs)  /  LA 2121 (17:35-19:10 hrs)</v>
      </c>
    </row>
    <row r="2082" spans="2:24" x14ac:dyDescent="0.25">
      <c r="J2082" s="7" t="s">
        <v>43</v>
      </c>
      <c r="K2082" s="8" t="str">
        <f>TEXT(TIMEVALUE(I2081)-TIMEVALUE(H2080)+(I2081&lt;H2080),"[h]:mm")</f>
        <v>6:35</v>
      </c>
    </row>
    <row r="2084" spans="2:24" ht="30" x14ac:dyDescent="0.25">
      <c r="B2084" s="3" t="s">
        <v>9</v>
      </c>
      <c r="C2084" s="3" t="s">
        <v>17</v>
      </c>
      <c r="D2084" s="3" t="s">
        <v>18</v>
      </c>
      <c r="E2084" s="3" t="s">
        <v>19</v>
      </c>
      <c r="F2084" s="3" t="s">
        <v>20</v>
      </c>
      <c r="G2084" s="3" t="s">
        <v>21</v>
      </c>
      <c r="H2084" s="3" t="s">
        <v>22</v>
      </c>
      <c r="I2084" s="3" t="s">
        <v>23</v>
      </c>
      <c r="J2084" s="3" t="s">
        <v>24</v>
      </c>
      <c r="K2084" s="3" t="s">
        <v>25</v>
      </c>
      <c r="L2084" s="3" t="s">
        <v>26</v>
      </c>
    </row>
    <row r="2085" spans="2:24" ht="30" x14ac:dyDescent="0.25">
      <c r="B2085" s="4">
        <v>1961</v>
      </c>
      <c r="C2085" s="4" t="s">
        <v>195</v>
      </c>
      <c r="D2085" s="4" t="s">
        <v>96</v>
      </c>
      <c r="E2085" s="4">
        <v>2043</v>
      </c>
      <c r="F2085" s="4" t="s">
        <v>29</v>
      </c>
      <c r="G2085" s="4" t="s">
        <v>56</v>
      </c>
      <c r="H2085" s="4" t="s">
        <v>48</v>
      </c>
      <c r="I2085" s="4" t="s">
        <v>107</v>
      </c>
      <c r="J2085" s="4">
        <v>320</v>
      </c>
      <c r="L2085" s="4" t="s">
        <v>40</v>
      </c>
      <c r="M2085" s="5"/>
      <c r="O2085" s="5"/>
      <c r="Q2085" s="4">
        <f>B2085</f>
        <v>1961</v>
      </c>
      <c r="R2085" s="4" t="str">
        <f>C2085</f>
        <v>23/10/2026</v>
      </c>
      <c r="S2085" s="4" t="str">
        <f>D2085</f>
        <v>viernes</v>
      </c>
      <c r="T2085" s="4" t="str">
        <f>E2085&amp;"/"&amp;E2086</f>
        <v>2043/2044</v>
      </c>
      <c r="U2085" s="4" t="str">
        <f>F2085&amp;"-"&amp;G2085&amp;"-"&amp;F2085</f>
        <v>LIM-AQP-LIM</v>
      </c>
      <c r="V2085" s="4" t="str">
        <f>IF($M$2085="","",$M$2085)</f>
        <v/>
      </c>
      <c r="W2085" s="4" t="str">
        <f>IF($O$2085="","",$O$2085)</f>
        <v/>
      </c>
      <c r="X2085" s="4">
        <f>J2085</f>
        <v>320</v>
      </c>
    </row>
    <row r="2086" spans="2:24" ht="30" x14ac:dyDescent="0.25">
      <c r="B2086" s="4">
        <v>1961</v>
      </c>
      <c r="C2086" s="4" t="s">
        <v>195</v>
      </c>
      <c r="D2086" s="4" t="s">
        <v>96</v>
      </c>
      <c r="E2086" s="4">
        <v>2044</v>
      </c>
      <c r="F2086" s="4" t="s">
        <v>56</v>
      </c>
      <c r="G2086" s="4" t="s">
        <v>29</v>
      </c>
      <c r="H2086" s="4" t="s">
        <v>109</v>
      </c>
      <c r="I2086" s="4" t="s">
        <v>52</v>
      </c>
      <c r="J2086" s="4">
        <v>320</v>
      </c>
      <c r="K2086" t="str">
        <f>TEXT(TIMEVALUE(H2086)-TIMEVALUE(I2085)+(TIMEVALUE(H2086)&lt;TIMEVALUE(I2085)),"[h]:mm")</f>
        <v>0:45</v>
      </c>
      <c r="L2086" s="4" t="s">
        <v>36</v>
      </c>
      <c r="O2086" t="str">
        <f>"LIM-"&amp;G2085&amp;"-LIM   LA "&amp;E2085&amp;" ("&amp;LEFT(H2085,5)&amp;"-"&amp;LEFT(I2085,5)&amp;" hrs)  /  LA "&amp;E2086&amp;" ("&amp;LEFT(H2086,5)&amp;"-"&amp;LEFT(I2086,5)&amp;" hrs)"</f>
        <v>LIM-AQP-LIM   LA 2043 (12:45-14:15 hrs)  /  LA 2044 (15:00-16:35 hrs)</v>
      </c>
    </row>
    <row r="2087" spans="2:24" ht="30" x14ac:dyDescent="0.25">
      <c r="B2087" s="4">
        <v>1988</v>
      </c>
      <c r="C2087" s="4" t="s">
        <v>195</v>
      </c>
      <c r="D2087" s="4" t="s">
        <v>96</v>
      </c>
      <c r="E2087" s="4">
        <v>2236</v>
      </c>
      <c r="F2087" s="4" t="s">
        <v>29</v>
      </c>
      <c r="G2087" s="4" t="s">
        <v>125</v>
      </c>
      <c r="H2087" s="4" t="s">
        <v>156</v>
      </c>
      <c r="I2087" s="4" t="s">
        <v>79</v>
      </c>
      <c r="J2087" s="4">
        <v>320</v>
      </c>
      <c r="K2087" s="6" t="str">
        <f>TEXT(TIMEVALUE(H2087)-TIMEVALUE(I2086)+(TIMEVALUE(H2087)&lt;TIMEVALUE(I2086)),"[h]:mm")</f>
        <v>1:25</v>
      </c>
      <c r="L2087" s="4" t="s">
        <v>71</v>
      </c>
      <c r="M2087" t="str">
        <f>IF($M$2085="","",$M$2085)</f>
        <v/>
      </c>
      <c r="O2087" t="str">
        <f>IF($O$2085="","",$O$2085)</f>
        <v/>
      </c>
      <c r="Q2087" s="4">
        <f>B2087</f>
        <v>1988</v>
      </c>
      <c r="R2087" s="4" t="str">
        <f>C2087</f>
        <v>23/10/2026</v>
      </c>
      <c r="S2087" s="4" t="str">
        <f>D2087</f>
        <v>viernes</v>
      </c>
      <c r="T2087" s="4" t="str">
        <f>E2087&amp;"/"&amp;E2088</f>
        <v>2236/2237</v>
      </c>
      <c r="U2087" s="4" t="str">
        <f>F2087&amp;"-"&amp;G2087&amp;"-"&amp;F2087</f>
        <v>LIM-PIU-LIM</v>
      </c>
      <c r="V2087" s="4" t="str">
        <f>IF($M$2085="","",$M$2085)</f>
        <v/>
      </c>
      <c r="W2087" s="4" t="str">
        <f>IF($O$2085="","",$O$2085)</f>
        <v/>
      </c>
      <c r="X2087" s="4">
        <f>J2087</f>
        <v>320</v>
      </c>
    </row>
    <row r="2088" spans="2:24" ht="30" x14ac:dyDescent="0.25">
      <c r="B2088" s="4">
        <v>1988</v>
      </c>
      <c r="C2088" s="4" t="s">
        <v>195</v>
      </c>
      <c r="D2088" s="4" t="s">
        <v>96</v>
      </c>
      <c r="E2088" s="4">
        <v>2237</v>
      </c>
      <c r="F2088" s="4" t="s">
        <v>125</v>
      </c>
      <c r="G2088" s="4" t="s">
        <v>29</v>
      </c>
      <c r="H2088" s="4" t="s">
        <v>157</v>
      </c>
      <c r="I2088" s="4" t="s">
        <v>158</v>
      </c>
      <c r="J2088" s="4">
        <v>320</v>
      </c>
      <c r="K2088" t="str">
        <f>TEXT(TIMEVALUE(H2088)-TIMEVALUE(I2087)+(TIMEVALUE(H2088)&lt;TIMEVALUE(I2087)),"[h]:mm")</f>
        <v>0:35</v>
      </c>
      <c r="L2088" s="4" t="s">
        <v>36</v>
      </c>
      <c r="O2088" t="str">
        <f>"LIM-"&amp;G2087&amp;"-LIM   LA "&amp;E2087&amp;" ("&amp;LEFT(H2087,5)&amp;"-"&amp;LEFT(I2087,5)&amp;" hrs)  /  LA "&amp;E2088&amp;" ("&amp;LEFT(H2088,5)&amp;"-"&amp;LEFT(I2088,5)&amp;" hrs)"</f>
        <v>LIM-PIU-LIM   LA 2236 (18:00-19:40 hrs)  /  LA 2237 (20:15-21:50 hrs)</v>
      </c>
    </row>
    <row r="2089" spans="2:24" x14ac:dyDescent="0.25">
      <c r="J2089" s="7" t="s">
        <v>43</v>
      </c>
      <c r="K2089" s="8" t="str">
        <f>TEXT(TIMEVALUE(I2088)-TIMEVALUE(H2085)+(I2088&lt;H2085),"[h]:mm")</f>
        <v>9:05</v>
      </c>
    </row>
    <row r="2091" spans="2:24" ht="30" x14ac:dyDescent="0.25">
      <c r="B2091" s="3" t="s">
        <v>9</v>
      </c>
      <c r="C2091" s="3" t="s">
        <v>17</v>
      </c>
      <c r="D2091" s="3" t="s">
        <v>18</v>
      </c>
      <c r="E2091" s="3" t="s">
        <v>19</v>
      </c>
      <c r="F2091" s="3" t="s">
        <v>20</v>
      </c>
      <c r="G2091" s="3" t="s">
        <v>21</v>
      </c>
      <c r="H2091" s="3" t="s">
        <v>22</v>
      </c>
      <c r="I2091" s="3" t="s">
        <v>23</v>
      </c>
      <c r="J2091" s="3" t="s">
        <v>24</v>
      </c>
      <c r="K2091" s="3" t="s">
        <v>25</v>
      </c>
      <c r="L2091" s="3" t="s">
        <v>26</v>
      </c>
    </row>
    <row r="2092" spans="2:24" ht="30" x14ac:dyDescent="0.25">
      <c r="B2092" s="4">
        <v>1969</v>
      </c>
      <c r="C2092" s="4" t="s">
        <v>195</v>
      </c>
      <c r="D2092" s="4" t="s">
        <v>96</v>
      </c>
      <c r="E2092" s="4">
        <v>2087</v>
      </c>
      <c r="F2092" s="4" t="s">
        <v>29</v>
      </c>
      <c r="G2092" s="4" t="s">
        <v>91</v>
      </c>
      <c r="H2092" s="4" t="s">
        <v>67</v>
      </c>
      <c r="I2092" s="4" t="s">
        <v>76</v>
      </c>
      <c r="J2092" s="4">
        <v>320</v>
      </c>
      <c r="L2092" s="4" t="s">
        <v>93</v>
      </c>
      <c r="M2092" s="5"/>
      <c r="O2092" s="5"/>
      <c r="Q2092" s="4">
        <f>B2092</f>
        <v>1969</v>
      </c>
      <c r="R2092" s="4" t="str">
        <f>C2092</f>
        <v>23/10/2026</v>
      </c>
      <c r="S2092" s="4" t="str">
        <f>D2092</f>
        <v>viernes</v>
      </c>
      <c r="T2092" s="4" t="str">
        <f>E2092&amp;"/"&amp;E2093</f>
        <v>2087/2088</v>
      </c>
      <c r="U2092" s="4" t="str">
        <f>F2092&amp;"-"&amp;G2092&amp;"-"&amp;F2092</f>
        <v>LIM-TPP-LIM</v>
      </c>
      <c r="V2092" s="4" t="str">
        <f>IF($M$2092="","",$M$2092)</f>
        <v/>
      </c>
      <c r="W2092" s="4" t="str">
        <f>IF($O$2092="","",$O$2092)</f>
        <v/>
      </c>
      <c r="X2092" s="4">
        <f>J2092</f>
        <v>320</v>
      </c>
    </row>
    <row r="2093" spans="2:24" ht="30" x14ac:dyDescent="0.25">
      <c r="B2093" s="4">
        <v>1969</v>
      </c>
      <c r="C2093" s="4" t="s">
        <v>195</v>
      </c>
      <c r="D2093" s="4" t="s">
        <v>96</v>
      </c>
      <c r="E2093" s="4">
        <v>2088</v>
      </c>
      <c r="F2093" s="4" t="s">
        <v>91</v>
      </c>
      <c r="G2093" s="4" t="s">
        <v>29</v>
      </c>
      <c r="H2093" s="4" t="s">
        <v>85</v>
      </c>
      <c r="I2093" s="4" t="s">
        <v>100</v>
      </c>
      <c r="J2093" s="4">
        <v>320</v>
      </c>
      <c r="K2093" t="str">
        <f>TEXT(TIMEVALUE(H2093)-TIMEVALUE(I2092)+(TIMEVALUE(H2093)&lt;TIMEVALUE(I2092)),"[h]:mm")</f>
        <v>0:35</v>
      </c>
      <c r="L2093" s="4" t="s">
        <v>93</v>
      </c>
      <c r="O2093" t="str">
        <f>"LIM-"&amp;G2092&amp;"-LIM   LA "&amp;E2092&amp;" ("&amp;LEFT(H2092,5)&amp;"-"&amp;LEFT(I2092,5)&amp;" hrs)  /  LA "&amp;E2093&amp;" ("&amp;LEFT(H2093,5)&amp;"-"&amp;LEFT(I2093,5)&amp;" hrs)"</f>
        <v>LIM-TPP-LIM   LA 2087 (14:05-15:30 hrs)  /  LA 2088 (16:05-17:30 hrs)</v>
      </c>
    </row>
    <row r="2094" spans="2:24" ht="30" x14ac:dyDescent="0.25">
      <c r="B2094" s="4">
        <v>1989</v>
      </c>
      <c r="C2094" s="4" t="s">
        <v>195</v>
      </c>
      <c r="D2094" s="4" t="s">
        <v>96</v>
      </c>
      <c r="E2094" s="4">
        <v>2091</v>
      </c>
      <c r="F2094" s="4" t="s">
        <v>29</v>
      </c>
      <c r="G2094" s="4" t="s">
        <v>91</v>
      </c>
      <c r="H2094" s="4" t="s">
        <v>62</v>
      </c>
      <c r="I2094" s="4" t="s">
        <v>176</v>
      </c>
      <c r="J2094" s="4">
        <v>320</v>
      </c>
      <c r="K2094" s="6" t="str">
        <f>TEXT(TIMEVALUE(H2094)-TIMEVALUE(I2093)+(TIMEVALUE(H2094)&lt;TIMEVALUE(I2093)),"[h]:mm")</f>
        <v>1:05</v>
      </c>
      <c r="L2094" s="4" t="s">
        <v>93</v>
      </c>
      <c r="M2094" t="str">
        <f>IF($M$2092="","",$M$2092)</f>
        <v/>
      </c>
      <c r="O2094" t="str">
        <f>IF($O$2092="","",$O$2092)</f>
        <v/>
      </c>
      <c r="Q2094" s="4">
        <f>B2094</f>
        <v>1989</v>
      </c>
      <c r="R2094" s="4" t="str">
        <f>C2094</f>
        <v>23/10/2026</v>
      </c>
      <c r="S2094" s="4" t="str">
        <f>D2094</f>
        <v>viernes</v>
      </c>
      <c r="T2094" s="4" t="str">
        <f>E2094&amp;"/"&amp;E2095</f>
        <v>2091/2092</v>
      </c>
      <c r="U2094" s="4" t="str">
        <f>F2094&amp;"-"&amp;G2094&amp;"-"&amp;F2094</f>
        <v>LIM-TPP-LIM</v>
      </c>
      <c r="V2094" s="4" t="str">
        <f>IF($M$2092="","",$M$2092)</f>
        <v/>
      </c>
      <c r="W2094" s="4" t="str">
        <f>IF($O$2092="","",$O$2092)</f>
        <v/>
      </c>
      <c r="X2094" s="4">
        <f>J2094</f>
        <v>320</v>
      </c>
    </row>
    <row r="2095" spans="2:24" ht="30" x14ac:dyDescent="0.25">
      <c r="B2095" s="4">
        <v>1989</v>
      </c>
      <c r="C2095" s="4" t="s">
        <v>195</v>
      </c>
      <c r="D2095" s="4" t="s">
        <v>96</v>
      </c>
      <c r="E2095" s="4">
        <v>2092</v>
      </c>
      <c r="F2095" s="4" t="s">
        <v>91</v>
      </c>
      <c r="G2095" s="4" t="s">
        <v>29</v>
      </c>
      <c r="H2095" s="4" t="s">
        <v>129</v>
      </c>
      <c r="I2095" s="4" t="s">
        <v>173</v>
      </c>
      <c r="J2095" s="4">
        <v>320</v>
      </c>
      <c r="K2095" t="str">
        <f>TEXT(TIMEVALUE(H2095)-TIMEVALUE(I2094)+(TIMEVALUE(H2095)&lt;TIMEVALUE(I2094)),"[h]:mm")</f>
        <v>0:40</v>
      </c>
      <c r="L2095" s="4" t="s">
        <v>40</v>
      </c>
      <c r="O2095" t="str">
        <f>"LIM-"&amp;G2094&amp;"-LIM   LA "&amp;E2094&amp;" ("&amp;LEFT(H2094,5)&amp;"-"&amp;LEFT(I2094,5)&amp;" hrs)  /  LA "&amp;E2095&amp;" ("&amp;LEFT(H2095,5)&amp;"-"&amp;LEFT(I2095,5)&amp;" hrs)"</f>
        <v>LIM-TPP-LIM   LA 2091 (18:35-20:00 hrs)  /  LA 2092 (20:40-22:10 hrs)</v>
      </c>
    </row>
    <row r="2096" spans="2:24" x14ac:dyDescent="0.25">
      <c r="J2096" s="7" t="s">
        <v>43</v>
      </c>
      <c r="K2096" s="8" t="str">
        <f>TEXT(TIMEVALUE(I2095)-TIMEVALUE(H2092)+(I2095&lt;H2092),"[h]:mm")</f>
        <v>8:05</v>
      </c>
    </row>
    <row r="2098" spans="2:24" ht="30" x14ac:dyDescent="0.25">
      <c r="B2098" s="3" t="s">
        <v>9</v>
      </c>
      <c r="C2098" s="3" t="s">
        <v>17</v>
      </c>
      <c r="D2098" s="3" t="s">
        <v>18</v>
      </c>
      <c r="E2098" s="3" t="s">
        <v>19</v>
      </c>
      <c r="F2098" s="3" t="s">
        <v>20</v>
      </c>
      <c r="G2098" s="3" t="s">
        <v>21</v>
      </c>
      <c r="H2098" s="3" t="s">
        <v>22</v>
      </c>
      <c r="I2098" s="3" t="s">
        <v>23</v>
      </c>
      <c r="J2098" s="3" t="s">
        <v>24</v>
      </c>
      <c r="K2098" s="3" t="s">
        <v>25</v>
      </c>
      <c r="L2098" s="3" t="s">
        <v>26</v>
      </c>
    </row>
    <row r="2099" spans="2:24" ht="30" x14ac:dyDescent="0.25">
      <c r="B2099" s="4">
        <v>1971</v>
      </c>
      <c r="C2099" s="4" t="s">
        <v>195</v>
      </c>
      <c r="D2099" s="4" t="s">
        <v>96</v>
      </c>
      <c r="E2099" s="4">
        <v>2338</v>
      </c>
      <c r="F2099" s="4" t="s">
        <v>29</v>
      </c>
      <c r="G2099" s="4" t="s">
        <v>125</v>
      </c>
      <c r="H2099" s="4" t="s">
        <v>109</v>
      </c>
      <c r="I2099" s="4" t="s">
        <v>86</v>
      </c>
      <c r="J2099" s="4">
        <v>320</v>
      </c>
      <c r="L2099" s="4" t="s">
        <v>47</v>
      </c>
      <c r="M2099" s="5"/>
      <c r="O2099" s="5"/>
      <c r="Q2099" s="4">
        <f>B2099</f>
        <v>1971</v>
      </c>
      <c r="R2099" s="4" t="str">
        <f>C2099</f>
        <v>23/10/2026</v>
      </c>
      <c r="S2099" s="4" t="str">
        <f>D2099</f>
        <v>viernes</v>
      </c>
      <c r="T2099" s="4" t="str">
        <f>E2099&amp;"/"&amp;E2100</f>
        <v>2338/2339</v>
      </c>
      <c r="U2099" s="4" t="str">
        <f>F2099&amp;"-"&amp;G2099&amp;"-"&amp;F2099</f>
        <v>LIM-PIU-LIM</v>
      </c>
      <c r="V2099" s="4" t="str">
        <f>IF($M$2099="","",$M$2099)</f>
        <v/>
      </c>
      <c r="W2099" s="4" t="str">
        <f>IF($O$2099="","",$O$2099)</f>
        <v/>
      </c>
      <c r="X2099" s="4">
        <f>J2099</f>
        <v>320</v>
      </c>
    </row>
    <row r="2100" spans="2:24" ht="30" x14ac:dyDescent="0.25">
      <c r="B2100" s="4">
        <v>1971</v>
      </c>
      <c r="C2100" s="4" t="s">
        <v>195</v>
      </c>
      <c r="D2100" s="4" t="s">
        <v>96</v>
      </c>
      <c r="E2100" s="4">
        <v>2339</v>
      </c>
      <c r="F2100" s="4" t="s">
        <v>125</v>
      </c>
      <c r="G2100" s="4" t="s">
        <v>29</v>
      </c>
      <c r="H2100" s="4" t="s">
        <v>53</v>
      </c>
      <c r="I2100" s="4" t="s">
        <v>88</v>
      </c>
      <c r="J2100" s="4">
        <v>320</v>
      </c>
      <c r="K2100" t="str">
        <f>TEXT(TIMEVALUE(H2100)-TIMEVALUE(I2099)+(TIMEVALUE(H2100)&lt;TIMEVALUE(I2099)),"[h]:mm")</f>
        <v>0:35</v>
      </c>
      <c r="L2100" s="4" t="s">
        <v>36</v>
      </c>
      <c r="O2100" t="str">
        <f>"LIM-"&amp;G2099&amp;"-LIM   LA "&amp;E2099&amp;" ("&amp;LEFT(H2099,5)&amp;"-"&amp;LEFT(I2099,5)&amp;" hrs)  /  LA "&amp;E2100&amp;" ("&amp;LEFT(H2100,5)&amp;"-"&amp;LEFT(I2100,5)&amp;" hrs)"</f>
        <v>LIM-PIU-LIM   LA 2338 (15:00-16:45 hrs)  /  LA 2339 (17:20-18:55 hrs)</v>
      </c>
    </row>
    <row r="2101" spans="2:24" x14ac:dyDescent="0.25">
      <c r="J2101" s="7" t="s">
        <v>43</v>
      </c>
      <c r="K2101" s="8" t="str">
        <f>TEXT(TIMEVALUE(I2100)-TIMEVALUE(H2099)+(I2100&lt;H2099),"[h]:mm")</f>
        <v>3:55</v>
      </c>
    </row>
    <row r="2103" spans="2:24" ht="30" x14ac:dyDescent="0.25">
      <c r="B2103" s="3" t="s">
        <v>9</v>
      </c>
      <c r="C2103" s="3" t="s">
        <v>17</v>
      </c>
      <c r="D2103" s="3" t="s">
        <v>18</v>
      </c>
      <c r="E2103" s="3" t="s">
        <v>19</v>
      </c>
      <c r="F2103" s="3" t="s">
        <v>20</v>
      </c>
      <c r="G2103" s="3" t="s">
        <v>21</v>
      </c>
      <c r="H2103" s="3" t="s">
        <v>22</v>
      </c>
      <c r="I2103" s="3" t="s">
        <v>23</v>
      </c>
      <c r="J2103" s="3" t="s">
        <v>24</v>
      </c>
      <c r="K2103" s="3" t="s">
        <v>25</v>
      </c>
      <c r="L2103" s="3" t="s">
        <v>26</v>
      </c>
    </row>
    <row r="2104" spans="2:24" ht="30" x14ac:dyDescent="0.25">
      <c r="B2104" s="4">
        <v>1973</v>
      </c>
      <c r="C2104" s="4" t="s">
        <v>195</v>
      </c>
      <c r="D2104" s="4" t="s">
        <v>96</v>
      </c>
      <c r="E2104" s="4">
        <v>2297</v>
      </c>
      <c r="F2104" s="4" t="s">
        <v>29</v>
      </c>
      <c r="G2104" s="4" t="s">
        <v>50</v>
      </c>
      <c r="H2104" s="4" t="s">
        <v>51</v>
      </c>
      <c r="I2104" s="4" t="s">
        <v>52</v>
      </c>
      <c r="J2104" s="4">
        <v>320</v>
      </c>
      <c r="L2104" s="4" t="s">
        <v>33</v>
      </c>
      <c r="M2104" s="5"/>
      <c r="O2104" s="5"/>
      <c r="Q2104" s="4">
        <f>B2104</f>
        <v>1973</v>
      </c>
      <c r="R2104" s="4" t="str">
        <f>C2104</f>
        <v>23/10/2026</v>
      </c>
      <c r="S2104" s="4" t="str">
        <f>D2104</f>
        <v>viernes</v>
      </c>
      <c r="T2104" s="4" t="str">
        <f>E2104&amp;"/"&amp;E2105</f>
        <v>2297/2296</v>
      </c>
      <c r="U2104" s="4" t="str">
        <f>F2104&amp;"-"&amp;G2104&amp;"-"&amp;F2104</f>
        <v>LIM-CJA-LIM</v>
      </c>
      <c r="V2104" s="4" t="str">
        <f>IF($M$2104="","",$M$2104)</f>
        <v/>
      </c>
      <c r="W2104" s="4" t="str">
        <f>IF($O$2104="","",$O$2104)</f>
        <v/>
      </c>
      <c r="X2104" s="4">
        <f>J2104</f>
        <v>320</v>
      </c>
    </row>
    <row r="2105" spans="2:24" ht="30" x14ac:dyDescent="0.25">
      <c r="B2105" s="4">
        <v>1973</v>
      </c>
      <c r="C2105" s="4" t="s">
        <v>195</v>
      </c>
      <c r="D2105" s="4" t="s">
        <v>96</v>
      </c>
      <c r="E2105" s="4">
        <v>2296</v>
      </c>
      <c r="F2105" s="4" t="s">
        <v>50</v>
      </c>
      <c r="G2105" s="4" t="s">
        <v>29</v>
      </c>
      <c r="H2105" s="4" t="s">
        <v>53</v>
      </c>
      <c r="I2105" s="4" t="s">
        <v>54</v>
      </c>
      <c r="J2105" s="4">
        <v>320</v>
      </c>
      <c r="K2105" t="str">
        <f>TEXT(TIMEVALUE(H2105)-TIMEVALUE(I2104)+(TIMEVALUE(H2105)&lt;TIMEVALUE(I2104)),"[h]:mm")</f>
        <v>0:45</v>
      </c>
      <c r="L2105" s="4" t="s">
        <v>55</v>
      </c>
      <c r="O2105" t="str">
        <f>"LIM-"&amp;G2104&amp;"-LIM   LA "&amp;E2104&amp;" ("&amp;LEFT(H2104,5)&amp;"-"&amp;LEFT(I2104,5)&amp;" hrs)  /  LA "&amp;E2105&amp;" ("&amp;LEFT(H2105,5)&amp;"-"&amp;LEFT(I2105,5)&amp;" hrs)"</f>
        <v>LIM-CJA-LIM   LA 2297 (15:15-16:35 hrs)  /  LA 2296 (17:20-18:25 hrs)</v>
      </c>
    </row>
    <row r="2106" spans="2:24" x14ac:dyDescent="0.25">
      <c r="J2106" s="7" t="s">
        <v>43</v>
      </c>
      <c r="K2106" s="8" t="str">
        <f>TEXT(TIMEVALUE(I2105)-TIMEVALUE(H2104)+(I2105&lt;H2104),"[h]:mm")</f>
        <v>3:10</v>
      </c>
    </row>
    <row r="2108" spans="2:24" ht="30" x14ac:dyDescent="0.25">
      <c r="B2108" s="3" t="s">
        <v>9</v>
      </c>
      <c r="C2108" s="3" t="s">
        <v>17</v>
      </c>
      <c r="D2108" s="3" t="s">
        <v>18</v>
      </c>
      <c r="E2108" s="3" t="s">
        <v>19</v>
      </c>
      <c r="F2108" s="3" t="s">
        <v>20</v>
      </c>
      <c r="G2108" s="3" t="s">
        <v>21</v>
      </c>
      <c r="H2108" s="3" t="s">
        <v>22</v>
      </c>
      <c r="I2108" s="3" t="s">
        <v>23</v>
      </c>
      <c r="J2108" s="3" t="s">
        <v>24</v>
      </c>
      <c r="K2108" s="3" t="s">
        <v>25</v>
      </c>
      <c r="L2108" s="3" t="s">
        <v>26</v>
      </c>
    </row>
    <row r="2109" spans="2:24" ht="30" x14ac:dyDescent="0.25">
      <c r="B2109" s="4">
        <v>1974</v>
      </c>
      <c r="C2109" s="4" t="s">
        <v>195</v>
      </c>
      <c r="D2109" s="4" t="s">
        <v>96</v>
      </c>
      <c r="E2109" s="4">
        <v>2297</v>
      </c>
      <c r="F2109" s="4" t="s">
        <v>29</v>
      </c>
      <c r="G2109" s="4" t="s">
        <v>50</v>
      </c>
      <c r="H2109" s="4" t="s">
        <v>51</v>
      </c>
      <c r="I2109" s="4" t="s">
        <v>52</v>
      </c>
      <c r="J2109" s="4">
        <v>320</v>
      </c>
      <c r="L2109" s="4" t="s">
        <v>33</v>
      </c>
      <c r="M2109" s="5"/>
      <c r="O2109" s="5"/>
      <c r="Q2109" s="4">
        <f>B2109</f>
        <v>1974</v>
      </c>
      <c r="R2109" s="4" t="str">
        <f>C2109</f>
        <v>23/10/2026</v>
      </c>
      <c r="S2109" s="4" t="str">
        <f>D2109</f>
        <v>viernes</v>
      </c>
      <c r="T2109" s="4" t="str">
        <f>E2109&amp;"/"&amp;E2110</f>
        <v>2297/2296</v>
      </c>
      <c r="U2109" s="4" t="str">
        <f>F2109&amp;"-"&amp;G2109&amp;"-"&amp;F2109</f>
        <v>LIM-CJA-LIM</v>
      </c>
      <c r="V2109" s="4" t="str">
        <f>IF($M$2109="","",$M$2109)</f>
        <v/>
      </c>
      <c r="W2109" s="4" t="str">
        <f>IF($O$2109="","",$O$2109)</f>
        <v/>
      </c>
      <c r="X2109" s="4">
        <f>J2109</f>
        <v>320</v>
      </c>
    </row>
    <row r="2110" spans="2:24" ht="30" x14ac:dyDescent="0.25">
      <c r="B2110" s="4">
        <v>1974</v>
      </c>
      <c r="C2110" s="4" t="s">
        <v>195</v>
      </c>
      <c r="D2110" s="4" t="s">
        <v>96</v>
      </c>
      <c r="E2110" s="4">
        <v>2296</v>
      </c>
      <c r="F2110" s="4" t="s">
        <v>50</v>
      </c>
      <c r="G2110" s="4" t="s">
        <v>29</v>
      </c>
      <c r="H2110" s="4" t="s">
        <v>53</v>
      </c>
      <c r="I2110" s="4" t="s">
        <v>54</v>
      </c>
      <c r="J2110" s="4">
        <v>320</v>
      </c>
      <c r="K2110" t="str">
        <f>TEXT(TIMEVALUE(H2110)-TIMEVALUE(I2109)+(TIMEVALUE(H2110)&lt;TIMEVALUE(I2109)),"[h]:mm")</f>
        <v>0:45</v>
      </c>
      <c r="L2110" s="4" t="s">
        <v>55</v>
      </c>
      <c r="O2110" t="str">
        <f>"LIM-"&amp;G2109&amp;"-LIM   LA "&amp;E2109&amp;" ("&amp;LEFT(H2109,5)&amp;"-"&amp;LEFT(I2109,5)&amp;" hrs)  /  LA "&amp;E2110&amp;" ("&amp;LEFT(H2110,5)&amp;"-"&amp;LEFT(I2110,5)&amp;" hrs)"</f>
        <v>LIM-CJA-LIM   LA 2297 (15:15-16:35 hrs)  /  LA 2296 (17:20-18:25 hrs)</v>
      </c>
    </row>
    <row r="2111" spans="2:24" x14ac:dyDescent="0.25">
      <c r="J2111" s="7" t="s">
        <v>43</v>
      </c>
      <c r="K2111" s="8" t="str">
        <f>TEXT(TIMEVALUE(I2110)-TIMEVALUE(H2109)+(I2110&lt;H2109),"[h]:mm")</f>
        <v>3:10</v>
      </c>
    </row>
    <row r="2113" spans="2:24" ht="30" x14ac:dyDescent="0.25">
      <c r="B2113" s="3" t="s">
        <v>9</v>
      </c>
      <c r="C2113" s="3" t="s">
        <v>17</v>
      </c>
      <c r="D2113" s="3" t="s">
        <v>18</v>
      </c>
      <c r="E2113" s="3" t="s">
        <v>19</v>
      </c>
      <c r="F2113" s="3" t="s">
        <v>20</v>
      </c>
      <c r="G2113" s="3" t="s">
        <v>21</v>
      </c>
      <c r="H2113" s="3" t="s">
        <v>22</v>
      </c>
      <c r="I2113" s="3" t="s">
        <v>23</v>
      </c>
      <c r="J2113" s="3" t="s">
        <v>24</v>
      </c>
      <c r="K2113" s="3" t="s">
        <v>25</v>
      </c>
      <c r="L2113" s="3" t="s">
        <v>26</v>
      </c>
    </row>
    <row r="2114" spans="2:24" ht="30" x14ac:dyDescent="0.25">
      <c r="B2114" s="4">
        <v>1975</v>
      </c>
      <c r="C2114" s="4" t="s">
        <v>195</v>
      </c>
      <c r="D2114" s="4" t="s">
        <v>96</v>
      </c>
      <c r="E2114" s="4">
        <v>2360</v>
      </c>
      <c r="F2114" s="4" t="s">
        <v>29</v>
      </c>
      <c r="G2114" s="4" t="s">
        <v>58</v>
      </c>
      <c r="H2114" s="4" t="s">
        <v>59</v>
      </c>
      <c r="I2114" s="4" t="s">
        <v>60</v>
      </c>
      <c r="J2114" s="4">
        <v>320</v>
      </c>
      <c r="L2114" s="4" t="s">
        <v>61</v>
      </c>
      <c r="M2114" s="5"/>
      <c r="O2114" s="5"/>
      <c r="Q2114" s="4">
        <f>B2114</f>
        <v>1975</v>
      </c>
      <c r="R2114" s="4" t="str">
        <f>C2114</f>
        <v>23/10/2026</v>
      </c>
      <c r="S2114" s="4" t="str">
        <f>D2114</f>
        <v>viernes</v>
      </c>
      <c r="T2114" s="4" t="str">
        <f>E2114&amp;"/"&amp;E2115</f>
        <v>2360/2361</v>
      </c>
      <c r="U2114" s="4" t="str">
        <f>F2114&amp;"-"&amp;G2114&amp;"-"&amp;F2114</f>
        <v>LIM-PCL-LIM</v>
      </c>
      <c r="V2114" s="4" t="str">
        <f>IF($M$2114="","",$M$2114)</f>
        <v/>
      </c>
      <c r="W2114" s="4" t="str">
        <f>IF($O$2114="","",$O$2114)</f>
        <v/>
      </c>
      <c r="X2114" s="4">
        <f>J2114</f>
        <v>320</v>
      </c>
    </row>
    <row r="2115" spans="2:24" ht="30" x14ac:dyDescent="0.25">
      <c r="B2115" s="4">
        <v>1975</v>
      </c>
      <c r="C2115" s="4" t="s">
        <v>195</v>
      </c>
      <c r="D2115" s="4" t="s">
        <v>96</v>
      </c>
      <c r="E2115" s="4">
        <v>2361</v>
      </c>
      <c r="F2115" s="4" t="s">
        <v>58</v>
      </c>
      <c r="G2115" s="4" t="s">
        <v>29</v>
      </c>
      <c r="H2115" s="4" t="s">
        <v>53</v>
      </c>
      <c r="I2115" s="4" t="s">
        <v>62</v>
      </c>
      <c r="J2115" s="4">
        <v>320</v>
      </c>
      <c r="K2115" t="str">
        <f>TEXT(TIMEVALUE(H2115)-TIMEVALUE(I2114)+(TIMEVALUE(H2115)&lt;TIMEVALUE(I2114)),"[h]:mm")</f>
        <v>0:40</v>
      </c>
      <c r="L2115" s="4" t="s">
        <v>61</v>
      </c>
      <c r="O2115" t="str">
        <f>"LIM-"&amp;G2114&amp;"-LIM   LA "&amp;E2114&amp;" ("&amp;LEFT(H2114,5)&amp;"-"&amp;LEFT(I2114,5)&amp;" hrs)  /  LA "&amp;E2115&amp;" ("&amp;LEFT(H2115,5)&amp;"-"&amp;LEFT(I2115,5)&amp;" hrs)"</f>
        <v>LIM-PCL-LIM   LA 2360 (15:25-16:40 hrs)  /  LA 2361 (17:20-18:35 hrs)</v>
      </c>
    </row>
    <row r="2116" spans="2:24" x14ac:dyDescent="0.25">
      <c r="J2116" s="7" t="s">
        <v>43</v>
      </c>
      <c r="K2116" s="8" t="str">
        <f>TEXT(TIMEVALUE(I2115)-TIMEVALUE(H2114)+(I2115&lt;H2114),"[h]:mm")</f>
        <v>3:10</v>
      </c>
    </row>
    <row r="2118" spans="2:24" ht="30" x14ac:dyDescent="0.25">
      <c r="B2118" s="3" t="s">
        <v>9</v>
      </c>
      <c r="C2118" s="3" t="s">
        <v>17</v>
      </c>
      <c r="D2118" s="3" t="s">
        <v>18</v>
      </c>
      <c r="E2118" s="3" t="s">
        <v>19</v>
      </c>
      <c r="F2118" s="3" t="s">
        <v>20</v>
      </c>
      <c r="G2118" s="3" t="s">
        <v>21</v>
      </c>
      <c r="H2118" s="3" t="s">
        <v>22</v>
      </c>
      <c r="I2118" s="3" t="s">
        <v>23</v>
      </c>
      <c r="J2118" s="3" t="s">
        <v>24</v>
      </c>
      <c r="K2118" s="3" t="s">
        <v>25</v>
      </c>
      <c r="L2118" s="3" t="s">
        <v>26</v>
      </c>
    </row>
    <row r="2119" spans="2:24" ht="30" x14ac:dyDescent="0.25">
      <c r="B2119" s="4">
        <v>1976</v>
      </c>
      <c r="C2119" s="4" t="s">
        <v>195</v>
      </c>
      <c r="D2119" s="4" t="s">
        <v>96</v>
      </c>
      <c r="E2119" s="4">
        <v>2312</v>
      </c>
      <c r="F2119" s="4" t="s">
        <v>29</v>
      </c>
      <c r="G2119" s="4" t="s">
        <v>37</v>
      </c>
      <c r="H2119" s="4" t="s">
        <v>89</v>
      </c>
      <c r="I2119" s="4" t="s">
        <v>77</v>
      </c>
      <c r="J2119" s="4">
        <v>319</v>
      </c>
      <c r="L2119" s="4" t="s">
        <v>40</v>
      </c>
      <c r="M2119" s="5"/>
      <c r="O2119" s="5"/>
      <c r="Q2119" s="4">
        <f>B2119</f>
        <v>1976</v>
      </c>
      <c r="R2119" s="4" t="str">
        <f>C2119</f>
        <v>23/10/2026</v>
      </c>
      <c r="S2119" s="4" t="str">
        <f>D2119</f>
        <v>viernes</v>
      </c>
      <c r="T2119" s="4" t="str">
        <f>E2119&amp;"/"&amp;E2120</f>
        <v>2312/2313</v>
      </c>
      <c r="U2119" s="4" t="str">
        <f>F2119&amp;"-"&amp;G2119&amp;"-"&amp;F2119</f>
        <v>LIM-CIX-LIM</v>
      </c>
      <c r="V2119" s="4" t="str">
        <f>IF($M$2119="","",$M$2119)</f>
        <v/>
      </c>
      <c r="W2119" s="4" t="str">
        <f>IF($O$2119="","",$O$2119)</f>
        <v/>
      </c>
      <c r="X2119" s="4">
        <f>J2119</f>
        <v>319</v>
      </c>
    </row>
    <row r="2120" spans="2:24" ht="30" x14ac:dyDescent="0.25">
      <c r="B2120" s="4">
        <v>1976</v>
      </c>
      <c r="C2120" s="4" t="s">
        <v>195</v>
      </c>
      <c r="D2120" s="4" t="s">
        <v>96</v>
      </c>
      <c r="E2120" s="4">
        <v>2313</v>
      </c>
      <c r="F2120" s="4" t="s">
        <v>37</v>
      </c>
      <c r="G2120" s="4" t="s">
        <v>29</v>
      </c>
      <c r="H2120" s="4" t="s">
        <v>84</v>
      </c>
      <c r="I2120" s="4" t="s">
        <v>90</v>
      </c>
      <c r="J2120" s="4">
        <v>319</v>
      </c>
      <c r="K2120" t="str">
        <f>TEXT(TIMEVALUE(H2120)-TIMEVALUE(I2119)+(TIMEVALUE(H2120)&lt;TIMEVALUE(I2119)),"[h]:mm")</f>
        <v>0:45</v>
      </c>
      <c r="L2120" s="4" t="s">
        <v>33</v>
      </c>
      <c r="O2120" t="str">
        <f>"LIM-"&amp;G2119&amp;"-LIM   LA "&amp;E2119&amp;" ("&amp;LEFT(H2119,5)&amp;"-"&amp;LEFT(I2119,5)&amp;" hrs)  /  LA "&amp;E2120&amp;" ("&amp;LEFT(H2120,5)&amp;"-"&amp;LEFT(I2120,5)&amp;" hrs)"</f>
        <v>LIM-CIX-LIM   LA 2312 (15:35-17:05 hrs)  /  LA 2313 (17:50-19:10 hrs)</v>
      </c>
    </row>
    <row r="2121" spans="2:24" x14ac:dyDescent="0.25">
      <c r="J2121" s="7" t="s">
        <v>43</v>
      </c>
      <c r="K2121" s="8" t="str">
        <f>TEXT(TIMEVALUE(I2120)-TIMEVALUE(H2119)+(I2120&lt;H2119),"[h]:mm")</f>
        <v>3:35</v>
      </c>
    </row>
    <row r="2123" spans="2:24" ht="30" x14ac:dyDescent="0.25">
      <c r="B2123" s="3" t="s">
        <v>9</v>
      </c>
      <c r="C2123" s="3" t="s">
        <v>17</v>
      </c>
      <c r="D2123" s="3" t="s">
        <v>18</v>
      </c>
      <c r="E2123" s="3" t="s">
        <v>19</v>
      </c>
      <c r="F2123" s="3" t="s">
        <v>20</v>
      </c>
      <c r="G2123" s="3" t="s">
        <v>21</v>
      </c>
      <c r="H2123" s="3" t="s">
        <v>22</v>
      </c>
      <c r="I2123" s="3" t="s">
        <v>23</v>
      </c>
      <c r="J2123" s="3" t="s">
        <v>24</v>
      </c>
      <c r="K2123" s="3" t="s">
        <v>25</v>
      </c>
      <c r="L2123" s="3" t="s">
        <v>26</v>
      </c>
    </row>
    <row r="2124" spans="2:24" ht="30" x14ac:dyDescent="0.25">
      <c r="B2124" s="4">
        <v>1977</v>
      </c>
      <c r="C2124" s="4" t="s">
        <v>195</v>
      </c>
      <c r="D2124" s="4" t="s">
        <v>96</v>
      </c>
      <c r="E2124" s="4">
        <v>2301</v>
      </c>
      <c r="F2124" s="4" t="s">
        <v>29</v>
      </c>
      <c r="G2124" s="4" t="s">
        <v>91</v>
      </c>
      <c r="H2124" s="4" t="s">
        <v>92</v>
      </c>
      <c r="I2124" s="4" t="s">
        <v>77</v>
      </c>
      <c r="J2124" s="4">
        <v>320</v>
      </c>
      <c r="L2124" s="4" t="s">
        <v>93</v>
      </c>
      <c r="M2124" s="5"/>
      <c r="O2124" s="5"/>
      <c r="Q2124" s="4">
        <f>B2124</f>
        <v>1977</v>
      </c>
      <c r="R2124" s="4" t="str">
        <f>C2124</f>
        <v>23/10/2026</v>
      </c>
      <c r="S2124" s="4" t="str">
        <f>D2124</f>
        <v>viernes</v>
      </c>
      <c r="T2124" s="4" t="str">
        <f>E2124&amp;"/"&amp;E2125</f>
        <v>2301/2300</v>
      </c>
      <c r="U2124" s="4" t="str">
        <f>F2124&amp;"-"&amp;G2124&amp;"-"&amp;F2124</f>
        <v>LIM-TPP-LIM</v>
      </c>
      <c r="V2124" s="4" t="str">
        <f>IF($M$2124="","",$M$2124)</f>
        <v/>
      </c>
      <c r="W2124" s="4" t="str">
        <f>IF($O$2124="","",$O$2124)</f>
        <v/>
      </c>
      <c r="X2124" s="4">
        <f>J2124</f>
        <v>320</v>
      </c>
    </row>
    <row r="2125" spans="2:24" ht="30" x14ac:dyDescent="0.25">
      <c r="B2125" s="4">
        <v>1977</v>
      </c>
      <c r="C2125" s="4" t="s">
        <v>195</v>
      </c>
      <c r="D2125" s="4" t="s">
        <v>96</v>
      </c>
      <c r="E2125" s="4">
        <v>2300</v>
      </c>
      <c r="F2125" s="4" t="s">
        <v>91</v>
      </c>
      <c r="G2125" s="4" t="s">
        <v>29</v>
      </c>
      <c r="H2125" s="4" t="s">
        <v>84</v>
      </c>
      <c r="I2125" s="4" t="s">
        <v>94</v>
      </c>
      <c r="J2125" s="4">
        <v>320</v>
      </c>
      <c r="K2125" t="str">
        <f>TEXT(TIMEVALUE(H2125)-TIMEVALUE(I2124)+(TIMEVALUE(H2125)&lt;TIMEVALUE(I2124)),"[h]:mm")</f>
        <v>0:45</v>
      </c>
      <c r="L2125" s="4" t="s">
        <v>93</v>
      </c>
      <c r="O2125" t="str">
        <f>"LIM-"&amp;G2124&amp;"-LIM   LA "&amp;E2124&amp;" ("&amp;LEFT(H2124,5)&amp;"-"&amp;LEFT(I2124,5)&amp;" hrs)  /  LA "&amp;E2125&amp;" ("&amp;LEFT(H2125,5)&amp;"-"&amp;LEFT(I2125,5)&amp;" hrs)"</f>
        <v>LIM-TPP-LIM   LA 2301 (15:40-17:05 hrs)  /  LA 2300 (17:50-19:15 hrs)</v>
      </c>
    </row>
    <row r="2126" spans="2:24" x14ac:dyDescent="0.25">
      <c r="J2126" s="7" t="s">
        <v>43</v>
      </c>
      <c r="K2126" s="8" t="str">
        <f>TEXT(TIMEVALUE(I2125)-TIMEVALUE(H2124)+(I2125&lt;H2124),"[h]:mm")</f>
        <v>3:35</v>
      </c>
    </row>
    <row r="2128" spans="2:24" ht="30" x14ac:dyDescent="0.25">
      <c r="B2128" s="3" t="s">
        <v>9</v>
      </c>
      <c r="C2128" s="3" t="s">
        <v>17</v>
      </c>
      <c r="D2128" s="3" t="s">
        <v>18</v>
      </c>
      <c r="E2128" s="3" t="s">
        <v>19</v>
      </c>
      <c r="F2128" s="3" t="s">
        <v>20</v>
      </c>
      <c r="G2128" s="3" t="s">
        <v>21</v>
      </c>
      <c r="H2128" s="3" t="s">
        <v>22</v>
      </c>
      <c r="I2128" s="3" t="s">
        <v>23</v>
      </c>
      <c r="J2128" s="3" t="s">
        <v>24</v>
      </c>
      <c r="K2128" s="3" t="s">
        <v>25</v>
      </c>
      <c r="L2128" s="3" t="s">
        <v>26</v>
      </c>
    </row>
    <row r="2129" spans="2:24" ht="30" x14ac:dyDescent="0.25">
      <c r="B2129" s="4">
        <v>1982</v>
      </c>
      <c r="C2129" s="4" t="s">
        <v>195</v>
      </c>
      <c r="D2129" s="4" t="s">
        <v>96</v>
      </c>
      <c r="E2129" s="4">
        <v>2127</v>
      </c>
      <c r="F2129" s="4" t="s">
        <v>29</v>
      </c>
      <c r="G2129" s="4" t="s">
        <v>30</v>
      </c>
      <c r="H2129" s="4" t="s">
        <v>83</v>
      </c>
      <c r="I2129" s="4" t="s">
        <v>100</v>
      </c>
      <c r="J2129" s="4">
        <v>320</v>
      </c>
      <c r="L2129" s="4" t="s">
        <v>33</v>
      </c>
      <c r="M2129" s="5"/>
      <c r="O2129" s="5"/>
      <c r="Q2129" s="4">
        <f>B2129</f>
        <v>1982</v>
      </c>
      <c r="R2129" s="4" t="str">
        <f>C2129</f>
        <v>23/10/2026</v>
      </c>
      <c r="S2129" s="4" t="str">
        <f>D2129</f>
        <v>viernes</v>
      </c>
      <c r="T2129" s="4" t="str">
        <f>E2129&amp;"/"&amp;E2130</f>
        <v>2127/2026</v>
      </c>
      <c r="U2129" s="4" t="str">
        <f>F2129&amp;"-"&amp;G2129&amp;"-"&amp;F2129</f>
        <v>LIM-CUZ-LIM</v>
      </c>
      <c r="V2129" s="4" t="str">
        <f>IF($M$2129="","",$M$2129)</f>
        <v/>
      </c>
      <c r="W2129" s="4" t="str">
        <f>IF($O$2129="","",$O$2129)</f>
        <v/>
      </c>
      <c r="X2129" s="4">
        <f>J2129</f>
        <v>320</v>
      </c>
    </row>
    <row r="2130" spans="2:24" ht="30" x14ac:dyDescent="0.25">
      <c r="B2130" s="4">
        <v>1982</v>
      </c>
      <c r="C2130" s="4" t="s">
        <v>195</v>
      </c>
      <c r="D2130" s="4" t="s">
        <v>96</v>
      </c>
      <c r="E2130" s="4">
        <v>2026</v>
      </c>
      <c r="F2130" s="4" t="s">
        <v>30</v>
      </c>
      <c r="G2130" s="4" t="s">
        <v>29</v>
      </c>
      <c r="H2130" s="4" t="s">
        <v>101</v>
      </c>
      <c r="I2130" s="4" t="s">
        <v>102</v>
      </c>
      <c r="J2130" s="4">
        <v>320</v>
      </c>
      <c r="K2130" t="str">
        <f>TEXT(TIMEVALUE(H2130)-TIMEVALUE(I2129)+(TIMEVALUE(H2130)&lt;TIMEVALUE(I2129)),"[h]:mm")</f>
        <v>0:40</v>
      </c>
      <c r="L2130" s="4" t="s">
        <v>71</v>
      </c>
      <c r="O2130" t="str">
        <f>"LIM-"&amp;G2129&amp;"-LIM   LA "&amp;E2129&amp;" ("&amp;LEFT(H2129,5)&amp;"-"&amp;LEFT(I2129,5)&amp;" hrs)  /  LA "&amp;E2130&amp;" ("&amp;LEFT(H2130,5)&amp;"-"&amp;LEFT(I2130,5)&amp;" hrs)"</f>
        <v>LIM-CUZ-LIM   LA 2127 (16:10-17:30 hrs)  /  LA 2026 (18:10-19:50 hrs)</v>
      </c>
    </row>
    <row r="2131" spans="2:24" x14ac:dyDescent="0.25">
      <c r="J2131" s="7" t="s">
        <v>43</v>
      </c>
      <c r="K2131" s="8" t="str">
        <f>TEXT(TIMEVALUE(I2130)-TIMEVALUE(H2129)+(I2130&lt;H2129),"[h]:mm")</f>
        <v>3:40</v>
      </c>
    </row>
    <row r="2133" spans="2:24" ht="30" x14ac:dyDescent="0.25">
      <c r="B2133" s="3" t="s">
        <v>9</v>
      </c>
      <c r="C2133" s="3" t="s">
        <v>17</v>
      </c>
      <c r="D2133" s="3" t="s">
        <v>18</v>
      </c>
      <c r="E2133" s="3" t="s">
        <v>19</v>
      </c>
      <c r="F2133" s="3" t="s">
        <v>20</v>
      </c>
      <c r="G2133" s="3" t="s">
        <v>21</v>
      </c>
      <c r="H2133" s="3" t="s">
        <v>22</v>
      </c>
      <c r="I2133" s="3" t="s">
        <v>23</v>
      </c>
      <c r="J2133" s="3" t="s">
        <v>24</v>
      </c>
      <c r="K2133" s="3" t="s">
        <v>25</v>
      </c>
      <c r="L2133" s="3" t="s">
        <v>26</v>
      </c>
    </row>
    <row r="2134" spans="2:24" ht="30" x14ac:dyDescent="0.25">
      <c r="B2134" s="4">
        <v>1983</v>
      </c>
      <c r="C2134" s="4" t="s">
        <v>195</v>
      </c>
      <c r="D2134" s="4" t="s">
        <v>96</v>
      </c>
      <c r="E2134" s="4">
        <v>2276</v>
      </c>
      <c r="F2134" s="4" t="s">
        <v>29</v>
      </c>
      <c r="G2134" s="4" t="s">
        <v>30</v>
      </c>
      <c r="H2134" s="4" t="s">
        <v>52</v>
      </c>
      <c r="I2134" s="4" t="s">
        <v>121</v>
      </c>
      <c r="J2134" s="4">
        <v>320</v>
      </c>
      <c r="L2134" s="4" t="s">
        <v>33</v>
      </c>
      <c r="M2134" s="5"/>
      <c r="O2134" s="5"/>
      <c r="Q2134" s="4">
        <f>B2134</f>
        <v>1983</v>
      </c>
      <c r="R2134" s="4" t="str">
        <f>C2134</f>
        <v>23/10/2026</v>
      </c>
      <c r="S2134" s="4" t="str">
        <f>D2134</f>
        <v>viernes</v>
      </c>
      <c r="T2134" s="4" t="str">
        <f>E2134&amp;"/"&amp;E2135</f>
        <v>2276/2277</v>
      </c>
      <c r="U2134" s="4" t="str">
        <f>F2134&amp;"-"&amp;G2134&amp;"-"&amp;F2134</f>
        <v>LIM-CUZ-LIM</v>
      </c>
      <c r="V2134" s="4" t="str">
        <f>IF($M$2134="","",$M$2134)</f>
        <v/>
      </c>
      <c r="W2134" s="4" t="str">
        <f>IF($O$2134="","",$O$2134)</f>
        <v/>
      </c>
      <c r="X2134" s="4">
        <f>J2134</f>
        <v>320</v>
      </c>
    </row>
    <row r="2135" spans="2:24" ht="30" x14ac:dyDescent="0.25">
      <c r="B2135" s="4">
        <v>1983</v>
      </c>
      <c r="C2135" s="4" t="s">
        <v>195</v>
      </c>
      <c r="D2135" s="4" t="s">
        <v>96</v>
      </c>
      <c r="E2135" s="4">
        <v>2277</v>
      </c>
      <c r="F2135" s="4" t="s">
        <v>30</v>
      </c>
      <c r="G2135" s="4" t="s">
        <v>29</v>
      </c>
      <c r="H2135" s="4" t="s">
        <v>62</v>
      </c>
      <c r="I2135" s="4" t="s">
        <v>122</v>
      </c>
      <c r="J2135" s="4">
        <v>320</v>
      </c>
      <c r="K2135" t="str">
        <f>TEXT(TIMEVALUE(H2135)-TIMEVALUE(I2134)+(TIMEVALUE(H2135)&lt;TIMEVALUE(I2134)),"[h]:mm")</f>
        <v>0:40</v>
      </c>
      <c r="L2135" s="4" t="s">
        <v>36</v>
      </c>
      <c r="O2135" t="str">
        <f>"LIM-"&amp;G2134&amp;"-LIM   LA "&amp;E2134&amp;" ("&amp;LEFT(H2134,5)&amp;"-"&amp;LEFT(I2134,5)&amp;" hrs)  /  LA "&amp;E2135&amp;" ("&amp;LEFT(H2135,5)&amp;"-"&amp;LEFT(I2135,5)&amp;" hrs)"</f>
        <v>LIM-CUZ-LIM   LA 2276 (16:35-17:55 hrs)  /  LA 2277 (18:35-20:10 hrs)</v>
      </c>
    </row>
    <row r="2136" spans="2:24" x14ac:dyDescent="0.25">
      <c r="J2136" s="7" t="s">
        <v>43</v>
      </c>
      <c r="K2136" s="8" t="str">
        <f>TEXT(TIMEVALUE(I2135)-TIMEVALUE(H2134)+(I2135&lt;H2134),"[h]:mm")</f>
        <v>3:35</v>
      </c>
    </row>
    <row r="2138" spans="2:24" ht="30" x14ac:dyDescent="0.25">
      <c r="B2138" s="3" t="s">
        <v>9</v>
      </c>
      <c r="C2138" s="3" t="s">
        <v>17</v>
      </c>
      <c r="D2138" s="3" t="s">
        <v>18</v>
      </c>
      <c r="E2138" s="3" t="s">
        <v>19</v>
      </c>
      <c r="F2138" s="3" t="s">
        <v>20</v>
      </c>
      <c r="G2138" s="3" t="s">
        <v>21</v>
      </c>
      <c r="H2138" s="3" t="s">
        <v>22</v>
      </c>
      <c r="I2138" s="3" t="s">
        <v>23</v>
      </c>
      <c r="J2138" s="3" t="s">
        <v>24</v>
      </c>
      <c r="K2138" s="3" t="s">
        <v>25</v>
      </c>
      <c r="L2138" s="3" t="s">
        <v>26</v>
      </c>
    </row>
    <row r="2139" spans="2:24" ht="30" x14ac:dyDescent="0.25">
      <c r="B2139" s="4">
        <v>1984</v>
      </c>
      <c r="C2139" s="4" t="s">
        <v>195</v>
      </c>
      <c r="D2139" s="4" t="s">
        <v>96</v>
      </c>
      <c r="E2139" s="4">
        <v>2276</v>
      </c>
      <c r="F2139" s="4" t="s">
        <v>29</v>
      </c>
      <c r="G2139" s="4" t="s">
        <v>30</v>
      </c>
      <c r="H2139" s="4" t="s">
        <v>52</v>
      </c>
      <c r="I2139" s="4" t="s">
        <v>121</v>
      </c>
      <c r="J2139" s="4">
        <v>320</v>
      </c>
      <c r="L2139" s="4" t="s">
        <v>33</v>
      </c>
      <c r="M2139" s="5"/>
      <c r="O2139" s="5"/>
      <c r="Q2139" s="4">
        <f>B2139</f>
        <v>1984</v>
      </c>
      <c r="R2139" s="4" t="str">
        <f>C2139</f>
        <v>23/10/2026</v>
      </c>
      <c r="S2139" s="4" t="str">
        <f>D2139</f>
        <v>viernes</v>
      </c>
      <c r="T2139" s="4" t="str">
        <f>E2139&amp;"/"&amp;E2140</f>
        <v>2276/2277</v>
      </c>
      <c r="U2139" s="4" t="str">
        <f>F2139&amp;"-"&amp;G2139&amp;"-"&amp;F2139</f>
        <v>LIM-CUZ-LIM</v>
      </c>
      <c r="V2139" s="4" t="str">
        <f>IF($M$2139="","",$M$2139)</f>
        <v/>
      </c>
      <c r="W2139" s="4" t="str">
        <f>IF($O$2139="","",$O$2139)</f>
        <v/>
      </c>
      <c r="X2139" s="4">
        <f>J2139</f>
        <v>320</v>
      </c>
    </row>
    <row r="2140" spans="2:24" ht="30" x14ac:dyDescent="0.25">
      <c r="B2140" s="4">
        <v>1984</v>
      </c>
      <c r="C2140" s="4" t="s">
        <v>195</v>
      </c>
      <c r="D2140" s="4" t="s">
        <v>96</v>
      </c>
      <c r="E2140" s="4">
        <v>2277</v>
      </c>
      <c r="F2140" s="4" t="s">
        <v>30</v>
      </c>
      <c r="G2140" s="4" t="s">
        <v>29</v>
      </c>
      <c r="H2140" s="4" t="s">
        <v>62</v>
      </c>
      <c r="I2140" s="4" t="s">
        <v>122</v>
      </c>
      <c r="J2140" s="4">
        <v>320</v>
      </c>
      <c r="K2140" t="str">
        <f>TEXT(TIMEVALUE(H2140)-TIMEVALUE(I2139)+(TIMEVALUE(H2140)&lt;TIMEVALUE(I2139)),"[h]:mm")</f>
        <v>0:40</v>
      </c>
      <c r="L2140" s="4" t="s">
        <v>36</v>
      </c>
      <c r="O2140" t="str">
        <f>"LIM-"&amp;G2139&amp;"-LIM   LA "&amp;E2139&amp;" ("&amp;LEFT(H2139,5)&amp;"-"&amp;LEFT(I2139,5)&amp;" hrs)  /  LA "&amp;E2140&amp;" ("&amp;LEFT(H2140,5)&amp;"-"&amp;LEFT(I2140,5)&amp;" hrs)"</f>
        <v>LIM-CUZ-LIM   LA 2276 (16:35-17:55 hrs)  /  LA 2277 (18:35-20:10 hrs)</v>
      </c>
    </row>
    <row r="2141" spans="2:24" x14ac:dyDescent="0.25">
      <c r="J2141" s="7" t="s">
        <v>43</v>
      </c>
      <c r="K2141" s="8" t="str">
        <f>TEXT(TIMEVALUE(I2140)-TIMEVALUE(H2139)+(I2140&lt;H2139),"[h]:mm")</f>
        <v>3:35</v>
      </c>
    </row>
    <row r="2143" spans="2:24" ht="30" x14ac:dyDescent="0.25">
      <c r="B2143" s="3" t="s">
        <v>9</v>
      </c>
      <c r="C2143" s="3" t="s">
        <v>17</v>
      </c>
      <c r="D2143" s="3" t="s">
        <v>18</v>
      </c>
      <c r="E2143" s="3" t="s">
        <v>19</v>
      </c>
      <c r="F2143" s="3" t="s">
        <v>20</v>
      </c>
      <c r="G2143" s="3" t="s">
        <v>21</v>
      </c>
      <c r="H2143" s="3" t="s">
        <v>22</v>
      </c>
      <c r="I2143" s="3" t="s">
        <v>23</v>
      </c>
      <c r="J2143" s="3" t="s">
        <v>24</v>
      </c>
      <c r="K2143" s="3" t="s">
        <v>25</v>
      </c>
      <c r="L2143" s="3" t="s">
        <v>26</v>
      </c>
    </row>
    <row r="2144" spans="2:24" ht="30" x14ac:dyDescent="0.25">
      <c r="B2144" s="4">
        <v>2024</v>
      </c>
      <c r="C2144" s="4" t="s">
        <v>199</v>
      </c>
      <c r="D2144" s="4" t="s">
        <v>119</v>
      </c>
      <c r="E2144" s="4">
        <v>2013</v>
      </c>
      <c r="F2144" s="4" t="s">
        <v>29</v>
      </c>
      <c r="G2144" s="4" t="s">
        <v>30</v>
      </c>
      <c r="H2144" s="4" t="s">
        <v>188</v>
      </c>
      <c r="I2144" s="4" t="s">
        <v>189</v>
      </c>
      <c r="J2144" s="4">
        <v>320</v>
      </c>
      <c r="L2144" s="4" t="s">
        <v>33</v>
      </c>
      <c r="M2144" s="5"/>
      <c r="O2144" s="5"/>
      <c r="Q2144" s="4">
        <f>B2144</f>
        <v>2024</v>
      </c>
      <c r="R2144" s="4" t="str">
        <f>C2144</f>
        <v>24/10/2026</v>
      </c>
      <c r="S2144" s="4" t="str">
        <f>D2144</f>
        <v>sábado</v>
      </c>
      <c r="T2144" s="4" t="str">
        <f>E2144&amp;"/"&amp;E2145</f>
        <v>2013/2014</v>
      </c>
      <c r="U2144" s="4" t="str">
        <f>F2144&amp;"-"&amp;G2144&amp;"-"&amp;F2144</f>
        <v>LIM-CUZ-LIM</v>
      </c>
      <c r="V2144" s="4" t="str">
        <f>IF($M$2144="","",$M$2144)</f>
        <v/>
      </c>
      <c r="W2144" s="4" t="str">
        <f>IF($O$2144="","",$O$2144)</f>
        <v/>
      </c>
      <c r="X2144" s="4">
        <f>J2144</f>
        <v>320</v>
      </c>
    </row>
    <row r="2145" spans="2:24" ht="30" x14ac:dyDescent="0.25">
      <c r="B2145" s="4">
        <v>2024</v>
      </c>
      <c r="C2145" s="4" t="s">
        <v>199</v>
      </c>
      <c r="D2145" s="4" t="s">
        <v>119</v>
      </c>
      <c r="E2145" s="4">
        <v>2014</v>
      </c>
      <c r="F2145" s="4" t="s">
        <v>30</v>
      </c>
      <c r="G2145" s="4" t="s">
        <v>29</v>
      </c>
      <c r="H2145" s="4" t="s">
        <v>190</v>
      </c>
      <c r="I2145" s="4" t="s">
        <v>98</v>
      </c>
      <c r="J2145" s="4">
        <v>320</v>
      </c>
      <c r="K2145" t="str">
        <f>TEXT(TIMEVALUE(H2145)-TIMEVALUE(I2144)+(TIMEVALUE(H2145)&lt;TIMEVALUE(I2144)),"[h]:mm")</f>
        <v>0:40</v>
      </c>
      <c r="L2145" s="4" t="s">
        <v>36</v>
      </c>
      <c r="O2145" t="str">
        <f>"LIM-"&amp;G2144&amp;"-LIM   LA "&amp;E2144&amp;" ("&amp;LEFT(H2144,5)&amp;"-"&amp;LEFT(I2144,5)&amp;" hrs)  /  LA "&amp;E2145&amp;" ("&amp;LEFT(H2145,5)&amp;"-"&amp;LEFT(I2145,5)&amp;" hrs)"</f>
        <v>LIM-CUZ-LIM   LA 2013 (08:35-09:55 hrs)  /  LA 2014 (10:35-12:10 hrs)</v>
      </c>
    </row>
    <row r="2146" spans="2:24" ht="30" x14ac:dyDescent="0.25">
      <c r="B2146" s="4">
        <v>2052</v>
      </c>
      <c r="C2146" s="4" t="s">
        <v>199</v>
      </c>
      <c r="D2146" s="4" t="s">
        <v>119</v>
      </c>
      <c r="E2146" s="4">
        <v>2028</v>
      </c>
      <c r="F2146" s="4" t="s">
        <v>29</v>
      </c>
      <c r="G2146" s="4" t="s">
        <v>30</v>
      </c>
      <c r="H2146" s="4" t="s">
        <v>65</v>
      </c>
      <c r="I2146" s="4" t="s">
        <v>75</v>
      </c>
      <c r="J2146" s="4">
        <v>320</v>
      </c>
      <c r="K2146" s="6" t="str">
        <f>TEXT(TIMEVALUE(H2146)-TIMEVALUE(I2145)+(TIMEVALUE(H2146)&lt;TIMEVALUE(I2145)),"[h]:mm")</f>
        <v>1:15</v>
      </c>
      <c r="L2146" s="4" t="s">
        <v>33</v>
      </c>
      <c r="M2146" t="str">
        <f>IF($M$2144="","",$M$2144)</f>
        <v/>
      </c>
      <c r="O2146" t="str">
        <f>IF($O$2144="","",$O$2144)</f>
        <v/>
      </c>
      <c r="Q2146" s="4">
        <f>B2146</f>
        <v>2052</v>
      </c>
      <c r="R2146" s="4" t="str">
        <f>C2146</f>
        <v>24/10/2026</v>
      </c>
      <c r="S2146" s="4" t="str">
        <f>D2146</f>
        <v>sábado</v>
      </c>
      <c r="T2146" s="4" t="str">
        <f>E2146&amp;"/"&amp;E2147</f>
        <v>2028/2029</v>
      </c>
      <c r="U2146" s="4" t="str">
        <f>F2146&amp;"-"&amp;G2146&amp;"-"&amp;F2146</f>
        <v>LIM-CUZ-LIM</v>
      </c>
      <c r="V2146" s="4" t="str">
        <f>IF($M$2144="","",$M$2144)</f>
        <v/>
      </c>
      <c r="W2146" s="4" t="str">
        <f>IF($O$2144="","",$O$2144)</f>
        <v/>
      </c>
      <c r="X2146" s="4">
        <f>J2146</f>
        <v>320</v>
      </c>
    </row>
    <row r="2147" spans="2:24" ht="30" x14ac:dyDescent="0.25">
      <c r="B2147" s="4">
        <v>2052</v>
      </c>
      <c r="C2147" s="4" t="s">
        <v>199</v>
      </c>
      <c r="D2147" s="4" t="s">
        <v>119</v>
      </c>
      <c r="E2147" s="4">
        <v>2029</v>
      </c>
      <c r="F2147" s="4" t="s">
        <v>30</v>
      </c>
      <c r="G2147" s="4" t="s">
        <v>29</v>
      </c>
      <c r="H2147" s="4" t="s">
        <v>76</v>
      </c>
      <c r="I2147" s="4" t="s">
        <v>77</v>
      </c>
      <c r="J2147" s="4">
        <v>320</v>
      </c>
      <c r="K2147" t="str">
        <f>TEXT(TIMEVALUE(H2147)-TIMEVALUE(I2146)+(TIMEVALUE(H2147)&lt;TIMEVALUE(I2146)),"[h]:mm")</f>
        <v>0:45</v>
      </c>
      <c r="L2147" s="4" t="s">
        <v>36</v>
      </c>
      <c r="O2147" t="str">
        <f>"LIM-"&amp;G2146&amp;"-LIM   LA "&amp;E2146&amp;" ("&amp;LEFT(H2146,5)&amp;"-"&amp;LEFT(I2146,5)&amp;" hrs)  /  LA "&amp;E2147&amp;" ("&amp;LEFT(H2147,5)&amp;"-"&amp;LEFT(I2147,5)&amp;" hrs)"</f>
        <v>LIM-CUZ-LIM   LA 2028 (13:25-14:45 hrs)  /  LA 2029 (15:30-17:05 hrs)</v>
      </c>
    </row>
    <row r="2148" spans="2:24" x14ac:dyDescent="0.25">
      <c r="J2148" s="7" t="s">
        <v>43</v>
      </c>
      <c r="K2148" s="8" t="str">
        <f>TEXT(TIMEVALUE(I2147)-TIMEVALUE(H2144)+(I2147&lt;H2144),"[h]:mm")</f>
        <v>8:30</v>
      </c>
    </row>
    <row r="2150" spans="2:24" ht="30" x14ac:dyDescent="0.25">
      <c r="B2150" s="3" t="s">
        <v>9</v>
      </c>
      <c r="C2150" s="3" t="s">
        <v>17</v>
      </c>
      <c r="D2150" s="3" t="s">
        <v>18</v>
      </c>
      <c r="E2150" s="3" t="s">
        <v>19</v>
      </c>
      <c r="F2150" s="3" t="s">
        <v>20</v>
      </c>
      <c r="G2150" s="3" t="s">
        <v>21</v>
      </c>
      <c r="H2150" s="3" t="s">
        <v>22</v>
      </c>
      <c r="I2150" s="3" t="s">
        <v>23</v>
      </c>
      <c r="J2150" s="3" t="s">
        <v>24</v>
      </c>
      <c r="K2150" s="3" t="s">
        <v>25</v>
      </c>
      <c r="L2150" s="3" t="s">
        <v>26</v>
      </c>
    </row>
    <row r="2151" spans="2:24" ht="30" x14ac:dyDescent="0.25">
      <c r="B2151" s="4">
        <v>2033</v>
      </c>
      <c r="C2151" s="4" t="s">
        <v>199</v>
      </c>
      <c r="D2151" s="4" t="s">
        <v>119</v>
      </c>
      <c r="E2151" s="4">
        <v>2077</v>
      </c>
      <c r="F2151" s="4" t="s">
        <v>29</v>
      </c>
      <c r="G2151" s="4" t="s">
        <v>30</v>
      </c>
      <c r="H2151" s="4" t="s">
        <v>196</v>
      </c>
      <c r="I2151" s="4" t="s">
        <v>197</v>
      </c>
      <c r="J2151" s="4">
        <v>319</v>
      </c>
      <c r="L2151" s="4" t="s">
        <v>33</v>
      </c>
      <c r="M2151" s="5"/>
      <c r="O2151" s="5"/>
      <c r="Q2151" s="4">
        <f>B2151</f>
        <v>2033</v>
      </c>
      <c r="R2151" s="4" t="str">
        <f>C2151</f>
        <v>24/10/2026</v>
      </c>
      <c r="S2151" s="4" t="str">
        <f>D2151</f>
        <v>sábado</v>
      </c>
      <c r="T2151" s="4" t="str">
        <f>E2151&amp;"/"&amp;E2152</f>
        <v>2077/2078</v>
      </c>
      <c r="U2151" s="4" t="str">
        <f>F2151&amp;"-"&amp;G2151&amp;"-"&amp;F2151</f>
        <v>LIM-CUZ-LIM</v>
      </c>
      <c r="V2151" s="4" t="str">
        <f>IF($M$2151="","",$M$2151)</f>
        <v/>
      </c>
      <c r="W2151" s="4" t="str">
        <f>IF($O$2151="","",$O$2151)</f>
        <v/>
      </c>
      <c r="X2151" s="4">
        <f>J2151</f>
        <v>319</v>
      </c>
    </row>
    <row r="2152" spans="2:24" ht="30" x14ac:dyDescent="0.25">
      <c r="B2152" s="4">
        <v>2033</v>
      </c>
      <c r="C2152" s="4" t="s">
        <v>199</v>
      </c>
      <c r="D2152" s="4" t="s">
        <v>119</v>
      </c>
      <c r="E2152" s="4">
        <v>2078</v>
      </c>
      <c r="F2152" s="4" t="s">
        <v>30</v>
      </c>
      <c r="G2152" s="4" t="s">
        <v>29</v>
      </c>
      <c r="H2152" s="4" t="s">
        <v>73</v>
      </c>
      <c r="I2152" s="4" t="s">
        <v>198</v>
      </c>
      <c r="J2152" s="4">
        <v>319</v>
      </c>
      <c r="K2152" t="str">
        <f>TEXT(TIMEVALUE(H2152)-TIMEVALUE(I2151)+(TIMEVALUE(H2152)&lt;TIMEVALUE(I2151)),"[h]:mm")</f>
        <v>3:40</v>
      </c>
      <c r="L2152" s="4" t="s">
        <v>36</v>
      </c>
      <c r="O2152" t="str">
        <f>"LIM-"&amp;G2151&amp;"-LIM   LA "&amp;E2151&amp;" ("&amp;LEFT(H2151,5)&amp;"-"&amp;LEFT(I2151,5)&amp;" hrs)  /  LA "&amp;E2152&amp;" ("&amp;LEFT(H2152,5)&amp;"-"&amp;LEFT(I2152,5)&amp;" hrs)"</f>
        <v>LIM-CUZ-LIM   LA 2077 (09:50-11:10 hrs)  /  LA 2078 (14:50-16:25 hrs)</v>
      </c>
    </row>
    <row r="2153" spans="2:24" x14ac:dyDescent="0.25">
      <c r="J2153" s="7" t="s">
        <v>43</v>
      </c>
      <c r="K2153" s="8" t="str">
        <f>TEXT(TIMEVALUE(I2152)-TIMEVALUE(H2151)+(I2152&lt;H2151),"[h]:mm")</f>
        <v>6:35</v>
      </c>
    </row>
    <row r="2155" spans="2:24" ht="30" x14ac:dyDescent="0.25">
      <c r="B2155" s="3" t="s">
        <v>9</v>
      </c>
      <c r="C2155" s="3" t="s">
        <v>17</v>
      </c>
      <c r="D2155" s="3" t="s">
        <v>18</v>
      </c>
      <c r="E2155" s="3" t="s">
        <v>19</v>
      </c>
      <c r="F2155" s="3" t="s">
        <v>20</v>
      </c>
      <c r="G2155" s="3" t="s">
        <v>21</v>
      </c>
      <c r="H2155" s="3" t="s">
        <v>22</v>
      </c>
      <c r="I2155" s="3" t="s">
        <v>23</v>
      </c>
      <c r="J2155" s="3" t="s">
        <v>24</v>
      </c>
      <c r="K2155" s="3" t="s">
        <v>25</v>
      </c>
      <c r="L2155" s="3" t="s">
        <v>26</v>
      </c>
    </row>
    <row r="2156" spans="2:24" ht="30" x14ac:dyDescent="0.25">
      <c r="B2156" s="4">
        <v>2034</v>
      </c>
      <c r="C2156" s="4" t="s">
        <v>199</v>
      </c>
      <c r="D2156" s="4" t="s">
        <v>119</v>
      </c>
      <c r="E2156" s="4">
        <v>2260</v>
      </c>
      <c r="F2156" s="4" t="s">
        <v>29</v>
      </c>
      <c r="G2156" s="4" t="s">
        <v>44</v>
      </c>
      <c r="H2156" s="4" t="s">
        <v>45</v>
      </c>
      <c r="I2156" s="4" t="s">
        <v>46</v>
      </c>
      <c r="J2156" s="4">
        <v>320</v>
      </c>
      <c r="L2156" s="4" t="s">
        <v>47</v>
      </c>
      <c r="M2156" s="5"/>
      <c r="O2156" s="5"/>
      <c r="Q2156" s="4">
        <f>B2156</f>
        <v>2034</v>
      </c>
      <c r="R2156" s="4" t="str">
        <f>C2156</f>
        <v>24/10/2026</v>
      </c>
      <c r="S2156" s="4" t="str">
        <f>D2156</f>
        <v>sábado</v>
      </c>
      <c r="T2156" s="4" t="str">
        <f>E2156&amp;"/"&amp;E2157</f>
        <v>2260/2261</v>
      </c>
      <c r="U2156" s="4" t="str">
        <f>F2156&amp;"-"&amp;G2156&amp;"-"&amp;F2156</f>
        <v>LIM-PEM-LIM</v>
      </c>
      <c r="V2156" s="4" t="str">
        <f>IF($M$2156="","",$M$2156)</f>
        <v/>
      </c>
      <c r="W2156" s="4" t="str">
        <f>IF($O$2156="","",$O$2156)</f>
        <v/>
      </c>
      <c r="X2156" s="4">
        <f>J2156</f>
        <v>320</v>
      </c>
    </row>
    <row r="2157" spans="2:24" ht="30" x14ac:dyDescent="0.25">
      <c r="B2157" s="4">
        <v>2034</v>
      </c>
      <c r="C2157" s="4" t="s">
        <v>199</v>
      </c>
      <c r="D2157" s="4" t="s">
        <v>119</v>
      </c>
      <c r="E2157" s="4">
        <v>2261</v>
      </c>
      <c r="F2157" s="4" t="s">
        <v>44</v>
      </c>
      <c r="G2157" s="4" t="s">
        <v>29</v>
      </c>
      <c r="H2157" s="4" t="s">
        <v>48</v>
      </c>
      <c r="I2157" s="4" t="s">
        <v>49</v>
      </c>
      <c r="J2157" s="4">
        <v>320</v>
      </c>
      <c r="K2157" t="str">
        <f>TEXT(TIMEVALUE(H2157)-TIMEVALUE(I2156)+(TIMEVALUE(H2157)&lt;TIMEVALUE(I2156)),"[h]:mm")</f>
        <v>0:40</v>
      </c>
      <c r="L2157" s="4" t="s">
        <v>36</v>
      </c>
      <c r="O2157" t="str">
        <f>"LIM-"&amp;G2156&amp;"-LIM   LA "&amp;E2156&amp;" ("&amp;LEFT(H2156,5)&amp;"-"&amp;LEFT(I2156,5)&amp;" hrs)  /  LA "&amp;E2157&amp;" ("&amp;LEFT(H2157,5)&amp;"-"&amp;LEFT(I2157,5)&amp;" hrs)"</f>
        <v>LIM-PEM-LIM   LA 2260 (10:20-12:05 hrs)  /  LA 2261 (12:45-14:20 hrs)</v>
      </c>
    </row>
    <row r="2158" spans="2:24" ht="30" x14ac:dyDescent="0.25">
      <c r="B2158" s="4">
        <v>2063</v>
      </c>
      <c r="C2158" s="4" t="s">
        <v>199</v>
      </c>
      <c r="D2158" s="4" t="s">
        <v>119</v>
      </c>
      <c r="E2158" s="4">
        <v>2297</v>
      </c>
      <c r="F2158" s="4" t="s">
        <v>29</v>
      </c>
      <c r="G2158" s="4" t="s">
        <v>50</v>
      </c>
      <c r="H2158" s="4" t="s">
        <v>51</v>
      </c>
      <c r="I2158" s="4" t="s">
        <v>52</v>
      </c>
      <c r="J2158" s="4">
        <v>320</v>
      </c>
      <c r="K2158" s="6" t="str">
        <f>TEXT(TIMEVALUE(H2158)-TIMEVALUE(I2157)+(TIMEVALUE(H2158)&lt;TIMEVALUE(I2157)),"[h]:mm")</f>
        <v>0:55</v>
      </c>
      <c r="L2158" s="4" t="s">
        <v>33</v>
      </c>
      <c r="M2158" t="str">
        <f>IF($M$2156="","",$M$2156)</f>
        <v/>
      </c>
      <c r="O2158" t="str">
        <f>IF($O$2156="","",$O$2156)</f>
        <v/>
      </c>
      <c r="Q2158" s="4">
        <f>B2158</f>
        <v>2063</v>
      </c>
      <c r="R2158" s="4" t="str">
        <f>C2158</f>
        <v>24/10/2026</v>
      </c>
      <c r="S2158" s="4" t="str">
        <f>D2158</f>
        <v>sábado</v>
      </c>
      <c r="T2158" s="4" t="str">
        <f>E2158&amp;"/"&amp;E2159</f>
        <v>2297/2296</v>
      </c>
      <c r="U2158" s="4" t="str">
        <f>F2158&amp;"-"&amp;G2158&amp;"-"&amp;F2158</f>
        <v>LIM-CJA-LIM</v>
      </c>
      <c r="V2158" s="4" t="str">
        <f>IF($M$2156="","",$M$2156)</f>
        <v/>
      </c>
      <c r="W2158" s="4" t="str">
        <f>IF($O$2156="","",$O$2156)</f>
        <v/>
      </c>
      <c r="X2158" s="4">
        <f>J2158</f>
        <v>320</v>
      </c>
    </row>
    <row r="2159" spans="2:24" ht="30" x14ac:dyDescent="0.25">
      <c r="B2159" s="4">
        <v>2063</v>
      </c>
      <c r="C2159" s="4" t="s">
        <v>199</v>
      </c>
      <c r="D2159" s="4" t="s">
        <v>119</v>
      </c>
      <c r="E2159" s="4">
        <v>2296</v>
      </c>
      <c r="F2159" s="4" t="s">
        <v>50</v>
      </c>
      <c r="G2159" s="4" t="s">
        <v>29</v>
      </c>
      <c r="H2159" s="4" t="s">
        <v>53</v>
      </c>
      <c r="I2159" s="4" t="s">
        <v>54</v>
      </c>
      <c r="J2159" s="4">
        <v>320</v>
      </c>
      <c r="K2159" t="str">
        <f>TEXT(TIMEVALUE(H2159)-TIMEVALUE(I2158)+(TIMEVALUE(H2159)&lt;TIMEVALUE(I2158)),"[h]:mm")</f>
        <v>0:45</v>
      </c>
      <c r="L2159" s="4" t="s">
        <v>55</v>
      </c>
      <c r="O2159" t="str">
        <f>"LIM-"&amp;G2158&amp;"-LIM   LA "&amp;E2158&amp;" ("&amp;LEFT(H2158,5)&amp;"-"&amp;LEFT(I2158,5)&amp;" hrs)  /  LA "&amp;E2159&amp;" ("&amp;LEFT(H2159,5)&amp;"-"&amp;LEFT(I2159,5)&amp;" hrs)"</f>
        <v>LIM-CJA-LIM   LA 2297 (15:15-16:35 hrs)  /  LA 2296 (17:20-18:25 hrs)</v>
      </c>
    </row>
    <row r="2160" spans="2:24" x14ac:dyDescent="0.25">
      <c r="J2160" s="7" t="s">
        <v>43</v>
      </c>
      <c r="K2160" s="8" t="str">
        <f>TEXT(TIMEVALUE(I2159)-TIMEVALUE(H2156)+(I2159&lt;H2156),"[h]:mm")</f>
        <v>8:05</v>
      </c>
    </row>
    <row r="2162" spans="2:24" ht="30" x14ac:dyDescent="0.25">
      <c r="B2162" s="3" t="s">
        <v>9</v>
      </c>
      <c r="C2162" s="3" t="s">
        <v>17</v>
      </c>
      <c r="D2162" s="3" t="s">
        <v>18</v>
      </c>
      <c r="E2162" s="3" t="s">
        <v>19</v>
      </c>
      <c r="F2162" s="3" t="s">
        <v>20</v>
      </c>
      <c r="G2162" s="3" t="s">
        <v>21</v>
      </c>
      <c r="H2162" s="3" t="s">
        <v>22</v>
      </c>
      <c r="I2162" s="3" t="s">
        <v>23</v>
      </c>
      <c r="J2162" s="3" t="s">
        <v>24</v>
      </c>
      <c r="K2162" s="3" t="s">
        <v>25</v>
      </c>
      <c r="L2162" s="3" t="s">
        <v>26</v>
      </c>
    </row>
    <row r="2163" spans="2:24" ht="30" x14ac:dyDescent="0.25">
      <c r="B2163" s="4">
        <v>2035</v>
      </c>
      <c r="C2163" s="4" t="s">
        <v>199</v>
      </c>
      <c r="D2163" s="4" t="s">
        <v>119</v>
      </c>
      <c r="E2163" s="4">
        <v>2015</v>
      </c>
      <c r="F2163" s="4" t="s">
        <v>29</v>
      </c>
      <c r="G2163" s="4" t="s">
        <v>125</v>
      </c>
      <c r="H2163" s="4" t="s">
        <v>169</v>
      </c>
      <c r="I2163" s="4" t="s">
        <v>170</v>
      </c>
      <c r="J2163" s="4">
        <v>320</v>
      </c>
      <c r="L2163" s="4" t="s">
        <v>47</v>
      </c>
      <c r="M2163" s="5"/>
      <c r="O2163" s="5"/>
      <c r="Q2163" s="4">
        <f>B2163</f>
        <v>2035</v>
      </c>
      <c r="R2163" s="4" t="str">
        <f>C2163</f>
        <v>24/10/2026</v>
      </c>
      <c r="S2163" s="4" t="str">
        <f>D2163</f>
        <v>sábado</v>
      </c>
      <c r="T2163" s="4" t="str">
        <f>E2163&amp;"/"&amp;E2164</f>
        <v>2015/2016</v>
      </c>
      <c r="U2163" s="4" t="str">
        <f>F2163&amp;"-"&amp;G2163&amp;"-"&amp;F2163</f>
        <v>LIM-PIU-LIM</v>
      </c>
      <c r="V2163" s="4" t="str">
        <f>IF($M$2163="","",$M$2163)</f>
        <v/>
      </c>
      <c r="W2163" s="4" t="str">
        <f>IF($O$2163="","",$O$2163)</f>
        <v/>
      </c>
      <c r="X2163" s="4">
        <f>J2163</f>
        <v>320</v>
      </c>
    </row>
    <row r="2164" spans="2:24" ht="30" x14ac:dyDescent="0.25">
      <c r="B2164" s="4">
        <v>2035</v>
      </c>
      <c r="C2164" s="4" t="s">
        <v>199</v>
      </c>
      <c r="D2164" s="4" t="s">
        <v>119</v>
      </c>
      <c r="E2164" s="4">
        <v>2016</v>
      </c>
      <c r="F2164" s="4" t="s">
        <v>125</v>
      </c>
      <c r="G2164" s="4" t="s">
        <v>29</v>
      </c>
      <c r="H2164" s="4" t="s">
        <v>171</v>
      </c>
      <c r="I2164" s="4" t="s">
        <v>87</v>
      </c>
      <c r="J2164" s="4">
        <v>320</v>
      </c>
      <c r="K2164" t="str">
        <f>TEXT(TIMEVALUE(H2164)-TIMEVALUE(I2163)+(TIMEVALUE(H2164)&lt;TIMEVALUE(I2163)),"[h]:mm")</f>
        <v>0:40</v>
      </c>
      <c r="L2164" s="4" t="s">
        <v>36</v>
      </c>
      <c r="O2164" t="str">
        <f>"LIM-"&amp;G2163&amp;"-LIM   LA "&amp;E2163&amp;" ("&amp;LEFT(H2163,5)&amp;"-"&amp;LEFT(I2163,5)&amp;" hrs)  /  LA "&amp;E2164&amp;" ("&amp;LEFT(H2164,5)&amp;"-"&amp;LEFT(I2164,5)&amp;" hrs)"</f>
        <v>LIM-PIU-LIM   LA 2015 (10:55-12:40 hrs)  /  LA 2016 (13:20-14:55 hrs)</v>
      </c>
    </row>
    <row r="2165" spans="2:24" x14ac:dyDescent="0.25">
      <c r="J2165" s="7" t="s">
        <v>43</v>
      </c>
      <c r="K2165" s="8" t="str">
        <f>TEXT(TIMEVALUE(I2164)-TIMEVALUE(H2163)+(I2164&lt;H2163),"[h]:mm")</f>
        <v>4:00</v>
      </c>
    </row>
    <row r="2167" spans="2:24" ht="30" x14ac:dyDescent="0.25">
      <c r="B2167" s="3" t="s">
        <v>9</v>
      </c>
      <c r="C2167" s="3" t="s">
        <v>17</v>
      </c>
      <c r="D2167" s="3" t="s">
        <v>18</v>
      </c>
      <c r="E2167" s="3" t="s">
        <v>19</v>
      </c>
      <c r="F2167" s="3" t="s">
        <v>20</v>
      </c>
      <c r="G2167" s="3" t="s">
        <v>21</v>
      </c>
      <c r="H2167" s="3" t="s">
        <v>22</v>
      </c>
      <c r="I2167" s="3" t="s">
        <v>23</v>
      </c>
      <c r="J2167" s="3" t="s">
        <v>24</v>
      </c>
      <c r="K2167" s="3" t="s">
        <v>25</v>
      </c>
      <c r="L2167" s="3" t="s">
        <v>26</v>
      </c>
    </row>
    <row r="2168" spans="2:24" ht="30" x14ac:dyDescent="0.25">
      <c r="B2168" s="4">
        <v>2036</v>
      </c>
      <c r="C2168" s="4" t="s">
        <v>199</v>
      </c>
      <c r="D2168" s="4" t="s">
        <v>119</v>
      </c>
      <c r="E2168" s="4">
        <v>2299</v>
      </c>
      <c r="F2168" s="4" t="s">
        <v>29</v>
      </c>
      <c r="G2168" s="4" t="s">
        <v>50</v>
      </c>
      <c r="H2168" s="4" t="s">
        <v>64</v>
      </c>
      <c r="I2168" s="4" t="s">
        <v>35</v>
      </c>
      <c r="J2168" s="4">
        <v>320</v>
      </c>
      <c r="L2168" s="4" t="s">
        <v>33</v>
      </c>
      <c r="M2168" s="5"/>
      <c r="O2168" s="5"/>
      <c r="Q2168" s="4">
        <f>B2168</f>
        <v>2036</v>
      </c>
      <c r="R2168" s="4" t="str">
        <f>C2168</f>
        <v>24/10/2026</v>
      </c>
      <c r="S2168" s="4" t="str">
        <f>D2168</f>
        <v>sábado</v>
      </c>
      <c r="T2168" s="4" t="str">
        <f>E2168&amp;"/"&amp;E2169</f>
        <v>2299/2298</v>
      </c>
      <c r="U2168" s="4" t="str">
        <f>F2168&amp;"-"&amp;G2168&amp;"-"&amp;F2168</f>
        <v>LIM-CJA-LIM</v>
      </c>
      <c r="V2168" s="4" t="str">
        <f>IF($M$2168="","",$M$2168)</f>
        <v/>
      </c>
      <c r="W2168" s="4" t="str">
        <f>IF($O$2168="","",$O$2168)</f>
        <v/>
      </c>
      <c r="X2168" s="4">
        <f>J2168</f>
        <v>320</v>
      </c>
    </row>
    <row r="2169" spans="2:24" ht="30" x14ac:dyDescent="0.25">
      <c r="B2169" s="4">
        <v>2036</v>
      </c>
      <c r="C2169" s="4" t="s">
        <v>199</v>
      </c>
      <c r="D2169" s="4" t="s">
        <v>119</v>
      </c>
      <c r="E2169" s="4">
        <v>2298</v>
      </c>
      <c r="F2169" s="4" t="s">
        <v>50</v>
      </c>
      <c r="G2169" s="4" t="s">
        <v>29</v>
      </c>
      <c r="H2169" s="4" t="s">
        <v>72</v>
      </c>
      <c r="I2169" s="4" t="s">
        <v>73</v>
      </c>
      <c r="J2169" s="4">
        <v>320</v>
      </c>
      <c r="K2169" t="str">
        <f>TEXT(TIMEVALUE(H2169)-TIMEVALUE(I2168)+(TIMEVALUE(H2169)&lt;TIMEVALUE(I2168)),"[h]:mm")</f>
        <v>0:45</v>
      </c>
      <c r="L2169" s="4" t="s">
        <v>74</v>
      </c>
      <c r="O2169" t="str">
        <f>"LIM-"&amp;G2168&amp;"-LIM   LA "&amp;E2168&amp;" ("&amp;LEFT(H2168,5)&amp;"-"&amp;LEFT(I2168,5)&amp;" hrs)  /  LA "&amp;E2169&amp;" ("&amp;LEFT(H2169,5)&amp;"-"&amp;LEFT(I2169,5)&amp;" hrs)"</f>
        <v>LIM-CJA-LIM   LA 2299 (11:35-12:55 hrs)  /  LA 2298 (13:40-14:50 hrs)</v>
      </c>
    </row>
    <row r="2170" spans="2:24" x14ac:dyDescent="0.25">
      <c r="J2170" s="7" t="s">
        <v>43</v>
      </c>
      <c r="K2170" s="8" t="str">
        <f>TEXT(TIMEVALUE(I2169)-TIMEVALUE(H2168)+(I2169&lt;H2168),"[h]:mm")</f>
        <v>3:15</v>
      </c>
    </row>
    <row r="2172" spans="2:24" ht="30" x14ac:dyDescent="0.25">
      <c r="B2172" s="3" t="s">
        <v>9</v>
      </c>
      <c r="C2172" s="3" t="s">
        <v>17</v>
      </c>
      <c r="D2172" s="3" t="s">
        <v>18</v>
      </c>
      <c r="E2172" s="3" t="s">
        <v>19</v>
      </c>
      <c r="F2172" s="3" t="s">
        <v>20</v>
      </c>
      <c r="G2172" s="3" t="s">
        <v>21</v>
      </c>
      <c r="H2172" s="3" t="s">
        <v>22</v>
      </c>
      <c r="I2172" s="3" t="s">
        <v>23</v>
      </c>
      <c r="J2172" s="3" t="s">
        <v>24</v>
      </c>
      <c r="K2172" s="3" t="s">
        <v>25</v>
      </c>
      <c r="L2172" s="3" t="s">
        <v>26</v>
      </c>
    </row>
    <row r="2173" spans="2:24" ht="30" x14ac:dyDescent="0.25">
      <c r="B2173" s="4">
        <v>2038</v>
      </c>
      <c r="C2173" s="4" t="s">
        <v>199</v>
      </c>
      <c r="D2173" s="4" t="s">
        <v>119</v>
      </c>
      <c r="E2173" s="4">
        <v>2061</v>
      </c>
      <c r="F2173" s="4" t="s">
        <v>29</v>
      </c>
      <c r="G2173" s="4" t="s">
        <v>30</v>
      </c>
      <c r="H2173" s="4" t="s">
        <v>103</v>
      </c>
      <c r="I2173" s="4" t="s">
        <v>120</v>
      </c>
      <c r="J2173" s="4">
        <v>320</v>
      </c>
      <c r="L2173" s="4" t="s">
        <v>33</v>
      </c>
      <c r="M2173" s="5"/>
      <c r="O2173" s="5"/>
      <c r="Q2173" s="4">
        <f>B2173</f>
        <v>2038</v>
      </c>
      <c r="R2173" s="4" t="str">
        <f>C2173</f>
        <v>24/10/2026</v>
      </c>
      <c r="S2173" s="4" t="str">
        <f>D2173</f>
        <v>sábado</v>
      </c>
      <c r="T2173" s="4" t="str">
        <f>E2173&amp;"/"&amp;E2174</f>
        <v>2061/2062</v>
      </c>
      <c r="U2173" s="4" t="str">
        <f>F2173&amp;"-"&amp;G2173&amp;"-"&amp;F2173</f>
        <v>LIM-CUZ-LIM</v>
      </c>
      <c r="V2173" s="4" t="str">
        <f>IF($M$2173="","",$M$2173)</f>
        <v/>
      </c>
      <c r="W2173" s="4" t="str">
        <f>IF($O$2173="","",$O$2173)</f>
        <v/>
      </c>
      <c r="X2173" s="4">
        <f>J2173</f>
        <v>320</v>
      </c>
    </row>
    <row r="2174" spans="2:24" ht="30" x14ac:dyDescent="0.25">
      <c r="B2174" s="4">
        <v>2038</v>
      </c>
      <c r="C2174" s="4" t="s">
        <v>199</v>
      </c>
      <c r="D2174" s="4" t="s">
        <v>119</v>
      </c>
      <c r="E2174" s="4">
        <v>2062</v>
      </c>
      <c r="F2174" s="4" t="s">
        <v>30</v>
      </c>
      <c r="G2174" s="4" t="s">
        <v>29</v>
      </c>
      <c r="H2174" s="4" t="s">
        <v>72</v>
      </c>
      <c r="I2174" s="4" t="s">
        <v>51</v>
      </c>
      <c r="J2174" s="4">
        <v>320</v>
      </c>
      <c r="K2174" t="str">
        <f>TEXT(TIMEVALUE(H2174)-TIMEVALUE(I2173)+(TIMEVALUE(H2174)&lt;TIMEVALUE(I2173)),"[h]:mm")</f>
        <v>0:40</v>
      </c>
      <c r="L2174" s="4" t="s">
        <v>36</v>
      </c>
      <c r="O2174" t="str">
        <f>"LIM-"&amp;G2173&amp;"-LIM   LA "&amp;E2173&amp;" ("&amp;LEFT(H2173,5)&amp;"-"&amp;LEFT(I2173,5)&amp;" hrs)  /  LA "&amp;E2174&amp;" ("&amp;LEFT(H2174,5)&amp;"-"&amp;LEFT(I2174,5)&amp;" hrs)"</f>
        <v>LIM-CUZ-LIM   LA 2061 (11:40-13:00 hrs)  /  LA 2062 (13:40-15:15 hrs)</v>
      </c>
    </row>
    <row r="2175" spans="2:24" ht="30" x14ac:dyDescent="0.25">
      <c r="B2175" s="4">
        <v>2069</v>
      </c>
      <c r="C2175" s="4" t="s">
        <v>199</v>
      </c>
      <c r="D2175" s="4" t="s">
        <v>119</v>
      </c>
      <c r="E2175" s="4">
        <v>2276</v>
      </c>
      <c r="F2175" s="4" t="s">
        <v>29</v>
      </c>
      <c r="G2175" s="4" t="s">
        <v>30</v>
      </c>
      <c r="H2175" s="4" t="s">
        <v>52</v>
      </c>
      <c r="I2175" s="4" t="s">
        <v>121</v>
      </c>
      <c r="J2175" s="4">
        <v>320</v>
      </c>
      <c r="K2175" s="6" t="str">
        <f>TEXT(TIMEVALUE(H2175)-TIMEVALUE(I2174)+(TIMEVALUE(H2175)&lt;TIMEVALUE(I2174)),"[h]:mm")</f>
        <v>1:20</v>
      </c>
      <c r="L2175" s="4" t="s">
        <v>33</v>
      </c>
      <c r="M2175" t="str">
        <f>IF($M$2173="","",$M$2173)</f>
        <v/>
      </c>
      <c r="O2175" t="str">
        <f>IF($O$2173="","",$O$2173)</f>
        <v/>
      </c>
      <c r="Q2175" s="4">
        <f>B2175</f>
        <v>2069</v>
      </c>
      <c r="R2175" s="4" t="str">
        <f>C2175</f>
        <v>24/10/2026</v>
      </c>
      <c r="S2175" s="4" t="str">
        <f>D2175</f>
        <v>sábado</v>
      </c>
      <c r="T2175" s="4" t="str">
        <f>E2175&amp;"/"&amp;E2176</f>
        <v>2276/2277</v>
      </c>
      <c r="U2175" s="4" t="str">
        <f>F2175&amp;"-"&amp;G2175&amp;"-"&amp;F2175</f>
        <v>LIM-CUZ-LIM</v>
      </c>
      <c r="V2175" s="4" t="str">
        <f>IF($M$2173="","",$M$2173)</f>
        <v/>
      </c>
      <c r="W2175" s="4" t="str">
        <f>IF($O$2173="","",$O$2173)</f>
        <v/>
      </c>
      <c r="X2175" s="4">
        <f>J2175</f>
        <v>320</v>
      </c>
    </row>
    <row r="2176" spans="2:24" ht="30" x14ac:dyDescent="0.25">
      <c r="B2176" s="4">
        <v>2069</v>
      </c>
      <c r="C2176" s="4" t="s">
        <v>199</v>
      </c>
      <c r="D2176" s="4" t="s">
        <v>119</v>
      </c>
      <c r="E2176" s="4">
        <v>2277</v>
      </c>
      <c r="F2176" s="4" t="s">
        <v>30</v>
      </c>
      <c r="G2176" s="4" t="s">
        <v>29</v>
      </c>
      <c r="H2176" s="4" t="s">
        <v>62</v>
      </c>
      <c r="I2176" s="4" t="s">
        <v>122</v>
      </c>
      <c r="J2176" s="4">
        <v>320</v>
      </c>
      <c r="K2176" t="str">
        <f>TEXT(TIMEVALUE(H2176)-TIMEVALUE(I2175)+(TIMEVALUE(H2176)&lt;TIMEVALUE(I2175)),"[h]:mm")</f>
        <v>0:40</v>
      </c>
      <c r="L2176" s="4" t="s">
        <v>36</v>
      </c>
      <c r="O2176" t="str">
        <f>"LIM-"&amp;G2175&amp;"-LIM   LA "&amp;E2175&amp;" ("&amp;LEFT(H2175,5)&amp;"-"&amp;LEFT(I2175,5)&amp;" hrs)  /  LA "&amp;E2176&amp;" ("&amp;LEFT(H2176,5)&amp;"-"&amp;LEFT(I2176,5)&amp;" hrs)"</f>
        <v>LIM-CUZ-LIM   LA 2276 (16:35-17:55 hrs)  /  LA 2277 (18:35-20:10 hrs)</v>
      </c>
    </row>
    <row r="2177" spans="2:24" x14ac:dyDescent="0.25">
      <c r="J2177" s="7" t="s">
        <v>43</v>
      </c>
      <c r="K2177" s="8" t="str">
        <f>TEXT(TIMEVALUE(I2176)-TIMEVALUE(H2173)+(I2176&lt;H2173),"[h]:mm")</f>
        <v>8:30</v>
      </c>
    </row>
    <row r="2179" spans="2:24" ht="30" x14ac:dyDescent="0.25">
      <c r="B2179" s="3" t="s">
        <v>9</v>
      </c>
      <c r="C2179" s="3" t="s">
        <v>17</v>
      </c>
      <c r="D2179" s="3" t="s">
        <v>18</v>
      </c>
      <c r="E2179" s="3" t="s">
        <v>19</v>
      </c>
      <c r="F2179" s="3" t="s">
        <v>20</v>
      </c>
      <c r="G2179" s="3" t="s">
        <v>21</v>
      </c>
      <c r="H2179" s="3" t="s">
        <v>22</v>
      </c>
      <c r="I2179" s="3" t="s">
        <v>23</v>
      </c>
      <c r="J2179" s="3" t="s">
        <v>24</v>
      </c>
      <c r="K2179" s="3" t="s">
        <v>25</v>
      </c>
      <c r="L2179" s="3" t="s">
        <v>26</v>
      </c>
    </row>
    <row r="2180" spans="2:24" ht="30" x14ac:dyDescent="0.25">
      <c r="B2180" s="4">
        <v>2043</v>
      </c>
      <c r="C2180" s="4" t="s">
        <v>199</v>
      </c>
      <c r="D2180" s="4" t="s">
        <v>119</v>
      </c>
      <c r="E2180" s="4">
        <v>2023</v>
      </c>
      <c r="F2180" s="4" t="s">
        <v>29</v>
      </c>
      <c r="G2180" s="4" t="s">
        <v>44</v>
      </c>
      <c r="H2180" s="4" t="s">
        <v>172</v>
      </c>
      <c r="I2180" s="4" t="s">
        <v>82</v>
      </c>
      <c r="J2180" s="4">
        <v>320</v>
      </c>
      <c r="L2180" s="4" t="s">
        <v>71</v>
      </c>
      <c r="M2180" s="5"/>
      <c r="O2180" s="5"/>
      <c r="Q2180" s="4">
        <f>B2180</f>
        <v>2043</v>
      </c>
      <c r="R2180" s="4" t="str">
        <f>C2180</f>
        <v>24/10/2026</v>
      </c>
      <c r="S2180" s="4" t="str">
        <f>D2180</f>
        <v>sábado</v>
      </c>
      <c r="T2180" s="4" t="str">
        <f>E2180&amp;"/"&amp;E2181</f>
        <v>2023/2024</v>
      </c>
      <c r="U2180" s="4" t="str">
        <f>F2180&amp;"-"&amp;G2180&amp;"-"&amp;F2180</f>
        <v>LIM-PEM-LIM</v>
      </c>
      <c r="V2180" s="4" t="str">
        <f>IF($M$2180="","",$M$2180)</f>
        <v/>
      </c>
      <c r="W2180" s="4" t="str">
        <f>IF($O$2180="","",$O$2180)</f>
        <v/>
      </c>
      <c r="X2180" s="4">
        <f>J2180</f>
        <v>320</v>
      </c>
    </row>
    <row r="2181" spans="2:24" ht="30" x14ac:dyDescent="0.25">
      <c r="B2181" s="4">
        <v>2043</v>
      </c>
      <c r="C2181" s="4" t="s">
        <v>199</v>
      </c>
      <c r="D2181" s="4" t="s">
        <v>119</v>
      </c>
      <c r="E2181" s="4">
        <v>2024</v>
      </c>
      <c r="F2181" s="4" t="s">
        <v>44</v>
      </c>
      <c r="G2181" s="4" t="s">
        <v>29</v>
      </c>
      <c r="H2181" s="4" t="s">
        <v>145</v>
      </c>
      <c r="I2181" s="4" t="s">
        <v>83</v>
      </c>
      <c r="J2181" s="4">
        <v>320</v>
      </c>
      <c r="K2181" t="str">
        <f>TEXT(TIMEVALUE(H2181)-TIMEVALUE(I2180)+(TIMEVALUE(H2181)&lt;TIMEVALUE(I2180)),"[h]:mm")</f>
        <v>0:40</v>
      </c>
      <c r="L2181" s="4" t="s">
        <v>36</v>
      </c>
      <c r="O2181" t="str">
        <f>"LIM-"&amp;G2180&amp;"-LIM   LA "&amp;E2180&amp;" ("&amp;LEFT(H2180,5)&amp;"-"&amp;LEFT(I2180,5)&amp;" hrs)  /  LA "&amp;E2181&amp;" ("&amp;LEFT(H2181,5)&amp;"-"&amp;LEFT(I2181,5)&amp;" hrs)"</f>
        <v>LIM-PEM-LIM   LA 2023 (12:15-13:55 hrs)  /  LA 2024 (14:35-16:10 hrs)</v>
      </c>
    </row>
    <row r="2182" spans="2:24" x14ac:dyDescent="0.25">
      <c r="J2182" s="7" t="s">
        <v>43</v>
      </c>
      <c r="K2182" s="8" t="str">
        <f>TEXT(TIMEVALUE(I2181)-TIMEVALUE(H2180)+(I2181&lt;H2180),"[h]:mm")</f>
        <v>3:55</v>
      </c>
    </row>
    <row r="2184" spans="2:24" ht="30" x14ac:dyDescent="0.25">
      <c r="B2184" s="3" t="s">
        <v>9</v>
      </c>
      <c r="C2184" s="3" t="s">
        <v>17</v>
      </c>
      <c r="D2184" s="3" t="s">
        <v>18</v>
      </c>
      <c r="E2184" s="3" t="s">
        <v>19</v>
      </c>
      <c r="F2184" s="3" t="s">
        <v>20</v>
      </c>
      <c r="G2184" s="3" t="s">
        <v>21</v>
      </c>
      <c r="H2184" s="3" t="s">
        <v>22</v>
      </c>
      <c r="I2184" s="3" t="s">
        <v>23</v>
      </c>
      <c r="J2184" s="3" t="s">
        <v>24</v>
      </c>
      <c r="K2184" s="3" t="s">
        <v>25</v>
      </c>
      <c r="L2184" s="3" t="s">
        <v>26</v>
      </c>
    </row>
    <row r="2185" spans="2:24" ht="30" x14ac:dyDescent="0.25">
      <c r="B2185" s="4">
        <v>2046</v>
      </c>
      <c r="C2185" s="4" t="s">
        <v>199</v>
      </c>
      <c r="D2185" s="4" t="s">
        <v>119</v>
      </c>
      <c r="E2185" s="4">
        <v>2043</v>
      </c>
      <c r="F2185" s="4" t="s">
        <v>29</v>
      </c>
      <c r="G2185" s="4" t="s">
        <v>56</v>
      </c>
      <c r="H2185" s="4" t="s">
        <v>48</v>
      </c>
      <c r="I2185" s="4" t="s">
        <v>107</v>
      </c>
      <c r="J2185" s="4">
        <v>320</v>
      </c>
      <c r="L2185" s="4" t="s">
        <v>40</v>
      </c>
      <c r="M2185" s="5"/>
      <c r="O2185" s="5"/>
      <c r="Q2185" s="4">
        <f>B2185</f>
        <v>2046</v>
      </c>
      <c r="R2185" s="4" t="str">
        <f>C2185</f>
        <v>24/10/2026</v>
      </c>
      <c r="S2185" s="4" t="str">
        <f>D2185</f>
        <v>sábado</v>
      </c>
      <c r="T2185" s="4" t="str">
        <f>E2185&amp;"/"&amp;E2186</f>
        <v>2043/2044</v>
      </c>
      <c r="U2185" s="4" t="str">
        <f>F2185&amp;"-"&amp;G2185&amp;"-"&amp;F2185</f>
        <v>LIM-AQP-LIM</v>
      </c>
      <c r="V2185" s="4" t="str">
        <f>IF($M$2185="","",$M$2185)</f>
        <v/>
      </c>
      <c r="W2185" s="4" t="str">
        <f>IF($O$2185="","",$O$2185)</f>
        <v/>
      </c>
      <c r="X2185" s="4">
        <f>J2185</f>
        <v>320</v>
      </c>
    </row>
    <row r="2186" spans="2:24" ht="30" x14ac:dyDescent="0.25">
      <c r="B2186" s="4">
        <v>2046</v>
      </c>
      <c r="C2186" s="4" t="s">
        <v>199</v>
      </c>
      <c r="D2186" s="4" t="s">
        <v>119</v>
      </c>
      <c r="E2186" s="4">
        <v>2044</v>
      </c>
      <c r="F2186" s="4" t="s">
        <v>56</v>
      </c>
      <c r="G2186" s="4" t="s">
        <v>29</v>
      </c>
      <c r="H2186" s="4" t="s">
        <v>109</v>
      </c>
      <c r="I2186" s="4" t="s">
        <v>52</v>
      </c>
      <c r="J2186" s="4">
        <v>320</v>
      </c>
      <c r="K2186" t="str">
        <f>TEXT(TIMEVALUE(H2186)-TIMEVALUE(I2185)+(TIMEVALUE(H2186)&lt;TIMEVALUE(I2185)),"[h]:mm")</f>
        <v>0:45</v>
      </c>
      <c r="L2186" s="4" t="s">
        <v>36</v>
      </c>
      <c r="O2186" t="str">
        <f>"LIM-"&amp;G2185&amp;"-LIM   LA "&amp;E2185&amp;" ("&amp;LEFT(H2185,5)&amp;"-"&amp;LEFT(I2185,5)&amp;" hrs)  /  LA "&amp;E2186&amp;" ("&amp;LEFT(H2186,5)&amp;"-"&amp;LEFT(I2186,5)&amp;" hrs)"</f>
        <v>LIM-AQP-LIM   LA 2043 (12:45-14:15 hrs)  /  LA 2044 (15:00-16:35 hrs)</v>
      </c>
    </row>
    <row r="2187" spans="2:24" x14ac:dyDescent="0.25">
      <c r="J2187" s="7" t="s">
        <v>43</v>
      </c>
      <c r="K2187" s="8" t="str">
        <f>TEXT(TIMEVALUE(I2186)-TIMEVALUE(H2185)+(I2186&lt;H2185),"[h]:mm")</f>
        <v>3:50</v>
      </c>
    </row>
    <row r="2189" spans="2:24" ht="30" x14ac:dyDescent="0.25">
      <c r="B2189" s="3" t="s">
        <v>9</v>
      </c>
      <c r="C2189" s="3" t="s">
        <v>17</v>
      </c>
      <c r="D2189" s="3" t="s">
        <v>18</v>
      </c>
      <c r="E2189" s="3" t="s">
        <v>19</v>
      </c>
      <c r="F2189" s="3" t="s">
        <v>20</v>
      </c>
      <c r="G2189" s="3" t="s">
        <v>21</v>
      </c>
      <c r="H2189" s="3" t="s">
        <v>22</v>
      </c>
      <c r="I2189" s="3" t="s">
        <v>23</v>
      </c>
      <c r="J2189" s="3" t="s">
        <v>24</v>
      </c>
      <c r="K2189" s="3" t="s">
        <v>25</v>
      </c>
      <c r="L2189" s="3" t="s">
        <v>26</v>
      </c>
    </row>
    <row r="2190" spans="2:24" ht="30" x14ac:dyDescent="0.25">
      <c r="B2190" s="4">
        <v>2047</v>
      </c>
      <c r="C2190" s="4" t="s">
        <v>199</v>
      </c>
      <c r="D2190" s="4" t="s">
        <v>119</v>
      </c>
      <c r="E2190" s="4">
        <v>2308</v>
      </c>
      <c r="F2190" s="4" t="s">
        <v>29</v>
      </c>
      <c r="G2190" s="4" t="s">
        <v>125</v>
      </c>
      <c r="H2190" s="4" t="s">
        <v>144</v>
      </c>
      <c r="I2190" s="4" t="s">
        <v>145</v>
      </c>
      <c r="J2190" s="4">
        <v>320</v>
      </c>
      <c r="L2190" s="4" t="s">
        <v>47</v>
      </c>
      <c r="M2190" s="5"/>
      <c r="O2190" s="5"/>
      <c r="Q2190" s="4">
        <f>B2190</f>
        <v>2047</v>
      </c>
      <c r="R2190" s="4" t="str">
        <f>C2190</f>
        <v>24/10/2026</v>
      </c>
      <c r="S2190" s="4" t="str">
        <f>D2190</f>
        <v>sábado</v>
      </c>
      <c r="T2190" s="4" t="str">
        <f>E2190&amp;"/"&amp;E2191</f>
        <v>2308/2309</v>
      </c>
      <c r="U2190" s="4" t="str">
        <f>F2190&amp;"-"&amp;G2190&amp;"-"&amp;F2190</f>
        <v>LIM-PIU-LIM</v>
      </c>
      <c r="V2190" s="4" t="str">
        <f>IF($M$2190="","",$M$2190)</f>
        <v/>
      </c>
      <c r="W2190" s="4" t="str">
        <f>IF($O$2190="","",$O$2190)</f>
        <v/>
      </c>
      <c r="X2190" s="4">
        <f>J2190</f>
        <v>320</v>
      </c>
    </row>
    <row r="2191" spans="2:24" ht="30" x14ac:dyDescent="0.25">
      <c r="B2191" s="4">
        <v>2047</v>
      </c>
      <c r="C2191" s="4" t="s">
        <v>199</v>
      </c>
      <c r="D2191" s="4" t="s">
        <v>119</v>
      </c>
      <c r="E2191" s="4">
        <v>2309</v>
      </c>
      <c r="F2191" s="4" t="s">
        <v>125</v>
      </c>
      <c r="G2191" s="4" t="s">
        <v>29</v>
      </c>
      <c r="H2191" s="4" t="s">
        <v>146</v>
      </c>
      <c r="I2191" s="4" t="s">
        <v>60</v>
      </c>
      <c r="J2191" s="4">
        <v>320</v>
      </c>
      <c r="K2191" t="str">
        <f>TEXT(TIMEVALUE(H2191)-TIMEVALUE(I2190)+(TIMEVALUE(H2191)&lt;TIMEVALUE(I2190)),"[h]:mm")</f>
        <v>0:35</v>
      </c>
      <c r="L2191" s="4" t="s">
        <v>40</v>
      </c>
      <c r="O2191" t="str">
        <f>"LIM-"&amp;G2190&amp;"-LIM   LA "&amp;E2190&amp;" ("&amp;LEFT(H2190,5)&amp;"-"&amp;LEFT(I2190,5)&amp;" hrs)  /  LA "&amp;E2191&amp;" ("&amp;LEFT(H2191,5)&amp;"-"&amp;LEFT(I2191,5)&amp;" hrs)"</f>
        <v>LIM-PIU-LIM   LA 2308 (12:50-14:35 hrs)  /  LA 2309 (15:10-16:40 hrs)</v>
      </c>
    </row>
    <row r="2192" spans="2:24" x14ac:dyDescent="0.25">
      <c r="J2192" s="7" t="s">
        <v>43</v>
      </c>
      <c r="K2192" s="8" t="str">
        <f>TEXT(TIMEVALUE(I2191)-TIMEVALUE(H2190)+(I2191&lt;H2190),"[h]:mm")</f>
        <v>3:50</v>
      </c>
    </row>
    <row r="2194" spans="2:24" ht="30" x14ac:dyDescent="0.25">
      <c r="B2194" s="3" t="s">
        <v>9</v>
      </c>
      <c r="C2194" s="3" t="s">
        <v>17</v>
      </c>
      <c r="D2194" s="3" t="s">
        <v>18</v>
      </c>
      <c r="E2194" s="3" t="s">
        <v>19</v>
      </c>
      <c r="F2194" s="3" t="s">
        <v>20</v>
      </c>
      <c r="G2194" s="3" t="s">
        <v>21</v>
      </c>
      <c r="H2194" s="3" t="s">
        <v>22</v>
      </c>
      <c r="I2194" s="3" t="s">
        <v>23</v>
      </c>
      <c r="J2194" s="3" t="s">
        <v>24</v>
      </c>
      <c r="K2194" s="3" t="s">
        <v>25</v>
      </c>
      <c r="L2194" s="3" t="s">
        <v>26</v>
      </c>
    </row>
    <row r="2195" spans="2:24" ht="30" x14ac:dyDescent="0.25">
      <c r="B2195" s="4">
        <v>2056</v>
      </c>
      <c r="C2195" s="4" t="s">
        <v>199</v>
      </c>
      <c r="D2195" s="4" t="s">
        <v>119</v>
      </c>
      <c r="E2195" s="4">
        <v>2087</v>
      </c>
      <c r="F2195" s="4" t="s">
        <v>29</v>
      </c>
      <c r="G2195" s="4" t="s">
        <v>91</v>
      </c>
      <c r="H2195" s="4" t="s">
        <v>67</v>
      </c>
      <c r="I2195" s="4" t="s">
        <v>76</v>
      </c>
      <c r="J2195" s="4">
        <v>320</v>
      </c>
      <c r="L2195" s="4" t="s">
        <v>93</v>
      </c>
      <c r="M2195" s="5"/>
      <c r="O2195" s="5"/>
      <c r="Q2195" s="4">
        <f>B2195</f>
        <v>2056</v>
      </c>
      <c r="R2195" s="4" t="str">
        <f>C2195</f>
        <v>24/10/2026</v>
      </c>
      <c r="S2195" s="4" t="str">
        <f>D2195</f>
        <v>sábado</v>
      </c>
      <c r="T2195" s="4" t="str">
        <f>E2195&amp;"/"&amp;E2196</f>
        <v>2087/2088</v>
      </c>
      <c r="U2195" s="4" t="str">
        <f>F2195&amp;"-"&amp;G2195&amp;"-"&amp;F2195</f>
        <v>LIM-TPP-LIM</v>
      </c>
      <c r="V2195" s="4" t="str">
        <f>IF($M$2195="","",$M$2195)</f>
        <v/>
      </c>
      <c r="W2195" s="4" t="str">
        <f>IF($O$2195="","",$O$2195)</f>
        <v/>
      </c>
      <c r="X2195" s="4">
        <f>J2195</f>
        <v>320</v>
      </c>
    </row>
    <row r="2196" spans="2:24" ht="30" x14ac:dyDescent="0.25">
      <c r="B2196" s="4">
        <v>2056</v>
      </c>
      <c r="C2196" s="4" t="s">
        <v>199</v>
      </c>
      <c r="D2196" s="4" t="s">
        <v>119</v>
      </c>
      <c r="E2196" s="4">
        <v>2088</v>
      </c>
      <c r="F2196" s="4" t="s">
        <v>91</v>
      </c>
      <c r="G2196" s="4" t="s">
        <v>29</v>
      </c>
      <c r="H2196" s="4" t="s">
        <v>85</v>
      </c>
      <c r="I2196" s="4" t="s">
        <v>100</v>
      </c>
      <c r="J2196" s="4">
        <v>320</v>
      </c>
      <c r="K2196" t="str">
        <f>TEXT(TIMEVALUE(H2196)-TIMEVALUE(I2195)+(TIMEVALUE(H2196)&lt;TIMEVALUE(I2195)),"[h]:mm")</f>
        <v>0:35</v>
      </c>
      <c r="L2196" s="4" t="s">
        <v>93</v>
      </c>
      <c r="O2196" t="str">
        <f>"LIM-"&amp;G2195&amp;"-LIM   LA "&amp;E2195&amp;" ("&amp;LEFT(H2195,5)&amp;"-"&amp;LEFT(I2195,5)&amp;" hrs)  /  LA "&amp;E2196&amp;" ("&amp;LEFT(H2196,5)&amp;"-"&amp;LEFT(I2196,5)&amp;" hrs)"</f>
        <v>LIM-TPP-LIM   LA 2087 (14:05-15:30 hrs)  /  LA 2088 (16:05-17:30 hrs)</v>
      </c>
    </row>
    <row r="2197" spans="2:24" ht="30" x14ac:dyDescent="0.25">
      <c r="B2197" s="4">
        <v>2070</v>
      </c>
      <c r="C2197" s="4" t="s">
        <v>199</v>
      </c>
      <c r="D2197" s="4" t="s">
        <v>119</v>
      </c>
      <c r="E2197" s="4">
        <v>2117</v>
      </c>
      <c r="F2197" s="4" t="s">
        <v>29</v>
      </c>
      <c r="G2197" s="4" t="s">
        <v>56</v>
      </c>
      <c r="H2197" s="4" t="s">
        <v>62</v>
      </c>
      <c r="I2197" s="4" t="s">
        <v>151</v>
      </c>
      <c r="J2197" s="4">
        <v>320</v>
      </c>
      <c r="K2197" s="6" t="str">
        <f>TEXT(TIMEVALUE(H2197)-TIMEVALUE(I2196)+(TIMEVALUE(H2197)&lt;TIMEVALUE(I2196)),"[h]:mm")</f>
        <v>1:05</v>
      </c>
      <c r="L2197" s="4" t="s">
        <v>40</v>
      </c>
      <c r="M2197" t="str">
        <f>IF($M$2195="","",$M$2195)</f>
        <v/>
      </c>
      <c r="O2197" t="str">
        <f>IF($O$2195="","",$O$2195)</f>
        <v/>
      </c>
      <c r="Q2197" s="4">
        <f>B2197</f>
        <v>2070</v>
      </c>
      <c r="R2197" s="4" t="str">
        <f>C2197</f>
        <v>24/10/2026</v>
      </c>
      <c r="S2197" s="4" t="str">
        <f>D2197</f>
        <v>sábado</v>
      </c>
      <c r="T2197" s="4" t="str">
        <f>E2197&amp;"/"&amp;E2198</f>
        <v>2117/2116</v>
      </c>
      <c r="U2197" s="4" t="str">
        <f>F2197&amp;"-"&amp;G2197&amp;"-"&amp;F2197</f>
        <v>LIM-AQP-LIM</v>
      </c>
      <c r="V2197" s="4" t="str">
        <f>IF($M$2195="","",$M$2195)</f>
        <v/>
      </c>
      <c r="W2197" s="4" t="str">
        <f>IF($O$2195="","",$O$2195)</f>
        <v/>
      </c>
      <c r="X2197" s="4">
        <f>J2197</f>
        <v>320</v>
      </c>
    </row>
    <row r="2198" spans="2:24" ht="30" x14ac:dyDescent="0.25">
      <c r="B2198" s="4">
        <v>2070</v>
      </c>
      <c r="C2198" s="4" t="s">
        <v>199</v>
      </c>
      <c r="D2198" s="4" t="s">
        <v>119</v>
      </c>
      <c r="E2198" s="4">
        <v>2116</v>
      </c>
      <c r="F2198" s="4" t="s">
        <v>56</v>
      </c>
      <c r="G2198" s="4" t="s">
        <v>29</v>
      </c>
      <c r="H2198" s="4" t="s">
        <v>129</v>
      </c>
      <c r="I2198" s="4" t="s">
        <v>152</v>
      </c>
      <c r="J2198" s="4">
        <v>320</v>
      </c>
      <c r="K2198" t="str">
        <f>TEXT(TIMEVALUE(H2198)-TIMEVALUE(I2197)+(TIMEVALUE(H2198)&lt;TIMEVALUE(I2197)),"[h]:mm")</f>
        <v>0:35</v>
      </c>
      <c r="L2198" s="4" t="s">
        <v>71</v>
      </c>
      <c r="O2198" t="str">
        <f>"LIM-"&amp;G2197&amp;"-LIM   LA "&amp;E2197&amp;" ("&amp;LEFT(H2197,5)&amp;"-"&amp;LEFT(I2197,5)&amp;" hrs)  /  LA "&amp;E2198&amp;" ("&amp;LEFT(H2198,5)&amp;"-"&amp;LEFT(I2198,5)&amp;" hrs)"</f>
        <v>LIM-AQP-LIM   LA 2117 (18:35-20:05 hrs)  /  LA 2116 (20:40-22:20 hrs)</v>
      </c>
    </row>
    <row r="2199" spans="2:24" x14ac:dyDescent="0.25">
      <c r="J2199" s="7" t="s">
        <v>43</v>
      </c>
      <c r="K2199" s="8" t="str">
        <f>TEXT(TIMEVALUE(I2198)-TIMEVALUE(H2195)+(I2198&lt;H2195),"[h]:mm")</f>
        <v>8:15</v>
      </c>
    </row>
    <row r="2201" spans="2:24" ht="30" x14ac:dyDescent="0.25">
      <c r="B2201" s="3" t="s">
        <v>9</v>
      </c>
      <c r="C2201" s="3" t="s">
        <v>17</v>
      </c>
      <c r="D2201" s="3" t="s">
        <v>18</v>
      </c>
      <c r="E2201" s="3" t="s">
        <v>19</v>
      </c>
      <c r="F2201" s="3" t="s">
        <v>20</v>
      </c>
      <c r="G2201" s="3" t="s">
        <v>21</v>
      </c>
      <c r="H2201" s="3" t="s">
        <v>22</v>
      </c>
      <c r="I2201" s="3" t="s">
        <v>23</v>
      </c>
      <c r="J2201" s="3" t="s">
        <v>24</v>
      </c>
      <c r="K2201" s="3" t="s">
        <v>25</v>
      </c>
      <c r="L2201" s="3" t="s">
        <v>26</v>
      </c>
    </row>
    <row r="2202" spans="2:24" ht="30" x14ac:dyDescent="0.25">
      <c r="B2202" s="4">
        <v>2057</v>
      </c>
      <c r="C2202" s="4" t="s">
        <v>199</v>
      </c>
      <c r="D2202" s="4" t="s">
        <v>119</v>
      </c>
      <c r="E2202" s="4">
        <v>2295</v>
      </c>
      <c r="F2202" s="4" t="s">
        <v>29</v>
      </c>
      <c r="G2202" s="4" t="s">
        <v>50</v>
      </c>
      <c r="H2202" s="4" t="s">
        <v>110</v>
      </c>
      <c r="I2202" s="4" t="s">
        <v>76</v>
      </c>
      <c r="J2202" s="4">
        <v>320</v>
      </c>
      <c r="L2202" s="4" t="s">
        <v>33</v>
      </c>
      <c r="M2202" s="5"/>
      <c r="O2202" s="5"/>
      <c r="Q2202" s="4">
        <f>B2202</f>
        <v>2057</v>
      </c>
      <c r="R2202" s="4" t="str">
        <f>C2202</f>
        <v>24/10/2026</v>
      </c>
      <c r="S2202" s="4" t="str">
        <f>D2202</f>
        <v>sábado</v>
      </c>
      <c r="T2202" s="4" t="str">
        <f>E2202&amp;"/"&amp;E2203</f>
        <v>2295/2294</v>
      </c>
      <c r="U2202" s="4" t="str">
        <f>F2202&amp;"-"&amp;G2202&amp;"-"&amp;F2202</f>
        <v>LIM-CJA-LIM</v>
      </c>
      <c r="V2202" s="4" t="str">
        <f>IF($M$2202="","",$M$2202)</f>
        <v/>
      </c>
      <c r="W2202" s="4" t="str">
        <f>IF($O$2202="","",$O$2202)</f>
        <v/>
      </c>
      <c r="X2202" s="4">
        <f>J2202</f>
        <v>320</v>
      </c>
    </row>
    <row r="2203" spans="2:24" ht="30" x14ac:dyDescent="0.25">
      <c r="B2203" s="4">
        <v>2057</v>
      </c>
      <c r="C2203" s="4" t="s">
        <v>199</v>
      </c>
      <c r="D2203" s="4" t="s">
        <v>119</v>
      </c>
      <c r="E2203" s="4">
        <v>2294</v>
      </c>
      <c r="F2203" s="4" t="s">
        <v>50</v>
      </c>
      <c r="G2203" s="4" t="s">
        <v>29</v>
      </c>
      <c r="H2203" s="4" t="s">
        <v>83</v>
      </c>
      <c r="I2203" s="4" t="s">
        <v>42</v>
      </c>
      <c r="J2203" s="4">
        <v>320</v>
      </c>
      <c r="K2203" t="str">
        <f>TEXT(TIMEVALUE(H2203)-TIMEVALUE(I2202)+(TIMEVALUE(H2203)&lt;TIMEVALUE(I2202)),"[h]:mm")</f>
        <v>0:40</v>
      </c>
      <c r="L2203" s="4" t="s">
        <v>55</v>
      </c>
      <c r="O2203" t="str">
        <f>"LIM-"&amp;G2202&amp;"-LIM   LA "&amp;E2202&amp;" ("&amp;LEFT(H2202,5)&amp;"-"&amp;LEFT(I2202,5)&amp;" hrs)  /  LA "&amp;E2203&amp;" ("&amp;LEFT(H2203,5)&amp;"-"&amp;LEFT(I2203,5)&amp;" hrs)"</f>
        <v>LIM-CJA-LIM   LA 2295 (14:10-15:30 hrs)  /  LA 2294 (16:10-17:15 hrs)</v>
      </c>
    </row>
    <row r="2204" spans="2:24" x14ac:dyDescent="0.25">
      <c r="J2204" s="7" t="s">
        <v>43</v>
      </c>
      <c r="K2204" s="8" t="str">
        <f>TEXT(TIMEVALUE(I2203)-TIMEVALUE(H2202)+(I2203&lt;H2202),"[h]:mm")</f>
        <v>3:05</v>
      </c>
    </row>
    <row r="2206" spans="2:24" ht="30" x14ac:dyDescent="0.25">
      <c r="B2206" s="3" t="s">
        <v>9</v>
      </c>
      <c r="C2206" s="3" t="s">
        <v>17</v>
      </c>
      <c r="D2206" s="3" t="s">
        <v>18</v>
      </c>
      <c r="E2206" s="3" t="s">
        <v>19</v>
      </c>
      <c r="F2206" s="3" t="s">
        <v>20</v>
      </c>
      <c r="G2206" s="3" t="s">
        <v>21</v>
      </c>
      <c r="H2206" s="3" t="s">
        <v>22</v>
      </c>
      <c r="I2206" s="3" t="s">
        <v>23</v>
      </c>
      <c r="J2206" s="3" t="s">
        <v>24</v>
      </c>
      <c r="K2206" s="3" t="s">
        <v>25</v>
      </c>
      <c r="L2206" s="3" t="s">
        <v>26</v>
      </c>
    </row>
    <row r="2207" spans="2:24" ht="30" x14ac:dyDescent="0.25">
      <c r="B2207" s="4">
        <v>2058</v>
      </c>
      <c r="C2207" s="4" t="s">
        <v>199</v>
      </c>
      <c r="D2207" s="4" t="s">
        <v>119</v>
      </c>
      <c r="E2207" s="4">
        <v>2295</v>
      </c>
      <c r="F2207" s="4" t="s">
        <v>29</v>
      </c>
      <c r="G2207" s="4" t="s">
        <v>50</v>
      </c>
      <c r="H2207" s="4" t="s">
        <v>110</v>
      </c>
      <c r="I2207" s="4" t="s">
        <v>76</v>
      </c>
      <c r="J2207" s="4">
        <v>320</v>
      </c>
      <c r="L2207" s="4" t="s">
        <v>33</v>
      </c>
      <c r="M2207" s="5"/>
      <c r="O2207" s="5"/>
      <c r="Q2207" s="4">
        <f>B2207</f>
        <v>2058</v>
      </c>
      <c r="R2207" s="4" t="str">
        <f>C2207</f>
        <v>24/10/2026</v>
      </c>
      <c r="S2207" s="4" t="str">
        <f>D2207</f>
        <v>sábado</v>
      </c>
      <c r="T2207" s="4" t="str">
        <f>E2207&amp;"/"&amp;E2208</f>
        <v>2295/2294</v>
      </c>
      <c r="U2207" s="4" t="str">
        <f>F2207&amp;"-"&amp;G2207&amp;"-"&amp;F2207</f>
        <v>LIM-CJA-LIM</v>
      </c>
      <c r="V2207" s="4" t="str">
        <f>IF($M$2207="","",$M$2207)</f>
        <v/>
      </c>
      <c r="W2207" s="4" t="str">
        <f>IF($O$2207="","",$O$2207)</f>
        <v/>
      </c>
      <c r="X2207" s="4">
        <f>J2207</f>
        <v>320</v>
      </c>
    </row>
    <row r="2208" spans="2:24" ht="30" x14ac:dyDescent="0.25">
      <c r="B2208" s="4">
        <v>2058</v>
      </c>
      <c r="C2208" s="4" t="s">
        <v>199</v>
      </c>
      <c r="D2208" s="4" t="s">
        <v>119</v>
      </c>
      <c r="E2208" s="4">
        <v>2294</v>
      </c>
      <c r="F2208" s="4" t="s">
        <v>50</v>
      </c>
      <c r="G2208" s="4" t="s">
        <v>29</v>
      </c>
      <c r="H2208" s="4" t="s">
        <v>83</v>
      </c>
      <c r="I2208" s="4" t="s">
        <v>42</v>
      </c>
      <c r="J2208" s="4">
        <v>320</v>
      </c>
      <c r="K2208" t="str">
        <f>TEXT(TIMEVALUE(H2208)-TIMEVALUE(I2207)+(TIMEVALUE(H2208)&lt;TIMEVALUE(I2207)),"[h]:mm")</f>
        <v>0:40</v>
      </c>
      <c r="L2208" s="4" t="s">
        <v>55</v>
      </c>
      <c r="O2208" t="str">
        <f>"LIM-"&amp;G2207&amp;"-LIM   LA "&amp;E2207&amp;" ("&amp;LEFT(H2207,5)&amp;"-"&amp;LEFT(I2207,5)&amp;" hrs)  /  LA "&amp;E2208&amp;" ("&amp;LEFT(H2208,5)&amp;"-"&amp;LEFT(I2208,5)&amp;" hrs)"</f>
        <v>LIM-CJA-LIM   LA 2295 (14:10-15:30 hrs)  /  LA 2294 (16:10-17:15 hrs)</v>
      </c>
    </row>
    <row r="2209" spans="2:24" x14ac:dyDescent="0.25">
      <c r="J2209" s="7" t="s">
        <v>43</v>
      </c>
      <c r="K2209" s="8" t="str">
        <f>TEXT(TIMEVALUE(I2208)-TIMEVALUE(H2207)+(I2208&lt;H2207),"[h]:mm")</f>
        <v>3:05</v>
      </c>
    </row>
    <row r="2211" spans="2:24" ht="30" x14ac:dyDescent="0.25">
      <c r="B2211" s="3" t="s">
        <v>9</v>
      </c>
      <c r="C2211" s="3" t="s">
        <v>17</v>
      </c>
      <c r="D2211" s="3" t="s">
        <v>18</v>
      </c>
      <c r="E2211" s="3" t="s">
        <v>19</v>
      </c>
      <c r="F2211" s="3" t="s">
        <v>20</v>
      </c>
      <c r="G2211" s="3" t="s">
        <v>21</v>
      </c>
      <c r="H2211" s="3" t="s">
        <v>22</v>
      </c>
      <c r="I2211" s="3" t="s">
        <v>23</v>
      </c>
      <c r="J2211" s="3" t="s">
        <v>24</v>
      </c>
      <c r="K2211" s="3" t="s">
        <v>25</v>
      </c>
      <c r="L2211" s="3" t="s">
        <v>26</v>
      </c>
    </row>
    <row r="2212" spans="2:24" ht="30" x14ac:dyDescent="0.25">
      <c r="B2212" s="4">
        <v>2060</v>
      </c>
      <c r="C2212" s="4" t="s">
        <v>199</v>
      </c>
      <c r="D2212" s="4" t="s">
        <v>119</v>
      </c>
      <c r="E2212" s="4">
        <v>2264</v>
      </c>
      <c r="F2212" s="4" t="s">
        <v>29</v>
      </c>
      <c r="G2212" s="4" t="s">
        <v>44</v>
      </c>
      <c r="H2212" s="4" t="s">
        <v>87</v>
      </c>
      <c r="I2212" s="4" t="s">
        <v>60</v>
      </c>
      <c r="J2212" s="4">
        <v>319</v>
      </c>
      <c r="L2212" s="4" t="s">
        <v>47</v>
      </c>
      <c r="M2212" s="5"/>
      <c r="O2212" s="5"/>
      <c r="Q2212" s="4">
        <f>B2212</f>
        <v>2060</v>
      </c>
      <c r="R2212" s="4" t="str">
        <f>C2212</f>
        <v>24/10/2026</v>
      </c>
      <c r="S2212" s="4" t="str">
        <f>D2212</f>
        <v>sábado</v>
      </c>
      <c r="T2212" s="4" t="str">
        <f>E2212&amp;"/"&amp;E2213</f>
        <v>2264/2265</v>
      </c>
      <c r="U2212" s="4" t="str">
        <f>F2212&amp;"-"&amp;G2212&amp;"-"&amp;F2212</f>
        <v>LIM-PEM-LIM</v>
      </c>
      <c r="V2212" s="4" t="str">
        <f>IF($M$2212="","",$M$2212)</f>
        <v/>
      </c>
      <c r="W2212" s="4" t="str">
        <f>IF($O$2212="","",$O$2212)</f>
        <v/>
      </c>
      <c r="X2212" s="4">
        <f>J2212</f>
        <v>319</v>
      </c>
    </row>
    <row r="2213" spans="2:24" ht="30" x14ac:dyDescent="0.25">
      <c r="B2213" s="4">
        <v>2060</v>
      </c>
      <c r="C2213" s="4" t="s">
        <v>199</v>
      </c>
      <c r="D2213" s="4" t="s">
        <v>119</v>
      </c>
      <c r="E2213" s="4">
        <v>2265</v>
      </c>
      <c r="F2213" s="4" t="s">
        <v>44</v>
      </c>
      <c r="G2213" s="4" t="s">
        <v>29</v>
      </c>
      <c r="H2213" s="4" t="s">
        <v>53</v>
      </c>
      <c r="I2213" s="4" t="s">
        <v>88</v>
      </c>
      <c r="J2213" s="4">
        <v>319</v>
      </c>
      <c r="K2213" t="str">
        <f>TEXT(TIMEVALUE(H2213)-TIMEVALUE(I2212)+(TIMEVALUE(H2213)&lt;TIMEVALUE(I2212)),"[h]:mm")</f>
        <v>0:40</v>
      </c>
      <c r="L2213" s="4" t="s">
        <v>36</v>
      </c>
      <c r="O2213" t="str">
        <f>"LIM-"&amp;G2212&amp;"-LIM   LA "&amp;E2212&amp;" ("&amp;LEFT(H2212,5)&amp;"-"&amp;LEFT(I2212,5)&amp;" hrs)  /  LA "&amp;E2213&amp;" ("&amp;LEFT(H2213,5)&amp;"-"&amp;LEFT(I2213,5)&amp;" hrs)"</f>
        <v>LIM-PEM-LIM   LA 2264 (14:55-16:40 hrs)  /  LA 2265 (17:20-18:55 hrs)</v>
      </c>
    </row>
    <row r="2214" spans="2:24" x14ac:dyDescent="0.25">
      <c r="J2214" s="7" t="s">
        <v>43</v>
      </c>
      <c r="K2214" s="8" t="str">
        <f>TEXT(TIMEVALUE(I2213)-TIMEVALUE(H2212)+(I2213&lt;H2212),"[h]:mm")</f>
        <v>4:00</v>
      </c>
    </row>
    <row r="2216" spans="2:24" ht="30" x14ac:dyDescent="0.25">
      <c r="B2216" s="3" t="s">
        <v>9</v>
      </c>
      <c r="C2216" s="3" t="s">
        <v>17</v>
      </c>
      <c r="D2216" s="3" t="s">
        <v>18</v>
      </c>
      <c r="E2216" s="3" t="s">
        <v>19</v>
      </c>
      <c r="F2216" s="3" t="s">
        <v>20</v>
      </c>
      <c r="G2216" s="3" t="s">
        <v>21</v>
      </c>
      <c r="H2216" s="3" t="s">
        <v>22</v>
      </c>
      <c r="I2216" s="3" t="s">
        <v>23</v>
      </c>
      <c r="J2216" s="3" t="s">
        <v>24</v>
      </c>
      <c r="K2216" s="3" t="s">
        <v>25</v>
      </c>
      <c r="L2216" s="3" t="s">
        <v>26</v>
      </c>
    </row>
    <row r="2217" spans="2:24" ht="30" x14ac:dyDescent="0.25">
      <c r="B2217" s="4">
        <v>2061</v>
      </c>
      <c r="C2217" s="4" t="s">
        <v>199</v>
      </c>
      <c r="D2217" s="4" t="s">
        <v>119</v>
      </c>
      <c r="E2217" s="4">
        <v>2338</v>
      </c>
      <c r="F2217" s="4" t="s">
        <v>29</v>
      </c>
      <c r="G2217" s="4" t="s">
        <v>125</v>
      </c>
      <c r="H2217" s="4" t="s">
        <v>109</v>
      </c>
      <c r="I2217" s="4" t="s">
        <v>86</v>
      </c>
      <c r="J2217" s="4">
        <v>320</v>
      </c>
      <c r="L2217" s="4" t="s">
        <v>47</v>
      </c>
      <c r="M2217" s="5"/>
      <c r="O2217" s="5"/>
      <c r="Q2217" s="4">
        <f>B2217</f>
        <v>2061</v>
      </c>
      <c r="R2217" s="4" t="str">
        <f>C2217</f>
        <v>24/10/2026</v>
      </c>
      <c r="S2217" s="4" t="str">
        <f>D2217</f>
        <v>sábado</v>
      </c>
      <c r="T2217" s="4" t="str">
        <f>E2217&amp;"/"&amp;E2218</f>
        <v>2338/2339</v>
      </c>
      <c r="U2217" s="4" t="str">
        <f>F2217&amp;"-"&amp;G2217&amp;"-"&amp;F2217</f>
        <v>LIM-PIU-LIM</v>
      </c>
      <c r="V2217" s="4" t="str">
        <f>IF($M$2217="","",$M$2217)</f>
        <v/>
      </c>
      <c r="W2217" s="4" t="str">
        <f>IF($O$2217="","",$O$2217)</f>
        <v/>
      </c>
      <c r="X2217" s="4">
        <f>J2217</f>
        <v>320</v>
      </c>
    </row>
    <row r="2218" spans="2:24" ht="30" x14ac:dyDescent="0.25">
      <c r="B2218" s="4">
        <v>2061</v>
      </c>
      <c r="C2218" s="4" t="s">
        <v>199</v>
      </c>
      <c r="D2218" s="4" t="s">
        <v>119</v>
      </c>
      <c r="E2218" s="4">
        <v>2339</v>
      </c>
      <c r="F2218" s="4" t="s">
        <v>125</v>
      </c>
      <c r="G2218" s="4" t="s">
        <v>29</v>
      </c>
      <c r="H2218" s="4" t="s">
        <v>53</v>
      </c>
      <c r="I2218" s="4" t="s">
        <v>88</v>
      </c>
      <c r="J2218" s="4">
        <v>320</v>
      </c>
      <c r="K2218" t="str">
        <f>TEXT(TIMEVALUE(H2218)-TIMEVALUE(I2217)+(TIMEVALUE(H2218)&lt;TIMEVALUE(I2217)),"[h]:mm")</f>
        <v>0:35</v>
      </c>
      <c r="L2218" s="4" t="s">
        <v>36</v>
      </c>
      <c r="O2218" t="str">
        <f>"LIM-"&amp;G2217&amp;"-LIM   LA "&amp;E2217&amp;" ("&amp;LEFT(H2217,5)&amp;"-"&amp;LEFT(I2217,5)&amp;" hrs)  /  LA "&amp;E2218&amp;" ("&amp;LEFT(H2218,5)&amp;"-"&amp;LEFT(I2218,5)&amp;" hrs)"</f>
        <v>LIM-PIU-LIM   LA 2338 (15:00-16:45 hrs)  /  LA 2339 (17:20-18:55 hrs)</v>
      </c>
    </row>
    <row r="2219" spans="2:24" x14ac:dyDescent="0.25">
      <c r="J2219" s="7" t="s">
        <v>43</v>
      </c>
      <c r="K2219" s="8" t="str">
        <f>TEXT(TIMEVALUE(I2218)-TIMEVALUE(H2217)+(I2218&lt;H2217),"[h]:mm")</f>
        <v>3:55</v>
      </c>
    </row>
    <row r="2221" spans="2:24" ht="30" x14ac:dyDescent="0.25">
      <c r="B2221" s="3" t="s">
        <v>9</v>
      </c>
      <c r="C2221" s="3" t="s">
        <v>17</v>
      </c>
      <c r="D2221" s="3" t="s">
        <v>18</v>
      </c>
      <c r="E2221" s="3" t="s">
        <v>19</v>
      </c>
      <c r="F2221" s="3" t="s">
        <v>20</v>
      </c>
      <c r="G2221" s="3" t="s">
        <v>21</v>
      </c>
      <c r="H2221" s="3" t="s">
        <v>22</v>
      </c>
      <c r="I2221" s="3" t="s">
        <v>23</v>
      </c>
      <c r="J2221" s="3" t="s">
        <v>24</v>
      </c>
      <c r="K2221" s="3" t="s">
        <v>25</v>
      </c>
      <c r="L2221" s="3" t="s">
        <v>26</v>
      </c>
    </row>
    <row r="2222" spans="2:24" ht="30" x14ac:dyDescent="0.25">
      <c r="B2222" s="4">
        <v>2064</v>
      </c>
      <c r="C2222" s="4" t="s">
        <v>199</v>
      </c>
      <c r="D2222" s="4" t="s">
        <v>119</v>
      </c>
      <c r="E2222" s="4">
        <v>2360</v>
      </c>
      <c r="F2222" s="4" t="s">
        <v>29</v>
      </c>
      <c r="G2222" s="4" t="s">
        <v>58</v>
      </c>
      <c r="H2222" s="4" t="s">
        <v>59</v>
      </c>
      <c r="I2222" s="4" t="s">
        <v>60</v>
      </c>
      <c r="J2222" s="4">
        <v>319</v>
      </c>
      <c r="L2222" s="4" t="s">
        <v>61</v>
      </c>
      <c r="M2222" s="5"/>
      <c r="O2222" s="5"/>
      <c r="Q2222" s="4">
        <f>B2222</f>
        <v>2064</v>
      </c>
      <c r="R2222" s="4" t="str">
        <f>C2222</f>
        <v>24/10/2026</v>
      </c>
      <c r="S2222" s="4" t="str">
        <f>D2222</f>
        <v>sábado</v>
      </c>
      <c r="T2222" s="4" t="str">
        <f>E2222&amp;"/"&amp;E2223</f>
        <v>2360/2361</v>
      </c>
      <c r="U2222" s="4" t="str">
        <f>F2222&amp;"-"&amp;G2222&amp;"-"&amp;F2222</f>
        <v>LIM-PCL-LIM</v>
      </c>
      <c r="V2222" s="4" t="str">
        <f>IF($M$2222="","",$M$2222)</f>
        <v/>
      </c>
      <c r="W2222" s="4" t="str">
        <f>IF($O$2222="","",$O$2222)</f>
        <v/>
      </c>
      <c r="X2222" s="4">
        <f>J2222</f>
        <v>319</v>
      </c>
    </row>
    <row r="2223" spans="2:24" ht="30" x14ac:dyDescent="0.25">
      <c r="B2223" s="4">
        <v>2064</v>
      </c>
      <c r="C2223" s="4" t="s">
        <v>199</v>
      </c>
      <c r="D2223" s="4" t="s">
        <v>119</v>
      </c>
      <c r="E2223" s="4">
        <v>2361</v>
      </c>
      <c r="F2223" s="4" t="s">
        <v>58</v>
      </c>
      <c r="G2223" s="4" t="s">
        <v>29</v>
      </c>
      <c r="H2223" s="4" t="s">
        <v>53</v>
      </c>
      <c r="I2223" s="4" t="s">
        <v>62</v>
      </c>
      <c r="J2223" s="4">
        <v>319</v>
      </c>
      <c r="K2223" t="str">
        <f>TEXT(TIMEVALUE(H2223)-TIMEVALUE(I2222)+(TIMEVALUE(H2223)&lt;TIMEVALUE(I2222)),"[h]:mm")</f>
        <v>0:40</v>
      </c>
      <c r="L2223" s="4" t="s">
        <v>61</v>
      </c>
      <c r="O2223" t="str">
        <f>"LIM-"&amp;G2222&amp;"-LIM   LA "&amp;E2222&amp;" ("&amp;LEFT(H2222,5)&amp;"-"&amp;LEFT(I2222,5)&amp;" hrs)  /  LA "&amp;E2223&amp;" ("&amp;LEFT(H2223,5)&amp;"-"&amp;LEFT(I2223,5)&amp;" hrs)"</f>
        <v>LIM-PCL-LIM   LA 2360 (15:25-16:40 hrs)  /  LA 2361 (17:20-18:35 hrs)</v>
      </c>
    </row>
    <row r="2224" spans="2:24" x14ac:dyDescent="0.25">
      <c r="J2224" s="7" t="s">
        <v>43</v>
      </c>
      <c r="K2224" s="8" t="str">
        <f>TEXT(TIMEVALUE(I2223)-TIMEVALUE(H2222)+(I2223&lt;H2222),"[h]:mm")</f>
        <v>3:10</v>
      </c>
    </row>
    <row r="2226" spans="2:24" ht="30" x14ac:dyDescent="0.25">
      <c r="B2226" s="3" t="s">
        <v>9</v>
      </c>
      <c r="C2226" s="3" t="s">
        <v>17</v>
      </c>
      <c r="D2226" s="3" t="s">
        <v>18</v>
      </c>
      <c r="E2226" s="3" t="s">
        <v>19</v>
      </c>
      <c r="F2226" s="3" t="s">
        <v>20</v>
      </c>
      <c r="G2226" s="3" t="s">
        <v>21</v>
      </c>
      <c r="H2226" s="3" t="s">
        <v>22</v>
      </c>
      <c r="I2226" s="3" t="s">
        <v>23</v>
      </c>
      <c r="J2226" s="3" t="s">
        <v>24</v>
      </c>
      <c r="K2226" s="3" t="s">
        <v>25</v>
      </c>
      <c r="L2226" s="3" t="s">
        <v>26</v>
      </c>
    </row>
    <row r="2227" spans="2:24" ht="30" x14ac:dyDescent="0.25">
      <c r="B2227" s="4">
        <v>2065</v>
      </c>
      <c r="C2227" s="4" t="s">
        <v>199</v>
      </c>
      <c r="D2227" s="4" t="s">
        <v>119</v>
      </c>
      <c r="E2227" s="4">
        <v>2312</v>
      </c>
      <c r="F2227" s="4" t="s">
        <v>29</v>
      </c>
      <c r="G2227" s="4" t="s">
        <v>37</v>
      </c>
      <c r="H2227" s="4" t="s">
        <v>89</v>
      </c>
      <c r="I2227" s="4" t="s">
        <v>77</v>
      </c>
      <c r="J2227" s="4">
        <v>320</v>
      </c>
      <c r="L2227" s="4" t="s">
        <v>40</v>
      </c>
      <c r="M2227" s="5"/>
      <c r="O2227" s="5"/>
      <c r="Q2227" s="4">
        <f>B2227</f>
        <v>2065</v>
      </c>
      <c r="R2227" s="4" t="str">
        <f>C2227</f>
        <v>24/10/2026</v>
      </c>
      <c r="S2227" s="4" t="str">
        <f>D2227</f>
        <v>sábado</v>
      </c>
      <c r="T2227" s="4" t="str">
        <f>E2227&amp;"/"&amp;E2228</f>
        <v>2312/2313</v>
      </c>
      <c r="U2227" s="4" t="str">
        <f>F2227&amp;"-"&amp;G2227&amp;"-"&amp;F2227</f>
        <v>LIM-CIX-LIM</v>
      </c>
      <c r="V2227" s="4" t="str">
        <f>IF($M$2227="","",$M$2227)</f>
        <v/>
      </c>
      <c r="W2227" s="4" t="str">
        <f>IF($O$2227="","",$O$2227)</f>
        <v/>
      </c>
      <c r="X2227" s="4">
        <f>J2227</f>
        <v>320</v>
      </c>
    </row>
    <row r="2228" spans="2:24" ht="30" x14ac:dyDescent="0.25">
      <c r="B2228" s="4">
        <v>2065</v>
      </c>
      <c r="C2228" s="4" t="s">
        <v>199</v>
      </c>
      <c r="D2228" s="4" t="s">
        <v>119</v>
      </c>
      <c r="E2228" s="4">
        <v>2313</v>
      </c>
      <c r="F2228" s="4" t="s">
        <v>37</v>
      </c>
      <c r="G2228" s="4" t="s">
        <v>29</v>
      </c>
      <c r="H2228" s="4" t="s">
        <v>84</v>
      </c>
      <c r="I2228" s="4" t="s">
        <v>90</v>
      </c>
      <c r="J2228" s="4">
        <v>320</v>
      </c>
      <c r="K2228" t="str">
        <f>TEXT(TIMEVALUE(H2228)-TIMEVALUE(I2227)+(TIMEVALUE(H2228)&lt;TIMEVALUE(I2227)),"[h]:mm")</f>
        <v>0:45</v>
      </c>
      <c r="L2228" s="4" t="s">
        <v>33</v>
      </c>
      <c r="O2228" t="str">
        <f>"LIM-"&amp;G2227&amp;"-LIM   LA "&amp;E2227&amp;" ("&amp;LEFT(H2227,5)&amp;"-"&amp;LEFT(I2227,5)&amp;" hrs)  /  LA "&amp;E2228&amp;" ("&amp;LEFT(H2228,5)&amp;"-"&amp;LEFT(I2228,5)&amp;" hrs)"</f>
        <v>LIM-CIX-LIM   LA 2312 (15:35-17:05 hrs)  /  LA 2313 (17:50-19:10 hrs)</v>
      </c>
    </row>
    <row r="2229" spans="2:24" x14ac:dyDescent="0.25">
      <c r="J2229" s="7" t="s">
        <v>43</v>
      </c>
      <c r="K2229" s="8" t="str">
        <f>TEXT(TIMEVALUE(I2228)-TIMEVALUE(H2227)+(I2228&lt;H2227),"[h]:mm")</f>
        <v>3:35</v>
      </c>
    </row>
    <row r="2231" spans="2:24" ht="30" x14ac:dyDescent="0.25">
      <c r="B2231" s="3" t="s">
        <v>9</v>
      </c>
      <c r="C2231" s="3" t="s">
        <v>17</v>
      </c>
      <c r="D2231" s="3" t="s">
        <v>18</v>
      </c>
      <c r="E2231" s="3" t="s">
        <v>19</v>
      </c>
      <c r="F2231" s="3" t="s">
        <v>20</v>
      </c>
      <c r="G2231" s="3" t="s">
        <v>21</v>
      </c>
      <c r="H2231" s="3" t="s">
        <v>22</v>
      </c>
      <c r="I2231" s="3" t="s">
        <v>23</v>
      </c>
      <c r="J2231" s="3" t="s">
        <v>24</v>
      </c>
      <c r="K2231" s="3" t="s">
        <v>25</v>
      </c>
      <c r="L2231" s="3" t="s">
        <v>26</v>
      </c>
    </row>
    <row r="2232" spans="2:24" ht="30" x14ac:dyDescent="0.25">
      <c r="B2232" s="4">
        <v>2066</v>
      </c>
      <c r="C2232" s="4" t="s">
        <v>199</v>
      </c>
      <c r="D2232" s="4" t="s">
        <v>119</v>
      </c>
      <c r="E2232" s="4">
        <v>2301</v>
      </c>
      <c r="F2232" s="4" t="s">
        <v>29</v>
      </c>
      <c r="G2232" s="4" t="s">
        <v>91</v>
      </c>
      <c r="H2232" s="4" t="s">
        <v>92</v>
      </c>
      <c r="I2232" s="4" t="s">
        <v>77</v>
      </c>
      <c r="J2232" s="4">
        <v>320</v>
      </c>
      <c r="L2232" s="4" t="s">
        <v>93</v>
      </c>
      <c r="M2232" s="5"/>
      <c r="O2232" s="5"/>
      <c r="Q2232" s="4">
        <f>B2232</f>
        <v>2066</v>
      </c>
      <c r="R2232" s="4" t="str">
        <f>C2232</f>
        <v>24/10/2026</v>
      </c>
      <c r="S2232" s="4" t="str">
        <f>D2232</f>
        <v>sábado</v>
      </c>
      <c r="T2232" s="4" t="str">
        <f>E2232&amp;"/"&amp;E2233</f>
        <v>2301/2300</v>
      </c>
      <c r="U2232" s="4" t="str">
        <f>F2232&amp;"-"&amp;G2232&amp;"-"&amp;F2232</f>
        <v>LIM-TPP-LIM</v>
      </c>
      <c r="V2232" s="4" t="str">
        <f>IF($M$2232="","",$M$2232)</f>
        <v/>
      </c>
      <c r="W2232" s="4" t="str">
        <f>IF($O$2232="","",$O$2232)</f>
        <v/>
      </c>
      <c r="X2232" s="4">
        <f>J2232</f>
        <v>320</v>
      </c>
    </row>
    <row r="2233" spans="2:24" ht="30" x14ac:dyDescent="0.25">
      <c r="B2233" s="4">
        <v>2066</v>
      </c>
      <c r="C2233" s="4" t="s">
        <v>199</v>
      </c>
      <c r="D2233" s="4" t="s">
        <v>119</v>
      </c>
      <c r="E2233" s="4">
        <v>2300</v>
      </c>
      <c r="F2233" s="4" t="s">
        <v>91</v>
      </c>
      <c r="G2233" s="4" t="s">
        <v>29</v>
      </c>
      <c r="H2233" s="4" t="s">
        <v>84</v>
      </c>
      <c r="I2233" s="4" t="s">
        <v>94</v>
      </c>
      <c r="J2233" s="4">
        <v>320</v>
      </c>
      <c r="K2233" t="str">
        <f>TEXT(TIMEVALUE(H2233)-TIMEVALUE(I2232)+(TIMEVALUE(H2233)&lt;TIMEVALUE(I2232)),"[h]:mm")</f>
        <v>0:45</v>
      </c>
      <c r="L2233" s="4" t="s">
        <v>93</v>
      </c>
      <c r="O2233" t="str">
        <f>"LIM-"&amp;G2232&amp;"-LIM   LA "&amp;E2232&amp;" ("&amp;LEFT(H2232,5)&amp;"-"&amp;LEFT(I2232,5)&amp;" hrs)  /  LA "&amp;E2233&amp;" ("&amp;LEFT(H2233,5)&amp;"-"&amp;LEFT(I2233,5)&amp;" hrs)"</f>
        <v>LIM-TPP-LIM   LA 2301 (15:40-17:05 hrs)  /  LA 2300 (17:50-19:15 hrs)</v>
      </c>
    </row>
    <row r="2234" spans="2:24" x14ac:dyDescent="0.25">
      <c r="J2234" s="7" t="s">
        <v>43</v>
      </c>
      <c r="K2234" s="8" t="str">
        <f>TEXT(TIMEVALUE(I2233)-TIMEVALUE(H2232)+(I2233&lt;H2232),"[h]:mm")</f>
        <v>3:35</v>
      </c>
    </row>
    <row r="2236" spans="2:24" ht="30" x14ac:dyDescent="0.25">
      <c r="B2236" s="3" t="s">
        <v>9</v>
      </c>
      <c r="C2236" s="3" t="s">
        <v>17</v>
      </c>
      <c r="D2236" s="3" t="s">
        <v>18</v>
      </c>
      <c r="E2236" s="3" t="s">
        <v>19</v>
      </c>
      <c r="F2236" s="3" t="s">
        <v>20</v>
      </c>
      <c r="G2236" s="3" t="s">
        <v>21</v>
      </c>
      <c r="H2236" s="3" t="s">
        <v>22</v>
      </c>
      <c r="I2236" s="3" t="s">
        <v>23</v>
      </c>
      <c r="J2236" s="3" t="s">
        <v>24</v>
      </c>
      <c r="K2236" s="3" t="s">
        <v>25</v>
      </c>
      <c r="L2236" s="3" t="s">
        <v>26</v>
      </c>
    </row>
    <row r="2237" spans="2:24" ht="30" x14ac:dyDescent="0.25">
      <c r="B2237" s="4">
        <v>2067</v>
      </c>
      <c r="C2237" s="4" t="s">
        <v>199</v>
      </c>
      <c r="D2237" s="4" t="s">
        <v>119</v>
      </c>
      <c r="E2237" s="4">
        <v>2301</v>
      </c>
      <c r="F2237" s="4" t="s">
        <v>29</v>
      </c>
      <c r="G2237" s="4" t="s">
        <v>91</v>
      </c>
      <c r="H2237" s="4" t="s">
        <v>92</v>
      </c>
      <c r="I2237" s="4" t="s">
        <v>77</v>
      </c>
      <c r="J2237" s="4">
        <v>320</v>
      </c>
      <c r="L2237" s="4" t="s">
        <v>93</v>
      </c>
      <c r="M2237" s="5"/>
      <c r="O2237" s="5"/>
      <c r="Q2237" s="4">
        <f>B2237</f>
        <v>2067</v>
      </c>
      <c r="R2237" s="4" t="str">
        <f>C2237</f>
        <v>24/10/2026</v>
      </c>
      <c r="S2237" s="4" t="str">
        <f>D2237</f>
        <v>sábado</v>
      </c>
      <c r="T2237" s="4" t="str">
        <f>E2237&amp;"/"&amp;E2238</f>
        <v>2301/2300</v>
      </c>
      <c r="U2237" s="4" t="str">
        <f>F2237&amp;"-"&amp;G2237&amp;"-"&amp;F2237</f>
        <v>LIM-TPP-LIM</v>
      </c>
      <c r="V2237" s="4" t="str">
        <f>IF($M$2237="","",$M$2237)</f>
        <v/>
      </c>
      <c r="W2237" s="4" t="str">
        <f>IF($O$2237="","",$O$2237)</f>
        <v/>
      </c>
      <c r="X2237" s="4">
        <f>J2237</f>
        <v>320</v>
      </c>
    </row>
    <row r="2238" spans="2:24" ht="30" x14ac:dyDescent="0.25">
      <c r="B2238" s="4">
        <v>2067</v>
      </c>
      <c r="C2238" s="4" t="s">
        <v>199</v>
      </c>
      <c r="D2238" s="4" t="s">
        <v>119</v>
      </c>
      <c r="E2238" s="4">
        <v>2300</v>
      </c>
      <c r="F2238" s="4" t="s">
        <v>91</v>
      </c>
      <c r="G2238" s="4" t="s">
        <v>29</v>
      </c>
      <c r="H2238" s="4" t="s">
        <v>84</v>
      </c>
      <c r="I2238" s="4" t="s">
        <v>94</v>
      </c>
      <c r="J2238" s="4">
        <v>320</v>
      </c>
      <c r="K2238" t="str">
        <f>TEXT(TIMEVALUE(H2238)-TIMEVALUE(I2237)+(TIMEVALUE(H2238)&lt;TIMEVALUE(I2237)),"[h]:mm")</f>
        <v>0:45</v>
      </c>
      <c r="L2238" s="4" t="s">
        <v>93</v>
      </c>
      <c r="O2238" t="str">
        <f>"LIM-"&amp;G2237&amp;"-LIM   LA "&amp;E2237&amp;" ("&amp;LEFT(H2237,5)&amp;"-"&amp;LEFT(I2237,5)&amp;" hrs)  /  LA "&amp;E2238&amp;" ("&amp;LEFT(H2238,5)&amp;"-"&amp;LEFT(I2238,5)&amp;" hrs)"</f>
        <v>LIM-TPP-LIM   LA 2301 (15:40-17:05 hrs)  /  LA 2300 (17:50-19:15 hrs)</v>
      </c>
    </row>
    <row r="2239" spans="2:24" x14ac:dyDescent="0.25">
      <c r="J2239" s="7" t="s">
        <v>43</v>
      </c>
      <c r="K2239" s="8" t="str">
        <f>TEXT(TIMEVALUE(I2238)-TIMEVALUE(H2237)+(I2238&lt;H2237),"[h]:mm")</f>
        <v>3:35</v>
      </c>
    </row>
    <row r="2241" spans="2:24" ht="30" x14ac:dyDescent="0.25">
      <c r="B2241" s="3" t="s">
        <v>9</v>
      </c>
      <c r="C2241" s="3" t="s">
        <v>17</v>
      </c>
      <c r="D2241" s="3" t="s">
        <v>18</v>
      </c>
      <c r="E2241" s="3" t="s">
        <v>19</v>
      </c>
      <c r="F2241" s="3" t="s">
        <v>20</v>
      </c>
      <c r="G2241" s="3" t="s">
        <v>21</v>
      </c>
      <c r="H2241" s="3" t="s">
        <v>22</v>
      </c>
      <c r="I2241" s="3" t="s">
        <v>23</v>
      </c>
      <c r="J2241" s="3" t="s">
        <v>24</v>
      </c>
      <c r="K2241" s="3" t="s">
        <v>25</v>
      </c>
      <c r="L2241" s="3" t="s">
        <v>26</v>
      </c>
    </row>
    <row r="2242" spans="2:24" ht="30" x14ac:dyDescent="0.25">
      <c r="B2242" s="4">
        <v>2071</v>
      </c>
      <c r="C2242" s="4" t="s">
        <v>199</v>
      </c>
      <c r="D2242" s="4" t="s">
        <v>119</v>
      </c>
      <c r="E2242" s="4">
        <v>2326</v>
      </c>
      <c r="F2242" s="4" t="s">
        <v>29</v>
      </c>
      <c r="G2242" s="4" t="s">
        <v>56</v>
      </c>
      <c r="H2242" s="4" t="s">
        <v>94</v>
      </c>
      <c r="I2242" s="4" t="s">
        <v>193</v>
      </c>
      <c r="J2242" s="4">
        <v>319</v>
      </c>
      <c r="L2242" s="4" t="s">
        <v>40</v>
      </c>
      <c r="M2242" s="5"/>
      <c r="O2242" s="5"/>
      <c r="Q2242" s="4">
        <f>B2242</f>
        <v>2071</v>
      </c>
      <c r="R2242" s="4" t="str">
        <f>C2242</f>
        <v>24/10/2026</v>
      </c>
      <c r="S2242" s="4" t="str">
        <f>D2242</f>
        <v>sábado</v>
      </c>
      <c r="T2242" s="4" t="str">
        <f>E2242&amp;"/"&amp;E2243</f>
        <v>2326/2012</v>
      </c>
      <c r="U2242" s="4" t="str">
        <f>F2242&amp;"-"&amp;G2242&amp;"-"&amp;F2242</f>
        <v>LIM-AQP-LIM</v>
      </c>
      <c r="V2242" s="4" t="str">
        <f>IF($M$2242="","",$M$2242)</f>
        <v/>
      </c>
      <c r="W2242" s="4" t="str">
        <f>IF($O$2242="","",$O$2242)</f>
        <v/>
      </c>
      <c r="X2242" s="4">
        <f>J2242</f>
        <v>319</v>
      </c>
    </row>
    <row r="2243" spans="2:24" ht="30" x14ac:dyDescent="0.25">
      <c r="B2243" s="4">
        <v>2071</v>
      </c>
      <c r="C2243" s="4" t="s">
        <v>199</v>
      </c>
      <c r="D2243" s="4" t="s">
        <v>119</v>
      </c>
      <c r="E2243" s="4">
        <v>2012</v>
      </c>
      <c r="F2243" s="4" t="s">
        <v>56</v>
      </c>
      <c r="G2243" s="4" t="s">
        <v>29</v>
      </c>
      <c r="H2243" s="4" t="s">
        <v>80</v>
      </c>
      <c r="I2243" s="4" t="s">
        <v>200</v>
      </c>
      <c r="J2243" s="4">
        <v>319</v>
      </c>
      <c r="K2243" t="str">
        <f>TEXT(TIMEVALUE(H2243)-TIMEVALUE(I2242)+(TIMEVALUE(H2243)&lt;TIMEVALUE(I2242)),"[h]:mm")</f>
        <v>0:35</v>
      </c>
      <c r="L2243" s="4" t="s">
        <v>71</v>
      </c>
      <c r="O2243" t="str">
        <f>"LIM-"&amp;G2242&amp;"-LIM   LA "&amp;E2242&amp;" ("&amp;LEFT(H2242,5)&amp;"-"&amp;LEFT(I2242,5)&amp;" hrs)  /  LA "&amp;E2243&amp;" ("&amp;LEFT(H2243,5)&amp;"-"&amp;LEFT(I2243,5)&amp;" hrs)"</f>
        <v>LIM-AQP-LIM   LA 2326 (19:15-20:45 hrs)  /  LA 2012 (21:20-23:00 hrs)</v>
      </c>
    </row>
    <row r="2244" spans="2:24" x14ac:dyDescent="0.25">
      <c r="J2244" s="7" t="s">
        <v>43</v>
      </c>
      <c r="K2244" s="8" t="str">
        <f>TEXT(TIMEVALUE(I2243)-TIMEVALUE(H2242)+(I2243&lt;H2242),"[h]:mm")</f>
        <v>3:45</v>
      </c>
    </row>
    <row r="2246" spans="2:24" ht="30" x14ac:dyDescent="0.25">
      <c r="B2246" s="3" t="s">
        <v>9</v>
      </c>
      <c r="C2246" s="3" t="s">
        <v>17</v>
      </c>
      <c r="D2246" s="3" t="s">
        <v>18</v>
      </c>
      <c r="E2246" s="3" t="s">
        <v>19</v>
      </c>
      <c r="F2246" s="3" t="s">
        <v>20</v>
      </c>
      <c r="G2246" s="3" t="s">
        <v>21</v>
      </c>
      <c r="H2246" s="3" t="s">
        <v>22</v>
      </c>
      <c r="I2246" s="3" t="s">
        <v>23</v>
      </c>
      <c r="J2246" s="3" t="s">
        <v>24</v>
      </c>
      <c r="K2246" s="3" t="s">
        <v>25</v>
      </c>
      <c r="L2246" s="3" t="s">
        <v>26</v>
      </c>
    </row>
    <row r="2247" spans="2:24" ht="30" x14ac:dyDescent="0.25">
      <c r="B2247" s="4">
        <v>2074</v>
      </c>
      <c r="C2247" s="4" t="s">
        <v>199</v>
      </c>
      <c r="D2247" s="4" t="s">
        <v>119</v>
      </c>
      <c r="E2247" s="4">
        <v>2164</v>
      </c>
      <c r="F2247" s="4" t="s">
        <v>29</v>
      </c>
      <c r="G2247" s="4" t="s">
        <v>63</v>
      </c>
      <c r="H2247" s="4" t="s">
        <v>162</v>
      </c>
      <c r="I2247" s="4" t="s">
        <v>132</v>
      </c>
      <c r="J2247" s="4">
        <v>320</v>
      </c>
      <c r="L2247" s="4" t="s">
        <v>66</v>
      </c>
      <c r="M2247" s="5"/>
      <c r="O2247" s="5"/>
      <c r="Q2247" s="4">
        <f>B2247</f>
        <v>2074</v>
      </c>
      <c r="R2247" s="4" t="str">
        <f>C2247</f>
        <v>24/10/2026</v>
      </c>
      <c r="S2247" s="4" t="str">
        <f>D2247</f>
        <v>sábado</v>
      </c>
      <c r="T2247" s="4" t="str">
        <f>E2247&amp;"/"&amp;E2248</f>
        <v>2164/2165</v>
      </c>
      <c r="U2247" s="4" t="str">
        <f>F2247&amp;"-"&amp;G2247&amp;"-"&amp;F2247</f>
        <v>LIM-IQT-LIM</v>
      </c>
      <c r="V2247" s="4" t="str">
        <f>IF($M$2247="","",$M$2247)</f>
        <v/>
      </c>
      <c r="W2247" s="4" t="str">
        <f>IF($O$2247="","",$O$2247)</f>
        <v/>
      </c>
      <c r="X2247" s="4">
        <f>J2247</f>
        <v>320</v>
      </c>
    </row>
    <row r="2248" spans="2:24" ht="30" x14ac:dyDescent="0.25">
      <c r="B2248" s="4">
        <v>2074</v>
      </c>
      <c r="C2248" s="4" t="s">
        <v>199</v>
      </c>
      <c r="D2248" s="4" t="s">
        <v>119</v>
      </c>
      <c r="E2248" s="4">
        <v>2165</v>
      </c>
      <c r="F2248" s="4" t="s">
        <v>63</v>
      </c>
      <c r="G2248" s="4" t="s">
        <v>29</v>
      </c>
      <c r="H2248" s="4" t="s">
        <v>117</v>
      </c>
      <c r="I2248" s="4" t="s">
        <v>163</v>
      </c>
      <c r="J2248" s="4">
        <v>320</v>
      </c>
      <c r="K2248" t="str">
        <f>TEXT(TIMEVALUE(H2248)-TIMEVALUE(I2247)+(TIMEVALUE(H2248)&lt;TIMEVALUE(I2247)),"[h]:mm")</f>
        <v>0:45</v>
      </c>
      <c r="L2248" s="4" t="s">
        <v>66</v>
      </c>
      <c r="O2248" t="str">
        <f>"LIM-"&amp;G2247&amp;"-LIM   LA "&amp;E2247&amp;" ("&amp;LEFT(H2247,5)&amp;"-"&amp;LEFT(I2247,5)&amp;" hrs)  /  LA "&amp;E2248&amp;" ("&amp;LEFT(H2248,5)&amp;"-"&amp;LEFT(I2248,5)&amp;" hrs)"</f>
        <v>LIM-IQT-LIM   LA 2164 (21:30-23:20 hrs)  /  LA 2165 (00:05-01:55 hrs)</v>
      </c>
    </row>
    <row r="2249" spans="2:24" x14ac:dyDescent="0.25">
      <c r="J2249" s="7" t="s">
        <v>43</v>
      </c>
      <c r="K2249" s="8" t="str">
        <f>TEXT(TIMEVALUE(I2248)-TIMEVALUE(H2247)+(I2248&lt;H2247),"[h]:mm")</f>
        <v>4:25</v>
      </c>
    </row>
    <row r="2251" spans="2:24" ht="30" x14ac:dyDescent="0.25">
      <c r="B2251" s="3" t="s">
        <v>9</v>
      </c>
      <c r="C2251" s="3" t="s">
        <v>17</v>
      </c>
      <c r="D2251" s="3" t="s">
        <v>18</v>
      </c>
      <c r="E2251" s="3" t="s">
        <v>19</v>
      </c>
      <c r="F2251" s="3" t="s">
        <v>20</v>
      </c>
      <c r="G2251" s="3" t="s">
        <v>21</v>
      </c>
      <c r="H2251" s="3" t="s">
        <v>22</v>
      </c>
      <c r="I2251" s="3" t="s">
        <v>23</v>
      </c>
      <c r="J2251" s="3" t="s">
        <v>24</v>
      </c>
      <c r="K2251" s="3" t="s">
        <v>25</v>
      </c>
      <c r="L2251" s="3" t="s">
        <v>26</v>
      </c>
    </row>
    <row r="2252" spans="2:24" ht="30" x14ac:dyDescent="0.25">
      <c r="B2252" s="4">
        <v>2114</v>
      </c>
      <c r="C2252" s="4" t="s">
        <v>201</v>
      </c>
      <c r="D2252" s="4" t="s">
        <v>135</v>
      </c>
      <c r="E2252" s="4">
        <v>2007</v>
      </c>
      <c r="F2252" s="4" t="s">
        <v>29</v>
      </c>
      <c r="G2252" s="4" t="s">
        <v>30</v>
      </c>
      <c r="H2252" s="4" t="s">
        <v>202</v>
      </c>
      <c r="I2252" s="4" t="s">
        <v>203</v>
      </c>
      <c r="J2252" s="4">
        <v>320</v>
      </c>
      <c r="L2252" s="4" t="s">
        <v>93</v>
      </c>
      <c r="M2252" s="5"/>
      <c r="O2252" s="5"/>
      <c r="Q2252" s="4">
        <f>B2252</f>
        <v>2114</v>
      </c>
      <c r="R2252" s="4" t="str">
        <f>C2252</f>
        <v>25/10/2026</v>
      </c>
      <c r="S2252" s="4" t="str">
        <f>D2252</f>
        <v>domingo</v>
      </c>
      <c r="T2252" s="4" t="str">
        <f>E2252&amp;"/"&amp;E2253</f>
        <v>2007/2008</v>
      </c>
      <c r="U2252" s="4" t="str">
        <f>F2252&amp;"-"&amp;G2252&amp;"-"&amp;F2252</f>
        <v>LIM-CUZ-LIM</v>
      </c>
      <c r="V2252" s="4" t="str">
        <f>IF($M$2252="","",$M$2252)</f>
        <v/>
      </c>
      <c r="W2252" s="4" t="str">
        <f>IF($O$2252="","",$O$2252)</f>
        <v/>
      </c>
      <c r="X2252" s="4">
        <f>J2252</f>
        <v>320</v>
      </c>
    </row>
    <row r="2253" spans="2:24" ht="30" x14ac:dyDescent="0.25">
      <c r="B2253" s="4">
        <v>2114</v>
      </c>
      <c r="C2253" s="4" t="s">
        <v>201</v>
      </c>
      <c r="D2253" s="4" t="s">
        <v>135</v>
      </c>
      <c r="E2253" s="4">
        <v>2008</v>
      </c>
      <c r="F2253" s="4" t="s">
        <v>30</v>
      </c>
      <c r="G2253" s="4" t="s">
        <v>29</v>
      </c>
      <c r="H2253" s="4" t="s">
        <v>34</v>
      </c>
      <c r="I2253" s="4" t="s">
        <v>35</v>
      </c>
      <c r="J2253" s="4">
        <v>320</v>
      </c>
      <c r="K2253" t="str">
        <f>TEXT(TIMEVALUE(H2253)-TIMEVALUE(I2252)+(TIMEVALUE(H2253)&lt;TIMEVALUE(I2252)),"[h]:mm")</f>
        <v>1:05</v>
      </c>
      <c r="L2253" s="4" t="s">
        <v>36</v>
      </c>
      <c r="O2253" t="str">
        <f>"LIM-"&amp;G2252&amp;"-LIM   LA "&amp;E2252&amp;" ("&amp;LEFT(H2252,5)&amp;"-"&amp;LEFT(I2252,5)&amp;" hrs)  /  LA "&amp;E2253&amp;" ("&amp;LEFT(H2253,5)&amp;"-"&amp;LEFT(I2253,5)&amp;" hrs)"</f>
        <v>LIM-CUZ-LIM   LA 2007 (08:50-10:15 hrs)  /  LA 2008 (11:20-12:55 hrs)</v>
      </c>
    </row>
    <row r="2254" spans="2:24" ht="30" x14ac:dyDescent="0.25">
      <c r="B2254" s="4">
        <v>2142</v>
      </c>
      <c r="C2254" s="4" t="s">
        <v>201</v>
      </c>
      <c r="D2254" s="4" t="s">
        <v>135</v>
      </c>
      <c r="E2254" s="4">
        <v>2087</v>
      </c>
      <c r="F2254" s="4" t="s">
        <v>29</v>
      </c>
      <c r="G2254" s="4" t="s">
        <v>91</v>
      </c>
      <c r="H2254" s="4" t="s">
        <v>110</v>
      </c>
      <c r="I2254" s="4" t="s">
        <v>89</v>
      </c>
      <c r="J2254" s="4">
        <v>319</v>
      </c>
      <c r="K2254" s="6" t="str">
        <f>TEXT(TIMEVALUE(H2254)-TIMEVALUE(I2253)+(TIMEVALUE(H2254)&lt;TIMEVALUE(I2253)),"[h]:mm")</f>
        <v>1:15</v>
      </c>
      <c r="L2254" s="4" t="s">
        <v>93</v>
      </c>
      <c r="M2254" t="str">
        <f>IF($M$2252="","",$M$2252)</f>
        <v/>
      </c>
      <c r="O2254" t="str">
        <f>IF($O$2252="","",$O$2252)</f>
        <v/>
      </c>
      <c r="Q2254" s="4">
        <f>B2254</f>
        <v>2142</v>
      </c>
      <c r="R2254" s="4" t="str">
        <f>C2254</f>
        <v>25/10/2026</v>
      </c>
      <c r="S2254" s="4" t="str">
        <f>D2254</f>
        <v>domingo</v>
      </c>
      <c r="T2254" s="4" t="str">
        <f>E2254&amp;"/"&amp;E2255</f>
        <v>2087/2088</v>
      </c>
      <c r="U2254" s="4" t="str">
        <f>F2254&amp;"-"&amp;G2254&amp;"-"&amp;F2254</f>
        <v>LIM-TPP-LIM</v>
      </c>
      <c r="V2254" s="4" t="str">
        <f>IF($M$2252="","",$M$2252)</f>
        <v/>
      </c>
      <c r="W2254" s="4" t="str">
        <f>IF($O$2252="","",$O$2252)</f>
        <v/>
      </c>
      <c r="X2254" s="4">
        <f>J2254</f>
        <v>319</v>
      </c>
    </row>
    <row r="2255" spans="2:24" ht="30" x14ac:dyDescent="0.25">
      <c r="B2255" s="4">
        <v>2142</v>
      </c>
      <c r="C2255" s="4" t="s">
        <v>201</v>
      </c>
      <c r="D2255" s="4" t="s">
        <v>135</v>
      </c>
      <c r="E2255" s="4">
        <v>2088</v>
      </c>
      <c r="F2255" s="4" t="s">
        <v>91</v>
      </c>
      <c r="G2255" s="4" t="s">
        <v>29</v>
      </c>
      <c r="H2255" s="4" t="s">
        <v>83</v>
      </c>
      <c r="I2255" s="4" t="s">
        <v>100</v>
      </c>
      <c r="J2255" s="4">
        <v>319</v>
      </c>
      <c r="K2255" t="str">
        <f>TEXT(TIMEVALUE(H2255)-TIMEVALUE(I2254)+(TIMEVALUE(H2255)&lt;TIMEVALUE(I2254)),"[h]:mm")</f>
        <v>0:35</v>
      </c>
      <c r="L2255" s="4" t="s">
        <v>33</v>
      </c>
      <c r="O2255" t="str">
        <f>"LIM-"&amp;G2254&amp;"-LIM   LA "&amp;E2254&amp;" ("&amp;LEFT(H2254,5)&amp;"-"&amp;LEFT(I2254,5)&amp;" hrs)  /  LA "&amp;E2255&amp;" ("&amp;LEFT(H2255,5)&amp;"-"&amp;LEFT(I2255,5)&amp;" hrs)"</f>
        <v>LIM-TPP-LIM   LA 2087 (14:10-15:35 hrs)  /  LA 2088 (16:10-17:30 hrs)</v>
      </c>
    </row>
    <row r="2256" spans="2:24" x14ac:dyDescent="0.25">
      <c r="J2256" s="7" t="s">
        <v>43</v>
      </c>
      <c r="K2256" s="8" t="str">
        <f>TEXT(TIMEVALUE(I2255)-TIMEVALUE(H2252)+(I2255&lt;H2252),"[h]:mm")</f>
        <v>8:40</v>
      </c>
    </row>
    <row r="2258" spans="2:24" ht="30" x14ac:dyDescent="0.25">
      <c r="B2258" s="3" t="s">
        <v>9</v>
      </c>
      <c r="C2258" s="3" t="s">
        <v>17</v>
      </c>
      <c r="D2258" s="3" t="s">
        <v>18</v>
      </c>
      <c r="E2258" s="3" t="s">
        <v>19</v>
      </c>
      <c r="F2258" s="3" t="s">
        <v>20</v>
      </c>
      <c r="G2258" s="3" t="s">
        <v>21</v>
      </c>
      <c r="H2258" s="3" t="s">
        <v>22</v>
      </c>
      <c r="I2258" s="3" t="s">
        <v>23</v>
      </c>
      <c r="J2258" s="3" t="s">
        <v>24</v>
      </c>
      <c r="K2258" s="3" t="s">
        <v>25</v>
      </c>
      <c r="L2258" s="3" t="s">
        <v>26</v>
      </c>
    </row>
    <row r="2259" spans="2:24" ht="30" x14ac:dyDescent="0.25">
      <c r="B2259" s="4">
        <v>2115</v>
      </c>
      <c r="C2259" s="4" t="s">
        <v>201</v>
      </c>
      <c r="D2259" s="4" t="s">
        <v>135</v>
      </c>
      <c r="E2259" s="4">
        <v>2306</v>
      </c>
      <c r="F2259" s="4" t="s">
        <v>29</v>
      </c>
      <c r="G2259" s="4" t="s">
        <v>125</v>
      </c>
      <c r="H2259" s="4" t="s">
        <v>204</v>
      </c>
      <c r="I2259" s="4" t="s">
        <v>97</v>
      </c>
      <c r="J2259" s="4">
        <v>320</v>
      </c>
      <c r="L2259" s="4" t="s">
        <v>47</v>
      </c>
      <c r="M2259" s="5"/>
      <c r="O2259" s="5"/>
      <c r="Q2259" s="4">
        <f>B2259</f>
        <v>2115</v>
      </c>
      <c r="R2259" s="4" t="str">
        <f>C2259</f>
        <v>25/10/2026</v>
      </c>
      <c r="S2259" s="4" t="str">
        <f>D2259</f>
        <v>domingo</v>
      </c>
      <c r="T2259" s="4" t="str">
        <f>E2259&amp;"/"&amp;E2260</f>
        <v>2306/2307</v>
      </c>
      <c r="U2259" s="4" t="str">
        <f>F2259&amp;"-"&amp;G2259&amp;"-"&amp;F2259</f>
        <v>LIM-PIU-LIM</v>
      </c>
      <c r="V2259" s="4" t="str">
        <f>IF($M$2259="","",$M$2259)</f>
        <v/>
      </c>
      <c r="W2259" s="4" t="str">
        <f>IF($O$2259="","",$O$2259)</f>
        <v/>
      </c>
      <c r="X2259" s="4">
        <f>J2259</f>
        <v>320</v>
      </c>
    </row>
    <row r="2260" spans="2:24" ht="30" x14ac:dyDescent="0.25">
      <c r="B2260" s="4">
        <v>2115</v>
      </c>
      <c r="C2260" s="4" t="s">
        <v>201</v>
      </c>
      <c r="D2260" s="4" t="s">
        <v>135</v>
      </c>
      <c r="E2260" s="4">
        <v>2307</v>
      </c>
      <c r="F2260" s="4" t="s">
        <v>125</v>
      </c>
      <c r="G2260" s="4" t="s">
        <v>29</v>
      </c>
      <c r="H2260" s="4" t="s">
        <v>205</v>
      </c>
      <c r="I2260" s="4" t="s">
        <v>65</v>
      </c>
      <c r="J2260" s="4">
        <v>320</v>
      </c>
      <c r="K2260" t="str">
        <f>TEXT(TIMEVALUE(H2260)-TIMEVALUE(I2259)+(TIMEVALUE(H2260)&lt;TIMEVALUE(I2259)),"[h]:mm")</f>
        <v>0:55</v>
      </c>
      <c r="L2260" s="4" t="s">
        <v>71</v>
      </c>
      <c r="O2260" t="str">
        <f>"LIM-"&amp;G2259&amp;"-LIM   LA "&amp;E2259&amp;" ("&amp;LEFT(H2259,5)&amp;"-"&amp;LEFT(I2259,5)&amp;" hrs)  /  LA "&amp;E2260&amp;" ("&amp;LEFT(H2260,5)&amp;"-"&amp;LEFT(I2260,5)&amp;" hrs)"</f>
        <v>LIM-PIU-LIM   LA 2306 (09:05-10:50 hrs)  /  LA 2307 (11:45-13:25 hrs)</v>
      </c>
    </row>
    <row r="2261" spans="2:24" x14ac:dyDescent="0.25">
      <c r="J2261" s="7" t="s">
        <v>43</v>
      </c>
      <c r="K2261" s="8" t="str">
        <f>TEXT(TIMEVALUE(I2260)-TIMEVALUE(H2259)+(I2260&lt;H2259),"[h]:mm")</f>
        <v>4:20</v>
      </c>
    </row>
    <row r="2263" spans="2:24" ht="30" x14ac:dyDescent="0.25">
      <c r="B2263" s="3" t="s">
        <v>9</v>
      </c>
      <c r="C2263" s="3" t="s">
        <v>17</v>
      </c>
      <c r="D2263" s="3" t="s">
        <v>18</v>
      </c>
      <c r="E2263" s="3" t="s">
        <v>19</v>
      </c>
      <c r="F2263" s="3" t="s">
        <v>20</v>
      </c>
      <c r="G2263" s="3" t="s">
        <v>21</v>
      </c>
      <c r="H2263" s="3" t="s">
        <v>22</v>
      </c>
      <c r="I2263" s="3" t="s">
        <v>23</v>
      </c>
      <c r="J2263" s="3" t="s">
        <v>24</v>
      </c>
      <c r="K2263" s="3" t="s">
        <v>25</v>
      </c>
      <c r="L2263" s="3" t="s">
        <v>26</v>
      </c>
    </row>
    <row r="2264" spans="2:24" ht="30" x14ac:dyDescent="0.25">
      <c r="B2264" s="4">
        <v>2121</v>
      </c>
      <c r="C2264" s="4" t="s">
        <v>201</v>
      </c>
      <c r="D2264" s="4" t="s">
        <v>135</v>
      </c>
      <c r="E2264" s="4">
        <v>2260</v>
      </c>
      <c r="F2264" s="4" t="s">
        <v>29</v>
      </c>
      <c r="G2264" s="4" t="s">
        <v>44</v>
      </c>
      <c r="H2264" s="4" t="s">
        <v>45</v>
      </c>
      <c r="I2264" s="4" t="s">
        <v>57</v>
      </c>
      <c r="J2264" s="4">
        <v>320</v>
      </c>
      <c r="L2264" s="4" t="s">
        <v>71</v>
      </c>
      <c r="M2264" s="5"/>
      <c r="O2264" s="5"/>
      <c r="Q2264" s="4">
        <f>B2264</f>
        <v>2121</v>
      </c>
      <c r="R2264" s="4" t="str">
        <f>C2264</f>
        <v>25/10/2026</v>
      </c>
      <c r="S2264" s="4" t="str">
        <f>D2264</f>
        <v>domingo</v>
      </c>
      <c r="T2264" s="4" t="str">
        <f>E2264&amp;"/"&amp;E2265</f>
        <v>2260/2261</v>
      </c>
      <c r="U2264" s="4" t="str">
        <f>F2264&amp;"-"&amp;G2264&amp;"-"&amp;F2264</f>
        <v>LIM-PEM-LIM</v>
      </c>
      <c r="V2264" s="4" t="str">
        <f>IF($M$2264="","",$M$2264)</f>
        <v/>
      </c>
      <c r="W2264" s="4" t="str">
        <f>IF($O$2264="","",$O$2264)</f>
        <v/>
      </c>
      <c r="X2264" s="4">
        <f>J2264</f>
        <v>320</v>
      </c>
    </row>
    <row r="2265" spans="2:24" ht="30" x14ac:dyDescent="0.25">
      <c r="B2265" s="4">
        <v>2121</v>
      </c>
      <c r="C2265" s="4" t="s">
        <v>201</v>
      </c>
      <c r="D2265" s="4" t="s">
        <v>135</v>
      </c>
      <c r="E2265" s="4">
        <v>2261</v>
      </c>
      <c r="F2265" s="4" t="s">
        <v>44</v>
      </c>
      <c r="G2265" s="4" t="s">
        <v>29</v>
      </c>
      <c r="H2265" s="4" t="s">
        <v>48</v>
      </c>
      <c r="I2265" s="4" t="s">
        <v>49</v>
      </c>
      <c r="J2265" s="4">
        <v>320</v>
      </c>
      <c r="K2265" t="str">
        <f>TEXT(TIMEVALUE(H2265)-TIMEVALUE(I2264)+(TIMEVALUE(H2265)&lt;TIMEVALUE(I2264)),"[h]:mm")</f>
        <v>0:45</v>
      </c>
      <c r="L2265" s="4" t="s">
        <v>36</v>
      </c>
      <c r="O2265" t="str">
        <f>"LIM-"&amp;G2264&amp;"-LIM   LA "&amp;E2264&amp;" ("&amp;LEFT(H2264,5)&amp;"-"&amp;LEFT(I2264,5)&amp;" hrs)  /  LA "&amp;E2265&amp;" ("&amp;LEFT(H2265,5)&amp;"-"&amp;LEFT(I2265,5)&amp;" hrs)"</f>
        <v>LIM-PEM-LIM   LA 2260 (10:20-12:00 hrs)  /  LA 2261 (12:45-14:20 hrs)</v>
      </c>
    </row>
    <row r="2266" spans="2:24" ht="30" x14ac:dyDescent="0.25">
      <c r="B2266" s="4">
        <v>2148</v>
      </c>
      <c r="C2266" s="4" t="s">
        <v>201</v>
      </c>
      <c r="D2266" s="4" t="s">
        <v>135</v>
      </c>
      <c r="E2266" s="4">
        <v>2297</v>
      </c>
      <c r="F2266" s="4" t="s">
        <v>29</v>
      </c>
      <c r="G2266" s="4" t="s">
        <v>50</v>
      </c>
      <c r="H2266" s="4" t="s">
        <v>51</v>
      </c>
      <c r="I2266" s="4" t="s">
        <v>52</v>
      </c>
      <c r="J2266" s="4">
        <v>319</v>
      </c>
      <c r="K2266" s="6" t="str">
        <f>TEXT(TIMEVALUE(H2266)-TIMEVALUE(I2265)+(TIMEVALUE(H2266)&lt;TIMEVALUE(I2265)),"[h]:mm")</f>
        <v>0:55</v>
      </c>
      <c r="L2266" s="4" t="s">
        <v>33</v>
      </c>
      <c r="M2266" t="str">
        <f>IF($M$2264="","",$M$2264)</f>
        <v/>
      </c>
      <c r="O2266" t="str">
        <f>IF($O$2264="","",$O$2264)</f>
        <v/>
      </c>
      <c r="Q2266" s="4">
        <f>B2266</f>
        <v>2148</v>
      </c>
      <c r="R2266" s="4" t="str">
        <f>C2266</f>
        <v>25/10/2026</v>
      </c>
      <c r="S2266" s="4" t="str">
        <f>D2266</f>
        <v>domingo</v>
      </c>
      <c r="T2266" s="4" t="str">
        <f>E2266&amp;"/"&amp;E2267</f>
        <v>2297/2296</v>
      </c>
      <c r="U2266" s="4" t="str">
        <f>F2266&amp;"-"&amp;G2266&amp;"-"&amp;F2266</f>
        <v>LIM-CJA-LIM</v>
      </c>
      <c r="V2266" s="4" t="str">
        <f>IF($M$2264="","",$M$2264)</f>
        <v/>
      </c>
      <c r="W2266" s="4" t="str">
        <f>IF($O$2264="","",$O$2264)</f>
        <v/>
      </c>
      <c r="X2266" s="4">
        <f>J2266</f>
        <v>319</v>
      </c>
    </row>
    <row r="2267" spans="2:24" ht="30" x14ac:dyDescent="0.25">
      <c r="B2267" s="4">
        <v>2148</v>
      </c>
      <c r="C2267" s="4" t="s">
        <v>201</v>
      </c>
      <c r="D2267" s="4" t="s">
        <v>135</v>
      </c>
      <c r="E2267" s="4">
        <v>2296</v>
      </c>
      <c r="F2267" s="4" t="s">
        <v>50</v>
      </c>
      <c r="G2267" s="4" t="s">
        <v>29</v>
      </c>
      <c r="H2267" s="4" t="s">
        <v>206</v>
      </c>
      <c r="I2267" s="4" t="s">
        <v>207</v>
      </c>
      <c r="J2267" s="4">
        <v>319</v>
      </c>
      <c r="K2267" t="str">
        <f>TEXT(TIMEVALUE(H2267)-TIMEVALUE(I2266)+(TIMEVALUE(H2267)&lt;TIMEVALUE(I2266)),"[h]:mm")</f>
        <v>0:50</v>
      </c>
      <c r="L2267" s="4" t="s">
        <v>61</v>
      </c>
      <c r="O2267" t="str">
        <f>"LIM-"&amp;G2266&amp;"-LIM   LA "&amp;E2266&amp;" ("&amp;LEFT(H2266,5)&amp;"-"&amp;LEFT(I2266,5)&amp;" hrs)  /  LA "&amp;E2267&amp;" ("&amp;LEFT(H2267,5)&amp;"-"&amp;LEFT(I2267,5)&amp;" hrs)"</f>
        <v>LIM-CJA-LIM   LA 2297 (15:15-16:35 hrs)  /  LA 2296 (17:25-18:40 hrs)</v>
      </c>
    </row>
    <row r="2268" spans="2:24" x14ac:dyDescent="0.25">
      <c r="J2268" s="7" t="s">
        <v>43</v>
      </c>
      <c r="K2268" s="8" t="str">
        <f>TEXT(TIMEVALUE(I2267)-TIMEVALUE(H2264)+(I2267&lt;H2264),"[h]:mm")</f>
        <v>8:20</v>
      </c>
    </row>
    <row r="2270" spans="2:24" ht="30" x14ac:dyDescent="0.25">
      <c r="B2270" s="3" t="s">
        <v>9</v>
      </c>
      <c r="C2270" s="3" t="s">
        <v>17</v>
      </c>
      <c r="D2270" s="3" t="s">
        <v>18</v>
      </c>
      <c r="E2270" s="3" t="s">
        <v>19</v>
      </c>
      <c r="F2270" s="3" t="s">
        <v>20</v>
      </c>
      <c r="G2270" s="3" t="s">
        <v>21</v>
      </c>
      <c r="H2270" s="3" t="s">
        <v>22</v>
      </c>
      <c r="I2270" s="3" t="s">
        <v>23</v>
      </c>
      <c r="J2270" s="3" t="s">
        <v>24</v>
      </c>
      <c r="K2270" s="3" t="s">
        <v>25</v>
      </c>
      <c r="L2270" s="3" t="s">
        <v>26</v>
      </c>
    </row>
    <row r="2271" spans="2:24" ht="30" x14ac:dyDescent="0.25">
      <c r="B2271" s="4">
        <v>2125</v>
      </c>
      <c r="C2271" s="4" t="s">
        <v>201</v>
      </c>
      <c r="D2271" s="4" t="s">
        <v>135</v>
      </c>
      <c r="E2271" s="4">
        <v>2316</v>
      </c>
      <c r="F2271" s="4" t="s">
        <v>29</v>
      </c>
      <c r="G2271" s="4" t="s">
        <v>125</v>
      </c>
      <c r="H2271" s="4" t="s">
        <v>34</v>
      </c>
      <c r="I2271" s="4" t="s">
        <v>142</v>
      </c>
      <c r="J2271" s="4">
        <v>320</v>
      </c>
      <c r="L2271" s="4" t="s">
        <v>47</v>
      </c>
      <c r="M2271" s="5"/>
      <c r="O2271" s="5"/>
      <c r="Q2271" s="4">
        <f>B2271</f>
        <v>2125</v>
      </c>
      <c r="R2271" s="4" t="str">
        <f>C2271</f>
        <v>25/10/2026</v>
      </c>
      <c r="S2271" s="4" t="str">
        <f>D2271</f>
        <v>domingo</v>
      </c>
      <c r="T2271" s="4" t="str">
        <f>E2271&amp;"/"&amp;E2272</f>
        <v>2316/2317</v>
      </c>
      <c r="U2271" s="4" t="str">
        <f>F2271&amp;"-"&amp;G2271&amp;"-"&amp;F2271</f>
        <v>LIM-PIU-LIM</v>
      </c>
      <c r="V2271" s="4" t="str">
        <f>IF($M$2271="","",$M$2271)</f>
        <v/>
      </c>
      <c r="W2271" s="4" t="str">
        <f>IF($O$2271="","",$O$2271)</f>
        <v/>
      </c>
      <c r="X2271" s="4">
        <f>J2271</f>
        <v>320</v>
      </c>
    </row>
    <row r="2272" spans="2:24" ht="30" x14ac:dyDescent="0.25">
      <c r="B2272" s="4">
        <v>2125</v>
      </c>
      <c r="C2272" s="4" t="s">
        <v>201</v>
      </c>
      <c r="D2272" s="4" t="s">
        <v>135</v>
      </c>
      <c r="E2272" s="4">
        <v>2317</v>
      </c>
      <c r="F2272" s="4" t="s">
        <v>125</v>
      </c>
      <c r="G2272" s="4" t="s">
        <v>29</v>
      </c>
      <c r="H2272" s="4" t="s">
        <v>72</v>
      </c>
      <c r="I2272" s="4" t="s">
        <v>51</v>
      </c>
      <c r="J2272" s="4">
        <v>320</v>
      </c>
      <c r="K2272" t="str">
        <f>TEXT(TIMEVALUE(H2272)-TIMEVALUE(I2271)+(TIMEVALUE(H2272)&lt;TIMEVALUE(I2271)),"[h]:mm")</f>
        <v>0:35</v>
      </c>
      <c r="L2272" s="4" t="s">
        <v>36</v>
      </c>
      <c r="O2272" t="str">
        <f>"LIM-"&amp;G2271&amp;"-LIM   LA "&amp;E2271&amp;" ("&amp;LEFT(H2271,5)&amp;"-"&amp;LEFT(I2271,5)&amp;" hrs)  /  LA "&amp;E2272&amp;" ("&amp;LEFT(H2272,5)&amp;"-"&amp;LEFT(I2272,5)&amp;" hrs)"</f>
        <v>LIM-PIU-LIM   LA 2316 (11:20-13:05 hrs)  /  LA 2317 (13:40-15:15 hrs)</v>
      </c>
    </row>
    <row r="2273" spans="2:24" x14ac:dyDescent="0.25">
      <c r="J2273" s="7" t="s">
        <v>43</v>
      </c>
      <c r="K2273" s="8" t="str">
        <f>TEXT(TIMEVALUE(I2272)-TIMEVALUE(H2271)+(I2272&lt;H2271),"[h]:mm")</f>
        <v>3:55</v>
      </c>
    </row>
    <row r="2275" spans="2:24" ht="30" x14ac:dyDescent="0.25">
      <c r="B2275" s="3" t="s">
        <v>9</v>
      </c>
      <c r="C2275" s="3" t="s">
        <v>17</v>
      </c>
      <c r="D2275" s="3" t="s">
        <v>18</v>
      </c>
      <c r="E2275" s="3" t="s">
        <v>19</v>
      </c>
      <c r="F2275" s="3" t="s">
        <v>20</v>
      </c>
      <c r="G2275" s="3" t="s">
        <v>21</v>
      </c>
      <c r="H2275" s="3" t="s">
        <v>22</v>
      </c>
      <c r="I2275" s="3" t="s">
        <v>23</v>
      </c>
      <c r="J2275" s="3" t="s">
        <v>24</v>
      </c>
      <c r="K2275" s="3" t="s">
        <v>25</v>
      </c>
      <c r="L2275" s="3" t="s">
        <v>26</v>
      </c>
    </row>
    <row r="2276" spans="2:24" ht="30" x14ac:dyDescent="0.25">
      <c r="B2276" s="4">
        <v>2126</v>
      </c>
      <c r="C2276" s="4" t="s">
        <v>201</v>
      </c>
      <c r="D2276" s="4" t="s">
        <v>135</v>
      </c>
      <c r="E2276" s="4">
        <v>2061</v>
      </c>
      <c r="F2276" s="4" t="s">
        <v>29</v>
      </c>
      <c r="G2276" s="4" t="s">
        <v>30</v>
      </c>
      <c r="H2276" s="4" t="s">
        <v>64</v>
      </c>
      <c r="I2276" s="4" t="s">
        <v>120</v>
      </c>
      <c r="J2276" s="4">
        <v>320</v>
      </c>
      <c r="L2276" s="4" t="s">
        <v>93</v>
      </c>
      <c r="M2276" s="5"/>
      <c r="O2276" s="5"/>
      <c r="Q2276" s="4">
        <f>B2276</f>
        <v>2126</v>
      </c>
      <c r="R2276" s="4" t="str">
        <f>C2276</f>
        <v>25/10/2026</v>
      </c>
      <c r="S2276" s="4" t="str">
        <f>D2276</f>
        <v>domingo</v>
      </c>
      <c r="T2276" s="4" t="str">
        <f>E2276&amp;"/"&amp;E2277</f>
        <v>2061/2062</v>
      </c>
      <c r="U2276" s="4" t="str">
        <f>F2276&amp;"-"&amp;G2276&amp;"-"&amp;F2276</f>
        <v>LIM-CUZ-LIM</v>
      </c>
      <c r="V2276" s="4" t="str">
        <f>IF($M$2276="","",$M$2276)</f>
        <v/>
      </c>
      <c r="W2276" s="4" t="str">
        <f>IF($O$2276="","",$O$2276)</f>
        <v/>
      </c>
      <c r="X2276" s="4">
        <f>J2276</f>
        <v>320</v>
      </c>
    </row>
    <row r="2277" spans="2:24" ht="30" x14ac:dyDescent="0.25">
      <c r="B2277" s="4">
        <v>2126</v>
      </c>
      <c r="C2277" s="4" t="s">
        <v>201</v>
      </c>
      <c r="D2277" s="4" t="s">
        <v>135</v>
      </c>
      <c r="E2277" s="4">
        <v>2062</v>
      </c>
      <c r="F2277" s="4" t="s">
        <v>30</v>
      </c>
      <c r="G2277" s="4" t="s">
        <v>29</v>
      </c>
      <c r="H2277" s="4" t="s">
        <v>72</v>
      </c>
      <c r="I2277" s="4" t="s">
        <v>51</v>
      </c>
      <c r="J2277" s="4">
        <v>320</v>
      </c>
      <c r="K2277" t="str">
        <f>TEXT(TIMEVALUE(H2277)-TIMEVALUE(I2276)+(TIMEVALUE(H2277)&lt;TIMEVALUE(I2276)),"[h]:mm")</f>
        <v>0:40</v>
      </c>
      <c r="L2277" s="4" t="s">
        <v>36</v>
      </c>
      <c r="O2277" t="str">
        <f>"LIM-"&amp;G2276&amp;"-LIM   LA "&amp;E2276&amp;" ("&amp;LEFT(H2276,5)&amp;"-"&amp;LEFT(I2276,5)&amp;" hrs)  /  LA "&amp;E2277&amp;" ("&amp;LEFT(H2277,5)&amp;"-"&amp;LEFT(I2277,5)&amp;" hrs)"</f>
        <v>LIM-CUZ-LIM   LA 2061 (11:35-13:00 hrs)  /  LA 2062 (13:40-15:15 hrs)</v>
      </c>
    </row>
    <row r="2278" spans="2:24" x14ac:dyDescent="0.25">
      <c r="J2278" s="7" t="s">
        <v>43</v>
      </c>
      <c r="K2278" s="8" t="str">
        <f>TEXT(TIMEVALUE(I2277)-TIMEVALUE(H2276)+(I2277&lt;H2276),"[h]:mm")</f>
        <v>3:40</v>
      </c>
    </row>
    <row r="2280" spans="2:24" ht="30" x14ac:dyDescent="0.25">
      <c r="B2280" s="3" t="s">
        <v>9</v>
      </c>
      <c r="C2280" s="3" t="s">
        <v>17</v>
      </c>
      <c r="D2280" s="3" t="s">
        <v>18</v>
      </c>
      <c r="E2280" s="3" t="s">
        <v>19</v>
      </c>
      <c r="F2280" s="3" t="s">
        <v>20</v>
      </c>
      <c r="G2280" s="3" t="s">
        <v>21</v>
      </c>
      <c r="H2280" s="3" t="s">
        <v>22</v>
      </c>
      <c r="I2280" s="3" t="s">
        <v>23</v>
      </c>
      <c r="J2280" s="3" t="s">
        <v>24</v>
      </c>
      <c r="K2280" s="3" t="s">
        <v>25</v>
      </c>
      <c r="L2280" s="3" t="s">
        <v>26</v>
      </c>
    </row>
    <row r="2281" spans="2:24" ht="30" x14ac:dyDescent="0.25">
      <c r="B2281" s="4">
        <v>2129</v>
      </c>
      <c r="C2281" s="4" t="s">
        <v>201</v>
      </c>
      <c r="D2281" s="4" t="s">
        <v>135</v>
      </c>
      <c r="E2281" s="4">
        <v>2023</v>
      </c>
      <c r="F2281" s="4" t="s">
        <v>29</v>
      </c>
      <c r="G2281" s="4" t="s">
        <v>44</v>
      </c>
      <c r="H2281" s="4" t="s">
        <v>172</v>
      </c>
      <c r="I2281" s="4" t="s">
        <v>82</v>
      </c>
      <c r="J2281" s="4">
        <v>319</v>
      </c>
      <c r="L2281" s="4" t="s">
        <v>71</v>
      </c>
      <c r="M2281" s="5"/>
      <c r="O2281" s="5"/>
      <c r="Q2281" s="4">
        <f>B2281</f>
        <v>2129</v>
      </c>
      <c r="R2281" s="4" t="str">
        <f>C2281</f>
        <v>25/10/2026</v>
      </c>
      <c r="S2281" s="4" t="str">
        <f>D2281</f>
        <v>domingo</v>
      </c>
      <c r="T2281" s="4" t="str">
        <f>E2281&amp;"/"&amp;E2282</f>
        <v>2023/2024</v>
      </c>
      <c r="U2281" s="4" t="str">
        <f>F2281&amp;"-"&amp;G2281&amp;"-"&amp;F2281</f>
        <v>LIM-PEM-LIM</v>
      </c>
      <c r="V2281" s="4" t="str">
        <f>IF($M$2281="","",$M$2281)</f>
        <v/>
      </c>
      <c r="W2281" s="4" t="str">
        <f>IF($O$2281="","",$O$2281)</f>
        <v/>
      </c>
      <c r="X2281" s="4">
        <f>J2281</f>
        <v>319</v>
      </c>
    </row>
    <row r="2282" spans="2:24" ht="30" x14ac:dyDescent="0.25">
      <c r="B2282" s="4">
        <v>2129</v>
      </c>
      <c r="C2282" s="4" t="s">
        <v>201</v>
      </c>
      <c r="D2282" s="4" t="s">
        <v>135</v>
      </c>
      <c r="E2282" s="4">
        <v>2024</v>
      </c>
      <c r="F2282" s="4" t="s">
        <v>44</v>
      </c>
      <c r="G2282" s="4" t="s">
        <v>29</v>
      </c>
      <c r="H2282" s="4" t="s">
        <v>145</v>
      </c>
      <c r="I2282" s="4" t="s">
        <v>83</v>
      </c>
      <c r="J2282" s="4">
        <v>319</v>
      </c>
      <c r="K2282" t="str">
        <f>TEXT(TIMEVALUE(H2282)-TIMEVALUE(I2281)+(TIMEVALUE(H2282)&lt;TIMEVALUE(I2281)),"[h]:mm")</f>
        <v>0:40</v>
      </c>
      <c r="L2282" s="4" t="s">
        <v>36</v>
      </c>
      <c r="O2282" t="str">
        <f>"LIM-"&amp;G2281&amp;"-LIM   LA "&amp;E2281&amp;" ("&amp;LEFT(H2281,5)&amp;"-"&amp;LEFT(I2281,5)&amp;" hrs)  /  LA "&amp;E2282&amp;" ("&amp;LEFT(H2282,5)&amp;"-"&amp;LEFT(I2282,5)&amp;" hrs)"</f>
        <v>LIM-PEM-LIM   LA 2023 (12:15-13:55 hrs)  /  LA 2024 (14:35-16:10 hrs)</v>
      </c>
    </row>
    <row r="2283" spans="2:24" ht="30" x14ac:dyDescent="0.25">
      <c r="B2283" s="4">
        <v>2157</v>
      </c>
      <c r="C2283" s="4" t="s">
        <v>201</v>
      </c>
      <c r="D2283" s="4" t="s">
        <v>135</v>
      </c>
      <c r="E2283" s="4">
        <v>2213</v>
      </c>
      <c r="F2283" s="4" t="s">
        <v>29</v>
      </c>
      <c r="G2283" s="4" t="s">
        <v>37</v>
      </c>
      <c r="H2283" s="4" t="s">
        <v>53</v>
      </c>
      <c r="I2283" s="4" t="s">
        <v>127</v>
      </c>
      <c r="J2283" s="4">
        <v>320</v>
      </c>
      <c r="K2283" s="6" t="str">
        <f>TEXT(TIMEVALUE(H2283)-TIMEVALUE(I2282)+(TIMEVALUE(H2283)&lt;TIMEVALUE(I2282)),"[h]:mm")</f>
        <v>1:10</v>
      </c>
      <c r="L2283" s="4" t="s">
        <v>40</v>
      </c>
      <c r="M2283" t="str">
        <f>IF($M$2281="","",$M$2281)</f>
        <v/>
      </c>
      <c r="O2283" t="str">
        <f>IF($O$2281="","",$O$2281)</f>
        <v/>
      </c>
      <c r="Q2283" s="4">
        <f>B2283</f>
        <v>2157</v>
      </c>
      <c r="R2283" s="4" t="str">
        <f>C2283</f>
        <v>25/10/2026</v>
      </c>
      <c r="S2283" s="4" t="str">
        <f>D2283</f>
        <v>domingo</v>
      </c>
      <c r="T2283" s="4" t="str">
        <f>E2283&amp;"/"&amp;E2284</f>
        <v>2213/2214</v>
      </c>
      <c r="U2283" s="4" t="str">
        <f>F2283&amp;"-"&amp;G2283&amp;"-"&amp;F2283</f>
        <v>LIM-CIX-LIM</v>
      </c>
      <c r="V2283" s="4" t="str">
        <f>IF($M$2281="","",$M$2281)</f>
        <v/>
      </c>
      <c r="W2283" s="4" t="str">
        <f>IF($O$2281="","",$O$2281)</f>
        <v/>
      </c>
      <c r="X2283" s="4">
        <f>J2283</f>
        <v>320</v>
      </c>
    </row>
    <row r="2284" spans="2:24" ht="30" x14ac:dyDescent="0.25">
      <c r="B2284" s="4">
        <v>2157</v>
      </c>
      <c r="C2284" s="4" t="s">
        <v>201</v>
      </c>
      <c r="D2284" s="4" t="s">
        <v>135</v>
      </c>
      <c r="E2284" s="4">
        <v>2214</v>
      </c>
      <c r="F2284" s="4" t="s">
        <v>37</v>
      </c>
      <c r="G2284" s="4" t="s">
        <v>29</v>
      </c>
      <c r="H2284" s="4" t="s">
        <v>128</v>
      </c>
      <c r="I2284" s="4" t="s">
        <v>193</v>
      </c>
      <c r="J2284" s="4">
        <v>320</v>
      </c>
      <c r="K2284" t="str">
        <f>TEXT(TIMEVALUE(H2284)-TIMEVALUE(I2283)+(TIMEVALUE(H2284)&lt;TIMEVALUE(I2283)),"[h]:mm")</f>
        <v>0:35</v>
      </c>
      <c r="L2284" s="4" t="s">
        <v>33</v>
      </c>
      <c r="O2284" t="str">
        <f>"LIM-"&amp;G2283&amp;"-LIM   LA "&amp;E2283&amp;" ("&amp;LEFT(H2283,5)&amp;"-"&amp;LEFT(I2283,5)&amp;" hrs)  /  LA "&amp;E2284&amp;" ("&amp;LEFT(H2284,5)&amp;"-"&amp;LEFT(I2284,5)&amp;" hrs)"</f>
        <v>LIM-CIX-LIM   LA 2213 (17:20-18:50 hrs)  /  LA 2214 (19:25-20:45 hrs)</v>
      </c>
    </row>
    <row r="2285" spans="2:24" x14ac:dyDescent="0.25">
      <c r="J2285" s="7" t="s">
        <v>43</v>
      </c>
      <c r="K2285" s="8" t="str">
        <f>TEXT(TIMEVALUE(I2284)-TIMEVALUE(H2281)+(I2284&lt;H2281),"[h]:mm")</f>
        <v>8:30</v>
      </c>
    </row>
    <row r="2287" spans="2:24" ht="30" x14ac:dyDescent="0.25">
      <c r="B2287" s="3" t="s">
        <v>9</v>
      </c>
      <c r="C2287" s="3" t="s">
        <v>17</v>
      </c>
      <c r="D2287" s="3" t="s">
        <v>18</v>
      </c>
      <c r="E2287" s="3" t="s">
        <v>19</v>
      </c>
      <c r="F2287" s="3" t="s">
        <v>20</v>
      </c>
      <c r="G2287" s="3" t="s">
        <v>21</v>
      </c>
      <c r="H2287" s="3" t="s">
        <v>22</v>
      </c>
      <c r="I2287" s="3" t="s">
        <v>23</v>
      </c>
      <c r="J2287" s="3" t="s">
        <v>24</v>
      </c>
      <c r="K2287" s="3" t="s">
        <v>25</v>
      </c>
      <c r="L2287" s="3" t="s">
        <v>26</v>
      </c>
    </row>
    <row r="2288" spans="2:24" ht="30" x14ac:dyDescent="0.25">
      <c r="B2288" s="4">
        <v>2132</v>
      </c>
      <c r="C2288" s="4" t="s">
        <v>201</v>
      </c>
      <c r="D2288" s="4" t="s">
        <v>135</v>
      </c>
      <c r="E2288" s="4">
        <v>2120</v>
      </c>
      <c r="F2288" s="4" t="s">
        <v>29</v>
      </c>
      <c r="G2288" s="4" t="s">
        <v>30</v>
      </c>
      <c r="H2288" s="4" t="s">
        <v>48</v>
      </c>
      <c r="I2288" s="4" t="s">
        <v>110</v>
      </c>
      <c r="J2288" s="4">
        <v>320</v>
      </c>
      <c r="L2288" s="4" t="s">
        <v>93</v>
      </c>
      <c r="M2288" s="5"/>
      <c r="O2288" s="5"/>
      <c r="Q2288" s="4">
        <f>B2288</f>
        <v>2132</v>
      </c>
      <c r="R2288" s="4" t="str">
        <f>C2288</f>
        <v>25/10/2026</v>
      </c>
      <c r="S2288" s="4" t="str">
        <f>D2288</f>
        <v>domingo</v>
      </c>
      <c r="T2288" s="4" t="str">
        <f>E2288&amp;"/"&amp;E2289</f>
        <v>2120/2121</v>
      </c>
      <c r="U2288" s="4" t="str">
        <f>F2288&amp;"-"&amp;G2288&amp;"-"&amp;F2288</f>
        <v>LIM-CUZ-LIM</v>
      </c>
      <c r="V2288" s="4" t="str">
        <f>IF($M$2288="","",$M$2288)</f>
        <v/>
      </c>
      <c r="W2288" s="4" t="str">
        <f>IF($O$2288="","",$O$2288)</f>
        <v/>
      </c>
      <c r="X2288" s="4">
        <f>J2288</f>
        <v>320</v>
      </c>
    </row>
    <row r="2289" spans="2:24" ht="30" x14ac:dyDescent="0.25">
      <c r="B2289" s="4">
        <v>2132</v>
      </c>
      <c r="C2289" s="4" t="s">
        <v>201</v>
      </c>
      <c r="D2289" s="4" t="s">
        <v>135</v>
      </c>
      <c r="E2289" s="4">
        <v>2121</v>
      </c>
      <c r="F2289" s="4" t="s">
        <v>30</v>
      </c>
      <c r="G2289" s="4" t="s">
        <v>29</v>
      </c>
      <c r="H2289" s="4" t="s">
        <v>156</v>
      </c>
      <c r="I2289" s="4" t="s">
        <v>208</v>
      </c>
      <c r="J2289" s="4">
        <v>320</v>
      </c>
      <c r="K2289" t="str">
        <f>TEXT(TIMEVALUE(H2289)-TIMEVALUE(I2288)+(TIMEVALUE(H2289)&lt;TIMEVALUE(I2288)),"[h]:mm")</f>
        <v>3:50</v>
      </c>
      <c r="L2289" s="4" t="s">
        <v>36</v>
      </c>
      <c r="O2289" t="str">
        <f>"LIM-"&amp;G2288&amp;"-LIM   LA "&amp;E2288&amp;" ("&amp;LEFT(H2288,5)&amp;"-"&amp;LEFT(I2288,5)&amp;" hrs)  /  LA "&amp;E2289&amp;" ("&amp;LEFT(H2289,5)&amp;"-"&amp;LEFT(I2289,5)&amp;" hrs)"</f>
        <v>LIM-CUZ-LIM   LA 2120 (12:45-14:10 hrs)  /  LA 2121 (18:00-19:35 hrs)</v>
      </c>
    </row>
    <row r="2290" spans="2:24" x14ac:dyDescent="0.25">
      <c r="J2290" s="7" t="s">
        <v>43</v>
      </c>
      <c r="K2290" s="8" t="str">
        <f>TEXT(TIMEVALUE(I2289)-TIMEVALUE(H2288)+(I2289&lt;H2288),"[h]:mm")</f>
        <v>6:50</v>
      </c>
    </row>
    <row r="2292" spans="2:24" ht="30" x14ac:dyDescent="0.25">
      <c r="B2292" s="3" t="s">
        <v>9</v>
      </c>
      <c r="C2292" s="3" t="s">
        <v>17</v>
      </c>
      <c r="D2292" s="3" t="s">
        <v>18</v>
      </c>
      <c r="E2292" s="3" t="s">
        <v>19</v>
      </c>
      <c r="F2292" s="3" t="s">
        <v>20</v>
      </c>
      <c r="G2292" s="3" t="s">
        <v>21</v>
      </c>
      <c r="H2292" s="3" t="s">
        <v>22</v>
      </c>
      <c r="I2292" s="3" t="s">
        <v>23</v>
      </c>
      <c r="J2292" s="3" t="s">
        <v>24</v>
      </c>
      <c r="K2292" s="3" t="s">
        <v>25</v>
      </c>
      <c r="L2292" s="3" t="s">
        <v>26</v>
      </c>
    </row>
    <row r="2293" spans="2:24" ht="30" x14ac:dyDescent="0.25">
      <c r="B2293" s="4">
        <v>2135</v>
      </c>
      <c r="C2293" s="4" t="s">
        <v>201</v>
      </c>
      <c r="D2293" s="4" t="s">
        <v>135</v>
      </c>
      <c r="E2293" s="4">
        <v>2120</v>
      </c>
      <c r="F2293" s="4" t="s">
        <v>29</v>
      </c>
      <c r="G2293" s="4" t="s">
        <v>30</v>
      </c>
      <c r="H2293" s="4" t="s">
        <v>48</v>
      </c>
      <c r="I2293" s="4" t="s">
        <v>110</v>
      </c>
      <c r="J2293" s="4">
        <v>320</v>
      </c>
      <c r="L2293" s="4" t="s">
        <v>93</v>
      </c>
      <c r="M2293" s="5"/>
      <c r="O2293" s="5"/>
      <c r="Q2293" s="4">
        <f>B2293</f>
        <v>2135</v>
      </c>
      <c r="R2293" s="4" t="str">
        <f>C2293</f>
        <v>25/10/2026</v>
      </c>
      <c r="S2293" s="4" t="str">
        <f>D2293</f>
        <v>domingo</v>
      </c>
      <c r="T2293" s="4" t="str">
        <f>E2293&amp;"/"&amp;E2294</f>
        <v>2120/2121</v>
      </c>
      <c r="U2293" s="4" t="str">
        <f>F2293&amp;"-"&amp;G2293&amp;"-"&amp;F2293</f>
        <v>LIM-CUZ-LIM</v>
      </c>
      <c r="V2293" s="4" t="str">
        <f>IF($M$2293="","",$M$2293)</f>
        <v/>
      </c>
      <c r="W2293" s="4" t="str">
        <f>IF($O$2293="","",$O$2293)</f>
        <v/>
      </c>
      <c r="X2293" s="4">
        <f>J2293</f>
        <v>320</v>
      </c>
    </row>
    <row r="2294" spans="2:24" ht="30" x14ac:dyDescent="0.25">
      <c r="B2294" s="4">
        <v>2135</v>
      </c>
      <c r="C2294" s="4" t="s">
        <v>201</v>
      </c>
      <c r="D2294" s="4" t="s">
        <v>135</v>
      </c>
      <c r="E2294" s="4">
        <v>2121</v>
      </c>
      <c r="F2294" s="4" t="s">
        <v>30</v>
      </c>
      <c r="G2294" s="4" t="s">
        <v>29</v>
      </c>
      <c r="H2294" s="4" t="s">
        <v>156</v>
      </c>
      <c r="I2294" s="4" t="s">
        <v>208</v>
      </c>
      <c r="J2294" s="4">
        <v>320</v>
      </c>
      <c r="K2294" t="str">
        <f>TEXT(TIMEVALUE(H2294)-TIMEVALUE(I2293)+(TIMEVALUE(H2294)&lt;TIMEVALUE(I2293)),"[h]:mm")</f>
        <v>3:50</v>
      </c>
      <c r="L2294" s="4" t="s">
        <v>36</v>
      </c>
      <c r="O2294" t="str">
        <f>"LIM-"&amp;G2293&amp;"-LIM   LA "&amp;E2293&amp;" ("&amp;LEFT(H2293,5)&amp;"-"&amp;LEFT(I2293,5)&amp;" hrs)  /  LA "&amp;E2294&amp;" ("&amp;LEFT(H2294,5)&amp;"-"&amp;LEFT(I2294,5)&amp;" hrs)"</f>
        <v>LIM-CUZ-LIM   LA 2120 (12:45-14:10 hrs)  /  LA 2121 (18:00-19:35 hrs)</v>
      </c>
    </row>
    <row r="2295" spans="2:24" x14ac:dyDescent="0.25">
      <c r="J2295" s="7" t="s">
        <v>43</v>
      </c>
      <c r="K2295" s="8" t="str">
        <f>TEXT(TIMEVALUE(I2294)-TIMEVALUE(H2293)+(I2294&lt;H2293),"[h]:mm")</f>
        <v>6:50</v>
      </c>
    </row>
    <row r="2297" spans="2:24" ht="30" x14ac:dyDescent="0.25">
      <c r="B2297" s="3" t="s">
        <v>9</v>
      </c>
      <c r="C2297" s="3" t="s">
        <v>17</v>
      </c>
      <c r="D2297" s="3" t="s">
        <v>18</v>
      </c>
      <c r="E2297" s="3" t="s">
        <v>19</v>
      </c>
      <c r="F2297" s="3" t="s">
        <v>20</v>
      </c>
      <c r="G2297" s="3" t="s">
        <v>21</v>
      </c>
      <c r="H2297" s="3" t="s">
        <v>22</v>
      </c>
      <c r="I2297" s="3" t="s">
        <v>23</v>
      </c>
      <c r="J2297" s="3" t="s">
        <v>24</v>
      </c>
      <c r="K2297" s="3" t="s">
        <v>25</v>
      </c>
      <c r="L2297" s="3" t="s">
        <v>26</v>
      </c>
    </row>
    <row r="2298" spans="2:24" ht="30" x14ac:dyDescent="0.25">
      <c r="B2298" s="4">
        <v>2140</v>
      </c>
      <c r="C2298" s="4" t="s">
        <v>201</v>
      </c>
      <c r="D2298" s="4" t="s">
        <v>135</v>
      </c>
      <c r="E2298" s="4">
        <v>2028</v>
      </c>
      <c r="F2298" s="4" t="s">
        <v>29</v>
      </c>
      <c r="G2298" s="4" t="s">
        <v>30</v>
      </c>
      <c r="H2298" s="4" t="s">
        <v>106</v>
      </c>
      <c r="I2298" s="4" t="s">
        <v>109</v>
      </c>
      <c r="J2298" s="4">
        <v>319</v>
      </c>
      <c r="L2298" s="4" t="s">
        <v>93</v>
      </c>
      <c r="M2298" s="5"/>
      <c r="O2298" s="5"/>
      <c r="Q2298" s="4">
        <f>B2298</f>
        <v>2140</v>
      </c>
      <c r="R2298" s="4" t="str">
        <f>C2298</f>
        <v>25/10/2026</v>
      </c>
      <c r="S2298" s="4" t="str">
        <f>D2298</f>
        <v>domingo</v>
      </c>
      <c r="T2298" s="4" t="str">
        <f>E2298&amp;"/"&amp;E2299</f>
        <v>2028/2029</v>
      </c>
      <c r="U2298" s="4" t="str">
        <f>F2298&amp;"-"&amp;G2298&amp;"-"&amp;F2298</f>
        <v>LIM-CUZ-LIM</v>
      </c>
      <c r="V2298" s="4" t="str">
        <f>IF($M$2298="","",$M$2298)</f>
        <v/>
      </c>
      <c r="W2298" s="4" t="str">
        <f>IF($O$2298="","",$O$2298)</f>
        <v/>
      </c>
      <c r="X2298" s="4">
        <f>J2298</f>
        <v>319</v>
      </c>
    </row>
    <row r="2299" spans="2:24" ht="30" x14ac:dyDescent="0.25">
      <c r="B2299" s="4">
        <v>2140</v>
      </c>
      <c r="C2299" s="4" t="s">
        <v>201</v>
      </c>
      <c r="D2299" s="4" t="s">
        <v>135</v>
      </c>
      <c r="E2299" s="4">
        <v>2029</v>
      </c>
      <c r="F2299" s="4" t="s">
        <v>30</v>
      </c>
      <c r="G2299" s="4" t="s">
        <v>29</v>
      </c>
      <c r="H2299" s="4" t="s">
        <v>89</v>
      </c>
      <c r="I2299" s="4" t="s">
        <v>209</v>
      </c>
      <c r="J2299" s="4">
        <v>319</v>
      </c>
      <c r="K2299" t="str">
        <f>TEXT(TIMEVALUE(H2299)-TIMEVALUE(I2298)+(TIMEVALUE(H2299)&lt;TIMEVALUE(I2298)),"[h]:mm")</f>
        <v>0:35</v>
      </c>
      <c r="L2299" s="4" t="s">
        <v>36</v>
      </c>
      <c r="O2299" t="str">
        <f>"LIM-"&amp;G2298&amp;"-LIM   LA "&amp;E2298&amp;" ("&amp;LEFT(H2298,5)&amp;"-"&amp;LEFT(I2298,5)&amp;" hrs)  /  LA "&amp;E2299&amp;" ("&amp;LEFT(H2299,5)&amp;"-"&amp;LEFT(I2299,5)&amp;" hrs)"</f>
        <v>LIM-CUZ-LIM   LA 2028 (13:35-15:00 hrs)  /  LA 2029 (15:35-17:10 hrs)</v>
      </c>
    </row>
    <row r="2300" spans="2:24" x14ac:dyDescent="0.25">
      <c r="J2300" s="7" t="s">
        <v>43</v>
      </c>
      <c r="K2300" s="8" t="str">
        <f>TEXT(TIMEVALUE(I2299)-TIMEVALUE(H2298)+(I2299&lt;H2298),"[h]:mm")</f>
        <v>3:35</v>
      </c>
    </row>
    <row r="2302" spans="2:24" ht="30" x14ac:dyDescent="0.25">
      <c r="B2302" s="3" t="s">
        <v>9</v>
      </c>
      <c r="C2302" s="3" t="s">
        <v>17</v>
      </c>
      <c r="D2302" s="3" t="s">
        <v>18</v>
      </c>
      <c r="E2302" s="3" t="s">
        <v>19</v>
      </c>
      <c r="F2302" s="3" t="s">
        <v>20</v>
      </c>
      <c r="G2302" s="3" t="s">
        <v>21</v>
      </c>
      <c r="H2302" s="3" t="s">
        <v>22</v>
      </c>
      <c r="I2302" s="3" t="s">
        <v>23</v>
      </c>
      <c r="J2302" s="3" t="s">
        <v>24</v>
      </c>
      <c r="K2302" s="3" t="s">
        <v>25</v>
      </c>
      <c r="L2302" s="3" t="s">
        <v>26</v>
      </c>
    </row>
    <row r="2303" spans="2:24" ht="30" x14ac:dyDescent="0.25">
      <c r="B2303" s="4">
        <v>2143</v>
      </c>
      <c r="C2303" s="4" t="s">
        <v>201</v>
      </c>
      <c r="D2303" s="4" t="s">
        <v>135</v>
      </c>
      <c r="E2303" s="4">
        <v>2295</v>
      </c>
      <c r="F2303" s="4" t="s">
        <v>29</v>
      </c>
      <c r="G2303" s="4" t="s">
        <v>50</v>
      </c>
      <c r="H2303" s="4" t="s">
        <v>107</v>
      </c>
      <c r="I2303" s="4" t="s">
        <v>92</v>
      </c>
      <c r="J2303" s="4">
        <v>320</v>
      </c>
      <c r="L2303" s="4" t="s">
        <v>93</v>
      </c>
      <c r="M2303" s="5"/>
      <c r="O2303" s="5"/>
      <c r="Q2303" s="4">
        <f>B2303</f>
        <v>2143</v>
      </c>
      <c r="R2303" s="4" t="str">
        <f>C2303</f>
        <v>25/10/2026</v>
      </c>
      <c r="S2303" s="4" t="str">
        <f>D2303</f>
        <v>domingo</v>
      </c>
      <c r="T2303" s="4" t="str">
        <f>E2303&amp;"/"&amp;E2304</f>
        <v>2295/2294</v>
      </c>
      <c r="U2303" s="4" t="str">
        <f>F2303&amp;"-"&amp;G2303&amp;"-"&amp;F2303</f>
        <v>LIM-CJA-LIM</v>
      </c>
      <c r="V2303" s="4" t="str">
        <f>IF($M$2303="","",$M$2303)</f>
        <v/>
      </c>
      <c r="W2303" s="4" t="str">
        <f>IF($O$2303="","",$O$2303)</f>
        <v/>
      </c>
      <c r="X2303" s="4">
        <f>J2303</f>
        <v>320</v>
      </c>
    </row>
    <row r="2304" spans="2:24" ht="30" x14ac:dyDescent="0.25">
      <c r="B2304" s="4">
        <v>2143</v>
      </c>
      <c r="C2304" s="4" t="s">
        <v>201</v>
      </c>
      <c r="D2304" s="4" t="s">
        <v>135</v>
      </c>
      <c r="E2304" s="4">
        <v>2294</v>
      </c>
      <c r="F2304" s="4" t="s">
        <v>50</v>
      </c>
      <c r="G2304" s="4" t="s">
        <v>29</v>
      </c>
      <c r="H2304" s="4" t="s">
        <v>210</v>
      </c>
      <c r="I2304" s="4" t="s">
        <v>100</v>
      </c>
      <c r="J2304" s="4">
        <v>320</v>
      </c>
      <c r="K2304" t="str">
        <f>TEXT(TIMEVALUE(H2304)-TIMEVALUE(I2303)+(TIMEVALUE(H2304)&lt;TIMEVALUE(I2303)),"[h]:mm")</f>
        <v>0:40</v>
      </c>
      <c r="L2304" s="4" t="s">
        <v>74</v>
      </c>
      <c r="O2304" t="str">
        <f>"LIM-"&amp;G2303&amp;"-LIM   LA "&amp;E2303&amp;" ("&amp;LEFT(H2303,5)&amp;"-"&amp;LEFT(I2303,5)&amp;" hrs)  /  LA "&amp;E2304&amp;" ("&amp;LEFT(H2304,5)&amp;"-"&amp;LEFT(I2304,5)&amp;" hrs)"</f>
        <v>LIM-CJA-LIM   LA 2295 (14:15-15:40 hrs)  /  LA 2294 (16:20-17:30 hrs)</v>
      </c>
    </row>
    <row r="2305" spans="2:24" x14ac:dyDescent="0.25">
      <c r="J2305" s="7" t="s">
        <v>43</v>
      </c>
      <c r="K2305" s="8" t="str">
        <f>TEXT(TIMEVALUE(I2304)-TIMEVALUE(H2303)+(I2304&lt;H2303),"[h]:mm")</f>
        <v>3:15</v>
      </c>
    </row>
    <row r="2307" spans="2:24" ht="30" x14ac:dyDescent="0.25">
      <c r="B2307" s="3" t="s">
        <v>9</v>
      </c>
      <c r="C2307" s="3" t="s">
        <v>17</v>
      </c>
      <c r="D2307" s="3" t="s">
        <v>18</v>
      </c>
      <c r="E2307" s="3" t="s">
        <v>19</v>
      </c>
      <c r="F2307" s="3" t="s">
        <v>20</v>
      </c>
      <c r="G2307" s="3" t="s">
        <v>21</v>
      </c>
      <c r="H2307" s="3" t="s">
        <v>22</v>
      </c>
      <c r="I2307" s="3" t="s">
        <v>23</v>
      </c>
      <c r="J2307" s="3" t="s">
        <v>24</v>
      </c>
      <c r="K2307" s="3" t="s">
        <v>25</v>
      </c>
      <c r="L2307" s="3" t="s">
        <v>26</v>
      </c>
    </row>
    <row r="2308" spans="2:24" ht="30" x14ac:dyDescent="0.25">
      <c r="B2308" s="4">
        <v>2145</v>
      </c>
      <c r="C2308" s="4" t="s">
        <v>201</v>
      </c>
      <c r="D2308" s="4" t="s">
        <v>135</v>
      </c>
      <c r="E2308" s="4">
        <v>2338</v>
      </c>
      <c r="F2308" s="4" t="s">
        <v>29</v>
      </c>
      <c r="G2308" s="4" t="s">
        <v>125</v>
      </c>
      <c r="H2308" s="4" t="s">
        <v>87</v>
      </c>
      <c r="I2308" s="4" t="s">
        <v>60</v>
      </c>
      <c r="J2308" s="4">
        <v>319</v>
      </c>
      <c r="L2308" s="4" t="s">
        <v>47</v>
      </c>
      <c r="M2308" s="5"/>
      <c r="O2308" s="5"/>
      <c r="Q2308" s="4">
        <f>B2308</f>
        <v>2145</v>
      </c>
      <c r="R2308" s="4" t="str">
        <f>C2308</f>
        <v>25/10/2026</v>
      </c>
      <c r="S2308" s="4" t="str">
        <f>D2308</f>
        <v>domingo</v>
      </c>
      <c r="T2308" s="4" t="str">
        <f>E2308&amp;"/"&amp;E2309</f>
        <v>2338/2339</v>
      </c>
      <c r="U2308" s="4" t="str">
        <f>F2308&amp;"-"&amp;G2308&amp;"-"&amp;F2308</f>
        <v>LIM-PIU-LIM</v>
      </c>
      <c r="V2308" s="4" t="str">
        <f>IF($M$2308="","",$M$2308)</f>
        <v/>
      </c>
      <c r="W2308" s="4" t="str">
        <f>IF($O$2308="","",$O$2308)</f>
        <v/>
      </c>
      <c r="X2308" s="4">
        <f>J2308</f>
        <v>319</v>
      </c>
    </row>
    <row r="2309" spans="2:24" ht="30" x14ac:dyDescent="0.25">
      <c r="B2309" s="4">
        <v>2145</v>
      </c>
      <c r="C2309" s="4" t="s">
        <v>201</v>
      </c>
      <c r="D2309" s="4" t="s">
        <v>135</v>
      </c>
      <c r="E2309" s="4">
        <v>2339</v>
      </c>
      <c r="F2309" s="4" t="s">
        <v>125</v>
      </c>
      <c r="G2309" s="4" t="s">
        <v>29</v>
      </c>
      <c r="H2309" s="4" t="s">
        <v>53</v>
      </c>
      <c r="I2309" s="4" t="s">
        <v>88</v>
      </c>
      <c r="J2309" s="4">
        <v>319</v>
      </c>
      <c r="K2309" t="str">
        <f>TEXT(TIMEVALUE(H2309)-TIMEVALUE(I2308)+(TIMEVALUE(H2309)&lt;TIMEVALUE(I2308)),"[h]:mm")</f>
        <v>0:40</v>
      </c>
      <c r="L2309" s="4" t="s">
        <v>36</v>
      </c>
      <c r="O2309" t="str">
        <f>"LIM-"&amp;G2308&amp;"-LIM   LA "&amp;E2308&amp;" ("&amp;LEFT(H2308,5)&amp;"-"&amp;LEFT(I2308,5)&amp;" hrs)  /  LA "&amp;E2309&amp;" ("&amp;LEFT(H2309,5)&amp;"-"&amp;LEFT(I2309,5)&amp;" hrs)"</f>
        <v>LIM-PIU-LIM   LA 2338 (14:55-16:40 hrs)  /  LA 2339 (17:20-18:55 hrs)</v>
      </c>
    </row>
    <row r="2310" spans="2:24" ht="30" x14ac:dyDescent="0.25">
      <c r="B2310" s="4">
        <v>2162</v>
      </c>
      <c r="C2310" s="4" t="s">
        <v>201</v>
      </c>
      <c r="D2310" s="4" t="s">
        <v>135</v>
      </c>
      <c r="E2310" s="4">
        <v>2069</v>
      </c>
      <c r="F2310" s="4" t="s">
        <v>29</v>
      </c>
      <c r="G2310" s="4" t="s">
        <v>30</v>
      </c>
      <c r="H2310" s="4" t="s">
        <v>102</v>
      </c>
      <c r="I2310" s="4" t="s">
        <v>211</v>
      </c>
      <c r="J2310" s="4">
        <v>319</v>
      </c>
      <c r="K2310" s="6" t="str">
        <f>TEXT(TIMEVALUE(H2310)-TIMEVALUE(I2309)+(TIMEVALUE(H2310)&lt;TIMEVALUE(I2309)),"[h]:mm")</f>
        <v>0:55</v>
      </c>
      <c r="L2310" s="4" t="s">
        <v>33</v>
      </c>
      <c r="M2310" t="str">
        <f>IF($M$2308="","",$M$2308)</f>
        <v/>
      </c>
      <c r="O2310" t="str">
        <f>IF($O$2308="","",$O$2308)</f>
        <v/>
      </c>
      <c r="Q2310" s="4">
        <f>B2310</f>
        <v>2162</v>
      </c>
      <c r="R2310" s="4" t="str">
        <f>C2310</f>
        <v>25/10/2026</v>
      </c>
      <c r="S2310" s="4" t="str">
        <f>D2310</f>
        <v>domingo</v>
      </c>
      <c r="T2310" s="4" t="str">
        <f>E2310&amp;"/"&amp;E2311</f>
        <v>2069/2070</v>
      </c>
      <c r="U2310" s="4" t="str">
        <f>F2310&amp;"-"&amp;G2310&amp;"-"&amp;F2310</f>
        <v>LIM-CUZ-LIM</v>
      </c>
      <c r="V2310" s="4" t="str">
        <f>IF($M$2308="","",$M$2308)</f>
        <v/>
      </c>
      <c r="W2310" s="4" t="str">
        <f>IF($O$2308="","",$O$2308)</f>
        <v/>
      </c>
      <c r="X2310" s="4">
        <f>J2310</f>
        <v>319</v>
      </c>
    </row>
    <row r="2311" spans="2:24" ht="30" x14ac:dyDescent="0.25">
      <c r="B2311" s="4">
        <v>2162</v>
      </c>
      <c r="C2311" s="4" t="s">
        <v>201</v>
      </c>
      <c r="D2311" s="4" t="s">
        <v>135</v>
      </c>
      <c r="E2311" s="4">
        <v>2070</v>
      </c>
      <c r="F2311" s="4" t="s">
        <v>30</v>
      </c>
      <c r="G2311" s="4" t="s">
        <v>29</v>
      </c>
      <c r="H2311" s="4" t="s">
        <v>160</v>
      </c>
      <c r="I2311" s="4" t="s">
        <v>174</v>
      </c>
      <c r="J2311" s="4">
        <v>319</v>
      </c>
      <c r="K2311" t="str">
        <f>TEXT(TIMEVALUE(H2311)-TIMEVALUE(I2310)+(TIMEVALUE(H2311)&lt;TIMEVALUE(I2310)),"[h]:mm")</f>
        <v>1:05</v>
      </c>
      <c r="L2311" s="4" t="s">
        <v>36</v>
      </c>
      <c r="O2311" t="str">
        <f>"LIM-"&amp;G2310&amp;"-LIM   LA "&amp;E2310&amp;" ("&amp;LEFT(H2310,5)&amp;"-"&amp;LEFT(I2310,5)&amp;" hrs)  /  LA "&amp;E2311&amp;" ("&amp;LEFT(H2311,5)&amp;"-"&amp;LEFT(I2311,5)&amp;" hrs)"</f>
        <v>LIM-CUZ-LIM   LA 2069 (19:50-21:10 hrs)  /  LA 2070 (22:15-23:50 hrs)</v>
      </c>
    </row>
    <row r="2312" spans="2:24" x14ac:dyDescent="0.25">
      <c r="J2312" s="7" t="s">
        <v>43</v>
      </c>
      <c r="K2312" s="8" t="str">
        <f>TEXT(TIMEVALUE(I2311)-TIMEVALUE(H2308)+(I2311&lt;H2308),"[h]:mm")</f>
        <v>8:55</v>
      </c>
    </row>
    <row r="2314" spans="2:24" ht="30" x14ac:dyDescent="0.25">
      <c r="B2314" s="3" t="s">
        <v>9</v>
      </c>
      <c r="C2314" s="3" t="s">
        <v>17</v>
      </c>
      <c r="D2314" s="3" t="s">
        <v>18</v>
      </c>
      <c r="E2314" s="3" t="s">
        <v>19</v>
      </c>
      <c r="F2314" s="3" t="s">
        <v>20</v>
      </c>
      <c r="G2314" s="3" t="s">
        <v>21</v>
      </c>
      <c r="H2314" s="3" t="s">
        <v>22</v>
      </c>
      <c r="I2314" s="3" t="s">
        <v>23</v>
      </c>
      <c r="J2314" s="3" t="s">
        <v>24</v>
      </c>
      <c r="K2314" s="3" t="s">
        <v>25</v>
      </c>
      <c r="L2314" s="3" t="s">
        <v>26</v>
      </c>
    </row>
    <row r="2315" spans="2:24" ht="30" x14ac:dyDescent="0.25">
      <c r="B2315" s="4">
        <v>2146</v>
      </c>
      <c r="C2315" s="4" t="s">
        <v>201</v>
      </c>
      <c r="D2315" s="4" t="s">
        <v>135</v>
      </c>
      <c r="E2315" s="4">
        <v>2264</v>
      </c>
      <c r="F2315" s="4" t="s">
        <v>29</v>
      </c>
      <c r="G2315" s="4" t="s">
        <v>44</v>
      </c>
      <c r="H2315" s="4" t="s">
        <v>109</v>
      </c>
      <c r="I2315" s="4" t="s">
        <v>60</v>
      </c>
      <c r="J2315" s="4">
        <v>320</v>
      </c>
      <c r="L2315" s="4" t="s">
        <v>71</v>
      </c>
      <c r="M2315" s="5"/>
      <c r="O2315" s="5"/>
      <c r="Q2315" s="4">
        <f>B2315</f>
        <v>2146</v>
      </c>
      <c r="R2315" s="4" t="str">
        <f>C2315</f>
        <v>25/10/2026</v>
      </c>
      <c r="S2315" s="4" t="str">
        <f>D2315</f>
        <v>domingo</v>
      </c>
      <c r="T2315" s="4" t="str">
        <f>E2315&amp;"/"&amp;E2316</f>
        <v>2264/2265</v>
      </c>
      <c r="U2315" s="4" t="str">
        <f>F2315&amp;"-"&amp;G2315&amp;"-"&amp;F2315</f>
        <v>LIM-PEM-LIM</v>
      </c>
      <c r="V2315" s="4" t="str">
        <f>IF($M$2315="","",$M$2315)</f>
        <v/>
      </c>
      <c r="W2315" s="4" t="str">
        <f>IF($O$2315="","",$O$2315)</f>
        <v/>
      </c>
      <c r="X2315" s="4">
        <f>J2315</f>
        <v>320</v>
      </c>
    </row>
    <row r="2316" spans="2:24" ht="30" x14ac:dyDescent="0.25">
      <c r="B2316" s="4">
        <v>2146</v>
      </c>
      <c r="C2316" s="4" t="s">
        <v>201</v>
      </c>
      <c r="D2316" s="4" t="s">
        <v>135</v>
      </c>
      <c r="E2316" s="4">
        <v>2265</v>
      </c>
      <c r="F2316" s="4" t="s">
        <v>44</v>
      </c>
      <c r="G2316" s="4" t="s">
        <v>29</v>
      </c>
      <c r="H2316" s="4" t="s">
        <v>53</v>
      </c>
      <c r="I2316" s="4" t="s">
        <v>88</v>
      </c>
      <c r="J2316" s="4">
        <v>320</v>
      </c>
      <c r="K2316" t="str">
        <f>TEXT(TIMEVALUE(H2316)-TIMEVALUE(I2315)+(TIMEVALUE(H2316)&lt;TIMEVALUE(I2315)),"[h]:mm")</f>
        <v>0:40</v>
      </c>
      <c r="L2316" s="4" t="s">
        <v>36</v>
      </c>
      <c r="O2316" t="str">
        <f>"LIM-"&amp;G2315&amp;"-LIM   LA "&amp;E2315&amp;" ("&amp;LEFT(H2315,5)&amp;"-"&amp;LEFT(I2315,5)&amp;" hrs)  /  LA "&amp;E2316&amp;" ("&amp;LEFT(H2316,5)&amp;"-"&amp;LEFT(I2316,5)&amp;" hrs)"</f>
        <v>LIM-PEM-LIM   LA 2264 (15:00-16:40 hrs)  /  LA 2265 (17:20-18:55 hrs)</v>
      </c>
    </row>
    <row r="2317" spans="2:24" x14ac:dyDescent="0.25">
      <c r="J2317" s="7" t="s">
        <v>43</v>
      </c>
      <c r="K2317" s="8" t="str">
        <f>TEXT(TIMEVALUE(I2316)-TIMEVALUE(H2315)+(I2316&lt;H2315),"[h]:mm")</f>
        <v>3:55</v>
      </c>
    </row>
    <row r="2319" spans="2:24" ht="30" x14ac:dyDescent="0.25">
      <c r="B2319" s="3" t="s">
        <v>9</v>
      </c>
      <c r="C2319" s="3" t="s">
        <v>17</v>
      </c>
      <c r="D2319" s="3" t="s">
        <v>18</v>
      </c>
      <c r="E2319" s="3" t="s">
        <v>19</v>
      </c>
      <c r="F2319" s="3" t="s">
        <v>20</v>
      </c>
      <c r="G2319" s="3" t="s">
        <v>21</v>
      </c>
      <c r="H2319" s="3" t="s">
        <v>22</v>
      </c>
      <c r="I2319" s="3" t="s">
        <v>23</v>
      </c>
      <c r="J2319" s="3" t="s">
        <v>24</v>
      </c>
      <c r="K2319" s="3" t="s">
        <v>25</v>
      </c>
      <c r="L2319" s="3" t="s">
        <v>26</v>
      </c>
    </row>
    <row r="2320" spans="2:24" ht="30" x14ac:dyDescent="0.25">
      <c r="B2320" s="4">
        <v>2147</v>
      </c>
      <c r="C2320" s="4" t="s">
        <v>201</v>
      </c>
      <c r="D2320" s="4" t="s">
        <v>135</v>
      </c>
      <c r="E2320" s="4">
        <v>2113</v>
      </c>
      <c r="F2320" s="4" t="s">
        <v>29</v>
      </c>
      <c r="G2320" s="4" t="s">
        <v>56</v>
      </c>
      <c r="H2320" s="4" t="s">
        <v>126</v>
      </c>
      <c r="I2320" s="4" t="s">
        <v>52</v>
      </c>
      <c r="J2320" s="4">
        <v>319</v>
      </c>
      <c r="L2320" s="4" t="s">
        <v>40</v>
      </c>
      <c r="M2320" s="5"/>
      <c r="O2320" s="5"/>
      <c r="Q2320" s="4">
        <f>B2320</f>
        <v>2147</v>
      </c>
      <c r="R2320" s="4" t="str">
        <f>C2320</f>
        <v>25/10/2026</v>
      </c>
      <c r="S2320" s="4" t="str">
        <f>D2320</f>
        <v>domingo</v>
      </c>
      <c r="T2320" s="4" t="str">
        <f>E2320&amp;"/"&amp;E2321</f>
        <v>2113/2112</v>
      </c>
      <c r="U2320" s="4" t="str">
        <f>F2320&amp;"-"&amp;G2320&amp;"-"&amp;F2320</f>
        <v>LIM-AQP-LIM</v>
      </c>
      <c r="V2320" s="4" t="str">
        <f>IF($M$2320="","",$M$2320)</f>
        <v/>
      </c>
      <c r="W2320" s="4" t="str">
        <f>IF($O$2320="","",$O$2320)</f>
        <v/>
      </c>
      <c r="X2320" s="4">
        <f>J2320</f>
        <v>319</v>
      </c>
    </row>
    <row r="2321" spans="2:24" ht="30" x14ac:dyDescent="0.25">
      <c r="B2321" s="4">
        <v>2147</v>
      </c>
      <c r="C2321" s="4" t="s">
        <v>201</v>
      </c>
      <c r="D2321" s="4" t="s">
        <v>135</v>
      </c>
      <c r="E2321" s="4">
        <v>2112</v>
      </c>
      <c r="F2321" s="4" t="s">
        <v>56</v>
      </c>
      <c r="G2321" s="4" t="s">
        <v>29</v>
      </c>
      <c r="H2321" s="4" t="s">
        <v>42</v>
      </c>
      <c r="I2321" s="4" t="s">
        <v>127</v>
      </c>
      <c r="J2321" s="4">
        <v>319</v>
      </c>
      <c r="K2321" t="str">
        <f>TEXT(TIMEVALUE(H2321)-TIMEVALUE(I2320)+(TIMEVALUE(H2321)&lt;TIMEVALUE(I2320)),"[h]:mm")</f>
        <v>0:40</v>
      </c>
      <c r="L2321" s="4" t="s">
        <v>36</v>
      </c>
      <c r="O2321" t="str">
        <f>"LIM-"&amp;G2320&amp;"-LIM   LA "&amp;E2320&amp;" ("&amp;LEFT(H2320,5)&amp;"-"&amp;LEFT(I2320,5)&amp;" hrs)  /  LA "&amp;E2321&amp;" ("&amp;LEFT(H2321,5)&amp;"-"&amp;LEFT(I2321,5)&amp;" hrs)"</f>
        <v>LIM-AQP-LIM   LA 2113 (15:05-16:35 hrs)  /  LA 2112 (17:15-18:50 hrs)</v>
      </c>
    </row>
    <row r="2322" spans="2:24" x14ac:dyDescent="0.25">
      <c r="J2322" s="7" t="s">
        <v>43</v>
      </c>
      <c r="K2322" s="8" t="str">
        <f>TEXT(TIMEVALUE(I2321)-TIMEVALUE(H2320)+(I2321&lt;H2320),"[h]:mm")</f>
        <v>3:45</v>
      </c>
    </row>
    <row r="2324" spans="2:24" ht="30" x14ac:dyDescent="0.25">
      <c r="B2324" s="3" t="s">
        <v>9</v>
      </c>
      <c r="C2324" s="3" t="s">
        <v>17</v>
      </c>
      <c r="D2324" s="3" t="s">
        <v>18</v>
      </c>
      <c r="E2324" s="3" t="s">
        <v>19</v>
      </c>
      <c r="F2324" s="3" t="s">
        <v>20</v>
      </c>
      <c r="G2324" s="3" t="s">
        <v>21</v>
      </c>
      <c r="H2324" s="3" t="s">
        <v>22</v>
      </c>
      <c r="I2324" s="3" t="s">
        <v>23</v>
      </c>
      <c r="J2324" s="3" t="s">
        <v>24</v>
      </c>
      <c r="K2324" s="3" t="s">
        <v>25</v>
      </c>
      <c r="L2324" s="3" t="s">
        <v>26</v>
      </c>
    </row>
    <row r="2325" spans="2:24" ht="30" x14ac:dyDescent="0.25">
      <c r="B2325" s="4">
        <v>2151</v>
      </c>
      <c r="C2325" s="4" t="s">
        <v>201</v>
      </c>
      <c r="D2325" s="4" t="s">
        <v>135</v>
      </c>
      <c r="E2325" s="4">
        <v>2360</v>
      </c>
      <c r="F2325" s="4" t="s">
        <v>29</v>
      </c>
      <c r="G2325" s="4" t="s">
        <v>58</v>
      </c>
      <c r="H2325" s="4" t="s">
        <v>89</v>
      </c>
      <c r="I2325" s="4" t="s">
        <v>212</v>
      </c>
      <c r="J2325" s="4">
        <v>320</v>
      </c>
      <c r="L2325" s="4" t="s">
        <v>61</v>
      </c>
      <c r="M2325" s="5"/>
      <c r="O2325" s="5"/>
      <c r="Q2325" s="4">
        <f>B2325</f>
        <v>2151</v>
      </c>
      <c r="R2325" s="4" t="str">
        <f>C2325</f>
        <v>25/10/2026</v>
      </c>
      <c r="S2325" s="4" t="str">
        <f>D2325</f>
        <v>domingo</v>
      </c>
      <c r="T2325" s="4" t="str">
        <f>E2325&amp;"/"&amp;E2326</f>
        <v>2360/2361</v>
      </c>
      <c r="U2325" s="4" t="str">
        <f>F2325&amp;"-"&amp;G2325&amp;"-"&amp;F2325</f>
        <v>LIM-PCL-LIM</v>
      </c>
      <c r="V2325" s="4" t="str">
        <f>IF($M$2325="","",$M$2325)</f>
        <v/>
      </c>
      <c r="W2325" s="4" t="str">
        <f>IF($O$2325="","",$O$2325)</f>
        <v/>
      </c>
      <c r="X2325" s="4">
        <f>J2325</f>
        <v>320</v>
      </c>
    </row>
    <row r="2326" spans="2:24" ht="30" x14ac:dyDescent="0.25">
      <c r="B2326" s="4">
        <v>2151</v>
      </c>
      <c r="C2326" s="4" t="s">
        <v>201</v>
      </c>
      <c r="D2326" s="4" t="s">
        <v>135</v>
      </c>
      <c r="E2326" s="4">
        <v>2361</v>
      </c>
      <c r="F2326" s="4" t="s">
        <v>58</v>
      </c>
      <c r="G2326" s="4" t="s">
        <v>29</v>
      </c>
      <c r="H2326" s="4" t="s">
        <v>206</v>
      </c>
      <c r="I2326" s="4" t="s">
        <v>207</v>
      </c>
      <c r="J2326" s="4">
        <v>320</v>
      </c>
      <c r="K2326" t="str">
        <f>TEXT(TIMEVALUE(H2326)-TIMEVALUE(I2325)+(TIMEVALUE(H2326)&lt;TIMEVALUE(I2325)),"[h]:mm")</f>
        <v>0:35</v>
      </c>
      <c r="L2326" s="4" t="s">
        <v>61</v>
      </c>
      <c r="O2326" t="str">
        <f>"LIM-"&amp;G2325&amp;"-LIM   LA "&amp;E2325&amp;" ("&amp;LEFT(H2325,5)&amp;"-"&amp;LEFT(I2325,5)&amp;" hrs)  /  LA "&amp;E2326&amp;" ("&amp;LEFT(H2326,5)&amp;"-"&amp;LEFT(I2326,5)&amp;" hrs)"</f>
        <v>LIM-PCL-LIM   LA 2360 (15:35-16:50 hrs)  /  LA 2361 (17:25-18:40 hrs)</v>
      </c>
    </row>
    <row r="2327" spans="2:24" x14ac:dyDescent="0.25">
      <c r="J2327" s="7" t="s">
        <v>43</v>
      </c>
      <c r="K2327" s="8" t="str">
        <f>TEXT(TIMEVALUE(I2326)-TIMEVALUE(H2325)+(I2326&lt;H2325),"[h]:mm")</f>
        <v>3:05</v>
      </c>
    </row>
    <row r="2329" spans="2:24" ht="30" x14ac:dyDescent="0.25">
      <c r="B2329" s="3" t="s">
        <v>9</v>
      </c>
      <c r="C2329" s="3" t="s">
        <v>17</v>
      </c>
      <c r="D2329" s="3" t="s">
        <v>18</v>
      </c>
      <c r="E2329" s="3" t="s">
        <v>19</v>
      </c>
      <c r="F2329" s="3" t="s">
        <v>20</v>
      </c>
      <c r="G2329" s="3" t="s">
        <v>21</v>
      </c>
      <c r="H2329" s="3" t="s">
        <v>22</v>
      </c>
      <c r="I2329" s="3" t="s">
        <v>23</v>
      </c>
      <c r="J2329" s="3" t="s">
        <v>24</v>
      </c>
      <c r="K2329" s="3" t="s">
        <v>25</v>
      </c>
      <c r="L2329" s="3" t="s">
        <v>26</v>
      </c>
    </row>
    <row r="2330" spans="2:24" ht="30" x14ac:dyDescent="0.25">
      <c r="B2330" s="4">
        <v>2152</v>
      </c>
      <c r="C2330" s="4" t="s">
        <v>201</v>
      </c>
      <c r="D2330" s="4" t="s">
        <v>135</v>
      </c>
      <c r="E2330" s="4">
        <v>2360</v>
      </c>
      <c r="F2330" s="4" t="s">
        <v>29</v>
      </c>
      <c r="G2330" s="4" t="s">
        <v>58</v>
      </c>
      <c r="H2330" s="4" t="s">
        <v>89</v>
      </c>
      <c r="I2330" s="4" t="s">
        <v>212</v>
      </c>
      <c r="J2330" s="4">
        <v>320</v>
      </c>
      <c r="L2330" s="4" t="s">
        <v>61</v>
      </c>
      <c r="M2330" s="5"/>
      <c r="O2330" s="5"/>
      <c r="Q2330" s="4">
        <f>B2330</f>
        <v>2152</v>
      </c>
      <c r="R2330" s="4" t="str">
        <f>C2330</f>
        <v>25/10/2026</v>
      </c>
      <c r="S2330" s="4" t="str">
        <f>D2330</f>
        <v>domingo</v>
      </c>
      <c r="T2330" s="4" t="str">
        <f>E2330&amp;"/"&amp;E2331</f>
        <v>2360/2361</v>
      </c>
      <c r="U2330" s="4" t="str">
        <f>F2330&amp;"-"&amp;G2330&amp;"-"&amp;F2330</f>
        <v>LIM-PCL-LIM</v>
      </c>
      <c r="V2330" s="4" t="str">
        <f>IF($M$2330="","",$M$2330)</f>
        <v/>
      </c>
      <c r="W2330" s="4" t="str">
        <f>IF($O$2330="","",$O$2330)</f>
        <v/>
      </c>
      <c r="X2330" s="4">
        <f>J2330</f>
        <v>320</v>
      </c>
    </row>
    <row r="2331" spans="2:24" ht="30" x14ac:dyDescent="0.25">
      <c r="B2331" s="4">
        <v>2152</v>
      </c>
      <c r="C2331" s="4" t="s">
        <v>201</v>
      </c>
      <c r="D2331" s="4" t="s">
        <v>135</v>
      </c>
      <c r="E2331" s="4">
        <v>2361</v>
      </c>
      <c r="F2331" s="4" t="s">
        <v>58</v>
      </c>
      <c r="G2331" s="4" t="s">
        <v>29</v>
      </c>
      <c r="H2331" s="4" t="s">
        <v>206</v>
      </c>
      <c r="I2331" s="4" t="s">
        <v>207</v>
      </c>
      <c r="J2331" s="4">
        <v>320</v>
      </c>
      <c r="K2331" t="str">
        <f>TEXT(TIMEVALUE(H2331)-TIMEVALUE(I2330)+(TIMEVALUE(H2331)&lt;TIMEVALUE(I2330)),"[h]:mm")</f>
        <v>0:35</v>
      </c>
      <c r="L2331" s="4" t="s">
        <v>61</v>
      </c>
      <c r="O2331" t="str">
        <f>"LIM-"&amp;G2330&amp;"-LIM   LA "&amp;E2330&amp;" ("&amp;LEFT(H2330,5)&amp;"-"&amp;LEFT(I2330,5)&amp;" hrs)  /  LA "&amp;E2331&amp;" ("&amp;LEFT(H2331,5)&amp;"-"&amp;LEFT(I2331,5)&amp;" hrs)"</f>
        <v>LIM-PCL-LIM   LA 2360 (15:35-16:50 hrs)  /  LA 2361 (17:25-18:40 hrs)</v>
      </c>
    </row>
    <row r="2332" spans="2:24" x14ac:dyDescent="0.25">
      <c r="J2332" s="7" t="s">
        <v>43</v>
      </c>
      <c r="K2332" s="8" t="str">
        <f>TEXT(TIMEVALUE(I2331)-TIMEVALUE(H2330)+(I2331&lt;H2330),"[h]:mm")</f>
        <v>3:05</v>
      </c>
    </row>
    <row r="2334" spans="2:24" ht="30" x14ac:dyDescent="0.25">
      <c r="B2334" s="3" t="s">
        <v>9</v>
      </c>
      <c r="C2334" s="3" t="s">
        <v>17</v>
      </c>
      <c r="D2334" s="3" t="s">
        <v>18</v>
      </c>
      <c r="E2334" s="3" t="s">
        <v>19</v>
      </c>
      <c r="F2334" s="3" t="s">
        <v>20</v>
      </c>
      <c r="G2334" s="3" t="s">
        <v>21</v>
      </c>
      <c r="H2334" s="3" t="s">
        <v>22</v>
      </c>
      <c r="I2334" s="3" t="s">
        <v>23</v>
      </c>
      <c r="J2334" s="3" t="s">
        <v>24</v>
      </c>
      <c r="K2334" s="3" t="s">
        <v>25</v>
      </c>
      <c r="L2334" s="3" t="s">
        <v>26</v>
      </c>
    </row>
    <row r="2335" spans="2:24" ht="30" x14ac:dyDescent="0.25">
      <c r="B2335" s="4">
        <v>2153</v>
      </c>
      <c r="C2335" s="4" t="s">
        <v>201</v>
      </c>
      <c r="D2335" s="4" t="s">
        <v>135</v>
      </c>
      <c r="E2335" s="4">
        <v>2312</v>
      </c>
      <c r="F2335" s="4" t="s">
        <v>29</v>
      </c>
      <c r="G2335" s="4" t="s">
        <v>37</v>
      </c>
      <c r="H2335" s="4" t="s">
        <v>89</v>
      </c>
      <c r="I2335" s="4" t="s">
        <v>77</v>
      </c>
      <c r="J2335" s="4">
        <v>320</v>
      </c>
      <c r="L2335" s="4" t="s">
        <v>40</v>
      </c>
      <c r="M2335" s="5"/>
      <c r="O2335" s="5"/>
      <c r="Q2335" s="4">
        <f>B2335</f>
        <v>2153</v>
      </c>
      <c r="R2335" s="4" t="str">
        <f>C2335</f>
        <v>25/10/2026</v>
      </c>
      <c r="S2335" s="4" t="str">
        <f>D2335</f>
        <v>domingo</v>
      </c>
      <c r="T2335" s="4" t="str">
        <f>E2335&amp;"/"&amp;E2336</f>
        <v>2312/2313</v>
      </c>
      <c r="U2335" s="4" t="str">
        <f>F2335&amp;"-"&amp;G2335&amp;"-"&amp;F2335</f>
        <v>LIM-CIX-LIM</v>
      </c>
      <c r="V2335" s="4" t="str">
        <f>IF($M$2335="","",$M$2335)</f>
        <v/>
      </c>
      <c r="W2335" s="4" t="str">
        <f>IF($O$2335="","",$O$2335)</f>
        <v/>
      </c>
      <c r="X2335" s="4">
        <f>J2335</f>
        <v>320</v>
      </c>
    </row>
    <row r="2336" spans="2:24" ht="30" x14ac:dyDescent="0.25">
      <c r="B2336" s="4">
        <v>2153</v>
      </c>
      <c r="C2336" s="4" t="s">
        <v>201</v>
      </c>
      <c r="D2336" s="4" t="s">
        <v>135</v>
      </c>
      <c r="E2336" s="4">
        <v>2313</v>
      </c>
      <c r="F2336" s="4" t="s">
        <v>37</v>
      </c>
      <c r="G2336" s="4" t="s">
        <v>29</v>
      </c>
      <c r="H2336" s="4" t="s">
        <v>181</v>
      </c>
      <c r="I2336" s="4" t="s">
        <v>213</v>
      </c>
      <c r="J2336" s="4">
        <v>320</v>
      </c>
      <c r="K2336" t="str">
        <f>TEXT(TIMEVALUE(H2336)-TIMEVALUE(I2335)+(TIMEVALUE(H2336)&lt;TIMEVALUE(I2335)),"[h]:mm")</f>
        <v>0:40</v>
      </c>
      <c r="L2336" s="4" t="s">
        <v>33</v>
      </c>
      <c r="O2336" t="str">
        <f>"LIM-"&amp;G2335&amp;"-LIM   LA "&amp;E2335&amp;" ("&amp;LEFT(H2335,5)&amp;"-"&amp;LEFT(I2335,5)&amp;" hrs)  /  LA "&amp;E2336&amp;" ("&amp;LEFT(H2336,5)&amp;"-"&amp;LEFT(I2336,5)&amp;" hrs)"</f>
        <v>LIM-CIX-LIM   LA 2312 (15:35-17:05 hrs)  /  LA 2313 (17:45-19:05 hrs)</v>
      </c>
    </row>
    <row r="2337" spans="2:24" x14ac:dyDescent="0.25">
      <c r="J2337" s="7" t="s">
        <v>43</v>
      </c>
      <c r="K2337" s="8" t="str">
        <f>TEXT(TIMEVALUE(I2336)-TIMEVALUE(H2335)+(I2336&lt;H2335),"[h]:mm")</f>
        <v>3:30</v>
      </c>
    </row>
    <row r="2339" spans="2:24" ht="30" x14ac:dyDescent="0.25">
      <c r="B2339" s="3" t="s">
        <v>9</v>
      </c>
      <c r="C2339" s="3" t="s">
        <v>17</v>
      </c>
      <c r="D2339" s="3" t="s">
        <v>18</v>
      </c>
      <c r="E2339" s="3" t="s">
        <v>19</v>
      </c>
      <c r="F2339" s="3" t="s">
        <v>20</v>
      </c>
      <c r="G2339" s="3" t="s">
        <v>21</v>
      </c>
      <c r="H2339" s="3" t="s">
        <v>22</v>
      </c>
      <c r="I2339" s="3" t="s">
        <v>23</v>
      </c>
      <c r="J2339" s="3" t="s">
        <v>24</v>
      </c>
      <c r="K2339" s="3" t="s">
        <v>25</v>
      </c>
      <c r="L2339" s="3" t="s">
        <v>26</v>
      </c>
    </row>
    <row r="2340" spans="2:24" ht="30" x14ac:dyDescent="0.25">
      <c r="B2340" s="4">
        <v>2155</v>
      </c>
      <c r="C2340" s="4" t="s">
        <v>201</v>
      </c>
      <c r="D2340" s="4" t="s">
        <v>135</v>
      </c>
      <c r="E2340" s="4">
        <v>2301</v>
      </c>
      <c r="F2340" s="4" t="s">
        <v>29</v>
      </c>
      <c r="G2340" s="4" t="s">
        <v>91</v>
      </c>
      <c r="H2340" s="4" t="s">
        <v>41</v>
      </c>
      <c r="I2340" s="4" t="s">
        <v>53</v>
      </c>
      <c r="J2340" s="4">
        <v>320</v>
      </c>
      <c r="L2340" s="4" t="s">
        <v>93</v>
      </c>
      <c r="M2340" s="5"/>
      <c r="O2340" s="5"/>
      <c r="Q2340" s="4">
        <f>B2340</f>
        <v>2155</v>
      </c>
      <c r="R2340" s="4" t="str">
        <f>C2340</f>
        <v>25/10/2026</v>
      </c>
      <c r="S2340" s="4" t="str">
        <f>D2340</f>
        <v>domingo</v>
      </c>
      <c r="T2340" s="4" t="str">
        <f>E2340&amp;"/"&amp;E2341</f>
        <v>2301/2300</v>
      </c>
      <c r="U2340" s="4" t="str">
        <f>F2340&amp;"-"&amp;G2340&amp;"-"&amp;F2340</f>
        <v>LIM-TPP-LIM</v>
      </c>
      <c r="V2340" s="4" t="str">
        <f>IF($M$2340="","",$M$2340)</f>
        <v/>
      </c>
      <c r="W2340" s="4" t="str">
        <f>IF($O$2340="","",$O$2340)</f>
        <v/>
      </c>
      <c r="X2340" s="4">
        <f>J2340</f>
        <v>320</v>
      </c>
    </row>
    <row r="2341" spans="2:24" ht="30" x14ac:dyDescent="0.25">
      <c r="B2341" s="4">
        <v>2155</v>
      </c>
      <c r="C2341" s="4" t="s">
        <v>201</v>
      </c>
      <c r="D2341" s="4" t="s">
        <v>135</v>
      </c>
      <c r="E2341" s="4">
        <v>2300</v>
      </c>
      <c r="F2341" s="4" t="s">
        <v>91</v>
      </c>
      <c r="G2341" s="4" t="s">
        <v>29</v>
      </c>
      <c r="H2341" s="4" t="s">
        <v>111</v>
      </c>
      <c r="I2341" s="4" t="s">
        <v>79</v>
      </c>
      <c r="J2341" s="4">
        <v>320</v>
      </c>
      <c r="K2341" t="str">
        <f>TEXT(TIMEVALUE(H2341)-TIMEVALUE(I2340)+(TIMEVALUE(H2341)&lt;TIMEVALUE(I2340)),"[h]:mm")</f>
        <v>0:55</v>
      </c>
      <c r="L2341" s="4" t="s">
        <v>93</v>
      </c>
      <c r="O2341" t="str">
        <f>"LIM-"&amp;G2340&amp;"-LIM   LA "&amp;E2340&amp;" ("&amp;LEFT(H2340,5)&amp;"-"&amp;LEFT(I2340,5)&amp;" hrs)  /  LA "&amp;E2341&amp;" ("&amp;LEFT(H2341,5)&amp;"-"&amp;LEFT(I2341,5)&amp;" hrs)"</f>
        <v>LIM-TPP-LIM   LA 2301 (15:55-17:20 hrs)  /  LA 2300 (18:15-19:40 hrs)</v>
      </c>
    </row>
    <row r="2342" spans="2:24" x14ac:dyDescent="0.25">
      <c r="J2342" s="7" t="s">
        <v>43</v>
      </c>
      <c r="K2342" s="8" t="str">
        <f>TEXT(TIMEVALUE(I2341)-TIMEVALUE(H2340)+(I2341&lt;H2340),"[h]:mm")</f>
        <v>3:45</v>
      </c>
    </row>
    <row r="2344" spans="2:24" ht="30" x14ac:dyDescent="0.25">
      <c r="B2344" s="3" t="s">
        <v>9</v>
      </c>
      <c r="C2344" s="3" t="s">
        <v>17</v>
      </c>
      <c r="D2344" s="3" t="s">
        <v>18</v>
      </c>
      <c r="E2344" s="3" t="s">
        <v>19</v>
      </c>
      <c r="F2344" s="3" t="s">
        <v>20</v>
      </c>
      <c r="G2344" s="3" t="s">
        <v>21</v>
      </c>
      <c r="H2344" s="3" t="s">
        <v>22</v>
      </c>
      <c r="I2344" s="3" t="s">
        <v>23</v>
      </c>
      <c r="J2344" s="3" t="s">
        <v>24</v>
      </c>
      <c r="K2344" s="3" t="s">
        <v>25</v>
      </c>
      <c r="L2344" s="3" t="s">
        <v>26</v>
      </c>
    </row>
    <row r="2345" spans="2:24" ht="30" x14ac:dyDescent="0.25">
      <c r="B2345" s="4">
        <v>2156</v>
      </c>
      <c r="C2345" s="4" t="s">
        <v>201</v>
      </c>
      <c r="D2345" s="4" t="s">
        <v>135</v>
      </c>
      <c r="E2345" s="4">
        <v>2301</v>
      </c>
      <c r="F2345" s="4" t="s">
        <v>29</v>
      </c>
      <c r="G2345" s="4" t="s">
        <v>91</v>
      </c>
      <c r="H2345" s="4" t="s">
        <v>41</v>
      </c>
      <c r="I2345" s="4" t="s">
        <v>53</v>
      </c>
      <c r="J2345" s="4">
        <v>320</v>
      </c>
      <c r="L2345" s="4" t="s">
        <v>93</v>
      </c>
      <c r="M2345" s="5"/>
      <c r="O2345" s="5"/>
      <c r="Q2345" s="4">
        <f>B2345</f>
        <v>2156</v>
      </c>
      <c r="R2345" s="4" t="str">
        <f>C2345</f>
        <v>25/10/2026</v>
      </c>
      <c r="S2345" s="4" t="str">
        <f>D2345</f>
        <v>domingo</v>
      </c>
      <c r="T2345" s="4" t="str">
        <f>E2345&amp;"/"&amp;E2346</f>
        <v>2301/2300</v>
      </c>
      <c r="U2345" s="4" t="str">
        <f>F2345&amp;"-"&amp;G2345&amp;"-"&amp;F2345</f>
        <v>LIM-TPP-LIM</v>
      </c>
      <c r="V2345" s="4" t="str">
        <f>IF($M$2345="","",$M$2345)</f>
        <v/>
      </c>
      <c r="W2345" s="4" t="str">
        <f>IF($O$2345="","",$O$2345)</f>
        <v/>
      </c>
      <c r="X2345" s="4">
        <f>J2345</f>
        <v>320</v>
      </c>
    </row>
    <row r="2346" spans="2:24" ht="30" x14ac:dyDescent="0.25">
      <c r="B2346" s="4">
        <v>2156</v>
      </c>
      <c r="C2346" s="4" t="s">
        <v>201</v>
      </c>
      <c r="D2346" s="4" t="s">
        <v>135</v>
      </c>
      <c r="E2346" s="4">
        <v>2300</v>
      </c>
      <c r="F2346" s="4" t="s">
        <v>91</v>
      </c>
      <c r="G2346" s="4" t="s">
        <v>29</v>
      </c>
      <c r="H2346" s="4" t="s">
        <v>111</v>
      </c>
      <c r="I2346" s="4" t="s">
        <v>79</v>
      </c>
      <c r="J2346" s="4">
        <v>320</v>
      </c>
      <c r="K2346" t="str">
        <f>TEXT(TIMEVALUE(H2346)-TIMEVALUE(I2345)+(TIMEVALUE(H2346)&lt;TIMEVALUE(I2345)),"[h]:mm")</f>
        <v>0:55</v>
      </c>
      <c r="L2346" s="4" t="s">
        <v>93</v>
      </c>
      <c r="O2346" t="str">
        <f>"LIM-"&amp;G2345&amp;"-LIM   LA "&amp;E2345&amp;" ("&amp;LEFT(H2345,5)&amp;"-"&amp;LEFT(I2345,5)&amp;" hrs)  /  LA "&amp;E2346&amp;" ("&amp;LEFT(H2346,5)&amp;"-"&amp;LEFT(I2346,5)&amp;" hrs)"</f>
        <v>LIM-TPP-LIM   LA 2301 (15:55-17:20 hrs)  /  LA 2300 (18:15-19:40 hrs)</v>
      </c>
    </row>
    <row r="2347" spans="2:24" x14ac:dyDescent="0.25">
      <c r="J2347" s="7" t="s">
        <v>43</v>
      </c>
      <c r="K2347" s="8" t="str">
        <f>TEXT(TIMEVALUE(I2346)-TIMEVALUE(H2345)+(I2346&lt;H2345),"[h]:mm")</f>
        <v>3:45</v>
      </c>
    </row>
    <row r="2349" spans="2:24" ht="30" x14ac:dyDescent="0.25">
      <c r="B2349" s="3" t="s">
        <v>9</v>
      </c>
      <c r="C2349" s="3" t="s">
        <v>17</v>
      </c>
      <c r="D2349" s="3" t="s">
        <v>18</v>
      </c>
      <c r="E2349" s="3" t="s">
        <v>19</v>
      </c>
      <c r="F2349" s="3" t="s">
        <v>20</v>
      </c>
      <c r="G2349" s="3" t="s">
        <v>21</v>
      </c>
      <c r="H2349" s="3" t="s">
        <v>22</v>
      </c>
      <c r="I2349" s="3" t="s">
        <v>23</v>
      </c>
      <c r="J2349" s="3" t="s">
        <v>24</v>
      </c>
      <c r="K2349" s="3" t="s">
        <v>25</v>
      </c>
      <c r="L2349" s="3" t="s">
        <v>26</v>
      </c>
    </row>
    <row r="2350" spans="2:24" ht="30" x14ac:dyDescent="0.25">
      <c r="B2350" s="4">
        <v>2158</v>
      </c>
      <c r="C2350" s="4" t="s">
        <v>201</v>
      </c>
      <c r="D2350" s="4" t="s">
        <v>135</v>
      </c>
      <c r="E2350" s="4">
        <v>2213</v>
      </c>
      <c r="F2350" s="4" t="s">
        <v>29</v>
      </c>
      <c r="G2350" s="4" t="s">
        <v>37</v>
      </c>
      <c r="H2350" s="4" t="s">
        <v>53</v>
      </c>
      <c r="I2350" s="4" t="s">
        <v>127</v>
      </c>
      <c r="J2350" s="4">
        <v>320</v>
      </c>
      <c r="L2350" s="4" t="s">
        <v>40</v>
      </c>
      <c r="M2350" s="5"/>
      <c r="O2350" s="5"/>
      <c r="Q2350" s="4">
        <f>B2350</f>
        <v>2158</v>
      </c>
      <c r="R2350" s="4" t="str">
        <f>C2350</f>
        <v>25/10/2026</v>
      </c>
      <c r="S2350" s="4" t="str">
        <f>D2350</f>
        <v>domingo</v>
      </c>
      <c r="T2350" s="4" t="str">
        <f>E2350&amp;"/"&amp;E2351</f>
        <v>2213/2214</v>
      </c>
      <c r="U2350" s="4" t="str">
        <f>F2350&amp;"-"&amp;G2350&amp;"-"&amp;F2350</f>
        <v>LIM-CIX-LIM</v>
      </c>
      <c r="V2350" s="4" t="str">
        <f>IF($M$2350="","",$M$2350)</f>
        <v/>
      </c>
      <c r="W2350" s="4" t="str">
        <f>IF($O$2350="","",$O$2350)</f>
        <v/>
      </c>
      <c r="X2350" s="4">
        <f>J2350</f>
        <v>320</v>
      </c>
    </row>
    <row r="2351" spans="2:24" ht="30" x14ac:dyDescent="0.25">
      <c r="B2351" s="4">
        <v>2158</v>
      </c>
      <c r="C2351" s="4" t="s">
        <v>201</v>
      </c>
      <c r="D2351" s="4" t="s">
        <v>135</v>
      </c>
      <c r="E2351" s="4">
        <v>2214</v>
      </c>
      <c r="F2351" s="4" t="s">
        <v>37</v>
      </c>
      <c r="G2351" s="4" t="s">
        <v>29</v>
      </c>
      <c r="H2351" s="4" t="s">
        <v>128</v>
      </c>
      <c r="I2351" s="4" t="s">
        <v>193</v>
      </c>
      <c r="J2351" s="4">
        <v>320</v>
      </c>
      <c r="K2351" t="str">
        <f>TEXT(TIMEVALUE(H2351)-TIMEVALUE(I2350)+(TIMEVALUE(H2351)&lt;TIMEVALUE(I2350)),"[h]:mm")</f>
        <v>0:35</v>
      </c>
      <c r="L2351" s="4" t="s">
        <v>33</v>
      </c>
      <c r="O2351" t="str">
        <f>"LIM-"&amp;G2350&amp;"-LIM   LA "&amp;E2350&amp;" ("&amp;LEFT(H2350,5)&amp;"-"&amp;LEFT(I2350,5)&amp;" hrs)  /  LA "&amp;E2351&amp;" ("&amp;LEFT(H2351,5)&amp;"-"&amp;LEFT(I2351,5)&amp;" hrs)"</f>
        <v>LIM-CIX-LIM   LA 2213 (17:20-18:50 hrs)  /  LA 2214 (19:25-20:45 hrs)</v>
      </c>
    </row>
    <row r="2352" spans="2:24" x14ac:dyDescent="0.25">
      <c r="J2352" s="7" t="s">
        <v>43</v>
      </c>
      <c r="K2352" s="8" t="str">
        <f>TEXT(TIMEVALUE(I2351)-TIMEVALUE(H2350)+(I2351&lt;H2350),"[h]:mm")</f>
        <v>3:25</v>
      </c>
    </row>
    <row r="2354" spans="2:24" ht="30" x14ac:dyDescent="0.25">
      <c r="B2354" s="3" t="s">
        <v>9</v>
      </c>
      <c r="C2354" s="3" t="s">
        <v>17</v>
      </c>
      <c r="D2354" s="3" t="s">
        <v>18</v>
      </c>
      <c r="E2354" s="3" t="s">
        <v>19</v>
      </c>
      <c r="F2354" s="3" t="s">
        <v>20</v>
      </c>
      <c r="G2354" s="3" t="s">
        <v>21</v>
      </c>
      <c r="H2354" s="3" t="s">
        <v>22</v>
      </c>
      <c r="I2354" s="3" t="s">
        <v>23</v>
      </c>
      <c r="J2354" s="3" t="s">
        <v>24</v>
      </c>
      <c r="K2354" s="3" t="s">
        <v>25</v>
      </c>
      <c r="L2354" s="3" t="s">
        <v>26</v>
      </c>
    </row>
    <row r="2355" spans="2:24" ht="30" x14ac:dyDescent="0.25">
      <c r="B2355" s="4">
        <v>2159</v>
      </c>
      <c r="C2355" s="4" t="s">
        <v>201</v>
      </c>
      <c r="D2355" s="4" t="s">
        <v>135</v>
      </c>
      <c r="E2355" s="4">
        <v>2236</v>
      </c>
      <c r="F2355" s="4" t="s">
        <v>29</v>
      </c>
      <c r="G2355" s="4" t="s">
        <v>125</v>
      </c>
      <c r="H2355" s="4" t="s">
        <v>84</v>
      </c>
      <c r="I2355" s="4" t="s">
        <v>105</v>
      </c>
      <c r="J2355" s="4">
        <v>319</v>
      </c>
      <c r="L2355" s="4" t="s">
        <v>71</v>
      </c>
      <c r="M2355" s="5"/>
      <c r="O2355" s="5"/>
      <c r="Q2355" s="4">
        <f>B2355</f>
        <v>2159</v>
      </c>
      <c r="R2355" s="4" t="str">
        <f>C2355</f>
        <v>25/10/2026</v>
      </c>
      <c r="S2355" s="4" t="str">
        <f>D2355</f>
        <v>domingo</v>
      </c>
      <c r="T2355" s="4" t="str">
        <f>E2355&amp;"/"&amp;E2356</f>
        <v>2236/2237</v>
      </c>
      <c r="U2355" s="4" t="str">
        <f>F2355&amp;"-"&amp;G2355&amp;"-"&amp;F2355</f>
        <v>LIM-PIU-LIM</v>
      </c>
      <c r="V2355" s="4" t="str">
        <f>IF($M$2355="","",$M$2355)</f>
        <v/>
      </c>
      <c r="W2355" s="4" t="str">
        <f>IF($O$2355="","",$O$2355)</f>
        <v/>
      </c>
      <c r="X2355" s="4">
        <f>J2355</f>
        <v>319</v>
      </c>
    </row>
    <row r="2356" spans="2:24" ht="30" x14ac:dyDescent="0.25">
      <c r="B2356" s="4">
        <v>2159</v>
      </c>
      <c r="C2356" s="4" t="s">
        <v>201</v>
      </c>
      <c r="D2356" s="4" t="s">
        <v>135</v>
      </c>
      <c r="E2356" s="4">
        <v>2237</v>
      </c>
      <c r="F2356" s="4" t="s">
        <v>125</v>
      </c>
      <c r="G2356" s="4" t="s">
        <v>29</v>
      </c>
      <c r="H2356" s="4" t="s">
        <v>122</v>
      </c>
      <c r="I2356" s="4" t="s">
        <v>114</v>
      </c>
      <c r="J2356" s="4">
        <v>319</v>
      </c>
      <c r="K2356" t="str">
        <f>TEXT(TIMEVALUE(H2356)-TIMEVALUE(I2355)+(TIMEVALUE(H2356)&lt;TIMEVALUE(I2355)),"[h]:mm")</f>
        <v>0:40</v>
      </c>
      <c r="L2356" s="4" t="s">
        <v>36</v>
      </c>
      <c r="O2356" t="str">
        <f>"LIM-"&amp;G2355&amp;"-LIM   LA "&amp;E2355&amp;" ("&amp;LEFT(H2355,5)&amp;"-"&amp;LEFT(I2355,5)&amp;" hrs)  /  LA "&amp;E2356&amp;" ("&amp;LEFT(H2356,5)&amp;"-"&amp;LEFT(I2356,5)&amp;" hrs)"</f>
        <v>LIM-PIU-LIM   LA 2236 (17:50-19:30 hrs)  /  LA 2237 (20:10-21:45 hrs)</v>
      </c>
    </row>
    <row r="2357" spans="2:24" x14ac:dyDescent="0.25">
      <c r="J2357" s="7" t="s">
        <v>43</v>
      </c>
      <c r="K2357" s="8" t="str">
        <f>TEXT(TIMEVALUE(I2356)-TIMEVALUE(H2355)+(I2356&lt;H2355),"[h]:mm")</f>
        <v>3:55</v>
      </c>
    </row>
    <row r="2359" spans="2:24" ht="30" x14ac:dyDescent="0.25">
      <c r="B2359" s="3" t="s">
        <v>9</v>
      </c>
      <c r="C2359" s="3" t="s">
        <v>17</v>
      </c>
      <c r="D2359" s="3" t="s">
        <v>18</v>
      </c>
      <c r="E2359" s="3" t="s">
        <v>19</v>
      </c>
      <c r="F2359" s="3" t="s">
        <v>20</v>
      </c>
      <c r="G2359" s="3" t="s">
        <v>21</v>
      </c>
      <c r="H2359" s="3" t="s">
        <v>22</v>
      </c>
      <c r="I2359" s="3" t="s">
        <v>23</v>
      </c>
      <c r="J2359" s="3" t="s">
        <v>24</v>
      </c>
      <c r="K2359" s="3" t="s">
        <v>25</v>
      </c>
      <c r="L2359" s="3" t="s">
        <v>26</v>
      </c>
    </row>
    <row r="2360" spans="2:24" ht="30" x14ac:dyDescent="0.25">
      <c r="B2360" s="4">
        <v>2160</v>
      </c>
      <c r="C2360" s="4" t="s">
        <v>201</v>
      </c>
      <c r="D2360" s="4" t="s">
        <v>135</v>
      </c>
      <c r="E2360" s="4">
        <v>2326</v>
      </c>
      <c r="F2360" s="4" t="s">
        <v>29</v>
      </c>
      <c r="G2360" s="4" t="s">
        <v>56</v>
      </c>
      <c r="H2360" s="4" t="s">
        <v>94</v>
      </c>
      <c r="I2360" s="4" t="s">
        <v>193</v>
      </c>
      <c r="J2360" s="4">
        <v>320</v>
      </c>
      <c r="L2360" s="4" t="s">
        <v>40</v>
      </c>
      <c r="M2360" s="5"/>
      <c r="O2360" s="5"/>
      <c r="Q2360" s="4">
        <f>B2360</f>
        <v>2160</v>
      </c>
      <c r="R2360" s="4" t="str">
        <f>C2360</f>
        <v>25/10/2026</v>
      </c>
      <c r="S2360" s="4" t="str">
        <f>D2360</f>
        <v>domingo</v>
      </c>
      <c r="T2360" s="4" t="str">
        <f>E2360&amp;"/"&amp;E2361</f>
        <v>2326/2012</v>
      </c>
      <c r="U2360" s="4" t="str">
        <f>F2360&amp;"-"&amp;G2360&amp;"-"&amp;F2360</f>
        <v>LIM-AQP-LIM</v>
      </c>
      <c r="V2360" s="4" t="str">
        <f>IF($M$2360="","",$M$2360)</f>
        <v/>
      </c>
      <c r="W2360" s="4" t="str">
        <f>IF($O$2360="","",$O$2360)</f>
        <v/>
      </c>
      <c r="X2360" s="4">
        <f>J2360</f>
        <v>320</v>
      </c>
    </row>
    <row r="2361" spans="2:24" ht="30" x14ac:dyDescent="0.25">
      <c r="B2361" s="4">
        <v>2160</v>
      </c>
      <c r="C2361" s="4" t="s">
        <v>201</v>
      </c>
      <c r="D2361" s="4" t="s">
        <v>135</v>
      </c>
      <c r="E2361" s="4">
        <v>2012</v>
      </c>
      <c r="F2361" s="4" t="s">
        <v>56</v>
      </c>
      <c r="G2361" s="4" t="s">
        <v>29</v>
      </c>
      <c r="H2361" s="4" t="s">
        <v>80</v>
      </c>
      <c r="I2361" s="4" t="s">
        <v>200</v>
      </c>
      <c r="J2361" s="4">
        <v>320</v>
      </c>
      <c r="K2361" t="str">
        <f>TEXT(TIMEVALUE(H2361)-TIMEVALUE(I2360)+(TIMEVALUE(H2361)&lt;TIMEVALUE(I2360)),"[h]:mm")</f>
        <v>0:35</v>
      </c>
      <c r="L2361" s="4" t="s">
        <v>71</v>
      </c>
      <c r="O2361" t="str">
        <f>"LIM-"&amp;G2360&amp;"-LIM   LA "&amp;E2360&amp;" ("&amp;LEFT(H2360,5)&amp;"-"&amp;LEFT(I2360,5)&amp;" hrs)  /  LA "&amp;E2361&amp;" ("&amp;LEFT(H2361,5)&amp;"-"&amp;LEFT(I2361,5)&amp;" hrs)"</f>
        <v>LIM-AQP-LIM   LA 2326 (19:15-20:45 hrs)  /  LA 2012 (21:20-23:00 hrs)</v>
      </c>
    </row>
    <row r="2362" spans="2:24" x14ac:dyDescent="0.25">
      <c r="J2362" s="7" t="s">
        <v>43</v>
      </c>
      <c r="K2362" s="8" t="str">
        <f>TEXT(TIMEVALUE(I2361)-TIMEVALUE(H2360)+(I2361&lt;H2360),"[h]:mm")</f>
        <v>3:45</v>
      </c>
    </row>
    <row r="2364" spans="2:24" ht="30" x14ac:dyDescent="0.25">
      <c r="B2364" s="3" t="s">
        <v>9</v>
      </c>
      <c r="C2364" s="3" t="s">
        <v>17</v>
      </c>
      <c r="D2364" s="3" t="s">
        <v>18</v>
      </c>
      <c r="E2364" s="3" t="s">
        <v>19</v>
      </c>
      <c r="F2364" s="3" t="s">
        <v>20</v>
      </c>
      <c r="G2364" s="3" t="s">
        <v>21</v>
      </c>
      <c r="H2364" s="3" t="s">
        <v>22</v>
      </c>
      <c r="I2364" s="3" t="s">
        <v>23</v>
      </c>
      <c r="J2364" s="3" t="s">
        <v>24</v>
      </c>
      <c r="K2364" s="3" t="s">
        <v>25</v>
      </c>
      <c r="L2364" s="3" t="s">
        <v>26</v>
      </c>
    </row>
    <row r="2365" spans="2:24" ht="30" x14ac:dyDescent="0.25">
      <c r="B2365" s="4">
        <v>2218</v>
      </c>
      <c r="C2365" s="4" t="s">
        <v>214</v>
      </c>
      <c r="D2365" s="4" t="s">
        <v>138</v>
      </c>
      <c r="E2365" s="4">
        <v>2299</v>
      </c>
      <c r="F2365" s="4" t="s">
        <v>29</v>
      </c>
      <c r="G2365" s="4" t="s">
        <v>50</v>
      </c>
      <c r="H2365" s="4" t="s">
        <v>141</v>
      </c>
      <c r="I2365" s="4" t="s">
        <v>35</v>
      </c>
      <c r="J2365" s="4">
        <v>320</v>
      </c>
      <c r="L2365" s="4" t="s">
        <v>93</v>
      </c>
      <c r="M2365" s="5"/>
      <c r="O2365" s="5"/>
      <c r="Q2365" s="4">
        <f>B2365</f>
        <v>2218</v>
      </c>
      <c r="R2365" s="4" t="str">
        <f>C2365</f>
        <v>26/10/2026</v>
      </c>
      <c r="S2365" s="4" t="str">
        <f>D2365</f>
        <v>lunes</v>
      </c>
      <c r="T2365" s="4" t="str">
        <f>E2365&amp;"/"&amp;E2366</f>
        <v>2299/2298</v>
      </c>
      <c r="U2365" s="4" t="str">
        <f>F2365&amp;"-"&amp;G2365&amp;"-"&amp;F2365</f>
        <v>LIM-CJA-LIM</v>
      </c>
      <c r="V2365" s="4" t="str">
        <f>IF($M$2365="","",$M$2365)</f>
        <v/>
      </c>
      <c r="W2365" s="4" t="str">
        <f>IF($O$2365="","",$O$2365)</f>
        <v/>
      </c>
      <c r="X2365" s="4">
        <f>J2365</f>
        <v>320</v>
      </c>
    </row>
    <row r="2366" spans="2:24" ht="30" x14ac:dyDescent="0.25">
      <c r="B2366" s="4">
        <v>2218</v>
      </c>
      <c r="C2366" s="4" t="s">
        <v>214</v>
      </c>
      <c r="D2366" s="4" t="s">
        <v>138</v>
      </c>
      <c r="E2366" s="4">
        <v>2298</v>
      </c>
      <c r="F2366" s="4" t="s">
        <v>50</v>
      </c>
      <c r="G2366" s="4" t="s">
        <v>29</v>
      </c>
      <c r="H2366" s="4" t="s">
        <v>72</v>
      </c>
      <c r="I2366" s="4" t="s">
        <v>73</v>
      </c>
      <c r="J2366" s="4">
        <v>320</v>
      </c>
      <c r="K2366" t="str">
        <f>TEXT(TIMEVALUE(H2366)-TIMEVALUE(I2365)+(TIMEVALUE(H2366)&lt;TIMEVALUE(I2365)),"[h]:mm")</f>
        <v>0:45</v>
      </c>
      <c r="L2366" s="4" t="s">
        <v>74</v>
      </c>
      <c r="O2366" t="str">
        <f>"LIM-"&amp;G2365&amp;"-LIM   LA "&amp;E2365&amp;" ("&amp;LEFT(H2365,5)&amp;"-"&amp;LEFT(I2365,5)&amp;" hrs)  /  LA "&amp;E2366&amp;" ("&amp;LEFT(H2366,5)&amp;"-"&amp;LEFT(I2366,5)&amp;" hrs)"</f>
        <v>LIM-CJA-LIM   LA 2299 (11:30-12:55 hrs)  /  LA 2298 (13:40-14:50 hrs)</v>
      </c>
    </row>
    <row r="2367" spans="2:24" ht="30" x14ac:dyDescent="0.25">
      <c r="B2367" s="4">
        <v>2243</v>
      </c>
      <c r="C2367" s="4" t="s">
        <v>214</v>
      </c>
      <c r="D2367" s="4" t="s">
        <v>138</v>
      </c>
      <c r="E2367" s="4">
        <v>2301</v>
      </c>
      <c r="F2367" s="4" t="s">
        <v>29</v>
      </c>
      <c r="G2367" s="4" t="s">
        <v>91</v>
      </c>
      <c r="H2367" s="4" t="s">
        <v>41</v>
      </c>
      <c r="I2367" s="4" t="s">
        <v>53</v>
      </c>
      <c r="J2367" s="4">
        <v>320</v>
      </c>
      <c r="K2367" s="6" t="str">
        <f>TEXT(TIMEVALUE(H2367)-TIMEVALUE(I2366)+(TIMEVALUE(H2367)&lt;TIMEVALUE(I2366)),"[h]:mm")</f>
        <v>1:05</v>
      </c>
      <c r="L2367" s="4" t="s">
        <v>93</v>
      </c>
      <c r="M2367" t="str">
        <f>IF($M$2365="","",$M$2365)</f>
        <v/>
      </c>
      <c r="O2367" t="str">
        <f>IF($O$2365="","",$O$2365)</f>
        <v/>
      </c>
      <c r="Q2367" s="4">
        <f>B2367</f>
        <v>2243</v>
      </c>
      <c r="R2367" s="4" t="str">
        <f>C2367</f>
        <v>26/10/2026</v>
      </c>
      <c r="S2367" s="4" t="str">
        <f>D2367</f>
        <v>lunes</v>
      </c>
      <c r="T2367" s="4" t="str">
        <f>E2367&amp;"/"&amp;E2368</f>
        <v>2301/2300</v>
      </c>
      <c r="U2367" s="4" t="str">
        <f>F2367&amp;"-"&amp;G2367&amp;"-"&amp;F2367</f>
        <v>LIM-TPP-LIM</v>
      </c>
      <c r="V2367" s="4" t="str">
        <f>IF($M$2365="","",$M$2365)</f>
        <v/>
      </c>
      <c r="W2367" s="4" t="str">
        <f>IF($O$2365="","",$O$2365)</f>
        <v/>
      </c>
      <c r="X2367" s="4">
        <f>J2367</f>
        <v>320</v>
      </c>
    </row>
    <row r="2368" spans="2:24" ht="30" x14ac:dyDescent="0.25">
      <c r="B2368" s="4">
        <v>2243</v>
      </c>
      <c r="C2368" s="4" t="s">
        <v>214</v>
      </c>
      <c r="D2368" s="4" t="s">
        <v>138</v>
      </c>
      <c r="E2368" s="4">
        <v>2300</v>
      </c>
      <c r="F2368" s="4" t="s">
        <v>91</v>
      </c>
      <c r="G2368" s="4" t="s">
        <v>29</v>
      </c>
      <c r="H2368" s="4" t="s">
        <v>111</v>
      </c>
      <c r="I2368" s="4" t="s">
        <v>79</v>
      </c>
      <c r="J2368" s="4">
        <v>320</v>
      </c>
      <c r="K2368" t="str">
        <f>TEXT(TIMEVALUE(H2368)-TIMEVALUE(I2367)+(TIMEVALUE(H2368)&lt;TIMEVALUE(I2367)),"[h]:mm")</f>
        <v>0:55</v>
      </c>
      <c r="L2368" s="4" t="s">
        <v>93</v>
      </c>
      <c r="O2368" t="str">
        <f>"LIM-"&amp;G2367&amp;"-LIM   LA "&amp;E2367&amp;" ("&amp;LEFT(H2367,5)&amp;"-"&amp;LEFT(I2367,5)&amp;" hrs)  /  LA "&amp;E2368&amp;" ("&amp;LEFT(H2368,5)&amp;"-"&amp;LEFT(I2368,5)&amp;" hrs)"</f>
        <v>LIM-TPP-LIM   LA 2301 (15:55-17:20 hrs)  /  LA 2300 (18:15-19:40 hrs)</v>
      </c>
    </row>
    <row r="2369" spans="2:24" x14ac:dyDescent="0.25">
      <c r="J2369" s="7" t="s">
        <v>43</v>
      </c>
      <c r="K2369" s="8" t="str">
        <f>TEXT(TIMEVALUE(I2368)-TIMEVALUE(H2365)+(I2368&lt;H2365),"[h]:mm")</f>
        <v>8:10</v>
      </c>
    </row>
    <row r="2371" spans="2:24" ht="30" x14ac:dyDescent="0.25">
      <c r="B2371" s="3" t="s">
        <v>9</v>
      </c>
      <c r="C2371" s="3" t="s">
        <v>17</v>
      </c>
      <c r="D2371" s="3" t="s">
        <v>18</v>
      </c>
      <c r="E2371" s="3" t="s">
        <v>19</v>
      </c>
      <c r="F2371" s="3" t="s">
        <v>20</v>
      </c>
      <c r="G2371" s="3" t="s">
        <v>21</v>
      </c>
      <c r="H2371" s="3" t="s">
        <v>22</v>
      </c>
      <c r="I2371" s="3" t="s">
        <v>23</v>
      </c>
      <c r="J2371" s="3" t="s">
        <v>24</v>
      </c>
      <c r="K2371" s="3" t="s">
        <v>25</v>
      </c>
      <c r="L2371" s="3" t="s">
        <v>26</v>
      </c>
    </row>
    <row r="2372" spans="2:24" ht="30" x14ac:dyDescent="0.25">
      <c r="B2372" s="4">
        <v>2219</v>
      </c>
      <c r="C2372" s="4" t="s">
        <v>214</v>
      </c>
      <c r="D2372" s="4" t="s">
        <v>138</v>
      </c>
      <c r="E2372" s="4">
        <v>2111</v>
      </c>
      <c r="F2372" s="4" t="s">
        <v>29</v>
      </c>
      <c r="G2372" s="4" t="s">
        <v>56</v>
      </c>
      <c r="H2372" s="4" t="s">
        <v>103</v>
      </c>
      <c r="I2372" s="4" t="s">
        <v>104</v>
      </c>
      <c r="J2372" s="4">
        <v>319</v>
      </c>
      <c r="L2372" s="4" t="s">
        <v>40</v>
      </c>
      <c r="M2372" s="5"/>
      <c r="O2372" s="5"/>
      <c r="Q2372" s="4">
        <f>B2372</f>
        <v>2219</v>
      </c>
      <c r="R2372" s="4" t="str">
        <f>C2372</f>
        <v>26/10/2026</v>
      </c>
      <c r="S2372" s="4" t="str">
        <f>D2372</f>
        <v>lunes</v>
      </c>
      <c r="T2372" s="4" t="str">
        <f>E2372&amp;"/"&amp;E2373</f>
        <v>2111/2110</v>
      </c>
      <c r="U2372" s="4" t="str">
        <f>F2372&amp;"-"&amp;G2372&amp;"-"&amp;F2372</f>
        <v>LIM-AQP-LIM</v>
      </c>
      <c r="V2372" s="4" t="str">
        <f>IF($M$2372="","",$M$2372)</f>
        <v/>
      </c>
      <c r="W2372" s="4" t="str">
        <f>IF($O$2372="","",$O$2372)</f>
        <v/>
      </c>
      <c r="X2372" s="4">
        <f>J2372</f>
        <v>319</v>
      </c>
    </row>
    <row r="2373" spans="2:24" ht="30" x14ac:dyDescent="0.25">
      <c r="B2373" s="4">
        <v>2219</v>
      </c>
      <c r="C2373" s="4" t="s">
        <v>214</v>
      </c>
      <c r="D2373" s="4" t="s">
        <v>138</v>
      </c>
      <c r="E2373" s="4">
        <v>2110</v>
      </c>
      <c r="F2373" s="4" t="s">
        <v>56</v>
      </c>
      <c r="G2373" s="4" t="s">
        <v>29</v>
      </c>
      <c r="H2373" s="4" t="s">
        <v>156</v>
      </c>
      <c r="I2373" s="4" t="s">
        <v>208</v>
      </c>
      <c r="J2373" s="4">
        <v>319</v>
      </c>
      <c r="K2373" t="str">
        <f>TEXT(TIMEVALUE(H2373)-TIMEVALUE(I2372)+(TIMEVALUE(H2373)&lt;TIMEVALUE(I2372)),"[h]:mm")</f>
        <v>4:50</v>
      </c>
      <c r="L2373" s="4" t="s">
        <v>36</v>
      </c>
      <c r="O2373" t="str">
        <f>"LIM-"&amp;G2372&amp;"-LIM   LA "&amp;E2372&amp;" ("&amp;LEFT(H2372,5)&amp;"-"&amp;LEFT(I2372,5)&amp;" hrs)  /  LA "&amp;E2373&amp;" ("&amp;LEFT(H2373,5)&amp;"-"&amp;LEFT(I2373,5)&amp;" hrs)"</f>
        <v>LIM-AQP-LIM   LA 2111 (11:40-13:10 hrs)  /  LA 2110 (18:00-19:35 hrs)</v>
      </c>
    </row>
    <row r="2374" spans="2:24" x14ac:dyDescent="0.25">
      <c r="J2374" s="7" t="s">
        <v>43</v>
      </c>
      <c r="K2374" s="8" t="str">
        <f>TEXT(TIMEVALUE(I2373)-TIMEVALUE(H2372)+(I2373&lt;H2372),"[h]:mm")</f>
        <v>7:55</v>
      </c>
    </row>
    <row r="2376" spans="2:24" ht="30" x14ac:dyDescent="0.25">
      <c r="B2376" s="3" t="s">
        <v>9</v>
      </c>
      <c r="C2376" s="3" t="s">
        <v>17</v>
      </c>
      <c r="D2376" s="3" t="s">
        <v>18</v>
      </c>
      <c r="E2376" s="3" t="s">
        <v>19</v>
      </c>
      <c r="F2376" s="3" t="s">
        <v>20</v>
      </c>
      <c r="G2376" s="3" t="s">
        <v>21</v>
      </c>
      <c r="H2376" s="3" t="s">
        <v>22</v>
      </c>
      <c r="I2376" s="3" t="s">
        <v>23</v>
      </c>
      <c r="J2376" s="3" t="s">
        <v>24</v>
      </c>
      <c r="K2376" s="3" t="s">
        <v>25</v>
      </c>
      <c r="L2376" s="3" t="s">
        <v>26</v>
      </c>
    </row>
    <row r="2377" spans="2:24" ht="30" x14ac:dyDescent="0.25">
      <c r="B2377" s="4">
        <v>2221</v>
      </c>
      <c r="C2377" s="4" t="s">
        <v>214</v>
      </c>
      <c r="D2377" s="4" t="s">
        <v>138</v>
      </c>
      <c r="E2377" s="4">
        <v>2030</v>
      </c>
      <c r="F2377" s="4" t="s">
        <v>29</v>
      </c>
      <c r="G2377" s="4" t="s">
        <v>58</v>
      </c>
      <c r="H2377" s="4" t="s">
        <v>215</v>
      </c>
      <c r="I2377" s="4" t="s">
        <v>216</v>
      </c>
      <c r="J2377" s="4">
        <v>320</v>
      </c>
      <c r="L2377" s="4" t="s">
        <v>33</v>
      </c>
      <c r="M2377" s="5"/>
      <c r="O2377" s="5"/>
      <c r="Q2377" s="4">
        <f>B2377</f>
        <v>2221</v>
      </c>
      <c r="R2377" s="4" t="str">
        <f>C2377</f>
        <v>26/10/2026</v>
      </c>
      <c r="S2377" s="4" t="str">
        <f>D2377</f>
        <v>lunes</v>
      </c>
      <c r="T2377" s="4" t="str">
        <f>E2377&amp;"/"&amp;E2378</f>
        <v>2030/2031</v>
      </c>
      <c r="U2377" s="4" t="str">
        <f>F2377&amp;"-"&amp;G2377&amp;"-"&amp;F2377</f>
        <v>LIM-PCL-LIM</v>
      </c>
      <c r="V2377" s="4" t="str">
        <f>IF($M$2377="","",$M$2377)</f>
        <v/>
      </c>
      <c r="W2377" s="4" t="str">
        <f>IF($O$2377="","",$O$2377)</f>
        <v/>
      </c>
      <c r="X2377" s="4">
        <f>J2377</f>
        <v>320</v>
      </c>
    </row>
    <row r="2378" spans="2:24" ht="30" x14ac:dyDescent="0.25">
      <c r="B2378" s="4">
        <v>2221</v>
      </c>
      <c r="C2378" s="4" t="s">
        <v>214</v>
      </c>
      <c r="D2378" s="4" t="s">
        <v>138</v>
      </c>
      <c r="E2378" s="4">
        <v>2031</v>
      </c>
      <c r="F2378" s="4" t="s">
        <v>58</v>
      </c>
      <c r="G2378" s="4" t="s">
        <v>29</v>
      </c>
      <c r="H2378" s="4" t="s">
        <v>38</v>
      </c>
      <c r="I2378" s="4" t="s">
        <v>126</v>
      </c>
      <c r="J2378" s="4">
        <v>320</v>
      </c>
      <c r="K2378" t="str">
        <f>TEXT(TIMEVALUE(H2378)-TIMEVALUE(I2377)+(TIMEVALUE(H2378)&lt;TIMEVALUE(I2377)),"[h]:mm")</f>
        <v>0:35</v>
      </c>
      <c r="L2378" s="4" t="s">
        <v>61</v>
      </c>
      <c r="O2378" t="str">
        <f>"LIM-"&amp;G2377&amp;"-LIM   LA "&amp;E2377&amp;" ("&amp;LEFT(H2377,5)&amp;"-"&amp;LEFT(I2377,5)&amp;" hrs)  /  LA "&amp;E2378&amp;" ("&amp;LEFT(H2378,5)&amp;"-"&amp;LEFT(I2378,5)&amp;" hrs)"</f>
        <v>LIM-PCL-LIM   LA 2030 (11:55-13:15 hrs)  /  LA 2031 (13:50-15:05 hrs)</v>
      </c>
    </row>
    <row r="2379" spans="2:24" x14ac:dyDescent="0.25">
      <c r="J2379" s="7" t="s">
        <v>43</v>
      </c>
      <c r="K2379" s="8" t="str">
        <f>TEXT(TIMEVALUE(I2378)-TIMEVALUE(H2377)+(I2378&lt;H2377),"[h]:mm")</f>
        <v>3:10</v>
      </c>
    </row>
    <row r="2381" spans="2:24" ht="30" x14ac:dyDescent="0.25">
      <c r="B2381" s="3" t="s">
        <v>9</v>
      </c>
      <c r="C2381" s="3" t="s">
        <v>17</v>
      </c>
      <c r="D2381" s="3" t="s">
        <v>18</v>
      </c>
      <c r="E2381" s="3" t="s">
        <v>19</v>
      </c>
      <c r="F2381" s="3" t="s">
        <v>20</v>
      </c>
      <c r="G2381" s="3" t="s">
        <v>21</v>
      </c>
      <c r="H2381" s="3" t="s">
        <v>22</v>
      </c>
      <c r="I2381" s="3" t="s">
        <v>23</v>
      </c>
      <c r="J2381" s="3" t="s">
        <v>24</v>
      </c>
      <c r="K2381" s="3" t="s">
        <v>25</v>
      </c>
      <c r="L2381" s="3" t="s">
        <v>26</v>
      </c>
    </row>
    <row r="2382" spans="2:24" ht="30" x14ac:dyDescent="0.25">
      <c r="B2382" s="4">
        <v>2223</v>
      </c>
      <c r="C2382" s="4" t="s">
        <v>214</v>
      </c>
      <c r="D2382" s="4" t="s">
        <v>138</v>
      </c>
      <c r="E2382" s="4">
        <v>2356</v>
      </c>
      <c r="F2382" s="4" t="s">
        <v>29</v>
      </c>
      <c r="G2382" s="4" t="s">
        <v>30</v>
      </c>
      <c r="H2382" s="4" t="s">
        <v>217</v>
      </c>
      <c r="I2382" s="4" t="s">
        <v>99</v>
      </c>
      <c r="J2382" s="4">
        <v>320</v>
      </c>
      <c r="L2382" s="4" t="s">
        <v>93</v>
      </c>
      <c r="M2382" s="5"/>
      <c r="O2382" s="5"/>
      <c r="Q2382" s="4">
        <f>B2382</f>
        <v>2223</v>
      </c>
      <c r="R2382" s="4" t="str">
        <f>C2382</f>
        <v>26/10/2026</v>
      </c>
      <c r="S2382" s="4" t="str">
        <f>D2382</f>
        <v>lunes</v>
      </c>
      <c r="T2382" s="4" t="str">
        <f>E2382&amp;"/"&amp;E2383</f>
        <v>2356/2357</v>
      </c>
      <c r="U2382" s="4" t="str">
        <f>F2382&amp;"-"&amp;G2382&amp;"-"&amp;F2382</f>
        <v>LIM-CUZ-LIM</v>
      </c>
      <c r="V2382" s="4" t="str">
        <f>IF($M$2382="","",$M$2382)</f>
        <v/>
      </c>
      <c r="W2382" s="4" t="str">
        <f>IF($O$2382="","",$O$2382)</f>
        <v/>
      </c>
      <c r="X2382" s="4">
        <f>J2382</f>
        <v>320</v>
      </c>
    </row>
    <row r="2383" spans="2:24" ht="30" x14ac:dyDescent="0.25">
      <c r="B2383" s="4">
        <v>2223</v>
      </c>
      <c r="C2383" s="4" t="s">
        <v>214</v>
      </c>
      <c r="D2383" s="4" t="s">
        <v>138</v>
      </c>
      <c r="E2383" s="4">
        <v>2357</v>
      </c>
      <c r="F2383" s="4" t="s">
        <v>30</v>
      </c>
      <c r="G2383" s="4" t="s">
        <v>29</v>
      </c>
      <c r="H2383" s="4" t="s">
        <v>49</v>
      </c>
      <c r="I2383" s="4" t="s">
        <v>41</v>
      </c>
      <c r="J2383" s="4">
        <v>320</v>
      </c>
      <c r="K2383" t="str">
        <f>TEXT(TIMEVALUE(H2383)-TIMEVALUE(I2382)+(TIMEVALUE(H2383)&lt;TIMEVALUE(I2382)),"[h]:mm")</f>
        <v>0:35</v>
      </c>
      <c r="L2383" s="4" t="s">
        <v>36</v>
      </c>
      <c r="O2383" t="str">
        <f>"LIM-"&amp;G2382&amp;"-LIM   LA "&amp;E2382&amp;" ("&amp;LEFT(H2382,5)&amp;"-"&amp;LEFT(I2382,5)&amp;" hrs)  /  LA "&amp;E2383&amp;" ("&amp;LEFT(H2383,5)&amp;"-"&amp;LEFT(I2383,5)&amp;" hrs)"</f>
        <v>LIM-CUZ-LIM   LA 2356 (12:20-13:45 hrs)  /  LA 2357 (14:20-15:55 hrs)</v>
      </c>
    </row>
    <row r="2384" spans="2:24" ht="30" x14ac:dyDescent="0.25">
      <c r="B2384" s="4">
        <v>2246</v>
      </c>
      <c r="C2384" s="4" t="s">
        <v>214</v>
      </c>
      <c r="D2384" s="4" t="s">
        <v>138</v>
      </c>
      <c r="E2384" s="4">
        <v>2304</v>
      </c>
      <c r="F2384" s="4" t="s">
        <v>29</v>
      </c>
      <c r="G2384" s="4" t="s">
        <v>125</v>
      </c>
      <c r="H2384" s="4" t="s">
        <v>212</v>
      </c>
      <c r="I2384" s="4" t="s">
        <v>147</v>
      </c>
      <c r="J2384" s="4">
        <v>319</v>
      </c>
      <c r="K2384" s="6" t="str">
        <f>TEXT(TIMEVALUE(H2384)-TIMEVALUE(I2383)+(TIMEVALUE(H2384)&lt;TIMEVALUE(I2383)),"[h]:mm")</f>
        <v>0:55</v>
      </c>
      <c r="L2384" s="4" t="s">
        <v>71</v>
      </c>
      <c r="M2384" t="str">
        <f>IF($M$2382="","",$M$2382)</f>
        <v/>
      </c>
      <c r="O2384" t="str">
        <f>IF($O$2382="","",$O$2382)</f>
        <v/>
      </c>
      <c r="Q2384" s="4">
        <f>B2384</f>
        <v>2246</v>
      </c>
      <c r="R2384" s="4" t="str">
        <f>C2384</f>
        <v>26/10/2026</v>
      </c>
      <c r="S2384" s="4" t="str">
        <f>D2384</f>
        <v>lunes</v>
      </c>
      <c r="T2384" s="4" t="str">
        <f>E2384&amp;"/"&amp;E2385</f>
        <v>2304/2305</v>
      </c>
      <c r="U2384" s="4" t="str">
        <f>F2384&amp;"-"&amp;G2384&amp;"-"&amp;F2384</f>
        <v>LIM-PIU-LIM</v>
      </c>
      <c r="V2384" s="4" t="str">
        <f>IF($M$2382="","",$M$2382)</f>
        <v/>
      </c>
      <c r="W2384" s="4" t="str">
        <f>IF($O$2382="","",$O$2382)</f>
        <v/>
      </c>
      <c r="X2384" s="4">
        <f>J2384</f>
        <v>319</v>
      </c>
    </row>
    <row r="2385" spans="2:24" ht="30" x14ac:dyDescent="0.25">
      <c r="B2385" s="4">
        <v>2246</v>
      </c>
      <c r="C2385" s="4" t="s">
        <v>214</v>
      </c>
      <c r="D2385" s="4" t="s">
        <v>138</v>
      </c>
      <c r="E2385" s="4">
        <v>2305</v>
      </c>
      <c r="F2385" s="4" t="s">
        <v>125</v>
      </c>
      <c r="G2385" s="4" t="s">
        <v>29</v>
      </c>
      <c r="H2385" s="4" t="s">
        <v>213</v>
      </c>
      <c r="I2385" s="4" t="s">
        <v>129</v>
      </c>
      <c r="J2385" s="4">
        <v>319</v>
      </c>
      <c r="K2385" t="str">
        <f>TEXT(TIMEVALUE(H2385)-TIMEVALUE(I2384)+(TIMEVALUE(H2385)&lt;TIMEVALUE(I2384)),"[h]:mm")</f>
        <v>0:35</v>
      </c>
      <c r="L2385" s="4" t="s">
        <v>36</v>
      </c>
      <c r="O2385" t="str">
        <f>"LIM-"&amp;G2384&amp;"-LIM   LA "&amp;E2384&amp;" ("&amp;LEFT(H2384,5)&amp;"-"&amp;LEFT(I2384,5)&amp;" hrs)  /  LA "&amp;E2385&amp;" ("&amp;LEFT(H2385,5)&amp;"-"&amp;LEFT(I2385,5)&amp;" hrs)"</f>
        <v>LIM-PIU-LIM   LA 2304 (16:50-18:30 hrs)  /  LA 2305 (19:05-20:40 hrs)</v>
      </c>
    </row>
    <row r="2386" spans="2:24" x14ac:dyDescent="0.25">
      <c r="J2386" s="7" t="s">
        <v>43</v>
      </c>
      <c r="K2386" s="8" t="str">
        <f>TEXT(TIMEVALUE(I2385)-TIMEVALUE(H2382)+(I2385&lt;H2382),"[h]:mm")</f>
        <v>8:20</v>
      </c>
    </row>
    <row r="2388" spans="2:24" ht="30" x14ac:dyDescent="0.25">
      <c r="B2388" s="3" t="s">
        <v>9</v>
      </c>
      <c r="C2388" s="3" t="s">
        <v>17</v>
      </c>
      <c r="D2388" s="3" t="s">
        <v>18</v>
      </c>
      <c r="E2388" s="3" t="s">
        <v>19</v>
      </c>
      <c r="F2388" s="3" t="s">
        <v>20</v>
      </c>
      <c r="G2388" s="3" t="s">
        <v>21</v>
      </c>
      <c r="H2388" s="3" t="s">
        <v>22</v>
      </c>
      <c r="I2388" s="3" t="s">
        <v>23</v>
      </c>
      <c r="J2388" s="3" t="s">
        <v>24</v>
      </c>
      <c r="K2388" s="3" t="s">
        <v>25</v>
      </c>
      <c r="L2388" s="3" t="s">
        <v>26</v>
      </c>
    </row>
    <row r="2389" spans="2:24" ht="30" x14ac:dyDescent="0.25">
      <c r="B2389" s="4">
        <v>2233</v>
      </c>
      <c r="C2389" s="4" t="s">
        <v>214</v>
      </c>
      <c r="D2389" s="4" t="s">
        <v>138</v>
      </c>
      <c r="E2389" s="4">
        <v>2087</v>
      </c>
      <c r="F2389" s="4" t="s">
        <v>29</v>
      </c>
      <c r="G2389" s="4" t="s">
        <v>91</v>
      </c>
      <c r="H2389" s="4" t="s">
        <v>110</v>
      </c>
      <c r="I2389" s="4" t="s">
        <v>89</v>
      </c>
      <c r="J2389" s="4">
        <v>320</v>
      </c>
      <c r="L2389" s="4" t="s">
        <v>93</v>
      </c>
      <c r="M2389" s="5"/>
      <c r="O2389" s="5"/>
      <c r="Q2389" s="4">
        <f>B2389</f>
        <v>2233</v>
      </c>
      <c r="R2389" s="4" t="str">
        <f>C2389</f>
        <v>26/10/2026</v>
      </c>
      <c r="S2389" s="4" t="str">
        <f>D2389</f>
        <v>lunes</v>
      </c>
      <c r="T2389" s="4" t="str">
        <f>E2389&amp;"/"&amp;E2390</f>
        <v>2087/2088</v>
      </c>
      <c r="U2389" s="4" t="str">
        <f>F2389&amp;"-"&amp;G2389&amp;"-"&amp;F2389</f>
        <v>LIM-TPP-LIM</v>
      </c>
      <c r="V2389" s="4" t="str">
        <f>IF($M$2389="","",$M$2389)</f>
        <v/>
      </c>
      <c r="W2389" s="4" t="str">
        <f>IF($O$2389="","",$O$2389)</f>
        <v/>
      </c>
      <c r="X2389" s="4">
        <f>J2389</f>
        <v>320</v>
      </c>
    </row>
    <row r="2390" spans="2:24" ht="30" x14ac:dyDescent="0.25">
      <c r="B2390" s="4">
        <v>2233</v>
      </c>
      <c r="C2390" s="4" t="s">
        <v>214</v>
      </c>
      <c r="D2390" s="4" t="s">
        <v>138</v>
      </c>
      <c r="E2390" s="4">
        <v>2088</v>
      </c>
      <c r="F2390" s="4" t="s">
        <v>91</v>
      </c>
      <c r="G2390" s="4" t="s">
        <v>29</v>
      </c>
      <c r="H2390" s="4" t="s">
        <v>83</v>
      </c>
      <c r="I2390" s="4" t="s">
        <v>100</v>
      </c>
      <c r="J2390" s="4">
        <v>320</v>
      </c>
      <c r="K2390" t="str">
        <f>TEXT(TIMEVALUE(H2390)-TIMEVALUE(I2389)+(TIMEVALUE(H2390)&lt;TIMEVALUE(I2389)),"[h]:mm")</f>
        <v>0:35</v>
      </c>
      <c r="L2390" s="4" t="s">
        <v>33</v>
      </c>
      <c r="O2390" t="str">
        <f>"LIM-"&amp;G2389&amp;"-LIM   LA "&amp;E2389&amp;" ("&amp;LEFT(H2389,5)&amp;"-"&amp;LEFT(I2389,5)&amp;" hrs)  /  LA "&amp;E2390&amp;" ("&amp;LEFT(H2390,5)&amp;"-"&amp;LEFT(I2390,5)&amp;" hrs)"</f>
        <v>LIM-TPP-LIM   LA 2087 (14:10-15:35 hrs)  /  LA 2088 (16:10-17:30 hrs)</v>
      </c>
    </row>
    <row r="2391" spans="2:24" x14ac:dyDescent="0.25">
      <c r="J2391" s="7" t="s">
        <v>43</v>
      </c>
      <c r="K2391" s="8" t="str">
        <f>TEXT(TIMEVALUE(I2390)-TIMEVALUE(H2389)+(I2390&lt;H2389),"[h]:mm")</f>
        <v>3:20</v>
      </c>
    </row>
    <row r="2393" spans="2:24" ht="30" x14ac:dyDescent="0.25">
      <c r="B2393" s="3" t="s">
        <v>9</v>
      </c>
      <c r="C2393" s="3" t="s">
        <v>17</v>
      </c>
      <c r="D2393" s="3" t="s">
        <v>18</v>
      </c>
      <c r="E2393" s="3" t="s">
        <v>19</v>
      </c>
      <c r="F2393" s="3" t="s">
        <v>20</v>
      </c>
      <c r="G2393" s="3" t="s">
        <v>21</v>
      </c>
      <c r="H2393" s="3" t="s">
        <v>22</v>
      </c>
      <c r="I2393" s="3" t="s">
        <v>23</v>
      </c>
      <c r="J2393" s="3" t="s">
        <v>24</v>
      </c>
      <c r="K2393" s="3" t="s">
        <v>25</v>
      </c>
      <c r="L2393" s="3" t="s">
        <v>26</v>
      </c>
    </row>
    <row r="2394" spans="2:24" ht="30" x14ac:dyDescent="0.25">
      <c r="B2394" s="4">
        <v>2234</v>
      </c>
      <c r="C2394" s="4" t="s">
        <v>214</v>
      </c>
      <c r="D2394" s="4" t="s">
        <v>138</v>
      </c>
      <c r="E2394" s="4">
        <v>2295</v>
      </c>
      <c r="F2394" s="4" t="s">
        <v>29</v>
      </c>
      <c r="G2394" s="4" t="s">
        <v>50</v>
      </c>
      <c r="H2394" s="4" t="s">
        <v>107</v>
      </c>
      <c r="I2394" s="4" t="s">
        <v>92</v>
      </c>
      <c r="J2394" s="4">
        <v>320</v>
      </c>
      <c r="L2394" s="4" t="s">
        <v>93</v>
      </c>
      <c r="M2394" s="5"/>
      <c r="O2394" s="5"/>
      <c r="Q2394" s="4">
        <f>B2394</f>
        <v>2234</v>
      </c>
      <c r="R2394" s="4" t="str">
        <f>C2394</f>
        <v>26/10/2026</v>
      </c>
      <c r="S2394" s="4" t="str">
        <f>D2394</f>
        <v>lunes</v>
      </c>
      <c r="T2394" s="4" t="str">
        <f>E2394&amp;"/"&amp;E2395</f>
        <v>2295/2294</v>
      </c>
      <c r="U2394" s="4" t="str">
        <f>F2394&amp;"-"&amp;G2394&amp;"-"&amp;F2394</f>
        <v>LIM-CJA-LIM</v>
      </c>
      <c r="V2394" s="4" t="str">
        <f>IF($M$2394="","",$M$2394)</f>
        <v/>
      </c>
      <c r="W2394" s="4" t="str">
        <f>IF($O$2394="","",$O$2394)</f>
        <v/>
      </c>
      <c r="X2394" s="4">
        <f>J2394</f>
        <v>320</v>
      </c>
    </row>
    <row r="2395" spans="2:24" ht="30" x14ac:dyDescent="0.25">
      <c r="B2395" s="4">
        <v>2234</v>
      </c>
      <c r="C2395" s="4" t="s">
        <v>214</v>
      </c>
      <c r="D2395" s="4" t="s">
        <v>138</v>
      </c>
      <c r="E2395" s="4">
        <v>2294</v>
      </c>
      <c r="F2395" s="4" t="s">
        <v>50</v>
      </c>
      <c r="G2395" s="4" t="s">
        <v>29</v>
      </c>
      <c r="H2395" s="4" t="s">
        <v>210</v>
      </c>
      <c r="I2395" s="4" t="s">
        <v>100</v>
      </c>
      <c r="J2395" s="4">
        <v>320</v>
      </c>
      <c r="K2395" t="str">
        <f>TEXT(TIMEVALUE(H2395)-TIMEVALUE(I2394)+(TIMEVALUE(H2395)&lt;TIMEVALUE(I2394)),"[h]:mm")</f>
        <v>0:40</v>
      </c>
      <c r="L2395" s="4" t="s">
        <v>74</v>
      </c>
      <c r="O2395" t="str">
        <f>"LIM-"&amp;G2394&amp;"-LIM   LA "&amp;E2394&amp;" ("&amp;LEFT(H2394,5)&amp;"-"&amp;LEFT(I2394,5)&amp;" hrs)  /  LA "&amp;E2395&amp;" ("&amp;LEFT(H2395,5)&amp;"-"&amp;LEFT(I2395,5)&amp;" hrs)"</f>
        <v>LIM-CJA-LIM   LA 2295 (14:15-15:40 hrs)  /  LA 2294 (16:20-17:30 hrs)</v>
      </c>
    </row>
    <row r="2396" spans="2:24" x14ac:dyDescent="0.25">
      <c r="J2396" s="7" t="s">
        <v>43</v>
      </c>
      <c r="K2396" s="8" t="str">
        <f>TEXT(TIMEVALUE(I2395)-TIMEVALUE(H2394)+(I2395&lt;H2394),"[h]:mm")</f>
        <v>3:15</v>
      </c>
    </row>
    <row r="2398" spans="2:24" ht="30" x14ac:dyDescent="0.25">
      <c r="B2398" s="3" t="s">
        <v>9</v>
      </c>
      <c r="C2398" s="3" t="s">
        <v>17</v>
      </c>
      <c r="D2398" s="3" t="s">
        <v>18</v>
      </c>
      <c r="E2398" s="3" t="s">
        <v>19</v>
      </c>
      <c r="F2398" s="3" t="s">
        <v>20</v>
      </c>
      <c r="G2398" s="3" t="s">
        <v>21</v>
      </c>
      <c r="H2398" s="3" t="s">
        <v>22</v>
      </c>
      <c r="I2398" s="3" t="s">
        <v>23</v>
      </c>
      <c r="J2398" s="3" t="s">
        <v>24</v>
      </c>
      <c r="K2398" s="3" t="s">
        <v>25</v>
      </c>
      <c r="L2398" s="3" t="s">
        <v>26</v>
      </c>
    </row>
    <row r="2399" spans="2:24" ht="30" x14ac:dyDescent="0.25">
      <c r="B2399" s="4">
        <v>2235</v>
      </c>
      <c r="C2399" s="4" t="s">
        <v>214</v>
      </c>
      <c r="D2399" s="4" t="s">
        <v>138</v>
      </c>
      <c r="E2399" s="4">
        <v>2232</v>
      </c>
      <c r="F2399" s="4" t="s">
        <v>29</v>
      </c>
      <c r="G2399" s="4" t="s">
        <v>30</v>
      </c>
      <c r="H2399" s="4" t="s">
        <v>107</v>
      </c>
      <c r="I2399" s="4" t="s">
        <v>92</v>
      </c>
      <c r="J2399" s="4">
        <v>320</v>
      </c>
      <c r="L2399" s="4" t="s">
        <v>93</v>
      </c>
      <c r="M2399" s="5"/>
      <c r="O2399" s="5"/>
      <c r="Q2399" s="4">
        <f>B2399</f>
        <v>2235</v>
      </c>
      <c r="R2399" s="4" t="str">
        <f>C2399</f>
        <v>26/10/2026</v>
      </c>
      <c r="S2399" s="4" t="str">
        <f>D2399</f>
        <v>lunes</v>
      </c>
      <c r="T2399" s="4" t="str">
        <f>E2399&amp;"/"&amp;E2400</f>
        <v>2232/2233</v>
      </c>
      <c r="U2399" s="4" t="str">
        <f>F2399&amp;"-"&amp;G2399&amp;"-"&amp;F2399</f>
        <v>LIM-CUZ-LIM</v>
      </c>
      <c r="V2399" s="4" t="str">
        <f>IF($M$2399="","",$M$2399)</f>
        <v/>
      </c>
      <c r="W2399" s="4" t="str">
        <f>IF($O$2399="","",$O$2399)</f>
        <v/>
      </c>
      <c r="X2399" s="4">
        <f>J2399</f>
        <v>320</v>
      </c>
    </row>
    <row r="2400" spans="2:24" ht="30" x14ac:dyDescent="0.25">
      <c r="B2400" s="4">
        <v>2235</v>
      </c>
      <c r="C2400" s="4" t="s">
        <v>214</v>
      </c>
      <c r="D2400" s="4" t="s">
        <v>138</v>
      </c>
      <c r="E2400" s="4">
        <v>2233</v>
      </c>
      <c r="F2400" s="4" t="s">
        <v>30</v>
      </c>
      <c r="G2400" s="4" t="s">
        <v>29</v>
      </c>
      <c r="H2400" s="4" t="s">
        <v>198</v>
      </c>
      <c r="I2400" s="4" t="s">
        <v>156</v>
      </c>
      <c r="J2400" s="4">
        <v>320</v>
      </c>
      <c r="K2400" t="str">
        <f>TEXT(TIMEVALUE(H2400)-TIMEVALUE(I2399)+(TIMEVALUE(H2400)&lt;TIMEVALUE(I2399)),"[h]:mm")</f>
        <v>0:45</v>
      </c>
      <c r="L2400" s="4" t="s">
        <v>36</v>
      </c>
      <c r="O2400" t="str">
        <f>"LIM-"&amp;G2399&amp;"-LIM   LA "&amp;E2399&amp;" ("&amp;LEFT(H2399,5)&amp;"-"&amp;LEFT(I2399,5)&amp;" hrs)  /  LA "&amp;E2400&amp;" ("&amp;LEFT(H2400,5)&amp;"-"&amp;LEFT(I2400,5)&amp;" hrs)"</f>
        <v>LIM-CUZ-LIM   LA 2232 (14:15-15:40 hrs)  /  LA 2233 (16:25-18:00 hrs)</v>
      </c>
    </row>
    <row r="2401" spans="2:24" x14ac:dyDescent="0.25">
      <c r="J2401" s="7" t="s">
        <v>43</v>
      </c>
      <c r="K2401" s="8" t="str">
        <f>TEXT(TIMEVALUE(I2400)-TIMEVALUE(H2399)+(I2400&lt;H2399),"[h]:mm")</f>
        <v>3:45</v>
      </c>
    </row>
    <row r="2403" spans="2:24" ht="30" x14ac:dyDescent="0.25">
      <c r="B2403" s="3" t="s">
        <v>9</v>
      </c>
      <c r="C2403" s="3" t="s">
        <v>17</v>
      </c>
      <c r="D2403" s="3" t="s">
        <v>18</v>
      </c>
      <c r="E2403" s="3" t="s">
        <v>19</v>
      </c>
      <c r="F2403" s="3" t="s">
        <v>20</v>
      </c>
      <c r="G2403" s="3" t="s">
        <v>21</v>
      </c>
      <c r="H2403" s="3" t="s">
        <v>22</v>
      </c>
      <c r="I2403" s="3" t="s">
        <v>23</v>
      </c>
      <c r="J2403" s="3" t="s">
        <v>24</v>
      </c>
      <c r="K2403" s="3" t="s">
        <v>25</v>
      </c>
      <c r="L2403" s="3" t="s">
        <v>26</v>
      </c>
    </row>
    <row r="2404" spans="2:24" ht="30" x14ac:dyDescent="0.25">
      <c r="B2404" s="4">
        <v>2236</v>
      </c>
      <c r="C2404" s="4" t="s">
        <v>214</v>
      </c>
      <c r="D2404" s="4" t="s">
        <v>138</v>
      </c>
      <c r="E2404" s="4">
        <v>2338</v>
      </c>
      <c r="F2404" s="4" t="s">
        <v>29</v>
      </c>
      <c r="G2404" s="4" t="s">
        <v>125</v>
      </c>
      <c r="H2404" s="4" t="s">
        <v>87</v>
      </c>
      <c r="I2404" s="4" t="s">
        <v>60</v>
      </c>
      <c r="J2404" s="4">
        <v>319</v>
      </c>
      <c r="L2404" s="4" t="s">
        <v>47</v>
      </c>
      <c r="M2404" s="5"/>
      <c r="O2404" s="5"/>
      <c r="Q2404" s="4">
        <f>B2404</f>
        <v>2236</v>
      </c>
      <c r="R2404" s="4" t="str">
        <f>C2404</f>
        <v>26/10/2026</v>
      </c>
      <c r="S2404" s="4" t="str">
        <f>D2404</f>
        <v>lunes</v>
      </c>
      <c r="T2404" s="4" t="str">
        <f>E2404&amp;"/"&amp;E2405</f>
        <v>2338/2339</v>
      </c>
      <c r="U2404" s="4" t="str">
        <f>F2404&amp;"-"&amp;G2404&amp;"-"&amp;F2404</f>
        <v>LIM-PIU-LIM</v>
      </c>
      <c r="V2404" s="4" t="str">
        <f>IF($M$2404="","",$M$2404)</f>
        <v/>
      </c>
      <c r="W2404" s="4" t="str">
        <f>IF($O$2404="","",$O$2404)</f>
        <v/>
      </c>
      <c r="X2404" s="4">
        <f>J2404</f>
        <v>319</v>
      </c>
    </row>
    <row r="2405" spans="2:24" ht="30" x14ac:dyDescent="0.25">
      <c r="B2405" s="4">
        <v>2236</v>
      </c>
      <c r="C2405" s="4" t="s">
        <v>214</v>
      </c>
      <c r="D2405" s="4" t="s">
        <v>138</v>
      </c>
      <c r="E2405" s="4">
        <v>2339</v>
      </c>
      <c r="F2405" s="4" t="s">
        <v>125</v>
      </c>
      <c r="G2405" s="4" t="s">
        <v>29</v>
      </c>
      <c r="H2405" s="4" t="s">
        <v>53</v>
      </c>
      <c r="I2405" s="4" t="s">
        <v>88</v>
      </c>
      <c r="J2405" s="4">
        <v>319</v>
      </c>
      <c r="K2405" t="str">
        <f>TEXT(TIMEVALUE(H2405)-TIMEVALUE(I2404)+(TIMEVALUE(H2405)&lt;TIMEVALUE(I2404)),"[h]:mm")</f>
        <v>0:40</v>
      </c>
      <c r="L2405" s="4" t="s">
        <v>36</v>
      </c>
      <c r="O2405" t="str">
        <f>"LIM-"&amp;G2404&amp;"-LIM   LA "&amp;E2404&amp;" ("&amp;LEFT(H2404,5)&amp;"-"&amp;LEFT(I2404,5)&amp;" hrs)  /  LA "&amp;E2405&amp;" ("&amp;LEFT(H2405,5)&amp;"-"&amp;LEFT(I2405,5)&amp;" hrs)"</f>
        <v>LIM-PIU-LIM   LA 2338 (14:55-16:40 hrs)  /  LA 2339 (17:20-18:55 hrs)</v>
      </c>
    </row>
    <row r="2406" spans="2:24" x14ac:dyDescent="0.25">
      <c r="J2406" s="7" t="s">
        <v>43</v>
      </c>
      <c r="K2406" s="8" t="str">
        <f>TEXT(TIMEVALUE(I2405)-TIMEVALUE(H2404)+(I2405&lt;H2404),"[h]:mm")</f>
        <v>4:00</v>
      </c>
    </row>
    <row r="2408" spans="2:24" ht="30" x14ac:dyDescent="0.25">
      <c r="B2408" s="3" t="s">
        <v>9</v>
      </c>
      <c r="C2408" s="3" t="s">
        <v>17</v>
      </c>
      <c r="D2408" s="3" t="s">
        <v>18</v>
      </c>
      <c r="E2408" s="3" t="s">
        <v>19</v>
      </c>
      <c r="F2408" s="3" t="s">
        <v>20</v>
      </c>
      <c r="G2408" s="3" t="s">
        <v>21</v>
      </c>
      <c r="H2408" s="3" t="s">
        <v>22</v>
      </c>
      <c r="I2408" s="3" t="s">
        <v>23</v>
      </c>
      <c r="J2408" s="3" t="s">
        <v>24</v>
      </c>
      <c r="K2408" s="3" t="s">
        <v>25</v>
      </c>
      <c r="L2408" s="3" t="s">
        <v>26</v>
      </c>
    </row>
    <row r="2409" spans="2:24" ht="30" x14ac:dyDescent="0.25">
      <c r="B2409" s="4">
        <v>2237</v>
      </c>
      <c r="C2409" s="4" t="s">
        <v>214</v>
      </c>
      <c r="D2409" s="4" t="s">
        <v>138</v>
      </c>
      <c r="E2409" s="4">
        <v>2264</v>
      </c>
      <c r="F2409" s="4" t="s">
        <v>29</v>
      </c>
      <c r="G2409" s="4" t="s">
        <v>44</v>
      </c>
      <c r="H2409" s="4" t="s">
        <v>109</v>
      </c>
      <c r="I2409" s="4" t="s">
        <v>60</v>
      </c>
      <c r="J2409" s="4">
        <v>319</v>
      </c>
      <c r="L2409" s="4" t="s">
        <v>71</v>
      </c>
      <c r="M2409" s="5"/>
      <c r="O2409" s="5"/>
      <c r="Q2409" s="4">
        <f>B2409</f>
        <v>2237</v>
      </c>
      <c r="R2409" s="4" t="str">
        <f>C2409</f>
        <v>26/10/2026</v>
      </c>
      <c r="S2409" s="4" t="str">
        <f>D2409</f>
        <v>lunes</v>
      </c>
      <c r="T2409" s="4" t="str">
        <f>E2409&amp;"/"&amp;E2410</f>
        <v>2264/2265</v>
      </c>
      <c r="U2409" s="4" t="str">
        <f>F2409&amp;"-"&amp;G2409&amp;"-"&amp;F2409</f>
        <v>LIM-PEM-LIM</v>
      </c>
      <c r="V2409" s="4" t="str">
        <f>IF($M$2409="","",$M$2409)</f>
        <v/>
      </c>
      <c r="W2409" s="4" t="str">
        <f>IF($O$2409="","",$O$2409)</f>
        <v/>
      </c>
      <c r="X2409" s="4">
        <f>J2409</f>
        <v>319</v>
      </c>
    </row>
    <row r="2410" spans="2:24" ht="30" x14ac:dyDescent="0.25">
      <c r="B2410" s="4">
        <v>2237</v>
      </c>
      <c r="C2410" s="4" t="s">
        <v>214</v>
      </c>
      <c r="D2410" s="4" t="s">
        <v>138</v>
      </c>
      <c r="E2410" s="4">
        <v>2265</v>
      </c>
      <c r="F2410" s="4" t="s">
        <v>44</v>
      </c>
      <c r="G2410" s="4" t="s">
        <v>29</v>
      </c>
      <c r="H2410" s="4" t="s">
        <v>53</v>
      </c>
      <c r="I2410" s="4" t="s">
        <v>88</v>
      </c>
      <c r="J2410" s="4">
        <v>319</v>
      </c>
      <c r="K2410" t="str">
        <f>TEXT(TIMEVALUE(H2410)-TIMEVALUE(I2409)+(TIMEVALUE(H2410)&lt;TIMEVALUE(I2409)),"[h]:mm")</f>
        <v>0:40</v>
      </c>
      <c r="L2410" s="4" t="s">
        <v>36</v>
      </c>
      <c r="O2410" t="str">
        <f>"LIM-"&amp;G2409&amp;"-LIM   LA "&amp;E2409&amp;" ("&amp;LEFT(H2409,5)&amp;"-"&amp;LEFT(I2409,5)&amp;" hrs)  /  LA "&amp;E2410&amp;" ("&amp;LEFT(H2410,5)&amp;"-"&amp;LEFT(I2410,5)&amp;" hrs)"</f>
        <v>LIM-PEM-LIM   LA 2264 (15:00-16:40 hrs)  /  LA 2265 (17:20-18:55 hrs)</v>
      </c>
    </row>
    <row r="2411" spans="2:24" x14ac:dyDescent="0.25">
      <c r="J2411" s="7" t="s">
        <v>43</v>
      </c>
      <c r="K2411" s="8" t="str">
        <f>TEXT(TIMEVALUE(I2410)-TIMEVALUE(H2409)+(I2410&lt;H2409),"[h]:mm")</f>
        <v>3:55</v>
      </c>
    </row>
    <row r="2413" spans="2:24" ht="30" x14ac:dyDescent="0.25">
      <c r="B2413" s="3" t="s">
        <v>9</v>
      </c>
      <c r="C2413" s="3" t="s">
        <v>17</v>
      </c>
      <c r="D2413" s="3" t="s">
        <v>18</v>
      </c>
      <c r="E2413" s="3" t="s">
        <v>19</v>
      </c>
      <c r="F2413" s="3" t="s">
        <v>20</v>
      </c>
      <c r="G2413" s="3" t="s">
        <v>21</v>
      </c>
      <c r="H2413" s="3" t="s">
        <v>22</v>
      </c>
      <c r="I2413" s="3" t="s">
        <v>23</v>
      </c>
      <c r="J2413" s="3" t="s">
        <v>24</v>
      </c>
      <c r="K2413" s="3" t="s">
        <v>25</v>
      </c>
      <c r="L2413" s="3" t="s">
        <v>26</v>
      </c>
    </row>
    <row r="2414" spans="2:24" ht="30" x14ac:dyDescent="0.25">
      <c r="B2414" s="4">
        <v>2238</v>
      </c>
      <c r="C2414" s="4" t="s">
        <v>214</v>
      </c>
      <c r="D2414" s="4" t="s">
        <v>138</v>
      </c>
      <c r="E2414" s="4">
        <v>2297</v>
      </c>
      <c r="F2414" s="4" t="s">
        <v>29</v>
      </c>
      <c r="G2414" s="4" t="s">
        <v>50</v>
      </c>
      <c r="H2414" s="4" t="s">
        <v>51</v>
      </c>
      <c r="I2414" s="4" t="s">
        <v>52</v>
      </c>
      <c r="J2414" s="4">
        <v>319</v>
      </c>
      <c r="L2414" s="4" t="s">
        <v>33</v>
      </c>
      <c r="M2414" s="5"/>
      <c r="O2414" s="5"/>
      <c r="Q2414" s="4">
        <f>B2414</f>
        <v>2238</v>
      </c>
      <c r="R2414" s="4" t="str">
        <f>C2414</f>
        <v>26/10/2026</v>
      </c>
      <c r="S2414" s="4" t="str">
        <f>D2414</f>
        <v>lunes</v>
      </c>
      <c r="T2414" s="4" t="str">
        <f>E2414&amp;"/"&amp;E2415</f>
        <v>2297/2296</v>
      </c>
      <c r="U2414" s="4" t="str">
        <f>F2414&amp;"-"&amp;G2414&amp;"-"&amp;F2414</f>
        <v>LIM-CJA-LIM</v>
      </c>
      <c r="V2414" s="4" t="str">
        <f>IF($M$2414="","",$M$2414)</f>
        <v/>
      </c>
      <c r="W2414" s="4" t="str">
        <f>IF($O$2414="","",$O$2414)</f>
        <v/>
      </c>
      <c r="X2414" s="4">
        <f>J2414</f>
        <v>319</v>
      </c>
    </row>
    <row r="2415" spans="2:24" ht="30" x14ac:dyDescent="0.25">
      <c r="B2415" s="4">
        <v>2238</v>
      </c>
      <c r="C2415" s="4" t="s">
        <v>214</v>
      </c>
      <c r="D2415" s="4" t="s">
        <v>138</v>
      </c>
      <c r="E2415" s="4">
        <v>2296</v>
      </c>
      <c r="F2415" s="4" t="s">
        <v>50</v>
      </c>
      <c r="G2415" s="4" t="s">
        <v>29</v>
      </c>
      <c r="H2415" s="4" t="s">
        <v>206</v>
      </c>
      <c r="I2415" s="4" t="s">
        <v>207</v>
      </c>
      <c r="J2415" s="4">
        <v>319</v>
      </c>
      <c r="K2415" t="str">
        <f>TEXT(TIMEVALUE(H2415)-TIMEVALUE(I2414)+(TIMEVALUE(H2415)&lt;TIMEVALUE(I2414)),"[h]:mm")</f>
        <v>0:50</v>
      </c>
      <c r="L2415" s="4" t="s">
        <v>61</v>
      </c>
      <c r="O2415" t="str">
        <f>"LIM-"&amp;G2414&amp;"-LIM   LA "&amp;E2414&amp;" ("&amp;LEFT(H2414,5)&amp;"-"&amp;LEFT(I2414,5)&amp;" hrs)  /  LA "&amp;E2415&amp;" ("&amp;LEFT(H2415,5)&amp;"-"&amp;LEFT(I2415,5)&amp;" hrs)"</f>
        <v>LIM-CJA-LIM   LA 2297 (15:15-16:35 hrs)  /  LA 2296 (17:25-18:40 hrs)</v>
      </c>
    </row>
    <row r="2416" spans="2:24" x14ac:dyDescent="0.25">
      <c r="J2416" s="7" t="s">
        <v>43</v>
      </c>
      <c r="K2416" s="8" t="str">
        <f>TEXT(TIMEVALUE(I2415)-TIMEVALUE(H2414)+(I2415&lt;H2414),"[h]:mm")</f>
        <v>3:25</v>
      </c>
    </row>
    <row r="2418" spans="2:24" ht="30" x14ac:dyDescent="0.25">
      <c r="B2418" s="3" t="s">
        <v>9</v>
      </c>
      <c r="C2418" s="3" t="s">
        <v>17</v>
      </c>
      <c r="D2418" s="3" t="s">
        <v>18</v>
      </c>
      <c r="E2418" s="3" t="s">
        <v>19</v>
      </c>
      <c r="F2418" s="3" t="s">
        <v>20</v>
      </c>
      <c r="G2418" s="3" t="s">
        <v>21</v>
      </c>
      <c r="H2418" s="3" t="s">
        <v>22</v>
      </c>
      <c r="I2418" s="3" t="s">
        <v>23</v>
      </c>
      <c r="J2418" s="3" t="s">
        <v>24</v>
      </c>
      <c r="K2418" s="3" t="s">
        <v>25</v>
      </c>
      <c r="L2418" s="3" t="s">
        <v>26</v>
      </c>
    </row>
    <row r="2419" spans="2:24" ht="30" x14ac:dyDescent="0.25">
      <c r="B2419" s="4">
        <v>2240</v>
      </c>
      <c r="C2419" s="4" t="s">
        <v>214</v>
      </c>
      <c r="D2419" s="4" t="s">
        <v>138</v>
      </c>
      <c r="E2419" s="4">
        <v>2360</v>
      </c>
      <c r="F2419" s="4" t="s">
        <v>29</v>
      </c>
      <c r="G2419" s="4" t="s">
        <v>58</v>
      </c>
      <c r="H2419" s="4" t="s">
        <v>89</v>
      </c>
      <c r="I2419" s="4" t="s">
        <v>212</v>
      </c>
      <c r="J2419" s="4">
        <v>320</v>
      </c>
      <c r="L2419" s="4" t="s">
        <v>61</v>
      </c>
      <c r="M2419" s="5"/>
      <c r="O2419" s="5"/>
      <c r="Q2419" s="4">
        <f>B2419</f>
        <v>2240</v>
      </c>
      <c r="R2419" s="4" t="str">
        <f>C2419</f>
        <v>26/10/2026</v>
      </c>
      <c r="S2419" s="4" t="str">
        <f>D2419</f>
        <v>lunes</v>
      </c>
      <c r="T2419" s="4" t="str">
        <f>E2419&amp;"/"&amp;E2420</f>
        <v>2360/2361</v>
      </c>
      <c r="U2419" s="4" t="str">
        <f>F2419&amp;"-"&amp;G2419&amp;"-"&amp;F2419</f>
        <v>LIM-PCL-LIM</v>
      </c>
      <c r="V2419" s="4" t="str">
        <f>IF($M$2419="","",$M$2419)</f>
        <v/>
      </c>
      <c r="W2419" s="4" t="str">
        <f>IF($O$2419="","",$O$2419)</f>
        <v/>
      </c>
      <c r="X2419" s="4">
        <f>J2419</f>
        <v>320</v>
      </c>
    </row>
    <row r="2420" spans="2:24" ht="30" x14ac:dyDescent="0.25">
      <c r="B2420" s="4">
        <v>2240</v>
      </c>
      <c r="C2420" s="4" t="s">
        <v>214</v>
      </c>
      <c r="D2420" s="4" t="s">
        <v>138</v>
      </c>
      <c r="E2420" s="4">
        <v>2361</v>
      </c>
      <c r="F2420" s="4" t="s">
        <v>58</v>
      </c>
      <c r="G2420" s="4" t="s">
        <v>29</v>
      </c>
      <c r="H2420" s="4" t="s">
        <v>206</v>
      </c>
      <c r="I2420" s="4" t="s">
        <v>207</v>
      </c>
      <c r="J2420" s="4">
        <v>320</v>
      </c>
      <c r="K2420" t="str">
        <f>TEXT(TIMEVALUE(H2420)-TIMEVALUE(I2419)+(TIMEVALUE(H2420)&lt;TIMEVALUE(I2419)),"[h]:mm")</f>
        <v>0:35</v>
      </c>
      <c r="L2420" s="4" t="s">
        <v>61</v>
      </c>
      <c r="O2420" t="str">
        <f>"LIM-"&amp;G2419&amp;"-LIM   LA "&amp;E2419&amp;" ("&amp;LEFT(H2419,5)&amp;"-"&amp;LEFT(I2419,5)&amp;" hrs)  /  LA "&amp;E2420&amp;" ("&amp;LEFT(H2420,5)&amp;"-"&amp;LEFT(I2420,5)&amp;" hrs)"</f>
        <v>LIM-PCL-LIM   LA 2360 (15:35-16:50 hrs)  /  LA 2361 (17:25-18:40 hrs)</v>
      </c>
    </row>
    <row r="2421" spans="2:24" x14ac:dyDescent="0.25">
      <c r="J2421" s="7" t="s">
        <v>43</v>
      </c>
      <c r="K2421" s="8" t="str">
        <f>TEXT(TIMEVALUE(I2420)-TIMEVALUE(H2419)+(I2420&lt;H2419),"[h]:mm")</f>
        <v>3:05</v>
      </c>
    </row>
    <row r="2423" spans="2:24" ht="30" x14ac:dyDescent="0.25">
      <c r="B2423" s="3" t="s">
        <v>9</v>
      </c>
      <c r="C2423" s="3" t="s">
        <v>17</v>
      </c>
      <c r="D2423" s="3" t="s">
        <v>18</v>
      </c>
      <c r="E2423" s="3" t="s">
        <v>19</v>
      </c>
      <c r="F2423" s="3" t="s">
        <v>20</v>
      </c>
      <c r="G2423" s="3" t="s">
        <v>21</v>
      </c>
      <c r="H2423" s="3" t="s">
        <v>22</v>
      </c>
      <c r="I2423" s="3" t="s">
        <v>23</v>
      </c>
      <c r="J2423" s="3" t="s">
        <v>24</v>
      </c>
      <c r="K2423" s="3" t="s">
        <v>25</v>
      </c>
      <c r="L2423" s="3" t="s">
        <v>26</v>
      </c>
    </row>
    <row r="2424" spans="2:24" ht="30" x14ac:dyDescent="0.25">
      <c r="B2424" s="4">
        <v>2241</v>
      </c>
      <c r="C2424" s="4" t="s">
        <v>214</v>
      </c>
      <c r="D2424" s="4" t="s">
        <v>138</v>
      </c>
      <c r="E2424" s="4">
        <v>2360</v>
      </c>
      <c r="F2424" s="4" t="s">
        <v>29</v>
      </c>
      <c r="G2424" s="4" t="s">
        <v>58</v>
      </c>
      <c r="H2424" s="4" t="s">
        <v>89</v>
      </c>
      <c r="I2424" s="4" t="s">
        <v>212</v>
      </c>
      <c r="J2424" s="4">
        <v>320</v>
      </c>
      <c r="L2424" s="4" t="s">
        <v>61</v>
      </c>
      <c r="M2424" s="5"/>
      <c r="O2424" s="5"/>
      <c r="Q2424" s="4">
        <f>B2424</f>
        <v>2241</v>
      </c>
      <c r="R2424" s="4" t="str">
        <f>C2424</f>
        <v>26/10/2026</v>
      </c>
      <c r="S2424" s="4" t="str">
        <f>D2424</f>
        <v>lunes</v>
      </c>
      <c r="T2424" s="4" t="str">
        <f>E2424&amp;"/"&amp;E2425</f>
        <v>2360/2361</v>
      </c>
      <c r="U2424" s="4" t="str">
        <f>F2424&amp;"-"&amp;G2424&amp;"-"&amp;F2424</f>
        <v>LIM-PCL-LIM</v>
      </c>
      <c r="V2424" s="4" t="str">
        <f>IF($M$2424="","",$M$2424)</f>
        <v/>
      </c>
      <c r="W2424" s="4" t="str">
        <f>IF($O$2424="","",$O$2424)</f>
        <v/>
      </c>
      <c r="X2424" s="4">
        <f>J2424</f>
        <v>320</v>
      </c>
    </row>
    <row r="2425" spans="2:24" ht="30" x14ac:dyDescent="0.25">
      <c r="B2425" s="4">
        <v>2241</v>
      </c>
      <c r="C2425" s="4" t="s">
        <v>214</v>
      </c>
      <c r="D2425" s="4" t="s">
        <v>138</v>
      </c>
      <c r="E2425" s="4">
        <v>2361</v>
      </c>
      <c r="F2425" s="4" t="s">
        <v>58</v>
      </c>
      <c r="G2425" s="4" t="s">
        <v>29</v>
      </c>
      <c r="H2425" s="4" t="s">
        <v>206</v>
      </c>
      <c r="I2425" s="4" t="s">
        <v>207</v>
      </c>
      <c r="J2425" s="4">
        <v>320</v>
      </c>
      <c r="K2425" t="str">
        <f>TEXT(TIMEVALUE(H2425)-TIMEVALUE(I2424)+(TIMEVALUE(H2425)&lt;TIMEVALUE(I2424)),"[h]:mm")</f>
        <v>0:35</v>
      </c>
      <c r="L2425" s="4" t="s">
        <v>61</v>
      </c>
      <c r="O2425" t="str">
        <f>"LIM-"&amp;G2424&amp;"-LIM   LA "&amp;E2424&amp;" ("&amp;LEFT(H2424,5)&amp;"-"&amp;LEFT(I2424,5)&amp;" hrs)  /  LA "&amp;E2425&amp;" ("&amp;LEFT(H2425,5)&amp;"-"&amp;LEFT(I2425,5)&amp;" hrs)"</f>
        <v>LIM-PCL-LIM   LA 2360 (15:35-16:50 hrs)  /  LA 2361 (17:25-18:40 hrs)</v>
      </c>
    </row>
    <row r="2426" spans="2:24" x14ac:dyDescent="0.25">
      <c r="J2426" s="7" t="s">
        <v>43</v>
      </c>
      <c r="K2426" s="8" t="str">
        <f>TEXT(TIMEVALUE(I2425)-TIMEVALUE(H2424)+(I2425&lt;H2424),"[h]:mm")</f>
        <v>3:05</v>
      </c>
    </row>
    <row r="2428" spans="2:24" ht="30" x14ac:dyDescent="0.25">
      <c r="B2428" s="3" t="s">
        <v>9</v>
      </c>
      <c r="C2428" s="3" t="s">
        <v>17</v>
      </c>
      <c r="D2428" s="3" t="s">
        <v>18</v>
      </c>
      <c r="E2428" s="3" t="s">
        <v>19</v>
      </c>
      <c r="F2428" s="3" t="s">
        <v>20</v>
      </c>
      <c r="G2428" s="3" t="s">
        <v>21</v>
      </c>
      <c r="H2428" s="3" t="s">
        <v>22</v>
      </c>
      <c r="I2428" s="3" t="s">
        <v>23</v>
      </c>
      <c r="J2428" s="3" t="s">
        <v>24</v>
      </c>
      <c r="K2428" s="3" t="s">
        <v>25</v>
      </c>
      <c r="L2428" s="3" t="s">
        <v>26</v>
      </c>
    </row>
    <row r="2429" spans="2:24" ht="30" x14ac:dyDescent="0.25">
      <c r="B2429" s="4">
        <v>2244</v>
      </c>
      <c r="C2429" s="4" t="s">
        <v>214</v>
      </c>
      <c r="D2429" s="4" t="s">
        <v>138</v>
      </c>
      <c r="E2429" s="4">
        <v>2301</v>
      </c>
      <c r="F2429" s="4" t="s">
        <v>29</v>
      </c>
      <c r="G2429" s="4" t="s">
        <v>91</v>
      </c>
      <c r="H2429" s="4" t="s">
        <v>41</v>
      </c>
      <c r="I2429" s="4" t="s">
        <v>53</v>
      </c>
      <c r="J2429" s="4">
        <v>320</v>
      </c>
      <c r="L2429" s="4" t="s">
        <v>93</v>
      </c>
      <c r="M2429" s="5"/>
      <c r="O2429" s="5"/>
      <c r="Q2429" s="4">
        <f>B2429</f>
        <v>2244</v>
      </c>
      <c r="R2429" s="4" t="str">
        <f>C2429</f>
        <v>26/10/2026</v>
      </c>
      <c r="S2429" s="4" t="str">
        <f>D2429</f>
        <v>lunes</v>
      </c>
      <c r="T2429" s="4" t="str">
        <f>E2429&amp;"/"&amp;E2430</f>
        <v>2301/2300</v>
      </c>
      <c r="U2429" s="4" t="str">
        <f>F2429&amp;"-"&amp;G2429&amp;"-"&amp;F2429</f>
        <v>LIM-TPP-LIM</v>
      </c>
      <c r="V2429" s="4" t="str">
        <f>IF($M$2429="","",$M$2429)</f>
        <v/>
      </c>
      <c r="W2429" s="4" t="str">
        <f>IF($O$2429="","",$O$2429)</f>
        <v/>
      </c>
      <c r="X2429" s="4">
        <f>J2429</f>
        <v>320</v>
      </c>
    </row>
    <row r="2430" spans="2:24" ht="30" x14ac:dyDescent="0.25">
      <c r="B2430" s="4">
        <v>2244</v>
      </c>
      <c r="C2430" s="4" t="s">
        <v>214</v>
      </c>
      <c r="D2430" s="4" t="s">
        <v>138</v>
      </c>
      <c r="E2430" s="4">
        <v>2300</v>
      </c>
      <c r="F2430" s="4" t="s">
        <v>91</v>
      </c>
      <c r="G2430" s="4" t="s">
        <v>29</v>
      </c>
      <c r="H2430" s="4" t="s">
        <v>111</v>
      </c>
      <c r="I2430" s="4" t="s">
        <v>79</v>
      </c>
      <c r="J2430" s="4">
        <v>320</v>
      </c>
      <c r="K2430" t="str">
        <f>TEXT(TIMEVALUE(H2430)-TIMEVALUE(I2429)+(TIMEVALUE(H2430)&lt;TIMEVALUE(I2429)),"[h]:mm")</f>
        <v>0:55</v>
      </c>
      <c r="L2430" s="4" t="s">
        <v>93</v>
      </c>
      <c r="O2430" t="str">
        <f>"LIM-"&amp;G2429&amp;"-LIM   LA "&amp;E2429&amp;" ("&amp;LEFT(H2429,5)&amp;"-"&amp;LEFT(I2429,5)&amp;" hrs)  /  LA "&amp;E2430&amp;" ("&amp;LEFT(H2430,5)&amp;"-"&amp;LEFT(I2430,5)&amp;" hrs)"</f>
        <v>LIM-TPP-LIM   LA 2301 (15:55-17:20 hrs)  /  LA 2300 (18:15-19:40 hrs)</v>
      </c>
    </row>
    <row r="2431" spans="2:24" x14ac:dyDescent="0.25">
      <c r="J2431" s="7" t="s">
        <v>43</v>
      </c>
      <c r="K2431" s="8" t="str">
        <f>TEXT(TIMEVALUE(I2430)-TIMEVALUE(H2429)+(I2430&lt;H2429),"[h]:mm")</f>
        <v>3:45</v>
      </c>
    </row>
    <row r="2433" spans="2:24" ht="30" x14ac:dyDescent="0.25">
      <c r="B2433" s="3" t="s">
        <v>9</v>
      </c>
      <c r="C2433" s="3" t="s">
        <v>17</v>
      </c>
      <c r="D2433" s="3" t="s">
        <v>18</v>
      </c>
      <c r="E2433" s="3" t="s">
        <v>19</v>
      </c>
      <c r="F2433" s="3" t="s">
        <v>20</v>
      </c>
      <c r="G2433" s="3" t="s">
        <v>21</v>
      </c>
      <c r="H2433" s="3" t="s">
        <v>22</v>
      </c>
      <c r="I2433" s="3" t="s">
        <v>23</v>
      </c>
      <c r="J2433" s="3" t="s">
        <v>24</v>
      </c>
      <c r="K2433" s="3" t="s">
        <v>25</v>
      </c>
      <c r="L2433" s="3" t="s">
        <v>26</v>
      </c>
    </row>
    <row r="2434" spans="2:24" ht="30" x14ac:dyDescent="0.25">
      <c r="B2434" s="4">
        <v>2245</v>
      </c>
      <c r="C2434" s="4" t="s">
        <v>214</v>
      </c>
      <c r="D2434" s="4" t="s">
        <v>138</v>
      </c>
      <c r="E2434" s="4">
        <v>2276</v>
      </c>
      <c r="F2434" s="4" t="s">
        <v>29</v>
      </c>
      <c r="G2434" s="4" t="s">
        <v>30</v>
      </c>
      <c r="H2434" s="4" t="s">
        <v>52</v>
      </c>
      <c r="I2434" s="4" t="s">
        <v>121</v>
      </c>
      <c r="J2434" s="4">
        <v>320</v>
      </c>
      <c r="L2434" s="4" t="s">
        <v>33</v>
      </c>
      <c r="M2434" s="5"/>
      <c r="O2434" s="5"/>
      <c r="Q2434" s="4">
        <f>B2434</f>
        <v>2245</v>
      </c>
      <c r="R2434" s="4" t="str">
        <f>C2434</f>
        <v>26/10/2026</v>
      </c>
      <c r="S2434" s="4" t="str">
        <f>D2434</f>
        <v>lunes</v>
      </c>
      <c r="T2434" s="4" t="str">
        <f>E2434&amp;"/"&amp;E2435</f>
        <v>2276/2277</v>
      </c>
      <c r="U2434" s="4" t="str">
        <f>F2434&amp;"-"&amp;G2434&amp;"-"&amp;F2434</f>
        <v>LIM-CUZ-LIM</v>
      </c>
      <c r="V2434" s="4" t="str">
        <f>IF($M$2434="","",$M$2434)</f>
        <v/>
      </c>
      <c r="W2434" s="4" t="str">
        <f>IF($O$2434="","",$O$2434)</f>
        <v/>
      </c>
      <c r="X2434" s="4">
        <f>J2434</f>
        <v>320</v>
      </c>
    </row>
    <row r="2435" spans="2:24" ht="30" x14ac:dyDescent="0.25">
      <c r="B2435" s="4">
        <v>2245</v>
      </c>
      <c r="C2435" s="4" t="s">
        <v>214</v>
      </c>
      <c r="D2435" s="4" t="s">
        <v>138</v>
      </c>
      <c r="E2435" s="4">
        <v>2277</v>
      </c>
      <c r="F2435" s="4" t="s">
        <v>30</v>
      </c>
      <c r="G2435" s="4" t="s">
        <v>29</v>
      </c>
      <c r="H2435" s="4" t="s">
        <v>88</v>
      </c>
      <c r="I2435" s="4" t="s">
        <v>149</v>
      </c>
      <c r="J2435" s="4">
        <v>320</v>
      </c>
      <c r="K2435" t="str">
        <f>TEXT(TIMEVALUE(H2435)-TIMEVALUE(I2434)+(TIMEVALUE(H2435)&lt;TIMEVALUE(I2434)),"[h]:mm")</f>
        <v>1:00</v>
      </c>
      <c r="L2435" s="4" t="s">
        <v>36</v>
      </c>
      <c r="O2435" t="str">
        <f>"LIM-"&amp;G2434&amp;"-LIM   LA "&amp;E2434&amp;" ("&amp;LEFT(H2434,5)&amp;"-"&amp;LEFT(I2434,5)&amp;" hrs)  /  LA "&amp;E2435&amp;" ("&amp;LEFT(H2435,5)&amp;"-"&amp;LEFT(I2435,5)&amp;" hrs)"</f>
        <v>LIM-CUZ-LIM   LA 2276 (16:35-17:55 hrs)  /  LA 2277 (18:55-20:30 hrs)</v>
      </c>
    </row>
    <row r="2436" spans="2:24" x14ac:dyDescent="0.25">
      <c r="J2436" s="7" t="s">
        <v>43</v>
      </c>
      <c r="K2436" s="8" t="str">
        <f>TEXT(TIMEVALUE(I2435)-TIMEVALUE(H2434)+(I2435&lt;H2434),"[h]:mm")</f>
        <v>3:55</v>
      </c>
    </row>
    <row r="2438" spans="2:24" ht="30" x14ac:dyDescent="0.25">
      <c r="B2438" s="3" t="s">
        <v>9</v>
      </c>
      <c r="C2438" s="3" t="s">
        <v>17</v>
      </c>
      <c r="D2438" s="3" t="s">
        <v>18</v>
      </c>
      <c r="E2438" s="3" t="s">
        <v>19</v>
      </c>
      <c r="F2438" s="3" t="s">
        <v>20</v>
      </c>
      <c r="G2438" s="3" t="s">
        <v>21</v>
      </c>
      <c r="H2438" s="3" t="s">
        <v>22</v>
      </c>
      <c r="I2438" s="3" t="s">
        <v>23</v>
      </c>
      <c r="J2438" s="3" t="s">
        <v>24</v>
      </c>
      <c r="K2438" s="3" t="s">
        <v>25</v>
      </c>
      <c r="L2438" s="3" t="s">
        <v>26</v>
      </c>
    </row>
    <row r="2439" spans="2:24" ht="30" x14ac:dyDescent="0.25">
      <c r="B2439" s="4">
        <v>2247</v>
      </c>
      <c r="C2439" s="4" t="s">
        <v>214</v>
      </c>
      <c r="D2439" s="4" t="s">
        <v>138</v>
      </c>
      <c r="E2439" s="4">
        <v>2236</v>
      </c>
      <c r="F2439" s="4" t="s">
        <v>29</v>
      </c>
      <c r="G2439" s="4" t="s">
        <v>125</v>
      </c>
      <c r="H2439" s="4" t="s">
        <v>84</v>
      </c>
      <c r="I2439" s="4" t="s">
        <v>105</v>
      </c>
      <c r="J2439" s="4">
        <v>320</v>
      </c>
      <c r="L2439" s="4" t="s">
        <v>71</v>
      </c>
      <c r="M2439" s="5"/>
      <c r="O2439" s="5"/>
      <c r="Q2439" s="4">
        <f>B2439</f>
        <v>2247</v>
      </c>
      <c r="R2439" s="4" t="str">
        <f>C2439</f>
        <v>26/10/2026</v>
      </c>
      <c r="S2439" s="4" t="str">
        <f>D2439</f>
        <v>lunes</v>
      </c>
      <c r="T2439" s="4" t="str">
        <f>E2439&amp;"/"&amp;E2440</f>
        <v>2236/2237</v>
      </c>
      <c r="U2439" s="4" t="str">
        <f>F2439&amp;"-"&amp;G2439&amp;"-"&amp;F2439</f>
        <v>LIM-PIU-LIM</v>
      </c>
      <c r="V2439" s="4" t="str">
        <f>IF($M$2439="","",$M$2439)</f>
        <v/>
      </c>
      <c r="W2439" s="4" t="str">
        <f>IF($O$2439="","",$O$2439)</f>
        <v/>
      </c>
      <c r="X2439" s="4">
        <f>J2439</f>
        <v>320</v>
      </c>
    </row>
    <row r="2440" spans="2:24" ht="30" x14ac:dyDescent="0.25">
      <c r="B2440" s="4">
        <v>2247</v>
      </c>
      <c r="C2440" s="4" t="s">
        <v>214</v>
      </c>
      <c r="D2440" s="4" t="s">
        <v>138</v>
      </c>
      <c r="E2440" s="4">
        <v>2237</v>
      </c>
      <c r="F2440" s="4" t="s">
        <v>125</v>
      </c>
      <c r="G2440" s="4" t="s">
        <v>29</v>
      </c>
      <c r="H2440" s="4" t="s">
        <v>122</v>
      </c>
      <c r="I2440" s="4" t="s">
        <v>114</v>
      </c>
      <c r="J2440" s="4">
        <v>320</v>
      </c>
      <c r="K2440" t="str">
        <f>TEXT(TIMEVALUE(H2440)-TIMEVALUE(I2439)+(TIMEVALUE(H2440)&lt;TIMEVALUE(I2439)),"[h]:mm")</f>
        <v>0:40</v>
      </c>
      <c r="L2440" s="4" t="s">
        <v>36</v>
      </c>
      <c r="O2440" t="str">
        <f>"LIM-"&amp;G2439&amp;"-LIM   LA "&amp;E2439&amp;" ("&amp;LEFT(H2439,5)&amp;"-"&amp;LEFT(I2439,5)&amp;" hrs)  /  LA "&amp;E2440&amp;" ("&amp;LEFT(H2440,5)&amp;"-"&amp;LEFT(I2440,5)&amp;" hrs)"</f>
        <v>LIM-PIU-LIM   LA 2236 (17:50-19:30 hrs)  /  LA 2237 (20:10-21:45 hrs)</v>
      </c>
    </row>
    <row r="2441" spans="2:24" x14ac:dyDescent="0.25">
      <c r="J2441" s="7" t="s">
        <v>43</v>
      </c>
      <c r="K2441" s="8" t="str">
        <f>TEXT(TIMEVALUE(I2440)-TIMEVALUE(H2439)+(I2440&lt;H2439),"[h]:mm")</f>
        <v>3:55</v>
      </c>
    </row>
    <row r="2443" spans="2:24" ht="30" x14ac:dyDescent="0.25">
      <c r="B2443" s="3" t="s">
        <v>9</v>
      </c>
      <c r="C2443" s="3" t="s">
        <v>17</v>
      </c>
      <c r="D2443" s="3" t="s">
        <v>18</v>
      </c>
      <c r="E2443" s="3" t="s">
        <v>19</v>
      </c>
      <c r="F2443" s="3" t="s">
        <v>20</v>
      </c>
      <c r="G2443" s="3" t="s">
        <v>21</v>
      </c>
      <c r="H2443" s="3" t="s">
        <v>22</v>
      </c>
      <c r="I2443" s="3" t="s">
        <v>23</v>
      </c>
      <c r="J2443" s="3" t="s">
        <v>24</v>
      </c>
      <c r="K2443" s="3" t="s">
        <v>25</v>
      </c>
      <c r="L2443" s="3" t="s">
        <v>26</v>
      </c>
    </row>
    <row r="2444" spans="2:24" ht="30" x14ac:dyDescent="0.25">
      <c r="B2444" s="4">
        <v>2284</v>
      </c>
      <c r="C2444" s="4" t="s">
        <v>218</v>
      </c>
      <c r="D2444" s="4" t="s">
        <v>154</v>
      </c>
      <c r="E2444" s="4">
        <v>2007</v>
      </c>
      <c r="F2444" s="4" t="s">
        <v>29</v>
      </c>
      <c r="G2444" s="4" t="s">
        <v>30</v>
      </c>
      <c r="H2444" s="4" t="s">
        <v>202</v>
      </c>
      <c r="I2444" s="4" t="s">
        <v>203</v>
      </c>
      <c r="J2444" s="4">
        <v>320</v>
      </c>
      <c r="L2444" s="4" t="s">
        <v>93</v>
      </c>
      <c r="M2444" s="5"/>
      <c r="O2444" s="5"/>
      <c r="Q2444" s="4">
        <f>B2444</f>
        <v>2284</v>
      </c>
      <c r="R2444" s="4" t="str">
        <f>C2444</f>
        <v>27/10/2026</v>
      </c>
      <c r="S2444" s="4" t="str">
        <f>D2444</f>
        <v>martes</v>
      </c>
      <c r="T2444" s="4" t="str">
        <f>E2444&amp;"/"&amp;E2445</f>
        <v>2007/2008</v>
      </c>
      <c r="U2444" s="4" t="str">
        <f>F2444&amp;"-"&amp;G2444&amp;"-"&amp;F2444</f>
        <v>LIM-CUZ-LIM</v>
      </c>
      <c r="V2444" s="4" t="str">
        <f>IF($M$2444="","",$M$2444)</f>
        <v/>
      </c>
      <c r="W2444" s="4" t="str">
        <f>IF($O$2444="","",$O$2444)</f>
        <v/>
      </c>
      <c r="X2444" s="4">
        <f>J2444</f>
        <v>320</v>
      </c>
    </row>
    <row r="2445" spans="2:24" ht="30" x14ac:dyDescent="0.25">
      <c r="B2445" s="4">
        <v>2284</v>
      </c>
      <c r="C2445" s="4" t="s">
        <v>218</v>
      </c>
      <c r="D2445" s="4" t="s">
        <v>154</v>
      </c>
      <c r="E2445" s="4">
        <v>2008</v>
      </c>
      <c r="F2445" s="4" t="s">
        <v>30</v>
      </c>
      <c r="G2445" s="4" t="s">
        <v>29</v>
      </c>
      <c r="H2445" s="4" t="s">
        <v>34</v>
      </c>
      <c r="I2445" s="4" t="s">
        <v>35</v>
      </c>
      <c r="J2445" s="4">
        <v>320</v>
      </c>
      <c r="K2445" t="str">
        <f>TEXT(TIMEVALUE(H2445)-TIMEVALUE(I2444)+(TIMEVALUE(H2445)&lt;TIMEVALUE(I2444)),"[h]:mm")</f>
        <v>1:05</v>
      </c>
      <c r="L2445" s="4" t="s">
        <v>36</v>
      </c>
      <c r="O2445" t="str">
        <f>"LIM-"&amp;G2444&amp;"-LIM   LA "&amp;E2444&amp;" ("&amp;LEFT(H2444,5)&amp;"-"&amp;LEFT(I2444,5)&amp;" hrs)  /  LA "&amp;E2445&amp;" ("&amp;LEFT(H2445,5)&amp;"-"&amp;LEFT(I2445,5)&amp;" hrs)"</f>
        <v>LIM-CUZ-LIM   LA 2007 (08:50-10:15 hrs)  /  LA 2008 (11:20-12:55 hrs)</v>
      </c>
    </row>
    <row r="2446" spans="2:24" ht="30" x14ac:dyDescent="0.25">
      <c r="B2446" s="4">
        <v>2308</v>
      </c>
      <c r="C2446" s="4" t="s">
        <v>218</v>
      </c>
      <c r="D2446" s="4" t="s">
        <v>154</v>
      </c>
      <c r="E2446" s="4">
        <v>2087</v>
      </c>
      <c r="F2446" s="4" t="s">
        <v>29</v>
      </c>
      <c r="G2446" s="4" t="s">
        <v>91</v>
      </c>
      <c r="H2446" s="4" t="s">
        <v>110</v>
      </c>
      <c r="I2446" s="4" t="s">
        <v>89</v>
      </c>
      <c r="J2446" s="4">
        <v>319</v>
      </c>
      <c r="K2446" s="6" t="str">
        <f>TEXT(TIMEVALUE(H2446)-TIMEVALUE(I2445)+(TIMEVALUE(H2446)&lt;TIMEVALUE(I2445)),"[h]:mm")</f>
        <v>1:15</v>
      </c>
      <c r="L2446" s="4" t="s">
        <v>93</v>
      </c>
      <c r="M2446" t="str">
        <f>IF($M$2444="","",$M$2444)</f>
        <v/>
      </c>
      <c r="O2446" t="str">
        <f>IF($O$2444="","",$O$2444)</f>
        <v/>
      </c>
      <c r="Q2446" s="4">
        <f>B2446</f>
        <v>2308</v>
      </c>
      <c r="R2446" s="4" t="str">
        <f>C2446</f>
        <v>27/10/2026</v>
      </c>
      <c r="S2446" s="4" t="str">
        <f>D2446</f>
        <v>martes</v>
      </c>
      <c r="T2446" s="4" t="str">
        <f>E2446&amp;"/"&amp;E2447</f>
        <v>2087/2088</v>
      </c>
      <c r="U2446" s="4" t="str">
        <f>F2446&amp;"-"&amp;G2446&amp;"-"&amp;F2446</f>
        <v>LIM-TPP-LIM</v>
      </c>
      <c r="V2446" s="4" t="str">
        <f>IF($M$2444="","",$M$2444)</f>
        <v/>
      </c>
      <c r="W2446" s="4" t="str">
        <f>IF($O$2444="","",$O$2444)</f>
        <v/>
      </c>
      <c r="X2446" s="4">
        <f>J2446</f>
        <v>319</v>
      </c>
    </row>
    <row r="2447" spans="2:24" ht="30" x14ac:dyDescent="0.25">
      <c r="B2447" s="4">
        <v>2308</v>
      </c>
      <c r="C2447" s="4" t="s">
        <v>218</v>
      </c>
      <c r="D2447" s="4" t="s">
        <v>154</v>
      </c>
      <c r="E2447" s="4">
        <v>2088</v>
      </c>
      <c r="F2447" s="4" t="s">
        <v>91</v>
      </c>
      <c r="G2447" s="4" t="s">
        <v>29</v>
      </c>
      <c r="H2447" s="4" t="s">
        <v>83</v>
      </c>
      <c r="I2447" s="4" t="s">
        <v>100</v>
      </c>
      <c r="J2447" s="4">
        <v>319</v>
      </c>
      <c r="K2447" t="str">
        <f>TEXT(TIMEVALUE(H2447)-TIMEVALUE(I2446)+(TIMEVALUE(H2447)&lt;TIMEVALUE(I2446)),"[h]:mm")</f>
        <v>0:35</v>
      </c>
      <c r="L2447" s="4" t="s">
        <v>33</v>
      </c>
      <c r="O2447" t="str">
        <f>"LIM-"&amp;G2446&amp;"-LIM   LA "&amp;E2446&amp;" ("&amp;LEFT(H2446,5)&amp;"-"&amp;LEFT(I2446,5)&amp;" hrs)  /  LA "&amp;E2447&amp;" ("&amp;LEFT(H2447,5)&amp;"-"&amp;LEFT(I2447,5)&amp;" hrs)"</f>
        <v>LIM-TPP-LIM   LA 2087 (14:10-15:35 hrs)  /  LA 2088 (16:10-17:30 hrs)</v>
      </c>
    </row>
    <row r="2448" spans="2:24" x14ac:dyDescent="0.25">
      <c r="J2448" s="7" t="s">
        <v>43</v>
      </c>
      <c r="K2448" s="8" t="str">
        <f>TEXT(TIMEVALUE(I2447)-TIMEVALUE(H2444)+(I2447&lt;H2444),"[h]:mm")</f>
        <v>8:40</v>
      </c>
    </row>
    <row r="2450" spans="2:24" ht="30" x14ac:dyDescent="0.25">
      <c r="B2450" s="3" t="s">
        <v>9</v>
      </c>
      <c r="C2450" s="3" t="s">
        <v>17</v>
      </c>
      <c r="D2450" s="3" t="s">
        <v>18</v>
      </c>
      <c r="E2450" s="3" t="s">
        <v>19</v>
      </c>
      <c r="F2450" s="3" t="s">
        <v>20</v>
      </c>
      <c r="G2450" s="3" t="s">
        <v>21</v>
      </c>
      <c r="H2450" s="3" t="s">
        <v>22</v>
      </c>
      <c r="I2450" s="3" t="s">
        <v>23</v>
      </c>
      <c r="J2450" s="3" t="s">
        <v>24</v>
      </c>
      <c r="K2450" s="3" t="s">
        <v>25</v>
      </c>
      <c r="L2450" s="3" t="s">
        <v>26</v>
      </c>
    </row>
    <row r="2451" spans="2:24" ht="30" x14ac:dyDescent="0.25">
      <c r="B2451" s="4">
        <v>2285</v>
      </c>
      <c r="C2451" s="4" t="s">
        <v>218</v>
      </c>
      <c r="D2451" s="4" t="s">
        <v>154</v>
      </c>
      <c r="E2451" s="4">
        <v>2007</v>
      </c>
      <c r="F2451" s="4" t="s">
        <v>29</v>
      </c>
      <c r="G2451" s="4" t="s">
        <v>30</v>
      </c>
      <c r="H2451" s="4" t="s">
        <v>202</v>
      </c>
      <c r="I2451" s="4" t="s">
        <v>203</v>
      </c>
      <c r="J2451" s="4">
        <v>320</v>
      </c>
      <c r="L2451" s="4" t="s">
        <v>93</v>
      </c>
      <c r="M2451" s="5"/>
      <c r="O2451" s="5"/>
      <c r="Q2451" s="4">
        <f>B2451</f>
        <v>2285</v>
      </c>
      <c r="R2451" s="4" t="str">
        <f>C2451</f>
        <v>27/10/2026</v>
      </c>
      <c r="S2451" s="4" t="str">
        <f>D2451</f>
        <v>martes</v>
      </c>
      <c r="T2451" s="4" t="str">
        <f>E2451&amp;"/"&amp;E2452</f>
        <v>2007/2008</v>
      </c>
      <c r="U2451" s="4" t="str">
        <f>F2451&amp;"-"&amp;G2451&amp;"-"&amp;F2451</f>
        <v>LIM-CUZ-LIM</v>
      </c>
      <c r="V2451" s="4" t="str">
        <f>IF($M$2451="","",$M$2451)</f>
        <v/>
      </c>
      <c r="W2451" s="4" t="str">
        <f>IF($O$2451="","",$O$2451)</f>
        <v/>
      </c>
      <c r="X2451" s="4">
        <f>J2451</f>
        <v>320</v>
      </c>
    </row>
    <row r="2452" spans="2:24" ht="30" x14ac:dyDescent="0.25">
      <c r="B2452" s="4">
        <v>2285</v>
      </c>
      <c r="C2452" s="4" t="s">
        <v>218</v>
      </c>
      <c r="D2452" s="4" t="s">
        <v>154</v>
      </c>
      <c r="E2452" s="4">
        <v>2008</v>
      </c>
      <c r="F2452" s="4" t="s">
        <v>30</v>
      </c>
      <c r="G2452" s="4" t="s">
        <v>29</v>
      </c>
      <c r="H2452" s="4" t="s">
        <v>34</v>
      </c>
      <c r="I2452" s="4" t="s">
        <v>35</v>
      </c>
      <c r="J2452" s="4">
        <v>320</v>
      </c>
      <c r="K2452" t="str">
        <f>TEXT(TIMEVALUE(H2452)-TIMEVALUE(I2451)+(TIMEVALUE(H2452)&lt;TIMEVALUE(I2451)),"[h]:mm")</f>
        <v>1:05</v>
      </c>
      <c r="L2452" s="4" t="s">
        <v>36</v>
      </c>
      <c r="O2452" t="str">
        <f>"LIM-"&amp;G2451&amp;"-LIM   LA "&amp;E2451&amp;" ("&amp;LEFT(H2451,5)&amp;"-"&amp;LEFT(I2451,5)&amp;" hrs)  /  LA "&amp;E2452&amp;" ("&amp;LEFT(H2452,5)&amp;"-"&amp;LEFT(I2452,5)&amp;" hrs)"</f>
        <v>LIM-CUZ-LIM   LA 2007 (08:50-10:15 hrs)  /  LA 2008 (11:20-12:55 hrs)</v>
      </c>
    </row>
    <row r="2453" spans="2:24" ht="30" x14ac:dyDescent="0.25">
      <c r="B2453" s="4">
        <v>2309</v>
      </c>
      <c r="C2453" s="4" t="s">
        <v>218</v>
      </c>
      <c r="D2453" s="4" t="s">
        <v>154</v>
      </c>
      <c r="E2453" s="4">
        <v>2232</v>
      </c>
      <c r="F2453" s="4" t="s">
        <v>29</v>
      </c>
      <c r="G2453" s="4" t="s">
        <v>30</v>
      </c>
      <c r="H2453" s="4" t="s">
        <v>107</v>
      </c>
      <c r="I2453" s="4" t="s">
        <v>92</v>
      </c>
      <c r="J2453" s="4">
        <v>320</v>
      </c>
      <c r="K2453" s="6" t="str">
        <f>TEXT(TIMEVALUE(H2453)-TIMEVALUE(I2452)+(TIMEVALUE(H2453)&lt;TIMEVALUE(I2452)),"[h]:mm")</f>
        <v>1:20</v>
      </c>
      <c r="L2453" s="4" t="s">
        <v>93</v>
      </c>
      <c r="M2453" t="str">
        <f>IF($M$2451="","",$M$2451)</f>
        <v/>
      </c>
      <c r="O2453" t="str">
        <f>IF($O$2451="","",$O$2451)</f>
        <v/>
      </c>
      <c r="Q2453" s="4">
        <f>B2453</f>
        <v>2309</v>
      </c>
      <c r="R2453" s="4" t="str">
        <f>C2453</f>
        <v>27/10/2026</v>
      </c>
      <c r="S2453" s="4" t="str">
        <f>D2453</f>
        <v>martes</v>
      </c>
      <c r="T2453" s="4" t="str">
        <f>E2453&amp;"/"&amp;E2454</f>
        <v>2232/2233</v>
      </c>
      <c r="U2453" s="4" t="str">
        <f>F2453&amp;"-"&amp;G2453&amp;"-"&amp;F2453</f>
        <v>LIM-CUZ-LIM</v>
      </c>
      <c r="V2453" s="4" t="str">
        <f>IF($M$2451="","",$M$2451)</f>
        <v/>
      </c>
      <c r="W2453" s="4" t="str">
        <f>IF($O$2451="","",$O$2451)</f>
        <v/>
      </c>
      <c r="X2453" s="4">
        <f>J2453</f>
        <v>320</v>
      </c>
    </row>
    <row r="2454" spans="2:24" ht="30" x14ac:dyDescent="0.25">
      <c r="B2454" s="4">
        <v>2309</v>
      </c>
      <c r="C2454" s="4" t="s">
        <v>218</v>
      </c>
      <c r="D2454" s="4" t="s">
        <v>154</v>
      </c>
      <c r="E2454" s="4">
        <v>2233</v>
      </c>
      <c r="F2454" s="4" t="s">
        <v>30</v>
      </c>
      <c r="G2454" s="4" t="s">
        <v>29</v>
      </c>
      <c r="H2454" s="4" t="s">
        <v>198</v>
      </c>
      <c r="I2454" s="4" t="s">
        <v>156</v>
      </c>
      <c r="J2454" s="4">
        <v>320</v>
      </c>
      <c r="K2454" t="str">
        <f>TEXT(TIMEVALUE(H2454)-TIMEVALUE(I2453)+(TIMEVALUE(H2454)&lt;TIMEVALUE(I2453)),"[h]:mm")</f>
        <v>0:45</v>
      </c>
      <c r="L2454" s="4" t="s">
        <v>36</v>
      </c>
      <c r="O2454" t="str">
        <f>"LIM-"&amp;G2453&amp;"-LIM   LA "&amp;E2453&amp;" ("&amp;LEFT(H2453,5)&amp;"-"&amp;LEFT(I2453,5)&amp;" hrs)  /  LA "&amp;E2454&amp;" ("&amp;LEFT(H2454,5)&amp;"-"&amp;LEFT(I2454,5)&amp;" hrs)"</f>
        <v>LIM-CUZ-LIM   LA 2232 (14:15-15:40 hrs)  /  LA 2233 (16:25-18:00 hrs)</v>
      </c>
    </row>
    <row r="2455" spans="2:24" x14ac:dyDescent="0.25">
      <c r="J2455" s="7" t="s">
        <v>43</v>
      </c>
      <c r="K2455" s="8" t="str">
        <f>TEXT(TIMEVALUE(I2454)-TIMEVALUE(H2451)+(I2454&lt;H2451),"[h]:mm")</f>
        <v>9:10</v>
      </c>
    </row>
    <row r="2457" spans="2:24" ht="30" x14ac:dyDescent="0.25">
      <c r="B2457" s="3" t="s">
        <v>9</v>
      </c>
      <c r="C2457" s="3" t="s">
        <v>17</v>
      </c>
      <c r="D2457" s="3" t="s">
        <v>18</v>
      </c>
      <c r="E2457" s="3" t="s">
        <v>19</v>
      </c>
      <c r="F2457" s="3" t="s">
        <v>20</v>
      </c>
      <c r="G2457" s="3" t="s">
        <v>21</v>
      </c>
      <c r="H2457" s="3" t="s">
        <v>22</v>
      </c>
      <c r="I2457" s="3" t="s">
        <v>23</v>
      </c>
      <c r="J2457" s="3" t="s">
        <v>24</v>
      </c>
      <c r="K2457" s="3" t="s">
        <v>25</v>
      </c>
      <c r="L2457" s="3" t="s">
        <v>26</v>
      </c>
    </row>
    <row r="2458" spans="2:24" ht="30" x14ac:dyDescent="0.25">
      <c r="B2458" s="4">
        <v>2293</v>
      </c>
      <c r="C2458" s="4" t="s">
        <v>218</v>
      </c>
      <c r="D2458" s="4" t="s">
        <v>154</v>
      </c>
      <c r="E2458" s="4">
        <v>2111</v>
      </c>
      <c r="F2458" s="4" t="s">
        <v>29</v>
      </c>
      <c r="G2458" s="4" t="s">
        <v>56</v>
      </c>
      <c r="H2458" s="4" t="s">
        <v>103</v>
      </c>
      <c r="I2458" s="4" t="s">
        <v>104</v>
      </c>
      <c r="J2458" s="4">
        <v>320</v>
      </c>
      <c r="L2458" s="4" t="s">
        <v>40</v>
      </c>
      <c r="M2458" s="5"/>
      <c r="O2458" s="5"/>
      <c r="Q2458" s="4">
        <f>B2458</f>
        <v>2293</v>
      </c>
      <c r="R2458" s="4" t="str">
        <f>C2458</f>
        <v>27/10/2026</v>
      </c>
      <c r="S2458" s="4" t="str">
        <f>D2458</f>
        <v>martes</v>
      </c>
      <c r="T2458" s="4" t="str">
        <f>E2458&amp;"/"&amp;E2459</f>
        <v>2111/2110</v>
      </c>
      <c r="U2458" s="4" t="str">
        <f>F2458&amp;"-"&amp;G2458&amp;"-"&amp;F2458</f>
        <v>LIM-AQP-LIM</v>
      </c>
      <c r="V2458" s="4" t="str">
        <f>IF($M$2458="","",$M$2458)</f>
        <v/>
      </c>
      <c r="W2458" s="4" t="str">
        <f>IF($O$2458="","",$O$2458)</f>
        <v/>
      </c>
      <c r="X2458" s="4">
        <f>J2458</f>
        <v>320</v>
      </c>
    </row>
    <row r="2459" spans="2:24" ht="30" x14ac:dyDescent="0.25">
      <c r="B2459" s="4">
        <v>2293</v>
      </c>
      <c r="C2459" s="4" t="s">
        <v>218</v>
      </c>
      <c r="D2459" s="4" t="s">
        <v>154</v>
      </c>
      <c r="E2459" s="4">
        <v>2110</v>
      </c>
      <c r="F2459" s="4" t="s">
        <v>56</v>
      </c>
      <c r="G2459" s="4" t="s">
        <v>29</v>
      </c>
      <c r="H2459" s="4" t="s">
        <v>99</v>
      </c>
      <c r="I2459" s="4" t="s">
        <v>39</v>
      </c>
      <c r="J2459" s="4">
        <v>320</v>
      </c>
      <c r="K2459" t="str">
        <f>TEXT(TIMEVALUE(H2459)-TIMEVALUE(I2458)+(TIMEVALUE(H2459)&lt;TIMEVALUE(I2458)),"[h]:mm")</f>
        <v>0:35</v>
      </c>
      <c r="L2459" s="4" t="s">
        <v>36</v>
      </c>
      <c r="O2459" t="str">
        <f>"LIM-"&amp;G2458&amp;"-LIM   LA "&amp;E2458&amp;" ("&amp;LEFT(H2458,5)&amp;"-"&amp;LEFT(I2458,5)&amp;" hrs)  /  LA "&amp;E2459&amp;" ("&amp;LEFT(H2459,5)&amp;"-"&amp;LEFT(I2459,5)&amp;" hrs)"</f>
        <v>LIM-AQP-LIM   LA 2111 (11:40-13:10 hrs)  /  LA 2110 (13:45-15:20 hrs)</v>
      </c>
    </row>
    <row r="2460" spans="2:24" ht="30" x14ac:dyDescent="0.25">
      <c r="B2460" s="4">
        <v>2324</v>
      </c>
      <c r="C2460" s="4" t="s">
        <v>218</v>
      </c>
      <c r="D2460" s="4" t="s">
        <v>154</v>
      </c>
      <c r="E2460" s="4">
        <v>2276</v>
      </c>
      <c r="F2460" s="4" t="s">
        <v>29</v>
      </c>
      <c r="G2460" s="4" t="s">
        <v>30</v>
      </c>
      <c r="H2460" s="4" t="s">
        <v>52</v>
      </c>
      <c r="I2460" s="4" t="s">
        <v>121</v>
      </c>
      <c r="J2460" s="4">
        <v>320</v>
      </c>
      <c r="K2460" s="6" t="str">
        <f>TEXT(TIMEVALUE(H2460)-TIMEVALUE(I2459)+(TIMEVALUE(H2460)&lt;TIMEVALUE(I2459)),"[h]:mm")</f>
        <v>1:15</v>
      </c>
      <c r="L2460" s="4" t="s">
        <v>33</v>
      </c>
      <c r="M2460" t="str">
        <f>IF($M$2458="","",$M$2458)</f>
        <v/>
      </c>
      <c r="O2460" t="str">
        <f>IF($O$2458="","",$O$2458)</f>
        <v/>
      </c>
      <c r="Q2460" s="4">
        <f>B2460</f>
        <v>2324</v>
      </c>
      <c r="R2460" s="4" t="str">
        <f>C2460</f>
        <v>27/10/2026</v>
      </c>
      <c r="S2460" s="4" t="str">
        <f>D2460</f>
        <v>martes</v>
      </c>
      <c r="T2460" s="4" t="str">
        <f>E2460&amp;"/"&amp;E2461</f>
        <v>2276/2277</v>
      </c>
      <c r="U2460" s="4" t="str">
        <f>F2460&amp;"-"&amp;G2460&amp;"-"&amp;F2460</f>
        <v>LIM-CUZ-LIM</v>
      </c>
      <c r="V2460" s="4" t="str">
        <f>IF($M$2458="","",$M$2458)</f>
        <v/>
      </c>
      <c r="W2460" s="4" t="str">
        <f>IF($O$2458="","",$O$2458)</f>
        <v/>
      </c>
      <c r="X2460" s="4">
        <f>J2460</f>
        <v>320</v>
      </c>
    </row>
    <row r="2461" spans="2:24" ht="30" x14ac:dyDescent="0.25">
      <c r="B2461" s="4">
        <v>2324</v>
      </c>
      <c r="C2461" s="4" t="s">
        <v>218</v>
      </c>
      <c r="D2461" s="4" t="s">
        <v>154</v>
      </c>
      <c r="E2461" s="4">
        <v>2277</v>
      </c>
      <c r="F2461" s="4" t="s">
        <v>30</v>
      </c>
      <c r="G2461" s="4" t="s">
        <v>29</v>
      </c>
      <c r="H2461" s="4" t="s">
        <v>88</v>
      </c>
      <c r="I2461" s="4" t="s">
        <v>149</v>
      </c>
      <c r="J2461" s="4">
        <v>320</v>
      </c>
      <c r="K2461" t="str">
        <f>TEXT(TIMEVALUE(H2461)-TIMEVALUE(I2460)+(TIMEVALUE(H2461)&lt;TIMEVALUE(I2460)),"[h]:mm")</f>
        <v>1:00</v>
      </c>
      <c r="L2461" s="4" t="s">
        <v>36</v>
      </c>
      <c r="O2461" t="str">
        <f>"LIM-"&amp;G2460&amp;"-LIM   LA "&amp;E2460&amp;" ("&amp;LEFT(H2460,5)&amp;"-"&amp;LEFT(I2460,5)&amp;" hrs)  /  LA "&amp;E2461&amp;" ("&amp;LEFT(H2461,5)&amp;"-"&amp;LEFT(I2461,5)&amp;" hrs)"</f>
        <v>LIM-CUZ-LIM   LA 2276 (16:35-17:55 hrs)  /  LA 2277 (18:55-20:30 hrs)</v>
      </c>
    </row>
    <row r="2462" spans="2:24" x14ac:dyDescent="0.25">
      <c r="J2462" s="7" t="s">
        <v>43</v>
      </c>
      <c r="K2462" s="8" t="str">
        <f>TEXT(TIMEVALUE(I2461)-TIMEVALUE(H2458)+(I2461&lt;H2458),"[h]:mm")</f>
        <v>8:50</v>
      </c>
    </row>
    <row r="2464" spans="2:24" ht="30" x14ac:dyDescent="0.25">
      <c r="B2464" s="3" t="s">
        <v>9</v>
      </c>
      <c r="C2464" s="3" t="s">
        <v>17</v>
      </c>
      <c r="D2464" s="3" t="s">
        <v>18</v>
      </c>
      <c r="E2464" s="3" t="s">
        <v>19</v>
      </c>
      <c r="F2464" s="3" t="s">
        <v>20</v>
      </c>
      <c r="G2464" s="3" t="s">
        <v>21</v>
      </c>
      <c r="H2464" s="3" t="s">
        <v>22</v>
      </c>
      <c r="I2464" s="3" t="s">
        <v>23</v>
      </c>
      <c r="J2464" s="3" t="s">
        <v>24</v>
      </c>
      <c r="K2464" s="3" t="s">
        <v>25</v>
      </c>
      <c r="L2464" s="3" t="s">
        <v>26</v>
      </c>
    </row>
    <row r="2465" spans="2:24" ht="30" x14ac:dyDescent="0.25">
      <c r="B2465" s="4">
        <v>2295</v>
      </c>
      <c r="C2465" s="4" t="s">
        <v>218</v>
      </c>
      <c r="D2465" s="4" t="s">
        <v>154</v>
      </c>
      <c r="E2465" s="4">
        <v>2023</v>
      </c>
      <c r="F2465" s="4" t="s">
        <v>29</v>
      </c>
      <c r="G2465" s="4" t="s">
        <v>44</v>
      </c>
      <c r="H2465" s="4" t="s">
        <v>172</v>
      </c>
      <c r="I2465" s="4" t="s">
        <v>82</v>
      </c>
      <c r="J2465" s="4">
        <v>320</v>
      </c>
      <c r="L2465" s="4" t="s">
        <v>71</v>
      </c>
      <c r="M2465" s="5"/>
      <c r="O2465" s="5"/>
      <c r="Q2465" s="4">
        <f>B2465</f>
        <v>2295</v>
      </c>
      <c r="R2465" s="4" t="str">
        <f>C2465</f>
        <v>27/10/2026</v>
      </c>
      <c r="S2465" s="4" t="str">
        <f>D2465</f>
        <v>martes</v>
      </c>
      <c r="T2465" s="4" t="str">
        <f>E2465&amp;"/"&amp;E2466</f>
        <v>2023/2024</v>
      </c>
      <c r="U2465" s="4" t="str">
        <f>F2465&amp;"-"&amp;G2465&amp;"-"&amp;F2465</f>
        <v>LIM-PEM-LIM</v>
      </c>
      <c r="V2465" s="4" t="str">
        <f>IF($M$2465="","",$M$2465)</f>
        <v/>
      </c>
      <c r="W2465" s="4" t="str">
        <f>IF($O$2465="","",$O$2465)</f>
        <v/>
      </c>
      <c r="X2465" s="4">
        <f>J2465</f>
        <v>320</v>
      </c>
    </row>
    <row r="2466" spans="2:24" ht="30" x14ac:dyDescent="0.25">
      <c r="B2466" s="4">
        <v>2295</v>
      </c>
      <c r="C2466" s="4" t="s">
        <v>218</v>
      </c>
      <c r="D2466" s="4" t="s">
        <v>154</v>
      </c>
      <c r="E2466" s="4">
        <v>2024</v>
      </c>
      <c r="F2466" s="4" t="s">
        <v>44</v>
      </c>
      <c r="G2466" s="4" t="s">
        <v>29</v>
      </c>
      <c r="H2466" s="4" t="s">
        <v>145</v>
      </c>
      <c r="I2466" s="4" t="s">
        <v>83</v>
      </c>
      <c r="J2466" s="4">
        <v>320</v>
      </c>
      <c r="K2466" t="str">
        <f>TEXT(TIMEVALUE(H2466)-TIMEVALUE(I2465)+(TIMEVALUE(H2466)&lt;TIMEVALUE(I2465)),"[h]:mm")</f>
        <v>0:40</v>
      </c>
      <c r="L2466" s="4" t="s">
        <v>36</v>
      </c>
      <c r="O2466" t="str">
        <f>"LIM-"&amp;G2465&amp;"-LIM   LA "&amp;E2465&amp;" ("&amp;LEFT(H2465,5)&amp;"-"&amp;LEFT(I2465,5)&amp;" hrs)  /  LA "&amp;E2466&amp;" ("&amp;LEFT(H2466,5)&amp;"-"&amp;LEFT(I2466,5)&amp;" hrs)"</f>
        <v>LIM-PEM-LIM   LA 2023 (12:15-13:55 hrs)  /  LA 2024 (14:35-16:10 hrs)</v>
      </c>
    </row>
    <row r="2467" spans="2:24" x14ac:dyDescent="0.25">
      <c r="J2467" s="7" t="s">
        <v>43</v>
      </c>
      <c r="K2467" s="8" t="str">
        <f>TEXT(TIMEVALUE(I2466)-TIMEVALUE(H2465)+(I2466&lt;H2465),"[h]:mm")</f>
        <v>3:55</v>
      </c>
    </row>
    <row r="2469" spans="2:24" ht="30" x14ac:dyDescent="0.25">
      <c r="B2469" s="3" t="s">
        <v>9</v>
      </c>
      <c r="C2469" s="3" t="s">
        <v>17</v>
      </c>
      <c r="D2469" s="3" t="s">
        <v>18</v>
      </c>
      <c r="E2469" s="3" t="s">
        <v>19</v>
      </c>
      <c r="F2469" s="3" t="s">
        <v>20</v>
      </c>
      <c r="G2469" s="3" t="s">
        <v>21</v>
      </c>
      <c r="H2469" s="3" t="s">
        <v>22</v>
      </c>
      <c r="I2469" s="3" t="s">
        <v>23</v>
      </c>
      <c r="J2469" s="3" t="s">
        <v>24</v>
      </c>
      <c r="K2469" s="3" t="s">
        <v>25</v>
      </c>
      <c r="L2469" s="3" t="s">
        <v>26</v>
      </c>
    </row>
    <row r="2470" spans="2:24" ht="30" x14ac:dyDescent="0.25">
      <c r="B2470" s="4">
        <v>2304</v>
      </c>
      <c r="C2470" s="4" t="s">
        <v>218</v>
      </c>
      <c r="D2470" s="4" t="s">
        <v>154</v>
      </c>
      <c r="E2470" s="4">
        <v>2028</v>
      </c>
      <c r="F2470" s="4" t="s">
        <v>29</v>
      </c>
      <c r="G2470" s="4" t="s">
        <v>30</v>
      </c>
      <c r="H2470" s="4" t="s">
        <v>106</v>
      </c>
      <c r="I2470" s="4" t="s">
        <v>109</v>
      </c>
      <c r="J2470" s="4">
        <v>320</v>
      </c>
      <c r="L2470" s="4" t="s">
        <v>93</v>
      </c>
      <c r="M2470" s="5"/>
      <c r="O2470" s="5"/>
      <c r="Q2470" s="4">
        <f>B2470</f>
        <v>2304</v>
      </c>
      <c r="R2470" s="4" t="str">
        <f>C2470</f>
        <v>27/10/2026</v>
      </c>
      <c r="S2470" s="4" t="str">
        <f>D2470</f>
        <v>martes</v>
      </c>
      <c r="T2470" s="4" t="str">
        <f>E2470&amp;"/"&amp;E2471</f>
        <v>2028/2029</v>
      </c>
      <c r="U2470" s="4" t="str">
        <f>F2470&amp;"-"&amp;G2470&amp;"-"&amp;F2470</f>
        <v>LIM-CUZ-LIM</v>
      </c>
      <c r="V2470" s="4" t="str">
        <f>IF($M$2470="","",$M$2470)</f>
        <v/>
      </c>
      <c r="W2470" s="4" t="str">
        <f>IF($O$2470="","",$O$2470)</f>
        <v/>
      </c>
      <c r="X2470" s="4">
        <f>J2470</f>
        <v>320</v>
      </c>
    </row>
    <row r="2471" spans="2:24" ht="30" x14ac:dyDescent="0.25">
      <c r="B2471" s="4">
        <v>2304</v>
      </c>
      <c r="C2471" s="4" t="s">
        <v>218</v>
      </c>
      <c r="D2471" s="4" t="s">
        <v>154</v>
      </c>
      <c r="E2471" s="4">
        <v>2029</v>
      </c>
      <c r="F2471" s="4" t="s">
        <v>30</v>
      </c>
      <c r="G2471" s="4" t="s">
        <v>29</v>
      </c>
      <c r="H2471" s="4" t="s">
        <v>89</v>
      </c>
      <c r="I2471" s="4" t="s">
        <v>209</v>
      </c>
      <c r="J2471" s="4">
        <v>320</v>
      </c>
      <c r="K2471" t="str">
        <f>TEXT(TIMEVALUE(H2471)-TIMEVALUE(I2470)+(TIMEVALUE(H2471)&lt;TIMEVALUE(I2470)),"[h]:mm")</f>
        <v>0:35</v>
      </c>
      <c r="L2471" s="4" t="s">
        <v>36</v>
      </c>
      <c r="O2471" t="str">
        <f>"LIM-"&amp;G2470&amp;"-LIM   LA "&amp;E2470&amp;" ("&amp;LEFT(H2470,5)&amp;"-"&amp;LEFT(I2470,5)&amp;" hrs)  /  LA "&amp;E2471&amp;" ("&amp;LEFT(H2471,5)&amp;"-"&amp;LEFT(I2471,5)&amp;" hrs)"</f>
        <v>LIM-CUZ-LIM   LA 2028 (13:35-15:00 hrs)  /  LA 2029 (15:35-17:10 hrs)</v>
      </c>
    </row>
    <row r="2472" spans="2:24" x14ac:dyDescent="0.25">
      <c r="J2472" s="7" t="s">
        <v>43</v>
      </c>
      <c r="K2472" s="8" t="str">
        <f>TEXT(TIMEVALUE(I2471)-TIMEVALUE(H2470)+(I2471&lt;H2470),"[h]:mm")</f>
        <v>3:35</v>
      </c>
    </row>
    <row r="2474" spans="2:24" ht="30" x14ac:dyDescent="0.25">
      <c r="B2474" s="3" t="s">
        <v>9</v>
      </c>
      <c r="C2474" s="3" t="s">
        <v>17</v>
      </c>
      <c r="D2474" s="3" t="s">
        <v>18</v>
      </c>
      <c r="E2474" s="3" t="s">
        <v>19</v>
      </c>
      <c r="F2474" s="3" t="s">
        <v>20</v>
      </c>
      <c r="G2474" s="3" t="s">
        <v>21</v>
      </c>
      <c r="H2474" s="3" t="s">
        <v>22</v>
      </c>
      <c r="I2474" s="3" t="s">
        <v>23</v>
      </c>
      <c r="J2474" s="3" t="s">
        <v>24</v>
      </c>
      <c r="K2474" s="3" t="s">
        <v>25</v>
      </c>
      <c r="L2474" s="3" t="s">
        <v>26</v>
      </c>
    </row>
    <row r="2475" spans="2:24" ht="30" x14ac:dyDescent="0.25">
      <c r="B2475" s="4">
        <v>2305</v>
      </c>
      <c r="C2475" s="4" t="s">
        <v>218</v>
      </c>
      <c r="D2475" s="4" t="s">
        <v>154</v>
      </c>
      <c r="E2475" s="4">
        <v>2234</v>
      </c>
      <c r="F2475" s="4" t="s">
        <v>29</v>
      </c>
      <c r="G2475" s="4" t="s">
        <v>63</v>
      </c>
      <c r="H2475" s="4" t="s">
        <v>72</v>
      </c>
      <c r="I2475" s="4" t="s">
        <v>76</v>
      </c>
      <c r="J2475" s="4">
        <v>320</v>
      </c>
      <c r="L2475" s="4" t="s">
        <v>66</v>
      </c>
      <c r="M2475" s="5"/>
      <c r="O2475" s="5"/>
      <c r="Q2475" s="4">
        <f>B2475</f>
        <v>2305</v>
      </c>
      <c r="R2475" s="4" t="str">
        <f>C2475</f>
        <v>27/10/2026</v>
      </c>
      <c r="S2475" s="4" t="str">
        <f>D2475</f>
        <v>martes</v>
      </c>
      <c r="T2475" s="4" t="str">
        <f>E2475&amp;"/"&amp;E2476</f>
        <v>2234/2235</v>
      </c>
      <c r="U2475" s="4" t="str">
        <f>F2475&amp;"-"&amp;G2475&amp;"-"&amp;F2475</f>
        <v>LIM-IQT-LIM</v>
      </c>
      <c r="V2475" s="4" t="str">
        <f>IF($M$2475="","",$M$2475)</f>
        <v/>
      </c>
      <c r="W2475" s="4" t="str">
        <f>IF($O$2475="","",$O$2475)</f>
        <v/>
      </c>
      <c r="X2475" s="4">
        <f>J2475</f>
        <v>320</v>
      </c>
    </row>
    <row r="2476" spans="2:24" ht="30" x14ac:dyDescent="0.25">
      <c r="B2476" s="4">
        <v>2305</v>
      </c>
      <c r="C2476" s="4" t="s">
        <v>218</v>
      </c>
      <c r="D2476" s="4" t="s">
        <v>154</v>
      </c>
      <c r="E2476" s="4">
        <v>2235</v>
      </c>
      <c r="F2476" s="4" t="s">
        <v>63</v>
      </c>
      <c r="G2476" s="4" t="s">
        <v>29</v>
      </c>
      <c r="H2476" s="4" t="s">
        <v>85</v>
      </c>
      <c r="I2476" s="4" t="s">
        <v>121</v>
      </c>
      <c r="J2476" s="4">
        <v>320</v>
      </c>
      <c r="K2476" t="str">
        <f>TEXT(TIMEVALUE(H2476)-TIMEVALUE(I2475)+(TIMEVALUE(H2476)&lt;TIMEVALUE(I2475)),"[h]:mm")</f>
        <v>0:35</v>
      </c>
      <c r="L2476" s="4" t="s">
        <v>66</v>
      </c>
      <c r="O2476" t="str">
        <f>"LIM-"&amp;G2475&amp;"-LIM   LA "&amp;E2475&amp;" ("&amp;LEFT(H2475,5)&amp;"-"&amp;LEFT(I2475,5)&amp;" hrs)  /  LA "&amp;E2476&amp;" ("&amp;LEFT(H2476,5)&amp;"-"&amp;LEFT(I2476,5)&amp;" hrs)"</f>
        <v>LIM-IQT-LIM   LA 2234 (13:40-15:30 hrs)  /  LA 2235 (16:05-17:55 hrs)</v>
      </c>
    </row>
    <row r="2477" spans="2:24" x14ac:dyDescent="0.25">
      <c r="J2477" s="7" t="s">
        <v>43</v>
      </c>
      <c r="K2477" s="8" t="str">
        <f>TEXT(TIMEVALUE(I2476)-TIMEVALUE(H2475)+(I2476&lt;H2475),"[h]:mm")</f>
        <v>4:15</v>
      </c>
    </row>
    <row r="2479" spans="2:24" ht="30" x14ac:dyDescent="0.25">
      <c r="B2479" s="3" t="s">
        <v>9</v>
      </c>
      <c r="C2479" s="3" t="s">
        <v>17</v>
      </c>
      <c r="D2479" s="3" t="s">
        <v>18</v>
      </c>
      <c r="E2479" s="3" t="s">
        <v>19</v>
      </c>
      <c r="F2479" s="3" t="s">
        <v>20</v>
      </c>
      <c r="G2479" s="3" t="s">
        <v>21</v>
      </c>
      <c r="H2479" s="3" t="s">
        <v>22</v>
      </c>
      <c r="I2479" s="3" t="s">
        <v>23</v>
      </c>
      <c r="J2479" s="3" t="s">
        <v>24</v>
      </c>
      <c r="K2479" s="3" t="s">
        <v>25</v>
      </c>
      <c r="L2479" s="3" t="s">
        <v>26</v>
      </c>
    </row>
    <row r="2480" spans="2:24" ht="30" x14ac:dyDescent="0.25">
      <c r="B2480" s="4">
        <v>2311</v>
      </c>
      <c r="C2480" s="4" t="s">
        <v>218</v>
      </c>
      <c r="D2480" s="4" t="s">
        <v>154</v>
      </c>
      <c r="E2480" s="4">
        <v>2338</v>
      </c>
      <c r="F2480" s="4" t="s">
        <v>29</v>
      </c>
      <c r="G2480" s="4" t="s">
        <v>125</v>
      </c>
      <c r="H2480" s="4" t="s">
        <v>87</v>
      </c>
      <c r="I2480" s="4" t="s">
        <v>60</v>
      </c>
      <c r="J2480" s="4">
        <v>320</v>
      </c>
      <c r="L2480" s="4" t="s">
        <v>47</v>
      </c>
      <c r="M2480" s="5"/>
      <c r="O2480" s="5"/>
      <c r="Q2480" s="4">
        <f>B2480</f>
        <v>2311</v>
      </c>
      <c r="R2480" s="4" t="str">
        <f>C2480</f>
        <v>27/10/2026</v>
      </c>
      <c r="S2480" s="4" t="str">
        <f>D2480</f>
        <v>martes</v>
      </c>
      <c r="T2480" s="4" t="str">
        <f>E2480&amp;"/"&amp;E2481</f>
        <v>2338/2339</v>
      </c>
      <c r="U2480" s="4" t="str">
        <f>F2480&amp;"-"&amp;G2480&amp;"-"&amp;F2480</f>
        <v>LIM-PIU-LIM</v>
      </c>
      <c r="V2480" s="4" t="str">
        <f>IF($M$2480="","",$M$2480)</f>
        <v/>
      </c>
      <c r="W2480" s="4" t="str">
        <f>IF($O$2480="","",$O$2480)</f>
        <v/>
      </c>
      <c r="X2480" s="4">
        <f>J2480</f>
        <v>320</v>
      </c>
    </row>
    <row r="2481" spans="2:24" ht="30" x14ac:dyDescent="0.25">
      <c r="B2481" s="4">
        <v>2311</v>
      </c>
      <c r="C2481" s="4" t="s">
        <v>218</v>
      </c>
      <c r="D2481" s="4" t="s">
        <v>154</v>
      </c>
      <c r="E2481" s="4">
        <v>2339</v>
      </c>
      <c r="F2481" s="4" t="s">
        <v>125</v>
      </c>
      <c r="G2481" s="4" t="s">
        <v>29</v>
      </c>
      <c r="H2481" s="4" t="s">
        <v>53</v>
      </c>
      <c r="I2481" s="4" t="s">
        <v>88</v>
      </c>
      <c r="J2481" s="4">
        <v>320</v>
      </c>
      <c r="K2481" t="str">
        <f>TEXT(TIMEVALUE(H2481)-TIMEVALUE(I2480)+(TIMEVALUE(H2481)&lt;TIMEVALUE(I2480)),"[h]:mm")</f>
        <v>0:40</v>
      </c>
      <c r="L2481" s="4" t="s">
        <v>36</v>
      </c>
      <c r="O2481" t="str">
        <f>"LIM-"&amp;G2480&amp;"-LIM   LA "&amp;E2480&amp;" ("&amp;LEFT(H2480,5)&amp;"-"&amp;LEFT(I2480,5)&amp;" hrs)  /  LA "&amp;E2481&amp;" ("&amp;LEFT(H2481,5)&amp;"-"&amp;LEFT(I2481,5)&amp;" hrs)"</f>
        <v>LIM-PIU-LIM   LA 2338 (14:55-16:40 hrs)  /  LA 2339 (17:20-18:55 hrs)</v>
      </c>
    </row>
    <row r="2482" spans="2:24" ht="30" x14ac:dyDescent="0.25">
      <c r="B2482" s="4">
        <v>2326</v>
      </c>
      <c r="C2482" s="4" t="s">
        <v>218</v>
      </c>
      <c r="D2482" s="4" t="s">
        <v>154</v>
      </c>
      <c r="E2482" s="4">
        <v>2278</v>
      </c>
      <c r="F2482" s="4" t="s">
        <v>29</v>
      </c>
      <c r="G2482" s="4" t="s">
        <v>37</v>
      </c>
      <c r="H2482" s="4" t="s">
        <v>122</v>
      </c>
      <c r="I2482" s="4" t="s">
        <v>159</v>
      </c>
      <c r="J2482" s="4">
        <v>320</v>
      </c>
      <c r="K2482" s="6" t="str">
        <f>TEXT(TIMEVALUE(H2482)-TIMEVALUE(I2481)+(TIMEVALUE(H2482)&lt;TIMEVALUE(I2481)),"[h]:mm")</f>
        <v>1:15</v>
      </c>
      <c r="L2482" s="4" t="s">
        <v>40</v>
      </c>
      <c r="M2482" t="str">
        <f>IF($M$2480="","",$M$2480)</f>
        <v/>
      </c>
      <c r="O2482" t="str">
        <f>IF($O$2480="","",$O$2480)</f>
        <v/>
      </c>
      <c r="Q2482" s="4">
        <f>B2482</f>
        <v>2326</v>
      </c>
      <c r="R2482" s="4" t="str">
        <f>C2482</f>
        <v>27/10/2026</v>
      </c>
      <c r="S2482" s="4" t="str">
        <f>D2482</f>
        <v>martes</v>
      </c>
      <c r="T2482" s="4" t="str">
        <f>E2482&amp;"/"&amp;E2483</f>
        <v>2278/2279</v>
      </c>
      <c r="U2482" s="4" t="str">
        <f>F2482&amp;"-"&amp;G2482&amp;"-"&amp;F2482</f>
        <v>LIM-CIX-LIM</v>
      </c>
      <c r="V2482" s="4" t="str">
        <f>IF($M$2480="","",$M$2480)</f>
        <v/>
      </c>
      <c r="W2482" s="4" t="str">
        <f>IF($O$2480="","",$O$2480)</f>
        <v/>
      </c>
      <c r="X2482" s="4">
        <f>J2482</f>
        <v>320</v>
      </c>
    </row>
    <row r="2483" spans="2:24" ht="30" x14ac:dyDescent="0.25">
      <c r="B2483" s="4">
        <v>2326</v>
      </c>
      <c r="C2483" s="4" t="s">
        <v>218</v>
      </c>
      <c r="D2483" s="4" t="s">
        <v>154</v>
      </c>
      <c r="E2483" s="4">
        <v>2279</v>
      </c>
      <c r="F2483" s="4" t="s">
        <v>37</v>
      </c>
      <c r="G2483" s="4" t="s">
        <v>29</v>
      </c>
      <c r="H2483" s="4" t="s">
        <v>160</v>
      </c>
      <c r="I2483" s="4" t="s">
        <v>219</v>
      </c>
      <c r="J2483" s="4">
        <v>320</v>
      </c>
      <c r="K2483" t="str">
        <f>TEXT(TIMEVALUE(H2483)-TIMEVALUE(I2482)+(TIMEVALUE(H2483)&lt;TIMEVALUE(I2482)),"[h]:mm")</f>
        <v>0:35</v>
      </c>
      <c r="L2483" s="4" t="s">
        <v>33</v>
      </c>
      <c r="O2483" t="str">
        <f>"LIM-"&amp;G2482&amp;"-LIM   LA "&amp;E2482&amp;" ("&amp;LEFT(H2482,5)&amp;"-"&amp;LEFT(I2482,5)&amp;" hrs)  /  LA "&amp;E2483&amp;" ("&amp;LEFT(H2483,5)&amp;"-"&amp;LEFT(I2483,5)&amp;" hrs)"</f>
        <v>LIM-CIX-LIM   LA 2278 (20:10-21:40 hrs)  /  LA 2279 (22:15-23:35 hrs)</v>
      </c>
    </row>
    <row r="2484" spans="2:24" x14ac:dyDescent="0.25">
      <c r="J2484" s="7" t="s">
        <v>43</v>
      </c>
      <c r="K2484" s="8" t="str">
        <f>TEXT(TIMEVALUE(I2483)-TIMEVALUE(H2480)+(I2483&lt;H2480),"[h]:mm")</f>
        <v>8:40</v>
      </c>
    </row>
    <row r="2486" spans="2:24" ht="30" x14ac:dyDescent="0.25">
      <c r="B2486" s="3" t="s">
        <v>9</v>
      </c>
      <c r="C2486" s="3" t="s">
        <v>17</v>
      </c>
      <c r="D2486" s="3" t="s">
        <v>18</v>
      </c>
      <c r="E2486" s="3" t="s">
        <v>19</v>
      </c>
      <c r="F2486" s="3" t="s">
        <v>20</v>
      </c>
      <c r="G2486" s="3" t="s">
        <v>21</v>
      </c>
      <c r="H2486" s="3" t="s">
        <v>22</v>
      </c>
      <c r="I2486" s="3" t="s">
        <v>23</v>
      </c>
      <c r="J2486" s="3" t="s">
        <v>24</v>
      </c>
      <c r="K2486" s="3" t="s">
        <v>25</v>
      </c>
      <c r="L2486" s="3" t="s">
        <v>26</v>
      </c>
    </row>
    <row r="2487" spans="2:24" ht="30" x14ac:dyDescent="0.25">
      <c r="B2487" s="4">
        <v>2312</v>
      </c>
      <c r="C2487" s="4" t="s">
        <v>218</v>
      </c>
      <c r="D2487" s="4" t="s">
        <v>154</v>
      </c>
      <c r="E2487" s="4">
        <v>2113</v>
      </c>
      <c r="F2487" s="4" t="s">
        <v>29</v>
      </c>
      <c r="G2487" s="4" t="s">
        <v>56</v>
      </c>
      <c r="H2487" s="4" t="s">
        <v>126</v>
      </c>
      <c r="I2487" s="4" t="s">
        <v>52</v>
      </c>
      <c r="J2487" s="4">
        <v>320</v>
      </c>
      <c r="L2487" s="4" t="s">
        <v>40</v>
      </c>
      <c r="M2487" s="5"/>
      <c r="O2487" s="5"/>
      <c r="Q2487" s="4">
        <f>B2487</f>
        <v>2312</v>
      </c>
      <c r="R2487" s="4" t="str">
        <f>C2487</f>
        <v>27/10/2026</v>
      </c>
      <c r="S2487" s="4" t="str">
        <f>D2487</f>
        <v>martes</v>
      </c>
      <c r="T2487" s="4" t="str">
        <f>E2487&amp;"/"&amp;E2488</f>
        <v>2113/2112</v>
      </c>
      <c r="U2487" s="4" t="str">
        <f>F2487&amp;"-"&amp;G2487&amp;"-"&amp;F2487</f>
        <v>LIM-AQP-LIM</v>
      </c>
      <c r="V2487" s="4" t="str">
        <f>IF($M$2487="","",$M$2487)</f>
        <v/>
      </c>
      <c r="W2487" s="4" t="str">
        <f>IF($O$2487="","",$O$2487)</f>
        <v/>
      </c>
      <c r="X2487" s="4">
        <f>J2487</f>
        <v>320</v>
      </c>
    </row>
    <row r="2488" spans="2:24" ht="30" x14ac:dyDescent="0.25">
      <c r="B2488" s="4">
        <v>2312</v>
      </c>
      <c r="C2488" s="4" t="s">
        <v>218</v>
      </c>
      <c r="D2488" s="4" t="s">
        <v>154</v>
      </c>
      <c r="E2488" s="4">
        <v>2112</v>
      </c>
      <c r="F2488" s="4" t="s">
        <v>56</v>
      </c>
      <c r="G2488" s="4" t="s">
        <v>29</v>
      </c>
      <c r="H2488" s="4" t="s">
        <v>42</v>
      </c>
      <c r="I2488" s="4" t="s">
        <v>127</v>
      </c>
      <c r="J2488" s="4">
        <v>320</v>
      </c>
      <c r="K2488" t="str">
        <f>TEXT(TIMEVALUE(H2488)-TIMEVALUE(I2487)+(TIMEVALUE(H2488)&lt;TIMEVALUE(I2487)),"[h]:mm")</f>
        <v>0:40</v>
      </c>
      <c r="L2488" s="4" t="s">
        <v>36</v>
      </c>
      <c r="O2488" t="str">
        <f>"LIM-"&amp;G2487&amp;"-LIM   LA "&amp;E2487&amp;" ("&amp;LEFT(H2487,5)&amp;"-"&amp;LEFT(I2487,5)&amp;" hrs)  /  LA "&amp;E2488&amp;" ("&amp;LEFT(H2488,5)&amp;"-"&amp;LEFT(I2488,5)&amp;" hrs)"</f>
        <v>LIM-AQP-LIM   LA 2113 (15:05-16:35 hrs)  /  LA 2112 (17:15-18:50 hrs)</v>
      </c>
    </row>
    <row r="2489" spans="2:24" x14ac:dyDescent="0.25">
      <c r="J2489" s="7" t="s">
        <v>43</v>
      </c>
      <c r="K2489" s="8" t="str">
        <f>TEXT(TIMEVALUE(I2488)-TIMEVALUE(H2487)+(I2488&lt;H2487),"[h]:mm")</f>
        <v>3:45</v>
      </c>
    </row>
    <row r="2491" spans="2:24" ht="30" x14ac:dyDescent="0.25">
      <c r="B2491" s="3" t="s">
        <v>9</v>
      </c>
      <c r="C2491" s="3" t="s">
        <v>17</v>
      </c>
      <c r="D2491" s="3" t="s">
        <v>18</v>
      </c>
      <c r="E2491" s="3" t="s">
        <v>19</v>
      </c>
      <c r="F2491" s="3" t="s">
        <v>20</v>
      </c>
      <c r="G2491" s="3" t="s">
        <v>21</v>
      </c>
      <c r="H2491" s="3" t="s">
        <v>22</v>
      </c>
      <c r="I2491" s="3" t="s">
        <v>23</v>
      </c>
      <c r="J2491" s="3" t="s">
        <v>24</v>
      </c>
      <c r="K2491" s="3" t="s">
        <v>25</v>
      </c>
      <c r="L2491" s="3" t="s">
        <v>26</v>
      </c>
    </row>
    <row r="2492" spans="2:24" ht="30" x14ac:dyDescent="0.25">
      <c r="B2492" s="4">
        <v>2313</v>
      </c>
      <c r="C2492" s="4" t="s">
        <v>218</v>
      </c>
      <c r="D2492" s="4" t="s">
        <v>154</v>
      </c>
      <c r="E2492" s="4">
        <v>2113</v>
      </c>
      <c r="F2492" s="4" t="s">
        <v>29</v>
      </c>
      <c r="G2492" s="4" t="s">
        <v>56</v>
      </c>
      <c r="H2492" s="4" t="s">
        <v>126</v>
      </c>
      <c r="I2492" s="4" t="s">
        <v>52</v>
      </c>
      <c r="J2492" s="4">
        <v>320</v>
      </c>
      <c r="L2492" s="4" t="s">
        <v>40</v>
      </c>
      <c r="M2492" s="5"/>
      <c r="O2492" s="5"/>
      <c r="Q2492" s="4">
        <f>B2492</f>
        <v>2313</v>
      </c>
      <c r="R2492" s="4" t="str">
        <f>C2492</f>
        <v>27/10/2026</v>
      </c>
      <c r="S2492" s="4" t="str">
        <f>D2492</f>
        <v>martes</v>
      </c>
      <c r="T2492" s="4" t="str">
        <f>E2492&amp;"/"&amp;E2493</f>
        <v>2113/2112</v>
      </c>
      <c r="U2492" s="4" t="str">
        <f>F2492&amp;"-"&amp;G2492&amp;"-"&amp;F2492</f>
        <v>LIM-AQP-LIM</v>
      </c>
      <c r="V2492" s="4" t="str">
        <f>IF($M$2492="","",$M$2492)</f>
        <v/>
      </c>
      <c r="W2492" s="4" t="str">
        <f>IF($O$2492="","",$O$2492)</f>
        <v/>
      </c>
      <c r="X2492" s="4">
        <f>J2492</f>
        <v>320</v>
      </c>
    </row>
    <row r="2493" spans="2:24" ht="30" x14ac:dyDescent="0.25">
      <c r="B2493" s="4">
        <v>2313</v>
      </c>
      <c r="C2493" s="4" t="s">
        <v>218</v>
      </c>
      <c r="D2493" s="4" t="s">
        <v>154</v>
      </c>
      <c r="E2493" s="4">
        <v>2112</v>
      </c>
      <c r="F2493" s="4" t="s">
        <v>56</v>
      </c>
      <c r="G2493" s="4" t="s">
        <v>29</v>
      </c>
      <c r="H2493" s="4" t="s">
        <v>42</v>
      </c>
      <c r="I2493" s="4" t="s">
        <v>127</v>
      </c>
      <c r="J2493" s="4">
        <v>320</v>
      </c>
      <c r="K2493" t="str">
        <f>TEXT(TIMEVALUE(H2493)-TIMEVALUE(I2492)+(TIMEVALUE(H2493)&lt;TIMEVALUE(I2492)),"[h]:mm")</f>
        <v>0:40</v>
      </c>
      <c r="L2493" s="4" t="s">
        <v>36</v>
      </c>
      <c r="O2493" t="str">
        <f>"LIM-"&amp;G2492&amp;"-LIM   LA "&amp;E2492&amp;" ("&amp;LEFT(H2492,5)&amp;"-"&amp;LEFT(I2492,5)&amp;" hrs)  /  LA "&amp;E2493&amp;" ("&amp;LEFT(H2493,5)&amp;"-"&amp;LEFT(I2493,5)&amp;" hrs)"</f>
        <v>LIM-AQP-LIM   LA 2113 (15:05-16:35 hrs)  /  LA 2112 (17:15-18:50 hrs)</v>
      </c>
    </row>
    <row r="2494" spans="2:24" x14ac:dyDescent="0.25">
      <c r="J2494" s="7" t="s">
        <v>43</v>
      </c>
      <c r="K2494" s="8" t="str">
        <f>TEXT(TIMEVALUE(I2493)-TIMEVALUE(H2492)+(I2493&lt;H2492),"[h]:mm")</f>
        <v>3:45</v>
      </c>
    </row>
    <row r="2496" spans="2:24" ht="30" x14ac:dyDescent="0.25">
      <c r="B2496" s="3" t="s">
        <v>9</v>
      </c>
      <c r="C2496" s="3" t="s">
        <v>17</v>
      </c>
      <c r="D2496" s="3" t="s">
        <v>18</v>
      </c>
      <c r="E2496" s="3" t="s">
        <v>19</v>
      </c>
      <c r="F2496" s="3" t="s">
        <v>20</v>
      </c>
      <c r="G2496" s="3" t="s">
        <v>21</v>
      </c>
      <c r="H2496" s="3" t="s">
        <v>22</v>
      </c>
      <c r="I2496" s="3" t="s">
        <v>23</v>
      </c>
      <c r="J2496" s="3" t="s">
        <v>24</v>
      </c>
      <c r="K2496" s="3" t="s">
        <v>25</v>
      </c>
      <c r="L2496" s="3" t="s">
        <v>26</v>
      </c>
    </row>
    <row r="2497" spans="2:24" ht="30" x14ac:dyDescent="0.25">
      <c r="B2497" s="4">
        <v>2314</v>
      </c>
      <c r="C2497" s="4" t="s">
        <v>218</v>
      </c>
      <c r="D2497" s="4" t="s">
        <v>154</v>
      </c>
      <c r="E2497" s="4">
        <v>2297</v>
      </c>
      <c r="F2497" s="4" t="s">
        <v>29</v>
      </c>
      <c r="G2497" s="4" t="s">
        <v>50</v>
      </c>
      <c r="H2497" s="4" t="s">
        <v>51</v>
      </c>
      <c r="I2497" s="4" t="s">
        <v>52</v>
      </c>
      <c r="J2497" s="4">
        <v>320</v>
      </c>
      <c r="L2497" s="4" t="s">
        <v>33</v>
      </c>
      <c r="M2497" s="5"/>
      <c r="O2497" s="5"/>
      <c r="Q2497" s="4">
        <f>B2497</f>
        <v>2314</v>
      </c>
      <c r="R2497" s="4" t="str">
        <f>C2497</f>
        <v>27/10/2026</v>
      </c>
      <c r="S2497" s="4" t="str">
        <f>D2497</f>
        <v>martes</v>
      </c>
      <c r="T2497" s="4" t="str">
        <f>E2497&amp;"/"&amp;E2498</f>
        <v>2297/2296</v>
      </c>
      <c r="U2497" s="4" t="str">
        <f>F2497&amp;"-"&amp;G2497&amp;"-"&amp;F2497</f>
        <v>LIM-CJA-LIM</v>
      </c>
      <c r="V2497" s="4" t="str">
        <f>IF($M$2497="","",$M$2497)</f>
        <v/>
      </c>
      <c r="W2497" s="4" t="str">
        <f>IF($O$2497="","",$O$2497)</f>
        <v/>
      </c>
      <c r="X2497" s="4">
        <f>J2497</f>
        <v>320</v>
      </c>
    </row>
    <row r="2498" spans="2:24" ht="30" x14ac:dyDescent="0.25">
      <c r="B2498" s="4">
        <v>2314</v>
      </c>
      <c r="C2498" s="4" t="s">
        <v>218</v>
      </c>
      <c r="D2498" s="4" t="s">
        <v>154</v>
      </c>
      <c r="E2498" s="4">
        <v>2296</v>
      </c>
      <c r="F2498" s="4" t="s">
        <v>50</v>
      </c>
      <c r="G2498" s="4" t="s">
        <v>29</v>
      </c>
      <c r="H2498" s="4" t="s">
        <v>206</v>
      </c>
      <c r="I2498" s="4" t="s">
        <v>207</v>
      </c>
      <c r="J2498" s="4">
        <v>320</v>
      </c>
      <c r="K2498" t="str">
        <f>TEXT(TIMEVALUE(H2498)-TIMEVALUE(I2497)+(TIMEVALUE(H2498)&lt;TIMEVALUE(I2497)),"[h]:mm")</f>
        <v>0:50</v>
      </c>
      <c r="L2498" s="4" t="s">
        <v>61</v>
      </c>
      <c r="O2498" t="str">
        <f>"LIM-"&amp;G2497&amp;"-LIM   LA "&amp;E2497&amp;" ("&amp;LEFT(H2497,5)&amp;"-"&amp;LEFT(I2497,5)&amp;" hrs)  /  LA "&amp;E2498&amp;" ("&amp;LEFT(H2498,5)&amp;"-"&amp;LEFT(I2498,5)&amp;" hrs)"</f>
        <v>LIM-CJA-LIM   LA 2297 (15:15-16:35 hrs)  /  LA 2296 (17:25-18:40 hrs)</v>
      </c>
    </row>
    <row r="2499" spans="2:24" x14ac:dyDescent="0.25">
      <c r="J2499" s="7" t="s">
        <v>43</v>
      </c>
      <c r="K2499" s="8" t="str">
        <f>TEXT(TIMEVALUE(I2498)-TIMEVALUE(H2497)+(I2498&lt;H2497),"[h]:mm")</f>
        <v>3:25</v>
      </c>
    </row>
    <row r="2501" spans="2:24" ht="30" x14ac:dyDescent="0.25">
      <c r="B2501" s="3" t="s">
        <v>9</v>
      </c>
      <c r="C2501" s="3" t="s">
        <v>17</v>
      </c>
      <c r="D2501" s="3" t="s">
        <v>18</v>
      </c>
      <c r="E2501" s="3" t="s">
        <v>19</v>
      </c>
      <c r="F2501" s="3" t="s">
        <v>20</v>
      </c>
      <c r="G2501" s="3" t="s">
        <v>21</v>
      </c>
      <c r="H2501" s="3" t="s">
        <v>22</v>
      </c>
      <c r="I2501" s="3" t="s">
        <v>23</v>
      </c>
      <c r="J2501" s="3" t="s">
        <v>24</v>
      </c>
      <c r="K2501" s="3" t="s">
        <v>25</v>
      </c>
      <c r="L2501" s="3" t="s">
        <v>26</v>
      </c>
    </row>
    <row r="2502" spans="2:24" ht="30" x14ac:dyDescent="0.25">
      <c r="B2502" s="4">
        <v>2317</v>
      </c>
      <c r="C2502" s="4" t="s">
        <v>218</v>
      </c>
      <c r="D2502" s="4" t="s">
        <v>154</v>
      </c>
      <c r="E2502" s="4">
        <v>2312</v>
      </c>
      <c r="F2502" s="4" t="s">
        <v>29</v>
      </c>
      <c r="G2502" s="4" t="s">
        <v>37</v>
      </c>
      <c r="H2502" s="4" t="s">
        <v>89</v>
      </c>
      <c r="I2502" s="4" t="s">
        <v>77</v>
      </c>
      <c r="J2502" s="4">
        <v>319</v>
      </c>
      <c r="L2502" s="4" t="s">
        <v>40</v>
      </c>
      <c r="M2502" s="5"/>
      <c r="O2502" s="5"/>
      <c r="Q2502" s="4">
        <f>B2502</f>
        <v>2317</v>
      </c>
      <c r="R2502" s="4" t="str">
        <f>C2502</f>
        <v>27/10/2026</v>
      </c>
      <c r="S2502" s="4" t="str">
        <f>D2502</f>
        <v>martes</v>
      </c>
      <c r="T2502" s="4" t="str">
        <f>E2502&amp;"/"&amp;E2503</f>
        <v>2312/2313</v>
      </c>
      <c r="U2502" s="4" t="str">
        <f>F2502&amp;"-"&amp;G2502&amp;"-"&amp;F2502</f>
        <v>LIM-CIX-LIM</v>
      </c>
      <c r="V2502" s="4" t="str">
        <f>IF($M$2502="","",$M$2502)</f>
        <v/>
      </c>
      <c r="W2502" s="4" t="str">
        <f>IF($O$2502="","",$O$2502)</f>
        <v/>
      </c>
      <c r="X2502" s="4">
        <f>J2502</f>
        <v>319</v>
      </c>
    </row>
    <row r="2503" spans="2:24" ht="30" x14ac:dyDescent="0.25">
      <c r="B2503" s="4">
        <v>2317</v>
      </c>
      <c r="C2503" s="4" t="s">
        <v>218</v>
      </c>
      <c r="D2503" s="4" t="s">
        <v>154</v>
      </c>
      <c r="E2503" s="4">
        <v>2313</v>
      </c>
      <c r="F2503" s="4" t="s">
        <v>37</v>
      </c>
      <c r="G2503" s="4" t="s">
        <v>29</v>
      </c>
      <c r="H2503" s="4" t="s">
        <v>181</v>
      </c>
      <c r="I2503" s="4" t="s">
        <v>213</v>
      </c>
      <c r="J2503" s="4">
        <v>319</v>
      </c>
      <c r="K2503" t="str">
        <f>TEXT(TIMEVALUE(H2503)-TIMEVALUE(I2502)+(TIMEVALUE(H2503)&lt;TIMEVALUE(I2502)),"[h]:mm")</f>
        <v>0:40</v>
      </c>
      <c r="L2503" s="4" t="s">
        <v>33</v>
      </c>
      <c r="O2503" t="str">
        <f>"LIM-"&amp;G2502&amp;"-LIM   LA "&amp;E2502&amp;" ("&amp;LEFT(H2502,5)&amp;"-"&amp;LEFT(I2502,5)&amp;" hrs)  /  LA "&amp;E2503&amp;" ("&amp;LEFT(H2503,5)&amp;"-"&amp;LEFT(I2503,5)&amp;" hrs)"</f>
        <v>LIM-CIX-LIM   LA 2312 (15:35-17:05 hrs)  /  LA 2313 (17:45-19:05 hrs)</v>
      </c>
    </row>
    <row r="2504" spans="2:24" x14ac:dyDescent="0.25">
      <c r="J2504" s="7" t="s">
        <v>43</v>
      </c>
      <c r="K2504" s="8" t="str">
        <f>TEXT(TIMEVALUE(I2503)-TIMEVALUE(H2502)+(I2503&lt;H2502),"[h]:mm")</f>
        <v>3:30</v>
      </c>
    </row>
    <row r="2506" spans="2:24" ht="30" x14ac:dyDescent="0.25">
      <c r="B2506" s="3" t="s">
        <v>9</v>
      </c>
      <c r="C2506" s="3" t="s">
        <v>17</v>
      </c>
      <c r="D2506" s="3" t="s">
        <v>18</v>
      </c>
      <c r="E2506" s="3" t="s">
        <v>19</v>
      </c>
      <c r="F2506" s="3" t="s">
        <v>20</v>
      </c>
      <c r="G2506" s="3" t="s">
        <v>21</v>
      </c>
      <c r="H2506" s="3" t="s">
        <v>22</v>
      </c>
      <c r="I2506" s="3" t="s">
        <v>23</v>
      </c>
      <c r="J2506" s="3" t="s">
        <v>24</v>
      </c>
      <c r="K2506" s="3" t="s">
        <v>25</v>
      </c>
      <c r="L2506" s="3" t="s">
        <v>26</v>
      </c>
    </row>
    <row r="2507" spans="2:24" ht="30" x14ac:dyDescent="0.25">
      <c r="B2507" s="4">
        <v>2318</v>
      </c>
      <c r="C2507" s="4" t="s">
        <v>218</v>
      </c>
      <c r="D2507" s="4" t="s">
        <v>154</v>
      </c>
      <c r="E2507" s="4">
        <v>2360</v>
      </c>
      <c r="F2507" s="4" t="s">
        <v>29</v>
      </c>
      <c r="G2507" s="4" t="s">
        <v>58</v>
      </c>
      <c r="H2507" s="4" t="s">
        <v>89</v>
      </c>
      <c r="I2507" s="4" t="s">
        <v>212</v>
      </c>
      <c r="J2507" s="4">
        <v>319</v>
      </c>
      <c r="L2507" s="4" t="s">
        <v>61</v>
      </c>
      <c r="M2507" s="5"/>
      <c r="O2507" s="5"/>
      <c r="Q2507" s="4">
        <f>B2507</f>
        <v>2318</v>
      </c>
      <c r="R2507" s="4" t="str">
        <f>C2507</f>
        <v>27/10/2026</v>
      </c>
      <c r="S2507" s="4" t="str">
        <f>D2507</f>
        <v>martes</v>
      </c>
      <c r="T2507" s="4" t="str">
        <f>E2507&amp;"/"&amp;E2508</f>
        <v>2360/2361</v>
      </c>
      <c r="U2507" s="4" t="str">
        <f>F2507&amp;"-"&amp;G2507&amp;"-"&amp;F2507</f>
        <v>LIM-PCL-LIM</v>
      </c>
      <c r="V2507" s="4" t="str">
        <f>IF($M$2507="","",$M$2507)</f>
        <v/>
      </c>
      <c r="W2507" s="4" t="str">
        <f>IF($O$2507="","",$O$2507)</f>
        <v/>
      </c>
      <c r="X2507" s="4">
        <f>J2507</f>
        <v>319</v>
      </c>
    </row>
    <row r="2508" spans="2:24" ht="30" x14ac:dyDescent="0.25">
      <c r="B2508" s="4">
        <v>2318</v>
      </c>
      <c r="C2508" s="4" t="s">
        <v>218</v>
      </c>
      <c r="D2508" s="4" t="s">
        <v>154</v>
      </c>
      <c r="E2508" s="4">
        <v>2361</v>
      </c>
      <c r="F2508" s="4" t="s">
        <v>58</v>
      </c>
      <c r="G2508" s="4" t="s">
        <v>29</v>
      </c>
      <c r="H2508" s="4" t="s">
        <v>206</v>
      </c>
      <c r="I2508" s="4" t="s">
        <v>207</v>
      </c>
      <c r="J2508" s="4">
        <v>319</v>
      </c>
      <c r="K2508" t="str">
        <f>TEXT(TIMEVALUE(H2508)-TIMEVALUE(I2507)+(TIMEVALUE(H2508)&lt;TIMEVALUE(I2507)),"[h]:mm")</f>
        <v>0:35</v>
      </c>
      <c r="L2508" s="4" t="s">
        <v>61</v>
      </c>
      <c r="O2508" t="str">
        <f>"LIM-"&amp;G2507&amp;"-LIM   LA "&amp;E2507&amp;" ("&amp;LEFT(H2507,5)&amp;"-"&amp;LEFT(I2507,5)&amp;" hrs)  /  LA "&amp;E2508&amp;" ("&amp;LEFT(H2508,5)&amp;"-"&amp;LEFT(I2508,5)&amp;" hrs)"</f>
        <v>LIM-PCL-LIM   LA 2360 (15:35-16:50 hrs)  /  LA 2361 (17:25-18:40 hrs)</v>
      </c>
    </row>
    <row r="2509" spans="2:24" x14ac:dyDescent="0.25">
      <c r="J2509" s="7" t="s">
        <v>43</v>
      </c>
      <c r="K2509" s="8" t="str">
        <f>TEXT(TIMEVALUE(I2508)-TIMEVALUE(H2507)+(I2508&lt;H2507),"[h]:mm")</f>
        <v>3:05</v>
      </c>
    </row>
    <row r="2511" spans="2:24" ht="30" x14ac:dyDescent="0.25">
      <c r="B2511" s="3" t="s">
        <v>9</v>
      </c>
      <c r="C2511" s="3" t="s">
        <v>17</v>
      </c>
      <c r="D2511" s="3" t="s">
        <v>18</v>
      </c>
      <c r="E2511" s="3" t="s">
        <v>19</v>
      </c>
      <c r="F2511" s="3" t="s">
        <v>20</v>
      </c>
      <c r="G2511" s="3" t="s">
        <v>21</v>
      </c>
      <c r="H2511" s="3" t="s">
        <v>22</v>
      </c>
      <c r="I2511" s="3" t="s">
        <v>23</v>
      </c>
      <c r="J2511" s="3" t="s">
        <v>24</v>
      </c>
      <c r="K2511" s="3" t="s">
        <v>25</v>
      </c>
      <c r="L2511" s="3" t="s">
        <v>26</v>
      </c>
    </row>
    <row r="2512" spans="2:24" ht="30" x14ac:dyDescent="0.25">
      <c r="B2512" s="4">
        <v>2319</v>
      </c>
      <c r="C2512" s="4" t="s">
        <v>218</v>
      </c>
      <c r="D2512" s="4" t="s">
        <v>154</v>
      </c>
      <c r="E2512" s="4">
        <v>2301</v>
      </c>
      <c r="F2512" s="4" t="s">
        <v>29</v>
      </c>
      <c r="G2512" s="4" t="s">
        <v>91</v>
      </c>
      <c r="H2512" s="4" t="s">
        <v>41</v>
      </c>
      <c r="I2512" s="4" t="s">
        <v>53</v>
      </c>
      <c r="J2512" s="4">
        <v>320</v>
      </c>
      <c r="L2512" s="4" t="s">
        <v>93</v>
      </c>
      <c r="M2512" s="5"/>
      <c r="O2512" s="5"/>
      <c r="Q2512" s="4">
        <f>B2512</f>
        <v>2319</v>
      </c>
      <c r="R2512" s="4" t="str">
        <f>C2512</f>
        <v>27/10/2026</v>
      </c>
      <c r="S2512" s="4" t="str">
        <f>D2512</f>
        <v>martes</v>
      </c>
      <c r="T2512" s="4" t="str">
        <f>E2512&amp;"/"&amp;E2513</f>
        <v>2301/2300</v>
      </c>
      <c r="U2512" s="4" t="str">
        <f>F2512&amp;"-"&amp;G2512&amp;"-"&amp;F2512</f>
        <v>LIM-TPP-LIM</v>
      </c>
      <c r="V2512" s="4" t="str">
        <f>IF($M$2512="","",$M$2512)</f>
        <v/>
      </c>
      <c r="W2512" s="4" t="str">
        <f>IF($O$2512="","",$O$2512)</f>
        <v/>
      </c>
      <c r="X2512" s="4">
        <f>J2512</f>
        <v>320</v>
      </c>
    </row>
    <row r="2513" spans="2:24" ht="30" x14ac:dyDescent="0.25">
      <c r="B2513" s="4">
        <v>2319</v>
      </c>
      <c r="C2513" s="4" t="s">
        <v>218</v>
      </c>
      <c r="D2513" s="4" t="s">
        <v>154</v>
      </c>
      <c r="E2513" s="4">
        <v>2300</v>
      </c>
      <c r="F2513" s="4" t="s">
        <v>91</v>
      </c>
      <c r="G2513" s="4" t="s">
        <v>29</v>
      </c>
      <c r="H2513" s="4" t="s">
        <v>111</v>
      </c>
      <c r="I2513" s="4" t="s">
        <v>79</v>
      </c>
      <c r="J2513" s="4">
        <v>320</v>
      </c>
      <c r="K2513" t="str">
        <f>TEXT(TIMEVALUE(H2513)-TIMEVALUE(I2512)+(TIMEVALUE(H2513)&lt;TIMEVALUE(I2512)),"[h]:mm")</f>
        <v>0:55</v>
      </c>
      <c r="L2513" s="4" t="s">
        <v>93</v>
      </c>
      <c r="O2513" t="str">
        <f>"LIM-"&amp;G2512&amp;"-LIM   LA "&amp;E2512&amp;" ("&amp;LEFT(H2512,5)&amp;"-"&amp;LEFT(I2512,5)&amp;" hrs)  /  LA "&amp;E2513&amp;" ("&amp;LEFT(H2513,5)&amp;"-"&amp;LEFT(I2513,5)&amp;" hrs)"</f>
        <v>LIM-TPP-LIM   LA 2301 (15:55-17:20 hrs)  /  LA 2300 (18:15-19:40 hrs)</v>
      </c>
    </row>
    <row r="2514" spans="2:24" x14ac:dyDescent="0.25">
      <c r="J2514" s="7" t="s">
        <v>43</v>
      </c>
      <c r="K2514" s="8" t="str">
        <f>TEXT(TIMEVALUE(I2513)-TIMEVALUE(H2512)+(I2513&lt;H2512),"[h]:mm")</f>
        <v>3:45</v>
      </c>
    </row>
    <row r="2516" spans="2:24" ht="30" x14ac:dyDescent="0.25">
      <c r="B2516" s="3" t="s">
        <v>9</v>
      </c>
      <c r="C2516" s="3" t="s">
        <v>17</v>
      </c>
      <c r="D2516" s="3" t="s">
        <v>18</v>
      </c>
      <c r="E2516" s="3" t="s">
        <v>19</v>
      </c>
      <c r="F2516" s="3" t="s">
        <v>20</v>
      </c>
      <c r="G2516" s="3" t="s">
        <v>21</v>
      </c>
      <c r="H2516" s="3" t="s">
        <v>22</v>
      </c>
      <c r="I2516" s="3" t="s">
        <v>23</v>
      </c>
      <c r="J2516" s="3" t="s">
        <v>24</v>
      </c>
      <c r="K2516" s="3" t="s">
        <v>25</v>
      </c>
      <c r="L2516" s="3" t="s">
        <v>26</v>
      </c>
    </row>
    <row r="2517" spans="2:24" ht="30" x14ac:dyDescent="0.25">
      <c r="B2517" s="4">
        <v>2320</v>
      </c>
      <c r="C2517" s="4" t="s">
        <v>218</v>
      </c>
      <c r="D2517" s="4" t="s">
        <v>154</v>
      </c>
      <c r="E2517" s="4">
        <v>2301</v>
      </c>
      <c r="F2517" s="4" t="s">
        <v>29</v>
      </c>
      <c r="G2517" s="4" t="s">
        <v>91</v>
      </c>
      <c r="H2517" s="4" t="s">
        <v>41</v>
      </c>
      <c r="I2517" s="4" t="s">
        <v>53</v>
      </c>
      <c r="J2517" s="4">
        <v>320</v>
      </c>
      <c r="L2517" s="4" t="s">
        <v>93</v>
      </c>
      <c r="M2517" s="5"/>
      <c r="O2517" s="5"/>
      <c r="Q2517" s="4">
        <f>B2517</f>
        <v>2320</v>
      </c>
      <c r="R2517" s="4" t="str">
        <f>C2517</f>
        <v>27/10/2026</v>
      </c>
      <c r="S2517" s="4" t="str">
        <f>D2517</f>
        <v>martes</v>
      </c>
      <c r="T2517" s="4" t="str">
        <f>E2517&amp;"/"&amp;E2518</f>
        <v>2301/2300</v>
      </c>
      <c r="U2517" s="4" t="str">
        <f>F2517&amp;"-"&amp;G2517&amp;"-"&amp;F2517</f>
        <v>LIM-TPP-LIM</v>
      </c>
      <c r="V2517" s="4" t="str">
        <f>IF($M$2517="","",$M$2517)</f>
        <v/>
      </c>
      <c r="W2517" s="4" t="str">
        <f>IF($O$2517="","",$O$2517)</f>
        <v/>
      </c>
      <c r="X2517" s="4">
        <f>J2517</f>
        <v>320</v>
      </c>
    </row>
    <row r="2518" spans="2:24" ht="30" x14ac:dyDescent="0.25">
      <c r="B2518" s="4">
        <v>2320</v>
      </c>
      <c r="C2518" s="4" t="s">
        <v>218</v>
      </c>
      <c r="D2518" s="4" t="s">
        <v>154</v>
      </c>
      <c r="E2518" s="4">
        <v>2300</v>
      </c>
      <c r="F2518" s="4" t="s">
        <v>91</v>
      </c>
      <c r="G2518" s="4" t="s">
        <v>29</v>
      </c>
      <c r="H2518" s="4" t="s">
        <v>111</v>
      </c>
      <c r="I2518" s="4" t="s">
        <v>79</v>
      </c>
      <c r="J2518" s="4">
        <v>320</v>
      </c>
      <c r="K2518" t="str">
        <f>TEXT(TIMEVALUE(H2518)-TIMEVALUE(I2517)+(TIMEVALUE(H2518)&lt;TIMEVALUE(I2517)),"[h]:mm")</f>
        <v>0:55</v>
      </c>
      <c r="L2518" s="4" t="s">
        <v>93</v>
      </c>
      <c r="O2518" t="str">
        <f>"LIM-"&amp;G2517&amp;"-LIM   LA "&amp;E2517&amp;" ("&amp;LEFT(H2517,5)&amp;"-"&amp;LEFT(I2517,5)&amp;" hrs)  /  LA "&amp;E2518&amp;" ("&amp;LEFT(H2518,5)&amp;"-"&amp;LEFT(I2518,5)&amp;" hrs)"</f>
        <v>LIM-TPP-LIM   LA 2301 (15:55-17:20 hrs)  /  LA 2300 (18:15-19:40 hrs)</v>
      </c>
    </row>
    <row r="2519" spans="2:24" x14ac:dyDescent="0.25">
      <c r="J2519" s="7" t="s">
        <v>43</v>
      </c>
      <c r="K2519" s="8" t="str">
        <f>TEXT(TIMEVALUE(I2518)-TIMEVALUE(H2517)+(I2518&lt;H2517),"[h]:mm")</f>
        <v>3:45</v>
      </c>
    </row>
    <row r="2521" spans="2:24" ht="30" x14ac:dyDescent="0.25">
      <c r="B2521" s="3" t="s">
        <v>9</v>
      </c>
      <c r="C2521" s="3" t="s">
        <v>17</v>
      </c>
      <c r="D2521" s="3" t="s">
        <v>18</v>
      </c>
      <c r="E2521" s="3" t="s">
        <v>19</v>
      </c>
      <c r="F2521" s="3" t="s">
        <v>20</v>
      </c>
      <c r="G2521" s="3" t="s">
        <v>21</v>
      </c>
      <c r="H2521" s="3" t="s">
        <v>22</v>
      </c>
      <c r="I2521" s="3" t="s">
        <v>23</v>
      </c>
      <c r="J2521" s="3" t="s">
        <v>24</v>
      </c>
      <c r="K2521" s="3" t="s">
        <v>25</v>
      </c>
      <c r="L2521" s="3" t="s">
        <v>26</v>
      </c>
    </row>
    <row r="2522" spans="2:24" ht="30" x14ac:dyDescent="0.25">
      <c r="B2522" s="4">
        <v>2325</v>
      </c>
      <c r="C2522" s="4" t="s">
        <v>218</v>
      </c>
      <c r="D2522" s="4" t="s">
        <v>154</v>
      </c>
      <c r="E2522" s="4">
        <v>2115</v>
      </c>
      <c r="F2522" s="4" t="s">
        <v>29</v>
      </c>
      <c r="G2522" s="4" t="s">
        <v>56</v>
      </c>
      <c r="H2522" s="4" t="s">
        <v>192</v>
      </c>
      <c r="I2522" s="4" t="s">
        <v>54</v>
      </c>
      <c r="J2522" s="4">
        <v>320</v>
      </c>
      <c r="L2522" s="4" t="s">
        <v>40</v>
      </c>
      <c r="M2522" s="5"/>
      <c r="O2522" s="5"/>
      <c r="Q2522" s="4">
        <f>B2522</f>
        <v>2325</v>
      </c>
      <c r="R2522" s="4" t="str">
        <f>C2522</f>
        <v>27/10/2026</v>
      </c>
      <c r="S2522" s="4" t="str">
        <f>D2522</f>
        <v>martes</v>
      </c>
      <c r="T2522" s="4" t="str">
        <f>E2522&amp;"/"&amp;E2523</f>
        <v>2115/2114</v>
      </c>
      <c r="U2522" s="4" t="str">
        <f>F2522&amp;"-"&amp;G2522&amp;"-"&amp;F2522</f>
        <v>LIM-AQP-LIM</v>
      </c>
      <c r="V2522" s="4" t="str">
        <f>IF($M$2522="","",$M$2522)</f>
        <v/>
      </c>
      <c r="W2522" s="4" t="str">
        <f>IF($O$2522="","",$O$2522)</f>
        <v/>
      </c>
      <c r="X2522" s="4">
        <f>J2522</f>
        <v>320</v>
      </c>
    </row>
    <row r="2523" spans="2:24" ht="30" x14ac:dyDescent="0.25">
      <c r="B2523" s="4">
        <v>2325</v>
      </c>
      <c r="C2523" s="4" t="s">
        <v>218</v>
      </c>
      <c r="D2523" s="4" t="s">
        <v>154</v>
      </c>
      <c r="E2523" s="4">
        <v>2114</v>
      </c>
      <c r="F2523" s="4" t="s">
        <v>56</v>
      </c>
      <c r="G2523" s="4" t="s">
        <v>29</v>
      </c>
      <c r="H2523" s="4" t="s">
        <v>220</v>
      </c>
      <c r="I2523" s="4" t="s">
        <v>129</v>
      </c>
      <c r="J2523" s="4">
        <v>320</v>
      </c>
      <c r="K2523" t="str">
        <f>TEXT(TIMEVALUE(H2523)-TIMEVALUE(I2522)+(TIMEVALUE(H2523)&lt;TIMEVALUE(I2522)),"[h]:mm")</f>
        <v>0:35</v>
      </c>
      <c r="L2523" s="4" t="s">
        <v>71</v>
      </c>
      <c r="O2523" t="str">
        <f>"LIM-"&amp;G2522&amp;"-LIM   LA "&amp;E2522&amp;" ("&amp;LEFT(H2522,5)&amp;"-"&amp;LEFT(I2522,5)&amp;" hrs)  /  LA "&amp;E2523&amp;" ("&amp;LEFT(H2523,5)&amp;"-"&amp;LEFT(I2523,5)&amp;" hrs)"</f>
        <v>LIM-AQP-LIM   LA 2115 (16:55-18:25 hrs)  /  LA 2114 (19:00-20:40 hrs)</v>
      </c>
    </row>
    <row r="2524" spans="2:24" x14ac:dyDescent="0.25">
      <c r="J2524" s="7" t="s">
        <v>43</v>
      </c>
      <c r="K2524" s="8" t="str">
        <f>TEXT(TIMEVALUE(I2523)-TIMEVALUE(H2522)+(I2523&lt;H2522),"[h]:mm")</f>
        <v>3:45</v>
      </c>
    </row>
    <row r="2526" spans="2:24" ht="30" x14ac:dyDescent="0.25">
      <c r="B2526" s="3" t="s">
        <v>9</v>
      </c>
      <c r="C2526" s="3" t="s">
        <v>17</v>
      </c>
      <c r="D2526" s="3" t="s">
        <v>18</v>
      </c>
      <c r="E2526" s="3" t="s">
        <v>19</v>
      </c>
      <c r="F2526" s="3" t="s">
        <v>20</v>
      </c>
      <c r="G2526" s="3" t="s">
        <v>21</v>
      </c>
      <c r="H2526" s="3" t="s">
        <v>22</v>
      </c>
      <c r="I2526" s="3" t="s">
        <v>23</v>
      </c>
      <c r="J2526" s="3" t="s">
        <v>24</v>
      </c>
      <c r="K2526" s="3" t="s">
        <v>25</v>
      </c>
      <c r="L2526" s="3" t="s">
        <v>26</v>
      </c>
    </row>
    <row r="2527" spans="2:24" ht="30" x14ac:dyDescent="0.25">
      <c r="B2527" s="4">
        <v>2377</v>
      </c>
      <c r="C2527" s="4" t="s">
        <v>221</v>
      </c>
      <c r="D2527" s="4" t="s">
        <v>165</v>
      </c>
      <c r="E2527" s="4">
        <v>2015</v>
      </c>
      <c r="F2527" s="4" t="s">
        <v>29</v>
      </c>
      <c r="G2527" s="4" t="s">
        <v>125</v>
      </c>
      <c r="H2527" s="4" t="s">
        <v>169</v>
      </c>
      <c r="I2527" s="4" t="s">
        <v>170</v>
      </c>
      <c r="J2527" s="4">
        <v>319</v>
      </c>
      <c r="L2527" s="4" t="s">
        <v>47</v>
      </c>
      <c r="M2527" s="5"/>
      <c r="O2527" s="5"/>
      <c r="Q2527" s="4">
        <f>B2527</f>
        <v>2377</v>
      </c>
      <c r="R2527" s="4" t="str">
        <f>C2527</f>
        <v>28/10/2026</v>
      </c>
      <c r="S2527" s="4" t="str">
        <f>D2527</f>
        <v>miércoles</v>
      </c>
      <c r="T2527" s="4" t="str">
        <f>E2527&amp;"/"&amp;E2528</f>
        <v>2015/2016</v>
      </c>
      <c r="U2527" s="4" t="str">
        <f>F2527&amp;"-"&amp;G2527&amp;"-"&amp;F2527</f>
        <v>LIM-PIU-LIM</v>
      </c>
      <c r="V2527" s="4" t="str">
        <f>IF($M$2527="","",$M$2527)</f>
        <v/>
      </c>
      <c r="W2527" s="4" t="str">
        <f>IF($O$2527="","",$O$2527)</f>
        <v/>
      </c>
      <c r="X2527" s="4">
        <f>J2527</f>
        <v>319</v>
      </c>
    </row>
    <row r="2528" spans="2:24" ht="30" x14ac:dyDescent="0.25">
      <c r="B2528" s="4">
        <v>2377</v>
      </c>
      <c r="C2528" s="4" t="s">
        <v>221</v>
      </c>
      <c r="D2528" s="4" t="s">
        <v>165</v>
      </c>
      <c r="E2528" s="4">
        <v>2016</v>
      </c>
      <c r="F2528" s="4" t="s">
        <v>125</v>
      </c>
      <c r="G2528" s="4" t="s">
        <v>29</v>
      </c>
      <c r="H2528" s="4" t="s">
        <v>171</v>
      </c>
      <c r="I2528" s="4" t="s">
        <v>87</v>
      </c>
      <c r="J2528" s="4">
        <v>319</v>
      </c>
      <c r="K2528" t="str">
        <f>TEXT(TIMEVALUE(H2528)-TIMEVALUE(I2527)+(TIMEVALUE(H2528)&lt;TIMEVALUE(I2527)),"[h]:mm")</f>
        <v>0:40</v>
      </c>
      <c r="L2528" s="4" t="s">
        <v>36</v>
      </c>
      <c r="O2528" t="str">
        <f>"LIM-"&amp;G2527&amp;"-LIM   LA "&amp;E2527&amp;" ("&amp;LEFT(H2527,5)&amp;"-"&amp;LEFT(I2527,5)&amp;" hrs)  /  LA "&amp;E2528&amp;" ("&amp;LEFT(H2528,5)&amp;"-"&amp;LEFT(I2528,5)&amp;" hrs)"</f>
        <v>LIM-PIU-LIM   LA 2015 (10:55-12:40 hrs)  /  LA 2016 (13:20-14:55 hrs)</v>
      </c>
    </row>
    <row r="2529" spans="2:24" x14ac:dyDescent="0.25">
      <c r="J2529" s="7" t="s">
        <v>43</v>
      </c>
      <c r="K2529" s="8" t="str">
        <f>TEXT(TIMEVALUE(I2528)-TIMEVALUE(H2527)+(I2528&lt;H2527),"[h]:mm")</f>
        <v>4:00</v>
      </c>
    </row>
    <row r="2531" spans="2:24" ht="30" x14ac:dyDescent="0.25">
      <c r="B2531" s="3" t="s">
        <v>9</v>
      </c>
      <c r="C2531" s="3" t="s">
        <v>17</v>
      </c>
      <c r="D2531" s="3" t="s">
        <v>18</v>
      </c>
      <c r="E2531" s="3" t="s">
        <v>19</v>
      </c>
      <c r="F2531" s="3" t="s">
        <v>20</v>
      </c>
      <c r="G2531" s="3" t="s">
        <v>21</v>
      </c>
      <c r="H2531" s="3" t="s">
        <v>22</v>
      </c>
      <c r="I2531" s="3" t="s">
        <v>23</v>
      </c>
      <c r="J2531" s="3" t="s">
        <v>24</v>
      </c>
      <c r="K2531" s="3" t="s">
        <v>25</v>
      </c>
      <c r="L2531" s="3" t="s">
        <v>26</v>
      </c>
    </row>
    <row r="2532" spans="2:24" ht="30" x14ac:dyDescent="0.25">
      <c r="B2532" s="4">
        <v>2379</v>
      </c>
      <c r="C2532" s="4" t="s">
        <v>221</v>
      </c>
      <c r="D2532" s="4" t="s">
        <v>165</v>
      </c>
      <c r="E2532" s="4">
        <v>2316</v>
      </c>
      <c r="F2532" s="4" t="s">
        <v>29</v>
      </c>
      <c r="G2532" s="4" t="s">
        <v>125</v>
      </c>
      <c r="H2532" s="4" t="s">
        <v>34</v>
      </c>
      <c r="I2532" s="4" t="s">
        <v>142</v>
      </c>
      <c r="J2532" s="4">
        <v>320</v>
      </c>
      <c r="L2532" s="4" t="s">
        <v>47</v>
      </c>
      <c r="M2532" s="5"/>
      <c r="O2532" s="5"/>
      <c r="Q2532" s="4">
        <f>B2532</f>
        <v>2379</v>
      </c>
      <c r="R2532" s="4" t="str">
        <f>C2532</f>
        <v>28/10/2026</v>
      </c>
      <c r="S2532" s="4" t="str">
        <f>D2532</f>
        <v>miércoles</v>
      </c>
      <c r="T2532" s="4" t="str">
        <f>E2532&amp;"/"&amp;E2533</f>
        <v>2316/2317</v>
      </c>
      <c r="U2532" s="4" t="str">
        <f>F2532&amp;"-"&amp;G2532&amp;"-"&amp;F2532</f>
        <v>LIM-PIU-LIM</v>
      </c>
      <c r="V2532" s="4" t="str">
        <f>IF($M$2532="","",$M$2532)</f>
        <v/>
      </c>
      <c r="W2532" s="4" t="str">
        <f>IF($O$2532="","",$O$2532)</f>
        <v/>
      </c>
      <c r="X2532" s="4">
        <f>J2532</f>
        <v>320</v>
      </c>
    </row>
    <row r="2533" spans="2:24" ht="30" x14ac:dyDescent="0.25">
      <c r="B2533" s="4">
        <v>2379</v>
      </c>
      <c r="C2533" s="4" t="s">
        <v>221</v>
      </c>
      <c r="D2533" s="4" t="s">
        <v>165</v>
      </c>
      <c r="E2533" s="4">
        <v>2317</v>
      </c>
      <c r="F2533" s="4" t="s">
        <v>125</v>
      </c>
      <c r="G2533" s="4" t="s">
        <v>29</v>
      </c>
      <c r="H2533" s="4" t="s">
        <v>72</v>
      </c>
      <c r="I2533" s="4" t="s">
        <v>51</v>
      </c>
      <c r="J2533" s="4">
        <v>320</v>
      </c>
      <c r="K2533" t="str">
        <f>TEXT(TIMEVALUE(H2533)-TIMEVALUE(I2532)+(TIMEVALUE(H2533)&lt;TIMEVALUE(I2532)),"[h]:mm")</f>
        <v>0:35</v>
      </c>
      <c r="L2533" s="4" t="s">
        <v>36</v>
      </c>
      <c r="O2533" t="str">
        <f>"LIM-"&amp;G2532&amp;"-LIM   LA "&amp;E2532&amp;" ("&amp;LEFT(H2532,5)&amp;"-"&amp;LEFT(I2532,5)&amp;" hrs)  /  LA "&amp;E2533&amp;" ("&amp;LEFT(H2533,5)&amp;"-"&amp;LEFT(I2533,5)&amp;" hrs)"</f>
        <v>LIM-PIU-LIM   LA 2316 (11:20-13:05 hrs)  /  LA 2317 (13:40-15:15 hrs)</v>
      </c>
    </row>
    <row r="2534" spans="2:24" ht="30" x14ac:dyDescent="0.25">
      <c r="B2534" s="4">
        <v>2410</v>
      </c>
      <c r="C2534" s="4" t="s">
        <v>221</v>
      </c>
      <c r="D2534" s="4" t="s">
        <v>165</v>
      </c>
      <c r="E2534" s="4">
        <v>2276</v>
      </c>
      <c r="F2534" s="4" t="s">
        <v>29</v>
      </c>
      <c r="G2534" s="4" t="s">
        <v>30</v>
      </c>
      <c r="H2534" s="4" t="s">
        <v>52</v>
      </c>
      <c r="I2534" s="4" t="s">
        <v>121</v>
      </c>
      <c r="J2534" s="4">
        <v>320</v>
      </c>
      <c r="K2534" s="6" t="str">
        <f>TEXT(TIMEVALUE(H2534)-TIMEVALUE(I2533)+(TIMEVALUE(H2534)&lt;TIMEVALUE(I2533)),"[h]:mm")</f>
        <v>1:20</v>
      </c>
      <c r="L2534" s="4" t="s">
        <v>33</v>
      </c>
      <c r="M2534" t="str">
        <f>IF($M$2532="","",$M$2532)</f>
        <v/>
      </c>
      <c r="O2534" t="str">
        <f>IF($O$2532="","",$O$2532)</f>
        <v/>
      </c>
      <c r="Q2534" s="4">
        <f>B2534</f>
        <v>2410</v>
      </c>
      <c r="R2534" s="4" t="str">
        <f>C2534</f>
        <v>28/10/2026</v>
      </c>
      <c r="S2534" s="4" t="str">
        <f>D2534</f>
        <v>miércoles</v>
      </c>
      <c r="T2534" s="4" t="str">
        <f>E2534&amp;"/"&amp;E2535</f>
        <v>2276/2277</v>
      </c>
      <c r="U2534" s="4" t="str">
        <f>F2534&amp;"-"&amp;G2534&amp;"-"&amp;F2534</f>
        <v>LIM-CUZ-LIM</v>
      </c>
      <c r="V2534" s="4" t="str">
        <f>IF($M$2532="","",$M$2532)</f>
        <v/>
      </c>
      <c r="W2534" s="4" t="str">
        <f>IF($O$2532="","",$O$2532)</f>
        <v/>
      </c>
      <c r="X2534" s="4">
        <f>J2534</f>
        <v>320</v>
      </c>
    </row>
    <row r="2535" spans="2:24" ht="30" x14ac:dyDescent="0.25">
      <c r="B2535" s="4">
        <v>2410</v>
      </c>
      <c r="C2535" s="4" t="s">
        <v>221</v>
      </c>
      <c r="D2535" s="4" t="s">
        <v>165</v>
      </c>
      <c r="E2535" s="4">
        <v>2277</v>
      </c>
      <c r="F2535" s="4" t="s">
        <v>30</v>
      </c>
      <c r="G2535" s="4" t="s">
        <v>29</v>
      </c>
      <c r="H2535" s="4" t="s">
        <v>88</v>
      </c>
      <c r="I2535" s="4" t="s">
        <v>149</v>
      </c>
      <c r="J2535" s="4">
        <v>320</v>
      </c>
      <c r="K2535" t="str">
        <f>TEXT(TIMEVALUE(H2535)-TIMEVALUE(I2534)+(TIMEVALUE(H2535)&lt;TIMEVALUE(I2534)),"[h]:mm")</f>
        <v>1:00</v>
      </c>
      <c r="L2535" s="4" t="s">
        <v>36</v>
      </c>
      <c r="O2535" t="str">
        <f>"LIM-"&amp;G2534&amp;"-LIM   LA "&amp;E2534&amp;" ("&amp;LEFT(H2534,5)&amp;"-"&amp;LEFT(I2534,5)&amp;" hrs)  /  LA "&amp;E2535&amp;" ("&amp;LEFT(H2535,5)&amp;"-"&amp;LEFT(I2535,5)&amp;" hrs)"</f>
        <v>LIM-CUZ-LIM   LA 2276 (16:35-17:55 hrs)  /  LA 2277 (18:55-20:30 hrs)</v>
      </c>
    </row>
    <row r="2536" spans="2:24" x14ac:dyDescent="0.25">
      <c r="J2536" s="7" t="s">
        <v>43</v>
      </c>
      <c r="K2536" s="8" t="str">
        <f>TEXT(TIMEVALUE(I2535)-TIMEVALUE(H2532)+(I2535&lt;H2532),"[h]:mm")</f>
        <v>9:10</v>
      </c>
    </row>
    <row r="2538" spans="2:24" ht="30" x14ac:dyDescent="0.25">
      <c r="B2538" s="3" t="s">
        <v>9</v>
      </c>
      <c r="C2538" s="3" t="s">
        <v>17</v>
      </c>
      <c r="D2538" s="3" t="s">
        <v>18</v>
      </c>
      <c r="E2538" s="3" t="s">
        <v>19</v>
      </c>
      <c r="F2538" s="3" t="s">
        <v>20</v>
      </c>
      <c r="G2538" s="3" t="s">
        <v>21</v>
      </c>
      <c r="H2538" s="3" t="s">
        <v>22</v>
      </c>
      <c r="I2538" s="3" t="s">
        <v>23</v>
      </c>
      <c r="J2538" s="3" t="s">
        <v>24</v>
      </c>
      <c r="K2538" s="3" t="s">
        <v>25</v>
      </c>
      <c r="L2538" s="3" t="s">
        <v>26</v>
      </c>
    </row>
    <row r="2539" spans="2:24" ht="30" x14ac:dyDescent="0.25">
      <c r="B2539" s="4">
        <v>2380</v>
      </c>
      <c r="C2539" s="4" t="s">
        <v>221</v>
      </c>
      <c r="D2539" s="4" t="s">
        <v>165</v>
      </c>
      <c r="E2539" s="4">
        <v>2061</v>
      </c>
      <c r="F2539" s="4" t="s">
        <v>29</v>
      </c>
      <c r="G2539" s="4" t="s">
        <v>30</v>
      </c>
      <c r="H2539" s="4" t="s">
        <v>64</v>
      </c>
      <c r="I2539" s="4" t="s">
        <v>120</v>
      </c>
      <c r="J2539" s="4">
        <v>320</v>
      </c>
      <c r="L2539" s="4" t="s">
        <v>93</v>
      </c>
      <c r="M2539" s="5"/>
      <c r="O2539" s="5"/>
      <c r="Q2539" s="4">
        <f>B2539</f>
        <v>2380</v>
      </c>
      <c r="R2539" s="4" t="str">
        <f>C2539</f>
        <v>28/10/2026</v>
      </c>
      <c r="S2539" s="4" t="str">
        <f>D2539</f>
        <v>miércoles</v>
      </c>
      <c r="T2539" s="4" t="str">
        <f>E2539&amp;"/"&amp;E2540</f>
        <v>2061/2062</v>
      </c>
      <c r="U2539" s="4" t="str">
        <f>F2539&amp;"-"&amp;G2539&amp;"-"&amp;F2539</f>
        <v>LIM-CUZ-LIM</v>
      </c>
      <c r="V2539" s="4" t="str">
        <f>IF($M$2539="","",$M$2539)</f>
        <v/>
      </c>
      <c r="W2539" s="4" t="str">
        <f>IF($O$2539="","",$O$2539)</f>
        <v/>
      </c>
      <c r="X2539" s="4">
        <f>J2539</f>
        <v>320</v>
      </c>
    </row>
    <row r="2540" spans="2:24" ht="30" x14ac:dyDescent="0.25">
      <c r="B2540" s="4">
        <v>2380</v>
      </c>
      <c r="C2540" s="4" t="s">
        <v>221</v>
      </c>
      <c r="D2540" s="4" t="s">
        <v>165</v>
      </c>
      <c r="E2540" s="4">
        <v>2062</v>
      </c>
      <c r="F2540" s="4" t="s">
        <v>30</v>
      </c>
      <c r="G2540" s="4" t="s">
        <v>29</v>
      </c>
      <c r="H2540" s="4" t="s">
        <v>72</v>
      </c>
      <c r="I2540" s="4" t="s">
        <v>51</v>
      </c>
      <c r="J2540" s="4">
        <v>320</v>
      </c>
      <c r="K2540" t="str">
        <f>TEXT(TIMEVALUE(H2540)-TIMEVALUE(I2539)+(TIMEVALUE(H2540)&lt;TIMEVALUE(I2539)),"[h]:mm")</f>
        <v>0:40</v>
      </c>
      <c r="L2540" s="4" t="s">
        <v>36</v>
      </c>
      <c r="O2540" t="str">
        <f>"LIM-"&amp;G2539&amp;"-LIM   LA "&amp;E2539&amp;" ("&amp;LEFT(H2539,5)&amp;"-"&amp;LEFT(I2539,5)&amp;" hrs)  /  LA "&amp;E2540&amp;" ("&amp;LEFT(H2540,5)&amp;"-"&amp;LEFT(I2540,5)&amp;" hrs)"</f>
        <v>LIM-CUZ-LIM   LA 2061 (11:35-13:00 hrs)  /  LA 2062 (13:40-15:15 hrs)</v>
      </c>
    </row>
    <row r="2541" spans="2:24" ht="30" x14ac:dyDescent="0.25">
      <c r="B2541" s="4">
        <v>2411</v>
      </c>
      <c r="C2541" s="4" t="s">
        <v>221</v>
      </c>
      <c r="D2541" s="4" t="s">
        <v>165</v>
      </c>
      <c r="E2541" s="4">
        <v>2276</v>
      </c>
      <c r="F2541" s="4" t="s">
        <v>29</v>
      </c>
      <c r="G2541" s="4" t="s">
        <v>30</v>
      </c>
      <c r="H2541" s="4" t="s">
        <v>52</v>
      </c>
      <c r="I2541" s="4" t="s">
        <v>121</v>
      </c>
      <c r="J2541" s="4">
        <v>320</v>
      </c>
      <c r="K2541" s="6" t="str">
        <f>TEXT(TIMEVALUE(H2541)-TIMEVALUE(I2540)+(TIMEVALUE(H2541)&lt;TIMEVALUE(I2540)),"[h]:mm")</f>
        <v>1:20</v>
      </c>
      <c r="L2541" s="4" t="s">
        <v>33</v>
      </c>
      <c r="M2541" t="str">
        <f>IF($M$2539="","",$M$2539)</f>
        <v/>
      </c>
      <c r="O2541" t="str">
        <f>IF($O$2539="","",$O$2539)</f>
        <v/>
      </c>
      <c r="Q2541" s="4">
        <f>B2541</f>
        <v>2411</v>
      </c>
      <c r="R2541" s="4" t="str">
        <f>C2541</f>
        <v>28/10/2026</v>
      </c>
      <c r="S2541" s="4" t="str">
        <f>D2541</f>
        <v>miércoles</v>
      </c>
      <c r="T2541" s="4" t="str">
        <f>E2541&amp;"/"&amp;E2542</f>
        <v>2276/2277</v>
      </c>
      <c r="U2541" s="4" t="str">
        <f>F2541&amp;"-"&amp;G2541&amp;"-"&amp;F2541</f>
        <v>LIM-CUZ-LIM</v>
      </c>
      <c r="V2541" s="4" t="str">
        <f>IF($M$2539="","",$M$2539)</f>
        <v/>
      </c>
      <c r="W2541" s="4" t="str">
        <f>IF($O$2539="","",$O$2539)</f>
        <v/>
      </c>
      <c r="X2541" s="4">
        <f>J2541</f>
        <v>320</v>
      </c>
    </row>
    <row r="2542" spans="2:24" ht="30" x14ac:dyDescent="0.25">
      <c r="B2542" s="4">
        <v>2411</v>
      </c>
      <c r="C2542" s="4" t="s">
        <v>221</v>
      </c>
      <c r="D2542" s="4" t="s">
        <v>165</v>
      </c>
      <c r="E2542" s="4">
        <v>2277</v>
      </c>
      <c r="F2542" s="4" t="s">
        <v>30</v>
      </c>
      <c r="G2542" s="4" t="s">
        <v>29</v>
      </c>
      <c r="H2542" s="4" t="s">
        <v>88</v>
      </c>
      <c r="I2542" s="4" t="s">
        <v>149</v>
      </c>
      <c r="J2542" s="4">
        <v>320</v>
      </c>
      <c r="K2542" t="str">
        <f>TEXT(TIMEVALUE(H2542)-TIMEVALUE(I2541)+(TIMEVALUE(H2542)&lt;TIMEVALUE(I2541)),"[h]:mm")</f>
        <v>1:00</v>
      </c>
      <c r="L2542" s="4" t="s">
        <v>36</v>
      </c>
      <c r="O2542" t="str">
        <f>"LIM-"&amp;G2541&amp;"-LIM   LA "&amp;E2541&amp;" ("&amp;LEFT(H2541,5)&amp;"-"&amp;LEFT(I2541,5)&amp;" hrs)  /  LA "&amp;E2542&amp;" ("&amp;LEFT(H2542,5)&amp;"-"&amp;LEFT(I2542,5)&amp;" hrs)"</f>
        <v>LIM-CUZ-LIM   LA 2276 (16:35-17:55 hrs)  /  LA 2277 (18:55-20:30 hrs)</v>
      </c>
    </row>
    <row r="2543" spans="2:24" x14ac:dyDescent="0.25">
      <c r="J2543" s="7" t="s">
        <v>43</v>
      </c>
      <c r="K2543" s="8" t="str">
        <f>TEXT(TIMEVALUE(I2542)-TIMEVALUE(H2539)+(I2542&lt;H2539),"[h]:mm")</f>
        <v>8:55</v>
      </c>
    </row>
    <row r="2545" spans="2:24" ht="30" x14ac:dyDescent="0.25">
      <c r="B2545" s="3" t="s">
        <v>9</v>
      </c>
      <c r="C2545" s="3" t="s">
        <v>17</v>
      </c>
      <c r="D2545" s="3" t="s">
        <v>18</v>
      </c>
      <c r="E2545" s="3" t="s">
        <v>19</v>
      </c>
      <c r="F2545" s="3" t="s">
        <v>20</v>
      </c>
      <c r="G2545" s="3" t="s">
        <v>21</v>
      </c>
      <c r="H2545" s="3" t="s">
        <v>22</v>
      </c>
      <c r="I2545" s="3" t="s">
        <v>23</v>
      </c>
      <c r="J2545" s="3" t="s">
        <v>24</v>
      </c>
      <c r="K2545" s="3" t="s">
        <v>25</v>
      </c>
      <c r="L2545" s="3" t="s">
        <v>26</v>
      </c>
    </row>
    <row r="2546" spans="2:24" ht="30" x14ac:dyDescent="0.25">
      <c r="B2546" s="4">
        <v>2381</v>
      </c>
      <c r="C2546" s="4" t="s">
        <v>221</v>
      </c>
      <c r="D2546" s="4" t="s">
        <v>165</v>
      </c>
      <c r="E2546" s="4">
        <v>2111</v>
      </c>
      <c r="F2546" s="4" t="s">
        <v>29</v>
      </c>
      <c r="G2546" s="4" t="s">
        <v>56</v>
      </c>
      <c r="H2546" s="4" t="s">
        <v>103</v>
      </c>
      <c r="I2546" s="4" t="s">
        <v>104</v>
      </c>
      <c r="J2546" s="4">
        <v>320</v>
      </c>
      <c r="L2546" s="4" t="s">
        <v>40</v>
      </c>
      <c r="M2546" s="5"/>
      <c r="O2546" s="5"/>
      <c r="Q2546" s="4">
        <f>B2546</f>
        <v>2381</v>
      </c>
      <c r="R2546" s="4" t="str">
        <f>C2546</f>
        <v>28/10/2026</v>
      </c>
      <c r="S2546" s="4" t="str">
        <f>D2546</f>
        <v>miércoles</v>
      </c>
      <c r="T2546" s="4" t="str">
        <f>E2546&amp;"/"&amp;E2547</f>
        <v>2111/2110</v>
      </c>
      <c r="U2546" s="4" t="str">
        <f>F2546&amp;"-"&amp;G2546&amp;"-"&amp;F2546</f>
        <v>LIM-AQP-LIM</v>
      </c>
      <c r="V2546" s="4" t="str">
        <f>IF($M$2546="","",$M$2546)</f>
        <v/>
      </c>
      <c r="W2546" s="4" t="str">
        <f>IF($O$2546="","",$O$2546)</f>
        <v/>
      </c>
      <c r="X2546" s="4">
        <f>J2546</f>
        <v>320</v>
      </c>
    </row>
    <row r="2547" spans="2:24" ht="30" x14ac:dyDescent="0.25">
      <c r="B2547" s="4">
        <v>2381</v>
      </c>
      <c r="C2547" s="4" t="s">
        <v>221</v>
      </c>
      <c r="D2547" s="4" t="s">
        <v>165</v>
      </c>
      <c r="E2547" s="4">
        <v>2110</v>
      </c>
      <c r="F2547" s="4" t="s">
        <v>56</v>
      </c>
      <c r="G2547" s="4" t="s">
        <v>29</v>
      </c>
      <c r="H2547" s="4" t="s">
        <v>99</v>
      </c>
      <c r="I2547" s="4" t="s">
        <v>39</v>
      </c>
      <c r="J2547" s="4">
        <v>320</v>
      </c>
      <c r="K2547" t="str">
        <f>TEXT(TIMEVALUE(H2547)-TIMEVALUE(I2546)+(TIMEVALUE(H2547)&lt;TIMEVALUE(I2546)),"[h]:mm")</f>
        <v>0:35</v>
      </c>
      <c r="L2547" s="4" t="s">
        <v>36</v>
      </c>
      <c r="O2547" t="str">
        <f>"LIM-"&amp;G2546&amp;"-LIM   LA "&amp;E2546&amp;" ("&amp;LEFT(H2546,5)&amp;"-"&amp;LEFT(I2546,5)&amp;" hrs)  /  LA "&amp;E2547&amp;" ("&amp;LEFT(H2547,5)&amp;"-"&amp;LEFT(I2547,5)&amp;" hrs)"</f>
        <v>LIM-AQP-LIM   LA 2111 (11:40-13:10 hrs)  /  LA 2110 (13:45-15:20 hrs)</v>
      </c>
    </row>
    <row r="2548" spans="2:24" x14ac:dyDescent="0.25">
      <c r="J2548" s="7" t="s">
        <v>43</v>
      </c>
      <c r="K2548" s="8" t="str">
        <f>TEXT(TIMEVALUE(I2547)-TIMEVALUE(H2546)+(I2547&lt;H2546),"[h]:mm")</f>
        <v>3:40</v>
      </c>
    </row>
    <row r="2550" spans="2:24" ht="30" x14ac:dyDescent="0.25">
      <c r="B2550" s="3" t="s">
        <v>9</v>
      </c>
      <c r="C2550" s="3" t="s">
        <v>17</v>
      </c>
      <c r="D2550" s="3" t="s">
        <v>18</v>
      </c>
      <c r="E2550" s="3" t="s">
        <v>19</v>
      </c>
      <c r="F2550" s="3" t="s">
        <v>20</v>
      </c>
      <c r="G2550" s="3" t="s">
        <v>21</v>
      </c>
      <c r="H2550" s="3" t="s">
        <v>22</v>
      </c>
      <c r="I2550" s="3" t="s">
        <v>23</v>
      </c>
      <c r="J2550" s="3" t="s">
        <v>24</v>
      </c>
      <c r="K2550" s="3" t="s">
        <v>25</v>
      </c>
      <c r="L2550" s="3" t="s">
        <v>26</v>
      </c>
    </row>
    <row r="2551" spans="2:24" ht="30" x14ac:dyDescent="0.25">
      <c r="B2551" s="4">
        <v>2391</v>
      </c>
      <c r="C2551" s="4" t="s">
        <v>221</v>
      </c>
      <c r="D2551" s="4" t="s">
        <v>165</v>
      </c>
      <c r="E2551" s="4">
        <v>2028</v>
      </c>
      <c r="F2551" s="4" t="s">
        <v>29</v>
      </c>
      <c r="G2551" s="4" t="s">
        <v>30</v>
      </c>
      <c r="H2551" s="4" t="s">
        <v>106</v>
      </c>
      <c r="I2551" s="4" t="s">
        <v>109</v>
      </c>
      <c r="J2551" s="4">
        <v>320</v>
      </c>
      <c r="L2551" s="4" t="s">
        <v>93</v>
      </c>
      <c r="M2551" s="5"/>
      <c r="O2551" s="5"/>
      <c r="Q2551" s="4">
        <f>B2551</f>
        <v>2391</v>
      </c>
      <c r="R2551" s="4" t="str">
        <f>C2551</f>
        <v>28/10/2026</v>
      </c>
      <c r="S2551" s="4" t="str">
        <f>D2551</f>
        <v>miércoles</v>
      </c>
      <c r="T2551" s="4" t="str">
        <f>E2551&amp;"/"&amp;E2552</f>
        <v>2028/2029</v>
      </c>
      <c r="U2551" s="4" t="str">
        <f>F2551&amp;"-"&amp;G2551&amp;"-"&amp;F2551</f>
        <v>LIM-CUZ-LIM</v>
      </c>
      <c r="V2551" s="4" t="str">
        <f>IF($M$2551="","",$M$2551)</f>
        <v/>
      </c>
      <c r="W2551" s="4" t="str">
        <f>IF($O$2551="","",$O$2551)</f>
        <v/>
      </c>
      <c r="X2551" s="4">
        <f>J2551</f>
        <v>320</v>
      </c>
    </row>
    <row r="2552" spans="2:24" ht="30" x14ac:dyDescent="0.25">
      <c r="B2552" s="4">
        <v>2391</v>
      </c>
      <c r="C2552" s="4" t="s">
        <v>221</v>
      </c>
      <c r="D2552" s="4" t="s">
        <v>165</v>
      </c>
      <c r="E2552" s="4">
        <v>2029</v>
      </c>
      <c r="F2552" s="4" t="s">
        <v>30</v>
      </c>
      <c r="G2552" s="4" t="s">
        <v>29</v>
      </c>
      <c r="H2552" s="4" t="s">
        <v>89</v>
      </c>
      <c r="I2552" s="4" t="s">
        <v>209</v>
      </c>
      <c r="J2552" s="4">
        <v>320</v>
      </c>
      <c r="K2552" t="str">
        <f>TEXT(TIMEVALUE(H2552)-TIMEVALUE(I2551)+(TIMEVALUE(H2552)&lt;TIMEVALUE(I2551)),"[h]:mm")</f>
        <v>0:35</v>
      </c>
      <c r="L2552" s="4" t="s">
        <v>36</v>
      </c>
      <c r="O2552" t="str">
        <f>"LIM-"&amp;G2551&amp;"-LIM   LA "&amp;E2551&amp;" ("&amp;LEFT(H2551,5)&amp;"-"&amp;LEFT(I2551,5)&amp;" hrs)  /  LA "&amp;E2552&amp;" ("&amp;LEFT(H2552,5)&amp;"-"&amp;LEFT(I2552,5)&amp;" hrs)"</f>
        <v>LIM-CUZ-LIM   LA 2028 (13:35-15:00 hrs)  /  LA 2029 (15:35-17:10 hrs)</v>
      </c>
    </row>
    <row r="2553" spans="2:24" x14ac:dyDescent="0.25">
      <c r="J2553" s="7" t="s">
        <v>43</v>
      </c>
      <c r="K2553" s="8" t="str">
        <f>TEXT(TIMEVALUE(I2552)-TIMEVALUE(H2551)+(I2552&lt;H2551),"[h]:mm")</f>
        <v>3:35</v>
      </c>
    </row>
    <row r="2555" spans="2:24" ht="30" x14ac:dyDescent="0.25">
      <c r="B2555" s="3" t="s">
        <v>9</v>
      </c>
      <c r="C2555" s="3" t="s">
        <v>17</v>
      </c>
      <c r="D2555" s="3" t="s">
        <v>18</v>
      </c>
      <c r="E2555" s="3" t="s">
        <v>19</v>
      </c>
      <c r="F2555" s="3" t="s">
        <v>20</v>
      </c>
      <c r="G2555" s="3" t="s">
        <v>21</v>
      </c>
      <c r="H2555" s="3" t="s">
        <v>22</v>
      </c>
      <c r="I2555" s="3" t="s">
        <v>23</v>
      </c>
      <c r="J2555" s="3" t="s">
        <v>24</v>
      </c>
      <c r="K2555" s="3" t="s">
        <v>25</v>
      </c>
      <c r="L2555" s="3" t="s">
        <v>26</v>
      </c>
    </row>
    <row r="2556" spans="2:24" ht="30" x14ac:dyDescent="0.25">
      <c r="B2556" s="4">
        <v>2392</v>
      </c>
      <c r="C2556" s="4" t="s">
        <v>221</v>
      </c>
      <c r="D2556" s="4" t="s">
        <v>165</v>
      </c>
      <c r="E2556" s="4">
        <v>2234</v>
      </c>
      <c r="F2556" s="4" t="s">
        <v>29</v>
      </c>
      <c r="G2556" s="4" t="s">
        <v>63</v>
      </c>
      <c r="H2556" s="4" t="s">
        <v>72</v>
      </c>
      <c r="I2556" s="4" t="s">
        <v>76</v>
      </c>
      <c r="J2556" s="4">
        <v>320</v>
      </c>
      <c r="L2556" s="4" t="s">
        <v>66</v>
      </c>
      <c r="M2556" s="5"/>
      <c r="O2556" s="5"/>
      <c r="Q2556" s="4">
        <f>B2556</f>
        <v>2392</v>
      </c>
      <c r="R2556" s="4" t="str">
        <f>C2556</f>
        <v>28/10/2026</v>
      </c>
      <c r="S2556" s="4" t="str">
        <f>D2556</f>
        <v>miércoles</v>
      </c>
      <c r="T2556" s="4" t="str">
        <f>E2556&amp;"/"&amp;E2557</f>
        <v>2234/2235</v>
      </c>
      <c r="U2556" s="4" t="str">
        <f>F2556&amp;"-"&amp;G2556&amp;"-"&amp;F2556</f>
        <v>LIM-IQT-LIM</v>
      </c>
      <c r="V2556" s="4" t="str">
        <f>IF($M$2556="","",$M$2556)</f>
        <v/>
      </c>
      <c r="W2556" s="4" t="str">
        <f>IF($O$2556="","",$O$2556)</f>
        <v/>
      </c>
      <c r="X2556" s="4">
        <f>J2556</f>
        <v>320</v>
      </c>
    </row>
    <row r="2557" spans="2:24" ht="30" x14ac:dyDescent="0.25">
      <c r="B2557" s="4">
        <v>2392</v>
      </c>
      <c r="C2557" s="4" t="s">
        <v>221</v>
      </c>
      <c r="D2557" s="4" t="s">
        <v>165</v>
      </c>
      <c r="E2557" s="4">
        <v>2235</v>
      </c>
      <c r="F2557" s="4" t="s">
        <v>63</v>
      </c>
      <c r="G2557" s="4" t="s">
        <v>29</v>
      </c>
      <c r="H2557" s="4" t="s">
        <v>85</v>
      </c>
      <c r="I2557" s="4" t="s">
        <v>121</v>
      </c>
      <c r="J2557" s="4">
        <v>320</v>
      </c>
      <c r="K2557" t="str">
        <f>TEXT(TIMEVALUE(H2557)-TIMEVALUE(I2556)+(TIMEVALUE(H2557)&lt;TIMEVALUE(I2556)),"[h]:mm")</f>
        <v>0:35</v>
      </c>
      <c r="L2557" s="4" t="s">
        <v>66</v>
      </c>
      <c r="O2557" t="str">
        <f>"LIM-"&amp;G2556&amp;"-LIM   LA "&amp;E2556&amp;" ("&amp;LEFT(H2556,5)&amp;"-"&amp;LEFT(I2556,5)&amp;" hrs)  /  LA "&amp;E2557&amp;" ("&amp;LEFT(H2557,5)&amp;"-"&amp;LEFT(I2557,5)&amp;" hrs)"</f>
        <v>LIM-IQT-LIM   LA 2234 (13:40-15:30 hrs)  /  LA 2235 (16:05-17:55 hrs)</v>
      </c>
    </row>
    <row r="2558" spans="2:24" x14ac:dyDescent="0.25">
      <c r="J2558" s="7" t="s">
        <v>43</v>
      </c>
      <c r="K2558" s="8" t="str">
        <f>TEXT(TIMEVALUE(I2557)-TIMEVALUE(H2556)+(I2557&lt;H2556),"[h]:mm")</f>
        <v>4:15</v>
      </c>
    </row>
    <row r="2560" spans="2:24" ht="30" x14ac:dyDescent="0.25">
      <c r="B2560" s="3" t="s">
        <v>9</v>
      </c>
      <c r="C2560" s="3" t="s">
        <v>17</v>
      </c>
      <c r="D2560" s="3" t="s">
        <v>18</v>
      </c>
      <c r="E2560" s="3" t="s">
        <v>19</v>
      </c>
      <c r="F2560" s="3" t="s">
        <v>20</v>
      </c>
      <c r="G2560" s="3" t="s">
        <v>21</v>
      </c>
      <c r="H2560" s="3" t="s">
        <v>22</v>
      </c>
      <c r="I2560" s="3" t="s">
        <v>23</v>
      </c>
      <c r="J2560" s="3" t="s">
        <v>24</v>
      </c>
      <c r="K2560" s="3" t="s">
        <v>25</v>
      </c>
      <c r="L2560" s="3" t="s">
        <v>26</v>
      </c>
    </row>
    <row r="2561" spans="2:24" ht="30" x14ac:dyDescent="0.25">
      <c r="B2561" s="4">
        <v>2395</v>
      </c>
      <c r="C2561" s="4" t="s">
        <v>221</v>
      </c>
      <c r="D2561" s="4" t="s">
        <v>165</v>
      </c>
      <c r="E2561" s="4">
        <v>2295</v>
      </c>
      <c r="F2561" s="4" t="s">
        <v>29</v>
      </c>
      <c r="G2561" s="4" t="s">
        <v>50</v>
      </c>
      <c r="H2561" s="4" t="s">
        <v>107</v>
      </c>
      <c r="I2561" s="4" t="s">
        <v>92</v>
      </c>
      <c r="J2561" s="4">
        <v>320</v>
      </c>
      <c r="L2561" s="4" t="s">
        <v>93</v>
      </c>
      <c r="M2561" s="5"/>
      <c r="O2561" s="5"/>
      <c r="Q2561" s="4">
        <f>B2561</f>
        <v>2395</v>
      </c>
      <c r="R2561" s="4" t="str">
        <f>C2561</f>
        <v>28/10/2026</v>
      </c>
      <c r="S2561" s="4" t="str">
        <f>D2561</f>
        <v>miércoles</v>
      </c>
      <c r="T2561" s="4" t="str">
        <f>E2561&amp;"/"&amp;E2562</f>
        <v>2295/2294</v>
      </c>
      <c r="U2561" s="4" t="str">
        <f>F2561&amp;"-"&amp;G2561&amp;"-"&amp;F2561</f>
        <v>LIM-CJA-LIM</v>
      </c>
      <c r="V2561" s="4" t="str">
        <f>IF($M$2561="","",$M$2561)</f>
        <v/>
      </c>
      <c r="W2561" s="4" t="str">
        <f>IF($O$2561="","",$O$2561)</f>
        <v/>
      </c>
      <c r="X2561" s="4">
        <f>J2561</f>
        <v>320</v>
      </c>
    </row>
    <row r="2562" spans="2:24" ht="30" x14ac:dyDescent="0.25">
      <c r="B2562" s="4">
        <v>2395</v>
      </c>
      <c r="C2562" s="4" t="s">
        <v>221</v>
      </c>
      <c r="D2562" s="4" t="s">
        <v>165</v>
      </c>
      <c r="E2562" s="4">
        <v>2294</v>
      </c>
      <c r="F2562" s="4" t="s">
        <v>50</v>
      </c>
      <c r="G2562" s="4" t="s">
        <v>29</v>
      </c>
      <c r="H2562" s="4" t="s">
        <v>210</v>
      </c>
      <c r="I2562" s="4" t="s">
        <v>100</v>
      </c>
      <c r="J2562" s="4">
        <v>320</v>
      </c>
      <c r="K2562" t="str">
        <f>TEXT(TIMEVALUE(H2562)-TIMEVALUE(I2561)+(TIMEVALUE(H2562)&lt;TIMEVALUE(I2561)),"[h]:mm")</f>
        <v>0:40</v>
      </c>
      <c r="L2562" s="4" t="s">
        <v>74</v>
      </c>
      <c r="O2562" t="str">
        <f>"LIM-"&amp;G2561&amp;"-LIM   LA "&amp;E2561&amp;" ("&amp;LEFT(H2561,5)&amp;"-"&amp;LEFT(I2561,5)&amp;" hrs)  /  LA "&amp;E2562&amp;" ("&amp;LEFT(H2562,5)&amp;"-"&amp;LEFT(I2562,5)&amp;" hrs)"</f>
        <v>LIM-CJA-LIM   LA 2295 (14:15-15:40 hrs)  /  LA 2294 (16:20-17:30 hrs)</v>
      </c>
    </row>
    <row r="2563" spans="2:24" x14ac:dyDescent="0.25">
      <c r="J2563" s="7" t="s">
        <v>43</v>
      </c>
      <c r="K2563" s="8" t="str">
        <f>TEXT(TIMEVALUE(I2562)-TIMEVALUE(H2561)+(I2562&lt;H2561),"[h]:mm")</f>
        <v>3:15</v>
      </c>
    </row>
    <row r="2565" spans="2:24" ht="30" x14ac:dyDescent="0.25">
      <c r="B2565" s="3" t="s">
        <v>9</v>
      </c>
      <c r="C2565" s="3" t="s">
        <v>17</v>
      </c>
      <c r="D2565" s="3" t="s">
        <v>18</v>
      </c>
      <c r="E2565" s="3" t="s">
        <v>19</v>
      </c>
      <c r="F2565" s="3" t="s">
        <v>20</v>
      </c>
      <c r="G2565" s="3" t="s">
        <v>21</v>
      </c>
      <c r="H2565" s="3" t="s">
        <v>22</v>
      </c>
      <c r="I2565" s="3" t="s">
        <v>23</v>
      </c>
      <c r="J2565" s="3" t="s">
        <v>24</v>
      </c>
      <c r="K2565" s="3" t="s">
        <v>25</v>
      </c>
      <c r="L2565" s="3" t="s">
        <v>26</v>
      </c>
    </row>
    <row r="2566" spans="2:24" ht="30" x14ac:dyDescent="0.25">
      <c r="B2566" s="4">
        <v>2396</v>
      </c>
      <c r="C2566" s="4" t="s">
        <v>221</v>
      </c>
      <c r="D2566" s="4" t="s">
        <v>165</v>
      </c>
      <c r="E2566" s="4">
        <v>2232</v>
      </c>
      <c r="F2566" s="4" t="s">
        <v>29</v>
      </c>
      <c r="G2566" s="4" t="s">
        <v>30</v>
      </c>
      <c r="H2566" s="4" t="s">
        <v>107</v>
      </c>
      <c r="I2566" s="4" t="s">
        <v>92</v>
      </c>
      <c r="J2566" s="4">
        <v>320</v>
      </c>
      <c r="L2566" s="4" t="s">
        <v>93</v>
      </c>
      <c r="M2566" s="5"/>
      <c r="O2566" s="5"/>
      <c r="Q2566" s="4">
        <f>B2566</f>
        <v>2396</v>
      </c>
      <c r="R2566" s="4" t="str">
        <f>C2566</f>
        <v>28/10/2026</v>
      </c>
      <c r="S2566" s="4" t="str">
        <f>D2566</f>
        <v>miércoles</v>
      </c>
      <c r="T2566" s="4" t="str">
        <f>E2566&amp;"/"&amp;E2567</f>
        <v>2232/2233</v>
      </c>
      <c r="U2566" s="4" t="str">
        <f>F2566&amp;"-"&amp;G2566&amp;"-"&amp;F2566</f>
        <v>LIM-CUZ-LIM</v>
      </c>
      <c r="V2566" s="4" t="str">
        <f>IF($M$2566="","",$M$2566)</f>
        <v/>
      </c>
      <c r="W2566" s="4" t="str">
        <f>IF($O$2566="","",$O$2566)</f>
        <v/>
      </c>
      <c r="X2566" s="4">
        <f>J2566</f>
        <v>320</v>
      </c>
    </row>
    <row r="2567" spans="2:24" ht="30" x14ac:dyDescent="0.25">
      <c r="B2567" s="4">
        <v>2396</v>
      </c>
      <c r="C2567" s="4" t="s">
        <v>221</v>
      </c>
      <c r="D2567" s="4" t="s">
        <v>165</v>
      </c>
      <c r="E2567" s="4">
        <v>2233</v>
      </c>
      <c r="F2567" s="4" t="s">
        <v>30</v>
      </c>
      <c r="G2567" s="4" t="s">
        <v>29</v>
      </c>
      <c r="H2567" s="4" t="s">
        <v>198</v>
      </c>
      <c r="I2567" s="4" t="s">
        <v>156</v>
      </c>
      <c r="J2567" s="4">
        <v>320</v>
      </c>
      <c r="K2567" t="str">
        <f>TEXT(TIMEVALUE(H2567)-TIMEVALUE(I2566)+(TIMEVALUE(H2567)&lt;TIMEVALUE(I2566)),"[h]:mm")</f>
        <v>0:45</v>
      </c>
      <c r="L2567" s="4" t="s">
        <v>36</v>
      </c>
      <c r="O2567" t="str">
        <f>"LIM-"&amp;G2566&amp;"-LIM   LA "&amp;E2566&amp;" ("&amp;LEFT(H2566,5)&amp;"-"&amp;LEFT(I2566,5)&amp;" hrs)  /  LA "&amp;E2567&amp;" ("&amp;LEFT(H2567,5)&amp;"-"&amp;LEFT(I2567,5)&amp;" hrs)"</f>
        <v>LIM-CUZ-LIM   LA 2232 (14:15-15:40 hrs)  /  LA 2233 (16:25-18:00 hrs)</v>
      </c>
    </row>
    <row r="2568" spans="2:24" x14ac:dyDescent="0.25">
      <c r="J2568" s="7" t="s">
        <v>43</v>
      </c>
      <c r="K2568" s="8" t="str">
        <f>TEXT(TIMEVALUE(I2567)-TIMEVALUE(H2566)+(I2567&lt;H2566),"[h]:mm")</f>
        <v>3:45</v>
      </c>
    </row>
    <row r="2570" spans="2:24" ht="30" x14ac:dyDescent="0.25">
      <c r="B2570" s="3" t="s">
        <v>9</v>
      </c>
      <c r="C2570" s="3" t="s">
        <v>17</v>
      </c>
      <c r="D2570" s="3" t="s">
        <v>18</v>
      </c>
      <c r="E2570" s="3" t="s">
        <v>19</v>
      </c>
      <c r="F2570" s="3" t="s">
        <v>20</v>
      </c>
      <c r="G2570" s="3" t="s">
        <v>21</v>
      </c>
      <c r="H2570" s="3" t="s">
        <v>22</v>
      </c>
      <c r="I2570" s="3" t="s">
        <v>23</v>
      </c>
      <c r="J2570" s="3" t="s">
        <v>24</v>
      </c>
      <c r="K2570" s="3" t="s">
        <v>25</v>
      </c>
      <c r="L2570" s="3" t="s">
        <v>26</v>
      </c>
    </row>
    <row r="2571" spans="2:24" ht="30" x14ac:dyDescent="0.25">
      <c r="B2571" s="4">
        <v>2398</v>
      </c>
      <c r="C2571" s="4" t="s">
        <v>221</v>
      </c>
      <c r="D2571" s="4" t="s">
        <v>165</v>
      </c>
      <c r="E2571" s="4">
        <v>2338</v>
      </c>
      <c r="F2571" s="4" t="s">
        <v>29</v>
      </c>
      <c r="G2571" s="4" t="s">
        <v>125</v>
      </c>
      <c r="H2571" s="4" t="s">
        <v>87</v>
      </c>
      <c r="I2571" s="4" t="s">
        <v>60</v>
      </c>
      <c r="J2571" s="4">
        <v>320</v>
      </c>
      <c r="L2571" s="4" t="s">
        <v>47</v>
      </c>
      <c r="M2571" s="5"/>
      <c r="O2571" s="5"/>
      <c r="Q2571" s="4">
        <f>B2571</f>
        <v>2398</v>
      </c>
      <c r="R2571" s="4" t="str">
        <f>C2571</f>
        <v>28/10/2026</v>
      </c>
      <c r="S2571" s="4" t="str">
        <f>D2571</f>
        <v>miércoles</v>
      </c>
      <c r="T2571" s="4" t="str">
        <f>E2571&amp;"/"&amp;E2572</f>
        <v>2338/2339</v>
      </c>
      <c r="U2571" s="4" t="str">
        <f>F2571&amp;"-"&amp;G2571&amp;"-"&amp;F2571</f>
        <v>LIM-PIU-LIM</v>
      </c>
      <c r="V2571" s="4" t="str">
        <f>IF($M$2571="","",$M$2571)</f>
        <v/>
      </c>
      <c r="W2571" s="4" t="str">
        <f>IF($O$2571="","",$O$2571)</f>
        <v/>
      </c>
      <c r="X2571" s="4">
        <f>J2571</f>
        <v>320</v>
      </c>
    </row>
    <row r="2572" spans="2:24" ht="30" x14ac:dyDescent="0.25">
      <c r="B2572" s="4">
        <v>2398</v>
      </c>
      <c r="C2572" s="4" t="s">
        <v>221</v>
      </c>
      <c r="D2572" s="4" t="s">
        <v>165</v>
      </c>
      <c r="E2572" s="4">
        <v>2339</v>
      </c>
      <c r="F2572" s="4" t="s">
        <v>125</v>
      </c>
      <c r="G2572" s="4" t="s">
        <v>29</v>
      </c>
      <c r="H2572" s="4" t="s">
        <v>53</v>
      </c>
      <c r="I2572" s="4" t="s">
        <v>88</v>
      </c>
      <c r="J2572" s="4">
        <v>320</v>
      </c>
      <c r="K2572" t="str">
        <f>TEXT(TIMEVALUE(H2572)-TIMEVALUE(I2571)+(TIMEVALUE(H2572)&lt;TIMEVALUE(I2571)),"[h]:mm")</f>
        <v>0:40</v>
      </c>
      <c r="L2572" s="4" t="s">
        <v>36</v>
      </c>
      <c r="O2572" t="str">
        <f>"LIM-"&amp;G2571&amp;"-LIM   LA "&amp;E2571&amp;" ("&amp;LEFT(H2571,5)&amp;"-"&amp;LEFT(I2571,5)&amp;" hrs)  /  LA "&amp;E2572&amp;" ("&amp;LEFT(H2572,5)&amp;"-"&amp;LEFT(I2572,5)&amp;" hrs)"</f>
        <v>LIM-PIU-LIM   LA 2338 (14:55-16:40 hrs)  /  LA 2339 (17:20-18:55 hrs)</v>
      </c>
    </row>
    <row r="2573" spans="2:24" x14ac:dyDescent="0.25">
      <c r="J2573" s="7" t="s">
        <v>43</v>
      </c>
      <c r="K2573" s="8" t="str">
        <f>TEXT(TIMEVALUE(I2572)-TIMEVALUE(H2571)+(I2572&lt;H2571),"[h]:mm")</f>
        <v>4:00</v>
      </c>
    </row>
    <row r="2575" spans="2:24" ht="30" x14ac:dyDescent="0.25">
      <c r="B2575" s="3" t="s">
        <v>9</v>
      </c>
      <c r="C2575" s="3" t="s">
        <v>17</v>
      </c>
      <c r="D2575" s="3" t="s">
        <v>18</v>
      </c>
      <c r="E2575" s="3" t="s">
        <v>19</v>
      </c>
      <c r="F2575" s="3" t="s">
        <v>20</v>
      </c>
      <c r="G2575" s="3" t="s">
        <v>21</v>
      </c>
      <c r="H2575" s="3" t="s">
        <v>22</v>
      </c>
      <c r="I2575" s="3" t="s">
        <v>23</v>
      </c>
      <c r="J2575" s="3" t="s">
        <v>24</v>
      </c>
      <c r="K2575" s="3" t="s">
        <v>25</v>
      </c>
      <c r="L2575" s="3" t="s">
        <v>26</v>
      </c>
    </row>
    <row r="2576" spans="2:24" ht="30" x14ac:dyDescent="0.25">
      <c r="B2576" s="4">
        <v>2399</v>
      </c>
      <c r="C2576" s="4" t="s">
        <v>221</v>
      </c>
      <c r="D2576" s="4" t="s">
        <v>165</v>
      </c>
      <c r="E2576" s="4">
        <v>2338</v>
      </c>
      <c r="F2576" s="4" t="s">
        <v>29</v>
      </c>
      <c r="G2576" s="4" t="s">
        <v>125</v>
      </c>
      <c r="H2576" s="4" t="s">
        <v>87</v>
      </c>
      <c r="I2576" s="4" t="s">
        <v>60</v>
      </c>
      <c r="J2576" s="4">
        <v>320</v>
      </c>
      <c r="L2576" s="4" t="s">
        <v>47</v>
      </c>
      <c r="M2576" s="5"/>
      <c r="O2576" s="5"/>
      <c r="Q2576" s="4">
        <f>B2576</f>
        <v>2399</v>
      </c>
      <c r="R2576" s="4" t="str">
        <f>C2576</f>
        <v>28/10/2026</v>
      </c>
      <c r="S2576" s="4" t="str">
        <f>D2576</f>
        <v>miércoles</v>
      </c>
      <c r="T2576" s="4" t="str">
        <f>E2576&amp;"/"&amp;E2577</f>
        <v>2338/2339</v>
      </c>
      <c r="U2576" s="4" t="str">
        <f>F2576&amp;"-"&amp;G2576&amp;"-"&amp;F2576</f>
        <v>LIM-PIU-LIM</v>
      </c>
      <c r="V2576" s="4" t="str">
        <f>IF($M$2576="","",$M$2576)</f>
        <v/>
      </c>
      <c r="W2576" s="4" t="str">
        <f>IF($O$2576="","",$O$2576)</f>
        <v/>
      </c>
      <c r="X2576" s="4">
        <f>J2576</f>
        <v>320</v>
      </c>
    </row>
    <row r="2577" spans="2:24" ht="30" x14ac:dyDescent="0.25">
      <c r="B2577" s="4">
        <v>2399</v>
      </c>
      <c r="C2577" s="4" t="s">
        <v>221</v>
      </c>
      <c r="D2577" s="4" t="s">
        <v>165</v>
      </c>
      <c r="E2577" s="4">
        <v>2339</v>
      </c>
      <c r="F2577" s="4" t="s">
        <v>125</v>
      </c>
      <c r="G2577" s="4" t="s">
        <v>29</v>
      </c>
      <c r="H2577" s="4" t="s">
        <v>53</v>
      </c>
      <c r="I2577" s="4" t="s">
        <v>88</v>
      </c>
      <c r="J2577" s="4">
        <v>320</v>
      </c>
      <c r="K2577" t="str">
        <f>TEXT(TIMEVALUE(H2577)-TIMEVALUE(I2576)+(TIMEVALUE(H2577)&lt;TIMEVALUE(I2576)),"[h]:mm")</f>
        <v>0:40</v>
      </c>
      <c r="L2577" s="4" t="s">
        <v>36</v>
      </c>
      <c r="O2577" t="str">
        <f>"LIM-"&amp;G2576&amp;"-LIM   LA "&amp;E2576&amp;" ("&amp;LEFT(H2576,5)&amp;"-"&amp;LEFT(I2576,5)&amp;" hrs)  /  LA "&amp;E2577&amp;" ("&amp;LEFT(H2577,5)&amp;"-"&amp;LEFT(I2577,5)&amp;" hrs)"</f>
        <v>LIM-PIU-LIM   LA 2338 (14:55-16:40 hrs)  /  LA 2339 (17:20-18:55 hrs)</v>
      </c>
    </row>
    <row r="2578" spans="2:24" x14ac:dyDescent="0.25">
      <c r="J2578" s="7" t="s">
        <v>43</v>
      </c>
      <c r="K2578" s="8" t="str">
        <f>TEXT(TIMEVALUE(I2577)-TIMEVALUE(H2576)+(I2577&lt;H2576),"[h]:mm")</f>
        <v>4:00</v>
      </c>
    </row>
    <row r="2580" spans="2:24" ht="30" x14ac:dyDescent="0.25">
      <c r="B2580" s="3" t="s">
        <v>9</v>
      </c>
      <c r="C2580" s="3" t="s">
        <v>17</v>
      </c>
      <c r="D2580" s="3" t="s">
        <v>18</v>
      </c>
      <c r="E2580" s="3" t="s">
        <v>19</v>
      </c>
      <c r="F2580" s="3" t="s">
        <v>20</v>
      </c>
      <c r="G2580" s="3" t="s">
        <v>21</v>
      </c>
      <c r="H2580" s="3" t="s">
        <v>22</v>
      </c>
      <c r="I2580" s="3" t="s">
        <v>23</v>
      </c>
      <c r="J2580" s="3" t="s">
        <v>24</v>
      </c>
      <c r="K2580" s="3" t="s">
        <v>25</v>
      </c>
      <c r="L2580" s="3" t="s">
        <v>26</v>
      </c>
    </row>
    <row r="2581" spans="2:24" ht="30" x14ac:dyDescent="0.25">
      <c r="B2581" s="4">
        <v>2400</v>
      </c>
      <c r="C2581" s="4" t="s">
        <v>221</v>
      </c>
      <c r="D2581" s="4" t="s">
        <v>165</v>
      </c>
      <c r="E2581" s="4">
        <v>2264</v>
      </c>
      <c r="F2581" s="4" t="s">
        <v>29</v>
      </c>
      <c r="G2581" s="4" t="s">
        <v>44</v>
      </c>
      <c r="H2581" s="4" t="s">
        <v>109</v>
      </c>
      <c r="I2581" s="4" t="s">
        <v>60</v>
      </c>
      <c r="J2581" s="4">
        <v>320</v>
      </c>
      <c r="L2581" s="4" t="s">
        <v>71</v>
      </c>
      <c r="M2581" s="5"/>
      <c r="O2581" s="5"/>
      <c r="Q2581" s="4">
        <f>B2581</f>
        <v>2400</v>
      </c>
      <c r="R2581" s="4" t="str">
        <f>C2581</f>
        <v>28/10/2026</v>
      </c>
      <c r="S2581" s="4" t="str">
        <f>D2581</f>
        <v>miércoles</v>
      </c>
      <c r="T2581" s="4" t="str">
        <f>E2581&amp;"/"&amp;E2582</f>
        <v>2264/2265</v>
      </c>
      <c r="U2581" s="4" t="str">
        <f>F2581&amp;"-"&amp;G2581&amp;"-"&amp;F2581</f>
        <v>LIM-PEM-LIM</v>
      </c>
      <c r="V2581" s="4" t="str">
        <f>IF($M$2581="","",$M$2581)</f>
        <v/>
      </c>
      <c r="W2581" s="4" t="str">
        <f>IF($O$2581="","",$O$2581)</f>
        <v/>
      </c>
      <c r="X2581" s="4">
        <f>J2581</f>
        <v>320</v>
      </c>
    </row>
    <row r="2582" spans="2:24" ht="30" x14ac:dyDescent="0.25">
      <c r="B2582" s="4">
        <v>2400</v>
      </c>
      <c r="C2582" s="4" t="s">
        <v>221</v>
      </c>
      <c r="D2582" s="4" t="s">
        <v>165</v>
      </c>
      <c r="E2582" s="4">
        <v>2265</v>
      </c>
      <c r="F2582" s="4" t="s">
        <v>44</v>
      </c>
      <c r="G2582" s="4" t="s">
        <v>29</v>
      </c>
      <c r="H2582" s="4" t="s">
        <v>53</v>
      </c>
      <c r="I2582" s="4" t="s">
        <v>88</v>
      </c>
      <c r="J2582" s="4">
        <v>320</v>
      </c>
      <c r="K2582" t="str">
        <f>TEXT(TIMEVALUE(H2582)-TIMEVALUE(I2581)+(TIMEVALUE(H2582)&lt;TIMEVALUE(I2581)),"[h]:mm")</f>
        <v>0:40</v>
      </c>
      <c r="L2582" s="4" t="s">
        <v>36</v>
      </c>
      <c r="O2582" t="str">
        <f>"LIM-"&amp;G2581&amp;"-LIM   LA "&amp;E2581&amp;" ("&amp;LEFT(H2581,5)&amp;"-"&amp;LEFT(I2581,5)&amp;" hrs)  /  LA "&amp;E2582&amp;" ("&amp;LEFT(H2582,5)&amp;"-"&amp;LEFT(I2582,5)&amp;" hrs)"</f>
        <v>LIM-PEM-LIM   LA 2264 (15:00-16:40 hrs)  /  LA 2265 (17:20-18:55 hrs)</v>
      </c>
    </row>
    <row r="2583" spans="2:24" x14ac:dyDescent="0.25">
      <c r="J2583" s="7" t="s">
        <v>43</v>
      </c>
      <c r="K2583" s="8" t="str">
        <f>TEXT(TIMEVALUE(I2582)-TIMEVALUE(H2581)+(I2582&lt;H2581),"[h]:mm")</f>
        <v>3:55</v>
      </c>
    </row>
    <row r="2585" spans="2:24" ht="30" x14ac:dyDescent="0.25">
      <c r="B2585" s="3" t="s">
        <v>9</v>
      </c>
      <c r="C2585" s="3" t="s">
        <v>17</v>
      </c>
      <c r="D2585" s="3" t="s">
        <v>18</v>
      </c>
      <c r="E2585" s="3" t="s">
        <v>19</v>
      </c>
      <c r="F2585" s="3" t="s">
        <v>20</v>
      </c>
      <c r="G2585" s="3" t="s">
        <v>21</v>
      </c>
      <c r="H2585" s="3" t="s">
        <v>22</v>
      </c>
      <c r="I2585" s="3" t="s">
        <v>23</v>
      </c>
      <c r="J2585" s="3" t="s">
        <v>24</v>
      </c>
      <c r="K2585" s="3" t="s">
        <v>25</v>
      </c>
      <c r="L2585" s="3" t="s">
        <v>26</v>
      </c>
    </row>
    <row r="2586" spans="2:24" ht="30" x14ac:dyDescent="0.25">
      <c r="B2586" s="4">
        <v>2401</v>
      </c>
      <c r="C2586" s="4" t="s">
        <v>221</v>
      </c>
      <c r="D2586" s="4" t="s">
        <v>165</v>
      </c>
      <c r="E2586" s="4">
        <v>2264</v>
      </c>
      <c r="F2586" s="4" t="s">
        <v>29</v>
      </c>
      <c r="G2586" s="4" t="s">
        <v>44</v>
      </c>
      <c r="H2586" s="4" t="s">
        <v>109</v>
      </c>
      <c r="I2586" s="4" t="s">
        <v>60</v>
      </c>
      <c r="J2586" s="4">
        <v>320</v>
      </c>
      <c r="L2586" s="4" t="s">
        <v>71</v>
      </c>
      <c r="M2586" s="5"/>
      <c r="O2586" s="5"/>
      <c r="Q2586" s="4">
        <f>B2586</f>
        <v>2401</v>
      </c>
      <c r="R2586" s="4" t="str">
        <f>C2586</f>
        <v>28/10/2026</v>
      </c>
      <c r="S2586" s="4" t="str">
        <f>D2586</f>
        <v>miércoles</v>
      </c>
      <c r="T2586" s="4" t="str">
        <f>E2586&amp;"/"&amp;E2587</f>
        <v>2264/2265</v>
      </c>
      <c r="U2586" s="4" t="str">
        <f>F2586&amp;"-"&amp;G2586&amp;"-"&amp;F2586</f>
        <v>LIM-PEM-LIM</v>
      </c>
      <c r="V2586" s="4" t="str">
        <f>IF($M$2586="","",$M$2586)</f>
        <v/>
      </c>
      <c r="W2586" s="4" t="str">
        <f>IF($O$2586="","",$O$2586)</f>
        <v/>
      </c>
      <c r="X2586" s="4">
        <f>J2586</f>
        <v>320</v>
      </c>
    </row>
    <row r="2587" spans="2:24" ht="30" x14ac:dyDescent="0.25">
      <c r="B2587" s="4">
        <v>2401</v>
      </c>
      <c r="C2587" s="4" t="s">
        <v>221</v>
      </c>
      <c r="D2587" s="4" t="s">
        <v>165</v>
      </c>
      <c r="E2587" s="4">
        <v>2265</v>
      </c>
      <c r="F2587" s="4" t="s">
        <v>44</v>
      </c>
      <c r="G2587" s="4" t="s">
        <v>29</v>
      </c>
      <c r="H2587" s="4" t="s">
        <v>53</v>
      </c>
      <c r="I2587" s="4" t="s">
        <v>88</v>
      </c>
      <c r="J2587" s="4">
        <v>320</v>
      </c>
      <c r="K2587" t="str">
        <f>TEXT(TIMEVALUE(H2587)-TIMEVALUE(I2586)+(TIMEVALUE(H2587)&lt;TIMEVALUE(I2586)),"[h]:mm")</f>
        <v>0:40</v>
      </c>
      <c r="L2587" s="4" t="s">
        <v>36</v>
      </c>
      <c r="O2587" t="str">
        <f>"LIM-"&amp;G2586&amp;"-LIM   LA "&amp;E2586&amp;" ("&amp;LEFT(H2586,5)&amp;"-"&amp;LEFT(I2586,5)&amp;" hrs)  /  LA "&amp;E2587&amp;" ("&amp;LEFT(H2587,5)&amp;"-"&amp;LEFT(I2587,5)&amp;" hrs)"</f>
        <v>LIM-PEM-LIM   LA 2264 (15:00-16:40 hrs)  /  LA 2265 (17:20-18:55 hrs)</v>
      </c>
    </row>
    <row r="2588" spans="2:24" x14ac:dyDescent="0.25">
      <c r="J2588" s="7" t="s">
        <v>43</v>
      </c>
      <c r="K2588" s="8" t="str">
        <f>TEXT(TIMEVALUE(I2587)-TIMEVALUE(H2586)+(I2587&lt;H2586),"[h]:mm")</f>
        <v>3:55</v>
      </c>
    </row>
    <row r="2590" spans="2:24" ht="30" x14ac:dyDescent="0.25">
      <c r="B2590" s="3" t="s">
        <v>9</v>
      </c>
      <c r="C2590" s="3" t="s">
        <v>17</v>
      </c>
      <c r="D2590" s="3" t="s">
        <v>18</v>
      </c>
      <c r="E2590" s="3" t="s">
        <v>19</v>
      </c>
      <c r="F2590" s="3" t="s">
        <v>20</v>
      </c>
      <c r="G2590" s="3" t="s">
        <v>21</v>
      </c>
      <c r="H2590" s="3" t="s">
        <v>22</v>
      </c>
      <c r="I2590" s="3" t="s">
        <v>23</v>
      </c>
      <c r="J2590" s="3" t="s">
        <v>24</v>
      </c>
      <c r="K2590" s="3" t="s">
        <v>25</v>
      </c>
      <c r="L2590" s="3" t="s">
        <v>26</v>
      </c>
    </row>
    <row r="2591" spans="2:24" ht="30" x14ac:dyDescent="0.25">
      <c r="B2591" s="4">
        <v>2402</v>
      </c>
      <c r="C2591" s="4" t="s">
        <v>221</v>
      </c>
      <c r="D2591" s="4" t="s">
        <v>165</v>
      </c>
      <c r="E2591" s="4">
        <v>2113</v>
      </c>
      <c r="F2591" s="4" t="s">
        <v>29</v>
      </c>
      <c r="G2591" s="4" t="s">
        <v>56</v>
      </c>
      <c r="H2591" s="4" t="s">
        <v>126</v>
      </c>
      <c r="I2591" s="4" t="s">
        <v>52</v>
      </c>
      <c r="J2591" s="4">
        <v>319</v>
      </c>
      <c r="L2591" s="4" t="s">
        <v>40</v>
      </c>
      <c r="M2591" s="5"/>
      <c r="O2591" s="5"/>
      <c r="Q2591" s="4">
        <f>B2591</f>
        <v>2402</v>
      </c>
      <c r="R2591" s="4" t="str">
        <f>C2591</f>
        <v>28/10/2026</v>
      </c>
      <c r="S2591" s="4" t="str">
        <f>D2591</f>
        <v>miércoles</v>
      </c>
      <c r="T2591" s="4" t="str">
        <f>E2591&amp;"/"&amp;E2592</f>
        <v>2113/2112</v>
      </c>
      <c r="U2591" s="4" t="str">
        <f>F2591&amp;"-"&amp;G2591&amp;"-"&amp;F2591</f>
        <v>LIM-AQP-LIM</v>
      </c>
      <c r="V2591" s="4" t="str">
        <f>IF($M$2591="","",$M$2591)</f>
        <v/>
      </c>
      <c r="W2591" s="4" t="str">
        <f>IF($O$2591="","",$O$2591)</f>
        <v/>
      </c>
      <c r="X2591" s="4">
        <f>J2591</f>
        <v>319</v>
      </c>
    </row>
    <row r="2592" spans="2:24" ht="30" x14ac:dyDescent="0.25">
      <c r="B2592" s="4">
        <v>2402</v>
      </c>
      <c r="C2592" s="4" t="s">
        <v>221</v>
      </c>
      <c r="D2592" s="4" t="s">
        <v>165</v>
      </c>
      <c r="E2592" s="4">
        <v>2112</v>
      </c>
      <c r="F2592" s="4" t="s">
        <v>56</v>
      </c>
      <c r="G2592" s="4" t="s">
        <v>29</v>
      </c>
      <c r="H2592" s="4" t="s">
        <v>42</v>
      </c>
      <c r="I2592" s="4" t="s">
        <v>127</v>
      </c>
      <c r="J2592" s="4">
        <v>319</v>
      </c>
      <c r="K2592" t="str">
        <f>TEXT(TIMEVALUE(H2592)-TIMEVALUE(I2591)+(TIMEVALUE(H2592)&lt;TIMEVALUE(I2591)),"[h]:mm")</f>
        <v>0:40</v>
      </c>
      <c r="L2592" s="4" t="s">
        <v>36</v>
      </c>
      <c r="O2592" t="str">
        <f>"LIM-"&amp;G2591&amp;"-LIM   LA "&amp;E2591&amp;" ("&amp;LEFT(H2591,5)&amp;"-"&amp;LEFT(I2591,5)&amp;" hrs)  /  LA "&amp;E2592&amp;" ("&amp;LEFT(H2592,5)&amp;"-"&amp;LEFT(I2592,5)&amp;" hrs)"</f>
        <v>LIM-AQP-LIM   LA 2113 (15:05-16:35 hrs)  /  LA 2112 (17:15-18:50 hrs)</v>
      </c>
    </row>
    <row r="2593" spans="2:24" x14ac:dyDescent="0.25">
      <c r="J2593" s="7" t="s">
        <v>43</v>
      </c>
      <c r="K2593" s="8" t="str">
        <f>TEXT(TIMEVALUE(I2592)-TIMEVALUE(H2591)+(I2592&lt;H2591),"[h]:mm")</f>
        <v>3:45</v>
      </c>
    </row>
    <row r="2595" spans="2:24" ht="30" x14ac:dyDescent="0.25">
      <c r="B2595" s="3" t="s">
        <v>9</v>
      </c>
      <c r="C2595" s="3" t="s">
        <v>17</v>
      </c>
      <c r="D2595" s="3" t="s">
        <v>18</v>
      </c>
      <c r="E2595" s="3" t="s">
        <v>19</v>
      </c>
      <c r="F2595" s="3" t="s">
        <v>20</v>
      </c>
      <c r="G2595" s="3" t="s">
        <v>21</v>
      </c>
      <c r="H2595" s="3" t="s">
        <v>22</v>
      </c>
      <c r="I2595" s="3" t="s">
        <v>23</v>
      </c>
      <c r="J2595" s="3" t="s">
        <v>24</v>
      </c>
      <c r="K2595" s="3" t="s">
        <v>25</v>
      </c>
      <c r="L2595" s="3" t="s">
        <v>26</v>
      </c>
    </row>
    <row r="2596" spans="2:24" ht="30" x14ac:dyDescent="0.25">
      <c r="B2596" s="4">
        <v>2403</v>
      </c>
      <c r="C2596" s="4" t="s">
        <v>221</v>
      </c>
      <c r="D2596" s="4" t="s">
        <v>165</v>
      </c>
      <c r="E2596" s="4">
        <v>2297</v>
      </c>
      <c r="F2596" s="4" t="s">
        <v>29</v>
      </c>
      <c r="G2596" s="4" t="s">
        <v>50</v>
      </c>
      <c r="H2596" s="4" t="s">
        <v>51</v>
      </c>
      <c r="I2596" s="4" t="s">
        <v>52</v>
      </c>
      <c r="J2596" s="4">
        <v>319</v>
      </c>
      <c r="L2596" s="4" t="s">
        <v>33</v>
      </c>
      <c r="M2596" s="5"/>
      <c r="O2596" s="5"/>
      <c r="Q2596" s="4">
        <f>B2596</f>
        <v>2403</v>
      </c>
      <c r="R2596" s="4" t="str">
        <f>C2596</f>
        <v>28/10/2026</v>
      </c>
      <c r="S2596" s="4" t="str">
        <f>D2596</f>
        <v>miércoles</v>
      </c>
      <c r="T2596" s="4" t="str">
        <f>E2596&amp;"/"&amp;E2597</f>
        <v>2297/2296</v>
      </c>
      <c r="U2596" s="4" t="str">
        <f>F2596&amp;"-"&amp;G2596&amp;"-"&amp;F2596</f>
        <v>LIM-CJA-LIM</v>
      </c>
      <c r="V2596" s="4" t="str">
        <f>IF($M$2596="","",$M$2596)</f>
        <v/>
      </c>
      <c r="W2596" s="4" t="str">
        <f>IF($O$2596="","",$O$2596)</f>
        <v/>
      </c>
      <c r="X2596" s="4">
        <f>J2596</f>
        <v>319</v>
      </c>
    </row>
    <row r="2597" spans="2:24" ht="30" x14ac:dyDescent="0.25">
      <c r="B2597" s="4">
        <v>2403</v>
      </c>
      <c r="C2597" s="4" t="s">
        <v>221</v>
      </c>
      <c r="D2597" s="4" t="s">
        <v>165</v>
      </c>
      <c r="E2597" s="4">
        <v>2296</v>
      </c>
      <c r="F2597" s="4" t="s">
        <v>50</v>
      </c>
      <c r="G2597" s="4" t="s">
        <v>29</v>
      </c>
      <c r="H2597" s="4" t="s">
        <v>206</v>
      </c>
      <c r="I2597" s="4" t="s">
        <v>207</v>
      </c>
      <c r="J2597" s="4">
        <v>319</v>
      </c>
      <c r="K2597" t="str">
        <f>TEXT(TIMEVALUE(H2597)-TIMEVALUE(I2596)+(TIMEVALUE(H2597)&lt;TIMEVALUE(I2596)),"[h]:mm")</f>
        <v>0:50</v>
      </c>
      <c r="L2597" s="4" t="s">
        <v>61</v>
      </c>
      <c r="O2597" t="str">
        <f>"LIM-"&amp;G2596&amp;"-LIM   LA "&amp;E2596&amp;" ("&amp;LEFT(H2596,5)&amp;"-"&amp;LEFT(I2596,5)&amp;" hrs)  /  LA "&amp;E2597&amp;" ("&amp;LEFT(H2597,5)&amp;"-"&amp;LEFT(I2597,5)&amp;" hrs)"</f>
        <v>LIM-CJA-LIM   LA 2297 (15:15-16:35 hrs)  /  LA 2296 (17:25-18:40 hrs)</v>
      </c>
    </row>
    <row r="2598" spans="2:24" x14ac:dyDescent="0.25">
      <c r="J2598" s="7" t="s">
        <v>43</v>
      </c>
      <c r="K2598" s="8" t="str">
        <f>TEXT(TIMEVALUE(I2597)-TIMEVALUE(H2596)+(I2597&lt;H2596),"[h]:mm")</f>
        <v>3:25</v>
      </c>
    </row>
    <row r="2600" spans="2:24" ht="30" x14ac:dyDescent="0.25">
      <c r="B2600" s="3" t="s">
        <v>9</v>
      </c>
      <c r="C2600" s="3" t="s">
        <v>17</v>
      </c>
      <c r="D2600" s="3" t="s">
        <v>18</v>
      </c>
      <c r="E2600" s="3" t="s">
        <v>19</v>
      </c>
      <c r="F2600" s="3" t="s">
        <v>20</v>
      </c>
      <c r="G2600" s="3" t="s">
        <v>21</v>
      </c>
      <c r="H2600" s="3" t="s">
        <v>22</v>
      </c>
      <c r="I2600" s="3" t="s">
        <v>23</v>
      </c>
      <c r="J2600" s="3" t="s">
        <v>24</v>
      </c>
      <c r="K2600" s="3" t="s">
        <v>25</v>
      </c>
      <c r="L2600" s="3" t="s">
        <v>26</v>
      </c>
    </row>
    <row r="2601" spans="2:24" ht="30" x14ac:dyDescent="0.25">
      <c r="B2601" s="4">
        <v>2405</v>
      </c>
      <c r="C2601" s="4" t="s">
        <v>221</v>
      </c>
      <c r="D2601" s="4" t="s">
        <v>165</v>
      </c>
      <c r="E2601" s="4">
        <v>2360</v>
      </c>
      <c r="F2601" s="4" t="s">
        <v>29</v>
      </c>
      <c r="G2601" s="4" t="s">
        <v>58</v>
      </c>
      <c r="H2601" s="4" t="s">
        <v>89</v>
      </c>
      <c r="I2601" s="4" t="s">
        <v>212</v>
      </c>
      <c r="J2601" s="4">
        <v>319</v>
      </c>
      <c r="L2601" s="4" t="s">
        <v>61</v>
      </c>
      <c r="M2601" s="5"/>
      <c r="O2601" s="5"/>
      <c r="Q2601" s="4">
        <f>B2601</f>
        <v>2405</v>
      </c>
      <c r="R2601" s="4" t="str">
        <f>C2601</f>
        <v>28/10/2026</v>
      </c>
      <c r="S2601" s="4" t="str">
        <f>D2601</f>
        <v>miércoles</v>
      </c>
      <c r="T2601" s="4" t="str">
        <f>E2601&amp;"/"&amp;E2602</f>
        <v>2360/2361</v>
      </c>
      <c r="U2601" s="4" t="str">
        <f>F2601&amp;"-"&amp;G2601&amp;"-"&amp;F2601</f>
        <v>LIM-PCL-LIM</v>
      </c>
      <c r="V2601" s="4" t="str">
        <f>IF($M$2601="","",$M$2601)</f>
        <v/>
      </c>
      <c r="W2601" s="4" t="str">
        <f>IF($O$2601="","",$O$2601)</f>
        <v/>
      </c>
      <c r="X2601" s="4">
        <f>J2601</f>
        <v>319</v>
      </c>
    </row>
    <row r="2602" spans="2:24" ht="30" x14ac:dyDescent="0.25">
      <c r="B2602" s="4">
        <v>2405</v>
      </c>
      <c r="C2602" s="4" t="s">
        <v>221</v>
      </c>
      <c r="D2602" s="4" t="s">
        <v>165</v>
      </c>
      <c r="E2602" s="4">
        <v>2361</v>
      </c>
      <c r="F2602" s="4" t="s">
        <v>58</v>
      </c>
      <c r="G2602" s="4" t="s">
        <v>29</v>
      </c>
      <c r="H2602" s="4" t="s">
        <v>206</v>
      </c>
      <c r="I2602" s="4" t="s">
        <v>207</v>
      </c>
      <c r="J2602" s="4">
        <v>319</v>
      </c>
      <c r="K2602" t="str">
        <f>TEXT(TIMEVALUE(H2602)-TIMEVALUE(I2601)+(TIMEVALUE(H2602)&lt;TIMEVALUE(I2601)),"[h]:mm")</f>
        <v>0:35</v>
      </c>
      <c r="L2602" s="4" t="s">
        <v>61</v>
      </c>
      <c r="O2602" t="str">
        <f>"LIM-"&amp;G2601&amp;"-LIM   LA "&amp;E2601&amp;" ("&amp;LEFT(H2601,5)&amp;"-"&amp;LEFT(I2601,5)&amp;" hrs)  /  LA "&amp;E2602&amp;" ("&amp;LEFT(H2602,5)&amp;"-"&amp;LEFT(I2602,5)&amp;" hrs)"</f>
        <v>LIM-PCL-LIM   LA 2360 (15:35-16:50 hrs)  /  LA 2361 (17:25-18:40 hrs)</v>
      </c>
    </row>
    <row r="2603" spans="2:24" x14ac:dyDescent="0.25">
      <c r="J2603" s="7" t="s">
        <v>43</v>
      </c>
      <c r="K2603" s="8" t="str">
        <f>TEXT(TIMEVALUE(I2602)-TIMEVALUE(H2601)+(I2602&lt;H2601),"[h]:mm")</f>
        <v>3:05</v>
      </c>
    </row>
    <row r="2605" spans="2:24" ht="30" x14ac:dyDescent="0.25">
      <c r="B2605" s="3" t="s">
        <v>9</v>
      </c>
      <c r="C2605" s="3" t="s">
        <v>17</v>
      </c>
      <c r="D2605" s="3" t="s">
        <v>18</v>
      </c>
      <c r="E2605" s="3" t="s">
        <v>19</v>
      </c>
      <c r="F2605" s="3" t="s">
        <v>20</v>
      </c>
      <c r="G2605" s="3" t="s">
        <v>21</v>
      </c>
      <c r="H2605" s="3" t="s">
        <v>22</v>
      </c>
      <c r="I2605" s="3" t="s">
        <v>23</v>
      </c>
      <c r="J2605" s="3" t="s">
        <v>24</v>
      </c>
      <c r="K2605" s="3" t="s">
        <v>25</v>
      </c>
      <c r="L2605" s="3" t="s">
        <v>26</v>
      </c>
    </row>
    <row r="2606" spans="2:24" ht="30" x14ac:dyDescent="0.25">
      <c r="B2606" s="4">
        <v>2406</v>
      </c>
      <c r="C2606" s="4" t="s">
        <v>221</v>
      </c>
      <c r="D2606" s="4" t="s">
        <v>165</v>
      </c>
      <c r="E2606" s="4">
        <v>2312</v>
      </c>
      <c r="F2606" s="4" t="s">
        <v>29</v>
      </c>
      <c r="G2606" s="4" t="s">
        <v>37</v>
      </c>
      <c r="H2606" s="4" t="s">
        <v>89</v>
      </c>
      <c r="I2606" s="4" t="s">
        <v>77</v>
      </c>
      <c r="J2606" s="4">
        <v>319</v>
      </c>
      <c r="L2606" s="4" t="s">
        <v>40</v>
      </c>
      <c r="M2606" s="5"/>
      <c r="O2606" s="5"/>
      <c r="Q2606" s="4">
        <f>B2606</f>
        <v>2406</v>
      </c>
      <c r="R2606" s="4" t="str">
        <f>C2606</f>
        <v>28/10/2026</v>
      </c>
      <c r="S2606" s="4" t="str">
        <f>D2606</f>
        <v>miércoles</v>
      </c>
      <c r="T2606" s="4" t="str">
        <f>E2606&amp;"/"&amp;E2607</f>
        <v>2312/2313</v>
      </c>
      <c r="U2606" s="4" t="str">
        <f>F2606&amp;"-"&amp;G2606&amp;"-"&amp;F2606</f>
        <v>LIM-CIX-LIM</v>
      </c>
      <c r="V2606" s="4" t="str">
        <f>IF($M$2606="","",$M$2606)</f>
        <v/>
      </c>
      <c r="W2606" s="4" t="str">
        <f>IF($O$2606="","",$O$2606)</f>
        <v/>
      </c>
      <c r="X2606" s="4">
        <f>J2606</f>
        <v>319</v>
      </c>
    </row>
    <row r="2607" spans="2:24" ht="30" x14ac:dyDescent="0.25">
      <c r="B2607" s="4">
        <v>2406</v>
      </c>
      <c r="C2607" s="4" t="s">
        <v>221</v>
      </c>
      <c r="D2607" s="4" t="s">
        <v>165</v>
      </c>
      <c r="E2607" s="4">
        <v>2313</v>
      </c>
      <c r="F2607" s="4" t="s">
        <v>37</v>
      </c>
      <c r="G2607" s="4" t="s">
        <v>29</v>
      </c>
      <c r="H2607" s="4" t="s">
        <v>181</v>
      </c>
      <c r="I2607" s="4" t="s">
        <v>213</v>
      </c>
      <c r="J2607" s="4">
        <v>319</v>
      </c>
      <c r="K2607" t="str">
        <f>TEXT(TIMEVALUE(H2607)-TIMEVALUE(I2606)+(TIMEVALUE(H2607)&lt;TIMEVALUE(I2606)),"[h]:mm")</f>
        <v>0:40</v>
      </c>
      <c r="L2607" s="4" t="s">
        <v>33</v>
      </c>
      <c r="O2607" t="str">
        <f>"LIM-"&amp;G2606&amp;"-LIM   LA "&amp;E2606&amp;" ("&amp;LEFT(H2606,5)&amp;"-"&amp;LEFT(I2606,5)&amp;" hrs)  /  LA "&amp;E2607&amp;" ("&amp;LEFT(H2607,5)&amp;"-"&amp;LEFT(I2607,5)&amp;" hrs)"</f>
        <v>LIM-CIX-LIM   LA 2312 (15:35-17:05 hrs)  /  LA 2313 (17:45-19:05 hrs)</v>
      </c>
    </row>
    <row r="2608" spans="2:24" x14ac:dyDescent="0.25">
      <c r="J2608" s="7" t="s">
        <v>43</v>
      </c>
      <c r="K2608" s="8" t="str">
        <f>TEXT(TIMEVALUE(I2607)-TIMEVALUE(H2606)+(I2607&lt;H2606),"[h]:mm")</f>
        <v>3:30</v>
      </c>
    </row>
    <row r="2610" spans="2:24" ht="30" x14ac:dyDescent="0.25">
      <c r="B2610" s="3" t="s">
        <v>9</v>
      </c>
      <c r="C2610" s="3" t="s">
        <v>17</v>
      </c>
      <c r="D2610" s="3" t="s">
        <v>18</v>
      </c>
      <c r="E2610" s="3" t="s">
        <v>19</v>
      </c>
      <c r="F2610" s="3" t="s">
        <v>20</v>
      </c>
      <c r="G2610" s="3" t="s">
        <v>21</v>
      </c>
      <c r="H2610" s="3" t="s">
        <v>22</v>
      </c>
      <c r="I2610" s="3" t="s">
        <v>23</v>
      </c>
      <c r="J2610" s="3" t="s">
        <v>24</v>
      </c>
      <c r="K2610" s="3" t="s">
        <v>25</v>
      </c>
      <c r="L2610" s="3" t="s">
        <v>26</v>
      </c>
    </row>
    <row r="2611" spans="2:24" ht="30" x14ac:dyDescent="0.25">
      <c r="B2611" s="4">
        <v>2448</v>
      </c>
      <c r="C2611" s="4" t="s">
        <v>222</v>
      </c>
      <c r="D2611" s="4" t="s">
        <v>28</v>
      </c>
      <c r="E2611" s="4">
        <v>2007</v>
      </c>
      <c r="F2611" s="4" t="s">
        <v>29</v>
      </c>
      <c r="G2611" s="4" t="s">
        <v>30</v>
      </c>
      <c r="H2611" s="4" t="s">
        <v>202</v>
      </c>
      <c r="I2611" s="4" t="s">
        <v>203</v>
      </c>
      <c r="J2611" s="4">
        <v>320</v>
      </c>
      <c r="L2611" s="4" t="s">
        <v>93</v>
      </c>
      <c r="M2611" s="5"/>
      <c r="O2611" s="5"/>
      <c r="Q2611" s="4">
        <f>B2611</f>
        <v>2448</v>
      </c>
      <c r="R2611" s="4" t="str">
        <f>C2611</f>
        <v>29/10/2026</v>
      </c>
      <c r="S2611" s="4" t="str">
        <f>D2611</f>
        <v>jueves</v>
      </c>
      <c r="T2611" s="4" t="str">
        <f>E2611&amp;"/"&amp;E2612</f>
        <v>2007/2008</v>
      </c>
      <c r="U2611" s="4" t="str">
        <f>F2611&amp;"-"&amp;G2611&amp;"-"&amp;F2611</f>
        <v>LIM-CUZ-LIM</v>
      </c>
      <c r="V2611" s="4" t="str">
        <f>IF($M$2611="","",$M$2611)</f>
        <v/>
      </c>
      <c r="W2611" s="4" t="str">
        <f>IF($O$2611="","",$O$2611)</f>
        <v/>
      </c>
      <c r="X2611" s="4">
        <f>J2611</f>
        <v>320</v>
      </c>
    </row>
    <row r="2612" spans="2:24" ht="30" x14ac:dyDescent="0.25">
      <c r="B2612" s="4">
        <v>2448</v>
      </c>
      <c r="C2612" s="4" t="s">
        <v>222</v>
      </c>
      <c r="D2612" s="4" t="s">
        <v>28</v>
      </c>
      <c r="E2612" s="4">
        <v>2008</v>
      </c>
      <c r="F2612" s="4" t="s">
        <v>30</v>
      </c>
      <c r="G2612" s="4" t="s">
        <v>29</v>
      </c>
      <c r="H2612" s="4" t="s">
        <v>34</v>
      </c>
      <c r="I2612" s="4" t="s">
        <v>35</v>
      </c>
      <c r="J2612" s="4">
        <v>320</v>
      </c>
      <c r="K2612" t="str">
        <f>TEXT(TIMEVALUE(H2612)-TIMEVALUE(I2611)+(TIMEVALUE(H2612)&lt;TIMEVALUE(I2611)),"[h]:mm")</f>
        <v>1:05</v>
      </c>
      <c r="L2612" s="4" t="s">
        <v>36</v>
      </c>
      <c r="O2612" t="str">
        <f>"LIM-"&amp;G2611&amp;"-LIM   LA "&amp;E2611&amp;" ("&amp;LEFT(H2611,5)&amp;"-"&amp;LEFT(I2611,5)&amp;" hrs)  /  LA "&amp;E2612&amp;" ("&amp;LEFT(H2612,5)&amp;"-"&amp;LEFT(I2612,5)&amp;" hrs)"</f>
        <v>LIM-CUZ-LIM   LA 2007 (08:50-10:15 hrs)  /  LA 2008 (11:20-12:55 hrs)</v>
      </c>
    </row>
    <row r="2613" spans="2:24" ht="30" x14ac:dyDescent="0.25">
      <c r="B2613" s="4">
        <v>2474</v>
      </c>
      <c r="C2613" s="4" t="s">
        <v>222</v>
      </c>
      <c r="D2613" s="4" t="s">
        <v>28</v>
      </c>
      <c r="E2613" s="4">
        <v>2087</v>
      </c>
      <c r="F2613" s="4" t="s">
        <v>29</v>
      </c>
      <c r="G2613" s="4" t="s">
        <v>91</v>
      </c>
      <c r="H2613" s="4" t="s">
        <v>110</v>
      </c>
      <c r="I2613" s="4" t="s">
        <v>89</v>
      </c>
      <c r="J2613" s="4">
        <v>320</v>
      </c>
      <c r="K2613" s="6" t="str">
        <f>TEXT(TIMEVALUE(H2613)-TIMEVALUE(I2612)+(TIMEVALUE(H2613)&lt;TIMEVALUE(I2612)),"[h]:mm")</f>
        <v>1:15</v>
      </c>
      <c r="L2613" s="4" t="s">
        <v>93</v>
      </c>
      <c r="M2613" t="str">
        <f>IF($M$2611="","",$M$2611)</f>
        <v/>
      </c>
      <c r="O2613" t="str">
        <f>IF($O$2611="","",$O$2611)</f>
        <v/>
      </c>
      <c r="Q2613" s="4">
        <f>B2613</f>
        <v>2474</v>
      </c>
      <c r="R2613" s="4" t="str">
        <f>C2613</f>
        <v>29/10/2026</v>
      </c>
      <c r="S2613" s="4" t="str">
        <f>D2613</f>
        <v>jueves</v>
      </c>
      <c r="T2613" s="4" t="str">
        <f>E2613&amp;"/"&amp;E2614</f>
        <v>2087/2088</v>
      </c>
      <c r="U2613" s="4" t="str">
        <f>F2613&amp;"-"&amp;G2613&amp;"-"&amp;F2613</f>
        <v>LIM-TPP-LIM</v>
      </c>
      <c r="V2613" s="4" t="str">
        <f>IF($M$2611="","",$M$2611)</f>
        <v/>
      </c>
      <c r="W2613" s="4" t="str">
        <f>IF($O$2611="","",$O$2611)</f>
        <v/>
      </c>
      <c r="X2613" s="4">
        <f>J2613</f>
        <v>320</v>
      </c>
    </row>
    <row r="2614" spans="2:24" ht="30" x14ac:dyDescent="0.25">
      <c r="B2614" s="4">
        <v>2474</v>
      </c>
      <c r="C2614" s="4" t="s">
        <v>222</v>
      </c>
      <c r="D2614" s="4" t="s">
        <v>28</v>
      </c>
      <c r="E2614" s="4">
        <v>2088</v>
      </c>
      <c r="F2614" s="4" t="s">
        <v>91</v>
      </c>
      <c r="G2614" s="4" t="s">
        <v>29</v>
      </c>
      <c r="H2614" s="4" t="s">
        <v>83</v>
      </c>
      <c r="I2614" s="4" t="s">
        <v>100</v>
      </c>
      <c r="J2614" s="4">
        <v>320</v>
      </c>
      <c r="K2614" t="str">
        <f>TEXT(TIMEVALUE(H2614)-TIMEVALUE(I2613)+(TIMEVALUE(H2614)&lt;TIMEVALUE(I2613)),"[h]:mm")</f>
        <v>0:35</v>
      </c>
      <c r="L2614" s="4" t="s">
        <v>33</v>
      </c>
      <c r="O2614" t="str">
        <f>"LIM-"&amp;G2613&amp;"-LIM   LA "&amp;E2613&amp;" ("&amp;LEFT(H2613,5)&amp;"-"&amp;LEFT(I2613,5)&amp;" hrs)  /  LA "&amp;E2614&amp;" ("&amp;LEFT(H2614,5)&amp;"-"&amp;LEFT(I2614,5)&amp;" hrs)"</f>
        <v>LIM-TPP-LIM   LA 2087 (14:10-15:35 hrs)  /  LA 2088 (16:10-17:30 hrs)</v>
      </c>
    </row>
    <row r="2615" spans="2:24" x14ac:dyDescent="0.25">
      <c r="J2615" s="7" t="s">
        <v>43</v>
      </c>
      <c r="K2615" s="8" t="str">
        <f>TEXT(TIMEVALUE(I2614)-TIMEVALUE(H2611)+(I2614&lt;H2611),"[h]:mm")</f>
        <v>8:40</v>
      </c>
    </row>
    <row r="2617" spans="2:24" ht="30" x14ac:dyDescent="0.25">
      <c r="B2617" s="3" t="s">
        <v>9</v>
      </c>
      <c r="C2617" s="3" t="s">
        <v>17</v>
      </c>
      <c r="D2617" s="3" t="s">
        <v>18</v>
      </c>
      <c r="E2617" s="3" t="s">
        <v>19</v>
      </c>
      <c r="F2617" s="3" t="s">
        <v>20</v>
      </c>
      <c r="G2617" s="3" t="s">
        <v>21</v>
      </c>
      <c r="H2617" s="3" t="s">
        <v>22</v>
      </c>
      <c r="I2617" s="3" t="s">
        <v>23</v>
      </c>
      <c r="J2617" s="3" t="s">
        <v>24</v>
      </c>
      <c r="K2617" s="3" t="s">
        <v>25</v>
      </c>
      <c r="L2617" s="3" t="s">
        <v>26</v>
      </c>
    </row>
    <row r="2618" spans="2:24" ht="30" x14ac:dyDescent="0.25">
      <c r="B2618" s="4">
        <v>2449</v>
      </c>
      <c r="C2618" s="4" t="s">
        <v>222</v>
      </c>
      <c r="D2618" s="4" t="s">
        <v>28</v>
      </c>
      <c r="E2618" s="4">
        <v>2306</v>
      </c>
      <c r="F2618" s="4" t="s">
        <v>29</v>
      </c>
      <c r="G2618" s="4" t="s">
        <v>125</v>
      </c>
      <c r="H2618" s="4" t="s">
        <v>204</v>
      </c>
      <c r="I2618" s="4" t="s">
        <v>97</v>
      </c>
      <c r="J2618" s="4">
        <v>320</v>
      </c>
      <c r="L2618" s="4" t="s">
        <v>47</v>
      </c>
      <c r="M2618" s="5"/>
      <c r="O2618" s="5"/>
      <c r="Q2618" s="4">
        <f>B2618</f>
        <v>2449</v>
      </c>
      <c r="R2618" s="4" t="str">
        <f>C2618</f>
        <v>29/10/2026</v>
      </c>
      <c r="S2618" s="4" t="str">
        <f>D2618</f>
        <v>jueves</v>
      </c>
      <c r="T2618" s="4" t="str">
        <f>E2618&amp;"/"&amp;E2619</f>
        <v>2306/2307</v>
      </c>
      <c r="U2618" s="4" t="str">
        <f>F2618&amp;"-"&amp;G2618&amp;"-"&amp;F2618</f>
        <v>LIM-PIU-LIM</v>
      </c>
      <c r="V2618" s="4" t="str">
        <f>IF($M$2618="","",$M$2618)</f>
        <v/>
      </c>
      <c r="W2618" s="4" t="str">
        <f>IF($O$2618="","",$O$2618)</f>
        <v/>
      </c>
      <c r="X2618" s="4">
        <f>J2618</f>
        <v>320</v>
      </c>
    </row>
    <row r="2619" spans="2:24" ht="30" x14ac:dyDescent="0.25">
      <c r="B2619" s="4">
        <v>2449</v>
      </c>
      <c r="C2619" s="4" t="s">
        <v>222</v>
      </c>
      <c r="D2619" s="4" t="s">
        <v>28</v>
      </c>
      <c r="E2619" s="4">
        <v>2307</v>
      </c>
      <c r="F2619" s="4" t="s">
        <v>125</v>
      </c>
      <c r="G2619" s="4" t="s">
        <v>29</v>
      </c>
      <c r="H2619" s="4" t="s">
        <v>205</v>
      </c>
      <c r="I2619" s="4" t="s">
        <v>65</v>
      </c>
      <c r="J2619" s="4">
        <v>320</v>
      </c>
      <c r="K2619" t="str">
        <f>TEXT(TIMEVALUE(H2619)-TIMEVALUE(I2618)+(TIMEVALUE(H2619)&lt;TIMEVALUE(I2618)),"[h]:mm")</f>
        <v>0:55</v>
      </c>
      <c r="L2619" s="4" t="s">
        <v>71</v>
      </c>
      <c r="O2619" t="str">
        <f>"LIM-"&amp;G2618&amp;"-LIM   LA "&amp;E2618&amp;" ("&amp;LEFT(H2618,5)&amp;"-"&amp;LEFT(I2618,5)&amp;" hrs)  /  LA "&amp;E2619&amp;" ("&amp;LEFT(H2619,5)&amp;"-"&amp;LEFT(I2619,5)&amp;" hrs)"</f>
        <v>LIM-PIU-LIM   LA 2306 (09:05-10:50 hrs)  /  LA 2307 (11:45-13:25 hrs)</v>
      </c>
    </row>
    <row r="2620" spans="2:24" x14ac:dyDescent="0.25">
      <c r="J2620" s="7" t="s">
        <v>43</v>
      </c>
      <c r="K2620" s="8" t="str">
        <f>TEXT(TIMEVALUE(I2619)-TIMEVALUE(H2618)+(I2619&lt;H2618),"[h]:mm")</f>
        <v>4:20</v>
      </c>
    </row>
    <row r="2622" spans="2:24" ht="30" x14ac:dyDescent="0.25">
      <c r="B2622" s="3" t="s">
        <v>9</v>
      </c>
      <c r="C2622" s="3" t="s">
        <v>17</v>
      </c>
      <c r="D2622" s="3" t="s">
        <v>18</v>
      </c>
      <c r="E2622" s="3" t="s">
        <v>19</v>
      </c>
      <c r="F2622" s="3" t="s">
        <v>20</v>
      </c>
      <c r="G2622" s="3" t="s">
        <v>21</v>
      </c>
      <c r="H2622" s="3" t="s">
        <v>22</v>
      </c>
      <c r="I2622" s="3" t="s">
        <v>23</v>
      </c>
      <c r="J2622" s="3" t="s">
        <v>24</v>
      </c>
      <c r="K2622" s="3" t="s">
        <v>25</v>
      </c>
      <c r="L2622" s="3" t="s">
        <v>26</v>
      </c>
    </row>
    <row r="2623" spans="2:24" ht="30" x14ac:dyDescent="0.25">
      <c r="B2623" s="4">
        <v>2458</v>
      </c>
      <c r="C2623" s="4" t="s">
        <v>222</v>
      </c>
      <c r="D2623" s="4" t="s">
        <v>28</v>
      </c>
      <c r="E2623" s="4">
        <v>2061</v>
      </c>
      <c r="F2623" s="4" t="s">
        <v>29</v>
      </c>
      <c r="G2623" s="4" t="s">
        <v>30</v>
      </c>
      <c r="H2623" s="4" t="s">
        <v>64</v>
      </c>
      <c r="I2623" s="4" t="s">
        <v>120</v>
      </c>
      <c r="J2623" s="4">
        <v>320</v>
      </c>
      <c r="L2623" s="4" t="s">
        <v>93</v>
      </c>
      <c r="M2623" s="5"/>
      <c r="O2623" s="5"/>
      <c r="Q2623" s="4">
        <f>B2623</f>
        <v>2458</v>
      </c>
      <c r="R2623" s="4" t="str">
        <f>C2623</f>
        <v>29/10/2026</v>
      </c>
      <c r="S2623" s="4" t="str">
        <f>D2623</f>
        <v>jueves</v>
      </c>
      <c r="T2623" s="4" t="str">
        <f>E2623&amp;"/"&amp;E2624</f>
        <v>2061/2062</v>
      </c>
      <c r="U2623" s="4" t="str">
        <f>F2623&amp;"-"&amp;G2623&amp;"-"&amp;F2623</f>
        <v>LIM-CUZ-LIM</v>
      </c>
      <c r="V2623" s="4" t="str">
        <f>IF($M$2623="","",$M$2623)</f>
        <v/>
      </c>
      <c r="W2623" s="4" t="str">
        <f>IF($O$2623="","",$O$2623)</f>
        <v/>
      </c>
      <c r="X2623" s="4">
        <f>J2623</f>
        <v>320</v>
      </c>
    </row>
    <row r="2624" spans="2:24" ht="30" x14ac:dyDescent="0.25">
      <c r="B2624" s="4">
        <v>2458</v>
      </c>
      <c r="C2624" s="4" t="s">
        <v>222</v>
      </c>
      <c r="D2624" s="4" t="s">
        <v>28</v>
      </c>
      <c r="E2624" s="4">
        <v>2062</v>
      </c>
      <c r="F2624" s="4" t="s">
        <v>30</v>
      </c>
      <c r="G2624" s="4" t="s">
        <v>29</v>
      </c>
      <c r="H2624" s="4" t="s">
        <v>72</v>
      </c>
      <c r="I2624" s="4" t="s">
        <v>51</v>
      </c>
      <c r="J2624" s="4">
        <v>320</v>
      </c>
      <c r="K2624" t="str">
        <f>TEXT(TIMEVALUE(H2624)-TIMEVALUE(I2623)+(TIMEVALUE(H2624)&lt;TIMEVALUE(I2623)),"[h]:mm")</f>
        <v>0:40</v>
      </c>
      <c r="L2624" s="4" t="s">
        <v>36</v>
      </c>
      <c r="O2624" t="str">
        <f>"LIM-"&amp;G2623&amp;"-LIM   LA "&amp;E2623&amp;" ("&amp;LEFT(H2623,5)&amp;"-"&amp;LEFT(I2623,5)&amp;" hrs)  /  LA "&amp;E2624&amp;" ("&amp;LEFT(H2624,5)&amp;"-"&amp;LEFT(I2624,5)&amp;" hrs)"</f>
        <v>LIM-CUZ-LIM   LA 2061 (11:35-13:00 hrs)  /  LA 2062 (13:40-15:15 hrs)</v>
      </c>
    </row>
    <row r="2625" spans="2:24" ht="30" x14ac:dyDescent="0.25">
      <c r="B2625" s="4">
        <v>2490</v>
      </c>
      <c r="C2625" s="4" t="s">
        <v>222</v>
      </c>
      <c r="D2625" s="4" t="s">
        <v>28</v>
      </c>
      <c r="E2625" s="4">
        <v>2276</v>
      </c>
      <c r="F2625" s="4" t="s">
        <v>29</v>
      </c>
      <c r="G2625" s="4" t="s">
        <v>30</v>
      </c>
      <c r="H2625" s="4" t="s">
        <v>52</v>
      </c>
      <c r="I2625" s="4" t="s">
        <v>121</v>
      </c>
      <c r="J2625" s="4">
        <v>320</v>
      </c>
      <c r="K2625" s="6" t="str">
        <f>TEXT(TIMEVALUE(H2625)-TIMEVALUE(I2624)+(TIMEVALUE(H2625)&lt;TIMEVALUE(I2624)),"[h]:mm")</f>
        <v>1:20</v>
      </c>
      <c r="L2625" s="4" t="s">
        <v>33</v>
      </c>
      <c r="M2625" t="str">
        <f>IF($M$2623="","",$M$2623)</f>
        <v/>
      </c>
      <c r="O2625" t="str">
        <f>IF($O$2623="","",$O$2623)</f>
        <v/>
      </c>
      <c r="Q2625" s="4">
        <f>B2625</f>
        <v>2490</v>
      </c>
      <c r="R2625" s="4" t="str">
        <f>C2625</f>
        <v>29/10/2026</v>
      </c>
      <c r="S2625" s="4" t="str">
        <f>D2625</f>
        <v>jueves</v>
      </c>
      <c r="T2625" s="4" t="str">
        <f>E2625&amp;"/"&amp;E2626</f>
        <v>2276/2277</v>
      </c>
      <c r="U2625" s="4" t="str">
        <f>F2625&amp;"-"&amp;G2625&amp;"-"&amp;F2625</f>
        <v>LIM-CUZ-LIM</v>
      </c>
      <c r="V2625" s="4" t="str">
        <f>IF($M$2623="","",$M$2623)</f>
        <v/>
      </c>
      <c r="W2625" s="4" t="str">
        <f>IF($O$2623="","",$O$2623)</f>
        <v/>
      </c>
      <c r="X2625" s="4">
        <f>J2625</f>
        <v>320</v>
      </c>
    </row>
    <row r="2626" spans="2:24" ht="30" x14ac:dyDescent="0.25">
      <c r="B2626" s="4">
        <v>2490</v>
      </c>
      <c r="C2626" s="4" t="s">
        <v>222</v>
      </c>
      <c r="D2626" s="4" t="s">
        <v>28</v>
      </c>
      <c r="E2626" s="4">
        <v>2277</v>
      </c>
      <c r="F2626" s="4" t="s">
        <v>30</v>
      </c>
      <c r="G2626" s="4" t="s">
        <v>29</v>
      </c>
      <c r="H2626" s="4" t="s">
        <v>88</v>
      </c>
      <c r="I2626" s="4" t="s">
        <v>149</v>
      </c>
      <c r="J2626" s="4">
        <v>320</v>
      </c>
      <c r="K2626" t="str">
        <f>TEXT(TIMEVALUE(H2626)-TIMEVALUE(I2625)+(TIMEVALUE(H2626)&lt;TIMEVALUE(I2625)),"[h]:mm")</f>
        <v>1:00</v>
      </c>
      <c r="L2626" s="4" t="s">
        <v>36</v>
      </c>
      <c r="O2626" t="str">
        <f>"LIM-"&amp;G2625&amp;"-LIM   LA "&amp;E2625&amp;" ("&amp;LEFT(H2625,5)&amp;"-"&amp;LEFT(I2625,5)&amp;" hrs)  /  LA "&amp;E2626&amp;" ("&amp;LEFT(H2626,5)&amp;"-"&amp;LEFT(I2626,5)&amp;" hrs)"</f>
        <v>LIM-CUZ-LIM   LA 2276 (16:35-17:55 hrs)  /  LA 2277 (18:55-20:30 hrs)</v>
      </c>
    </row>
    <row r="2627" spans="2:24" x14ac:dyDescent="0.25">
      <c r="J2627" s="7" t="s">
        <v>43</v>
      </c>
      <c r="K2627" s="8" t="str">
        <f>TEXT(TIMEVALUE(I2626)-TIMEVALUE(H2623)+(I2626&lt;H2623),"[h]:mm")</f>
        <v>8:55</v>
      </c>
    </row>
    <row r="2629" spans="2:24" ht="30" x14ac:dyDescent="0.25">
      <c r="B2629" s="3" t="s">
        <v>9</v>
      </c>
      <c r="C2629" s="3" t="s">
        <v>17</v>
      </c>
      <c r="D2629" s="3" t="s">
        <v>18</v>
      </c>
      <c r="E2629" s="3" t="s">
        <v>19</v>
      </c>
      <c r="F2629" s="3" t="s">
        <v>20</v>
      </c>
      <c r="G2629" s="3" t="s">
        <v>21</v>
      </c>
      <c r="H2629" s="3" t="s">
        <v>22</v>
      </c>
      <c r="I2629" s="3" t="s">
        <v>23</v>
      </c>
      <c r="J2629" s="3" t="s">
        <v>24</v>
      </c>
      <c r="K2629" s="3" t="s">
        <v>25</v>
      </c>
      <c r="L2629" s="3" t="s">
        <v>26</v>
      </c>
    </row>
    <row r="2630" spans="2:24" ht="30" x14ac:dyDescent="0.25">
      <c r="B2630" s="4">
        <v>2459</v>
      </c>
      <c r="C2630" s="4" t="s">
        <v>222</v>
      </c>
      <c r="D2630" s="4" t="s">
        <v>28</v>
      </c>
      <c r="E2630" s="4">
        <v>2111</v>
      </c>
      <c r="F2630" s="4" t="s">
        <v>29</v>
      </c>
      <c r="G2630" s="4" t="s">
        <v>56</v>
      </c>
      <c r="H2630" s="4" t="s">
        <v>103</v>
      </c>
      <c r="I2630" s="4" t="s">
        <v>104</v>
      </c>
      <c r="J2630" s="4">
        <v>319</v>
      </c>
      <c r="L2630" s="4" t="s">
        <v>40</v>
      </c>
      <c r="M2630" s="5"/>
      <c r="O2630" s="5"/>
      <c r="Q2630" s="4">
        <f>B2630</f>
        <v>2459</v>
      </c>
      <c r="R2630" s="4" t="str">
        <f>C2630</f>
        <v>29/10/2026</v>
      </c>
      <c r="S2630" s="4" t="str">
        <f>D2630</f>
        <v>jueves</v>
      </c>
      <c r="T2630" s="4" t="str">
        <f>E2630&amp;"/"&amp;E2631</f>
        <v>2111/2110</v>
      </c>
      <c r="U2630" s="4" t="str">
        <f>F2630&amp;"-"&amp;G2630&amp;"-"&amp;F2630</f>
        <v>LIM-AQP-LIM</v>
      </c>
      <c r="V2630" s="4" t="str">
        <f>IF($M$2630="","",$M$2630)</f>
        <v/>
      </c>
      <c r="W2630" s="4" t="str">
        <f>IF($O$2630="","",$O$2630)</f>
        <v/>
      </c>
      <c r="X2630" s="4">
        <f>J2630</f>
        <v>319</v>
      </c>
    </row>
    <row r="2631" spans="2:24" ht="30" x14ac:dyDescent="0.25">
      <c r="B2631" s="4">
        <v>2459</v>
      </c>
      <c r="C2631" s="4" t="s">
        <v>222</v>
      </c>
      <c r="D2631" s="4" t="s">
        <v>28</v>
      </c>
      <c r="E2631" s="4">
        <v>2110</v>
      </c>
      <c r="F2631" s="4" t="s">
        <v>56</v>
      </c>
      <c r="G2631" s="4" t="s">
        <v>29</v>
      </c>
      <c r="H2631" s="4" t="s">
        <v>99</v>
      </c>
      <c r="I2631" s="4" t="s">
        <v>39</v>
      </c>
      <c r="J2631" s="4">
        <v>319</v>
      </c>
      <c r="K2631" t="str">
        <f>TEXT(TIMEVALUE(H2631)-TIMEVALUE(I2630)+(TIMEVALUE(H2631)&lt;TIMEVALUE(I2630)),"[h]:mm")</f>
        <v>0:35</v>
      </c>
      <c r="L2631" s="4" t="s">
        <v>36</v>
      </c>
      <c r="O2631" t="str">
        <f>"LIM-"&amp;G2630&amp;"-LIM   LA "&amp;E2630&amp;" ("&amp;LEFT(H2630,5)&amp;"-"&amp;LEFT(I2630,5)&amp;" hrs)  /  LA "&amp;E2631&amp;" ("&amp;LEFT(H2631,5)&amp;"-"&amp;LEFT(I2631,5)&amp;" hrs)"</f>
        <v>LIM-AQP-LIM   LA 2111 (11:40-13:10 hrs)  /  LA 2110 (13:45-15:20 hrs)</v>
      </c>
    </row>
    <row r="2632" spans="2:24" ht="30" x14ac:dyDescent="0.25">
      <c r="B2632" s="4">
        <v>2491</v>
      </c>
      <c r="C2632" s="4" t="s">
        <v>222</v>
      </c>
      <c r="D2632" s="4" t="s">
        <v>28</v>
      </c>
      <c r="E2632" s="4">
        <v>2276</v>
      </c>
      <c r="F2632" s="4" t="s">
        <v>29</v>
      </c>
      <c r="G2632" s="4" t="s">
        <v>30</v>
      </c>
      <c r="H2632" s="4" t="s">
        <v>52</v>
      </c>
      <c r="I2632" s="4" t="s">
        <v>121</v>
      </c>
      <c r="J2632" s="4">
        <v>320</v>
      </c>
      <c r="K2632" s="6" t="str">
        <f>TEXT(TIMEVALUE(H2632)-TIMEVALUE(I2631)+(TIMEVALUE(H2632)&lt;TIMEVALUE(I2631)),"[h]:mm")</f>
        <v>1:15</v>
      </c>
      <c r="L2632" s="4" t="s">
        <v>33</v>
      </c>
      <c r="M2632" t="str">
        <f>IF($M$2630="","",$M$2630)</f>
        <v/>
      </c>
      <c r="O2632" t="str">
        <f>IF($O$2630="","",$O$2630)</f>
        <v/>
      </c>
      <c r="Q2632" s="4">
        <f>B2632</f>
        <v>2491</v>
      </c>
      <c r="R2632" s="4" t="str">
        <f>C2632</f>
        <v>29/10/2026</v>
      </c>
      <c r="S2632" s="4" t="str">
        <f>D2632</f>
        <v>jueves</v>
      </c>
      <c r="T2632" s="4" t="str">
        <f>E2632&amp;"/"&amp;E2633</f>
        <v>2276/2277</v>
      </c>
      <c r="U2632" s="4" t="str">
        <f>F2632&amp;"-"&amp;G2632&amp;"-"&amp;F2632</f>
        <v>LIM-CUZ-LIM</v>
      </c>
      <c r="V2632" s="4" t="str">
        <f>IF($M$2630="","",$M$2630)</f>
        <v/>
      </c>
      <c r="W2632" s="4" t="str">
        <f>IF($O$2630="","",$O$2630)</f>
        <v/>
      </c>
      <c r="X2632" s="4">
        <f>J2632</f>
        <v>320</v>
      </c>
    </row>
    <row r="2633" spans="2:24" ht="30" x14ac:dyDescent="0.25">
      <c r="B2633" s="4">
        <v>2491</v>
      </c>
      <c r="C2633" s="4" t="s">
        <v>222</v>
      </c>
      <c r="D2633" s="4" t="s">
        <v>28</v>
      </c>
      <c r="E2633" s="4">
        <v>2277</v>
      </c>
      <c r="F2633" s="4" t="s">
        <v>30</v>
      </c>
      <c r="G2633" s="4" t="s">
        <v>29</v>
      </c>
      <c r="H2633" s="4" t="s">
        <v>88</v>
      </c>
      <c r="I2633" s="4" t="s">
        <v>149</v>
      </c>
      <c r="J2633" s="4">
        <v>320</v>
      </c>
      <c r="K2633" t="str">
        <f>TEXT(TIMEVALUE(H2633)-TIMEVALUE(I2632)+(TIMEVALUE(H2633)&lt;TIMEVALUE(I2632)),"[h]:mm")</f>
        <v>1:00</v>
      </c>
      <c r="L2633" s="4" t="s">
        <v>36</v>
      </c>
      <c r="O2633" t="str">
        <f>"LIM-"&amp;G2632&amp;"-LIM   LA "&amp;E2632&amp;" ("&amp;LEFT(H2632,5)&amp;"-"&amp;LEFT(I2632,5)&amp;" hrs)  /  LA "&amp;E2633&amp;" ("&amp;LEFT(H2633,5)&amp;"-"&amp;LEFT(I2633,5)&amp;" hrs)"</f>
        <v>LIM-CUZ-LIM   LA 2276 (16:35-17:55 hrs)  /  LA 2277 (18:55-20:30 hrs)</v>
      </c>
    </row>
    <row r="2634" spans="2:24" x14ac:dyDescent="0.25">
      <c r="J2634" s="7" t="s">
        <v>43</v>
      </c>
      <c r="K2634" s="8" t="str">
        <f>TEXT(TIMEVALUE(I2633)-TIMEVALUE(H2630)+(I2633&lt;H2630),"[h]:mm")</f>
        <v>8:50</v>
      </c>
    </row>
    <row r="2636" spans="2:24" ht="30" x14ac:dyDescent="0.25">
      <c r="B2636" s="3" t="s">
        <v>9</v>
      </c>
      <c r="C2636" s="3" t="s">
        <v>17</v>
      </c>
      <c r="D2636" s="3" t="s">
        <v>18</v>
      </c>
      <c r="E2636" s="3" t="s">
        <v>19</v>
      </c>
      <c r="F2636" s="3" t="s">
        <v>20</v>
      </c>
      <c r="G2636" s="3" t="s">
        <v>21</v>
      </c>
      <c r="H2636" s="3" t="s">
        <v>22</v>
      </c>
      <c r="I2636" s="3" t="s">
        <v>23</v>
      </c>
      <c r="J2636" s="3" t="s">
        <v>24</v>
      </c>
      <c r="K2636" s="3" t="s">
        <v>25</v>
      </c>
      <c r="L2636" s="3" t="s">
        <v>26</v>
      </c>
    </row>
    <row r="2637" spans="2:24" ht="30" x14ac:dyDescent="0.25">
      <c r="B2637" s="4">
        <v>2471</v>
      </c>
      <c r="C2637" s="4" t="s">
        <v>222</v>
      </c>
      <c r="D2637" s="4" t="s">
        <v>28</v>
      </c>
      <c r="E2637" s="4">
        <v>2028</v>
      </c>
      <c r="F2637" s="4" t="s">
        <v>29</v>
      </c>
      <c r="G2637" s="4" t="s">
        <v>30</v>
      </c>
      <c r="H2637" s="4" t="s">
        <v>106</v>
      </c>
      <c r="I2637" s="4" t="s">
        <v>109</v>
      </c>
      <c r="J2637" s="4">
        <v>320</v>
      </c>
      <c r="L2637" s="4" t="s">
        <v>93</v>
      </c>
      <c r="M2637" s="5"/>
      <c r="O2637" s="5"/>
      <c r="Q2637" s="4">
        <f>B2637</f>
        <v>2471</v>
      </c>
      <c r="R2637" s="4" t="str">
        <f>C2637</f>
        <v>29/10/2026</v>
      </c>
      <c r="S2637" s="4" t="str">
        <f>D2637</f>
        <v>jueves</v>
      </c>
      <c r="T2637" s="4" t="str">
        <f>E2637&amp;"/"&amp;E2638</f>
        <v>2028/2029</v>
      </c>
      <c r="U2637" s="4" t="str">
        <f>F2637&amp;"-"&amp;G2637&amp;"-"&amp;F2637</f>
        <v>LIM-CUZ-LIM</v>
      </c>
      <c r="V2637" s="4" t="str">
        <f>IF($M$2637="","",$M$2637)</f>
        <v/>
      </c>
      <c r="W2637" s="4" t="str">
        <f>IF($O$2637="","",$O$2637)</f>
        <v/>
      </c>
      <c r="X2637" s="4">
        <f>J2637</f>
        <v>320</v>
      </c>
    </row>
    <row r="2638" spans="2:24" ht="30" x14ac:dyDescent="0.25">
      <c r="B2638" s="4">
        <v>2471</v>
      </c>
      <c r="C2638" s="4" t="s">
        <v>222</v>
      </c>
      <c r="D2638" s="4" t="s">
        <v>28</v>
      </c>
      <c r="E2638" s="4">
        <v>2029</v>
      </c>
      <c r="F2638" s="4" t="s">
        <v>30</v>
      </c>
      <c r="G2638" s="4" t="s">
        <v>29</v>
      </c>
      <c r="H2638" s="4" t="s">
        <v>89</v>
      </c>
      <c r="I2638" s="4" t="s">
        <v>209</v>
      </c>
      <c r="J2638" s="4">
        <v>320</v>
      </c>
      <c r="K2638" t="str">
        <f>TEXT(TIMEVALUE(H2638)-TIMEVALUE(I2637)+(TIMEVALUE(H2638)&lt;TIMEVALUE(I2637)),"[h]:mm")</f>
        <v>0:35</v>
      </c>
      <c r="L2638" s="4" t="s">
        <v>36</v>
      </c>
      <c r="O2638" t="str">
        <f>"LIM-"&amp;G2637&amp;"-LIM   LA "&amp;E2637&amp;" ("&amp;LEFT(H2637,5)&amp;"-"&amp;LEFT(I2637,5)&amp;" hrs)  /  LA "&amp;E2638&amp;" ("&amp;LEFT(H2638,5)&amp;"-"&amp;LEFT(I2638,5)&amp;" hrs)"</f>
        <v>LIM-CUZ-LIM   LA 2028 (13:35-15:00 hrs)  /  LA 2029 (15:35-17:10 hrs)</v>
      </c>
    </row>
    <row r="2639" spans="2:24" x14ac:dyDescent="0.25">
      <c r="J2639" s="7" t="s">
        <v>43</v>
      </c>
      <c r="K2639" s="8" t="str">
        <f>TEXT(TIMEVALUE(I2638)-TIMEVALUE(H2637)+(I2638&lt;H2637),"[h]:mm")</f>
        <v>3:35</v>
      </c>
    </row>
    <row r="2641" spans="2:24" ht="30" x14ac:dyDescent="0.25">
      <c r="B2641" s="3" t="s">
        <v>9</v>
      </c>
      <c r="C2641" s="3" t="s">
        <v>17</v>
      </c>
      <c r="D2641" s="3" t="s">
        <v>18</v>
      </c>
      <c r="E2641" s="3" t="s">
        <v>19</v>
      </c>
      <c r="F2641" s="3" t="s">
        <v>20</v>
      </c>
      <c r="G2641" s="3" t="s">
        <v>21</v>
      </c>
      <c r="H2641" s="3" t="s">
        <v>22</v>
      </c>
      <c r="I2641" s="3" t="s">
        <v>23</v>
      </c>
      <c r="J2641" s="3" t="s">
        <v>24</v>
      </c>
      <c r="K2641" s="3" t="s">
        <v>25</v>
      </c>
      <c r="L2641" s="3" t="s">
        <v>26</v>
      </c>
    </row>
    <row r="2642" spans="2:24" ht="30" x14ac:dyDescent="0.25">
      <c r="B2642" s="4">
        <v>2475</v>
      </c>
      <c r="C2642" s="4" t="s">
        <v>222</v>
      </c>
      <c r="D2642" s="4" t="s">
        <v>28</v>
      </c>
      <c r="E2642" s="4">
        <v>2232</v>
      </c>
      <c r="F2642" s="4" t="s">
        <v>29</v>
      </c>
      <c r="G2642" s="4" t="s">
        <v>30</v>
      </c>
      <c r="H2642" s="4" t="s">
        <v>107</v>
      </c>
      <c r="I2642" s="4" t="s">
        <v>92</v>
      </c>
      <c r="J2642" s="4">
        <v>320</v>
      </c>
      <c r="L2642" s="4" t="s">
        <v>93</v>
      </c>
      <c r="M2642" s="5"/>
      <c r="O2642" s="5"/>
      <c r="Q2642" s="4">
        <f>B2642</f>
        <v>2475</v>
      </c>
      <c r="R2642" s="4" t="str">
        <f>C2642</f>
        <v>29/10/2026</v>
      </c>
      <c r="S2642" s="4" t="str">
        <f>D2642</f>
        <v>jueves</v>
      </c>
      <c r="T2642" s="4" t="str">
        <f>E2642&amp;"/"&amp;E2643</f>
        <v>2232/2233</v>
      </c>
      <c r="U2642" s="4" t="str">
        <f>F2642&amp;"-"&amp;G2642&amp;"-"&amp;F2642</f>
        <v>LIM-CUZ-LIM</v>
      </c>
      <c r="V2642" s="4" t="str">
        <f>IF($M$2642="","",$M$2642)</f>
        <v/>
      </c>
      <c r="W2642" s="4" t="str">
        <f>IF($O$2642="","",$O$2642)</f>
        <v/>
      </c>
      <c r="X2642" s="4">
        <f>J2642</f>
        <v>320</v>
      </c>
    </row>
    <row r="2643" spans="2:24" ht="30" x14ac:dyDescent="0.25">
      <c r="B2643" s="4">
        <v>2475</v>
      </c>
      <c r="C2643" s="4" t="s">
        <v>222</v>
      </c>
      <c r="D2643" s="4" t="s">
        <v>28</v>
      </c>
      <c r="E2643" s="4">
        <v>2233</v>
      </c>
      <c r="F2643" s="4" t="s">
        <v>30</v>
      </c>
      <c r="G2643" s="4" t="s">
        <v>29</v>
      </c>
      <c r="H2643" s="4" t="s">
        <v>198</v>
      </c>
      <c r="I2643" s="4" t="s">
        <v>156</v>
      </c>
      <c r="J2643" s="4">
        <v>320</v>
      </c>
      <c r="K2643" t="str">
        <f>TEXT(TIMEVALUE(H2643)-TIMEVALUE(I2642)+(TIMEVALUE(H2643)&lt;TIMEVALUE(I2642)),"[h]:mm")</f>
        <v>0:45</v>
      </c>
      <c r="L2643" s="4" t="s">
        <v>36</v>
      </c>
      <c r="O2643" t="str">
        <f>"LIM-"&amp;G2642&amp;"-LIM   LA "&amp;E2642&amp;" ("&amp;LEFT(H2642,5)&amp;"-"&amp;LEFT(I2642,5)&amp;" hrs)  /  LA "&amp;E2643&amp;" ("&amp;LEFT(H2643,5)&amp;"-"&amp;LEFT(I2643,5)&amp;" hrs)"</f>
        <v>LIM-CUZ-LIM   LA 2232 (14:15-15:40 hrs)  /  LA 2233 (16:25-18:00 hrs)</v>
      </c>
    </row>
    <row r="2644" spans="2:24" x14ac:dyDescent="0.25">
      <c r="J2644" s="7" t="s">
        <v>43</v>
      </c>
      <c r="K2644" s="8" t="str">
        <f>TEXT(TIMEVALUE(I2643)-TIMEVALUE(H2642)+(I2643&lt;H2642),"[h]:mm")</f>
        <v>3:45</v>
      </c>
    </row>
    <row r="2646" spans="2:24" ht="30" x14ac:dyDescent="0.25">
      <c r="B2646" s="3" t="s">
        <v>9</v>
      </c>
      <c r="C2646" s="3" t="s">
        <v>17</v>
      </c>
      <c r="D2646" s="3" t="s">
        <v>18</v>
      </c>
      <c r="E2646" s="3" t="s">
        <v>19</v>
      </c>
      <c r="F2646" s="3" t="s">
        <v>20</v>
      </c>
      <c r="G2646" s="3" t="s">
        <v>21</v>
      </c>
      <c r="H2646" s="3" t="s">
        <v>22</v>
      </c>
      <c r="I2646" s="3" t="s">
        <v>23</v>
      </c>
      <c r="J2646" s="3" t="s">
        <v>24</v>
      </c>
      <c r="K2646" s="3" t="s">
        <v>25</v>
      </c>
      <c r="L2646" s="3" t="s">
        <v>26</v>
      </c>
    </row>
    <row r="2647" spans="2:24" ht="30" x14ac:dyDescent="0.25">
      <c r="B2647" s="4">
        <v>2476</v>
      </c>
      <c r="C2647" s="4" t="s">
        <v>222</v>
      </c>
      <c r="D2647" s="4" t="s">
        <v>28</v>
      </c>
      <c r="E2647" s="4">
        <v>2295</v>
      </c>
      <c r="F2647" s="4" t="s">
        <v>29</v>
      </c>
      <c r="G2647" s="4" t="s">
        <v>50</v>
      </c>
      <c r="H2647" s="4" t="s">
        <v>107</v>
      </c>
      <c r="I2647" s="4" t="s">
        <v>92</v>
      </c>
      <c r="J2647" s="4">
        <v>320</v>
      </c>
      <c r="L2647" s="4" t="s">
        <v>93</v>
      </c>
      <c r="M2647" s="5"/>
      <c r="O2647" s="5"/>
      <c r="Q2647" s="4">
        <f>B2647</f>
        <v>2476</v>
      </c>
      <c r="R2647" s="4" t="str">
        <f>C2647</f>
        <v>29/10/2026</v>
      </c>
      <c r="S2647" s="4" t="str">
        <f>D2647</f>
        <v>jueves</v>
      </c>
      <c r="T2647" s="4" t="str">
        <f>E2647&amp;"/"&amp;E2648</f>
        <v>2295/2294</v>
      </c>
      <c r="U2647" s="4" t="str">
        <f>F2647&amp;"-"&amp;G2647&amp;"-"&amp;F2647</f>
        <v>LIM-CJA-LIM</v>
      </c>
      <c r="V2647" s="4" t="str">
        <f>IF($M$2647="","",$M$2647)</f>
        <v/>
      </c>
      <c r="W2647" s="4" t="str">
        <f>IF($O$2647="","",$O$2647)</f>
        <v/>
      </c>
      <c r="X2647" s="4">
        <f>J2647</f>
        <v>320</v>
      </c>
    </row>
    <row r="2648" spans="2:24" ht="30" x14ac:dyDescent="0.25">
      <c r="B2648" s="4">
        <v>2476</v>
      </c>
      <c r="C2648" s="4" t="s">
        <v>222</v>
      </c>
      <c r="D2648" s="4" t="s">
        <v>28</v>
      </c>
      <c r="E2648" s="4">
        <v>2294</v>
      </c>
      <c r="F2648" s="4" t="s">
        <v>50</v>
      </c>
      <c r="G2648" s="4" t="s">
        <v>29</v>
      </c>
      <c r="H2648" s="4" t="s">
        <v>210</v>
      </c>
      <c r="I2648" s="4" t="s">
        <v>100</v>
      </c>
      <c r="J2648" s="4">
        <v>320</v>
      </c>
      <c r="K2648" t="str">
        <f>TEXT(TIMEVALUE(H2648)-TIMEVALUE(I2647)+(TIMEVALUE(H2648)&lt;TIMEVALUE(I2647)),"[h]:mm")</f>
        <v>0:40</v>
      </c>
      <c r="L2648" s="4" t="s">
        <v>74</v>
      </c>
      <c r="O2648" t="str">
        <f>"LIM-"&amp;G2647&amp;"-LIM   LA "&amp;E2647&amp;" ("&amp;LEFT(H2647,5)&amp;"-"&amp;LEFT(I2647,5)&amp;" hrs)  /  LA "&amp;E2648&amp;" ("&amp;LEFT(H2648,5)&amp;"-"&amp;LEFT(I2648,5)&amp;" hrs)"</f>
        <v>LIM-CJA-LIM   LA 2295 (14:15-15:40 hrs)  /  LA 2294 (16:20-17:30 hrs)</v>
      </c>
    </row>
    <row r="2649" spans="2:24" ht="30" x14ac:dyDescent="0.25">
      <c r="B2649" s="4">
        <v>2493</v>
      </c>
      <c r="C2649" s="4" t="s">
        <v>222</v>
      </c>
      <c r="D2649" s="4" t="s">
        <v>28</v>
      </c>
      <c r="E2649" s="4">
        <v>2117</v>
      </c>
      <c r="F2649" s="4" t="s">
        <v>29</v>
      </c>
      <c r="G2649" s="4" t="s">
        <v>56</v>
      </c>
      <c r="H2649" s="4" t="s">
        <v>207</v>
      </c>
      <c r="I2649" s="4" t="s">
        <v>122</v>
      </c>
      <c r="J2649" s="4">
        <v>319</v>
      </c>
      <c r="K2649" s="6" t="str">
        <f>TEXT(TIMEVALUE(H2649)-TIMEVALUE(I2648)+(TIMEVALUE(H2649)&lt;TIMEVALUE(I2648)),"[h]:mm")</f>
        <v>1:10</v>
      </c>
      <c r="L2649" s="4" t="s">
        <v>40</v>
      </c>
      <c r="M2649" t="str">
        <f>IF($M$2647="","",$M$2647)</f>
        <v/>
      </c>
      <c r="O2649" t="str">
        <f>IF($O$2647="","",$O$2647)</f>
        <v/>
      </c>
      <c r="Q2649" s="4">
        <f>B2649</f>
        <v>2493</v>
      </c>
      <c r="R2649" s="4" t="str">
        <f>C2649</f>
        <v>29/10/2026</v>
      </c>
      <c r="S2649" s="4" t="str">
        <f>D2649</f>
        <v>jueves</v>
      </c>
      <c r="T2649" s="4" t="str">
        <f>E2649&amp;"/"&amp;E2650</f>
        <v>2117/2116</v>
      </c>
      <c r="U2649" s="4" t="str">
        <f>F2649&amp;"-"&amp;G2649&amp;"-"&amp;F2649</f>
        <v>LIM-AQP-LIM</v>
      </c>
      <c r="V2649" s="4" t="str">
        <f>IF($M$2647="","",$M$2647)</f>
        <v/>
      </c>
      <c r="W2649" s="4" t="str">
        <f>IF($O$2647="","",$O$2647)</f>
        <v/>
      </c>
      <c r="X2649" s="4">
        <f>J2649</f>
        <v>319</v>
      </c>
    </row>
    <row r="2650" spans="2:24" ht="30" x14ac:dyDescent="0.25">
      <c r="B2650" s="4">
        <v>2493</v>
      </c>
      <c r="C2650" s="4" t="s">
        <v>222</v>
      </c>
      <c r="D2650" s="4" t="s">
        <v>28</v>
      </c>
      <c r="E2650" s="4">
        <v>2116</v>
      </c>
      <c r="F2650" s="4" t="s">
        <v>56</v>
      </c>
      <c r="G2650" s="4" t="s">
        <v>29</v>
      </c>
      <c r="H2650" s="4" t="s">
        <v>223</v>
      </c>
      <c r="I2650" s="4" t="s">
        <v>224</v>
      </c>
      <c r="J2650" s="4">
        <v>319</v>
      </c>
      <c r="K2650" t="str">
        <f>TEXT(TIMEVALUE(H2650)-TIMEVALUE(I2649)+(TIMEVALUE(H2650)&lt;TIMEVALUE(I2649)),"[h]:mm")</f>
        <v>0:55</v>
      </c>
      <c r="L2650" s="4" t="s">
        <v>47</v>
      </c>
      <c r="O2650" t="str">
        <f>"LIM-"&amp;G2649&amp;"-LIM   LA "&amp;E2649&amp;" ("&amp;LEFT(H2649,5)&amp;"-"&amp;LEFT(I2649,5)&amp;" hrs)  /  LA "&amp;E2650&amp;" ("&amp;LEFT(H2650,5)&amp;"-"&amp;LEFT(I2650,5)&amp;" hrs)"</f>
        <v>LIM-AQP-LIM   LA 2117 (18:40-20:10 hrs)  /  LA 2116 (21:05-22:50 hrs)</v>
      </c>
    </row>
    <row r="2651" spans="2:24" x14ac:dyDescent="0.25">
      <c r="J2651" s="7" t="s">
        <v>43</v>
      </c>
      <c r="K2651" s="8" t="str">
        <f>TEXT(TIMEVALUE(I2650)-TIMEVALUE(H2647)+(I2650&lt;H2647),"[h]:mm")</f>
        <v>8:35</v>
      </c>
    </row>
    <row r="2653" spans="2:24" ht="30" x14ac:dyDescent="0.25">
      <c r="B2653" s="3" t="s">
        <v>9</v>
      </c>
      <c r="C2653" s="3" t="s">
        <v>17</v>
      </c>
      <c r="D2653" s="3" t="s">
        <v>18</v>
      </c>
      <c r="E2653" s="3" t="s">
        <v>19</v>
      </c>
      <c r="F2653" s="3" t="s">
        <v>20</v>
      </c>
      <c r="G2653" s="3" t="s">
        <v>21</v>
      </c>
      <c r="H2653" s="3" t="s">
        <v>22</v>
      </c>
      <c r="I2653" s="3" t="s">
        <v>23</v>
      </c>
      <c r="J2653" s="3" t="s">
        <v>24</v>
      </c>
      <c r="K2653" s="3" t="s">
        <v>25</v>
      </c>
      <c r="L2653" s="3" t="s">
        <v>26</v>
      </c>
    </row>
    <row r="2654" spans="2:24" ht="30" x14ac:dyDescent="0.25">
      <c r="B2654" s="4">
        <v>2478</v>
      </c>
      <c r="C2654" s="4" t="s">
        <v>222</v>
      </c>
      <c r="D2654" s="4" t="s">
        <v>28</v>
      </c>
      <c r="E2654" s="4">
        <v>2338</v>
      </c>
      <c r="F2654" s="4" t="s">
        <v>29</v>
      </c>
      <c r="G2654" s="4" t="s">
        <v>125</v>
      </c>
      <c r="H2654" s="4" t="s">
        <v>87</v>
      </c>
      <c r="I2654" s="4" t="s">
        <v>60</v>
      </c>
      <c r="J2654" s="4">
        <v>320</v>
      </c>
      <c r="L2654" s="4" t="s">
        <v>47</v>
      </c>
      <c r="M2654" s="5"/>
      <c r="O2654" s="5"/>
      <c r="Q2654" s="4">
        <f>B2654</f>
        <v>2478</v>
      </c>
      <c r="R2654" s="4" t="str">
        <f>C2654</f>
        <v>29/10/2026</v>
      </c>
      <c r="S2654" s="4" t="str">
        <f>D2654</f>
        <v>jueves</v>
      </c>
      <c r="T2654" s="4" t="str">
        <f>E2654&amp;"/"&amp;E2655</f>
        <v>2338/2339</v>
      </c>
      <c r="U2654" s="4" t="str">
        <f>F2654&amp;"-"&amp;G2654&amp;"-"&amp;F2654</f>
        <v>LIM-PIU-LIM</v>
      </c>
      <c r="V2654" s="4" t="str">
        <f>IF($M$2654="","",$M$2654)</f>
        <v/>
      </c>
      <c r="W2654" s="4" t="str">
        <f>IF($O$2654="","",$O$2654)</f>
        <v/>
      </c>
      <c r="X2654" s="4">
        <f>J2654</f>
        <v>320</v>
      </c>
    </row>
    <row r="2655" spans="2:24" ht="30" x14ac:dyDescent="0.25">
      <c r="B2655" s="4">
        <v>2478</v>
      </c>
      <c r="C2655" s="4" t="s">
        <v>222</v>
      </c>
      <c r="D2655" s="4" t="s">
        <v>28</v>
      </c>
      <c r="E2655" s="4">
        <v>2339</v>
      </c>
      <c r="F2655" s="4" t="s">
        <v>125</v>
      </c>
      <c r="G2655" s="4" t="s">
        <v>29</v>
      </c>
      <c r="H2655" s="4" t="s">
        <v>53</v>
      </c>
      <c r="I2655" s="4" t="s">
        <v>88</v>
      </c>
      <c r="J2655" s="4">
        <v>320</v>
      </c>
      <c r="K2655" t="str">
        <f>TEXT(TIMEVALUE(H2655)-TIMEVALUE(I2654)+(TIMEVALUE(H2655)&lt;TIMEVALUE(I2654)),"[h]:mm")</f>
        <v>0:40</v>
      </c>
      <c r="L2655" s="4" t="s">
        <v>36</v>
      </c>
      <c r="O2655" t="str">
        <f>"LIM-"&amp;G2654&amp;"-LIM   LA "&amp;E2654&amp;" ("&amp;LEFT(H2654,5)&amp;"-"&amp;LEFT(I2654,5)&amp;" hrs)  /  LA "&amp;E2655&amp;" ("&amp;LEFT(H2655,5)&amp;"-"&amp;LEFT(I2655,5)&amp;" hrs)"</f>
        <v>LIM-PIU-LIM   LA 2338 (14:55-16:40 hrs)  /  LA 2339 (17:20-18:55 hrs)</v>
      </c>
    </row>
    <row r="2656" spans="2:24" x14ac:dyDescent="0.25">
      <c r="J2656" s="7" t="s">
        <v>43</v>
      </c>
      <c r="K2656" s="8" t="str">
        <f>TEXT(TIMEVALUE(I2655)-TIMEVALUE(H2654)+(I2655&lt;H2654),"[h]:mm")</f>
        <v>4:00</v>
      </c>
    </row>
    <row r="2658" spans="2:24" ht="30" x14ac:dyDescent="0.25">
      <c r="B2658" s="3" t="s">
        <v>9</v>
      </c>
      <c r="C2658" s="3" t="s">
        <v>17</v>
      </c>
      <c r="D2658" s="3" t="s">
        <v>18</v>
      </c>
      <c r="E2658" s="3" t="s">
        <v>19</v>
      </c>
      <c r="F2658" s="3" t="s">
        <v>20</v>
      </c>
      <c r="G2658" s="3" t="s">
        <v>21</v>
      </c>
      <c r="H2658" s="3" t="s">
        <v>22</v>
      </c>
      <c r="I2658" s="3" t="s">
        <v>23</v>
      </c>
      <c r="J2658" s="3" t="s">
        <v>24</v>
      </c>
      <c r="K2658" s="3" t="s">
        <v>25</v>
      </c>
      <c r="L2658" s="3" t="s">
        <v>26</v>
      </c>
    </row>
    <row r="2659" spans="2:24" ht="30" x14ac:dyDescent="0.25">
      <c r="B2659" s="4">
        <v>2479</v>
      </c>
      <c r="C2659" s="4" t="s">
        <v>222</v>
      </c>
      <c r="D2659" s="4" t="s">
        <v>28</v>
      </c>
      <c r="E2659" s="4">
        <v>2264</v>
      </c>
      <c r="F2659" s="4" t="s">
        <v>29</v>
      </c>
      <c r="G2659" s="4" t="s">
        <v>44</v>
      </c>
      <c r="H2659" s="4" t="s">
        <v>109</v>
      </c>
      <c r="I2659" s="4" t="s">
        <v>60</v>
      </c>
      <c r="J2659" s="4">
        <v>320</v>
      </c>
      <c r="L2659" s="4" t="s">
        <v>71</v>
      </c>
      <c r="M2659" s="5"/>
      <c r="O2659" s="5"/>
      <c r="Q2659" s="4">
        <f>B2659</f>
        <v>2479</v>
      </c>
      <c r="R2659" s="4" t="str">
        <f>C2659</f>
        <v>29/10/2026</v>
      </c>
      <c r="S2659" s="4" t="str">
        <f>D2659</f>
        <v>jueves</v>
      </c>
      <c r="T2659" s="4" t="str">
        <f>E2659&amp;"/"&amp;E2660</f>
        <v>2264/2265</v>
      </c>
      <c r="U2659" s="4" t="str">
        <f>F2659&amp;"-"&amp;G2659&amp;"-"&amp;F2659</f>
        <v>LIM-PEM-LIM</v>
      </c>
      <c r="V2659" s="4" t="str">
        <f>IF($M$2659="","",$M$2659)</f>
        <v/>
      </c>
      <c r="W2659" s="4" t="str">
        <f>IF($O$2659="","",$O$2659)</f>
        <v/>
      </c>
      <c r="X2659" s="4">
        <f>J2659</f>
        <v>320</v>
      </c>
    </row>
    <row r="2660" spans="2:24" ht="30" x14ac:dyDescent="0.25">
      <c r="B2660" s="4">
        <v>2479</v>
      </c>
      <c r="C2660" s="4" t="s">
        <v>222</v>
      </c>
      <c r="D2660" s="4" t="s">
        <v>28</v>
      </c>
      <c r="E2660" s="4">
        <v>2265</v>
      </c>
      <c r="F2660" s="4" t="s">
        <v>44</v>
      </c>
      <c r="G2660" s="4" t="s">
        <v>29</v>
      </c>
      <c r="H2660" s="4" t="s">
        <v>53</v>
      </c>
      <c r="I2660" s="4" t="s">
        <v>88</v>
      </c>
      <c r="J2660" s="4">
        <v>320</v>
      </c>
      <c r="K2660" t="str">
        <f>TEXT(TIMEVALUE(H2660)-TIMEVALUE(I2659)+(TIMEVALUE(H2660)&lt;TIMEVALUE(I2659)),"[h]:mm")</f>
        <v>0:40</v>
      </c>
      <c r="L2660" s="4" t="s">
        <v>36</v>
      </c>
      <c r="O2660" t="str">
        <f>"LIM-"&amp;G2659&amp;"-LIM   LA "&amp;E2659&amp;" ("&amp;LEFT(H2659,5)&amp;"-"&amp;LEFT(I2659,5)&amp;" hrs)  /  LA "&amp;E2660&amp;" ("&amp;LEFT(H2660,5)&amp;"-"&amp;LEFT(I2660,5)&amp;" hrs)"</f>
        <v>LIM-PEM-LIM   LA 2264 (15:00-16:40 hrs)  /  LA 2265 (17:20-18:55 hrs)</v>
      </c>
    </row>
    <row r="2661" spans="2:24" x14ac:dyDescent="0.25">
      <c r="J2661" s="7" t="s">
        <v>43</v>
      </c>
      <c r="K2661" s="8" t="str">
        <f>TEXT(TIMEVALUE(I2660)-TIMEVALUE(H2659)+(I2660&lt;H2659),"[h]:mm")</f>
        <v>3:55</v>
      </c>
    </row>
    <row r="2663" spans="2:24" ht="30" x14ac:dyDescent="0.25">
      <c r="B2663" s="3" t="s">
        <v>9</v>
      </c>
      <c r="C2663" s="3" t="s">
        <v>17</v>
      </c>
      <c r="D2663" s="3" t="s">
        <v>18</v>
      </c>
      <c r="E2663" s="3" t="s">
        <v>19</v>
      </c>
      <c r="F2663" s="3" t="s">
        <v>20</v>
      </c>
      <c r="G2663" s="3" t="s">
        <v>21</v>
      </c>
      <c r="H2663" s="3" t="s">
        <v>22</v>
      </c>
      <c r="I2663" s="3" t="s">
        <v>23</v>
      </c>
      <c r="J2663" s="3" t="s">
        <v>24</v>
      </c>
      <c r="K2663" s="3" t="s">
        <v>25</v>
      </c>
      <c r="L2663" s="3" t="s">
        <v>26</v>
      </c>
    </row>
    <row r="2664" spans="2:24" ht="30" x14ac:dyDescent="0.25">
      <c r="B2664" s="4">
        <v>2480</v>
      </c>
      <c r="C2664" s="4" t="s">
        <v>222</v>
      </c>
      <c r="D2664" s="4" t="s">
        <v>28</v>
      </c>
      <c r="E2664" s="4">
        <v>2113</v>
      </c>
      <c r="F2664" s="4" t="s">
        <v>29</v>
      </c>
      <c r="G2664" s="4" t="s">
        <v>56</v>
      </c>
      <c r="H2664" s="4" t="s">
        <v>126</v>
      </c>
      <c r="I2664" s="4" t="s">
        <v>52</v>
      </c>
      <c r="J2664" s="4">
        <v>320</v>
      </c>
      <c r="L2664" s="4" t="s">
        <v>40</v>
      </c>
      <c r="M2664" s="5"/>
      <c r="O2664" s="5"/>
      <c r="Q2664" s="4">
        <f>B2664</f>
        <v>2480</v>
      </c>
      <c r="R2664" s="4" t="str">
        <f>C2664</f>
        <v>29/10/2026</v>
      </c>
      <c r="S2664" s="4" t="str">
        <f>D2664</f>
        <v>jueves</v>
      </c>
      <c r="T2664" s="4" t="str">
        <f>E2664&amp;"/"&amp;E2665</f>
        <v>2113/2112</v>
      </c>
      <c r="U2664" s="4" t="str">
        <f>F2664&amp;"-"&amp;G2664&amp;"-"&amp;F2664</f>
        <v>LIM-AQP-LIM</v>
      </c>
      <c r="V2664" s="4" t="str">
        <f>IF($M$2664="","",$M$2664)</f>
        <v/>
      </c>
      <c r="W2664" s="4" t="str">
        <f>IF($O$2664="","",$O$2664)</f>
        <v/>
      </c>
      <c r="X2664" s="4">
        <f>J2664</f>
        <v>320</v>
      </c>
    </row>
    <row r="2665" spans="2:24" ht="30" x14ac:dyDescent="0.25">
      <c r="B2665" s="4">
        <v>2480</v>
      </c>
      <c r="C2665" s="4" t="s">
        <v>222</v>
      </c>
      <c r="D2665" s="4" t="s">
        <v>28</v>
      </c>
      <c r="E2665" s="4">
        <v>2112</v>
      </c>
      <c r="F2665" s="4" t="s">
        <v>56</v>
      </c>
      <c r="G2665" s="4" t="s">
        <v>29</v>
      </c>
      <c r="H2665" s="4" t="s">
        <v>42</v>
      </c>
      <c r="I2665" s="4" t="s">
        <v>127</v>
      </c>
      <c r="J2665" s="4">
        <v>320</v>
      </c>
      <c r="K2665" t="str">
        <f>TEXT(TIMEVALUE(H2665)-TIMEVALUE(I2664)+(TIMEVALUE(H2665)&lt;TIMEVALUE(I2664)),"[h]:mm")</f>
        <v>0:40</v>
      </c>
      <c r="L2665" s="4" t="s">
        <v>36</v>
      </c>
      <c r="O2665" t="str">
        <f>"LIM-"&amp;G2664&amp;"-LIM   LA "&amp;E2664&amp;" ("&amp;LEFT(H2664,5)&amp;"-"&amp;LEFT(I2664,5)&amp;" hrs)  /  LA "&amp;E2665&amp;" ("&amp;LEFT(H2665,5)&amp;"-"&amp;LEFT(I2665,5)&amp;" hrs)"</f>
        <v>LIM-AQP-LIM   LA 2113 (15:05-16:35 hrs)  /  LA 2112 (17:15-18:50 hrs)</v>
      </c>
    </row>
    <row r="2666" spans="2:24" x14ac:dyDescent="0.25">
      <c r="J2666" s="7" t="s">
        <v>43</v>
      </c>
      <c r="K2666" s="8" t="str">
        <f>TEXT(TIMEVALUE(I2665)-TIMEVALUE(H2664)+(I2665&lt;H2664),"[h]:mm")</f>
        <v>3:45</v>
      </c>
    </row>
    <row r="2668" spans="2:24" ht="30" x14ac:dyDescent="0.25">
      <c r="B2668" s="3" t="s">
        <v>9</v>
      </c>
      <c r="C2668" s="3" t="s">
        <v>17</v>
      </c>
      <c r="D2668" s="3" t="s">
        <v>18</v>
      </c>
      <c r="E2668" s="3" t="s">
        <v>19</v>
      </c>
      <c r="F2668" s="3" t="s">
        <v>20</v>
      </c>
      <c r="G2668" s="3" t="s">
        <v>21</v>
      </c>
      <c r="H2668" s="3" t="s">
        <v>22</v>
      </c>
      <c r="I2668" s="3" t="s">
        <v>23</v>
      </c>
      <c r="J2668" s="3" t="s">
        <v>24</v>
      </c>
      <c r="K2668" s="3" t="s">
        <v>25</v>
      </c>
      <c r="L2668" s="3" t="s">
        <v>26</v>
      </c>
    </row>
    <row r="2669" spans="2:24" ht="30" x14ac:dyDescent="0.25">
      <c r="B2669" s="4">
        <v>2481</v>
      </c>
      <c r="C2669" s="4" t="s">
        <v>222</v>
      </c>
      <c r="D2669" s="4" t="s">
        <v>28</v>
      </c>
      <c r="E2669" s="4">
        <v>2297</v>
      </c>
      <c r="F2669" s="4" t="s">
        <v>29</v>
      </c>
      <c r="G2669" s="4" t="s">
        <v>50</v>
      </c>
      <c r="H2669" s="4" t="s">
        <v>51</v>
      </c>
      <c r="I2669" s="4" t="s">
        <v>52</v>
      </c>
      <c r="J2669" s="4">
        <v>320</v>
      </c>
      <c r="L2669" s="4" t="s">
        <v>33</v>
      </c>
      <c r="M2669" s="5"/>
      <c r="O2669" s="5"/>
      <c r="Q2669" s="4">
        <f>B2669</f>
        <v>2481</v>
      </c>
      <c r="R2669" s="4" t="str">
        <f>C2669</f>
        <v>29/10/2026</v>
      </c>
      <c r="S2669" s="4" t="str">
        <f>D2669</f>
        <v>jueves</v>
      </c>
      <c r="T2669" s="4" t="str">
        <f>E2669&amp;"/"&amp;E2670</f>
        <v>2297/2296</v>
      </c>
      <c r="U2669" s="4" t="str">
        <f>F2669&amp;"-"&amp;G2669&amp;"-"&amp;F2669</f>
        <v>LIM-CJA-LIM</v>
      </c>
      <c r="V2669" s="4" t="str">
        <f>IF($M$2669="","",$M$2669)</f>
        <v/>
      </c>
      <c r="W2669" s="4" t="str">
        <f>IF($O$2669="","",$O$2669)</f>
        <v/>
      </c>
      <c r="X2669" s="4">
        <f>J2669</f>
        <v>320</v>
      </c>
    </row>
    <row r="2670" spans="2:24" ht="30" x14ac:dyDescent="0.25">
      <c r="B2670" s="4">
        <v>2481</v>
      </c>
      <c r="C2670" s="4" t="s">
        <v>222</v>
      </c>
      <c r="D2670" s="4" t="s">
        <v>28</v>
      </c>
      <c r="E2670" s="4">
        <v>2296</v>
      </c>
      <c r="F2670" s="4" t="s">
        <v>50</v>
      </c>
      <c r="G2670" s="4" t="s">
        <v>29</v>
      </c>
      <c r="H2670" s="4" t="s">
        <v>206</v>
      </c>
      <c r="I2670" s="4" t="s">
        <v>207</v>
      </c>
      <c r="J2670" s="4">
        <v>320</v>
      </c>
      <c r="K2670" t="str">
        <f>TEXT(TIMEVALUE(H2670)-TIMEVALUE(I2669)+(TIMEVALUE(H2670)&lt;TIMEVALUE(I2669)),"[h]:mm")</f>
        <v>0:50</v>
      </c>
      <c r="L2670" s="4" t="s">
        <v>61</v>
      </c>
      <c r="O2670" t="str">
        <f>"LIM-"&amp;G2669&amp;"-LIM   LA "&amp;E2669&amp;" ("&amp;LEFT(H2669,5)&amp;"-"&amp;LEFT(I2669,5)&amp;" hrs)  /  LA "&amp;E2670&amp;" ("&amp;LEFT(H2670,5)&amp;"-"&amp;LEFT(I2670,5)&amp;" hrs)"</f>
        <v>LIM-CJA-LIM   LA 2297 (15:15-16:35 hrs)  /  LA 2296 (17:25-18:40 hrs)</v>
      </c>
    </row>
    <row r="2671" spans="2:24" x14ac:dyDescent="0.25">
      <c r="J2671" s="7" t="s">
        <v>43</v>
      </c>
      <c r="K2671" s="8" t="str">
        <f>TEXT(TIMEVALUE(I2670)-TIMEVALUE(H2669)+(I2670&lt;H2669),"[h]:mm")</f>
        <v>3:25</v>
      </c>
    </row>
    <row r="2673" spans="2:24" ht="30" x14ac:dyDescent="0.25">
      <c r="B2673" s="3" t="s">
        <v>9</v>
      </c>
      <c r="C2673" s="3" t="s">
        <v>17</v>
      </c>
      <c r="D2673" s="3" t="s">
        <v>18</v>
      </c>
      <c r="E2673" s="3" t="s">
        <v>19</v>
      </c>
      <c r="F2673" s="3" t="s">
        <v>20</v>
      </c>
      <c r="G2673" s="3" t="s">
        <v>21</v>
      </c>
      <c r="H2673" s="3" t="s">
        <v>22</v>
      </c>
      <c r="I2673" s="3" t="s">
        <v>23</v>
      </c>
      <c r="J2673" s="3" t="s">
        <v>24</v>
      </c>
      <c r="K2673" s="3" t="s">
        <v>25</v>
      </c>
      <c r="L2673" s="3" t="s">
        <v>26</v>
      </c>
    </row>
    <row r="2674" spans="2:24" ht="30" x14ac:dyDescent="0.25">
      <c r="B2674" s="4">
        <v>2484</v>
      </c>
      <c r="C2674" s="4" t="s">
        <v>222</v>
      </c>
      <c r="D2674" s="4" t="s">
        <v>28</v>
      </c>
      <c r="E2674" s="4">
        <v>2312</v>
      </c>
      <c r="F2674" s="4" t="s">
        <v>29</v>
      </c>
      <c r="G2674" s="4" t="s">
        <v>37</v>
      </c>
      <c r="H2674" s="4" t="s">
        <v>89</v>
      </c>
      <c r="I2674" s="4" t="s">
        <v>77</v>
      </c>
      <c r="J2674" s="4">
        <v>320</v>
      </c>
      <c r="L2674" s="4" t="s">
        <v>40</v>
      </c>
      <c r="M2674" s="5"/>
      <c r="O2674" s="5"/>
      <c r="Q2674" s="4">
        <f>B2674</f>
        <v>2484</v>
      </c>
      <c r="R2674" s="4" t="str">
        <f>C2674</f>
        <v>29/10/2026</v>
      </c>
      <c r="S2674" s="4" t="str">
        <f>D2674</f>
        <v>jueves</v>
      </c>
      <c r="T2674" s="4" t="str">
        <f>E2674&amp;"/"&amp;E2675</f>
        <v>2312/2313</v>
      </c>
      <c r="U2674" s="4" t="str">
        <f>F2674&amp;"-"&amp;G2674&amp;"-"&amp;F2674</f>
        <v>LIM-CIX-LIM</v>
      </c>
      <c r="V2674" s="4" t="str">
        <f>IF($M$2674="","",$M$2674)</f>
        <v/>
      </c>
      <c r="W2674" s="4" t="str">
        <f>IF($O$2674="","",$O$2674)</f>
        <v/>
      </c>
      <c r="X2674" s="4">
        <f>J2674</f>
        <v>320</v>
      </c>
    </row>
    <row r="2675" spans="2:24" ht="30" x14ac:dyDescent="0.25">
      <c r="B2675" s="4">
        <v>2484</v>
      </c>
      <c r="C2675" s="4" t="s">
        <v>222</v>
      </c>
      <c r="D2675" s="4" t="s">
        <v>28</v>
      </c>
      <c r="E2675" s="4">
        <v>2313</v>
      </c>
      <c r="F2675" s="4" t="s">
        <v>37</v>
      </c>
      <c r="G2675" s="4" t="s">
        <v>29</v>
      </c>
      <c r="H2675" s="4" t="s">
        <v>181</v>
      </c>
      <c r="I2675" s="4" t="s">
        <v>213</v>
      </c>
      <c r="J2675" s="4">
        <v>320</v>
      </c>
      <c r="K2675" t="str">
        <f>TEXT(TIMEVALUE(H2675)-TIMEVALUE(I2674)+(TIMEVALUE(H2675)&lt;TIMEVALUE(I2674)),"[h]:mm")</f>
        <v>0:40</v>
      </c>
      <c r="L2675" s="4" t="s">
        <v>33</v>
      </c>
      <c r="O2675" t="str">
        <f>"LIM-"&amp;G2674&amp;"-LIM   LA "&amp;E2674&amp;" ("&amp;LEFT(H2674,5)&amp;"-"&amp;LEFT(I2674,5)&amp;" hrs)  /  LA "&amp;E2675&amp;" ("&amp;LEFT(H2675,5)&amp;"-"&amp;LEFT(I2675,5)&amp;" hrs)"</f>
        <v>LIM-CIX-LIM   LA 2312 (15:35-17:05 hrs)  /  LA 2313 (17:45-19:05 hrs)</v>
      </c>
    </row>
    <row r="2676" spans="2:24" x14ac:dyDescent="0.25">
      <c r="J2676" s="7" t="s">
        <v>43</v>
      </c>
      <c r="K2676" s="8" t="str">
        <f>TEXT(TIMEVALUE(I2675)-TIMEVALUE(H2674)+(I2675&lt;H2674),"[h]:mm")</f>
        <v>3:30</v>
      </c>
    </row>
    <row r="2678" spans="2:24" ht="30" x14ac:dyDescent="0.25">
      <c r="B2678" s="3" t="s">
        <v>9</v>
      </c>
      <c r="C2678" s="3" t="s">
        <v>17</v>
      </c>
      <c r="D2678" s="3" t="s">
        <v>18</v>
      </c>
      <c r="E2678" s="3" t="s">
        <v>19</v>
      </c>
      <c r="F2678" s="3" t="s">
        <v>20</v>
      </c>
      <c r="G2678" s="3" t="s">
        <v>21</v>
      </c>
      <c r="H2678" s="3" t="s">
        <v>22</v>
      </c>
      <c r="I2678" s="3" t="s">
        <v>23</v>
      </c>
      <c r="J2678" s="3" t="s">
        <v>24</v>
      </c>
      <c r="K2678" s="3" t="s">
        <v>25</v>
      </c>
      <c r="L2678" s="3" t="s">
        <v>26</v>
      </c>
    </row>
    <row r="2679" spans="2:24" ht="30" x14ac:dyDescent="0.25">
      <c r="B2679" s="4">
        <v>2485</v>
      </c>
      <c r="C2679" s="4" t="s">
        <v>222</v>
      </c>
      <c r="D2679" s="4" t="s">
        <v>28</v>
      </c>
      <c r="E2679" s="4">
        <v>2360</v>
      </c>
      <c r="F2679" s="4" t="s">
        <v>29</v>
      </c>
      <c r="G2679" s="4" t="s">
        <v>58</v>
      </c>
      <c r="H2679" s="4" t="s">
        <v>89</v>
      </c>
      <c r="I2679" s="4" t="s">
        <v>212</v>
      </c>
      <c r="J2679" s="4">
        <v>319</v>
      </c>
      <c r="L2679" s="4" t="s">
        <v>61</v>
      </c>
      <c r="M2679" s="5"/>
      <c r="O2679" s="5"/>
      <c r="Q2679" s="4">
        <f>B2679</f>
        <v>2485</v>
      </c>
      <c r="R2679" s="4" t="str">
        <f>C2679</f>
        <v>29/10/2026</v>
      </c>
      <c r="S2679" s="4" t="str">
        <f>D2679</f>
        <v>jueves</v>
      </c>
      <c r="T2679" s="4" t="str">
        <f>E2679&amp;"/"&amp;E2680</f>
        <v>2360/2361</v>
      </c>
      <c r="U2679" s="4" t="str">
        <f>F2679&amp;"-"&amp;G2679&amp;"-"&amp;F2679</f>
        <v>LIM-PCL-LIM</v>
      </c>
      <c r="V2679" s="4" t="str">
        <f>IF($M$2679="","",$M$2679)</f>
        <v/>
      </c>
      <c r="W2679" s="4" t="str">
        <f>IF($O$2679="","",$O$2679)</f>
        <v/>
      </c>
      <c r="X2679" s="4">
        <f>J2679</f>
        <v>319</v>
      </c>
    </row>
    <row r="2680" spans="2:24" ht="30" x14ac:dyDescent="0.25">
      <c r="B2680" s="4">
        <v>2485</v>
      </c>
      <c r="C2680" s="4" t="s">
        <v>222</v>
      </c>
      <c r="D2680" s="4" t="s">
        <v>28</v>
      </c>
      <c r="E2680" s="4">
        <v>2361</v>
      </c>
      <c r="F2680" s="4" t="s">
        <v>58</v>
      </c>
      <c r="G2680" s="4" t="s">
        <v>29</v>
      </c>
      <c r="H2680" s="4" t="s">
        <v>206</v>
      </c>
      <c r="I2680" s="4" t="s">
        <v>207</v>
      </c>
      <c r="J2680" s="4">
        <v>319</v>
      </c>
      <c r="K2680" t="str">
        <f>TEXT(TIMEVALUE(H2680)-TIMEVALUE(I2679)+(TIMEVALUE(H2680)&lt;TIMEVALUE(I2679)),"[h]:mm")</f>
        <v>0:35</v>
      </c>
      <c r="L2680" s="4" t="s">
        <v>61</v>
      </c>
      <c r="O2680" t="str">
        <f>"LIM-"&amp;G2679&amp;"-LIM   LA "&amp;E2679&amp;" ("&amp;LEFT(H2679,5)&amp;"-"&amp;LEFT(I2679,5)&amp;" hrs)  /  LA "&amp;E2680&amp;" ("&amp;LEFT(H2680,5)&amp;"-"&amp;LEFT(I2680,5)&amp;" hrs)"</f>
        <v>LIM-PCL-LIM   LA 2360 (15:35-16:50 hrs)  /  LA 2361 (17:25-18:40 hrs)</v>
      </c>
    </row>
    <row r="2681" spans="2:24" x14ac:dyDescent="0.25">
      <c r="J2681" s="7" t="s">
        <v>43</v>
      </c>
      <c r="K2681" s="8" t="str">
        <f>TEXT(TIMEVALUE(I2680)-TIMEVALUE(H2679)+(I2680&lt;H2679),"[h]:mm")</f>
        <v>3:05</v>
      </c>
    </row>
    <row r="2683" spans="2:24" ht="30" x14ac:dyDescent="0.25">
      <c r="B2683" s="3" t="s">
        <v>9</v>
      </c>
      <c r="C2683" s="3" t="s">
        <v>17</v>
      </c>
      <c r="D2683" s="3" t="s">
        <v>18</v>
      </c>
      <c r="E2683" s="3" t="s">
        <v>19</v>
      </c>
      <c r="F2683" s="3" t="s">
        <v>20</v>
      </c>
      <c r="G2683" s="3" t="s">
        <v>21</v>
      </c>
      <c r="H2683" s="3" t="s">
        <v>22</v>
      </c>
      <c r="I2683" s="3" t="s">
        <v>23</v>
      </c>
      <c r="J2683" s="3" t="s">
        <v>24</v>
      </c>
      <c r="K2683" s="3" t="s">
        <v>25</v>
      </c>
      <c r="L2683" s="3" t="s">
        <v>26</v>
      </c>
    </row>
    <row r="2684" spans="2:24" ht="30" x14ac:dyDescent="0.25">
      <c r="B2684" s="4">
        <v>2486</v>
      </c>
      <c r="C2684" s="4" t="s">
        <v>222</v>
      </c>
      <c r="D2684" s="4" t="s">
        <v>28</v>
      </c>
      <c r="E2684" s="4">
        <v>2312</v>
      </c>
      <c r="F2684" s="4" t="s">
        <v>29</v>
      </c>
      <c r="G2684" s="4" t="s">
        <v>37</v>
      </c>
      <c r="H2684" s="4" t="s">
        <v>89</v>
      </c>
      <c r="I2684" s="4" t="s">
        <v>77</v>
      </c>
      <c r="J2684" s="4">
        <v>320</v>
      </c>
      <c r="L2684" s="4" t="s">
        <v>40</v>
      </c>
      <c r="M2684" s="5"/>
      <c r="O2684" s="5"/>
      <c r="Q2684" s="4">
        <f>B2684</f>
        <v>2486</v>
      </c>
      <c r="R2684" s="4" t="str">
        <f>C2684</f>
        <v>29/10/2026</v>
      </c>
      <c r="S2684" s="4" t="str">
        <f>D2684</f>
        <v>jueves</v>
      </c>
      <c r="T2684" s="4" t="str">
        <f>E2684&amp;"/"&amp;E2685</f>
        <v>2312/2313</v>
      </c>
      <c r="U2684" s="4" t="str">
        <f>F2684&amp;"-"&amp;G2684&amp;"-"&amp;F2684</f>
        <v>LIM-CIX-LIM</v>
      </c>
      <c r="V2684" s="4" t="str">
        <f>IF($M$2684="","",$M$2684)</f>
        <v/>
      </c>
      <c r="W2684" s="4" t="str">
        <f>IF($O$2684="","",$O$2684)</f>
        <v/>
      </c>
      <c r="X2684" s="4">
        <f>J2684</f>
        <v>320</v>
      </c>
    </row>
    <row r="2685" spans="2:24" ht="30" x14ac:dyDescent="0.25">
      <c r="B2685" s="4">
        <v>2486</v>
      </c>
      <c r="C2685" s="4" t="s">
        <v>222</v>
      </c>
      <c r="D2685" s="4" t="s">
        <v>28</v>
      </c>
      <c r="E2685" s="4">
        <v>2313</v>
      </c>
      <c r="F2685" s="4" t="s">
        <v>37</v>
      </c>
      <c r="G2685" s="4" t="s">
        <v>29</v>
      </c>
      <c r="H2685" s="4" t="s">
        <v>181</v>
      </c>
      <c r="I2685" s="4" t="s">
        <v>213</v>
      </c>
      <c r="J2685" s="4">
        <v>320</v>
      </c>
      <c r="K2685" t="str">
        <f>TEXT(TIMEVALUE(H2685)-TIMEVALUE(I2684)+(TIMEVALUE(H2685)&lt;TIMEVALUE(I2684)),"[h]:mm")</f>
        <v>0:40</v>
      </c>
      <c r="L2685" s="4" t="s">
        <v>33</v>
      </c>
      <c r="O2685" t="str">
        <f>"LIM-"&amp;G2684&amp;"-LIM   LA "&amp;E2684&amp;" ("&amp;LEFT(H2684,5)&amp;"-"&amp;LEFT(I2684,5)&amp;" hrs)  /  LA "&amp;E2685&amp;" ("&amp;LEFT(H2685,5)&amp;"-"&amp;LEFT(I2685,5)&amp;" hrs)"</f>
        <v>LIM-CIX-LIM   LA 2312 (15:35-17:05 hrs)  /  LA 2313 (17:45-19:05 hrs)</v>
      </c>
    </row>
    <row r="2686" spans="2:24" x14ac:dyDescent="0.25">
      <c r="J2686" s="7" t="s">
        <v>43</v>
      </c>
      <c r="K2686" s="8" t="str">
        <f>TEXT(TIMEVALUE(I2685)-TIMEVALUE(H2684)+(I2685&lt;H2684),"[h]:mm")</f>
        <v>3:30</v>
      </c>
    </row>
    <row r="2688" spans="2:24" ht="30" x14ac:dyDescent="0.25">
      <c r="B2688" s="3" t="s">
        <v>9</v>
      </c>
      <c r="C2688" s="3" t="s">
        <v>17</v>
      </c>
      <c r="D2688" s="3" t="s">
        <v>18</v>
      </c>
      <c r="E2688" s="3" t="s">
        <v>19</v>
      </c>
      <c r="F2688" s="3" t="s">
        <v>20</v>
      </c>
      <c r="G2688" s="3" t="s">
        <v>21</v>
      </c>
      <c r="H2688" s="3" t="s">
        <v>22</v>
      </c>
      <c r="I2688" s="3" t="s">
        <v>23</v>
      </c>
      <c r="J2688" s="3" t="s">
        <v>24</v>
      </c>
      <c r="K2688" s="3" t="s">
        <v>25</v>
      </c>
      <c r="L2688" s="3" t="s">
        <v>26</v>
      </c>
    </row>
    <row r="2689" spans="2:24" ht="30" x14ac:dyDescent="0.25">
      <c r="B2689" s="4">
        <v>2488</v>
      </c>
      <c r="C2689" s="4" t="s">
        <v>222</v>
      </c>
      <c r="D2689" s="4" t="s">
        <v>28</v>
      </c>
      <c r="E2689" s="4">
        <v>2301</v>
      </c>
      <c r="F2689" s="4" t="s">
        <v>29</v>
      </c>
      <c r="G2689" s="4" t="s">
        <v>91</v>
      </c>
      <c r="H2689" s="4" t="s">
        <v>41</v>
      </c>
      <c r="I2689" s="4" t="s">
        <v>53</v>
      </c>
      <c r="J2689" s="4">
        <v>320</v>
      </c>
      <c r="L2689" s="4" t="s">
        <v>93</v>
      </c>
      <c r="M2689" s="5"/>
      <c r="O2689" s="5"/>
      <c r="Q2689" s="4">
        <f>B2689</f>
        <v>2488</v>
      </c>
      <c r="R2689" s="4" t="str">
        <f>C2689</f>
        <v>29/10/2026</v>
      </c>
      <c r="S2689" s="4" t="str">
        <f>D2689</f>
        <v>jueves</v>
      </c>
      <c r="T2689" s="4" t="str">
        <f>E2689&amp;"/"&amp;E2690</f>
        <v>2301/2300</v>
      </c>
      <c r="U2689" s="4" t="str">
        <f>F2689&amp;"-"&amp;G2689&amp;"-"&amp;F2689</f>
        <v>LIM-TPP-LIM</v>
      </c>
      <c r="V2689" s="4" t="str">
        <f>IF($M$2689="","",$M$2689)</f>
        <v/>
      </c>
      <c r="W2689" s="4" t="str">
        <f>IF($O$2689="","",$O$2689)</f>
        <v/>
      </c>
      <c r="X2689" s="4">
        <f>J2689</f>
        <v>320</v>
      </c>
    </row>
    <row r="2690" spans="2:24" ht="30" x14ac:dyDescent="0.25">
      <c r="B2690" s="4">
        <v>2488</v>
      </c>
      <c r="C2690" s="4" t="s">
        <v>222</v>
      </c>
      <c r="D2690" s="4" t="s">
        <v>28</v>
      </c>
      <c r="E2690" s="4">
        <v>2300</v>
      </c>
      <c r="F2690" s="4" t="s">
        <v>91</v>
      </c>
      <c r="G2690" s="4" t="s">
        <v>29</v>
      </c>
      <c r="H2690" s="4" t="s">
        <v>111</v>
      </c>
      <c r="I2690" s="4" t="s">
        <v>79</v>
      </c>
      <c r="J2690" s="4">
        <v>320</v>
      </c>
      <c r="K2690" t="str">
        <f>TEXT(TIMEVALUE(H2690)-TIMEVALUE(I2689)+(TIMEVALUE(H2690)&lt;TIMEVALUE(I2689)),"[h]:mm")</f>
        <v>0:55</v>
      </c>
      <c r="L2690" s="4" t="s">
        <v>93</v>
      </c>
      <c r="O2690" t="str">
        <f>"LIM-"&amp;G2689&amp;"-LIM   LA "&amp;E2689&amp;" ("&amp;LEFT(H2689,5)&amp;"-"&amp;LEFT(I2689,5)&amp;" hrs)  /  LA "&amp;E2690&amp;" ("&amp;LEFT(H2690,5)&amp;"-"&amp;LEFT(I2690,5)&amp;" hrs)"</f>
        <v>LIM-TPP-LIM   LA 2301 (15:55-17:20 hrs)  /  LA 2300 (18:15-19:40 hrs)</v>
      </c>
    </row>
    <row r="2691" spans="2:24" ht="30" x14ac:dyDescent="0.25">
      <c r="B2691" s="4">
        <v>2494</v>
      </c>
      <c r="C2691" s="4" t="s">
        <v>222</v>
      </c>
      <c r="D2691" s="4" t="s">
        <v>28</v>
      </c>
      <c r="E2691" s="4">
        <v>2035</v>
      </c>
      <c r="F2691" s="4" t="s">
        <v>29</v>
      </c>
      <c r="G2691" s="4" t="s">
        <v>30</v>
      </c>
      <c r="H2691" s="4" t="s">
        <v>129</v>
      </c>
      <c r="I2691" s="4" t="s">
        <v>150</v>
      </c>
      <c r="J2691" s="4">
        <v>320</v>
      </c>
      <c r="K2691" s="6" t="str">
        <f>TEXT(TIMEVALUE(H2691)-TIMEVALUE(I2690)+(TIMEVALUE(H2691)&lt;TIMEVALUE(I2690)),"[h]:mm")</f>
        <v>1:00</v>
      </c>
      <c r="L2691" s="4" t="s">
        <v>33</v>
      </c>
      <c r="M2691" t="str">
        <f>IF($M$2689="","",$M$2689)</f>
        <v/>
      </c>
      <c r="O2691" t="str">
        <f>IF($O$2689="","",$O$2689)</f>
        <v/>
      </c>
      <c r="Q2691" s="4">
        <f>B2691</f>
        <v>2494</v>
      </c>
      <c r="R2691" s="4" t="str">
        <f>C2691</f>
        <v>29/10/2026</v>
      </c>
      <c r="S2691" s="4" t="str">
        <f>D2691</f>
        <v>jueves</v>
      </c>
      <c r="T2691" s="4" t="str">
        <f>E2691&amp;"/"&amp;E2692</f>
        <v>2035/2036</v>
      </c>
      <c r="U2691" s="4" t="str">
        <f>F2691&amp;"-"&amp;G2691&amp;"-"&amp;F2691</f>
        <v>LIM-CUZ-LIM</v>
      </c>
      <c r="V2691" s="4" t="str">
        <f>IF($M$2689="","",$M$2689)</f>
        <v/>
      </c>
      <c r="W2691" s="4" t="str">
        <f>IF($O$2689="","",$O$2689)</f>
        <v/>
      </c>
      <c r="X2691" s="4">
        <f>J2691</f>
        <v>320</v>
      </c>
    </row>
    <row r="2692" spans="2:24" ht="30" x14ac:dyDescent="0.25">
      <c r="B2692" s="4">
        <v>2494</v>
      </c>
      <c r="C2692" s="4" t="s">
        <v>222</v>
      </c>
      <c r="D2692" s="4" t="s">
        <v>28</v>
      </c>
      <c r="E2692" s="4">
        <v>2036</v>
      </c>
      <c r="F2692" s="4" t="s">
        <v>30</v>
      </c>
      <c r="G2692" s="4" t="s">
        <v>29</v>
      </c>
      <c r="H2692" s="4" t="s">
        <v>225</v>
      </c>
      <c r="I2692" s="4" t="s">
        <v>226</v>
      </c>
      <c r="J2692" s="4">
        <v>320</v>
      </c>
      <c r="K2692" t="str">
        <f>TEXT(TIMEVALUE(H2692)-TIMEVALUE(I2691)+(TIMEVALUE(H2692)&lt;TIMEVALUE(I2691)),"[h]:mm")</f>
        <v>0:45</v>
      </c>
      <c r="L2692" s="4" t="s">
        <v>36</v>
      </c>
      <c r="O2692" t="str">
        <f>"LIM-"&amp;G2691&amp;"-LIM   LA "&amp;E2691&amp;" ("&amp;LEFT(H2691,5)&amp;"-"&amp;LEFT(I2691,5)&amp;" hrs)  /  LA "&amp;E2692&amp;" ("&amp;LEFT(H2692,5)&amp;"-"&amp;LEFT(I2692,5)&amp;" hrs)"</f>
        <v>LIM-CUZ-LIM   LA 2035 (20:40-22:00 hrs)  /  LA 2036 (22:45-00:20 hrs)</v>
      </c>
    </row>
    <row r="2693" spans="2:24" x14ac:dyDescent="0.25">
      <c r="J2693" s="7" t="s">
        <v>43</v>
      </c>
      <c r="K2693" s="8" t="str">
        <f>TEXT(TIMEVALUE(I2692)-TIMEVALUE(H2689)+(I2692&lt;H2689),"[h]:mm")</f>
        <v>8:25</v>
      </c>
    </row>
    <row r="2695" spans="2:24" ht="30" x14ac:dyDescent="0.25">
      <c r="B2695" s="3" t="s">
        <v>9</v>
      </c>
      <c r="C2695" s="3" t="s">
        <v>17</v>
      </c>
      <c r="D2695" s="3" t="s">
        <v>18</v>
      </c>
      <c r="E2695" s="3" t="s">
        <v>19</v>
      </c>
      <c r="F2695" s="3" t="s">
        <v>20</v>
      </c>
      <c r="G2695" s="3" t="s">
        <v>21</v>
      </c>
      <c r="H2695" s="3" t="s">
        <v>22</v>
      </c>
      <c r="I2695" s="3" t="s">
        <v>23</v>
      </c>
      <c r="J2695" s="3" t="s">
        <v>24</v>
      </c>
      <c r="K2695" s="3" t="s">
        <v>25</v>
      </c>
      <c r="L2695" s="3" t="s">
        <v>26</v>
      </c>
    </row>
    <row r="2696" spans="2:24" ht="30" x14ac:dyDescent="0.25">
      <c r="B2696" s="4">
        <v>2489</v>
      </c>
      <c r="C2696" s="4" t="s">
        <v>222</v>
      </c>
      <c r="D2696" s="4" t="s">
        <v>28</v>
      </c>
      <c r="E2696" s="4">
        <v>2301</v>
      </c>
      <c r="F2696" s="4" t="s">
        <v>29</v>
      </c>
      <c r="G2696" s="4" t="s">
        <v>91</v>
      </c>
      <c r="H2696" s="4" t="s">
        <v>41</v>
      </c>
      <c r="I2696" s="4" t="s">
        <v>53</v>
      </c>
      <c r="J2696" s="4">
        <v>320</v>
      </c>
      <c r="L2696" s="4" t="s">
        <v>93</v>
      </c>
      <c r="M2696" s="5"/>
      <c r="O2696" s="5"/>
      <c r="Q2696" s="4">
        <f>B2696</f>
        <v>2489</v>
      </c>
      <c r="R2696" s="4" t="str">
        <f>C2696</f>
        <v>29/10/2026</v>
      </c>
      <c r="S2696" s="4" t="str">
        <f>D2696</f>
        <v>jueves</v>
      </c>
      <c r="T2696" s="4" t="str">
        <f>E2696&amp;"/"&amp;E2697</f>
        <v>2301/2300</v>
      </c>
      <c r="U2696" s="4" t="str">
        <f>F2696&amp;"-"&amp;G2696&amp;"-"&amp;F2696</f>
        <v>LIM-TPP-LIM</v>
      </c>
      <c r="V2696" s="4" t="str">
        <f>IF($M$2696="","",$M$2696)</f>
        <v/>
      </c>
      <c r="W2696" s="4" t="str">
        <f>IF($O$2696="","",$O$2696)</f>
        <v/>
      </c>
      <c r="X2696" s="4">
        <f>J2696</f>
        <v>320</v>
      </c>
    </row>
    <row r="2697" spans="2:24" ht="30" x14ac:dyDescent="0.25">
      <c r="B2697" s="4">
        <v>2489</v>
      </c>
      <c r="C2697" s="4" t="s">
        <v>222</v>
      </c>
      <c r="D2697" s="4" t="s">
        <v>28</v>
      </c>
      <c r="E2697" s="4">
        <v>2300</v>
      </c>
      <c r="F2697" s="4" t="s">
        <v>91</v>
      </c>
      <c r="G2697" s="4" t="s">
        <v>29</v>
      </c>
      <c r="H2697" s="4" t="s">
        <v>111</v>
      </c>
      <c r="I2697" s="4" t="s">
        <v>79</v>
      </c>
      <c r="J2697" s="4">
        <v>320</v>
      </c>
      <c r="K2697" t="str">
        <f>TEXT(TIMEVALUE(H2697)-TIMEVALUE(I2696)+(TIMEVALUE(H2697)&lt;TIMEVALUE(I2696)),"[h]:mm")</f>
        <v>0:55</v>
      </c>
      <c r="L2697" s="4" t="s">
        <v>93</v>
      </c>
      <c r="O2697" t="str">
        <f>"LIM-"&amp;G2696&amp;"-LIM   LA "&amp;E2696&amp;" ("&amp;LEFT(H2696,5)&amp;"-"&amp;LEFT(I2696,5)&amp;" hrs)  /  LA "&amp;E2697&amp;" ("&amp;LEFT(H2697,5)&amp;"-"&amp;LEFT(I2697,5)&amp;" hrs)"</f>
        <v>LIM-TPP-LIM   LA 2301 (15:55-17:20 hrs)  /  LA 2300 (18:15-19:40 hrs)</v>
      </c>
    </row>
    <row r="2698" spans="2:24" x14ac:dyDescent="0.25">
      <c r="J2698" s="7" t="s">
        <v>43</v>
      </c>
      <c r="K2698" s="8" t="str">
        <f>TEXT(TIMEVALUE(I2697)-TIMEVALUE(H2696)+(I2697&lt;H2696),"[h]:mm")</f>
        <v>3:45</v>
      </c>
    </row>
    <row r="2700" spans="2:24" ht="30" x14ac:dyDescent="0.25">
      <c r="B2700" s="3" t="s">
        <v>9</v>
      </c>
      <c r="C2700" s="3" t="s">
        <v>17</v>
      </c>
      <c r="D2700" s="3" t="s">
        <v>18</v>
      </c>
      <c r="E2700" s="3" t="s">
        <v>19</v>
      </c>
      <c r="F2700" s="3" t="s">
        <v>20</v>
      </c>
      <c r="G2700" s="3" t="s">
        <v>21</v>
      </c>
      <c r="H2700" s="3" t="s">
        <v>22</v>
      </c>
      <c r="I2700" s="3" t="s">
        <v>23</v>
      </c>
      <c r="J2700" s="3" t="s">
        <v>24</v>
      </c>
      <c r="K2700" s="3" t="s">
        <v>25</v>
      </c>
      <c r="L2700" s="3" t="s">
        <v>26</v>
      </c>
    </row>
    <row r="2701" spans="2:24" ht="30" x14ac:dyDescent="0.25">
      <c r="B2701" s="4">
        <v>2492</v>
      </c>
      <c r="C2701" s="4" t="s">
        <v>222</v>
      </c>
      <c r="D2701" s="4" t="s">
        <v>28</v>
      </c>
      <c r="E2701" s="4">
        <v>2115</v>
      </c>
      <c r="F2701" s="4" t="s">
        <v>29</v>
      </c>
      <c r="G2701" s="4" t="s">
        <v>56</v>
      </c>
      <c r="H2701" s="4" t="s">
        <v>192</v>
      </c>
      <c r="I2701" s="4" t="s">
        <v>54</v>
      </c>
      <c r="J2701" s="4">
        <v>320</v>
      </c>
      <c r="L2701" s="4" t="s">
        <v>40</v>
      </c>
      <c r="M2701" s="5"/>
      <c r="O2701" s="5"/>
      <c r="Q2701" s="4">
        <f>B2701</f>
        <v>2492</v>
      </c>
      <c r="R2701" s="4" t="str">
        <f>C2701</f>
        <v>29/10/2026</v>
      </c>
      <c r="S2701" s="4" t="str">
        <f>D2701</f>
        <v>jueves</v>
      </c>
      <c r="T2701" s="4" t="str">
        <f>E2701&amp;"/"&amp;E2702</f>
        <v>2115/2114</v>
      </c>
      <c r="U2701" s="4" t="str">
        <f>F2701&amp;"-"&amp;G2701&amp;"-"&amp;F2701</f>
        <v>LIM-AQP-LIM</v>
      </c>
      <c r="V2701" s="4" t="str">
        <f>IF($M$2701="","",$M$2701)</f>
        <v/>
      </c>
      <c r="W2701" s="4" t="str">
        <f>IF($O$2701="","",$O$2701)</f>
        <v/>
      </c>
      <c r="X2701" s="4">
        <f>J2701</f>
        <v>320</v>
      </c>
    </row>
    <row r="2702" spans="2:24" ht="30" x14ac:dyDescent="0.25">
      <c r="B2702" s="4">
        <v>2492</v>
      </c>
      <c r="C2702" s="4" t="s">
        <v>222</v>
      </c>
      <c r="D2702" s="4" t="s">
        <v>28</v>
      </c>
      <c r="E2702" s="4">
        <v>2114</v>
      </c>
      <c r="F2702" s="4" t="s">
        <v>56</v>
      </c>
      <c r="G2702" s="4" t="s">
        <v>29</v>
      </c>
      <c r="H2702" s="4" t="s">
        <v>220</v>
      </c>
      <c r="I2702" s="4" t="s">
        <v>129</v>
      </c>
      <c r="J2702" s="4">
        <v>320</v>
      </c>
      <c r="K2702" t="str">
        <f>TEXT(TIMEVALUE(H2702)-TIMEVALUE(I2701)+(TIMEVALUE(H2702)&lt;TIMEVALUE(I2701)),"[h]:mm")</f>
        <v>0:35</v>
      </c>
      <c r="L2702" s="4" t="s">
        <v>71</v>
      </c>
      <c r="O2702" t="str">
        <f>"LIM-"&amp;G2701&amp;"-LIM   LA "&amp;E2701&amp;" ("&amp;LEFT(H2701,5)&amp;"-"&amp;LEFT(I2701,5)&amp;" hrs)  /  LA "&amp;E2702&amp;" ("&amp;LEFT(H2702,5)&amp;"-"&amp;LEFT(I2702,5)&amp;" hrs)"</f>
        <v>LIM-AQP-LIM   LA 2115 (16:55-18:25 hrs)  /  LA 2114 (19:00-20:40 hrs)</v>
      </c>
    </row>
    <row r="2703" spans="2:24" x14ac:dyDescent="0.25">
      <c r="J2703" s="7" t="s">
        <v>43</v>
      </c>
      <c r="K2703" s="8" t="str">
        <f>TEXT(TIMEVALUE(I2702)-TIMEVALUE(H2701)+(I2702&lt;H2701),"[h]:mm")</f>
        <v>3:45</v>
      </c>
    </row>
    <row r="2705" spans="2:24" ht="30" x14ac:dyDescent="0.25">
      <c r="B2705" s="3" t="s">
        <v>9</v>
      </c>
      <c r="C2705" s="3" t="s">
        <v>17</v>
      </c>
      <c r="D2705" s="3" t="s">
        <v>18</v>
      </c>
      <c r="E2705" s="3" t="s">
        <v>19</v>
      </c>
      <c r="F2705" s="3" t="s">
        <v>20</v>
      </c>
      <c r="G2705" s="3" t="s">
        <v>21</v>
      </c>
      <c r="H2705" s="3" t="s">
        <v>22</v>
      </c>
      <c r="I2705" s="3" t="s">
        <v>23</v>
      </c>
      <c r="J2705" s="3" t="s">
        <v>24</v>
      </c>
      <c r="K2705" s="3" t="s">
        <v>25</v>
      </c>
      <c r="L2705" s="3" t="s">
        <v>26</v>
      </c>
    </row>
    <row r="2706" spans="2:24" ht="30" x14ac:dyDescent="0.25">
      <c r="B2706" s="4">
        <v>2538</v>
      </c>
      <c r="C2706" s="4" t="s">
        <v>227</v>
      </c>
      <c r="D2706" s="4" t="s">
        <v>96</v>
      </c>
      <c r="E2706" s="4">
        <v>2306</v>
      </c>
      <c r="F2706" s="4" t="s">
        <v>29</v>
      </c>
      <c r="G2706" s="4" t="s">
        <v>125</v>
      </c>
      <c r="H2706" s="4" t="s">
        <v>204</v>
      </c>
      <c r="I2706" s="4" t="s">
        <v>97</v>
      </c>
      <c r="J2706" s="4">
        <v>320</v>
      </c>
      <c r="L2706" s="4" t="s">
        <v>47</v>
      </c>
      <c r="M2706" s="5"/>
      <c r="O2706" s="5"/>
      <c r="Q2706" s="4">
        <f>B2706</f>
        <v>2538</v>
      </c>
      <c r="R2706" s="4" t="str">
        <f>C2706</f>
        <v>30/10/2026</v>
      </c>
      <c r="S2706" s="4" t="str">
        <f>D2706</f>
        <v>viernes</v>
      </c>
      <c r="T2706" s="4" t="str">
        <f>E2706&amp;"/"&amp;E2707</f>
        <v>2306/2307</v>
      </c>
      <c r="U2706" s="4" t="str">
        <f>F2706&amp;"-"&amp;G2706&amp;"-"&amp;F2706</f>
        <v>LIM-PIU-LIM</v>
      </c>
      <c r="V2706" s="4" t="str">
        <f>IF($M$2706="","",$M$2706)</f>
        <v/>
      </c>
      <c r="W2706" s="4" t="str">
        <f>IF($O$2706="","",$O$2706)</f>
        <v/>
      </c>
      <c r="X2706" s="4">
        <f>J2706</f>
        <v>320</v>
      </c>
    </row>
    <row r="2707" spans="2:24" ht="30" x14ac:dyDescent="0.25">
      <c r="B2707" s="4">
        <v>2538</v>
      </c>
      <c r="C2707" s="4" t="s">
        <v>227</v>
      </c>
      <c r="D2707" s="4" t="s">
        <v>96</v>
      </c>
      <c r="E2707" s="4">
        <v>2307</v>
      </c>
      <c r="F2707" s="4" t="s">
        <v>125</v>
      </c>
      <c r="G2707" s="4" t="s">
        <v>29</v>
      </c>
      <c r="H2707" s="4" t="s">
        <v>205</v>
      </c>
      <c r="I2707" s="4" t="s">
        <v>65</v>
      </c>
      <c r="J2707" s="4">
        <v>320</v>
      </c>
      <c r="K2707" t="str">
        <f>TEXT(TIMEVALUE(H2707)-TIMEVALUE(I2706)+(TIMEVALUE(H2707)&lt;TIMEVALUE(I2706)),"[h]:mm")</f>
        <v>0:55</v>
      </c>
      <c r="L2707" s="4" t="s">
        <v>71</v>
      </c>
      <c r="O2707" t="str">
        <f>"LIM-"&amp;G2706&amp;"-LIM   LA "&amp;E2706&amp;" ("&amp;LEFT(H2706,5)&amp;"-"&amp;LEFT(I2706,5)&amp;" hrs)  /  LA "&amp;E2707&amp;" ("&amp;LEFT(H2707,5)&amp;"-"&amp;LEFT(I2707,5)&amp;" hrs)"</f>
        <v>LIM-PIU-LIM   LA 2306 (09:05-10:50 hrs)  /  LA 2307 (11:45-13:25 hrs)</v>
      </c>
    </row>
    <row r="2708" spans="2:24" x14ac:dyDescent="0.25">
      <c r="J2708" s="7" t="s">
        <v>43</v>
      </c>
      <c r="K2708" s="8" t="str">
        <f>TEXT(TIMEVALUE(I2707)-TIMEVALUE(H2706)+(I2707&lt;H2706),"[h]:mm")</f>
        <v>4:20</v>
      </c>
    </row>
    <row r="2710" spans="2:24" ht="30" x14ac:dyDescent="0.25">
      <c r="B2710" s="3" t="s">
        <v>9</v>
      </c>
      <c r="C2710" s="3" t="s">
        <v>17</v>
      </c>
      <c r="D2710" s="3" t="s">
        <v>18</v>
      </c>
      <c r="E2710" s="3" t="s">
        <v>19</v>
      </c>
      <c r="F2710" s="3" t="s">
        <v>20</v>
      </c>
      <c r="G2710" s="3" t="s">
        <v>21</v>
      </c>
      <c r="H2710" s="3" t="s">
        <v>22</v>
      </c>
      <c r="I2710" s="3" t="s">
        <v>23</v>
      </c>
      <c r="J2710" s="3" t="s">
        <v>24</v>
      </c>
      <c r="K2710" s="3" t="s">
        <v>25</v>
      </c>
      <c r="L2710" s="3" t="s">
        <v>26</v>
      </c>
    </row>
    <row r="2711" spans="2:24" ht="30" x14ac:dyDescent="0.25">
      <c r="B2711" s="4">
        <v>2544</v>
      </c>
      <c r="C2711" s="4" t="s">
        <v>227</v>
      </c>
      <c r="D2711" s="4" t="s">
        <v>96</v>
      </c>
      <c r="E2711" s="4">
        <v>2260</v>
      </c>
      <c r="F2711" s="4" t="s">
        <v>29</v>
      </c>
      <c r="G2711" s="4" t="s">
        <v>44</v>
      </c>
      <c r="H2711" s="4" t="s">
        <v>45</v>
      </c>
      <c r="I2711" s="4" t="s">
        <v>57</v>
      </c>
      <c r="J2711" s="4">
        <v>320</v>
      </c>
      <c r="L2711" s="4" t="s">
        <v>71</v>
      </c>
      <c r="M2711" s="5"/>
      <c r="O2711" s="5"/>
      <c r="Q2711" s="4">
        <f>B2711</f>
        <v>2544</v>
      </c>
      <c r="R2711" s="4" t="str">
        <f>C2711</f>
        <v>30/10/2026</v>
      </c>
      <c r="S2711" s="4" t="str">
        <f>D2711</f>
        <v>viernes</v>
      </c>
      <c r="T2711" s="4" t="str">
        <f>E2711&amp;"/"&amp;E2712</f>
        <v>2260/2261</v>
      </c>
      <c r="U2711" s="4" t="str">
        <f>F2711&amp;"-"&amp;G2711&amp;"-"&amp;F2711</f>
        <v>LIM-PEM-LIM</v>
      </c>
      <c r="V2711" s="4" t="str">
        <f>IF($M$2711="","",$M$2711)</f>
        <v/>
      </c>
      <c r="W2711" s="4" t="str">
        <f>IF($O$2711="","",$O$2711)</f>
        <v/>
      </c>
      <c r="X2711" s="4">
        <f>J2711</f>
        <v>320</v>
      </c>
    </row>
    <row r="2712" spans="2:24" ht="30" x14ac:dyDescent="0.25">
      <c r="B2712" s="4">
        <v>2544</v>
      </c>
      <c r="C2712" s="4" t="s">
        <v>227</v>
      </c>
      <c r="D2712" s="4" t="s">
        <v>96</v>
      </c>
      <c r="E2712" s="4">
        <v>2261</v>
      </c>
      <c r="F2712" s="4" t="s">
        <v>44</v>
      </c>
      <c r="G2712" s="4" t="s">
        <v>29</v>
      </c>
      <c r="H2712" s="4" t="s">
        <v>48</v>
      </c>
      <c r="I2712" s="4" t="s">
        <v>49</v>
      </c>
      <c r="J2712" s="4">
        <v>320</v>
      </c>
      <c r="K2712" t="str">
        <f>TEXT(TIMEVALUE(H2712)-TIMEVALUE(I2711)+(TIMEVALUE(H2712)&lt;TIMEVALUE(I2711)),"[h]:mm")</f>
        <v>0:45</v>
      </c>
      <c r="L2712" s="4" t="s">
        <v>36</v>
      </c>
      <c r="O2712" t="str">
        <f>"LIM-"&amp;G2711&amp;"-LIM   LA "&amp;E2711&amp;" ("&amp;LEFT(H2711,5)&amp;"-"&amp;LEFT(I2711,5)&amp;" hrs)  /  LA "&amp;E2712&amp;" ("&amp;LEFT(H2712,5)&amp;"-"&amp;LEFT(I2712,5)&amp;" hrs)"</f>
        <v>LIM-PEM-LIM   LA 2260 (10:20-12:00 hrs)  /  LA 2261 (12:45-14:20 hrs)</v>
      </c>
    </row>
    <row r="2713" spans="2:24" ht="30" x14ac:dyDescent="0.25">
      <c r="B2713" s="4">
        <v>2567</v>
      </c>
      <c r="C2713" s="4" t="s">
        <v>227</v>
      </c>
      <c r="D2713" s="4" t="s">
        <v>96</v>
      </c>
      <c r="E2713" s="4">
        <v>2297</v>
      </c>
      <c r="F2713" s="4" t="s">
        <v>29</v>
      </c>
      <c r="G2713" s="4" t="s">
        <v>50</v>
      </c>
      <c r="H2713" s="4" t="s">
        <v>51</v>
      </c>
      <c r="I2713" s="4" t="s">
        <v>52</v>
      </c>
      <c r="J2713" s="4">
        <v>319</v>
      </c>
      <c r="K2713" s="6" t="str">
        <f>TEXT(TIMEVALUE(H2713)-TIMEVALUE(I2712)+(TIMEVALUE(H2713)&lt;TIMEVALUE(I2712)),"[h]:mm")</f>
        <v>0:55</v>
      </c>
      <c r="L2713" s="4" t="s">
        <v>33</v>
      </c>
      <c r="M2713" t="str">
        <f>IF($M$2711="","",$M$2711)</f>
        <v/>
      </c>
      <c r="O2713" t="str">
        <f>IF($O$2711="","",$O$2711)</f>
        <v/>
      </c>
      <c r="Q2713" s="4">
        <f>B2713</f>
        <v>2567</v>
      </c>
      <c r="R2713" s="4" t="str">
        <f>C2713</f>
        <v>30/10/2026</v>
      </c>
      <c r="S2713" s="4" t="str">
        <f>D2713</f>
        <v>viernes</v>
      </c>
      <c r="T2713" s="4" t="str">
        <f>E2713&amp;"/"&amp;E2714</f>
        <v>2297/2296</v>
      </c>
      <c r="U2713" s="4" t="str">
        <f>F2713&amp;"-"&amp;G2713&amp;"-"&amp;F2713</f>
        <v>LIM-CJA-LIM</v>
      </c>
      <c r="V2713" s="4" t="str">
        <f>IF($M$2711="","",$M$2711)</f>
        <v/>
      </c>
      <c r="W2713" s="4" t="str">
        <f>IF($O$2711="","",$O$2711)</f>
        <v/>
      </c>
      <c r="X2713" s="4">
        <f>J2713</f>
        <v>319</v>
      </c>
    </row>
    <row r="2714" spans="2:24" ht="30" x14ac:dyDescent="0.25">
      <c r="B2714" s="4">
        <v>2567</v>
      </c>
      <c r="C2714" s="4" t="s">
        <v>227</v>
      </c>
      <c r="D2714" s="4" t="s">
        <v>96</v>
      </c>
      <c r="E2714" s="4">
        <v>2296</v>
      </c>
      <c r="F2714" s="4" t="s">
        <v>50</v>
      </c>
      <c r="G2714" s="4" t="s">
        <v>29</v>
      </c>
      <c r="H2714" s="4" t="s">
        <v>206</v>
      </c>
      <c r="I2714" s="4" t="s">
        <v>207</v>
      </c>
      <c r="J2714" s="4">
        <v>319</v>
      </c>
      <c r="K2714" t="str">
        <f>TEXT(TIMEVALUE(H2714)-TIMEVALUE(I2713)+(TIMEVALUE(H2714)&lt;TIMEVALUE(I2713)),"[h]:mm")</f>
        <v>0:50</v>
      </c>
      <c r="L2714" s="4" t="s">
        <v>61</v>
      </c>
      <c r="O2714" t="str">
        <f>"LIM-"&amp;G2713&amp;"-LIM   LA "&amp;E2713&amp;" ("&amp;LEFT(H2713,5)&amp;"-"&amp;LEFT(I2713,5)&amp;" hrs)  /  LA "&amp;E2714&amp;" ("&amp;LEFT(H2714,5)&amp;"-"&amp;LEFT(I2714,5)&amp;" hrs)"</f>
        <v>LIM-CJA-LIM   LA 2297 (15:15-16:35 hrs)  /  LA 2296 (17:25-18:40 hrs)</v>
      </c>
    </row>
    <row r="2715" spans="2:24" x14ac:dyDescent="0.25">
      <c r="J2715" s="7" t="s">
        <v>43</v>
      </c>
      <c r="K2715" s="8" t="str">
        <f>TEXT(TIMEVALUE(I2714)-TIMEVALUE(H2711)+(I2714&lt;H2711),"[h]:mm")</f>
        <v>8:20</v>
      </c>
    </row>
    <row r="2717" spans="2:24" ht="30" x14ac:dyDescent="0.25">
      <c r="B2717" s="3" t="s">
        <v>9</v>
      </c>
      <c r="C2717" s="3" t="s">
        <v>17</v>
      </c>
      <c r="D2717" s="3" t="s">
        <v>18</v>
      </c>
      <c r="E2717" s="3" t="s">
        <v>19</v>
      </c>
      <c r="F2717" s="3" t="s">
        <v>20</v>
      </c>
      <c r="G2717" s="3" t="s">
        <v>21</v>
      </c>
      <c r="H2717" s="3" t="s">
        <v>22</v>
      </c>
      <c r="I2717" s="3" t="s">
        <v>23</v>
      </c>
      <c r="J2717" s="3" t="s">
        <v>24</v>
      </c>
      <c r="K2717" s="3" t="s">
        <v>25</v>
      </c>
      <c r="L2717" s="3" t="s">
        <v>26</v>
      </c>
    </row>
    <row r="2718" spans="2:24" ht="30" x14ac:dyDescent="0.25">
      <c r="B2718" s="4">
        <v>2546</v>
      </c>
      <c r="C2718" s="4" t="s">
        <v>227</v>
      </c>
      <c r="D2718" s="4" t="s">
        <v>96</v>
      </c>
      <c r="E2718" s="4">
        <v>2015</v>
      </c>
      <c r="F2718" s="4" t="s">
        <v>29</v>
      </c>
      <c r="G2718" s="4" t="s">
        <v>125</v>
      </c>
      <c r="H2718" s="4" t="s">
        <v>169</v>
      </c>
      <c r="I2718" s="4" t="s">
        <v>170</v>
      </c>
      <c r="J2718" s="4">
        <v>320</v>
      </c>
      <c r="L2718" s="4" t="s">
        <v>47</v>
      </c>
      <c r="M2718" s="5"/>
      <c r="O2718" s="5"/>
      <c r="Q2718" s="4">
        <f>B2718</f>
        <v>2546</v>
      </c>
      <c r="R2718" s="4" t="str">
        <f>C2718</f>
        <v>30/10/2026</v>
      </c>
      <c r="S2718" s="4" t="str">
        <f>D2718</f>
        <v>viernes</v>
      </c>
      <c r="T2718" s="4" t="str">
        <f>E2718&amp;"/"&amp;E2719</f>
        <v>2015/2016</v>
      </c>
      <c r="U2718" s="4" t="str">
        <f>F2718&amp;"-"&amp;G2718&amp;"-"&amp;F2718</f>
        <v>LIM-PIU-LIM</v>
      </c>
      <c r="V2718" s="4" t="str">
        <f>IF($M$2718="","",$M$2718)</f>
        <v/>
      </c>
      <c r="W2718" s="4" t="str">
        <f>IF($O$2718="","",$O$2718)</f>
        <v/>
      </c>
      <c r="X2718" s="4">
        <f>J2718</f>
        <v>320</v>
      </c>
    </row>
    <row r="2719" spans="2:24" ht="30" x14ac:dyDescent="0.25">
      <c r="B2719" s="4">
        <v>2546</v>
      </c>
      <c r="C2719" s="4" t="s">
        <v>227</v>
      </c>
      <c r="D2719" s="4" t="s">
        <v>96</v>
      </c>
      <c r="E2719" s="4">
        <v>2016</v>
      </c>
      <c r="F2719" s="4" t="s">
        <v>125</v>
      </c>
      <c r="G2719" s="4" t="s">
        <v>29</v>
      </c>
      <c r="H2719" s="4" t="s">
        <v>171</v>
      </c>
      <c r="I2719" s="4" t="s">
        <v>87</v>
      </c>
      <c r="J2719" s="4">
        <v>320</v>
      </c>
      <c r="K2719" t="str">
        <f>TEXT(TIMEVALUE(H2719)-TIMEVALUE(I2718)+(TIMEVALUE(H2719)&lt;TIMEVALUE(I2718)),"[h]:mm")</f>
        <v>0:40</v>
      </c>
      <c r="L2719" s="4" t="s">
        <v>36</v>
      </c>
      <c r="O2719" t="str">
        <f>"LIM-"&amp;G2718&amp;"-LIM   LA "&amp;E2718&amp;" ("&amp;LEFT(H2718,5)&amp;"-"&amp;LEFT(I2718,5)&amp;" hrs)  /  LA "&amp;E2719&amp;" ("&amp;LEFT(H2719,5)&amp;"-"&amp;LEFT(I2719,5)&amp;" hrs)"</f>
        <v>LIM-PIU-LIM   LA 2015 (10:55-12:40 hrs)  /  LA 2016 (13:20-14:55 hrs)</v>
      </c>
    </row>
    <row r="2720" spans="2:24" ht="30" x14ac:dyDescent="0.25">
      <c r="B2720" s="4">
        <v>2573</v>
      </c>
      <c r="C2720" s="4" t="s">
        <v>227</v>
      </c>
      <c r="D2720" s="4" t="s">
        <v>96</v>
      </c>
      <c r="E2720" s="4">
        <v>2301</v>
      </c>
      <c r="F2720" s="4" t="s">
        <v>29</v>
      </c>
      <c r="G2720" s="4" t="s">
        <v>91</v>
      </c>
      <c r="H2720" s="4" t="s">
        <v>41</v>
      </c>
      <c r="I2720" s="4" t="s">
        <v>53</v>
      </c>
      <c r="J2720" s="4">
        <v>320</v>
      </c>
      <c r="K2720" s="6" t="str">
        <f>TEXT(TIMEVALUE(H2720)-TIMEVALUE(I2719)+(TIMEVALUE(H2720)&lt;TIMEVALUE(I2719)),"[h]:mm")</f>
        <v>1:00</v>
      </c>
      <c r="L2720" s="4" t="s">
        <v>93</v>
      </c>
      <c r="M2720" t="str">
        <f>IF($M$2718="","",$M$2718)</f>
        <v/>
      </c>
      <c r="O2720" t="str">
        <f>IF($O$2718="","",$O$2718)</f>
        <v/>
      </c>
      <c r="Q2720" s="4">
        <f>B2720</f>
        <v>2573</v>
      </c>
      <c r="R2720" s="4" t="str">
        <f>C2720</f>
        <v>30/10/2026</v>
      </c>
      <c r="S2720" s="4" t="str">
        <f>D2720</f>
        <v>viernes</v>
      </c>
      <c r="T2720" s="4" t="str">
        <f>E2720&amp;"/"&amp;E2721</f>
        <v>2301/2300</v>
      </c>
      <c r="U2720" s="4" t="str">
        <f>F2720&amp;"-"&amp;G2720&amp;"-"&amp;F2720</f>
        <v>LIM-TPP-LIM</v>
      </c>
      <c r="V2720" s="4" t="str">
        <f>IF($M$2718="","",$M$2718)</f>
        <v/>
      </c>
      <c r="W2720" s="4" t="str">
        <f>IF($O$2718="","",$O$2718)</f>
        <v/>
      </c>
      <c r="X2720" s="4">
        <f>J2720</f>
        <v>320</v>
      </c>
    </row>
    <row r="2721" spans="2:24" ht="30" x14ac:dyDescent="0.25">
      <c r="B2721" s="4">
        <v>2573</v>
      </c>
      <c r="C2721" s="4" t="s">
        <v>227</v>
      </c>
      <c r="D2721" s="4" t="s">
        <v>96</v>
      </c>
      <c r="E2721" s="4">
        <v>2300</v>
      </c>
      <c r="F2721" s="4" t="s">
        <v>91</v>
      </c>
      <c r="G2721" s="4" t="s">
        <v>29</v>
      </c>
      <c r="H2721" s="4" t="s">
        <v>111</v>
      </c>
      <c r="I2721" s="4" t="s">
        <v>79</v>
      </c>
      <c r="J2721" s="4">
        <v>320</v>
      </c>
      <c r="K2721" t="str">
        <f>TEXT(TIMEVALUE(H2721)-TIMEVALUE(I2720)+(TIMEVALUE(H2721)&lt;TIMEVALUE(I2720)),"[h]:mm")</f>
        <v>0:55</v>
      </c>
      <c r="L2721" s="4" t="s">
        <v>93</v>
      </c>
      <c r="O2721" t="str">
        <f>"LIM-"&amp;G2720&amp;"-LIM   LA "&amp;E2720&amp;" ("&amp;LEFT(H2720,5)&amp;"-"&amp;LEFT(I2720,5)&amp;" hrs)  /  LA "&amp;E2721&amp;" ("&amp;LEFT(H2721,5)&amp;"-"&amp;LEFT(I2721,5)&amp;" hrs)"</f>
        <v>LIM-TPP-LIM   LA 2301 (15:55-17:20 hrs)  /  LA 2300 (18:15-19:40 hrs)</v>
      </c>
    </row>
    <row r="2722" spans="2:24" x14ac:dyDescent="0.25">
      <c r="J2722" s="7" t="s">
        <v>43</v>
      </c>
      <c r="K2722" s="8" t="str">
        <f>TEXT(TIMEVALUE(I2721)-TIMEVALUE(H2718)+(I2721&lt;H2718),"[h]:mm")</f>
        <v>8:45</v>
      </c>
    </row>
    <row r="2724" spans="2:24" ht="30" x14ac:dyDescent="0.25">
      <c r="B2724" s="3" t="s">
        <v>9</v>
      </c>
      <c r="C2724" s="3" t="s">
        <v>17</v>
      </c>
      <c r="D2724" s="3" t="s">
        <v>18</v>
      </c>
      <c r="E2724" s="3" t="s">
        <v>19</v>
      </c>
      <c r="F2724" s="3" t="s">
        <v>20</v>
      </c>
      <c r="G2724" s="3" t="s">
        <v>21</v>
      </c>
      <c r="H2724" s="3" t="s">
        <v>22</v>
      </c>
      <c r="I2724" s="3" t="s">
        <v>23</v>
      </c>
      <c r="J2724" s="3" t="s">
        <v>24</v>
      </c>
      <c r="K2724" s="3" t="s">
        <v>25</v>
      </c>
      <c r="L2724" s="3" t="s">
        <v>26</v>
      </c>
    </row>
    <row r="2725" spans="2:24" ht="30" x14ac:dyDescent="0.25">
      <c r="B2725" s="4">
        <v>2549</v>
      </c>
      <c r="C2725" s="4" t="s">
        <v>227</v>
      </c>
      <c r="D2725" s="4" t="s">
        <v>96</v>
      </c>
      <c r="E2725" s="4">
        <v>2316</v>
      </c>
      <c r="F2725" s="4" t="s">
        <v>29</v>
      </c>
      <c r="G2725" s="4" t="s">
        <v>125</v>
      </c>
      <c r="H2725" s="4" t="s">
        <v>34</v>
      </c>
      <c r="I2725" s="4" t="s">
        <v>142</v>
      </c>
      <c r="J2725" s="4">
        <v>320</v>
      </c>
      <c r="L2725" s="4" t="s">
        <v>47</v>
      </c>
      <c r="M2725" s="5"/>
      <c r="O2725" s="5"/>
      <c r="Q2725" s="4">
        <f>B2725</f>
        <v>2549</v>
      </c>
      <c r="R2725" s="4" t="str">
        <f>C2725</f>
        <v>30/10/2026</v>
      </c>
      <c r="S2725" s="4" t="str">
        <f>D2725</f>
        <v>viernes</v>
      </c>
      <c r="T2725" s="4" t="str">
        <f>E2725&amp;"/"&amp;E2726</f>
        <v>2316/2317</v>
      </c>
      <c r="U2725" s="4" t="str">
        <f>F2725&amp;"-"&amp;G2725&amp;"-"&amp;F2725</f>
        <v>LIM-PIU-LIM</v>
      </c>
      <c r="V2725" s="4" t="str">
        <f>IF($M$2725="","",$M$2725)</f>
        <v/>
      </c>
      <c r="W2725" s="4" t="str">
        <f>IF($O$2725="","",$O$2725)</f>
        <v/>
      </c>
      <c r="X2725" s="4">
        <f>J2725</f>
        <v>320</v>
      </c>
    </row>
    <row r="2726" spans="2:24" ht="30" x14ac:dyDescent="0.25">
      <c r="B2726" s="4">
        <v>2549</v>
      </c>
      <c r="C2726" s="4" t="s">
        <v>227</v>
      </c>
      <c r="D2726" s="4" t="s">
        <v>96</v>
      </c>
      <c r="E2726" s="4">
        <v>2317</v>
      </c>
      <c r="F2726" s="4" t="s">
        <v>125</v>
      </c>
      <c r="G2726" s="4" t="s">
        <v>29</v>
      </c>
      <c r="H2726" s="4" t="s">
        <v>72</v>
      </c>
      <c r="I2726" s="4" t="s">
        <v>51</v>
      </c>
      <c r="J2726" s="4">
        <v>320</v>
      </c>
      <c r="K2726" t="str">
        <f>TEXT(TIMEVALUE(H2726)-TIMEVALUE(I2725)+(TIMEVALUE(H2726)&lt;TIMEVALUE(I2725)),"[h]:mm")</f>
        <v>0:35</v>
      </c>
      <c r="L2726" s="4" t="s">
        <v>36</v>
      </c>
      <c r="O2726" t="str">
        <f>"LIM-"&amp;G2725&amp;"-LIM   LA "&amp;E2725&amp;" ("&amp;LEFT(H2725,5)&amp;"-"&amp;LEFT(I2725,5)&amp;" hrs)  /  LA "&amp;E2726&amp;" ("&amp;LEFT(H2726,5)&amp;"-"&amp;LEFT(I2726,5)&amp;" hrs)"</f>
        <v>LIM-PIU-LIM   LA 2316 (11:20-13:05 hrs)  /  LA 2317 (13:40-15:15 hrs)</v>
      </c>
    </row>
    <row r="2727" spans="2:24" x14ac:dyDescent="0.25">
      <c r="J2727" s="7" t="s">
        <v>43</v>
      </c>
      <c r="K2727" s="8" t="str">
        <f>TEXT(TIMEVALUE(I2726)-TIMEVALUE(H2725)+(I2726&lt;H2725),"[h]:mm")</f>
        <v>3:55</v>
      </c>
    </row>
    <row r="2729" spans="2:24" ht="30" x14ac:dyDescent="0.25">
      <c r="B2729" s="3" t="s">
        <v>9</v>
      </c>
      <c r="C2729" s="3" t="s">
        <v>17</v>
      </c>
      <c r="D2729" s="3" t="s">
        <v>18</v>
      </c>
      <c r="E2729" s="3" t="s">
        <v>19</v>
      </c>
      <c r="F2729" s="3" t="s">
        <v>20</v>
      </c>
      <c r="G2729" s="3" t="s">
        <v>21</v>
      </c>
      <c r="H2729" s="3" t="s">
        <v>22</v>
      </c>
      <c r="I2729" s="3" t="s">
        <v>23</v>
      </c>
      <c r="J2729" s="3" t="s">
        <v>24</v>
      </c>
      <c r="K2729" s="3" t="s">
        <v>25</v>
      </c>
      <c r="L2729" s="3" t="s">
        <v>26</v>
      </c>
    </row>
    <row r="2730" spans="2:24" ht="30" x14ac:dyDescent="0.25">
      <c r="B2730" s="4">
        <v>2550</v>
      </c>
      <c r="C2730" s="4" t="s">
        <v>227</v>
      </c>
      <c r="D2730" s="4" t="s">
        <v>96</v>
      </c>
      <c r="E2730" s="4">
        <v>2061</v>
      </c>
      <c r="F2730" s="4" t="s">
        <v>29</v>
      </c>
      <c r="G2730" s="4" t="s">
        <v>30</v>
      </c>
      <c r="H2730" s="4" t="s">
        <v>64</v>
      </c>
      <c r="I2730" s="4" t="s">
        <v>120</v>
      </c>
      <c r="J2730" s="4">
        <v>320</v>
      </c>
      <c r="L2730" s="4" t="s">
        <v>93</v>
      </c>
      <c r="M2730" s="5"/>
      <c r="O2730" s="5"/>
      <c r="Q2730" s="4">
        <f>B2730</f>
        <v>2550</v>
      </c>
      <c r="R2730" s="4" t="str">
        <f>C2730</f>
        <v>30/10/2026</v>
      </c>
      <c r="S2730" s="4" t="str">
        <f>D2730</f>
        <v>viernes</v>
      </c>
      <c r="T2730" s="4" t="str">
        <f>E2730&amp;"/"&amp;E2731</f>
        <v>2061/2062</v>
      </c>
      <c r="U2730" s="4" t="str">
        <f>F2730&amp;"-"&amp;G2730&amp;"-"&amp;F2730</f>
        <v>LIM-CUZ-LIM</v>
      </c>
      <c r="V2730" s="4" t="str">
        <f>IF($M$2730="","",$M$2730)</f>
        <v/>
      </c>
      <c r="W2730" s="4" t="str">
        <f>IF($O$2730="","",$O$2730)</f>
        <v/>
      </c>
      <c r="X2730" s="4">
        <f>J2730</f>
        <v>320</v>
      </c>
    </row>
    <row r="2731" spans="2:24" ht="30" x14ac:dyDescent="0.25">
      <c r="B2731" s="4">
        <v>2550</v>
      </c>
      <c r="C2731" s="4" t="s">
        <v>227</v>
      </c>
      <c r="D2731" s="4" t="s">
        <v>96</v>
      </c>
      <c r="E2731" s="4">
        <v>2062</v>
      </c>
      <c r="F2731" s="4" t="s">
        <v>30</v>
      </c>
      <c r="G2731" s="4" t="s">
        <v>29</v>
      </c>
      <c r="H2731" s="4" t="s">
        <v>72</v>
      </c>
      <c r="I2731" s="4" t="s">
        <v>51</v>
      </c>
      <c r="J2731" s="4">
        <v>320</v>
      </c>
      <c r="K2731" t="str">
        <f>TEXT(TIMEVALUE(H2731)-TIMEVALUE(I2730)+(TIMEVALUE(H2731)&lt;TIMEVALUE(I2730)),"[h]:mm")</f>
        <v>0:40</v>
      </c>
      <c r="L2731" s="4" t="s">
        <v>36</v>
      </c>
      <c r="O2731" t="str">
        <f>"LIM-"&amp;G2730&amp;"-LIM   LA "&amp;E2730&amp;" ("&amp;LEFT(H2730,5)&amp;"-"&amp;LEFT(I2730,5)&amp;" hrs)  /  LA "&amp;E2731&amp;" ("&amp;LEFT(H2731,5)&amp;"-"&amp;LEFT(I2731,5)&amp;" hrs)"</f>
        <v>LIM-CUZ-LIM   LA 2061 (11:35-13:00 hrs)  /  LA 2062 (13:40-15:15 hrs)</v>
      </c>
    </row>
    <row r="2732" spans="2:24" x14ac:dyDescent="0.25">
      <c r="J2732" s="7" t="s">
        <v>43</v>
      </c>
      <c r="K2732" s="8" t="str">
        <f>TEXT(TIMEVALUE(I2731)-TIMEVALUE(H2730)+(I2731&lt;H2730),"[h]:mm")</f>
        <v>3:40</v>
      </c>
    </row>
    <row r="2734" spans="2:24" ht="30" x14ac:dyDescent="0.25">
      <c r="B2734" s="3" t="s">
        <v>9</v>
      </c>
      <c r="C2734" s="3" t="s">
        <v>17</v>
      </c>
      <c r="D2734" s="3" t="s">
        <v>18</v>
      </c>
      <c r="E2734" s="3" t="s">
        <v>19</v>
      </c>
      <c r="F2734" s="3" t="s">
        <v>20</v>
      </c>
      <c r="G2734" s="3" t="s">
        <v>21</v>
      </c>
      <c r="H2734" s="3" t="s">
        <v>22</v>
      </c>
      <c r="I2734" s="3" t="s">
        <v>23</v>
      </c>
      <c r="J2734" s="3" t="s">
        <v>24</v>
      </c>
      <c r="K2734" s="3" t="s">
        <v>25</v>
      </c>
      <c r="L2734" s="3" t="s">
        <v>26</v>
      </c>
    </row>
    <row r="2735" spans="2:24" ht="30" x14ac:dyDescent="0.25">
      <c r="B2735" s="4">
        <v>2551</v>
      </c>
      <c r="C2735" s="4" t="s">
        <v>227</v>
      </c>
      <c r="D2735" s="4" t="s">
        <v>96</v>
      </c>
      <c r="E2735" s="4">
        <v>2111</v>
      </c>
      <c r="F2735" s="4" t="s">
        <v>29</v>
      </c>
      <c r="G2735" s="4" t="s">
        <v>56</v>
      </c>
      <c r="H2735" s="4" t="s">
        <v>103</v>
      </c>
      <c r="I2735" s="4" t="s">
        <v>104</v>
      </c>
      <c r="J2735" s="4">
        <v>319</v>
      </c>
      <c r="L2735" s="4" t="s">
        <v>40</v>
      </c>
      <c r="M2735" s="5"/>
      <c r="O2735" s="5"/>
      <c r="Q2735" s="4">
        <f>B2735</f>
        <v>2551</v>
      </c>
      <c r="R2735" s="4" t="str">
        <f>C2735</f>
        <v>30/10/2026</v>
      </c>
      <c r="S2735" s="4" t="str">
        <f>D2735</f>
        <v>viernes</v>
      </c>
      <c r="T2735" s="4" t="str">
        <f>E2735&amp;"/"&amp;E2736</f>
        <v>2111/2110</v>
      </c>
      <c r="U2735" s="4" t="str">
        <f>F2735&amp;"-"&amp;G2735&amp;"-"&amp;F2735</f>
        <v>LIM-AQP-LIM</v>
      </c>
      <c r="V2735" s="4" t="str">
        <f>IF($M$2735="","",$M$2735)</f>
        <v/>
      </c>
      <c r="W2735" s="4" t="str">
        <f>IF($O$2735="","",$O$2735)</f>
        <v/>
      </c>
      <c r="X2735" s="4">
        <f>J2735</f>
        <v>319</v>
      </c>
    </row>
    <row r="2736" spans="2:24" ht="30" x14ac:dyDescent="0.25">
      <c r="B2736" s="4">
        <v>2551</v>
      </c>
      <c r="C2736" s="4" t="s">
        <v>227</v>
      </c>
      <c r="D2736" s="4" t="s">
        <v>96</v>
      </c>
      <c r="E2736" s="4">
        <v>2110</v>
      </c>
      <c r="F2736" s="4" t="s">
        <v>56</v>
      </c>
      <c r="G2736" s="4" t="s">
        <v>29</v>
      </c>
      <c r="H2736" s="4" t="s">
        <v>156</v>
      </c>
      <c r="I2736" s="4" t="s">
        <v>208</v>
      </c>
      <c r="J2736" s="4">
        <v>319</v>
      </c>
      <c r="K2736" t="str">
        <f>TEXT(TIMEVALUE(H2736)-TIMEVALUE(I2735)+(TIMEVALUE(H2736)&lt;TIMEVALUE(I2735)),"[h]:mm")</f>
        <v>4:50</v>
      </c>
      <c r="L2736" s="4" t="s">
        <v>36</v>
      </c>
      <c r="O2736" t="str">
        <f>"LIM-"&amp;G2735&amp;"-LIM   LA "&amp;E2735&amp;" ("&amp;LEFT(H2735,5)&amp;"-"&amp;LEFT(I2735,5)&amp;" hrs)  /  LA "&amp;E2736&amp;" ("&amp;LEFT(H2736,5)&amp;"-"&amp;LEFT(I2736,5)&amp;" hrs)"</f>
        <v>LIM-AQP-LIM   LA 2111 (11:40-13:10 hrs)  /  LA 2110 (18:00-19:35 hrs)</v>
      </c>
    </row>
    <row r="2737" spans="2:24" x14ac:dyDescent="0.25">
      <c r="J2737" s="7" t="s">
        <v>43</v>
      </c>
      <c r="K2737" s="8" t="str">
        <f>TEXT(TIMEVALUE(I2736)-TIMEVALUE(H2735)+(I2736&lt;H2735),"[h]:mm")</f>
        <v>7:55</v>
      </c>
    </row>
    <row r="2739" spans="2:24" ht="30" x14ac:dyDescent="0.25">
      <c r="B2739" s="3" t="s">
        <v>9</v>
      </c>
      <c r="C2739" s="3" t="s">
        <v>17</v>
      </c>
      <c r="D2739" s="3" t="s">
        <v>18</v>
      </c>
      <c r="E2739" s="3" t="s">
        <v>19</v>
      </c>
      <c r="F2739" s="3" t="s">
        <v>20</v>
      </c>
      <c r="G2739" s="3" t="s">
        <v>21</v>
      </c>
      <c r="H2739" s="3" t="s">
        <v>22</v>
      </c>
      <c r="I2739" s="3" t="s">
        <v>23</v>
      </c>
      <c r="J2739" s="3" t="s">
        <v>24</v>
      </c>
      <c r="K2739" s="3" t="s">
        <v>25</v>
      </c>
      <c r="L2739" s="3" t="s">
        <v>26</v>
      </c>
    </row>
    <row r="2740" spans="2:24" ht="30" x14ac:dyDescent="0.25">
      <c r="B2740" s="4">
        <v>2556</v>
      </c>
      <c r="C2740" s="4" t="s">
        <v>227</v>
      </c>
      <c r="D2740" s="4" t="s">
        <v>96</v>
      </c>
      <c r="E2740" s="4">
        <v>2120</v>
      </c>
      <c r="F2740" s="4" t="s">
        <v>29</v>
      </c>
      <c r="G2740" s="4" t="s">
        <v>30</v>
      </c>
      <c r="H2740" s="4" t="s">
        <v>48</v>
      </c>
      <c r="I2740" s="4" t="s">
        <v>110</v>
      </c>
      <c r="J2740" s="4">
        <v>320</v>
      </c>
      <c r="L2740" s="4" t="s">
        <v>93</v>
      </c>
      <c r="M2740" s="5"/>
      <c r="O2740" s="5"/>
      <c r="Q2740" s="4">
        <f>B2740</f>
        <v>2556</v>
      </c>
      <c r="R2740" s="4" t="str">
        <f>C2740</f>
        <v>30/10/2026</v>
      </c>
      <c r="S2740" s="4" t="str">
        <f>D2740</f>
        <v>viernes</v>
      </c>
      <c r="T2740" s="4" t="str">
        <f>E2740&amp;"/"&amp;E2741</f>
        <v>2120/2121</v>
      </c>
      <c r="U2740" s="4" t="str">
        <f>F2740&amp;"-"&amp;G2740&amp;"-"&amp;F2740</f>
        <v>LIM-CUZ-LIM</v>
      </c>
      <c r="V2740" s="4" t="str">
        <f>IF($M$2740="","",$M$2740)</f>
        <v/>
      </c>
      <c r="W2740" s="4" t="str">
        <f>IF($O$2740="","",$O$2740)</f>
        <v/>
      </c>
      <c r="X2740" s="4">
        <f>J2740</f>
        <v>320</v>
      </c>
    </row>
    <row r="2741" spans="2:24" ht="30" x14ac:dyDescent="0.25">
      <c r="B2741" s="4">
        <v>2556</v>
      </c>
      <c r="C2741" s="4" t="s">
        <v>227</v>
      </c>
      <c r="D2741" s="4" t="s">
        <v>96</v>
      </c>
      <c r="E2741" s="4">
        <v>2121</v>
      </c>
      <c r="F2741" s="4" t="s">
        <v>30</v>
      </c>
      <c r="G2741" s="4" t="s">
        <v>29</v>
      </c>
      <c r="H2741" s="4" t="s">
        <v>75</v>
      </c>
      <c r="I2741" s="4" t="s">
        <v>210</v>
      </c>
      <c r="J2741" s="4">
        <v>320</v>
      </c>
      <c r="K2741" t="str">
        <f>TEXT(TIMEVALUE(H2741)-TIMEVALUE(I2740)+(TIMEVALUE(H2741)&lt;TIMEVALUE(I2740)),"[h]:mm")</f>
        <v>0:35</v>
      </c>
      <c r="L2741" s="4" t="s">
        <v>36</v>
      </c>
      <c r="O2741" t="str">
        <f>"LIM-"&amp;G2740&amp;"-LIM   LA "&amp;E2740&amp;" ("&amp;LEFT(H2740,5)&amp;"-"&amp;LEFT(I2740,5)&amp;" hrs)  /  LA "&amp;E2741&amp;" ("&amp;LEFT(H2741,5)&amp;"-"&amp;LEFT(I2741,5)&amp;" hrs)"</f>
        <v>LIM-CUZ-LIM   LA 2120 (12:45-14:10 hrs)  /  LA 2121 (14:45-16:20 hrs)</v>
      </c>
    </row>
    <row r="2742" spans="2:24" x14ac:dyDescent="0.25">
      <c r="J2742" s="7" t="s">
        <v>43</v>
      </c>
      <c r="K2742" s="8" t="str">
        <f>TEXT(TIMEVALUE(I2741)-TIMEVALUE(H2740)+(I2741&lt;H2740),"[h]:mm")</f>
        <v>3:35</v>
      </c>
    </row>
    <row r="2744" spans="2:24" ht="30" x14ac:dyDescent="0.25">
      <c r="B2744" s="3" t="s">
        <v>9</v>
      </c>
      <c r="C2744" s="3" t="s">
        <v>17</v>
      </c>
      <c r="D2744" s="3" t="s">
        <v>18</v>
      </c>
      <c r="E2744" s="3" t="s">
        <v>19</v>
      </c>
      <c r="F2744" s="3" t="s">
        <v>20</v>
      </c>
      <c r="G2744" s="3" t="s">
        <v>21</v>
      </c>
      <c r="H2744" s="3" t="s">
        <v>22</v>
      </c>
      <c r="I2744" s="3" t="s">
        <v>23</v>
      </c>
      <c r="J2744" s="3" t="s">
        <v>24</v>
      </c>
      <c r="K2744" s="3" t="s">
        <v>25</v>
      </c>
      <c r="L2744" s="3" t="s">
        <v>26</v>
      </c>
    </row>
    <row r="2745" spans="2:24" ht="30" x14ac:dyDescent="0.25">
      <c r="B2745" s="4">
        <v>2564</v>
      </c>
      <c r="C2745" s="4" t="s">
        <v>227</v>
      </c>
      <c r="D2745" s="4" t="s">
        <v>96</v>
      </c>
      <c r="E2745" s="4">
        <v>2295</v>
      </c>
      <c r="F2745" s="4" t="s">
        <v>29</v>
      </c>
      <c r="G2745" s="4" t="s">
        <v>50</v>
      </c>
      <c r="H2745" s="4" t="s">
        <v>107</v>
      </c>
      <c r="I2745" s="4" t="s">
        <v>92</v>
      </c>
      <c r="J2745" s="4">
        <v>320</v>
      </c>
      <c r="L2745" s="4" t="s">
        <v>93</v>
      </c>
      <c r="M2745" s="5"/>
      <c r="O2745" s="5"/>
      <c r="Q2745" s="4">
        <f>B2745</f>
        <v>2564</v>
      </c>
      <c r="R2745" s="4" t="str">
        <f>C2745</f>
        <v>30/10/2026</v>
      </c>
      <c r="S2745" s="4" t="str">
        <f>D2745</f>
        <v>viernes</v>
      </c>
      <c r="T2745" s="4" t="str">
        <f>E2745&amp;"/"&amp;E2746</f>
        <v>2295/2294</v>
      </c>
      <c r="U2745" s="4" t="str">
        <f>F2745&amp;"-"&amp;G2745&amp;"-"&amp;F2745</f>
        <v>LIM-CJA-LIM</v>
      </c>
      <c r="V2745" s="4" t="str">
        <f>IF($M$2745="","",$M$2745)</f>
        <v/>
      </c>
      <c r="W2745" s="4" t="str">
        <f>IF($O$2745="","",$O$2745)</f>
        <v/>
      </c>
      <c r="X2745" s="4">
        <f>J2745</f>
        <v>320</v>
      </c>
    </row>
    <row r="2746" spans="2:24" ht="30" x14ac:dyDescent="0.25">
      <c r="B2746" s="4">
        <v>2564</v>
      </c>
      <c r="C2746" s="4" t="s">
        <v>227</v>
      </c>
      <c r="D2746" s="4" t="s">
        <v>96</v>
      </c>
      <c r="E2746" s="4">
        <v>2294</v>
      </c>
      <c r="F2746" s="4" t="s">
        <v>50</v>
      </c>
      <c r="G2746" s="4" t="s">
        <v>29</v>
      </c>
      <c r="H2746" s="4" t="s">
        <v>210</v>
      </c>
      <c r="I2746" s="4" t="s">
        <v>100</v>
      </c>
      <c r="J2746" s="4">
        <v>320</v>
      </c>
      <c r="K2746" t="str">
        <f>TEXT(TIMEVALUE(H2746)-TIMEVALUE(I2745)+(TIMEVALUE(H2746)&lt;TIMEVALUE(I2745)),"[h]:mm")</f>
        <v>0:40</v>
      </c>
      <c r="L2746" s="4" t="s">
        <v>74</v>
      </c>
      <c r="O2746" t="str">
        <f>"LIM-"&amp;G2745&amp;"-LIM   LA "&amp;E2745&amp;" ("&amp;LEFT(H2745,5)&amp;"-"&amp;LEFT(I2745,5)&amp;" hrs)  /  LA "&amp;E2746&amp;" ("&amp;LEFT(H2746,5)&amp;"-"&amp;LEFT(I2746,5)&amp;" hrs)"</f>
        <v>LIM-CJA-LIM   LA 2295 (14:15-15:40 hrs)  /  LA 2294 (16:20-17:30 hrs)</v>
      </c>
    </row>
    <row r="2747" spans="2:24" x14ac:dyDescent="0.25">
      <c r="J2747" s="7" t="s">
        <v>43</v>
      </c>
      <c r="K2747" s="8" t="str">
        <f>TEXT(TIMEVALUE(I2746)-TIMEVALUE(H2745)+(I2746&lt;H2745),"[h]:mm")</f>
        <v>3:15</v>
      </c>
    </row>
    <row r="2749" spans="2:24" ht="30" x14ac:dyDescent="0.25">
      <c r="B2749" s="3" t="s">
        <v>9</v>
      </c>
      <c r="C2749" s="3" t="s">
        <v>17</v>
      </c>
      <c r="D2749" s="3" t="s">
        <v>18</v>
      </c>
      <c r="E2749" s="3" t="s">
        <v>19</v>
      </c>
      <c r="F2749" s="3" t="s">
        <v>20</v>
      </c>
      <c r="G2749" s="3" t="s">
        <v>21</v>
      </c>
      <c r="H2749" s="3" t="s">
        <v>22</v>
      </c>
      <c r="I2749" s="3" t="s">
        <v>23</v>
      </c>
      <c r="J2749" s="3" t="s">
        <v>24</v>
      </c>
      <c r="K2749" s="3" t="s">
        <v>25</v>
      </c>
      <c r="L2749" s="3" t="s">
        <v>26</v>
      </c>
    </row>
    <row r="2750" spans="2:24" ht="30" x14ac:dyDescent="0.25">
      <c r="B2750" s="4">
        <v>2566</v>
      </c>
      <c r="C2750" s="4" t="s">
        <v>227</v>
      </c>
      <c r="D2750" s="4" t="s">
        <v>96</v>
      </c>
      <c r="E2750" s="4">
        <v>2113</v>
      </c>
      <c r="F2750" s="4" t="s">
        <v>29</v>
      </c>
      <c r="G2750" s="4" t="s">
        <v>56</v>
      </c>
      <c r="H2750" s="4" t="s">
        <v>126</v>
      </c>
      <c r="I2750" s="4" t="s">
        <v>52</v>
      </c>
      <c r="J2750" s="4">
        <v>320</v>
      </c>
      <c r="L2750" s="4" t="s">
        <v>40</v>
      </c>
      <c r="M2750" s="5"/>
      <c r="O2750" s="5"/>
      <c r="Q2750" s="4">
        <f>B2750</f>
        <v>2566</v>
      </c>
      <c r="R2750" s="4" t="str">
        <f>C2750</f>
        <v>30/10/2026</v>
      </c>
      <c r="S2750" s="4" t="str">
        <f>D2750</f>
        <v>viernes</v>
      </c>
      <c r="T2750" s="4" t="str">
        <f>E2750&amp;"/"&amp;E2751</f>
        <v>2113/2112</v>
      </c>
      <c r="U2750" s="4" t="str">
        <f>F2750&amp;"-"&amp;G2750&amp;"-"&amp;F2750</f>
        <v>LIM-AQP-LIM</v>
      </c>
      <c r="V2750" s="4" t="str">
        <f>IF($M$2750="","",$M$2750)</f>
        <v/>
      </c>
      <c r="W2750" s="4" t="str">
        <f>IF($O$2750="","",$O$2750)</f>
        <v/>
      </c>
      <c r="X2750" s="4">
        <f>J2750</f>
        <v>320</v>
      </c>
    </row>
    <row r="2751" spans="2:24" ht="30" x14ac:dyDescent="0.25">
      <c r="B2751" s="4">
        <v>2566</v>
      </c>
      <c r="C2751" s="4" t="s">
        <v>227</v>
      </c>
      <c r="D2751" s="4" t="s">
        <v>96</v>
      </c>
      <c r="E2751" s="4">
        <v>2112</v>
      </c>
      <c r="F2751" s="4" t="s">
        <v>56</v>
      </c>
      <c r="G2751" s="4" t="s">
        <v>29</v>
      </c>
      <c r="H2751" s="4" t="s">
        <v>42</v>
      </c>
      <c r="I2751" s="4" t="s">
        <v>127</v>
      </c>
      <c r="J2751" s="4">
        <v>320</v>
      </c>
      <c r="K2751" t="str">
        <f>TEXT(TIMEVALUE(H2751)-TIMEVALUE(I2750)+(TIMEVALUE(H2751)&lt;TIMEVALUE(I2750)),"[h]:mm")</f>
        <v>0:40</v>
      </c>
      <c r="L2751" s="4" t="s">
        <v>36</v>
      </c>
      <c r="O2751" t="str">
        <f>"LIM-"&amp;G2750&amp;"-LIM   LA "&amp;E2750&amp;" ("&amp;LEFT(H2750,5)&amp;"-"&amp;LEFT(I2750,5)&amp;" hrs)  /  LA "&amp;E2751&amp;" ("&amp;LEFT(H2751,5)&amp;"-"&amp;LEFT(I2751,5)&amp;" hrs)"</f>
        <v>LIM-AQP-LIM   LA 2113 (15:05-16:35 hrs)  /  LA 2112 (17:15-18:50 hrs)</v>
      </c>
    </row>
    <row r="2752" spans="2:24" x14ac:dyDescent="0.25">
      <c r="J2752" s="7" t="s">
        <v>43</v>
      </c>
      <c r="K2752" s="8" t="str">
        <f>TEXT(TIMEVALUE(I2751)-TIMEVALUE(H2750)+(I2751&lt;H2750),"[h]:mm")</f>
        <v>3:45</v>
      </c>
    </row>
    <row r="2754" spans="2:24" ht="30" x14ac:dyDescent="0.25">
      <c r="B2754" s="3" t="s">
        <v>9</v>
      </c>
      <c r="C2754" s="3" t="s">
        <v>17</v>
      </c>
      <c r="D2754" s="3" t="s">
        <v>18</v>
      </c>
      <c r="E2754" s="3" t="s">
        <v>19</v>
      </c>
      <c r="F2754" s="3" t="s">
        <v>20</v>
      </c>
      <c r="G2754" s="3" t="s">
        <v>21</v>
      </c>
      <c r="H2754" s="3" t="s">
        <v>22</v>
      </c>
      <c r="I2754" s="3" t="s">
        <v>23</v>
      </c>
      <c r="J2754" s="3" t="s">
        <v>24</v>
      </c>
      <c r="K2754" s="3" t="s">
        <v>25</v>
      </c>
      <c r="L2754" s="3" t="s">
        <v>26</v>
      </c>
    </row>
    <row r="2755" spans="2:24" ht="30" x14ac:dyDescent="0.25">
      <c r="B2755" s="4">
        <v>2569</v>
      </c>
      <c r="C2755" s="4" t="s">
        <v>227</v>
      </c>
      <c r="D2755" s="4" t="s">
        <v>96</v>
      </c>
      <c r="E2755" s="4">
        <v>2312</v>
      </c>
      <c r="F2755" s="4" t="s">
        <v>29</v>
      </c>
      <c r="G2755" s="4" t="s">
        <v>37</v>
      </c>
      <c r="H2755" s="4" t="s">
        <v>89</v>
      </c>
      <c r="I2755" s="4" t="s">
        <v>77</v>
      </c>
      <c r="J2755" s="4">
        <v>320</v>
      </c>
      <c r="L2755" s="4" t="s">
        <v>40</v>
      </c>
      <c r="M2755" s="5"/>
      <c r="O2755" s="5"/>
      <c r="Q2755" s="4">
        <f>B2755</f>
        <v>2569</v>
      </c>
      <c r="R2755" s="4" t="str">
        <f>C2755</f>
        <v>30/10/2026</v>
      </c>
      <c r="S2755" s="4" t="str">
        <f>D2755</f>
        <v>viernes</v>
      </c>
      <c r="T2755" s="4" t="str">
        <f>E2755&amp;"/"&amp;E2756</f>
        <v>2312/2313</v>
      </c>
      <c r="U2755" s="4" t="str">
        <f>F2755&amp;"-"&amp;G2755&amp;"-"&amp;F2755</f>
        <v>LIM-CIX-LIM</v>
      </c>
      <c r="V2755" s="4" t="str">
        <f>IF($M$2755="","",$M$2755)</f>
        <v/>
      </c>
      <c r="W2755" s="4" t="str">
        <f>IF($O$2755="","",$O$2755)</f>
        <v/>
      </c>
      <c r="X2755" s="4">
        <f>J2755</f>
        <v>320</v>
      </c>
    </row>
    <row r="2756" spans="2:24" ht="30" x14ac:dyDescent="0.25">
      <c r="B2756" s="4">
        <v>2569</v>
      </c>
      <c r="C2756" s="4" t="s">
        <v>227</v>
      </c>
      <c r="D2756" s="4" t="s">
        <v>96</v>
      </c>
      <c r="E2756" s="4">
        <v>2313</v>
      </c>
      <c r="F2756" s="4" t="s">
        <v>37</v>
      </c>
      <c r="G2756" s="4" t="s">
        <v>29</v>
      </c>
      <c r="H2756" s="4" t="s">
        <v>181</v>
      </c>
      <c r="I2756" s="4" t="s">
        <v>213</v>
      </c>
      <c r="J2756" s="4">
        <v>320</v>
      </c>
      <c r="K2756" t="str">
        <f>TEXT(TIMEVALUE(H2756)-TIMEVALUE(I2755)+(TIMEVALUE(H2756)&lt;TIMEVALUE(I2755)),"[h]:mm")</f>
        <v>0:40</v>
      </c>
      <c r="L2756" s="4" t="s">
        <v>33</v>
      </c>
      <c r="O2756" t="str">
        <f>"LIM-"&amp;G2755&amp;"-LIM   LA "&amp;E2755&amp;" ("&amp;LEFT(H2755,5)&amp;"-"&amp;LEFT(I2755,5)&amp;" hrs)  /  LA "&amp;E2756&amp;" ("&amp;LEFT(H2756,5)&amp;"-"&amp;LEFT(I2756,5)&amp;" hrs)"</f>
        <v>LIM-CIX-LIM   LA 2312 (15:35-17:05 hrs)  /  LA 2313 (17:45-19:05 hrs)</v>
      </c>
    </row>
    <row r="2757" spans="2:24" x14ac:dyDescent="0.25">
      <c r="J2757" s="7" t="s">
        <v>43</v>
      </c>
      <c r="K2757" s="8" t="str">
        <f>TEXT(TIMEVALUE(I2756)-TIMEVALUE(H2755)+(I2756&lt;H2755),"[h]:mm")</f>
        <v>3:30</v>
      </c>
    </row>
    <row r="2759" spans="2:24" ht="30" x14ac:dyDescent="0.25">
      <c r="B2759" s="3" t="s">
        <v>9</v>
      </c>
      <c r="C2759" s="3" t="s">
        <v>17</v>
      </c>
      <c r="D2759" s="3" t="s">
        <v>18</v>
      </c>
      <c r="E2759" s="3" t="s">
        <v>19</v>
      </c>
      <c r="F2759" s="3" t="s">
        <v>20</v>
      </c>
      <c r="G2759" s="3" t="s">
        <v>21</v>
      </c>
      <c r="H2759" s="3" t="s">
        <v>22</v>
      </c>
      <c r="I2759" s="3" t="s">
        <v>23</v>
      </c>
      <c r="J2759" s="3" t="s">
        <v>24</v>
      </c>
      <c r="K2759" s="3" t="s">
        <v>25</v>
      </c>
      <c r="L2759" s="3" t="s">
        <v>26</v>
      </c>
    </row>
    <row r="2760" spans="2:24" ht="30" x14ac:dyDescent="0.25">
      <c r="B2760" s="4">
        <v>2570</v>
      </c>
      <c r="C2760" s="4" t="s">
        <v>227</v>
      </c>
      <c r="D2760" s="4" t="s">
        <v>96</v>
      </c>
      <c r="E2760" s="4">
        <v>2360</v>
      </c>
      <c r="F2760" s="4" t="s">
        <v>29</v>
      </c>
      <c r="G2760" s="4" t="s">
        <v>58</v>
      </c>
      <c r="H2760" s="4" t="s">
        <v>89</v>
      </c>
      <c r="I2760" s="4" t="s">
        <v>212</v>
      </c>
      <c r="J2760" s="4">
        <v>320</v>
      </c>
      <c r="L2760" s="4" t="s">
        <v>61</v>
      </c>
      <c r="M2760" s="5"/>
      <c r="O2760" s="5"/>
      <c r="Q2760" s="4">
        <f>B2760</f>
        <v>2570</v>
      </c>
      <c r="R2760" s="4" t="str">
        <f>C2760</f>
        <v>30/10/2026</v>
      </c>
      <c r="S2760" s="4" t="str">
        <f>D2760</f>
        <v>viernes</v>
      </c>
      <c r="T2760" s="4" t="str">
        <f>E2760&amp;"/"&amp;E2761</f>
        <v>2360/2361</v>
      </c>
      <c r="U2760" s="4" t="str">
        <f>F2760&amp;"-"&amp;G2760&amp;"-"&amp;F2760</f>
        <v>LIM-PCL-LIM</v>
      </c>
      <c r="V2760" s="4" t="str">
        <f>IF($M$2760="","",$M$2760)</f>
        <v/>
      </c>
      <c r="W2760" s="4" t="str">
        <f>IF($O$2760="","",$O$2760)</f>
        <v/>
      </c>
      <c r="X2760" s="4">
        <f>J2760</f>
        <v>320</v>
      </c>
    </row>
    <row r="2761" spans="2:24" ht="30" x14ac:dyDescent="0.25">
      <c r="B2761" s="4">
        <v>2570</v>
      </c>
      <c r="C2761" s="4" t="s">
        <v>227</v>
      </c>
      <c r="D2761" s="4" t="s">
        <v>96</v>
      </c>
      <c r="E2761" s="4">
        <v>2361</v>
      </c>
      <c r="F2761" s="4" t="s">
        <v>58</v>
      </c>
      <c r="G2761" s="4" t="s">
        <v>29</v>
      </c>
      <c r="H2761" s="4" t="s">
        <v>206</v>
      </c>
      <c r="I2761" s="4" t="s">
        <v>207</v>
      </c>
      <c r="J2761" s="4">
        <v>320</v>
      </c>
      <c r="K2761" t="str">
        <f>TEXT(TIMEVALUE(H2761)-TIMEVALUE(I2760)+(TIMEVALUE(H2761)&lt;TIMEVALUE(I2760)),"[h]:mm")</f>
        <v>0:35</v>
      </c>
      <c r="L2761" s="4" t="s">
        <v>61</v>
      </c>
      <c r="O2761" t="str">
        <f>"LIM-"&amp;G2760&amp;"-LIM   LA "&amp;E2760&amp;" ("&amp;LEFT(H2760,5)&amp;"-"&amp;LEFT(I2760,5)&amp;" hrs)  /  LA "&amp;E2761&amp;" ("&amp;LEFT(H2761,5)&amp;"-"&amp;LEFT(I2761,5)&amp;" hrs)"</f>
        <v>LIM-PCL-LIM   LA 2360 (15:35-16:50 hrs)  /  LA 2361 (17:25-18:40 hrs)</v>
      </c>
    </row>
    <row r="2762" spans="2:24" x14ac:dyDescent="0.25">
      <c r="J2762" s="7" t="s">
        <v>43</v>
      </c>
      <c r="K2762" s="8" t="str">
        <f>TEXT(TIMEVALUE(I2761)-TIMEVALUE(H2760)+(I2761&lt;H2760),"[h]:mm")</f>
        <v>3:05</v>
      </c>
    </row>
    <row r="2764" spans="2:24" ht="30" x14ac:dyDescent="0.25">
      <c r="B2764" s="3" t="s">
        <v>9</v>
      </c>
      <c r="C2764" s="3" t="s">
        <v>17</v>
      </c>
      <c r="D2764" s="3" t="s">
        <v>18</v>
      </c>
      <c r="E2764" s="3" t="s">
        <v>19</v>
      </c>
      <c r="F2764" s="3" t="s">
        <v>20</v>
      </c>
      <c r="G2764" s="3" t="s">
        <v>21</v>
      </c>
      <c r="H2764" s="3" t="s">
        <v>22</v>
      </c>
      <c r="I2764" s="3" t="s">
        <v>23</v>
      </c>
      <c r="J2764" s="3" t="s">
        <v>24</v>
      </c>
      <c r="K2764" s="3" t="s">
        <v>25</v>
      </c>
      <c r="L2764" s="3" t="s">
        <v>26</v>
      </c>
    </row>
    <row r="2765" spans="2:24" ht="30" x14ac:dyDescent="0.25">
      <c r="B2765" s="4">
        <v>2571</v>
      </c>
      <c r="C2765" s="4" t="s">
        <v>227</v>
      </c>
      <c r="D2765" s="4" t="s">
        <v>96</v>
      </c>
      <c r="E2765" s="4">
        <v>2360</v>
      </c>
      <c r="F2765" s="4" t="s">
        <v>29</v>
      </c>
      <c r="G2765" s="4" t="s">
        <v>58</v>
      </c>
      <c r="H2765" s="4" t="s">
        <v>89</v>
      </c>
      <c r="I2765" s="4" t="s">
        <v>212</v>
      </c>
      <c r="J2765" s="4">
        <v>320</v>
      </c>
      <c r="L2765" s="4" t="s">
        <v>61</v>
      </c>
      <c r="M2765" s="5"/>
      <c r="O2765" s="5"/>
      <c r="Q2765" s="4">
        <f>B2765</f>
        <v>2571</v>
      </c>
      <c r="R2765" s="4" t="str">
        <f>C2765</f>
        <v>30/10/2026</v>
      </c>
      <c r="S2765" s="4" t="str">
        <f>D2765</f>
        <v>viernes</v>
      </c>
      <c r="T2765" s="4" t="str">
        <f>E2765&amp;"/"&amp;E2766</f>
        <v>2360/2361</v>
      </c>
      <c r="U2765" s="4" t="str">
        <f>F2765&amp;"-"&amp;G2765&amp;"-"&amp;F2765</f>
        <v>LIM-PCL-LIM</v>
      </c>
      <c r="V2765" s="4" t="str">
        <f>IF($M$2765="","",$M$2765)</f>
        <v/>
      </c>
      <c r="W2765" s="4" t="str">
        <f>IF($O$2765="","",$O$2765)</f>
        <v/>
      </c>
      <c r="X2765" s="4">
        <f>J2765</f>
        <v>320</v>
      </c>
    </row>
    <row r="2766" spans="2:24" ht="30" x14ac:dyDescent="0.25">
      <c r="B2766" s="4">
        <v>2571</v>
      </c>
      <c r="C2766" s="4" t="s">
        <v>227</v>
      </c>
      <c r="D2766" s="4" t="s">
        <v>96</v>
      </c>
      <c r="E2766" s="4">
        <v>2361</v>
      </c>
      <c r="F2766" s="4" t="s">
        <v>58</v>
      </c>
      <c r="G2766" s="4" t="s">
        <v>29</v>
      </c>
      <c r="H2766" s="4" t="s">
        <v>206</v>
      </c>
      <c r="I2766" s="4" t="s">
        <v>207</v>
      </c>
      <c r="J2766" s="4">
        <v>320</v>
      </c>
      <c r="K2766" t="str">
        <f>TEXT(TIMEVALUE(H2766)-TIMEVALUE(I2765)+(TIMEVALUE(H2766)&lt;TIMEVALUE(I2765)),"[h]:mm")</f>
        <v>0:35</v>
      </c>
      <c r="L2766" s="4" t="s">
        <v>61</v>
      </c>
      <c r="O2766" t="str">
        <f>"LIM-"&amp;G2765&amp;"-LIM   LA "&amp;E2765&amp;" ("&amp;LEFT(H2765,5)&amp;"-"&amp;LEFT(I2765,5)&amp;" hrs)  /  LA "&amp;E2766&amp;" ("&amp;LEFT(H2766,5)&amp;"-"&amp;LEFT(I2766,5)&amp;" hrs)"</f>
        <v>LIM-PCL-LIM   LA 2360 (15:35-16:50 hrs)  /  LA 2361 (17:25-18:40 hrs)</v>
      </c>
    </row>
    <row r="2767" spans="2:24" x14ac:dyDescent="0.25">
      <c r="J2767" s="7" t="s">
        <v>43</v>
      </c>
      <c r="K2767" s="8" t="str">
        <f>TEXT(TIMEVALUE(I2766)-TIMEVALUE(H2765)+(I2766&lt;H2765),"[h]:mm")</f>
        <v>3:05</v>
      </c>
    </row>
    <row r="2769" spans="2:24" ht="30" x14ac:dyDescent="0.25">
      <c r="B2769" s="3" t="s">
        <v>9</v>
      </c>
      <c r="C2769" s="3" t="s">
        <v>17</v>
      </c>
      <c r="D2769" s="3" t="s">
        <v>18</v>
      </c>
      <c r="E2769" s="3" t="s">
        <v>19</v>
      </c>
      <c r="F2769" s="3" t="s">
        <v>20</v>
      </c>
      <c r="G2769" s="3" t="s">
        <v>21</v>
      </c>
      <c r="H2769" s="3" t="s">
        <v>22</v>
      </c>
      <c r="I2769" s="3" t="s">
        <v>23</v>
      </c>
      <c r="J2769" s="3" t="s">
        <v>24</v>
      </c>
      <c r="K2769" s="3" t="s">
        <v>25</v>
      </c>
      <c r="L2769" s="3" t="s">
        <v>26</v>
      </c>
    </row>
    <row r="2770" spans="2:24" ht="30" x14ac:dyDescent="0.25">
      <c r="B2770" s="4">
        <v>2574</v>
      </c>
      <c r="C2770" s="4" t="s">
        <v>227</v>
      </c>
      <c r="D2770" s="4" t="s">
        <v>96</v>
      </c>
      <c r="E2770" s="4">
        <v>2301</v>
      </c>
      <c r="F2770" s="4" t="s">
        <v>29</v>
      </c>
      <c r="G2770" s="4" t="s">
        <v>91</v>
      </c>
      <c r="H2770" s="4" t="s">
        <v>41</v>
      </c>
      <c r="I2770" s="4" t="s">
        <v>53</v>
      </c>
      <c r="J2770" s="4">
        <v>320</v>
      </c>
      <c r="L2770" s="4" t="s">
        <v>93</v>
      </c>
      <c r="M2770" s="5"/>
      <c r="O2770" s="5"/>
      <c r="Q2770" s="4">
        <f>B2770</f>
        <v>2574</v>
      </c>
      <c r="R2770" s="4" t="str">
        <f>C2770</f>
        <v>30/10/2026</v>
      </c>
      <c r="S2770" s="4" t="str">
        <f>D2770</f>
        <v>viernes</v>
      </c>
      <c r="T2770" s="4" t="str">
        <f>E2770&amp;"/"&amp;E2771</f>
        <v>2301/2300</v>
      </c>
      <c r="U2770" s="4" t="str">
        <f>F2770&amp;"-"&amp;G2770&amp;"-"&amp;F2770</f>
        <v>LIM-TPP-LIM</v>
      </c>
      <c r="V2770" s="4" t="str">
        <f>IF($M$2770="","",$M$2770)</f>
        <v/>
      </c>
      <c r="W2770" s="4" t="str">
        <f>IF($O$2770="","",$O$2770)</f>
        <v/>
      </c>
      <c r="X2770" s="4">
        <f>J2770</f>
        <v>320</v>
      </c>
    </row>
    <row r="2771" spans="2:24" ht="30" x14ac:dyDescent="0.25">
      <c r="B2771" s="4">
        <v>2574</v>
      </c>
      <c r="C2771" s="4" t="s">
        <v>227</v>
      </c>
      <c r="D2771" s="4" t="s">
        <v>96</v>
      </c>
      <c r="E2771" s="4">
        <v>2300</v>
      </c>
      <c r="F2771" s="4" t="s">
        <v>91</v>
      </c>
      <c r="G2771" s="4" t="s">
        <v>29</v>
      </c>
      <c r="H2771" s="4" t="s">
        <v>111</v>
      </c>
      <c r="I2771" s="4" t="s">
        <v>79</v>
      </c>
      <c r="J2771" s="4">
        <v>320</v>
      </c>
      <c r="K2771" t="str">
        <f>TEXT(TIMEVALUE(H2771)-TIMEVALUE(I2770)+(TIMEVALUE(H2771)&lt;TIMEVALUE(I2770)),"[h]:mm")</f>
        <v>0:55</v>
      </c>
      <c r="L2771" s="4" t="s">
        <v>93</v>
      </c>
      <c r="O2771" t="str">
        <f>"LIM-"&amp;G2770&amp;"-LIM   LA "&amp;E2770&amp;" ("&amp;LEFT(H2770,5)&amp;"-"&amp;LEFT(I2770,5)&amp;" hrs)  /  LA "&amp;E2771&amp;" ("&amp;LEFT(H2771,5)&amp;"-"&amp;LEFT(I2771,5)&amp;" hrs)"</f>
        <v>LIM-TPP-LIM   LA 2301 (15:55-17:20 hrs)  /  LA 2300 (18:15-19:40 hrs)</v>
      </c>
    </row>
    <row r="2772" spans="2:24" x14ac:dyDescent="0.25">
      <c r="J2772" s="7" t="s">
        <v>43</v>
      </c>
      <c r="K2772" s="8" t="str">
        <f>TEXT(TIMEVALUE(I2771)-TIMEVALUE(H2770)+(I2771&lt;H2770),"[h]:mm")</f>
        <v>3:45</v>
      </c>
    </row>
    <row r="2774" spans="2:24" ht="30" x14ac:dyDescent="0.25">
      <c r="B2774" s="3" t="s">
        <v>9</v>
      </c>
      <c r="C2774" s="3" t="s">
        <v>17</v>
      </c>
      <c r="D2774" s="3" t="s">
        <v>18</v>
      </c>
      <c r="E2774" s="3" t="s">
        <v>19</v>
      </c>
      <c r="F2774" s="3" t="s">
        <v>20</v>
      </c>
      <c r="G2774" s="3" t="s">
        <v>21</v>
      </c>
      <c r="H2774" s="3" t="s">
        <v>22</v>
      </c>
      <c r="I2774" s="3" t="s">
        <v>23</v>
      </c>
      <c r="J2774" s="3" t="s">
        <v>24</v>
      </c>
      <c r="K2774" s="3" t="s">
        <v>25</v>
      </c>
      <c r="L2774" s="3" t="s">
        <v>26</v>
      </c>
    </row>
    <row r="2775" spans="2:24" ht="30" x14ac:dyDescent="0.25">
      <c r="B2775" s="4">
        <v>2576</v>
      </c>
      <c r="C2775" s="4" t="s">
        <v>227</v>
      </c>
      <c r="D2775" s="4" t="s">
        <v>96</v>
      </c>
      <c r="E2775" s="4">
        <v>2304</v>
      </c>
      <c r="F2775" s="4" t="s">
        <v>29</v>
      </c>
      <c r="G2775" s="4" t="s">
        <v>125</v>
      </c>
      <c r="H2775" s="4" t="s">
        <v>212</v>
      </c>
      <c r="I2775" s="4" t="s">
        <v>147</v>
      </c>
      <c r="J2775" s="4">
        <v>320</v>
      </c>
      <c r="L2775" s="4" t="s">
        <v>71</v>
      </c>
      <c r="M2775" s="5"/>
      <c r="O2775" s="5"/>
      <c r="Q2775" s="4">
        <f>B2775</f>
        <v>2576</v>
      </c>
      <c r="R2775" s="4" t="str">
        <f>C2775</f>
        <v>30/10/2026</v>
      </c>
      <c r="S2775" s="4" t="str">
        <f>D2775</f>
        <v>viernes</v>
      </c>
      <c r="T2775" s="4" t="str">
        <f>E2775&amp;"/"&amp;E2776</f>
        <v>2304/2305</v>
      </c>
      <c r="U2775" s="4" t="str">
        <f>F2775&amp;"-"&amp;G2775&amp;"-"&amp;F2775</f>
        <v>LIM-PIU-LIM</v>
      </c>
      <c r="V2775" s="4" t="str">
        <f>IF($M$2775="","",$M$2775)</f>
        <v/>
      </c>
      <c r="W2775" s="4" t="str">
        <f>IF($O$2775="","",$O$2775)</f>
        <v/>
      </c>
      <c r="X2775" s="4">
        <f>J2775</f>
        <v>320</v>
      </c>
    </row>
    <row r="2776" spans="2:24" ht="30" x14ac:dyDescent="0.25">
      <c r="B2776" s="4">
        <v>2576</v>
      </c>
      <c r="C2776" s="4" t="s">
        <v>227</v>
      </c>
      <c r="D2776" s="4" t="s">
        <v>96</v>
      </c>
      <c r="E2776" s="4">
        <v>2305</v>
      </c>
      <c r="F2776" s="4" t="s">
        <v>125</v>
      </c>
      <c r="G2776" s="4" t="s">
        <v>29</v>
      </c>
      <c r="H2776" s="4" t="s">
        <v>213</v>
      </c>
      <c r="I2776" s="4" t="s">
        <v>129</v>
      </c>
      <c r="J2776" s="4">
        <v>320</v>
      </c>
      <c r="K2776" t="str">
        <f>TEXT(TIMEVALUE(H2776)-TIMEVALUE(I2775)+(TIMEVALUE(H2776)&lt;TIMEVALUE(I2775)),"[h]:mm")</f>
        <v>0:35</v>
      </c>
      <c r="L2776" s="4" t="s">
        <v>36</v>
      </c>
      <c r="O2776" t="str">
        <f>"LIM-"&amp;G2775&amp;"-LIM   LA "&amp;E2775&amp;" ("&amp;LEFT(H2775,5)&amp;"-"&amp;LEFT(I2775,5)&amp;" hrs)  /  LA "&amp;E2776&amp;" ("&amp;LEFT(H2776,5)&amp;"-"&amp;LEFT(I2776,5)&amp;" hrs)"</f>
        <v>LIM-PIU-LIM   LA 2304 (16:50-18:30 hrs)  /  LA 2305 (19:05-20:40 hrs)</v>
      </c>
    </row>
    <row r="2777" spans="2:24" x14ac:dyDescent="0.25">
      <c r="J2777" s="7" t="s">
        <v>43</v>
      </c>
      <c r="K2777" s="8" t="str">
        <f>TEXT(TIMEVALUE(I2776)-TIMEVALUE(H2775)+(I2776&lt;H2775),"[h]:mm")</f>
        <v>3:50</v>
      </c>
    </row>
    <row r="2779" spans="2:24" ht="30" x14ac:dyDescent="0.25">
      <c r="B2779" s="3" t="s">
        <v>9</v>
      </c>
      <c r="C2779" s="3" t="s">
        <v>17</v>
      </c>
      <c r="D2779" s="3" t="s">
        <v>18</v>
      </c>
      <c r="E2779" s="3" t="s">
        <v>19</v>
      </c>
      <c r="F2779" s="3" t="s">
        <v>20</v>
      </c>
      <c r="G2779" s="3" t="s">
        <v>21</v>
      </c>
      <c r="H2779" s="3" t="s">
        <v>22</v>
      </c>
      <c r="I2779" s="3" t="s">
        <v>23</v>
      </c>
      <c r="J2779" s="3" t="s">
        <v>24</v>
      </c>
      <c r="K2779" s="3" t="s">
        <v>25</v>
      </c>
      <c r="L2779" s="3" t="s">
        <v>26</v>
      </c>
    </row>
    <row r="2780" spans="2:24" ht="30" x14ac:dyDescent="0.25">
      <c r="B2780" s="4">
        <v>2577</v>
      </c>
      <c r="C2780" s="4" t="s">
        <v>227</v>
      </c>
      <c r="D2780" s="4" t="s">
        <v>96</v>
      </c>
      <c r="E2780" s="4">
        <v>2310</v>
      </c>
      <c r="F2780" s="4" t="s">
        <v>29</v>
      </c>
      <c r="G2780" s="4" t="s">
        <v>37</v>
      </c>
      <c r="H2780" s="4" t="s">
        <v>101</v>
      </c>
      <c r="I2780" s="4" t="s">
        <v>79</v>
      </c>
      <c r="J2780" s="4">
        <v>319</v>
      </c>
      <c r="L2780" s="4" t="s">
        <v>40</v>
      </c>
      <c r="M2780" s="5"/>
      <c r="O2780" s="5"/>
      <c r="Q2780" s="4">
        <f>B2780</f>
        <v>2577</v>
      </c>
      <c r="R2780" s="4" t="str">
        <f>C2780</f>
        <v>30/10/2026</v>
      </c>
      <c r="S2780" s="4" t="str">
        <f>D2780</f>
        <v>viernes</v>
      </c>
      <c r="T2780" s="4" t="str">
        <f>E2780&amp;"/"&amp;E2781</f>
        <v>2310/2311</v>
      </c>
      <c r="U2780" s="4" t="str">
        <f>F2780&amp;"-"&amp;G2780&amp;"-"&amp;F2780</f>
        <v>LIM-CIX-LIM</v>
      </c>
      <c r="V2780" s="4" t="str">
        <f>IF($M$2780="","",$M$2780)</f>
        <v/>
      </c>
      <c r="W2780" s="4" t="str">
        <f>IF($O$2780="","",$O$2780)</f>
        <v/>
      </c>
      <c r="X2780" s="4">
        <f>J2780</f>
        <v>319</v>
      </c>
    </row>
    <row r="2781" spans="2:24" ht="30" x14ac:dyDescent="0.25">
      <c r="B2781" s="4">
        <v>2577</v>
      </c>
      <c r="C2781" s="4" t="s">
        <v>227</v>
      </c>
      <c r="D2781" s="4" t="s">
        <v>96</v>
      </c>
      <c r="E2781" s="4">
        <v>2311</v>
      </c>
      <c r="F2781" s="4" t="s">
        <v>37</v>
      </c>
      <c r="G2781" s="4" t="s">
        <v>29</v>
      </c>
      <c r="H2781" s="4" t="s">
        <v>113</v>
      </c>
      <c r="I2781" s="4" t="s">
        <v>159</v>
      </c>
      <c r="J2781" s="4">
        <v>319</v>
      </c>
      <c r="K2781" t="str">
        <f>TEXT(TIMEVALUE(H2781)-TIMEVALUE(I2780)+(TIMEVALUE(H2781)&lt;TIMEVALUE(I2780)),"[h]:mm")</f>
        <v>0:40</v>
      </c>
      <c r="L2781" s="4" t="s">
        <v>33</v>
      </c>
      <c r="O2781" t="str">
        <f>"LIM-"&amp;G2780&amp;"-LIM   LA "&amp;E2780&amp;" ("&amp;LEFT(H2780,5)&amp;"-"&amp;LEFT(I2780,5)&amp;" hrs)  /  LA "&amp;E2781&amp;" ("&amp;LEFT(H2781,5)&amp;"-"&amp;LEFT(I2781,5)&amp;" hrs)"</f>
        <v>LIM-CIX-LIM   LA 2310 (18:10-19:40 hrs)  /  LA 2311 (20:20-21:40 hrs)</v>
      </c>
    </row>
    <row r="2782" spans="2:24" x14ac:dyDescent="0.25">
      <c r="J2782" s="7" t="s">
        <v>43</v>
      </c>
      <c r="K2782" s="8" t="str">
        <f>TEXT(TIMEVALUE(I2781)-TIMEVALUE(H2780)+(I2781&lt;H2780),"[h]:mm")</f>
        <v>3:30</v>
      </c>
    </row>
    <row r="2784" spans="2:24" ht="30" x14ac:dyDescent="0.25">
      <c r="B2784" s="3" t="s">
        <v>9</v>
      </c>
      <c r="C2784" s="3" t="s">
        <v>17</v>
      </c>
      <c r="D2784" s="3" t="s">
        <v>18</v>
      </c>
      <c r="E2784" s="3" t="s">
        <v>19</v>
      </c>
      <c r="F2784" s="3" t="s">
        <v>20</v>
      </c>
      <c r="G2784" s="3" t="s">
        <v>21</v>
      </c>
      <c r="H2784" s="3" t="s">
        <v>22</v>
      </c>
      <c r="I2784" s="3" t="s">
        <v>23</v>
      </c>
      <c r="J2784" s="3" t="s">
        <v>24</v>
      </c>
      <c r="K2784" s="3" t="s">
        <v>25</v>
      </c>
      <c r="L2784" s="3" t="s">
        <v>26</v>
      </c>
    </row>
    <row r="2785" spans="2:24" ht="30" x14ac:dyDescent="0.25">
      <c r="B2785" s="4">
        <v>2579</v>
      </c>
      <c r="C2785" s="4" t="s">
        <v>227</v>
      </c>
      <c r="D2785" s="4" t="s">
        <v>96</v>
      </c>
      <c r="E2785" s="4">
        <v>2326</v>
      </c>
      <c r="F2785" s="4" t="s">
        <v>29</v>
      </c>
      <c r="G2785" s="4" t="s">
        <v>56</v>
      </c>
      <c r="H2785" s="4" t="s">
        <v>94</v>
      </c>
      <c r="I2785" s="4" t="s">
        <v>193</v>
      </c>
      <c r="J2785" s="4">
        <v>320</v>
      </c>
      <c r="L2785" s="4" t="s">
        <v>40</v>
      </c>
      <c r="M2785" s="5"/>
      <c r="O2785" s="5"/>
      <c r="Q2785" s="4">
        <f>B2785</f>
        <v>2579</v>
      </c>
      <c r="R2785" s="4" t="str">
        <f>C2785</f>
        <v>30/10/2026</v>
      </c>
      <c r="S2785" s="4" t="str">
        <f>D2785</f>
        <v>viernes</v>
      </c>
      <c r="T2785" s="4" t="str">
        <f>E2785&amp;"/"&amp;E2786</f>
        <v>2326/2012</v>
      </c>
      <c r="U2785" s="4" t="str">
        <f>F2785&amp;"-"&amp;G2785&amp;"-"&amp;F2785</f>
        <v>LIM-AQP-LIM</v>
      </c>
      <c r="V2785" s="4" t="str">
        <f>IF($M$2785="","",$M$2785)</f>
        <v/>
      </c>
      <c r="W2785" s="4" t="str">
        <f>IF($O$2785="","",$O$2785)</f>
        <v/>
      </c>
      <c r="X2785" s="4">
        <f>J2785</f>
        <v>320</v>
      </c>
    </row>
    <row r="2786" spans="2:24" ht="30" x14ac:dyDescent="0.25">
      <c r="B2786" s="4">
        <v>2579</v>
      </c>
      <c r="C2786" s="4" t="s">
        <v>227</v>
      </c>
      <c r="D2786" s="4" t="s">
        <v>96</v>
      </c>
      <c r="E2786" s="4">
        <v>2012</v>
      </c>
      <c r="F2786" s="4" t="s">
        <v>56</v>
      </c>
      <c r="G2786" s="4" t="s">
        <v>29</v>
      </c>
      <c r="H2786" s="4" t="s">
        <v>80</v>
      </c>
      <c r="I2786" s="4" t="s">
        <v>200</v>
      </c>
      <c r="J2786" s="4">
        <v>320</v>
      </c>
      <c r="K2786" t="str">
        <f>TEXT(TIMEVALUE(H2786)-TIMEVALUE(I2785)+(TIMEVALUE(H2786)&lt;TIMEVALUE(I2785)),"[h]:mm")</f>
        <v>0:35</v>
      </c>
      <c r="L2786" s="4" t="s">
        <v>71</v>
      </c>
      <c r="O2786" t="str">
        <f>"LIM-"&amp;G2785&amp;"-LIM   LA "&amp;E2785&amp;" ("&amp;LEFT(H2785,5)&amp;"-"&amp;LEFT(I2785,5)&amp;" hrs)  /  LA "&amp;E2786&amp;" ("&amp;LEFT(H2786,5)&amp;"-"&amp;LEFT(I2786,5)&amp;" hrs)"</f>
        <v>LIM-AQP-LIM   LA 2326 (19:15-20:45 hrs)  /  LA 2012 (21:20-23:00 hrs)</v>
      </c>
    </row>
    <row r="2787" spans="2:24" x14ac:dyDescent="0.25">
      <c r="J2787" s="7" t="s">
        <v>43</v>
      </c>
      <c r="K2787" s="8" t="str">
        <f>TEXT(TIMEVALUE(I2786)-TIMEVALUE(H2785)+(I2786&lt;H2785),"[h]:mm")</f>
        <v>3:45</v>
      </c>
    </row>
    <row r="2789" spans="2:24" ht="30" x14ac:dyDescent="0.25">
      <c r="B2789" s="3" t="s">
        <v>9</v>
      </c>
      <c r="C2789" s="3" t="s">
        <v>17</v>
      </c>
      <c r="D2789" s="3" t="s">
        <v>18</v>
      </c>
      <c r="E2789" s="3" t="s">
        <v>19</v>
      </c>
      <c r="F2789" s="3" t="s">
        <v>20</v>
      </c>
      <c r="G2789" s="3" t="s">
        <v>21</v>
      </c>
      <c r="H2789" s="3" t="s">
        <v>22</v>
      </c>
      <c r="I2789" s="3" t="s">
        <v>23</v>
      </c>
      <c r="J2789" s="3" t="s">
        <v>24</v>
      </c>
      <c r="K2789" s="3" t="s">
        <v>25</v>
      </c>
      <c r="L2789" s="3" t="s">
        <v>26</v>
      </c>
    </row>
    <row r="2790" spans="2:24" ht="30" x14ac:dyDescent="0.25">
      <c r="B2790" s="4">
        <v>2634</v>
      </c>
      <c r="C2790" s="4" t="s">
        <v>228</v>
      </c>
      <c r="D2790" s="4" t="s">
        <v>119</v>
      </c>
      <c r="E2790" s="4">
        <v>2123</v>
      </c>
      <c r="F2790" s="4" t="s">
        <v>29</v>
      </c>
      <c r="G2790" s="4" t="s">
        <v>56</v>
      </c>
      <c r="H2790" s="4" t="s">
        <v>139</v>
      </c>
      <c r="I2790" s="4" t="s">
        <v>140</v>
      </c>
      <c r="J2790" s="4">
        <v>320</v>
      </c>
      <c r="L2790" s="4" t="s">
        <v>40</v>
      </c>
      <c r="M2790" s="5"/>
      <c r="O2790" s="5"/>
      <c r="Q2790" s="4">
        <f>B2790</f>
        <v>2634</v>
      </c>
      <c r="R2790" s="4" t="str">
        <f>C2790</f>
        <v>31/10/2026</v>
      </c>
      <c r="S2790" s="4" t="str">
        <f>D2790</f>
        <v>sábado</v>
      </c>
      <c r="T2790" s="4" t="str">
        <f>E2790&amp;"/"&amp;E2791</f>
        <v>2123/2124</v>
      </c>
      <c r="U2790" s="4" t="str">
        <f>F2790&amp;"-"&amp;G2790&amp;"-"&amp;F2790</f>
        <v>LIM-AQP-LIM</v>
      </c>
      <c r="V2790" s="4" t="str">
        <f>IF($M$2790="","",$M$2790)</f>
        <v/>
      </c>
      <c r="W2790" s="4" t="str">
        <f>IF($O$2790="","",$O$2790)</f>
        <v/>
      </c>
      <c r="X2790" s="4">
        <f>J2790</f>
        <v>320</v>
      </c>
    </row>
    <row r="2791" spans="2:24" ht="30" x14ac:dyDescent="0.25">
      <c r="B2791" s="4">
        <v>2634</v>
      </c>
      <c r="C2791" s="4" t="s">
        <v>228</v>
      </c>
      <c r="D2791" s="4" t="s">
        <v>119</v>
      </c>
      <c r="E2791" s="4">
        <v>2124</v>
      </c>
      <c r="F2791" s="4" t="s">
        <v>56</v>
      </c>
      <c r="G2791" s="4" t="s">
        <v>29</v>
      </c>
      <c r="H2791" s="4" t="s">
        <v>229</v>
      </c>
      <c r="I2791" s="4" t="s">
        <v>120</v>
      </c>
      <c r="J2791" s="4">
        <v>320</v>
      </c>
      <c r="K2791" t="str">
        <f>TEXT(TIMEVALUE(H2791)-TIMEVALUE(I2790)+(TIMEVALUE(H2791)&lt;TIMEVALUE(I2790)),"[h]:mm")</f>
        <v>0:40</v>
      </c>
      <c r="L2791" s="4" t="s">
        <v>36</v>
      </c>
      <c r="O2791" t="str">
        <f>"LIM-"&amp;G2790&amp;"-LIM   LA "&amp;E2790&amp;" ("&amp;LEFT(H2790,5)&amp;"-"&amp;LEFT(I2790,5)&amp;" hrs)  /  LA "&amp;E2791&amp;" ("&amp;LEFT(H2791,5)&amp;"-"&amp;LEFT(I2791,5)&amp;" hrs)"</f>
        <v>LIM-AQP-LIM   LA 2123 (09:15-10:45 hrs)  /  LA 2124 (11:25-13:00 hrs)</v>
      </c>
    </row>
    <row r="2792" spans="2:24" ht="30" x14ac:dyDescent="0.25">
      <c r="B2792" s="4">
        <v>2659</v>
      </c>
      <c r="C2792" s="4" t="s">
        <v>228</v>
      </c>
      <c r="D2792" s="4" t="s">
        <v>119</v>
      </c>
      <c r="E2792" s="4">
        <v>2087</v>
      </c>
      <c r="F2792" s="4" t="s">
        <v>29</v>
      </c>
      <c r="G2792" s="4" t="s">
        <v>91</v>
      </c>
      <c r="H2792" s="4" t="s">
        <v>110</v>
      </c>
      <c r="I2792" s="4" t="s">
        <v>89</v>
      </c>
      <c r="J2792" s="4">
        <v>320</v>
      </c>
      <c r="K2792" s="6" t="str">
        <f>TEXT(TIMEVALUE(H2792)-TIMEVALUE(I2791)+(TIMEVALUE(H2792)&lt;TIMEVALUE(I2791)),"[h]:mm")</f>
        <v>1:10</v>
      </c>
      <c r="L2792" s="4" t="s">
        <v>93</v>
      </c>
      <c r="M2792" t="str">
        <f>IF($M$2790="","",$M$2790)</f>
        <v/>
      </c>
      <c r="O2792" t="str">
        <f>IF($O$2790="","",$O$2790)</f>
        <v/>
      </c>
      <c r="Q2792" s="4">
        <f>B2792</f>
        <v>2659</v>
      </c>
      <c r="R2792" s="4" t="str">
        <f>C2792</f>
        <v>31/10/2026</v>
      </c>
      <c r="S2792" s="4" t="str">
        <f>D2792</f>
        <v>sábado</v>
      </c>
      <c r="T2792" s="4" t="str">
        <f>E2792&amp;"/"&amp;E2793</f>
        <v>2087/2088</v>
      </c>
      <c r="U2792" s="4" t="str">
        <f>F2792&amp;"-"&amp;G2792&amp;"-"&amp;F2792</f>
        <v>LIM-TPP-LIM</v>
      </c>
      <c r="V2792" s="4" t="str">
        <f>IF($M$2790="","",$M$2790)</f>
        <v/>
      </c>
      <c r="W2792" s="4" t="str">
        <f>IF($O$2790="","",$O$2790)</f>
        <v/>
      </c>
      <c r="X2792" s="4">
        <f>J2792</f>
        <v>320</v>
      </c>
    </row>
    <row r="2793" spans="2:24" ht="30" x14ac:dyDescent="0.25">
      <c r="B2793" s="4">
        <v>2659</v>
      </c>
      <c r="C2793" s="4" t="s">
        <v>228</v>
      </c>
      <c r="D2793" s="4" t="s">
        <v>119</v>
      </c>
      <c r="E2793" s="4">
        <v>2088</v>
      </c>
      <c r="F2793" s="4" t="s">
        <v>91</v>
      </c>
      <c r="G2793" s="4" t="s">
        <v>29</v>
      </c>
      <c r="H2793" s="4" t="s">
        <v>83</v>
      </c>
      <c r="I2793" s="4" t="s">
        <v>100</v>
      </c>
      <c r="J2793" s="4">
        <v>320</v>
      </c>
      <c r="K2793" t="str">
        <f>TEXT(TIMEVALUE(H2793)-TIMEVALUE(I2792)+(TIMEVALUE(H2793)&lt;TIMEVALUE(I2792)),"[h]:mm")</f>
        <v>0:35</v>
      </c>
      <c r="L2793" s="4" t="s">
        <v>33</v>
      </c>
      <c r="O2793" t="str">
        <f>"LIM-"&amp;G2792&amp;"-LIM   LA "&amp;E2792&amp;" ("&amp;LEFT(H2792,5)&amp;"-"&amp;LEFT(I2792,5)&amp;" hrs)  /  LA "&amp;E2793&amp;" ("&amp;LEFT(H2793,5)&amp;"-"&amp;LEFT(I2793,5)&amp;" hrs)"</f>
        <v>LIM-TPP-LIM   LA 2087 (14:10-15:35 hrs)  /  LA 2088 (16:10-17:30 hrs)</v>
      </c>
    </row>
    <row r="2794" spans="2:24" x14ac:dyDescent="0.25">
      <c r="J2794" s="7" t="s">
        <v>43</v>
      </c>
      <c r="K2794" s="8" t="str">
        <f>TEXT(TIMEVALUE(I2793)-TIMEVALUE(H2790)+(I2793&lt;H2790),"[h]:mm")</f>
        <v>8:15</v>
      </c>
    </row>
    <row r="2796" spans="2:24" ht="30" x14ac:dyDescent="0.25">
      <c r="B2796" s="3" t="s">
        <v>9</v>
      </c>
      <c r="C2796" s="3" t="s">
        <v>17</v>
      </c>
      <c r="D2796" s="3" t="s">
        <v>18</v>
      </c>
      <c r="E2796" s="3" t="s">
        <v>19</v>
      </c>
      <c r="F2796" s="3" t="s">
        <v>20</v>
      </c>
      <c r="G2796" s="3" t="s">
        <v>21</v>
      </c>
      <c r="H2796" s="3" t="s">
        <v>22</v>
      </c>
      <c r="I2796" s="3" t="s">
        <v>23</v>
      </c>
      <c r="J2796" s="3" t="s">
        <v>24</v>
      </c>
      <c r="K2796" s="3" t="s">
        <v>25</v>
      </c>
      <c r="L2796" s="3" t="s">
        <v>26</v>
      </c>
    </row>
    <row r="2797" spans="2:24" ht="30" x14ac:dyDescent="0.25">
      <c r="B2797" s="4">
        <v>2639</v>
      </c>
      <c r="C2797" s="4" t="s">
        <v>228</v>
      </c>
      <c r="D2797" s="4" t="s">
        <v>119</v>
      </c>
      <c r="E2797" s="4">
        <v>2015</v>
      </c>
      <c r="F2797" s="4" t="s">
        <v>29</v>
      </c>
      <c r="G2797" s="4" t="s">
        <v>125</v>
      </c>
      <c r="H2797" s="4" t="s">
        <v>169</v>
      </c>
      <c r="I2797" s="4" t="s">
        <v>170</v>
      </c>
      <c r="J2797" s="4">
        <v>320</v>
      </c>
      <c r="L2797" s="4" t="s">
        <v>47</v>
      </c>
      <c r="M2797" s="5"/>
      <c r="O2797" s="5"/>
      <c r="Q2797" s="4">
        <f>B2797</f>
        <v>2639</v>
      </c>
      <c r="R2797" s="4" t="str">
        <f>C2797</f>
        <v>31/10/2026</v>
      </c>
      <c r="S2797" s="4" t="str">
        <f>D2797</f>
        <v>sábado</v>
      </c>
      <c r="T2797" s="4" t="str">
        <f>E2797&amp;"/"&amp;E2798</f>
        <v>2015/2016</v>
      </c>
      <c r="U2797" s="4" t="str">
        <f>F2797&amp;"-"&amp;G2797&amp;"-"&amp;F2797</f>
        <v>LIM-PIU-LIM</v>
      </c>
      <c r="V2797" s="4" t="str">
        <f>IF($M$2797="","",$M$2797)</f>
        <v/>
      </c>
      <c r="W2797" s="4" t="str">
        <f>IF($O$2797="","",$O$2797)</f>
        <v/>
      </c>
      <c r="X2797" s="4">
        <f>J2797</f>
        <v>320</v>
      </c>
    </row>
    <row r="2798" spans="2:24" ht="30" x14ac:dyDescent="0.25">
      <c r="B2798" s="4">
        <v>2639</v>
      </c>
      <c r="C2798" s="4" t="s">
        <v>228</v>
      </c>
      <c r="D2798" s="4" t="s">
        <v>119</v>
      </c>
      <c r="E2798" s="4">
        <v>2016</v>
      </c>
      <c r="F2798" s="4" t="s">
        <v>125</v>
      </c>
      <c r="G2798" s="4" t="s">
        <v>29</v>
      </c>
      <c r="H2798" s="4" t="s">
        <v>171</v>
      </c>
      <c r="I2798" s="4" t="s">
        <v>87</v>
      </c>
      <c r="J2798" s="4">
        <v>320</v>
      </c>
      <c r="K2798" t="str">
        <f>TEXT(TIMEVALUE(H2798)-TIMEVALUE(I2797)+(TIMEVALUE(H2798)&lt;TIMEVALUE(I2797)),"[h]:mm")</f>
        <v>0:40</v>
      </c>
      <c r="L2798" s="4" t="s">
        <v>36</v>
      </c>
      <c r="O2798" t="str">
        <f>"LIM-"&amp;G2797&amp;"-LIM   LA "&amp;E2797&amp;" ("&amp;LEFT(H2797,5)&amp;"-"&amp;LEFT(I2797,5)&amp;" hrs)  /  LA "&amp;E2798&amp;" ("&amp;LEFT(H2798,5)&amp;"-"&amp;LEFT(I2798,5)&amp;" hrs)"</f>
        <v>LIM-PIU-LIM   LA 2015 (10:55-12:40 hrs)  /  LA 2016 (13:20-14:55 hrs)</v>
      </c>
    </row>
    <row r="2799" spans="2:24" ht="30" x14ac:dyDescent="0.25">
      <c r="B2799" s="4">
        <v>2673</v>
      </c>
      <c r="C2799" s="4" t="s">
        <v>228</v>
      </c>
      <c r="D2799" s="4" t="s">
        <v>119</v>
      </c>
      <c r="E2799" s="4">
        <v>2301</v>
      </c>
      <c r="F2799" s="4" t="s">
        <v>29</v>
      </c>
      <c r="G2799" s="4" t="s">
        <v>91</v>
      </c>
      <c r="H2799" s="4" t="s">
        <v>41</v>
      </c>
      <c r="I2799" s="4" t="s">
        <v>53</v>
      </c>
      <c r="J2799" s="4">
        <v>320</v>
      </c>
      <c r="K2799" s="6" t="str">
        <f>TEXT(TIMEVALUE(H2799)-TIMEVALUE(I2798)+(TIMEVALUE(H2799)&lt;TIMEVALUE(I2798)),"[h]:mm")</f>
        <v>1:00</v>
      </c>
      <c r="L2799" s="4" t="s">
        <v>93</v>
      </c>
      <c r="M2799" t="str">
        <f>IF($M$2797="","",$M$2797)</f>
        <v/>
      </c>
      <c r="O2799" t="str">
        <f>IF($O$2797="","",$O$2797)</f>
        <v/>
      </c>
      <c r="Q2799" s="4">
        <f>B2799</f>
        <v>2673</v>
      </c>
      <c r="R2799" s="4" t="str">
        <f>C2799</f>
        <v>31/10/2026</v>
      </c>
      <c r="S2799" s="4" t="str">
        <f>D2799</f>
        <v>sábado</v>
      </c>
      <c r="T2799" s="4" t="str">
        <f>E2799&amp;"/"&amp;E2800</f>
        <v>2301/2300</v>
      </c>
      <c r="U2799" s="4" t="str">
        <f>F2799&amp;"-"&amp;G2799&amp;"-"&amp;F2799</f>
        <v>LIM-TPP-LIM</v>
      </c>
      <c r="V2799" s="4" t="str">
        <f>IF($M$2797="","",$M$2797)</f>
        <v/>
      </c>
      <c r="W2799" s="4" t="str">
        <f>IF($O$2797="","",$O$2797)</f>
        <v/>
      </c>
      <c r="X2799" s="4">
        <f>J2799</f>
        <v>320</v>
      </c>
    </row>
    <row r="2800" spans="2:24" ht="30" x14ac:dyDescent="0.25">
      <c r="B2800" s="4">
        <v>2673</v>
      </c>
      <c r="C2800" s="4" t="s">
        <v>228</v>
      </c>
      <c r="D2800" s="4" t="s">
        <v>119</v>
      </c>
      <c r="E2800" s="4">
        <v>2300</v>
      </c>
      <c r="F2800" s="4" t="s">
        <v>91</v>
      </c>
      <c r="G2800" s="4" t="s">
        <v>29</v>
      </c>
      <c r="H2800" s="4" t="s">
        <v>111</v>
      </c>
      <c r="I2800" s="4" t="s">
        <v>79</v>
      </c>
      <c r="J2800" s="4">
        <v>320</v>
      </c>
      <c r="K2800" t="str">
        <f>TEXT(TIMEVALUE(H2800)-TIMEVALUE(I2799)+(TIMEVALUE(H2800)&lt;TIMEVALUE(I2799)),"[h]:mm")</f>
        <v>0:55</v>
      </c>
      <c r="L2800" s="4" t="s">
        <v>93</v>
      </c>
      <c r="O2800" t="str">
        <f>"LIM-"&amp;G2799&amp;"-LIM   LA "&amp;E2799&amp;" ("&amp;LEFT(H2799,5)&amp;"-"&amp;LEFT(I2799,5)&amp;" hrs)  /  LA "&amp;E2800&amp;" ("&amp;LEFT(H2800,5)&amp;"-"&amp;LEFT(I2800,5)&amp;" hrs)"</f>
        <v>LIM-TPP-LIM   LA 2301 (15:55-17:20 hrs)  /  LA 2300 (18:15-19:40 hrs)</v>
      </c>
    </row>
    <row r="2801" spans="2:24" x14ac:dyDescent="0.25">
      <c r="J2801" s="7" t="s">
        <v>43</v>
      </c>
      <c r="K2801" s="8" t="str">
        <f>TEXT(TIMEVALUE(I2800)-TIMEVALUE(H2797)+(I2800&lt;H2797),"[h]:mm")</f>
        <v>8:45</v>
      </c>
    </row>
    <row r="2803" spans="2:24" ht="30" x14ac:dyDescent="0.25">
      <c r="B2803" s="3" t="s">
        <v>9</v>
      </c>
      <c r="C2803" s="3" t="s">
        <v>17</v>
      </c>
      <c r="D2803" s="3" t="s">
        <v>18</v>
      </c>
      <c r="E2803" s="3" t="s">
        <v>19</v>
      </c>
      <c r="F2803" s="3" t="s">
        <v>20</v>
      </c>
      <c r="G2803" s="3" t="s">
        <v>21</v>
      </c>
      <c r="H2803" s="3" t="s">
        <v>22</v>
      </c>
      <c r="I2803" s="3" t="s">
        <v>23</v>
      </c>
      <c r="J2803" s="3" t="s">
        <v>24</v>
      </c>
      <c r="K2803" s="3" t="s">
        <v>25</v>
      </c>
      <c r="L2803" s="3" t="s">
        <v>26</v>
      </c>
    </row>
    <row r="2804" spans="2:24" ht="30" x14ac:dyDescent="0.25">
      <c r="B2804" s="4">
        <v>2643</v>
      </c>
      <c r="C2804" s="4" t="s">
        <v>228</v>
      </c>
      <c r="D2804" s="4" t="s">
        <v>119</v>
      </c>
      <c r="E2804" s="4">
        <v>2111</v>
      </c>
      <c r="F2804" s="4" t="s">
        <v>29</v>
      </c>
      <c r="G2804" s="4" t="s">
        <v>56</v>
      </c>
      <c r="H2804" s="4" t="s">
        <v>103</v>
      </c>
      <c r="I2804" s="4" t="s">
        <v>104</v>
      </c>
      <c r="J2804" s="4">
        <v>320</v>
      </c>
      <c r="L2804" s="4" t="s">
        <v>40</v>
      </c>
      <c r="M2804" s="5"/>
      <c r="O2804" s="5"/>
      <c r="Q2804" s="4">
        <f>B2804</f>
        <v>2643</v>
      </c>
      <c r="R2804" s="4" t="str">
        <f>C2804</f>
        <v>31/10/2026</v>
      </c>
      <c r="S2804" s="4" t="str">
        <f>D2804</f>
        <v>sábado</v>
      </c>
      <c r="T2804" s="4" t="str">
        <f>E2804&amp;"/"&amp;E2805</f>
        <v>2111/2110</v>
      </c>
      <c r="U2804" s="4" t="str">
        <f>F2804&amp;"-"&amp;G2804&amp;"-"&amp;F2804</f>
        <v>LIM-AQP-LIM</v>
      </c>
      <c r="V2804" s="4" t="str">
        <f>IF($M$2804="","",$M$2804)</f>
        <v/>
      </c>
      <c r="W2804" s="4" t="str">
        <f>IF($O$2804="","",$O$2804)</f>
        <v/>
      </c>
      <c r="X2804" s="4">
        <f>J2804</f>
        <v>320</v>
      </c>
    </row>
    <row r="2805" spans="2:24" ht="30" x14ac:dyDescent="0.25">
      <c r="B2805" s="4">
        <v>2643</v>
      </c>
      <c r="C2805" s="4" t="s">
        <v>228</v>
      </c>
      <c r="D2805" s="4" t="s">
        <v>119</v>
      </c>
      <c r="E2805" s="4">
        <v>2110</v>
      </c>
      <c r="F2805" s="4" t="s">
        <v>56</v>
      </c>
      <c r="G2805" s="4" t="s">
        <v>29</v>
      </c>
      <c r="H2805" s="4" t="s">
        <v>99</v>
      </c>
      <c r="I2805" s="4" t="s">
        <v>39</v>
      </c>
      <c r="J2805" s="4">
        <v>320</v>
      </c>
      <c r="K2805" t="str">
        <f>TEXT(TIMEVALUE(H2805)-TIMEVALUE(I2804)+(TIMEVALUE(H2805)&lt;TIMEVALUE(I2804)),"[h]:mm")</f>
        <v>0:35</v>
      </c>
      <c r="L2805" s="4" t="s">
        <v>36</v>
      </c>
      <c r="O2805" t="str">
        <f>"LIM-"&amp;G2804&amp;"-LIM   LA "&amp;E2804&amp;" ("&amp;LEFT(H2804,5)&amp;"-"&amp;LEFT(I2804,5)&amp;" hrs)  /  LA "&amp;E2805&amp;" ("&amp;LEFT(H2805,5)&amp;"-"&amp;LEFT(I2805,5)&amp;" hrs)"</f>
        <v>LIM-AQP-LIM   LA 2111 (11:40-13:10 hrs)  /  LA 2110 (13:45-15:20 hrs)</v>
      </c>
    </row>
    <row r="2806" spans="2:24" x14ac:dyDescent="0.25">
      <c r="J2806" s="7" t="s">
        <v>43</v>
      </c>
      <c r="K2806" s="8" t="str">
        <f>TEXT(TIMEVALUE(I2805)-TIMEVALUE(H2804)+(I2805&lt;H2804),"[h]:mm")</f>
        <v>3:40</v>
      </c>
    </row>
    <row r="2808" spans="2:24" ht="30" x14ac:dyDescent="0.25">
      <c r="B2808" s="3" t="s">
        <v>9</v>
      </c>
      <c r="C2808" s="3" t="s">
        <v>17</v>
      </c>
      <c r="D2808" s="3" t="s">
        <v>18</v>
      </c>
      <c r="E2808" s="3" t="s">
        <v>19</v>
      </c>
      <c r="F2808" s="3" t="s">
        <v>20</v>
      </c>
      <c r="G2808" s="3" t="s">
        <v>21</v>
      </c>
      <c r="H2808" s="3" t="s">
        <v>22</v>
      </c>
      <c r="I2808" s="3" t="s">
        <v>23</v>
      </c>
      <c r="J2808" s="3" t="s">
        <v>24</v>
      </c>
      <c r="K2808" s="3" t="s">
        <v>25</v>
      </c>
      <c r="L2808" s="3" t="s">
        <v>26</v>
      </c>
    </row>
    <row r="2809" spans="2:24" ht="30" x14ac:dyDescent="0.25">
      <c r="B2809" s="4">
        <v>2647</v>
      </c>
      <c r="C2809" s="4" t="s">
        <v>228</v>
      </c>
      <c r="D2809" s="4" t="s">
        <v>119</v>
      </c>
      <c r="E2809" s="4">
        <v>2023</v>
      </c>
      <c r="F2809" s="4" t="s">
        <v>29</v>
      </c>
      <c r="G2809" s="4" t="s">
        <v>44</v>
      </c>
      <c r="H2809" s="4" t="s">
        <v>172</v>
      </c>
      <c r="I2809" s="4" t="s">
        <v>82</v>
      </c>
      <c r="J2809" s="4">
        <v>320</v>
      </c>
      <c r="L2809" s="4" t="s">
        <v>71</v>
      </c>
      <c r="M2809" s="5"/>
      <c r="O2809" s="5"/>
      <c r="Q2809" s="4">
        <f>B2809</f>
        <v>2647</v>
      </c>
      <c r="R2809" s="4" t="str">
        <f>C2809</f>
        <v>31/10/2026</v>
      </c>
      <c r="S2809" s="4" t="str">
        <f>D2809</f>
        <v>sábado</v>
      </c>
      <c r="T2809" s="4" t="str">
        <f>E2809&amp;"/"&amp;E2810</f>
        <v>2023/2024</v>
      </c>
      <c r="U2809" s="4" t="str">
        <f>F2809&amp;"-"&amp;G2809&amp;"-"&amp;F2809</f>
        <v>LIM-PEM-LIM</v>
      </c>
      <c r="V2809" s="4" t="str">
        <f>IF($M$2809="","",$M$2809)</f>
        <v/>
      </c>
      <c r="W2809" s="4" t="str">
        <f>IF($O$2809="","",$O$2809)</f>
        <v/>
      </c>
      <c r="X2809" s="4">
        <f>J2809</f>
        <v>320</v>
      </c>
    </row>
    <row r="2810" spans="2:24" ht="30" x14ac:dyDescent="0.25">
      <c r="B2810" s="4">
        <v>2647</v>
      </c>
      <c r="C2810" s="4" t="s">
        <v>228</v>
      </c>
      <c r="D2810" s="4" t="s">
        <v>119</v>
      </c>
      <c r="E2810" s="4">
        <v>2024</v>
      </c>
      <c r="F2810" s="4" t="s">
        <v>44</v>
      </c>
      <c r="G2810" s="4" t="s">
        <v>29</v>
      </c>
      <c r="H2810" s="4" t="s">
        <v>145</v>
      </c>
      <c r="I2810" s="4" t="s">
        <v>83</v>
      </c>
      <c r="J2810" s="4">
        <v>320</v>
      </c>
      <c r="K2810" t="str">
        <f>TEXT(TIMEVALUE(H2810)-TIMEVALUE(I2809)+(TIMEVALUE(H2810)&lt;TIMEVALUE(I2809)),"[h]:mm")</f>
        <v>0:40</v>
      </c>
      <c r="L2810" s="4" t="s">
        <v>36</v>
      </c>
      <c r="O2810" t="str">
        <f>"LIM-"&amp;G2809&amp;"-LIM   LA "&amp;E2809&amp;" ("&amp;LEFT(H2809,5)&amp;"-"&amp;LEFT(I2809,5)&amp;" hrs)  /  LA "&amp;E2810&amp;" ("&amp;LEFT(H2810,5)&amp;"-"&amp;LEFT(I2810,5)&amp;" hrs)"</f>
        <v>LIM-PEM-LIM   LA 2023 (12:15-13:55 hrs)  /  LA 2024 (14:35-16:10 hrs)</v>
      </c>
    </row>
    <row r="2811" spans="2:24" x14ac:dyDescent="0.25">
      <c r="J2811" s="7" t="s">
        <v>43</v>
      </c>
      <c r="K2811" s="8" t="str">
        <f>TEXT(TIMEVALUE(I2810)-TIMEVALUE(H2809)+(I2810&lt;H2809),"[h]:mm")</f>
        <v>3:55</v>
      </c>
    </row>
    <row r="2813" spans="2:24" ht="30" x14ac:dyDescent="0.25">
      <c r="B2813" s="3" t="s">
        <v>9</v>
      </c>
      <c r="C2813" s="3" t="s">
        <v>17</v>
      </c>
      <c r="D2813" s="3" t="s">
        <v>18</v>
      </c>
      <c r="E2813" s="3" t="s">
        <v>19</v>
      </c>
      <c r="F2813" s="3" t="s">
        <v>20</v>
      </c>
      <c r="G2813" s="3" t="s">
        <v>21</v>
      </c>
      <c r="H2813" s="3" t="s">
        <v>22</v>
      </c>
      <c r="I2813" s="3" t="s">
        <v>23</v>
      </c>
      <c r="J2813" s="3" t="s">
        <v>24</v>
      </c>
      <c r="K2813" s="3" t="s">
        <v>25</v>
      </c>
      <c r="L2813" s="3" t="s">
        <v>26</v>
      </c>
    </row>
    <row r="2814" spans="2:24" ht="30" x14ac:dyDescent="0.25">
      <c r="B2814" s="4">
        <v>2648</v>
      </c>
      <c r="C2814" s="4" t="s">
        <v>228</v>
      </c>
      <c r="D2814" s="4" t="s">
        <v>119</v>
      </c>
      <c r="E2814" s="4">
        <v>2356</v>
      </c>
      <c r="F2814" s="4" t="s">
        <v>29</v>
      </c>
      <c r="G2814" s="4" t="s">
        <v>30</v>
      </c>
      <c r="H2814" s="4" t="s">
        <v>217</v>
      </c>
      <c r="I2814" s="4" t="s">
        <v>99</v>
      </c>
      <c r="J2814" s="4">
        <v>319</v>
      </c>
      <c r="L2814" s="4" t="s">
        <v>93</v>
      </c>
      <c r="M2814" s="5"/>
      <c r="O2814" s="5"/>
      <c r="Q2814" s="4">
        <f>B2814</f>
        <v>2648</v>
      </c>
      <c r="R2814" s="4" t="str">
        <f>C2814</f>
        <v>31/10/2026</v>
      </c>
      <c r="S2814" s="4" t="str">
        <f>D2814</f>
        <v>sábado</v>
      </c>
      <c r="T2814" s="4" t="str">
        <f>E2814&amp;"/"&amp;E2815</f>
        <v>2356/2357</v>
      </c>
      <c r="U2814" s="4" t="str">
        <f>F2814&amp;"-"&amp;G2814&amp;"-"&amp;F2814</f>
        <v>LIM-CUZ-LIM</v>
      </c>
      <c r="V2814" s="4" t="str">
        <f>IF($M$2814="","",$M$2814)</f>
        <v/>
      </c>
      <c r="W2814" s="4" t="str">
        <f>IF($O$2814="","",$O$2814)</f>
        <v/>
      </c>
      <c r="X2814" s="4">
        <f>J2814</f>
        <v>319</v>
      </c>
    </row>
    <row r="2815" spans="2:24" ht="30" x14ac:dyDescent="0.25">
      <c r="B2815" s="4">
        <v>2648</v>
      </c>
      <c r="C2815" s="4" t="s">
        <v>228</v>
      </c>
      <c r="D2815" s="4" t="s">
        <v>119</v>
      </c>
      <c r="E2815" s="4">
        <v>2357</v>
      </c>
      <c r="F2815" s="4" t="s">
        <v>30</v>
      </c>
      <c r="G2815" s="4" t="s">
        <v>29</v>
      </c>
      <c r="H2815" s="4" t="s">
        <v>49</v>
      </c>
      <c r="I2815" s="4" t="s">
        <v>41</v>
      </c>
      <c r="J2815" s="4">
        <v>319</v>
      </c>
      <c r="K2815" t="str">
        <f>TEXT(TIMEVALUE(H2815)-TIMEVALUE(I2814)+(TIMEVALUE(H2815)&lt;TIMEVALUE(I2814)),"[h]:mm")</f>
        <v>0:35</v>
      </c>
      <c r="L2815" s="4" t="s">
        <v>36</v>
      </c>
      <c r="O2815" t="str">
        <f>"LIM-"&amp;G2814&amp;"-LIM   LA "&amp;E2814&amp;" ("&amp;LEFT(H2814,5)&amp;"-"&amp;LEFT(I2814,5)&amp;" hrs)  /  LA "&amp;E2815&amp;" ("&amp;LEFT(H2815,5)&amp;"-"&amp;LEFT(I2815,5)&amp;" hrs)"</f>
        <v>LIM-CUZ-LIM   LA 2356 (12:20-13:45 hrs)  /  LA 2357 (14:20-15:55 hrs)</v>
      </c>
    </row>
    <row r="2816" spans="2:24" x14ac:dyDescent="0.25">
      <c r="J2816" s="7" t="s">
        <v>43</v>
      </c>
      <c r="K2816" s="8" t="str">
        <f>TEXT(TIMEVALUE(I2815)-TIMEVALUE(H2814)+(I2815&lt;H2814),"[h]:mm")</f>
        <v>3:35</v>
      </c>
    </row>
    <row r="2818" spans="2:24" ht="30" x14ac:dyDescent="0.25">
      <c r="B2818" s="3" t="s">
        <v>9</v>
      </c>
      <c r="C2818" s="3" t="s">
        <v>17</v>
      </c>
      <c r="D2818" s="3" t="s">
        <v>18</v>
      </c>
      <c r="E2818" s="3" t="s">
        <v>19</v>
      </c>
      <c r="F2818" s="3" t="s">
        <v>20</v>
      </c>
      <c r="G2818" s="3" t="s">
        <v>21</v>
      </c>
      <c r="H2818" s="3" t="s">
        <v>22</v>
      </c>
      <c r="I2818" s="3" t="s">
        <v>23</v>
      </c>
      <c r="J2818" s="3" t="s">
        <v>24</v>
      </c>
      <c r="K2818" s="3" t="s">
        <v>25</v>
      </c>
      <c r="L2818" s="3" t="s">
        <v>26</v>
      </c>
    </row>
    <row r="2819" spans="2:24" ht="30" x14ac:dyDescent="0.25">
      <c r="B2819" s="4">
        <v>2651</v>
      </c>
      <c r="C2819" s="4" t="s">
        <v>228</v>
      </c>
      <c r="D2819" s="4" t="s">
        <v>119</v>
      </c>
      <c r="E2819" s="4">
        <v>2120</v>
      </c>
      <c r="F2819" s="4" t="s">
        <v>29</v>
      </c>
      <c r="G2819" s="4" t="s">
        <v>30</v>
      </c>
      <c r="H2819" s="4" t="s">
        <v>48</v>
      </c>
      <c r="I2819" s="4" t="s">
        <v>110</v>
      </c>
      <c r="J2819" s="4">
        <v>320</v>
      </c>
      <c r="L2819" s="4" t="s">
        <v>93</v>
      </c>
      <c r="M2819" s="5"/>
      <c r="O2819" s="5"/>
      <c r="Q2819" s="4">
        <f>B2819</f>
        <v>2651</v>
      </c>
      <c r="R2819" s="4" t="str">
        <f>C2819</f>
        <v>31/10/2026</v>
      </c>
      <c r="S2819" s="4" t="str">
        <f>D2819</f>
        <v>sábado</v>
      </c>
      <c r="T2819" s="4" t="str">
        <f>E2819&amp;"/"&amp;E2820</f>
        <v>2120/2121</v>
      </c>
      <c r="U2819" s="4" t="str">
        <f>F2819&amp;"-"&amp;G2819&amp;"-"&amp;F2819</f>
        <v>LIM-CUZ-LIM</v>
      </c>
      <c r="V2819" s="4" t="str">
        <f>IF($M$2819="","",$M$2819)</f>
        <v/>
      </c>
      <c r="W2819" s="4" t="str">
        <f>IF($O$2819="","",$O$2819)</f>
        <v/>
      </c>
      <c r="X2819" s="4">
        <f>J2819</f>
        <v>320</v>
      </c>
    </row>
    <row r="2820" spans="2:24" ht="30" x14ac:dyDescent="0.25">
      <c r="B2820" s="4">
        <v>2651</v>
      </c>
      <c r="C2820" s="4" t="s">
        <v>228</v>
      </c>
      <c r="D2820" s="4" t="s">
        <v>119</v>
      </c>
      <c r="E2820" s="4">
        <v>2121</v>
      </c>
      <c r="F2820" s="4" t="s">
        <v>30</v>
      </c>
      <c r="G2820" s="4" t="s">
        <v>29</v>
      </c>
      <c r="H2820" s="4" t="s">
        <v>75</v>
      </c>
      <c r="I2820" s="4" t="s">
        <v>210</v>
      </c>
      <c r="J2820" s="4">
        <v>320</v>
      </c>
      <c r="K2820" t="str">
        <f>TEXT(TIMEVALUE(H2820)-TIMEVALUE(I2819)+(TIMEVALUE(H2820)&lt;TIMEVALUE(I2819)),"[h]:mm")</f>
        <v>0:35</v>
      </c>
      <c r="L2820" s="4" t="s">
        <v>36</v>
      </c>
      <c r="O2820" t="str">
        <f>"LIM-"&amp;G2819&amp;"-LIM   LA "&amp;E2819&amp;" ("&amp;LEFT(H2819,5)&amp;"-"&amp;LEFT(I2819,5)&amp;" hrs)  /  LA "&amp;E2820&amp;" ("&amp;LEFT(H2820,5)&amp;"-"&amp;LEFT(I2820,5)&amp;" hrs)"</f>
        <v>LIM-CUZ-LIM   LA 2120 (12:45-14:10 hrs)  /  LA 2121 (14:45-16:20 hrs)</v>
      </c>
    </row>
    <row r="2821" spans="2:24" x14ac:dyDescent="0.25">
      <c r="J2821" s="7" t="s">
        <v>43</v>
      </c>
      <c r="K2821" s="8" t="str">
        <f>TEXT(TIMEVALUE(I2820)-TIMEVALUE(H2819)+(I2820&lt;H2819),"[h]:mm")</f>
        <v>3:35</v>
      </c>
    </row>
    <row r="2823" spans="2:24" ht="30" x14ac:dyDescent="0.25">
      <c r="B2823" s="3" t="s">
        <v>9</v>
      </c>
      <c r="C2823" s="3" t="s">
        <v>17</v>
      </c>
      <c r="D2823" s="3" t="s">
        <v>18</v>
      </c>
      <c r="E2823" s="3" t="s">
        <v>19</v>
      </c>
      <c r="F2823" s="3" t="s">
        <v>20</v>
      </c>
      <c r="G2823" s="3" t="s">
        <v>21</v>
      </c>
      <c r="H2823" s="3" t="s">
        <v>22</v>
      </c>
      <c r="I2823" s="3" t="s">
        <v>23</v>
      </c>
      <c r="J2823" s="3" t="s">
        <v>24</v>
      </c>
      <c r="K2823" s="3" t="s">
        <v>25</v>
      </c>
      <c r="L2823" s="3" t="s">
        <v>26</v>
      </c>
    </row>
    <row r="2824" spans="2:24" ht="30" x14ac:dyDescent="0.25">
      <c r="B2824" s="4">
        <v>2656</v>
      </c>
      <c r="C2824" s="4" t="s">
        <v>228</v>
      </c>
      <c r="D2824" s="4" t="s">
        <v>119</v>
      </c>
      <c r="E2824" s="4">
        <v>2043</v>
      </c>
      <c r="F2824" s="4" t="s">
        <v>29</v>
      </c>
      <c r="G2824" s="4" t="s">
        <v>56</v>
      </c>
      <c r="H2824" s="4" t="s">
        <v>142</v>
      </c>
      <c r="I2824" s="4" t="s">
        <v>145</v>
      </c>
      <c r="J2824" s="4">
        <v>320</v>
      </c>
      <c r="L2824" s="4" t="s">
        <v>40</v>
      </c>
      <c r="M2824" s="5"/>
      <c r="O2824" s="5"/>
      <c r="Q2824" s="4">
        <f>B2824</f>
        <v>2656</v>
      </c>
      <c r="R2824" s="4" t="str">
        <f>C2824</f>
        <v>31/10/2026</v>
      </c>
      <c r="S2824" s="4" t="str">
        <f>D2824</f>
        <v>sábado</v>
      </c>
      <c r="T2824" s="4" t="str">
        <f>E2824&amp;"/"&amp;E2825</f>
        <v>2043/2044</v>
      </c>
      <c r="U2824" s="4" t="str">
        <f>F2824&amp;"-"&amp;G2824&amp;"-"&amp;F2824</f>
        <v>LIM-AQP-LIM</v>
      </c>
      <c r="V2824" s="4" t="str">
        <f>IF($M$2824="","",$M$2824)</f>
        <v/>
      </c>
      <c r="W2824" s="4" t="str">
        <f>IF($O$2824="","",$O$2824)</f>
        <v/>
      </c>
      <c r="X2824" s="4">
        <f>J2824</f>
        <v>320</v>
      </c>
    </row>
    <row r="2825" spans="2:24" ht="30" x14ac:dyDescent="0.25">
      <c r="B2825" s="4">
        <v>2656</v>
      </c>
      <c r="C2825" s="4" t="s">
        <v>228</v>
      </c>
      <c r="D2825" s="4" t="s">
        <v>119</v>
      </c>
      <c r="E2825" s="4">
        <v>2044</v>
      </c>
      <c r="F2825" s="4" t="s">
        <v>56</v>
      </c>
      <c r="G2825" s="4" t="s">
        <v>29</v>
      </c>
      <c r="H2825" s="4" t="s">
        <v>146</v>
      </c>
      <c r="I2825" s="4" t="s">
        <v>86</v>
      </c>
      <c r="J2825" s="4">
        <v>320</v>
      </c>
      <c r="K2825" t="str">
        <f>TEXT(TIMEVALUE(H2825)-TIMEVALUE(I2824)+(TIMEVALUE(H2825)&lt;TIMEVALUE(I2824)),"[h]:mm")</f>
        <v>0:35</v>
      </c>
      <c r="L2825" s="4" t="s">
        <v>36</v>
      </c>
      <c r="O2825" t="str">
        <f>"LIM-"&amp;G2824&amp;"-LIM   LA "&amp;E2824&amp;" ("&amp;LEFT(H2824,5)&amp;"-"&amp;LEFT(I2824,5)&amp;" hrs)  /  LA "&amp;E2825&amp;" ("&amp;LEFT(H2825,5)&amp;"-"&amp;LEFT(I2825,5)&amp;" hrs)"</f>
        <v>LIM-AQP-LIM   LA 2043 (13:05-14:35 hrs)  /  LA 2044 (15:10-16:45 hrs)</v>
      </c>
    </row>
    <row r="2826" spans="2:24" ht="30" x14ac:dyDescent="0.25">
      <c r="B2826" s="4">
        <v>2675</v>
      </c>
      <c r="C2826" s="4" t="s">
        <v>228</v>
      </c>
      <c r="D2826" s="4" t="s">
        <v>119</v>
      </c>
      <c r="E2826" s="4">
        <v>2236</v>
      </c>
      <c r="F2826" s="4" t="s">
        <v>29</v>
      </c>
      <c r="G2826" s="4" t="s">
        <v>125</v>
      </c>
      <c r="H2826" s="4" t="s">
        <v>84</v>
      </c>
      <c r="I2826" s="4" t="s">
        <v>105</v>
      </c>
      <c r="J2826" s="4">
        <v>320</v>
      </c>
      <c r="K2826" s="6" t="str">
        <f>TEXT(TIMEVALUE(H2826)-TIMEVALUE(I2825)+(TIMEVALUE(H2826)&lt;TIMEVALUE(I2825)),"[h]:mm")</f>
        <v>1:05</v>
      </c>
      <c r="L2826" s="4" t="s">
        <v>71</v>
      </c>
      <c r="M2826" t="str">
        <f>IF($M$2824="","",$M$2824)</f>
        <v/>
      </c>
      <c r="O2826" t="str">
        <f>IF($O$2824="","",$O$2824)</f>
        <v/>
      </c>
      <c r="Q2826" s="4">
        <f>B2826</f>
        <v>2675</v>
      </c>
      <c r="R2826" s="4" t="str">
        <f>C2826</f>
        <v>31/10/2026</v>
      </c>
      <c r="S2826" s="4" t="str">
        <f>D2826</f>
        <v>sábado</v>
      </c>
      <c r="T2826" s="4" t="str">
        <f>E2826&amp;"/"&amp;E2827</f>
        <v>2236/2237</v>
      </c>
      <c r="U2826" s="4" t="str">
        <f>F2826&amp;"-"&amp;G2826&amp;"-"&amp;F2826</f>
        <v>LIM-PIU-LIM</v>
      </c>
      <c r="V2826" s="4" t="str">
        <f>IF($M$2824="","",$M$2824)</f>
        <v/>
      </c>
      <c r="W2826" s="4" t="str">
        <f>IF($O$2824="","",$O$2824)</f>
        <v/>
      </c>
      <c r="X2826" s="4">
        <f>J2826</f>
        <v>320</v>
      </c>
    </row>
    <row r="2827" spans="2:24" ht="30" x14ac:dyDescent="0.25">
      <c r="B2827" s="4">
        <v>2675</v>
      </c>
      <c r="C2827" s="4" t="s">
        <v>228</v>
      </c>
      <c r="D2827" s="4" t="s">
        <v>119</v>
      </c>
      <c r="E2827" s="4">
        <v>2237</v>
      </c>
      <c r="F2827" s="4" t="s">
        <v>125</v>
      </c>
      <c r="G2827" s="4" t="s">
        <v>29</v>
      </c>
      <c r="H2827" s="4" t="s">
        <v>122</v>
      </c>
      <c r="I2827" s="4" t="s">
        <v>114</v>
      </c>
      <c r="J2827" s="4">
        <v>320</v>
      </c>
      <c r="K2827" t="str">
        <f>TEXT(TIMEVALUE(H2827)-TIMEVALUE(I2826)+(TIMEVALUE(H2827)&lt;TIMEVALUE(I2826)),"[h]:mm")</f>
        <v>0:40</v>
      </c>
      <c r="L2827" s="4" t="s">
        <v>36</v>
      </c>
      <c r="O2827" t="str">
        <f>"LIM-"&amp;G2826&amp;"-LIM   LA "&amp;E2826&amp;" ("&amp;LEFT(H2826,5)&amp;"-"&amp;LEFT(I2826,5)&amp;" hrs)  /  LA "&amp;E2827&amp;" ("&amp;LEFT(H2827,5)&amp;"-"&amp;LEFT(I2827,5)&amp;" hrs)"</f>
        <v>LIM-PIU-LIM   LA 2236 (17:50-19:30 hrs)  /  LA 2237 (20:10-21:45 hrs)</v>
      </c>
    </row>
    <row r="2828" spans="2:24" x14ac:dyDescent="0.25">
      <c r="J2828" s="7" t="s">
        <v>43</v>
      </c>
      <c r="K2828" s="8" t="str">
        <f>TEXT(TIMEVALUE(I2827)-TIMEVALUE(H2824)+(I2827&lt;H2824),"[h]:mm")</f>
        <v>8:40</v>
      </c>
    </row>
    <row r="2830" spans="2:24" ht="30" x14ac:dyDescent="0.25">
      <c r="B2830" s="3" t="s">
        <v>9</v>
      </c>
      <c r="C2830" s="3" t="s">
        <v>17</v>
      </c>
      <c r="D2830" s="3" t="s">
        <v>18</v>
      </c>
      <c r="E2830" s="3" t="s">
        <v>19</v>
      </c>
      <c r="F2830" s="3" t="s">
        <v>20</v>
      </c>
      <c r="G2830" s="3" t="s">
        <v>21</v>
      </c>
      <c r="H2830" s="3" t="s">
        <v>22</v>
      </c>
      <c r="I2830" s="3" t="s">
        <v>23</v>
      </c>
      <c r="J2830" s="3" t="s">
        <v>24</v>
      </c>
      <c r="K2830" s="3" t="s">
        <v>25</v>
      </c>
      <c r="L2830" s="3" t="s">
        <v>26</v>
      </c>
    </row>
    <row r="2831" spans="2:24" ht="30" x14ac:dyDescent="0.25">
      <c r="B2831" s="4">
        <v>2660</v>
      </c>
      <c r="C2831" s="4" t="s">
        <v>228</v>
      </c>
      <c r="D2831" s="4" t="s">
        <v>119</v>
      </c>
      <c r="E2831" s="4">
        <v>2087</v>
      </c>
      <c r="F2831" s="4" t="s">
        <v>29</v>
      </c>
      <c r="G2831" s="4" t="s">
        <v>91</v>
      </c>
      <c r="H2831" s="4" t="s">
        <v>110</v>
      </c>
      <c r="I2831" s="4" t="s">
        <v>89</v>
      </c>
      <c r="J2831" s="4">
        <v>320</v>
      </c>
      <c r="L2831" s="4" t="s">
        <v>93</v>
      </c>
      <c r="M2831" s="5"/>
      <c r="O2831" s="5"/>
      <c r="Q2831" s="4">
        <f>B2831</f>
        <v>2660</v>
      </c>
      <c r="R2831" s="4" t="str">
        <f>C2831</f>
        <v>31/10/2026</v>
      </c>
      <c r="S2831" s="4" t="str">
        <f>D2831</f>
        <v>sábado</v>
      </c>
      <c r="T2831" s="4" t="str">
        <f>E2831&amp;"/"&amp;E2832</f>
        <v>2087/2088</v>
      </c>
      <c r="U2831" s="4" t="str">
        <f>F2831&amp;"-"&amp;G2831&amp;"-"&amp;F2831</f>
        <v>LIM-TPP-LIM</v>
      </c>
      <c r="V2831" s="4" t="str">
        <f>IF($M$2831="","",$M$2831)</f>
        <v/>
      </c>
      <c r="W2831" s="4" t="str">
        <f>IF($O$2831="","",$O$2831)</f>
        <v/>
      </c>
      <c r="X2831" s="4">
        <f>J2831</f>
        <v>320</v>
      </c>
    </row>
    <row r="2832" spans="2:24" ht="30" x14ac:dyDescent="0.25">
      <c r="B2832" s="4">
        <v>2660</v>
      </c>
      <c r="C2832" s="4" t="s">
        <v>228</v>
      </c>
      <c r="D2832" s="4" t="s">
        <v>119</v>
      </c>
      <c r="E2832" s="4">
        <v>2088</v>
      </c>
      <c r="F2832" s="4" t="s">
        <v>91</v>
      </c>
      <c r="G2832" s="4" t="s">
        <v>29</v>
      </c>
      <c r="H2832" s="4" t="s">
        <v>83</v>
      </c>
      <c r="I2832" s="4" t="s">
        <v>100</v>
      </c>
      <c r="J2832" s="4">
        <v>320</v>
      </c>
      <c r="K2832" t="str">
        <f>TEXT(TIMEVALUE(H2832)-TIMEVALUE(I2831)+(TIMEVALUE(H2832)&lt;TIMEVALUE(I2831)),"[h]:mm")</f>
        <v>0:35</v>
      </c>
      <c r="L2832" s="4" t="s">
        <v>33</v>
      </c>
      <c r="O2832" t="str">
        <f>"LIM-"&amp;G2831&amp;"-LIM   LA "&amp;E2831&amp;" ("&amp;LEFT(H2831,5)&amp;"-"&amp;LEFT(I2831,5)&amp;" hrs)  /  LA "&amp;E2832&amp;" ("&amp;LEFT(H2832,5)&amp;"-"&amp;LEFT(I2832,5)&amp;" hrs)"</f>
        <v>LIM-TPP-LIM   LA 2087 (14:10-15:35 hrs)  /  LA 2088 (16:10-17:30 hrs)</v>
      </c>
    </row>
    <row r="2833" spans="2:24" ht="30" x14ac:dyDescent="0.25">
      <c r="B2833" s="4">
        <v>2676</v>
      </c>
      <c r="C2833" s="4" t="s">
        <v>228</v>
      </c>
      <c r="D2833" s="4" t="s">
        <v>119</v>
      </c>
      <c r="E2833" s="4">
        <v>2091</v>
      </c>
      <c r="F2833" s="4" t="s">
        <v>29</v>
      </c>
      <c r="G2833" s="4" t="s">
        <v>91</v>
      </c>
      <c r="H2833" s="4" t="s">
        <v>62</v>
      </c>
      <c r="I2833" s="4" t="s">
        <v>176</v>
      </c>
      <c r="J2833" s="4">
        <v>320</v>
      </c>
      <c r="K2833" s="6" t="str">
        <f>TEXT(TIMEVALUE(H2833)-TIMEVALUE(I2832)+(TIMEVALUE(H2833)&lt;TIMEVALUE(I2832)),"[h]:mm")</f>
        <v>1:05</v>
      </c>
      <c r="L2833" s="4" t="s">
        <v>93</v>
      </c>
      <c r="M2833" t="str">
        <f>IF($M$2831="","",$M$2831)</f>
        <v/>
      </c>
      <c r="O2833" t="str">
        <f>IF($O$2831="","",$O$2831)</f>
        <v/>
      </c>
      <c r="Q2833" s="4">
        <f>B2833</f>
        <v>2676</v>
      </c>
      <c r="R2833" s="4" t="str">
        <f>C2833</f>
        <v>31/10/2026</v>
      </c>
      <c r="S2833" s="4" t="str">
        <f>D2833</f>
        <v>sábado</v>
      </c>
      <c r="T2833" s="4" t="str">
        <f>E2833&amp;"/"&amp;E2834</f>
        <v>2091/2092</v>
      </c>
      <c r="U2833" s="4" t="str">
        <f>F2833&amp;"-"&amp;G2833&amp;"-"&amp;F2833</f>
        <v>LIM-TPP-LIM</v>
      </c>
      <c r="V2833" s="4" t="str">
        <f>IF($M$2831="","",$M$2831)</f>
        <v/>
      </c>
      <c r="W2833" s="4" t="str">
        <f>IF($O$2831="","",$O$2831)</f>
        <v/>
      </c>
      <c r="X2833" s="4">
        <f>J2833</f>
        <v>320</v>
      </c>
    </row>
    <row r="2834" spans="2:24" ht="30" x14ac:dyDescent="0.25">
      <c r="B2834" s="4">
        <v>2676</v>
      </c>
      <c r="C2834" s="4" t="s">
        <v>228</v>
      </c>
      <c r="D2834" s="4" t="s">
        <v>119</v>
      </c>
      <c r="E2834" s="4">
        <v>2092</v>
      </c>
      <c r="F2834" s="4" t="s">
        <v>91</v>
      </c>
      <c r="G2834" s="4" t="s">
        <v>29</v>
      </c>
      <c r="H2834" s="4" t="s">
        <v>230</v>
      </c>
      <c r="I2834" s="4" t="s">
        <v>152</v>
      </c>
      <c r="J2834" s="4">
        <v>320</v>
      </c>
      <c r="K2834" t="str">
        <f>TEXT(TIMEVALUE(H2834)-TIMEVALUE(I2833)+(TIMEVALUE(H2834)&lt;TIMEVALUE(I2833)),"[h]:mm")</f>
        <v>0:55</v>
      </c>
      <c r="L2834" s="4" t="s">
        <v>93</v>
      </c>
      <c r="O2834" t="str">
        <f>"LIM-"&amp;G2833&amp;"-LIM   LA "&amp;E2833&amp;" ("&amp;LEFT(H2833,5)&amp;"-"&amp;LEFT(I2833,5)&amp;" hrs)  /  LA "&amp;E2834&amp;" ("&amp;LEFT(H2834,5)&amp;"-"&amp;LEFT(I2834,5)&amp;" hrs)"</f>
        <v>LIM-TPP-LIM   LA 2091 (18:35-20:00 hrs)  /  LA 2092 (20:55-22:20 hrs)</v>
      </c>
    </row>
    <row r="2835" spans="2:24" x14ac:dyDescent="0.25">
      <c r="J2835" s="7" t="s">
        <v>43</v>
      </c>
      <c r="K2835" s="8" t="str">
        <f>TEXT(TIMEVALUE(I2834)-TIMEVALUE(H2831)+(I2834&lt;H2831),"[h]:mm")</f>
        <v>8:10</v>
      </c>
    </row>
    <row r="2837" spans="2:24" ht="30" x14ac:dyDescent="0.25">
      <c r="B2837" s="3" t="s">
        <v>9</v>
      </c>
      <c r="C2837" s="3" t="s">
        <v>17</v>
      </c>
      <c r="D2837" s="3" t="s">
        <v>18</v>
      </c>
      <c r="E2837" s="3" t="s">
        <v>19</v>
      </c>
      <c r="F2837" s="3" t="s">
        <v>20</v>
      </c>
      <c r="G2837" s="3" t="s">
        <v>21</v>
      </c>
      <c r="H2837" s="3" t="s">
        <v>22</v>
      </c>
      <c r="I2837" s="3" t="s">
        <v>23</v>
      </c>
      <c r="J2837" s="3" t="s">
        <v>24</v>
      </c>
      <c r="K2837" s="3" t="s">
        <v>25</v>
      </c>
      <c r="L2837" s="3" t="s">
        <v>26</v>
      </c>
    </row>
    <row r="2838" spans="2:24" ht="30" x14ac:dyDescent="0.25">
      <c r="B2838" s="4">
        <v>2661</v>
      </c>
      <c r="C2838" s="4" t="s">
        <v>228</v>
      </c>
      <c r="D2838" s="4" t="s">
        <v>119</v>
      </c>
      <c r="E2838" s="4">
        <v>2295</v>
      </c>
      <c r="F2838" s="4" t="s">
        <v>29</v>
      </c>
      <c r="G2838" s="4" t="s">
        <v>50</v>
      </c>
      <c r="H2838" s="4" t="s">
        <v>107</v>
      </c>
      <c r="I2838" s="4" t="s">
        <v>92</v>
      </c>
      <c r="J2838" s="4">
        <v>320</v>
      </c>
      <c r="L2838" s="4" t="s">
        <v>93</v>
      </c>
      <c r="M2838" s="5"/>
      <c r="O2838" s="5"/>
      <c r="Q2838" s="4">
        <f>B2838</f>
        <v>2661</v>
      </c>
      <c r="R2838" s="4" t="str">
        <f>C2838</f>
        <v>31/10/2026</v>
      </c>
      <c r="S2838" s="4" t="str">
        <f>D2838</f>
        <v>sábado</v>
      </c>
      <c r="T2838" s="4" t="str">
        <f>E2838&amp;"/"&amp;E2839</f>
        <v>2295/2294</v>
      </c>
      <c r="U2838" s="4" t="str">
        <f>F2838&amp;"-"&amp;G2838&amp;"-"&amp;F2838</f>
        <v>LIM-CJA-LIM</v>
      </c>
      <c r="V2838" s="4" t="str">
        <f>IF($M$2838="","",$M$2838)</f>
        <v/>
      </c>
      <c r="W2838" s="4" t="str">
        <f>IF($O$2838="","",$O$2838)</f>
        <v/>
      </c>
      <c r="X2838" s="4">
        <f>J2838</f>
        <v>320</v>
      </c>
    </row>
    <row r="2839" spans="2:24" ht="30" x14ac:dyDescent="0.25">
      <c r="B2839" s="4">
        <v>2661</v>
      </c>
      <c r="C2839" s="4" t="s">
        <v>228</v>
      </c>
      <c r="D2839" s="4" t="s">
        <v>119</v>
      </c>
      <c r="E2839" s="4">
        <v>2294</v>
      </c>
      <c r="F2839" s="4" t="s">
        <v>50</v>
      </c>
      <c r="G2839" s="4" t="s">
        <v>29</v>
      </c>
      <c r="H2839" s="4" t="s">
        <v>210</v>
      </c>
      <c r="I2839" s="4" t="s">
        <v>100</v>
      </c>
      <c r="J2839" s="4">
        <v>320</v>
      </c>
      <c r="K2839" t="str">
        <f>TEXT(TIMEVALUE(H2839)-TIMEVALUE(I2838)+(TIMEVALUE(H2839)&lt;TIMEVALUE(I2838)),"[h]:mm")</f>
        <v>0:40</v>
      </c>
      <c r="L2839" s="4" t="s">
        <v>74</v>
      </c>
      <c r="O2839" t="str">
        <f>"LIM-"&amp;G2838&amp;"-LIM   LA "&amp;E2838&amp;" ("&amp;LEFT(H2838,5)&amp;"-"&amp;LEFT(I2838,5)&amp;" hrs)  /  LA "&amp;E2839&amp;" ("&amp;LEFT(H2839,5)&amp;"-"&amp;LEFT(I2839,5)&amp;" hrs)"</f>
        <v>LIM-CJA-LIM   LA 2295 (14:15-15:40 hrs)  /  LA 2294 (16:20-17:30 hrs)</v>
      </c>
    </row>
    <row r="2840" spans="2:24" x14ac:dyDescent="0.25">
      <c r="J2840" s="7" t="s">
        <v>43</v>
      </c>
      <c r="K2840" s="8" t="str">
        <f>TEXT(TIMEVALUE(I2839)-TIMEVALUE(H2838)+(I2839&lt;H2838),"[h]:mm")</f>
        <v>3:15</v>
      </c>
    </row>
    <row r="2842" spans="2:24" ht="30" x14ac:dyDescent="0.25">
      <c r="B2842" s="3" t="s">
        <v>9</v>
      </c>
      <c r="C2842" s="3" t="s">
        <v>17</v>
      </c>
      <c r="D2842" s="3" t="s">
        <v>18</v>
      </c>
      <c r="E2842" s="3" t="s">
        <v>19</v>
      </c>
      <c r="F2842" s="3" t="s">
        <v>20</v>
      </c>
      <c r="G2842" s="3" t="s">
        <v>21</v>
      </c>
      <c r="H2842" s="3" t="s">
        <v>22</v>
      </c>
      <c r="I2842" s="3" t="s">
        <v>23</v>
      </c>
      <c r="J2842" s="3" t="s">
        <v>24</v>
      </c>
      <c r="K2842" s="3" t="s">
        <v>25</v>
      </c>
      <c r="L2842" s="3" t="s">
        <v>26</v>
      </c>
    </row>
    <row r="2843" spans="2:24" ht="30" x14ac:dyDescent="0.25">
      <c r="B2843" s="4">
        <v>2662</v>
      </c>
      <c r="C2843" s="4" t="s">
        <v>228</v>
      </c>
      <c r="D2843" s="4" t="s">
        <v>119</v>
      </c>
      <c r="E2843" s="4">
        <v>2232</v>
      </c>
      <c r="F2843" s="4" t="s">
        <v>29</v>
      </c>
      <c r="G2843" s="4" t="s">
        <v>30</v>
      </c>
      <c r="H2843" s="4" t="s">
        <v>107</v>
      </c>
      <c r="I2843" s="4" t="s">
        <v>92</v>
      </c>
      <c r="J2843" s="4">
        <v>320</v>
      </c>
      <c r="L2843" s="4" t="s">
        <v>93</v>
      </c>
      <c r="M2843" s="5"/>
      <c r="O2843" s="5"/>
      <c r="Q2843" s="4">
        <f>B2843</f>
        <v>2662</v>
      </c>
      <c r="R2843" s="4" t="str">
        <f>C2843</f>
        <v>31/10/2026</v>
      </c>
      <c r="S2843" s="4" t="str">
        <f>D2843</f>
        <v>sábado</v>
      </c>
      <c r="T2843" s="4" t="str">
        <f>E2843&amp;"/"&amp;E2844</f>
        <v>2232/2233</v>
      </c>
      <c r="U2843" s="4" t="str">
        <f>F2843&amp;"-"&amp;G2843&amp;"-"&amp;F2843</f>
        <v>LIM-CUZ-LIM</v>
      </c>
      <c r="V2843" s="4" t="str">
        <f>IF($M$2843="","",$M$2843)</f>
        <v/>
      </c>
      <c r="W2843" s="4" t="str">
        <f>IF($O$2843="","",$O$2843)</f>
        <v/>
      </c>
      <c r="X2843" s="4">
        <f>J2843</f>
        <v>320</v>
      </c>
    </row>
    <row r="2844" spans="2:24" ht="30" x14ac:dyDescent="0.25">
      <c r="B2844" s="4">
        <v>2662</v>
      </c>
      <c r="C2844" s="4" t="s">
        <v>228</v>
      </c>
      <c r="D2844" s="4" t="s">
        <v>119</v>
      </c>
      <c r="E2844" s="4">
        <v>2233</v>
      </c>
      <c r="F2844" s="4" t="s">
        <v>30</v>
      </c>
      <c r="G2844" s="4" t="s">
        <v>29</v>
      </c>
      <c r="H2844" s="4" t="s">
        <v>198</v>
      </c>
      <c r="I2844" s="4" t="s">
        <v>156</v>
      </c>
      <c r="J2844" s="4">
        <v>320</v>
      </c>
      <c r="K2844" t="str">
        <f>TEXT(TIMEVALUE(H2844)-TIMEVALUE(I2843)+(TIMEVALUE(H2844)&lt;TIMEVALUE(I2843)),"[h]:mm")</f>
        <v>0:45</v>
      </c>
      <c r="L2844" s="4" t="s">
        <v>36</v>
      </c>
      <c r="O2844" t="str">
        <f>"LIM-"&amp;G2843&amp;"-LIM   LA "&amp;E2843&amp;" ("&amp;LEFT(H2843,5)&amp;"-"&amp;LEFT(I2843,5)&amp;" hrs)  /  LA "&amp;E2844&amp;" ("&amp;LEFT(H2844,5)&amp;"-"&amp;LEFT(I2844,5)&amp;" hrs)"</f>
        <v>LIM-CUZ-LIM   LA 2232 (14:15-15:40 hrs)  /  LA 2233 (16:25-18:00 hrs)</v>
      </c>
    </row>
    <row r="2845" spans="2:24" ht="30" x14ac:dyDescent="0.25">
      <c r="B2845" s="4">
        <v>2677</v>
      </c>
      <c r="C2845" s="4" t="s">
        <v>228</v>
      </c>
      <c r="D2845" s="4" t="s">
        <v>119</v>
      </c>
      <c r="E2845" s="4">
        <v>2326</v>
      </c>
      <c r="F2845" s="4" t="s">
        <v>29</v>
      </c>
      <c r="G2845" s="4" t="s">
        <v>56</v>
      </c>
      <c r="H2845" s="4" t="s">
        <v>94</v>
      </c>
      <c r="I2845" s="4" t="s">
        <v>193</v>
      </c>
      <c r="J2845" s="4">
        <v>320</v>
      </c>
      <c r="K2845" s="6" t="str">
        <f>TEXT(TIMEVALUE(H2845)-TIMEVALUE(I2844)+(TIMEVALUE(H2845)&lt;TIMEVALUE(I2844)),"[h]:mm")</f>
        <v>1:15</v>
      </c>
      <c r="L2845" s="4" t="s">
        <v>40</v>
      </c>
      <c r="M2845" t="str">
        <f>IF($M$2843="","",$M$2843)</f>
        <v/>
      </c>
      <c r="O2845" t="str">
        <f>IF($O$2843="","",$O$2843)</f>
        <v/>
      </c>
      <c r="Q2845" s="4">
        <f>B2845</f>
        <v>2677</v>
      </c>
      <c r="R2845" s="4" t="str">
        <f>C2845</f>
        <v>31/10/2026</v>
      </c>
      <c r="S2845" s="4" t="str">
        <f>D2845</f>
        <v>sábado</v>
      </c>
      <c r="T2845" s="4" t="str">
        <f>E2845&amp;"/"&amp;E2846</f>
        <v>2326/2012</v>
      </c>
      <c r="U2845" s="4" t="str">
        <f>F2845&amp;"-"&amp;G2845&amp;"-"&amp;F2845</f>
        <v>LIM-AQP-LIM</v>
      </c>
      <c r="V2845" s="4" t="str">
        <f>IF($M$2843="","",$M$2843)</f>
        <v/>
      </c>
      <c r="W2845" s="4" t="str">
        <f>IF($O$2843="","",$O$2843)</f>
        <v/>
      </c>
      <c r="X2845" s="4">
        <f>J2845</f>
        <v>320</v>
      </c>
    </row>
    <row r="2846" spans="2:24" ht="30" x14ac:dyDescent="0.25">
      <c r="B2846" s="4">
        <v>2677</v>
      </c>
      <c r="C2846" s="4" t="s">
        <v>228</v>
      </c>
      <c r="D2846" s="4" t="s">
        <v>119</v>
      </c>
      <c r="E2846" s="4">
        <v>2012</v>
      </c>
      <c r="F2846" s="4" t="s">
        <v>56</v>
      </c>
      <c r="G2846" s="4" t="s">
        <v>29</v>
      </c>
      <c r="H2846" s="4" t="s">
        <v>80</v>
      </c>
      <c r="I2846" s="4" t="s">
        <v>200</v>
      </c>
      <c r="J2846" s="4">
        <v>320</v>
      </c>
      <c r="K2846" t="str">
        <f>TEXT(TIMEVALUE(H2846)-TIMEVALUE(I2845)+(TIMEVALUE(H2846)&lt;TIMEVALUE(I2845)),"[h]:mm")</f>
        <v>0:35</v>
      </c>
      <c r="L2846" s="4" t="s">
        <v>71</v>
      </c>
      <c r="O2846" t="str">
        <f>"LIM-"&amp;G2845&amp;"-LIM   LA "&amp;E2845&amp;" ("&amp;LEFT(H2845,5)&amp;"-"&amp;LEFT(I2845,5)&amp;" hrs)  /  LA "&amp;E2846&amp;" ("&amp;LEFT(H2846,5)&amp;"-"&amp;LEFT(I2846,5)&amp;" hrs)"</f>
        <v>LIM-AQP-LIM   LA 2326 (19:15-20:45 hrs)  /  LA 2012 (21:20-23:00 hrs)</v>
      </c>
    </row>
    <row r="2847" spans="2:24" x14ac:dyDescent="0.25">
      <c r="J2847" s="7" t="s">
        <v>43</v>
      </c>
      <c r="K2847" s="8" t="str">
        <f>TEXT(TIMEVALUE(I2846)-TIMEVALUE(H2843)+(I2846&lt;H2843),"[h]:mm")</f>
        <v>8:45</v>
      </c>
    </row>
    <row r="2849" spans="2:24" ht="30" x14ac:dyDescent="0.25">
      <c r="B2849" s="3" t="s">
        <v>9</v>
      </c>
      <c r="C2849" s="3" t="s">
        <v>17</v>
      </c>
      <c r="D2849" s="3" t="s">
        <v>18</v>
      </c>
      <c r="E2849" s="3" t="s">
        <v>19</v>
      </c>
      <c r="F2849" s="3" t="s">
        <v>20</v>
      </c>
      <c r="G2849" s="3" t="s">
        <v>21</v>
      </c>
      <c r="H2849" s="3" t="s">
        <v>22</v>
      </c>
      <c r="I2849" s="3" t="s">
        <v>23</v>
      </c>
      <c r="J2849" s="3" t="s">
        <v>24</v>
      </c>
      <c r="K2849" s="3" t="s">
        <v>25</v>
      </c>
      <c r="L2849" s="3" t="s">
        <v>26</v>
      </c>
    </row>
    <row r="2850" spans="2:24" ht="30" x14ac:dyDescent="0.25">
      <c r="B2850" s="4">
        <v>2664</v>
      </c>
      <c r="C2850" s="4" t="s">
        <v>228</v>
      </c>
      <c r="D2850" s="4" t="s">
        <v>119</v>
      </c>
      <c r="E2850" s="4">
        <v>2338</v>
      </c>
      <c r="F2850" s="4" t="s">
        <v>29</v>
      </c>
      <c r="G2850" s="4" t="s">
        <v>125</v>
      </c>
      <c r="H2850" s="4" t="s">
        <v>87</v>
      </c>
      <c r="I2850" s="4" t="s">
        <v>60</v>
      </c>
      <c r="J2850" s="4">
        <v>320</v>
      </c>
      <c r="L2850" s="4" t="s">
        <v>47</v>
      </c>
      <c r="M2850" s="5"/>
      <c r="O2850" s="5"/>
      <c r="Q2850" s="4">
        <f>B2850</f>
        <v>2664</v>
      </c>
      <c r="R2850" s="4" t="str">
        <f>C2850</f>
        <v>31/10/2026</v>
      </c>
      <c r="S2850" s="4" t="str">
        <f>D2850</f>
        <v>sábado</v>
      </c>
      <c r="T2850" s="4" t="str">
        <f>E2850&amp;"/"&amp;E2851</f>
        <v>2338/2339</v>
      </c>
      <c r="U2850" s="4" t="str">
        <f>F2850&amp;"-"&amp;G2850&amp;"-"&amp;F2850</f>
        <v>LIM-PIU-LIM</v>
      </c>
      <c r="V2850" s="4" t="str">
        <f>IF($M$2850="","",$M$2850)</f>
        <v/>
      </c>
      <c r="W2850" s="4" t="str">
        <f>IF($O$2850="","",$O$2850)</f>
        <v/>
      </c>
      <c r="X2850" s="4">
        <f>J2850</f>
        <v>320</v>
      </c>
    </row>
    <row r="2851" spans="2:24" ht="30" x14ac:dyDescent="0.25">
      <c r="B2851" s="4">
        <v>2664</v>
      </c>
      <c r="C2851" s="4" t="s">
        <v>228</v>
      </c>
      <c r="D2851" s="4" t="s">
        <v>119</v>
      </c>
      <c r="E2851" s="4">
        <v>2339</v>
      </c>
      <c r="F2851" s="4" t="s">
        <v>125</v>
      </c>
      <c r="G2851" s="4" t="s">
        <v>29</v>
      </c>
      <c r="H2851" s="4" t="s">
        <v>53</v>
      </c>
      <c r="I2851" s="4" t="s">
        <v>88</v>
      </c>
      <c r="J2851" s="4">
        <v>320</v>
      </c>
      <c r="K2851" t="str">
        <f>TEXT(TIMEVALUE(H2851)-TIMEVALUE(I2850)+(TIMEVALUE(H2851)&lt;TIMEVALUE(I2850)),"[h]:mm")</f>
        <v>0:40</v>
      </c>
      <c r="L2851" s="4" t="s">
        <v>36</v>
      </c>
      <c r="O2851" t="str">
        <f>"LIM-"&amp;G2850&amp;"-LIM   LA "&amp;E2850&amp;" ("&amp;LEFT(H2850,5)&amp;"-"&amp;LEFT(I2850,5)&amp;" hrs)  /  LA "&amp;E2851&amp;" ("&amp;LEFT(H2851,5)&amp;"-"&amp;LEFT(I2851,5)&amp;" hrs)"</f>
        <v>LIM-PIU-LIM   LA 2338 (14:55-16:40 hrs)  /  LA 2339 (17:20-18:55 hrs)</v>
      </c>
    </row>
    <row r="2852" spans="2:24" x14ac:dyDescent="0.25">
      <c r="J2852" s="7" t="s">
        <v>43</v>
      </c>
      <c r="K2852" s="8" t="str">
        <f>TEXT(TIMEVALUE(I2851)-TIMEVALUE(H2850)+(I2851&lt;H2850),"[h]:mm")</f>
        <v>4:00</v>
      </c>
    </row>
    <row r="2854" spans="2:24" ht="30" x14ac:dyDescent="0.25">
      <c r="B2854" s="3" t="s">
        <v>9</v>
      </c>
      <c r="C2854" s="3" t="s">
        <v>17</v>
      </c>
      <c r="D2854" s="3" t="s">
        <v>18</v>
      </c>
      <c r="E2854" s="3" t="s">
        <v>19</v>
      </c>
      <c r="F2854" s="3" t="s">
        <v>20</v>
      </c>
      <c r="G2854" s="3" t="s">
        <v>21</v>
      </c>
      <c r="H2854" s="3" t="s">
        <v>22</v>
      </c>
      <c r="I2854" s="3" t="s">
        <v>23</v>
      </c>
      <c r="J2854" s="3" t="s">
        <v>24</v>
      </c>
      <c r="K2854" s="3" t="s">
        <v>25</v>
      </c>
      <c r="L2854" s="3" t="s">
        <v>26</v>
      </c>
    </row>
    <row r="2855" spans="2:24" ht="30" x14ac:dyDescent="0.25">
      <c r="B2855" s="4">
        <v>2665</v>
      </c>
      <c r="C2855" s="4" t="s">
        <v>228</v>
      </c>
      <c r="D2855" s="4" t="s">
        <v>119</v>
      </c>
      <c r="E2855" s="4">
        <v>2264</v>
      </c>
      <c r="F2855" s="4" t="s">
        <v>29</v>
      </c>
      <c r="G2855" s="4" t="s">
        <v>44</v>
      </c>
      <c r="H2855" s="4" t="s">
        <v>109</v>
      </c>
      <c r="I2855" s="4" t="s">
        <v>60</v>
      </c>
      <c r="J2855" s="4">
        <v>319</v>
      </c>
      <c r="L2855" s="4" t="s">
        <v>71</v>
      </c>
      <c r="M2855" s="5"/>
      <c r="O2855" s="5"/>
      <c r="Q2855" s="4">
        <f>B2855</f>
        <v>2665</v>
      </c>
      <c r="R2855" s="4" t="str">
        <f>C2855</f>
        <v>31/10/2026</v>
      </c>
      <c r="S2855" s="4" t="str">
        <f>D2855</f>
        <v>sábado</v>
      </c>
      <c r="T2855" s="4" t="str">
        <f>E2855&amp;"/"&amp;E2856</f>
        <v>2264/2265</v>
      </c>
      <c r="U2855" s="4" t="str">
        <f>F2855&amp;"-"&amp;G2855&amp;"-"&amp;F2855</f>
        <v>LIM-PEM-LIM</v>
      </c>
      <c r="V2855" s="4" t="str">
        <f>IF($M$2855="","",$M$2855)</f>
        <v/>
      </c>
      <c r="W2855" s="4" t="str">
        <f>IF($O$2855="","",$O$2855)</f>
        <v/>
      </c>
      <c r="X2855" s="4">
        <f>J2855</f>
        <v>319</v>
      </c>
    </row>
    <row r="2856" spans="2:24" ht="30" x14ac:dyDescent="0.25">
      <c r="B2856" s="4">
        <v>2665</v>
      </c>
      <c r="C2856" s="4" t="s">
        <v>228</v>
      </c>
      <c r="D2856" s="4" t="s">
        <v>119</v>
      </c>
      <c r="E2856" s="4">
        <v>2265</v>
      </c>
      <c r="F2856" s="4" t="s">
        <v>44</v>
      </c>
      <c r="G2856" s="4" t="s">
        <v>29</v>
      </c>
      <c r="H2856" s="4" t="s">
        <v>53</v>
      </c>
      <c r="I2856" s="4" t="s">
        <v>88</v>
      </c>
      <c r="J2856" s="4">
        <v>319</v>
      </c>
      <c r="K2856" t="str">
        <f>TEXT(TIMEVALUE(H2856)-TIMEVALUE(I2855)+(TIMEVALUE(H2856)&lt;TIMEVALUE(I2855)),"[h]:mm")</f>
        <v>0:40</v>
      </c>
      <c r="L2856" s="4" t="s">
        <v>36</v>
      </c>
      <c r="O2856" t="str">
        <f>"LIM-"&amp;G2855&amp;"-LIM   LA "&amp;E2855&amp;" ("&amp;LEFT(H2855,5)&amp;"-"&amp;LEFT(I2855,5)&amp;" hrs)  /  LA "&amp;E2856&amp;" ("&amp;LEFT(H2856,5)&amp;"-"&amp;LEFT(I2856,5)&amp;" hrs)"</f>
        <v>LIM-PEM-LIM   LA 2264 (15:00-16:40 hrs)  /  LA 2265 (17:20-18:55 hrs)</v>
      </c>
    </row>
    <row r="2857" spans="2:24" x14ac:dyDescent="0.25">
      <c r="J2857" s="7" t="s">
        <v>43</v>
      </c>
      <c r="K2857" s="8" t="str">
        <f>TEXT(TIMEVALUE(I2856)-TIMEVALUE(H2855)+(I2856&lt;H2855),"[h]:mm")</f>
        <v>3:55</v>
      </c>
    </row>
    <row r="2859" spans="2:24" ht="30" x14ac:dyDescent="0.25">
      <c r="B2859" s="3" t="s">
        <v>9</v>
      </c>
      <c r="C2859" s="3" t="s">
        <v>17</v>
      </c>
      <c r="D2859" s="3" t="s">
        <v>18</v>
      </c>
      <c r="E2859" s="3" t="s">
        <v>19</v>
      </c>
      <c r="F2859" s="3" t="s">
        <v>20</v>
      </c>
      <c r="G2859" s="3" t="s">
        <v>21</v>
      </c>
      <c r="H2859" s="3" t="s">
        <v>22</v>
      </c>
      <c r="I2859" s="3" t="s">
        <v>23</v>
      </c>
      <c r="J2859" s="3" t="s">
        <v>24</v>
      </c>
      <c r="K2859" s="3" t="s">
        <v>25</v>
      </c>
      <c r="L2859" s="3" t="s">
        <v>26</v>
      </c>
    </row>
    <row r="2860" spans="2:24" ht="30" x14ac:dyDescent="0.25">
      <c r="B2860" s="4">
        <v>2666</v>
      </c>
      <c r="C2860" s="4" t="s">
        <v>228</v>
      </c>
      <c r="D2860" s="4" t="s">
        <v>119</v>
      </c>
      <c r="E2860" s="4">
        <v>2297</v>
      </c>
      <c r="F2860" s="4" t="s">
        <v>29</v>
      </c>
      <c r="G2860" s="4" t="s">
        <v>50</v>
      </c>
      <c r="H2860" s="4" t="s">
        <v>51</v>
      </c>
      <c r="I2860" s="4" t="s">
        <v>52</v>
      </c>
      <c r="J2860" s="4">
        <v>320</v>
      </c>
      <c r="L2860" s="4" t="s">
        <v>33</v>
      </c>
      <c r="M2860" s="5"/>
      <c r="O2860" s="5"/>
      <c r="Q2860" s="4">
        <f>B2860</f>
        <v>2666</v>
      </c>
      <c r="R2860" s="4" t="str">
        <f>C2860</f>
        <v>31/10/2026</v>
      </c>
      <c r="S2860" s="4" t="str">
        <f>D2860</f>
        <v>sábado</v>
      </c>
      <c r="T2860" s="4" t="str">
        <f>E2860&amp;"/"&amp;E2861</f>
        <v>2297/2296</v>
      </c>
      <c r="U2860" s="4" t="str">
        <f>F2860&amp;"-"&amp;G2860&amp;"-"&amp;F2860</f>
        <v>LIM-CJA-LIM</v>
      </c>
      <c r="V2860" s="4" t="str">
        <f>IF($M$2860="","",$M$2860)</f>
        <v/>
      </c>
      <c r="W2860" s="4" t="str">
        <f>IF($O$2860="","",$O$2860)</f>
        <v/>
      </c>
      <c r="X2860" s="4">
        <f>J2860</f>
        <v>320</v>
      </c>
    </row>
    <row r="2861" spans="2:24" ht="30" x14ac:dyDescent="0.25">
      <c r="B2861" s="4">
        <v>2666</v>
      </c>
      <c r="C2861" s="4" t="s">
        <v>228</v>
      </c>
      <c r="D2861" s="4" t="s">
        <v>119</v>
      </c>
      <c r="E2861" s="4">
        <v>2296</v>
      </c>
      <c r="F2861" s="4" t="s">
        <v>50</v>
      </c>
      <c r="G2861" s="4" t="s">
        <v>29</v>
      </c>
      <c r="H2861" s="4" t="s">
        <v>206</v>
      </c>
      <c r="I2861" s="4" t="s">
        <v>207</v>
      </c>
      <c r="J2861" s="4">
        <v>320</v>
      </c>
      <c r="K2861" t="str">
        <f>TEXT(TIMEVALUE(H2861)-TIMEVALUE(I2860)+(TIMEVALUE(H2861)&lt;TIMEVALUE(I2860)),"[h]:mm")</f>
        <v>0:50</v>
      </c>
      <c r="L2861" s="4" t="s">
        <v>61</v>
      </c>
      <c r="O2861" t="str">
        <f>"LIM-"&amp;G2860&amp;"-LIM   LA "&amp;E2860&amp;" ("&amp;LEFT(H2860,5)&amp;"-"&amp;LEFT(I2860,5)&amp;" hrs)  /  LA "&amp;E2861&amp;" ("&amp;LEFT(H2861,5)&amp;"-"&amp;LEFT(I2861,5)&amp;" hrs)"</f>
        <v>LIM-CJA-LIM   LA 2297 (15:15-16:35 hrs)  /  LA 2296 (17:25-18:40 hrs)</v>
      </c>
    </row>
    <row r="2862" spans="2:24" x14ac:dyDescent="0.25">
      <c r="J2862" s="7" t="s">
        <v>43</v>
      </c>
      <c r="K2862" s="8" t="str">
        <f>TEXT(TIMEVALUE(I2861)-TIMEVALUE(H2860)+(I2861&lt;H2860),"[h]:mm")</f>
        <v>3:25</v>
      </c>
    </row>
    <row r="2864" spans="2:24" ht="30" x14ac:dyDescent="0.25">
      <c r="B2864" s="3" t="s">
        <v>9</v>
      </c>
      <c r="C2864" s="3" t="s">
        <v>17</v>
      </c>
      <c r="D2864" s="3" t="s">
        <v>18</v>
      </c>
      <c r="E2864" s="3" t="s">
        <v>19</v>
      </c>
      <c r="F2864" s="3" t="s">
        <v>20</v>
      </c>
      <c r="G2864" s="3" t="s">
        <v>21</v>
      </c>
      <c r="H2864" s="3" t="s">
        <v>22</v>
      </c>
      <c r="I2864" s="3" t="s">
        <v>23</v>
      </c>
      <c r="J2864" s="3" t="s">
        <v>24</v>
      </c>
      <c r="K2864" s="3" t="s">
        <v>25</v>
      </c>
      <c r="L2864" s="3" t="s">
        <v>26</v>
      </c>
    </row>
    <row r="2865" spans="2:24" ht="30" x14ac:dyDescent="0.25">
      <c r="B2865" s="4">
        <v>2667</v>
      </c>
      <c r="C2865" s="4" t="s">
        <v>228</v>
      </c>
      <c r="D2865" s="4" t="s">
        <v>119</v>
      </c>
      <c r="E2865" s="4">
        <v>2297</v>
      </c>
      <c r="F2865" s="4" t="s">
        <v>29</v>
      </c>
      <c r="G2865" s="4" t="s">
        <v>50</v>
      </c>
      <c r="H2865" s="4" t="s">
        <v>51</v>
      </c>
      <c r="I2865" s="4" t="s">
        <v>52</v>
      </c>
      <c r="J2865" s="4">
        <v>320</v>
      </c>
      <c r="L2865" s="4" t="s">
        <v>33</v>
      </c>
      <c r="M2865" s="5"/>
      <c r="O2865" s="5"/>
      <c r="Q2865" s="4">
        <f>B2865</f>
        <v>2667</v>
      </c>
      <c r="R2865" s="4" t="str">
        <f>C2865</f>
        <v>31/10/2026</v>
      </c>
      <c r="S2865" s="4" t="str">
        <f>D2865</f>
        <v>sábado</v>
      </c>
      <c r="T2865" s="4" t="str">
        <f>E2865&amp;"/"&amp;E2866</f>
        <v>2297/2296</v>
      </c>
      <c r="U2865" s="4" t="str">
        <f>F2865&amp;"-"&amp;G2865&amp;"-"&amp;F2865</f>
        <v>LIM-CJA-LIM</v>
      </c>
      <c r="V2865" s="4" t="str">
        <f>IF($M$2865="","",$M$2865)</f>
        <v/>
      </c>
      <c r="W2865" s="4" t="str">
        <f>IF($O$2865="","",$O$2865)</f>
        <v/>
      </c>
      <c r="X2865" s="4">
        <f>J2865</f>
        <v>320</v>
      </c>
    </row>
    <row r="2866" spans="2:24" ht="30" x14ac:dyDescent="0.25">
      <c r="B2866" s="4">
        <v>2667</v>
      </c>
      <c r="C2866" s="4" t="s">
        <v>228</v>
      </c>
      <c r="D2866" s="4" t="s">
        <v>119</v>
      </c>
      <c r="E2866" s="4">
        <v>2296</v>
      </c>
      <c r="F2866" s="4" t="s">
        <v>50</v>
      </c>
      <c r="G2866" s="4" t="s">
        <v>29</v>
      </c>
      <c r="H2866" s="4" t="s">
        <v>206</v>
      </c>
      <c r="I2866" s="4" t="s">
        <v>207</v>
      </c>
      <c r="J2866" s="4">
        <v>320</v>
      </c>
      <c r="K2866" t="str">
        <f>TEXT(TIMEVALUE(H2866)-TIMEVALUE(I2865)+(TIMEVALUE(H2866)&lt;TIMEVALUE(I2865)),"[h]:mm")</f>
        <v>0:50</v>
      </c>
      <c r="L2866" s="4" t="s">
        <v>61</v>
      </c>
      <c r="O2866" t="str">
        <f>"LIM-"&amp;G2865&amp;"-LIM   LA "&amp;E2865&amp;" ("&amp;LEFT(H2865,5)&amp;"-"&amp;LEFT(I2865,5)&amp;" hrs)  /  LA "&amp;E2866&amp;" ("&amp;LEFT(H2866,5)&amp;"-"&amp;LEFT(I2866,5)&amp;" hrs)"</f>
        <v>LIM-CJA-LIM   LA 2297 (15:15-16:35 hrs)  /  LA 2296 (17:25-18:40 hrs)</v>
      </c>
    </row>
    <row r="2867" spans="2:24" x14ac:dyDescent="0.25">
      <c r="J2867" s="7" t="s">
        <v>43</v>
      </c>
      <c r="K2867" s="8" t="str">
        <f>TEXT(TIMEVALUE(I2866)-TIMEVALUE(H2865)+(I2866&lt;H2865),"[h]:mm")</f>
        <v>3:25</v>
      </c>
    </row>
    <row r="2869" spans="2:24" ht="30" x14ac:dyDescent="0.25">
      <c r="B2869" s="3" t="s">
        <v>9</v>
      </c>
      <c r="C2869" s="3" t="s">
        <v>17</v>
      </c>
      <c r="D2869" s="3" t="s">
        <v>18</v>
      </c>
      <c r="E2869" s="3" t="s">
        <v>19</v>
      </c>
      <c r="F2869" s="3" t="s">
        <v>20</v>
      </c>
      <c r="G2869" s="3" t="s">
        <v>21</v>
      </c>
      <c r="H2869" s="3" t="s">
        <v>22</v>
      </c>
      <c r="I2869" s="3" t="s">
        <v>23</v>
      </c>
      <c r="J2869" s="3" t="s">
        <v>24</v>
      </c>
      <c r="K2869" s="3" t="s">
        <v>25</v>
      </c>
      <c r="L2869" s="3" t="s">
        <v>26</v>
      </c>
    </row>
    <row r="2870" spans="2:24" ht="30" x14ac:dyDescent="0.25">
      <c r="B2870" s="4">
        <v>2669</v>
      </c>
      <c r="C2870" s="4" t="s">
        <v>228</v>
      </c>
      <c r="D2870" s="4" t="s">
        <v>119</v>
      </c>
      <c r="E2870" s="4">
        <v>2312</v>
      </c>
      <c r="F2870" s="4" t="s">
        <v>29</v>
      </c>
      <c r="G2870" s="4" t="s">
        <v>37</v>
      </c>
      <c r="H2870" s="4" t="s">
        <v>89</v>
      </c>
      <c r="I2870" s="4" t="s">
        <v>77</v>
      </c>
      <c r="J2870" s="4">
        <v>319</v>
      </c>
      <c r="L2870" s="4" t="s">
        <v>40</v>
      </c>
      <c r="M2870" s="5"/>
      <c r="O2870" s="5"/>
      <c r="Q2870" s="4">
        <f>B2870</f>
        <v>2669</v>
      </c>
      <c r="R2870" s="4" t="str">
        <f>C2870</f>
        <v>31/10/2026</v>
      </c>
      <c r="S2870" s="4" t="str">
        <f>D2870</f>
        <v>sábado</v>
      </c>
      <c r="T2870" s="4" t="str">
        <f>E2870&amp;"/"&amp;E2871</f>
        <v>2312/2313</v>
      </c>
      <c r="U2870" s="4" t="str">
        <f>F2870&amp;"-"&amp;G2870&amp;"-"&amp;F2870</f>
        <v>LIM-CIX-LIM</v>
      </c>
      <c r="V2870" s="4" t="str">
        <f>IF($M$2870="","",$M$2870)</f>
        <v/>
      </c>
      <c r="W2870" s="4" t="str">
        <f>IF($O$2870="","",$O$2870)</f>
        <v/>
      </c>
      <c r="X2870" s="4">
        <f>J2870</f>
        <v>319</v>
      </c>
    </row>
    <row r="2871" spans="2:24" ht="30" x14ac:dyDescent="0.25">
      <c r="B2871" s="4">
        <v>2669</v>
      </c>
      <c r="C2871" s="4" t="s">
        <v>228</v>
      </c>
      <c r="D2871" s="4" t="s">
        <v>119</v>
      </c>
      <c r="E2871" s="4">
        <v>2313</v>
      </c>
      <c r="F2871" s="4" t="s">
        <v>37</v>
      </c>
      <c r="G2871" s="4" t="s">
        <v>29</v>
      </c>
      <c r="H2871" s="4" t="s">
        <v>181</v>
      </c>
      <c r="I2871" s="4" t="s">
        <v>213</v>
      </c>
      <c r="J2871" s="4">
        <v>319</v>
      </c>
      <c r="K2871" t="str">
        <f>TEXT(TIMEVALUE(H2871)-TIMEVALUE(I2870)+(TIMEVALUE(H2871)&lt;TIMEVALUE(I2870)),"[h]:mm")</f>
        <v>0:40</v>
      </c>
      <c r="L2871" s="4" t="s">
        <v>33</v>
      </c>
      <c r="O2871" t="str">
        <f>"LIM-"&amp;G2870&amp;"-LIM   LA "&amp;E2870&amp;" ("&amp;LEFT(H2870,5)&amp;"-"&amp;LEFT(I2870,5)&amp;" hrs)  /  LA "&amp;E2871&amp;" ("&amp;LEFT(H2871,5)&amp;"-"&amp;LEFT(I2871,5)&amp;" hrs)"</f>
        <v>LIM-CIX-LIM   LA 2312 (15:35-17:05 hrs)  /  LA 2313 (17:45-19:05 hrs)</v>
      </c>
    </row>
    <row r="2872" spans="2:24" x14ac:dyDescent="0.25">
      <c r="J2872" s="7" t="s">
        <v>43</v>
      </c>
      <c r="K2872" s="8" t="str">
        <f>TEXT(TIMEVALUE(I2871)-TIMEVALUE(H2870)+(I2871&lt;H2870),"[h]:mm")</f>
        <v>3:30</v>
      </c>
    </row>
    <row r="2874" spans="2:24" ht="30" x14ac:dyDescent="0.25">
      <c r="B2874" s="3" t="s">
        <v>9</v>
      </c>
      <c r="C2874" s="3" t="s">
        <v>17</v>
      </c>
      <c r="D2874" s="3" t="s">
        <v>18</v>
      </c>
      <c r="E2874" s="3" t="s">
        <v>19</v>
      </c>
      <c r="F2874" s="3" t="s">
        <v>20</v>
      </c>
      <c r="G2874" s="3" t="s">
        <v>21</v>
      </c>
      <c r="H2874" s="3" t="s">
        <v>22</v>
      </c>
      <c r="I2874" s="3" t="s">
        <v>23</v>
      </c>
      <c r="J2874" s="3" t="s">
        <v>24</v>
      </c>
      <c r="K2874" s="3" t="s">
        <v>25</v>
      </c>
      <c r="L2874" s="3" t="s">
        <v>26</v>
      </c>
    </row>
    <row r="2875" spans="2:24" ht="30" x14ac:dyDescent="0.25">
      <c r="B2875" s="4">
        <v>2670</v>
      </c>
      <c r="C2875" s="4" t="s">
        <v>228</v>
      </c>
      <c r="D2875" s="4" t="s">
        <v>119</v>
      </c>
      <c r="E2875" s="4">
        <v>2360</v>
      </c>
      <c r="F2875" s="4" t="s">
        <v>29</v>
      </c>
      <c r="G2875" s="4" t="s">
        <v>58</v>
      </c>
      <c r="H2875" s="4" t="s">
        <v>89</v>
      </c>
      <c r="I2875" s="4" t="s">
        <v>212</v>
      </c>
      <c r="J2875" s="4">
        <v>320</v>
      </c>
      <c r="L2875" s="4" t="s">
        <v>61</v>
      </c>
      <c r="M2875" s="5"/>
      <c r="O2875" s="5"/>
      <c r="Q2875" s="4">
        <f>B2875</f>
        <v>2670</v>
      </c>
      <c r="R2875" s="4" t="str">
        <f>C2875</f>
        <v>31/10/2026</v>
      </c>
      <c r="S2875" s="4" t="str">
        <f>D2875</f>
        <v>sábado</v>
      </c>
      <c r="T2875" s="4" t="str">
        <f>E2875&amp;"/"&amp;E2876</f>
        <v>2360/2361</v>
      </c>
      <c r="U2875" s="4" t="str">
        <f>F2875&amp;"-"&amp;G2875&amp;"-"&amp;F2875</f>
        <v>LIM-PCL-LIM</v>
      </c>
      <c r="V2875" s="4" t="str">
        <f>IF($M$2875="","",$M$2875)</f>
        <v/>
      </c>
      <c r="W2875" s="4" t="str">
        <f>IF($O$2875="","",$O$2875)</f>
        <v/>
      </c>
      <c r="X2875" s="4">
        <f>J2875</f>
        <v>320</v>
      </c>
    </row>
    <row r="2876" spans="2:24" ht="30" x14ac:dyDescent="0.25">
      <c r="B2876" s="4">
        <v>2670</v>
      </c>
      <c r="C2876" s="4" t="s">
        <v>228</v>
      </c>
      <c r="D2876" s="4" t="s">
        <v>119</v>
      </c>
      <c r="E2876" s="4">
        <v>2361</v>
      </c>
      <c r="F2876" s="4" t="s">
        <v>58</v>
      </c>
      <c r="G2876" s="4" t="s">
        <v>29</v>
      </c>
      <c r="H2876" s="4" t="s">
        <v>206</v>
      </c>
      <c r="I2876" s="4" t="s">
        <v>207</v>
      </c>
      <c r="J2876" s="4">
        <v>320</v>
      </c>
      <c r="K2876" t="str">
        <f>TEXT(TIMEVALUE(H2876)-TIMEVALUE(I2875)+(TIMEVALUE(H2876)&lt;TIMEVALUE(I2875)),"[h]:mm")</f>
        <v>0:35</v>
      </c>
      <c r="L2876" s="4" t="s">
        <v>61</v>
      </c>
      <c r="O2876" t="str">
        <f>"LIM-"&amp;G2875&amp;"-LIM   LA "&amp;E2875&amp;" ("&amp;LEFT(H2875,5)&amp;"-"&amp;LEFT(I2875,5)&amp;" hrs)  /  LA "&amp;E2876&amp;" ("&amp;LEFT(H2876,5)&amp;"-"&amp;LEFT(I2876,5)&amp;" hrs)"</f>
        <v>LIM-PCL-LIM   LA 2360 (15:35-16:50 hrs)  /  LA 2361 (17:25-18:40 hrs)</v>
      </c>
    </row>
    <row r="2877" spans="2:24" x14ac:dyDescent="0.25">
      <c r="J2877" s="7" t="s">
        <v>43</v>
      </c>
      <c r="K2877" s="8" t="str">
        <f>TEXT(TIMEVALUE(I2876)-TIMEVALUE(H2875)+(I2876&lt;H2875),"[h]:mm")</f>
        <v>3:05</v>
      </c>
    </row>
    <row r="2879" spans="2:24" ht="30" x14ac:dyDescent="0.25">
      <c r="B2879" s="3" t="s">
        <v>9</v>
      </c>
      <c r="C2879" s="3" t="s">
        <v>17</v>
      </c>
      <c r="D2879" s="3" t="s">
        <v>18</v>
      </c>
      <c r="E2879" s="3" t="s">
        <v>19</v>
      </c>
      <c r="F2879" s="3" t="s">
        <v>20</v>
      </c>
      <c r="G2879" s="3" t="s">
        <v>21</v>
      </c>
      <c r="H2879" s="3" t="s">
        <v>22</v>
      </c>
      <c r="I2879" s="3" t="s">
        <v>23</v>
      </c>
      <c r="J2879" s="3" t="s">
        <v>24</v>
      </c>
      <c r="K2879" s="3" t="s">
        <v>25</v>
      </c>
      <c r="L2879" s="3" t="s">
        <v>26</v>
      </c>
    </row>
    <row r="2880" spans="2:24" ht="30" x14ac:dyDescent="0.25">
      <c r="B2880" s="4">
        <v>2671</v>
      </c>
      <c r="C2880" s="4" t="s">
        <v>228</v>
      </c>
      <c r="D2880" s="4" t="s">
        <v>119</v>
      </c>
      <c r="E2880" s="4">
        <v>2360</v>
      </c>
      <c r="F2880" s="4" t="s">
        <v>29</v>
      </c>
      <c r="G2880" s="4" t="s">
        <v>58</v>
      </c>
      <c r="H2880" s="4" t="s">
        <v>89</v>
      </c>
      <c r="I2880" s="4" t="s">
        <v>212</v>
      </c>
      <c r="J2880" s="4">
        <v>320</v>
      </c>
      <c r="L2880" s="4" t="s">
        <v>61</v>
      </c>
      <c r="M2880" s="5"/>
      <c r="O2880" s="5"/>
      <c r="Q2880" s="4">
        <f>B2880</f>
        <v>2671</v>
      </c>
      <c r="R2880" s="4" t="str">
        <f>C2880</f>
        <v>31/10/2026</v>
      </c>
      <c r="S2880" s="4" t="str">
        <f>D2880</f>
        <v>sábado</v>
      </c>
      <c r="T2880" s="4" t="str">
        <f>E2880&amp;"/"&amp;E2881</f>
        <v>2360/2361</v>
      </c>
      <c r="U2880" s="4" t="str">
        <f>F2880&amp;"-"&amp;G2880&amp;"-"&amp;F2880</f>
        <v>LIM-PCL-LIM</v>
      </c>
      <c r="V2880" s="4" t="str">
        <f>IF($M$2880="","",$M$2880)</f>
        <v/>
      </c>
      <c r="W2880" s="4" t="str">
        <f>IF($O$2880="","",$O$2880)</f>
        <v/>
      </c>
      <c r="X2880" s="4">
        <f>J2880</f>
        <v>320</v>
      </c>
    </row>
    <row r="2881" spans="2:15" ht="30" x14ac:dyDescent="0.25">
      <c r="B2881" s="4">
        <v>2671</v>
      </c>
      <c r="C2881" s="4" t="s">
        <v>228</v>
      </c>
      <c r="D2881" s="4" t="s">
        <v>119</v>
      </c>
      <c r="E2881" s="4">
        <v>2361</v>
      </c>
      <c r="F2881" s="4" t="s">
        <v>58</v>
      </c>
      <c r="G2881" s="4" t="s">
        <v>29</v>
      </c>
      <c r="H2881" s="4" t="s">
        <v>206</v>
      </c>
      <c r="I2881" s="4" t="s">
        <v>207</v>
      </c>
      <c r="J2881" s="4">
        <v>320</v>
      </c>
      <c r="K2881" t="str">
        <f>TEXT(TIMEVALUE(H2881)-TIMEVALUE(I2880)+(TIMEVALUE(H2881)&lt;TIMEVALUE(I2880)),"[h]:mm")</f>
        <v>0:35</v>
      </c>
      <c r="L2881" s="4" t="s">
        <v>61</v>
      </c>
      <c r="O2881" t="str">
        <f>"LIM-"&amp;G2880&amp;"-LIM   LA "&amp;E2880&amp;" ("&amp;LEFT(H2880,5)&amp;"-"&amp;LEFT(I2880,5)&amp;" hrs)  /  LA "&amp;E2881&amp;" ("&amp;LEFT(H2881,5)&amp;"-"&amp;LEFT(I2881,5)&amp;" hrs)"</f>
        <v>LIM-PCL-LIM   LA 2360 (15:35-16:50 hrs)  /  LA 2361 (17:25-18:40 hrs)</v>
      </c>
    </row>
    <row r="2882" spans="2:15" x14ac:dyDescent="0.25">
      <c r="J2882" s="7" t="s">
        <v>43</v>
      </c>
      <c r="K2882" s="8" t="str">
        <f>TEXT(TIMEVALUE(I2881)-TIMEVALUE(H2880)+(I2881&lt;H2880),"[h]:mm")</f>
        <v>3:05</v>
      </c>
    </row>
  </sheetData>
  <dataValidations count="1">
    <dataValidation type="list" allowBlank="1" sqref="O9 O16 O23 O30 O37 O42 O49 O54 O59 O64 O69 O74 O79 O84 O89 O96 O103 O108 O115 O120 O125 O130 O135 O142 O147 O152 O157 O162 O167 O172 O177 O182 O189 O194 O199 O206 O211 O216 O221 O226 O231 O236 O241 O246 O251 O256 O261 O266 O273 O278 O285 O290 O295 O300 O305 O310 O315 O320 O325 O330 O335 O340 O347 O354 O361 O366 O371 O376 O381 O386 O391 O396 O401 O406 O411 O416 O421 O426 O431 O438 O445 O452 O457 O464 O471 O478 O483 O488 O493 O498 O503 O508 O513 O518 O525 O532 O537 O544 O551 O558 O563 O568 O573 O580 O585 O590 O595 O600 O605 O610 O615 O620 O625 O632 O637 O642 O647 O652 O657 O662 O667 O672 O677 O682 O687 O692 O697 O702 O707 O712 O719 O726 O733 O740 O745 O750 O755 O760 O767 O772 O777 O782 O787 O792 O797 O802 O809 O814 O819 O826 O831 O836 O841 O846 O851 O856 O863 O868 O873 O878 O883 O888 O893 O898 O905 O910 O917 O924 O929 O934 O939 O944 O949 O954 O959 O964 O969 O974 O981 O988 O995 O1000 O1005 O1012 O1017 O1024 O1031 O1036 O1041 O1046 O1051 O1056 O1061 O1066 O1071 O1076 O1081 O1086 O1091 O1098 O1105 O1110 O1115 O1120 O1125 O1130 O1135 O1140 O1145 O1150 O1155 O1160 O1165 O1172 O1179 O1184 O1191 O1198 O1203 O1208 O1213 O1218 O1223 O1228 O1233 O1238 O1243 O1248 O1253 O1258 O1263 O1268 O1273 O1278 O1283 O1288 O1293 O1298 O1305 O1310 O1315 O1320 O1325 O1330 O1335 O1340 O1345 O1350 O1355 O1360 O1365 O1372 O1379 O1384 O1391 O1398 O1403 O1410 O1415 O1422 O1427 O1432 O1437 O1442 O1447 O1452 O1457 O1462 O1467 O1472 O1479 O1484 O1489 O1494 O1501 O1506 O1513 O1518 O1525 O1530 O1535 O1540 O1545 O1550 O1555 O1560 O1567 O1574 O1581 O1588 O1595 O1600 O1605 O1610 O1615 O1620 O1625 O1630 O1635 O1640 O1645 O1650 O1657 O1662 O1667 O1672 O1677 O1682 O1689 O1696 O1701 O1706 O1711 O1716 O1721 O1726 O1731 O1736 O1741 O1748 O1755 O1762 O1769 O1776 O1783 O1790 O1795 O1800 O1805 O1810 O1815 O1820 O1825 O1830 O1835 O1840 O1845 O1850 O1855 O1860 O1867 O1874 O1881 O1888 O1893 O1898 O1903 O1908 O1913 O1918 O1923 O1928 O1933 O1938 O1943 O1948 O1955 O1962 O1967 O1972 O1977 O1982 O1989 O1994 O1999 O2004 O2009 O2014 O2019 O2024 O2029 O2034 O2039 O2044 O2051 O2058 O2065 O2070 O2075 O2080 O2085 O2092 O2099 O2104 O2109 O2114 O2119 O2124 O2129 O2134 O2139 O2144 O2151 O2156 O2163 O2168 O2173 O2180 O2185 O2190 O2195 O2202 O2207 O2212 O2217 O2222 O2227 O2232 O2237 O2242 O2247 O2252 O2259 O2264 O2271 O2276 O2281 O2288 O2293 O2298 O2303 O2308 O2315 O2320 O2325 O2330 O2335 O2340 O2345 O2350 O2355 O2360 O2365 O2372 O2377 O2382 O2389 O2394 O2399 O2404 O2409 O2414 O2419 O2424 O2429 O2434 O2439 O2444 O2451 O2458 O2465 O2470 O2475 O2480 O2487 O2492 O2497 O2502 O2507 O2512 O2517 O2522 O2527 O2532 O2539 O2546 O2551 O2556 O2561 O2566 O2571 O2576 O2581 O2586 O2591 O2596 O2601 O2606 O2611 O2618 O2623 O2630 O2637 O2642 O2647 O2654 O2659 O2664 O2669 O2674 O2679 O2684 O2689 O2696 O2701 O2706 O2711 O2718 O2725 O2730 O2735 O2740 O2745 O2750 O2755 O2760 O2765 O2770 O2775 O2780 O2785 O2790 O2797 O2804 O2809 O2814 O2819 O2824 O2831 O2838 O2843 O2850 O2855 O2860 O2865 O2870 O2875 O2880" xr:uid="{00000000-0002-0000-0000-000001000000}">
      <formula1>"LCK A320F,Reentrenamiento A320F,LCK A320F + Habilitación A320F,LCK A320 ALUMNO,Auditoria CAB Vuelo,BIANUAL IDE - HAB IDE,EXP RECIENTE A320,CHEQUEO LATAM A320F,CHEQUEO DGAC A320F"</formula1>
    </dataValidation>
  </dataValidations>
  <pageMargins left="0.75" right="0.75" top="1" bottom="1" header="0.5" footer="0.5"/>
  <legacyDrawing r:id="rId1"/>
  <extLst>
    <ext xmlns:x14="http://schemas.microsoft.com/office/spreadsheetml/2009/9/main" uri="{CCE6A557-97BC-4b89-ADB6-D9C93CAAB3DF}">
      <x14:dataValidations xmlns:xm="http://schemas.microsoft.com/office/excel/2006/main" count="1">
        <x14:dataValidation type="list" allowBlank="1" xr:uid="{00000000-0002-0000-0000-000000000000}">
          <x14:formula1>
            <xm:f>Instructores!$A$2:$A$23</xm:f>
          </x14:formula1>
          <xm:sqref>M9 M16 M23 M30 M37 M42 M49 M54 M59 M64 M69 M74 M79 M84 M89 M96 M103 M108 M115 M120 M125 M130 M135 M142 M147 M152 M157 M162 M167 M172 M177 M182 M189 M194 M199 M206 M211 M216 M221 M226 M231 M236 M241 M246 M251 M256 M261 M266 M273 M278 M285 M290 M295 M300 M305 M310 M315 M320 M325 M330 M335 M340 M347 M354 M361 M366 M371 M376 M381 M386 M391 M396 M401 M406 M411 M416 M421 M426 M431 M438 M445 M452 M457 M464 M471 M478 M483 M488 M493 M498 M503 M508 M513 M518 M525 M532 M537 M544 M551 M558 M563 M568 M573 M580 M585 M590 M595 M600 M605 M610 M615 M620 M625 M632 M637 M642 M647 M652 M657 M662 M667 M672 M677 M682 M687 M692 M697 M702 M707 M712 M719 M726 M733 M740 M745 M750 M755 M760 M767 M772 M777 M782 M787 M792 M797 M802 M809 M814 M819 M826 M831 M836 M841 M846 M851 M856 M863 M868 M873 M878 M883 M888 M893 M898 M905 M910 M917 M924 M929 M934 M939 M944 M949 M954 M959 M964 M969 M974 M981 M988 M995 M1000 M1005 M1012 M1017 M1024 M1031 M1036 M1041 M1046 M1051 M1056 M1061 M1066 M1071 M1076 M1081 M1086 M1091 M1098 M1105 M1110 M1115 M1120 M1125 M1130 M1135 M1140 M1145 M1150 M1155 M1160 M1165 M1172 M1179 M1184 M1191 M1198 M1203 M1208 M1213 M1218 M1223 M1228 M1233 M1238 M1243 M1248 M1253 M1258 M1263 M1268 M1273 M1278 M1283 M1288 M1293 M1298 M1305 M1310 M1315 M1320 M1325 M1330 M1335 M1340 M1345 M1350 M1355 M1360 M1365 M1372 M1379 M1384 M1391 M1398 M1403 M1410 M1415 M1422 M1427 M1432 M1437 M1442 M1447 M1452 M1457 M1462 M1467 M1472 M1479 M1484 M1489 M1494 M1501 M1506 M1513 M1518 M1525 M1530 M1535 M1540 M1545 M1550 M1555 M1560 M1567 M1574 M1581 M1588 M1595 M1600 M1605 M1610 M1615 M1620 M1625 M1630 M1635 M1640 M1645 M1650 M1657 M1662 M1667 M1672 M1677 M1682 M1689 M1696 M1701 M1706 M1711 M1716 M1721 M1726 M1731 M1736 M1741 M1748 M1755 M1762 M1769 M1776 M1783 M1790 M1795 M1800 M1805 M1810 M1815 M1820 M1825 M1830 M1835 M1840 M1845 M1850 M1855 M1860 M1867 M1874 M1881 M1888 M1893 M1898 M1903 M1908 M1913 M1918 M1923 M1928 M1933 M1938 M1943 M1948 M1955 M1962 M1967 M1972 M1977 M1982 M1989 M1994 M1999 M2004 M2009 M2014 M2019 M2024 M2029 M2034 M2039 M2044 M2051 M2058 M2065 M2070 M2075 M2080 M2085 M2092 M2099 M2104 M2109 M2114 M2119 M2124 M2129 M2134 M2139 M2144 M2151 M2156 M2163 M2168 M2173 M2180 M2185 M2190 M2195 M2202 M2207 M2212 M2217 M2222 M2227 M2232 M2237 M2242 M2247 M2252 M2259 M2264 M2271 M2276 M2281 M2288 M2293 M2298 M2303 M2308 M2315 M2320 M2325 M2330 M2335 M2340 M2345 M2350 M2355 M2360 M2365 M2372 M2377 M2382 M2389 M2394 M2399 M2404 M2409 M2414 M2419 M2424 M2429 M2434 M2439 M2444 M2451 M2458 M2465 M2470 M2475 M2480 M2487 M2492 M2497 M2502 M2507 M2512 M2517 M2522 M2527 M2532 M2539 M2546 M2551 M2556 M2561 M2566 M2571 M2576 M2581 M2586 M2591 M2596 M2601 M2606 M2611 M2618 M2623 M2630 M2637 M2642 M2647 M2654 M2659 M2664 M2669 M2674 M2679 M2684 M2689 M2696 M2701 M2706 M2711 M2718 M2725 M2730 M2735 M2740 M2745 M2750 M2755 M2760 M2765 M2770 M2775 M2780 M2785 M2790 M2797 M2804 M2809 M2814 M2819 M2824 M2831 M2838 M2843 M2850 M2855 M2860 M2865 M2870 M2875 M2880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3"/>
  <sheetViews>
    <sheetView workbookViewId="0"/>
  </sheetViews>
  <sheetFormatPr baseColWidth="10" defaultColWidth="9.140625" defaultRowHeight="15" x14ac:dyDescent="0.25"/>
  <cols>
    <col min="1" max="1" width="18" customWidth="1"/>
    <col min="2" max="2" width="12" customWidth="1"/>
    <col min="3" max="3" width="40" customWidth="1"/>
  </cols>
  <sheetData>
    <row r="1" spans="1:3" x14ac:dyDescent="0.25">
      <c r="A1" s="9" t="s">
        <v>14</v>
      </c>
      <c r="B1" s="9" t="s">
        <v>231</v>
      </c>
      <c r="C1" s="9" t="s">
        <v>232</v>
      </c>
    </row>
    <row r="2" spans="1:3" x14ac:dyDescent="0.25">
      <c r="A2" s="10" t="s">
        <v>233</v>
      </c>
      <c r="B2" s="10" t="s">
        <v>234</v>
      </c>
      <c r="C2" s="10" t="s">
        <v>235</v>
      </c>
    </row>
    <row r="3" spans="1:3" x14ac:dyDescent="0.25">
      <c r="A3" s="10" t="s">
        <v>236</v>
      </c>
      <c r="B3" s="10" t="s">
        <v>237</v>
      </c>
      <c r="C3" s="10" t="s">
        <v>238</v>
      </c>
    </row>
    <row r="4" spans="1:3" x14ac:dyDescent="0.25">
      <c r="A4" s="10" t="s">
        <v>239</v>
      </c>
      <c r="B4" s="10" t="s">
        <v>240</v>
      </c>
      <c r="C4" s="10" t="s">
        <v>241</v>
      </c>
    </row>
    <row r="5" spans="1:3" x14ac:dyDescent="0.25">
      <c r="A5" s="10" t="s">
        <v>242</v>
      </c>
      <c r="B5" s="10" t="s">
        <v>243</v>
      </c>
      <c r="C5" s="10" t="s">
        <v>244</v>
      </c>
    </row>
    <row r="6" spans="1:3" x14ac:dyDescent="0.25">
      <c r="A6" s="10" t="s">
        <v>245</v>
      </c>
      <c r="B6" s="10" t="s">
        <v>246</v>
      </c>
      <c r="C6" s="10" t="s">
        <v>247</v>
      </c>
    </row>
    <row r="7" spans="1:3" x14ac:dyDescent="0.25">
      <c r="A7" s="10" t="s">
        <v>248</v>
      </c>
      <c r="B7" s="10" t="s">
        <v>249</v>
      </c>
      <c r="C7" s="10" t="s">
        <v>250</v>
      </c>
    </row>
    <row r="8" spans="1:3" x14ac:dyDescent="0.25">
      <c r="A8" s="10" t="s">
        <v>251</v>
      </c>
      <c r="B8" s="10" t="s">
        <v>252</v>
      </c>
      <c r="C8" s="10" t="s">
        <v>253</v>
      </c>
    </row>
    <row r="9" spans="1:3" x14ac:dyDescent="0.25">
      <c r="A9" s="10" t="s">
        <v>254</v>
      </c>
      <c r="B9" s="10" t="s">
        <v>255</v>
      </c>
      <c r="C9" s="10" t="s">
        <v>256</v>
      </c>
    </row>
    <row r="10" spans="1:3" x14ac:dyDescent="0.25">
      <c r="A10" s="10" t="s">
        <v>257</v>
      </c>
      <c r="B10" s="10" t="s">
        <v>258</v>
      </c>
      <c r="C10" s="10" t="s">
        <v>259</v>
      </c>
    </row>
    <row r="11" spans="1:3" x14ac:dyDescent="0.25">
      <c r="A11" s="10" t="s">
        <v>260</v>
      </c>
      <c r="B11" s="10" t="s">
        <v>261</v>
      </c>
      <c r="C11" s="10" t="s">
        <v>262</v>
      </c>
    </row>
    <row r="12" spans="1:3" x14ac:dyDescent="0.25">
      <c r="A12" s="10" t="s">
        <v>263</v>
      </c>
      <c r="B12" s="10" t="s">
        <v>264</v>
      </c>
      <c r="C12" s="10" t="s">
        <v>265</v>
      </c>
    </row>
    <row r="13" spans="1:3" x14ac:dyDescent="0.25">
      <c r="A13" s="10" t="s">
        <v>266</v>
      </c>
      <c r="B13" s="10" t="s">
        <v>267</v>
      </c>
      <c r="C13" s="10" t="s">
        <v>268</v>
      </c>
    </row>
    <row r="14" spans="1:3" x14ac:dyDescent="0.25">
      <c r="A14" s="10" t="s">
        <v>269</v>
      </c>
      <c r="B14" s="10" t="s">
        <v>270</v>
      </c>
      <c r="C14" s="10" t="s">
        <v>271</v>
      </c>
    </row>
    <row r="15" spans="1:3" x14ac:dyDescent="0.25">
      <c r="A15" s="10" t="s">
        <v>272</v>
      </c>
      <c r="B15" s="10" t="s">
        <v>273</v>
      </c>
      <c r="C15" s="10" t="s">
        <v>274</v>
      </c>
    </row>
    <row r="16" spans="1:3" x14ac:dyDescent="0.25">
      <c r="A16" s="10" t="s">
        <v>275</v>
      </c>
      <c r="B16" s="10" t="s">
        <v>276</v>
      </c>
      <c r="C16" s="10" t="s">
        <v>277</v>
      </c>
    </row>
    <row r="17" spans="1:3" x14ac:dyDescent="0.25">
      <c r="A17" s="10" t="s">
        <v>278</v>
      </c>
      <c r="B17" s="10" t="s">
        <v>279</v>
      </c>
      <c r="C17" s="10" t="s">
        <v>280</v>
      </c>
    </row>
    <row r="18" spans="1:3" x14ac:dyDescent="0.25">
      <c r="A18" s="10" t="s">
        <v>281</v>
      </c>
      <c r="B18" s="10" t="s">
        <v>282</v>
      </c>
      <c r="C18" s="10" t="s">
        <v>283</v>
      </c>
    </row>
    <row r="19" spans="1:3" x14ac:dyDescent="0.25">
      <c r="A19" s="10" t="s">
        <v>284</v>
      </c>
      <c r="B19" s="10" t="s">
        <v>285</v>
      </c>
      <c r="C19" s="10" t="s">
        <v>286</v>
      </c>
    </row>
    <row r="20" spans="1:3" x14ac:dyDescent="0.25">
      <c r="A20" s="10" t="s">
        <v>287</v>
      </c>
      <c r="B20" s="10" t="s">
        <v>288</v>
      </c>
      <c r="C20" s="10" t="s">
        <v>289</v>
      </c>
    </row>
    <row r="21" spans="1:3" x14ac:dyDescent="0.25">
      <c r="A21" s="10" t="s">
        <v>290</v>
      </c>
      <c r="B21" s="10" t="s">
        <v>291</v>
      </c>
      <c r="C21" s="10" t="s">
        <v>292</v>
      </c>
    </row>
    <row r="22" spans="1:3" x14ac:dyDescent="0.25">
      <c r="A22" s="10" t="s">
        <v>293</v>
      </c>
      <c r="B22" s="10" t="s">
        <v>294</v>
      </c>
      <c r="C22" s="10" t="s">
        <v>295</v>
      </c>
    </row>
    <row r="23" spans="1:3" x14ac:dyDescent="0.25">
      <c r="A23" s="10" t="s">
        <v>296</v>
      </c>
      <c r="B23" s="10" t="s">
        <v>297</v>
      </c>
      <c r="C23" s="10" t="s">
        <v>298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47"/>
  <sheetViews>
    <sheetView workbookViewId="0">
      <pane ySplit="1" topLeftCell="A176" activePane="bottomLeft" state="frozen"/>
      <selection pane="bottomLeft"/>
    </sheetView>
  </sheetViews>
  <sheetFormatPr baseColWidth="10" defaultColWidth="9.140625" defaultRowHeight="15" x14ac:dyDescent="0.25"/>
  <cols>
    <col min="1" max="1" width="9" customWidth="1"/>
    <col min="2" max="2" width="11" customWidth="1"/>
    <col min="3" max="3" width="10" customWidth="1"/>
    <col min="4" max="4" width="12" customWidth="1"/>
    <col min="5" max="5" width="16" customWidth="1"/>
    <col min="6" max="6" width="10" customWidth="1"/>
    <col min="7" max="7" width="18" customWidth="1"/>
    <col min="8" max="8" width="26" customWidth="1"/>
    <col min="9" max="9" width="8" customWidth="1"/>
    <col min="10" max="10" width="40" customWidth="1"/>
    <col min="11" max="11" width="8" customWidth="1"/>
  </cols>
  <sheetData>
    <row r="1" spans="1:11" x14ac:dyDescent="0.25">
      <c r="A1" s="9" t="s">
        <v>299</v>
      </c>
      <c r="B1" s="9" t="s">
        <v>10</v>
      </c>
      <c r="C1" s="9" t="s">
        <v>300</v>
      </c>
      <c r="D1" s="9" t="s">
        <v>12</v>
      </c>
      <c r="E1" s="9" t="s">
        <v>13</v>
      </c>
      <c r="F1" s="9" t="s">
        <v>301</v>
      </c>
      <c r="G1" s="9" t="s">
        <v>302</v>
      </c>
      <c r="H1" s="9" t="s">
        <v>303</v>
      </c>
      <c r="I1" s="9" t="s">
        <v>304</v>
      </c>
      <c r="J1" s="9" t="s">
        <v>305</v>
      </c>
      <c r="K1" s="9" t="s">
        <v>306</v>
      </c>
    </row>
    <row r="2" spans="1:11" x14ac:dyDescent="0.25">
      <c r="A2" s="10">
        <f>'Pairings NB'!B9</f>
        <v>113</v>
      </c>
      <c r="B2" s="10" t="str">
        <f>'Pairings NB'!C9</f>
        <v>01/10/2026</v>
      </c>
      <c r="C2" s="10" t="str">
        <f>'Pairings NB'!D9</f>
        <v>jueves</v>
      </c>
      <c r="D2" s="10" t="str">
        <f>'Pairings NB'!E9&amp;"/"&amp;'Pairings NB'!E10</f>
        <v>2007/2008</v>
      </c>
      <c r="E2" s="10" t="str">
        <f>'Pairings NB'!F9&amp;"-"&amp;'Pairings NB'!G9&amp;"-"&amp;'Pairings NB'!F9</f>
        <v>LIM-CUZ-LIM</v>
      </c>
      <c r="F2" s="10" t="str">
        <f>IFERROR(VLOOKUP('Pairings NB'!$M$9,Instructores!$A:$C,2,FALSE),"")</f>
        <v/>
      </c>
      <c r="G2" s="10">
        <f>'Pairings NB'!$M$9</f>
        <v>0</v>
      </c>
      <c r="H2" s="10">
        <f>'Pairings NB'!$O$9</f>
        <v>0</v>
      </c>
      <c r="I2" s="10">
        <f>'Pairings NB'!J9</f>
        <v>320</v>
      </c>
      <c r="J2" s="10" t="str">
        <f>IFERROR(VLOOKUP('Pairings NB'!$M$9,Instructores!$A:$C,3,FALSE),"")</f>
        <v/>
      </c>
      <c r="K2" s="10">
        <f>IF('Pairings NB'!J9=320,4,3)</f>
        <v>4</v>
      </c>
    </row>
    <row r="3" spans="1:11" x14ac:dyDescent="0.25">
      <c r="A3" s="10">
        <f>'Pairings NB'!B11</f>
        <v>135</v>
      </c>
      <c r="B3" s="10" t="str">
        <f>'Pairings NB'!C11</f>
        <v>01/10/2026</v>
      </c>
      <c r="C3" s="10" t="str">
        <f>'Pairings NB'!D11</f>
        <v>jueves</v>
      </c>
      <c r="D3" s="10" t="str">
        <f>'Pairings NB'!E11&amp;"/"&amp;'Pairings NB'!E12</f>
        <v>2152/2153</v>
      </c>
      <c r="E3" s="10" t="str">
        <f>'Pairings NB'!F11&amp;"-"&amp;'Pairings NB'!G11&amp;"-"&amp;'Pairings NB'!F11</f>
        <v>LIM-CIX-LIM</v>
      </c>
      <c r="F3" s="10" t="str">
        <f>IFERROR(VLOOKUP('Pairings NB'!$M$9,Instructores!$A:$C,2,FALSE),"")</f>
        <v/>
      </c>
      <c r="G3" s="10">
        <f>'Pairings NB'!$M$9</f>
        <v>0</v>
      </c>
      <c r="H3" s="10">
        <f>'Pairings NB'!$O$9</f>
        <v>0</v>
      </c>
      <c r="I3" s="10">
        <f>'Pairings NB'!J11</f>
        <v>320</v>
      </c>
      <c r="J3" s="10" t="str">
        <f>IFERROR(VLOOKUP('Pairings NB'!$M$9,Instructores!$A:$C,3,FALSE),"")</f>
        <v/>
      </c>
      <c r="K3" s="10">
        <f>IF('Pairings NB'!J11=320,4,3)</f>
        <v>4</v>
      </c>
    </row>
    <row r="4" spans="1:11" x14ac:dyDescent="0.25">
      <c r="A4" s="10">
        <f>'Pairings NB'!B16</f>
        <v>117</v>
      </c>
      <c r="B4" s="10" t="str">
        <f>'Pairings NB'!C16</f>
        <v>01/10/2026</v>
      </c>
      <c r="C4" s="10" t="str">
        <f>'Pairings NB'!D16</f>
        <v>jueves</v>
      </c>
      <c r="D4" s="10" t="str">
        <f>'Pairings NB'!E16&amp;"/"&amp;'Pairings NB'!E17</f>
        <v>2260/2261</v>
      </c>
      <c r="E4" s="10" t="str">
        <f>'Pairings NB'!F16&amp;"-"&amp;'Pairings NB'!G16&amp;"-"&amp;'Pairings NB'!F16</f>
        <v>LIM-PEM-LIM</v>
      </c>
      <c r="F4" s="10" t="str">
        <f>IFERROR(VLOOKUP('Pairings NB'!$M$16,Instructores!$A:$C,2,FALSE),"")</f>
        <v/>
      </c>
      <c r="G4" s="10">
        <f>'Pairings NB'!$M$16</f>
        <v>0</v>
      </c>
      <c r="H4" s="10">
        <f>'Pairings NB'!$O$16</f>
        <v>0</v>
      </c>
      <c r="I4" s="10">
        <f>'Pairings NB'!J16</f>
        <v>320</v>
      </c>
      <c r="J4" s="10" t="str">
        <f>IFERROR(VLOOKUP('Pairings NB'!$M$16,Instructores!$A:$C,3,FALSE),"")</f>
        <v/>
      </c>
      <c r="K4" s="10">
        <f>IF('Pairings NB'!J16=320,4,3)</f>
        <v>4</v>
      </c>
    </row>
    <row r="5" spans="1:11" x14ac:dyDescent="0.25">
      <c r="A5" s="10">
        <f>'Pairings NB'!B18</f>
        <v>144</v>
      </c>
      <c r="B5" s="10" t="str">
        <f>'Pairings NB'!C18</f>
        <v>01/10/2026</v>
      </c>
      <c r="C5" s="10" t="str">
        <f>'Pairings NB'!D18</f>
        <v>jueves</v>
      </c>
      <c r="D5" s="10" t="str">
        <f>'Pairings NB'!E18&amp;"/"&amp;'Pairings NB'!E19</f>
        <v>2297/2296</v>
      </c>
      <c r="E5" s="10" t="str">
        <f>'Pairings NB'!F18&amp;"-"&amp;'Pairings NB'!G18&amp;"-"&amp;'Pairings NB'!F18</f>
        <v>LIM-CJA-LIM</v>
      </c>
      <c r="F5" s="10" t="str">
        <f>IFERROR(VLOOKUP('Pairings NB'!$M$16,Instructores!$A:$C,2,FALSE),"")</f>
        <v/>
      </c>
      <c r="G5" s="10">
        <f>'Pairings NB'!$M$16</f>
        <v>0</v>
      </c>
      <c r="H5" s="10">
        <f>'Pairings NB'!$O$16</f>
        <v>0</v>
      </c>
      <c r="I5" s="10">
        <f>'Pairings NB'!J18</f>
        <v>320</v>
      </c>
      <c r="J5" s="10" t="str">
        <f>IFERROR(VLOOKUP('Pairings NB'!$M$16,Instructores!$A:$C,3,FALSE),"")</f>
        <v/>
      </c>
      <c r="K5" s="10">
        <f>IF('Pairings NB'!J18=320,4,3)</f>
        <v>4</v>
      </c>
    </row>
    <row r="6" spans="1:11" x14ac:dyDescent="0.25">
      <c r="A6" s="10">
        <f>'Pairings NB'!B23</f>
        <v>118</v>
      </c>
      <c r="B6" s="10" t="str">
        <f>'Pairings NB'!C23</f>
        <v>01/10/2026</v>
      </c>
      <c r="C6" s="10" t="str">
        <f>'Pairings NB'!D23</f>
        <v>jueves</v>
      </c>
      <c r="D6" s="10" t="str">
        <f>'Pairings NB'!E23&amp;"/"&amp;'Pairings NB'!E24</f>
        <v>2109/2108</v>
      </c>
      <c r="E6" s="10" t="str">
        <f>'Pairings NB'!F23&amp;"-"&amp;'Pairings NB'!G23&amp;"-"&amp;'Pairings NB'!F23</f>
        <v>LIM-AQP-LIM</v>
      </c>
      <c r="F6" s="10" t="str">
        <f>IFERROR(VLOOKUP('Pairings NB'!$M$23,Instructores!$A:$C,2,FALSE),"")</f>
        <v/>
      </c>
      <c r="G6" s="10">
        <f>'Pairings NB'!$M$23</f>
        <v>0</v>
      </c>
      <c r="H6" s="10">
        <f>'Pairings NB'!$O$23</f>
        <v>0</v>
      </c>
      <c r="I6" s="10">
        <f>'Pairings NB'!J23</f>
        <v>320</v>
      </c>
      <c r="J6" s="10" t="str">
        <f>IFERROR(VLOOKUP('Pairings NB'!$M$23,Instructores!$A:$C,3,FALSE),"")</f>
        <v/>
      </c>
      <c r="K6" s="10">
        <f>IF('Pairings NB'!J23=320,4,3)</f>
        <v>4</v>
      </c>
    </row>
    <row r="7" spans="1:11" x14ac:dyDescent="0.25">
      <c r="A7" s="10">
        <f>'Pairings NB'!B25</f>
        <v>145</v>
      </c>
      <c r="B7" s="10" t="str">
        <f>'Pairings NB'!C25</f>
        <v>01/10/2026</v>
      </c>
      <c r="C7" s="10" t="str">
        <f>'Pairings NB'!D25</f>
        <v>jueves</v>
      </c>
      <c r="D7" s="10" t="str">
        <f>'Pairings NB'!E25&amp;"/"&amp;'Pairings NB'!E26</f>
        <v>2360/2361</v>
      </c>
      <c r="E7" s="10" t="str">
        <f>'Pairings NB'!F25&amp;"-"&amp;'Pairings NB'!G25&amp;"-"&amp;'Pairings NB'!F25</f>
        <v>LIM-PCL-LIM</v>
      </c>
      <c r="F7" s="10" t="str">
        <f>IFERROR(VLOOKUP('Pairings NB'!$M$23,Instructores!$A:$C,2,FALSE),"")</f>
        <v/>
      </c>
      <c r="G7" s="10">
        <f>'Pairings NB'!$M$23</f>
        <v>0</v>
      </c>
      <c r="H7" s="10">
        <f>'Pairings NB'!$O$23</f>
        <v>0</v>
      </c>
      <c r="I7" s="10">
        <f>'Pairings NB'!J25</f>
        <v>319</v>
      </c>
      <c r="J7" s="10" t="str">
        <f>IFERROR(VLOOKUP('Pairings NB'!$M$23,Instructores!$A:$C,3,FALSE),"")</f>
        <v/>
      </c>
      <c r="K7" s="10">
        <f>IF('Pairings NB'!J25=320,4,3)</f>
        <v>3</v>
      </c>
    </row>
    <row r="8" spans="1:11" x14ac:dyDescent="0.25">
      <c r="A8" s="10">
        <f>'Pairings NB'!B30</f>
        <v>119</v>
      </c>
      <c r="B8" s="10" t="str">
        <f>'Pairings NB'!C30</f>
        <v>01/10/2026</v>
      </c>
      <c r="C8" s="10" t="str">
        <f>'Pairings NB'!D30</f>
        <v>jueves</v>
      </c>
      <c r="D8" s="10" t="str">
        <f>'Pairings NB'!E30&amp;"/"&amp;'Pairings NB'!E31</f>
        <v>2019/2038</v>
      </c>
      <c r="E8" s="10" t="str">
        <f>'Pairings NB'!F30&amp;"-"&amp;'Pairings NB'!G30&amp;"-"&amp;'Pairings NB'!F30</f>
        <v>LIM-IQT-LIM</v>
      </c>
      <c r="F8" s="10" t="str">
        <f>IFERROR(VLOOKUP('Pairings NB'!$M$30,Instructores!$A:$C,2,FALSE),"")</f>
        <v/>
      </c>
      <c r="G8" s="10">
        <f>'Pairings NB'!$M$30</f>
        <v>0</v>
      </c>
      <c r="H8" s="10">
        <f>'Pairings NB'!$O$30</f>
        <v>0</v>
      </c>
      <c r="I8" s="10">
        <f>'Pairings NB'!J30</f>
        <v>319</v>
      </c>
      <c r="J8" s="10" t="str">
        <f>IFERROR(VLOOKUP('Pairings NB'!$M$30,Instructores!$A:$C,3,FALSE),"")</f>
        <v/>
      </c>
      <c r="K8" s="10">
        <f>IF('Pairings NB'!J30=320,4,3)</f>
        <v>3</v>
      </c>
    </row>
    <row r="9" spans="1:11" x14ac:dyDescent="0.25">
      <c r="A9" s="10">
        <f>'Pairings NB'!B32</f>
        <v>151</v>
      </c>
      <c r="B9" s="10" t="str">
        <f>'Pairings NB'!C32</f>
        <v>01/10/2026</v>
      </c>
      <c r="C9" s="10" t="str">
        <f>'Pairings NB'!D32</f>
        <v>jueves</v>
      </c>
      <c r="D9" s="10" t="str">
        <f>'Pairings NB'!E32&amp;"/"&amp;'Pairings NB'!E33</f>
        <v>2115/2114</v>
      </c>
      <c r="E9" s="10" t="str">
        <f>'Pairings NB'!F32&amp;"-"&amp;'Pairings NB'!G32&amp;"-"&amp;'Pairings NB'!F32</f>
        <v>LIM-AQP-LIM</v>
      </c>
      <c r="F9" s="10" t="str">
        <f>IFERROR(VLOOKUP('Pairings NB'!$M$30,Instructores!$A:$C,2,FALSE),"")</f>
        <v/>
      </c>
      <c r="G9" s="10">
        <f>'Pairings NB'!$M$30</f>
        <v>0</v>
      </c>
      <c r="H9" s="10">
        <f>'Pairings NB'!$O$30</f>
        <v>0</v>
      </c>
      <c r="I9" s="10">
        <f>'Pairings NB'!J32</f>
        <v>320</v>
      </c>
      <c r="J9" s="10" t="str">
        <f>IFERROR(VLOOKUP('Pairings NB'!$M$30,Instructores!$A:$C,3,FALSE),"")</f>
        <v/>
      </c>
      <c r="K9" s="10">
        <f>IF('Pairings NB'!J32=320,4,3)</f>
        <v>4</v>
      </c>
    </row>
    <row r="10" spans="1:11" x14ac:dyDescent="0.25">
      <c r="A10" s="10">
        <f>'Pairings NB'!B37</f>
        <v>120</v>
      </c>
      <c r="B10" s="10" t="str">
        <f>'Pairings NB'!C37</f>
        <v>01/10/2026</v>
      </c>
      <c r="C10" s="10" t="str">
        <f>'Pairings NB'!D37</f>
        <v>jueves</v>
      </c>
      <c r="D10" s="10" t="str">
        <f>'Pairings NB'!E37&amp;"/"&amp;'Pairings NB'!E38</f>
        <v>2299/2298</v>
      </c>
      <c r="E10" s="10" t="str">
        <f>'Pairings NB'!F37&amp;"-"&amp;'Pairings NB'!G37&amp;"-"&amp;'Pairings NB'!F37</f>
        <v>LIM-CJA-LIM</v>
      </c>
      <c r="F10" s="10" t="str">
        <f>IFERROR(VLOOKUP('Pairings NB'!$M$37,Instructores!$A:$C,2,FALSE),"")</f>
        <v/>
      </c>
      <c r="G10" s="10">
        <f>'Pairings NB'!$M$37</f>
        <v>0</v>
      </c>
      <c r="H10" s="10">
        <f>'Pairings NB'!$O$37</f>
        <v>0</v>
      </c>
      <c r="I10" s="10">
        <f>'Pairings NB'!J37</f>
        <v>320</v>
      </c>
      <c r="J10" s="10" t="str">
        <f>IFERROR(VLOOKUP('Pairings NB'!$M$37,Instructores!$A:$C,3,FALSE),"")</f>
        <v/>
      </c>
      <c r="K10" s="10">
        <f>IF('Pairings NB'!J37=320,4,3)</f>
        <v>4</v>
      </c>
    </row>
    <row r="11" spans="1:11" x14ac:dyDescent="0.25">
      <c r="A11" s="10">
        <f>'Pairings NB'!B42</f>
        <v>133</v>
      </c>
      <c r="B11" s="10" t="str">
        <f>'Pairings NB'!C42</f>
        <v>01/10/2026</v>
      </c>
      <c r="C11" s="10" t="str">
        <f>'Pairings NB'!D42</f>
        <v>jueves</v>
      </c>
      <c r="D11" s="10" t="str">
        <f>'Pairings NB'!E42&amp;"/"&amp;'Pairings NB'!E43</f>
        <v>2028/2029</v>
      </c>
      <c r="E11" s="10" t="str">
        <f>'Pairings NB'!F42&amp;"-"&amp;'Pairings NB'!G42&amp;"-"&amp;'Pairings NB'!F42</f>
        <v>LIM-CUZ-LIM</v>
      </c>
      <c r="F11" s="10" t="str">
        <f>IFERROR(VLOOKUP('Pairings NB'!$M$42,Instructores!$A:$C,2,FALSE),"")</f>
        <v/>
      </c>
      <c r="G11" s="10">
        <f>'Pairings NB'!$M$42</f>
        <v>0</v>
      </c>
      <c r="H11" s="10">
        <f>'Pairings NB'!$O$42</f>
        <v>0</v>
      </c>
      <c r="I11" s="10">
        <f>'Pairings NB'!J42</f>
        <v>320</v>
      </c>
      <c r="J11" s="10" t="str">
        <f>IFERROR(VLOOKUP('Pairings NB'!$M$42,Instructores!$A:$C,3,FALSE),"")</f>
        <v/>
      </c>
      <c r="K11" s="10">
        <f>IF('Pairings NB'!J42=320,4,3)</f>
        <v>4</v>
      </c>
    </row>
    <row r="12" spans="1:11" x14ac:dyDescent="0.25">
      <c r="A12" s="10">
        <f>'Pairings NB'!B44</f>
        <v>153</v>
      </c>
      <c r="B12" s="10" t="str">
        <f>'Pairings NB'!C44</f>
        <v>01/10/2026</v>
      </c>
      <c r="C12" s="10" t="str">
        <f>'Pairings NB'!D44</f>
        <v>jueves</v>
      </c>
      <c r="D12" s="10" t="str">
        <f>'Pairings NB'!E44&amp;"/"&amp;'Pairings NB'!E45</f>
        <v>2223/2224</v>
      </c>
      <c r="E12" s="10" t="str">
        <f>'Pairings NB'!F44&amp;"-"&amp;'Pairings NB'!G44&amp;"-"&amp;'Pairings NB'!F44</f>
        <v>LIM-CUZ-LIM</v>
      </c>
      <c r="F12" s="10" t="str">
        <f>IFERROR(VLOOKUP('Pairings NB'!$M$42,Instructores!$A:$C,2,FALSE),"")</f>
        <v/>
      </c>
      <c r="G12" s="10">
        <f>'Pairings NB'!$M$42</f>
        <v>0</v>
      </c>
      <c r="H12" s="10">
        <f>'Pairings NB'!$O$42</f>
        <v>0</v>
      </c>
      <c r="I12" s="10">
        <f>'Pairings NB'!J44</f>
        <v>320</v>
      </c>
      <c r="J12" s="10" t="str">
        <f>IFERROR(VLOOKUP('Pairings NB'!$M$42,Instructores!$A:$C,3,FALSE),"")</f>
        <v/>
      </c>
      <c r="K12" s="10">
        <f>IF('Pairings NB'!J44=320,4,3)</f>
        <v>4</v>
      </c>
    </row>
    <row r="13" spans="1:11" x14ac:dyDescent="0.25">
      <c r="A13" s="10">
        <f>'Pairings NB'!B49</f>
        <v>136</v>
      </c>
      <c r="B13" s="10" t="str">
        <f>'Pairings NB'!C49</f>
        <v>01/10/2026</v>
      </c>
      <c r="C13" s="10" t="str">
        <f>'Pairings NB'!D49</f>
        <v>jueves</v>
      </c>
      <c r="D13" s="10" t="str">
        <f>'Pairings NB'!E49&amp;"/"&amp;'Pairings NB'!E50</f>
        <v>2152/2153</v>
      </c>
      <c r="E13" s="10" t="str">
        <f>'Pairings NB'!F49&amp;"-"&amp;'Pairings NB'!G49&amp;"-"&amp;'Pairings NB'!F49</f>
        <v>LIM-CIX-LIM</v>
      </c>
      <c r="F13" s="10" t="str">
        <f>IFERROR(VLOOKUP('Pairings NB'!$M$49,Instructores!$A:$C,2,FALSE),"")</f>
        <v/>
      </c>
      <c r="G13" s="10">
        <f>'Pairings NB'!$M$49</f>
        <v>0</v>
      </c>
      <c r="H13" s="10">
        <f>'Pairings NB'!$O$49</f>
        <v>0</v>
      </c>
      <c r="I13" s="10">
        <f>'Pairings NB'!J49</f>
        <v>320</v>
      </c>
      <c r="J13" s="10" t="str">
        <f>IFERROR(VLOOKUP('Pairings NB'!$M$49,Instructores!$A:$C,3,FALSE),"")</f>
        <v/>
      </c>
      <c r="K13" s="10">
        <f>IF('Pairings NB'!J49=320,4,3)</f>
        <v>4</v>
      </c>
    </row>
    <row r="14" spans="1:11" x14ac:dyDescent="0.25">
      <c r="A14" s="10">
        <f>'Pairings NB'!B54</f>
        <v>137</v>
      </c>
      <c r="B14" s="10" t="str">
        <f>'Pairings NB'!C54</f>
        <v>01/10/2026</v>
      </c>
      <c r="C14" s="10" t="str">
        <f>'Pairings NB'!D54</f>
        <v>jueves</v>
      </c>
      <c r="D14" s="10" t="str">
        <f>'Pairings NB'!E54&amp;"/"&amp;'Pairings NB'!E55</f>
        <v>2055/2056</v>
      </c>
      <c r="E14" s="10" t="str">
        <f>'Pairings NB'!F54&amp;"-"&amp;'Pairings NB'!G54&amp;"-"&amp;'Pairings NB'!F54</f>
        <v>LIM-AQP-LIM</v>
      </c>
      <c r="F14" s="10" t="str">
        <f>IFERROR(VLOOKUP('Pairings NB'!$M$54,Instructores!$A:$C,2,FALSE),"")</f>
        <v/>
      </c>
      <c r="G14" s="10">
        <f>'Pairings NB'!$M$54</f>
        <v>0</v>
      </c>
      <c r="H14" s="10">
        <f>'Pairings NB'!$O$54</f>
        <v>0</v>
      </c>
      <c r="I14" s="10">
        <f>'Pairings NB'!J54</f>
        <v>320</v>
      </c>
      <c r="J14" s="10" t="str">
        <f>IFERROR(VLOOKUP('Pairings NB'!$M$54,Instructores!$A:$C,3,FALSE),"")</f>
        <v/>
      </c>
      <c r="K14" s="10">
        <f>IF('Pairings NB'!J54=320,4,3)</f>
        <v>4</v>
      </c>
    </row>
    <row r="15" spans="1:11" x14ac:dyDescent="0.25">
      <c r="A15" s="10">
        <f>'Pairings NB'!B59</f>
        <v>139</v>
      </c>
      <c r="B15" s="10" t="str">
        <f>'Pairings NB'!C59</f>
        <v>01/10/2026</v>
      </c>
      <c r="C15" s="10" t="str">
        <f>'Pairings NB'!D59</f>
        <v>jueves</v>
      </c>
      <c r="D15" s="10" t="str">
        <f>'Pairings NB'!E59&amp;"/"&amp;'Pairings NB'!E60</f>
        <v>2154/2155</v>
      </c>
      <c r="E15" s="10" t="str">
        <f>'Pairings NB'!F59&amp;"-"&amp;'Pairings NB'!G59&amp;"-"&amp;'Pairings NB'!F59</f>
        <v>LIM-CUZ-LIM</v>
      </c>
      <c r="F15" s="10" t="str">
        <f>IFERROR(VLOOKUP('Pairings NB'!$M$59,Instructores!$A:$C,2,FALSE),"")</f>
        <v/>
      </c>
      <c r="G15" s="10">
        <f>'Pairings NB'!$M$59</f>
        <v>0</v>
      </c>
      <c r="H15" s="10">
        <f>'Pairings NB'!$O$59</f>
        <v>0</v>
      </c>
      <c r="I15" s="10">
        <f>'Pairings NB'!J59</f>
        <v>320</v>
      </c>
      <c r="J15" s="10" t="str">
        <f>IFERROR(VLOOKUP('Pairings NB'!$M$59,Instructores!$A:$C,3,FALSE),"")</f>
        <v/>
      </c>
      <c r="K15" s="10">
        <f>IF('Pairings NB'!J59=320,4,3)</f>
        <v>4</v>
      </c>
    </row>
    <row r="16" spans="1:11" x14ac:dyDescent="0.25">
      <c r="A16" s="10">
        <f>'Pairings NB'!B64</f>
        <v>140</v>
      </c>
      <c r="B16" s="10" t="str">
        <f>'Pairings NB'!C64</f>
        <v>01/10/2026</v>
      </c>
      <c r="C16" s="10" t="str">
        <f>'Pairings NB'!D64</f>
        <v>jueves</v>
      </c>
      <c r="D16" s="10" t="str">
        <f>'Pairings NB'!E64&amp;"/"&amp;'Pairings NB'!E65</f>
        <v>2264/2265</v>
      </c>
      <c r="E16" s="10" t="str">
        <f>'Pairings NB'!F64&amp;"-"&amp;'Pairings NB'!G64&amp;"-"&amp;'Pairings NB'!F64</f>
        <v>LIM-PEM-LIM</v>
      </c>
      <c r="F16" s="10" t="str">
        <f>IFERROR(VLOOKUP('Pairings NB'!$M$64,Instructores!$A:$C,2,FALSE),"")</f>
        <v/>
      </c>
      <c r="G16" s="10">
        <f>'Pairings NB'!$M$64</f>
        <v>0</v>
      </c>
      <c r="H16" s="10">
        <f>'Pairings NB'!$O$64</f>
        <v>0</v>
      </c>
      <c r="I16" s="10">
        <f>'Pairings NB'!J64</f>
        <v>320</v>
      </c>
      <c r="J16" s="10" t="str">
        <f>IFERROR(VLOOKUP('Pairings NB'!$M$64,Instructores!$A:$C,3,FALSE),"")</f>
        <v/>
      </c>
      <c r="K16" s="10">
        <f>IF('Pairings NB'!J64=320,4,3)</f>
        <v>4</v>
      </c>
    </row>
    <row r="17" spans="1:11" x14ac:dyDescent="0.25">
      <c r="A17" s="10">
        <f>'Pairings NB'!B69</f>
        <v>141</v>
      </c>
      <c r="B17" s="10" t="str">
        <f>'Pairings NB'!C69</f>
        <v>01/10/2026</v>
      </c>
      <c r="C17" s="10" t="str">
        <f>'Pairings NB'!D69</f>
        <v>jueves</v>
      </c>
      <c r="D17" s="10" t="str">
        <f>'Pairings NB'!E69&amp;"/"&amp;'Pairings NB'!E70</f>
        <v>2264/2265</v>
      </c>
      <c r="E17" s="10" t="str">
        <f>'Pairings NB'!F69&amp;"-"&amp;'Pairings NB'!G69&amp;"-"&amp;'Pairings NB'!F69</f>
        <v>LIM-PEM-LIM</v>
      </c>
      <c r="F17" s="10" t="str">
        <f>IFERROR(VLOOKUP('Pairings NB'!$M$69,Instructores!$A:$C,2,FALSE),"")</f>
        <v/>
      </c>
      <c r="G17" s="10">
        <f>'Pairings NB'!$M$69</f>
        <v>0</v>
      </c>
      <c r="H17" s="10">
        <f>'Pairings NB'!$O$69</f>
        <v>0</v>
      </c>
      <c r="I17" s="10">
        <f>'Pairings NB'!J69</f>
        <v>320</v>
      </c>
      <c r="J17" s="10" t="str">
        <f>IFERROR(VLOOKUP('Pairings NB'!$M$69,Instructores!$A:$C,3,FALSE),"")</f>
        <v/>
      </c>
      <c r="K17" s="10">
        <f>IF('Pairings NB'!J69=320,4,3)</f>
        <v>4</v>
      </c>
    </row>
    <row r="18" spans="1:11" x14ac:dyDescent="0.25">
      <c r="A18" s="10">
        <f>'Pairings NB'!B74</f>
        <v>146</v>
      </c>
      <c r="B18" s="10" t="str">
        <f>'Pairings NB'!C74</f>
        <v>01/10/2026</v>
      </c>
      <c r="C18" s="10" t="str">
        <f>'Pairings NB'!D74</f>
        <v>jueves</v>
      </c>
      <c r="D18" s="10" t="str">
        <f>'Pairings NB'!E74&amp;"/"&amp;'Pairings NB'!E75</f>
        <v>2312/2313</v>
      </c>
      <c r="E18" s="10" t="str">
        <f>'Pairings NB'!F74&amp;"-"&amp;'Pairings NB'!G74&amp;"-"&amp;'Pairings NB'!F74</f>
        <v>LIM-CIX-LIM</v>
      </c>
      <c r="F18" s="10" t="str">
        <f>IFERROR(VLOOKUP('Pairings NB'!$M$74,Instructores!$A:$C,2,FALSE),"")</f>
        <v/>
      </c>
      <c r="G18" s="10">
        <f>'Pairings NB'!$M$74</f>
        <v>0</v>
      </c>
      <c r="H18" s="10">
        <f>'Pairings NB'!$O$74</f>
        <v>0</v>
      </c>
      <c r="I18" s="10">
        <f>'Pairings NB'!J74</f>
        <v>320</v>
      </c>
      <c r="J18" s="10" t="str">
        <f>IFERROR(VLOOKUP('Pairings NB'!$M$74,Instructores!$A:$C,3,FALSE),"")</f>
        <v/>
      </c>
      <c r="K18" s="10">
        <f>IF('Pairings NB'!J74=320,4,3)</f>
        <v>4</v>
      </c>
    </row>
    <row r="19" spans="1:11" x14ac:dyDescent="0.25">
      <c r="A19" s="10">
        <f>'Pairings NB'!B79</f>
        <v>147</v>
      </c>
      <c r="B19" s="10" t="str">
        <f>'Pairings NB'!C79</f>
        <v>01/10/2026</v>
      </c>
      <c r="C19" s="10" t="str">
        <f>'Pairings NB'!D79</f>
        <v>jueves</v>
      </c>
      <c r="D19" s="10" t="str">
        <f>'Pairings NB'!E79&amp;"/"&amp;'Pairings NB'!E80</f>
        <v>2312/2313</v>
      </c>
      <c r="E19" s="10" t="str">
        <f>'Pairings NB'!F79&amp;"-"&amp;'Pairings NB'!G79&amp;"-"&amp;'Pairings NB'!F79</f>
        <v>LIM-CIX-LIM</v>
      </c>
      <c r="F19" s="10" t="str">
        <f>IFERROR(VLOOKUP('Pairings NB'!$M$79,Instructores!$A:$C,2,FALSE),"")</f>
        <v/>
      </c>
      <c r="G19" s="10">
        <f>'Pairings NB'!$M$79</f>
        <v>0</v>
      </c>
      <c r="H19" s="10">
        <f>'Pairings NB'!$O$79</f>
        <v>0</v>
      </c>
      <c r="I19" s="10">
        <f>'Pairings NB'!J79</f>
        <v>320</v>
      </c>
      <c r="J19" s="10" t="str">
        <f>IFERROR(VLOOKUP('Pairings NB'!$M$79,Instructores!$A:$C,3,FALSE),"")</f>
        <v/>
      </c>
      <c r="K19" s="10">
        <f>IF('Pairings NB'!J79=320,4,3)</f>
        <v>4</v>
      </c>
    </row>
    <row r="20" spans="1:11" x14ac:dyDescent="0.25">
      <c r="A20" s="10">
        <f>'Pairings NB'!B84</f>
        <v>148</v>
      </c>
      <c r="B20" s="10" t="str">
        <f>'Pairings NB'!C84</f>
        <v>01/10/2026</v>
      </c>
      <c r="C20" s="10" t="str">
        <f>'Pairings NB'!D84</f>
        <v>jueves</v>
      </c>
      <c r="D20" s="10" t="str">
        <f>'Pairings NB'!E84&amp;"/"&amp;'Pairings NB'!E85</f>
        <v>2301/2300</v>
      </c>
      <c r="E20" s="10" t="str">
        <f>'Pairings NB'!F84&amp;"-"&amp;'Pairings NB'!G84&amp;"-"&amp;'Pairings NB'!F84</f>
        <v>LIM-TPP-LIM</v>
      </c>
      <c r="F20" s="10" t="str">
        <f>IFERROR(VLOOKUP('Pairings NB'!$M$84,Instructores!$A:$C,2,FALSE),"")</f>
        <v/>
      </c>
      <c r="G20" s="10">
        <f>'Pairings NB'!$M$84</f>
        <v>0</v>
      </c>
      <c r="H20" s="10">
        <f>'Pairings NB'!$O$84</f>
        <v>0</v>
      </c>
      <c r="I20" s="10">
        <f>'Pairings NB'!J84</f>
        <v>320</v>
      </c>
      <c r="J20" s="10" t="str">
        <f>IFERROR(VLOOKUP('Pairings NB'!$M$84,Instructores!$A:$C,3,FALSE),"")</f>
        <v/>
      </c>
      <c r="K20" s="10">
        <f>IF('Pairings NB'!J84=320,4,3)</f>
        <v>4</v>
      </c>
    </row>
    <row r="21" spans="1:11" x14ac:dyDescent="0.25">
      <c r="A21" s="10">
        <f>'Pairings NB'!B89</f>
        <v>195</v>
      </c>
      <c r="B21" s="10" t="str">
        <f>'Pairings NB'!C89</f>
        <v>02/10/2026</v>
      </c>
      <c r="C21" s="10" t="str">
        <f>'Pairings NB'!D89</f>
        <v>viernes</v>
      </c>
      <c r="D21" s="10" t="str">
        <f>'Pairings NB'!E89&amp;"/"&amp;'Pairings NB'!E90</f>
        <v>2007/2008</v>
      </c>
      <c r="E21" s="10" t="str">
        <f>'Pairings NB'!F89&amp;"-"&amp;'Pairings NB'!G89&amp;"-"&amp;'Pairings NB'!F89</f>
        <v>LIM-CUZ-LIM</v>
      </c>
      <c r="F21" s="10" t="str">
        <f>IFERROR(VLOOKUP('Pairings NB'!$M$89,Instructores!$A:$C,2,FALSE),"")</f>
        <v/>
      </c>
      <c r="G21" s="10">
        <f>'Pairings NB'!$M$89</f>
        <v>0</v>
      </c>
      <c r="H21" s="10">
        <f>'Pairings NB'!$O$89</f>
        <v>0</v>
      </c>
      <c r="I21" s="10">
        <f>'Pairings NB'!J89</f>
        <v>320</v>
      </c>
      <c r="J21" s="10" t="str">
        <f>IFERROR(VLOOKUP('Pairings NB'!$M$89,Instructores!$A:$C,3,FALSE),"")</f>
        <v/>
      </c>
      <c r="K21" s="10">
        <f>IF('Pairings NB'!J89=320,4,3)</f>
        <v>4</v>
      </c>
    </row>
    <row r="22" spans="1:11" x14ac:dyDescent="0.25">
      <c r="A22" s="10">
        <f>'Pairings NB'!B91</f>
        <v>216</v>
      </c>
      <c r="B22" s="10" t="str">
        <f>'Pairings NB'!C91</f>
        <v>02/10/2026</v>
      </c>
      <c r="C22" s="10" t="str">
        <f>'Pairings NB'!D91</f>
        <v>viernes</v>
      </c>
      <c r="D22" s="10" t="str">
        <f>'Pairings NB'!E91&amp;"/"&amp;'Pairings NB'!E92</f>
        <v>2152/2153</v>
      </c>
      <c r="E22" s="10" t="str">
        <f>'Pairings NB'!F91&amp;"-"&amp;'Pairings NB'!G91&amp;"-"&amp;'Pairings NB'!F91</f>
        <v>LIM-CIX-LIM</v>
      </c>
      <c r="F22" s="10" t="str">
        <f>IFERROR(VLOOKUP('Pairings NB'!$M$89,Instructores!$A:$C,2,FALSE),"")</f>
        <v/>
      </c>
      <c r="G22" s="10">
        <f>'Pairings NB'!$M$89</f>
        <v>0</v>
      </c>
      <c r="H22" s="10">
        <f>'Pairings NB'!$O$89</f>
        <v>0</v>
      </c>
      <c r="I22" s="10">
        <f>'Pairings NB'!J91</f>
        <v>320</v>
      </c>
      <c r="J22" s="10" t="str">
        <f>IFERROR(VLOOKUP('Pairings NB'!$M$89,Instructores!$A:$C,3,FALSE),"")</f>
        <v/>
      </c>
      <c r="K22" s="10">
        <f>IF('Pairings NB'!J91=320,4,3)</f>
        <v>4</v>
      </c>
    </row>
    <row r="23" spans="1:11" x14ac:dyDescent="0.25">
      <c r="A23" s="10">
        <f>'Pairings NB'!B96</f>
        <v>199</v>
      </c>
      <c r="B23" s="10" t="str">
        <f>'Pairings NB'!C96</f>
        <v>02/10/2026</v>
      </c>
      <c r="C23" s="10" t="str">
        <f>'Pairings NB'!D96</f>
        <v>viernes</v>
      </c>
      <c r="D23" s="10" t="str">
        <f>'Pairings NB'!E96&amp;"/"&amp;'Pairings NB'!E97</f>
        <v>2075/2076</v>
      </c>
      <c r="E23" s="10" t="str">
        <f>'Pairings NB'!F96&amp;"-"&amp;'Pairings NB'!G96&amp;"-"&amp;'Pairings NB'!F96</f>
        <v>LIM-CUZ-LIM</v>
      </c>
      <c r="F23" s="10" t="str">
        <f>IFERROR(VLOOKUP('Pairings NB'!$M$96,Instructores!$A:$C,2,FALSE),"")</f>
        <v/>
      </c>
      <c r="G23" s="10">
        <f>'Pairings NB'!$M$96</f>
        <v>0</v>
      </c>
      <c r="H23" s="10">
        <f>'Pairings NB'!$O$96</f>
        <v>0</v>
      </c>
      <c r="I23" s="10">
        <f>'Pairings NB'!J96</f>
        <v>320</v>
      </c>
      <c r="J23" s="10" t="str">
        <f>IFERROR(VLOOKUP('Pairings NB'!$M$96,Instructores!$A:$C,3,FALSE),"")</f>
        <v/>
      </c>
      <c r="K23" s="10">
        <f>IF('Pairings NB'!J96=320,4,3)</f>
        <v>4</v>
      </c>
    </row>
    <row r="24" spans="1:11" x14ac:dyDescent="0.25">
      <c r="A24" s="10">
        <f>'Pairings NB'!B98</f>
        <v>223</v>
      </c>
      <c r="B24" s="10" t="str">
        <f>'Pairings NB'!C98</f>
        <v>02/10/2026</v>
      </c>
      <c r="C24" s="10" t="str">
        <f>'Pairings NB'!D98</f>
        <v>viernes</v>
      </c>
      <c r="D24" s="10" t="str">
        <f>'Pairings NB'!E98&amp;"/"&amp;'Pairings NB'!E99</f>
        <v>2297/2296</v>
      </c>
      <c r="E24" s="10" t="str">
        <f>'Pairings NB'!F98&amp;"-"&amp;'Pairings NB'!G98&amp;"-"&amp;'Pairings NB'!F98</f>
        <v>LIM-CJA-LIM</v>
      </c>
      <c r="F24" s="10" t="str">
        <f>IFERROR(VLOOKUP('Pairings NB'!$M$96,Instructores!$A:$C,2,FALSE),"")</f>
        <v/>
      </c>
      <c r="G24" s="10">
        <f>'Pairings NB'!$M$96</f>
        <v>0</v>
      </c>
      <c r="H24" s="10">
        <f>'Pairings NB'!$O$96</f>
        <v>0</v>
      </c>
      <c r="I24" s="10">
        <f>'Pairings NB'!J98</f>
        <v>320</v>
      </c>
      <c r="J24" s="10" t="str">
        <f>IFERROR(VLOOKUP('Pairings NB'!$M$96,Instructores!$A:$C,3,FALSE),"")</f>
        <v/>
      </c>
      <c r="K24" s="10">
        <f>IF('Pairings NB'!J98=320,4,3)</f>
        <v>4</v>
      </c>
    </row>
    <row r="25" spans="1:11" x14ac:dyDescent="0.25">
      <c r="A25" s="10">
        <f>'Pairings NB'!B103</f>
        <v>200</v>
      </c>
      <c r="B25" s="10" t="str">
        <f>'Pairings NB'!C103</f>
        <v>02/10/2026</v>
      </c>
      <c r="C25" s="10" t="str">
        <f>'Pairings NB'!D103</f>
        <v>viernes</v>
      </c>
      <c r="D25" s="10" t="str">
        <f>'Pairings NB'!E103&amp;"/"&amp;'Pairings NB'!E104</f>
        <v>2019/2038</v>
      </c>
      <c r="E25" s="10" t="str">
        <f>'Pairings NB'!F103&amp;"-"&amp;'Pairings NB'!G103&amp;"-"&amp;'Pairings NB'!F103</f>
        <v>LIM-IQT-LIM</v>
      </c>
      <c r="F25" s="10" t="str">
        <f>IFERROR(VLOOKUP('Pairings NB'!$M$103,Instructores!$A:$C,2,FALSE),"")</f>
        <v/>
      </c>
      <c r="G25" s="10">
        <f>'Pairings NB'!$M$103</f>
        <v>0</v>
      </c>
      <c r="H25" s="10">
        <f>'Pairings NB'!$O$103</f>
        <v>0</v>
      </c>
      <c r="I25" s="10">
        <f>'Pairings NB'!J103</f>
        <v>319</v>
      </c>
      <c r="J25" s="10" t="str">
        <f>IFERROR(VLOOKUP('Pairings NB'!$M$103,Instructores!$A:$C,3,FALSE),"")</f>
        <v/>
      </c>
      <c r="K25" s="10">
        <f>IF('Pairings NB'!J103=320,4,3)</f>
        <v>3</v>
      </c>
    </row>
    <row r="26" spans="1:11" x14ac:dyDescent="0.25">
      <c r="A26" s="10">
        <f>'Pairings NB'!B108</f>
        <v>201</v>
      </c>
      <c r="B26" s="10" t="str">
        <f>'Pairings NB'!C108</f>
        <v>02/10/2026</v>
      </c>
      <c r="C26" s="10" t="str">
        <f>'Pairings NB'!D108</f>
        <v>viernes</v>
      </c>
      <c r="D26" s="10" t="str">
        <f>'Pairings NB'!E108&amp;"/"&amp;'Pairings NB'!E109</f>
        <v>2299/2298</v>
      </c>
      <c r="E26" s="10" t="str">
        <f>'Pairings NB'!F108&amp;"-"&amp;'Pairings NB'!G108&amp;"-"&amp;'Pairings NB'!F108</f>
        <v>LIM-CJA-LIM</v>
      </c>
      <c r="F26" s="10" t="str">
        <f>IFERROR(VLOOKUP('Pairings NB'!$M$108,Instructores!$A:$C,2,FALSE),"")</f>
        <v/>
      </c>
      <c r="G26" s="10">
        <f>'Pairings NB'!$M$108</f>
        <v>0</v>
      </c>
      <c r="H26" s="10">
        <f>'Pairings NB'!$O$108</f>
        <v>0</v>
      </c>
      <c r="I26" s="10">
        <f>'Pairings NB'!J108</f>
        <v>320</v>
      </c>
      <c r="J26" s="10" t="str">
        <f>IFERROR(VLOOKUP('Pairings NB'!$M$108,Instructores!$A:$C,3,FALSE),"")</f>
        <v/>
      </c>
      <c r="K26" s="10">
        <f>IF('Pairings NB'!J108=320,4,3)</f>
        <v>4</v>
      </c>
    </row>
    <row r="27" spans="1:11" x14ac:dyDescent="0.25">
      <c r="A27" s="10">
        <f>'Pairings NB'!B110</f>
        <v>231</v>
      </c>
      <c r="B27" s="10" t="str">
        <f>'Pairings NB'!C110</f>
        <v>02/10/2026</v>
      </c>
      <c r="C27" s="10" t="str">
        <f>'Pairings NB'!D110</f>
        <v>viernes</v>
      </c>
      <c r="D27" s="10" t="str">
        <f>'Pairings NB'!E110&amp;"/"&amp;'Pairings NB'!E111</f>
        <v>2127/2026</v>
      </c>
      <c r="E27" s="10" t="str">
        <f>'Pairings NB'!F110&amp;"-"&amp;'Pairings NB'!G110&amp;"-"&amp;'Pairings NB'!F110</f>
        <v>LIM-CUZ-LIM</v>
      </c>
      <c r="F27" s="10" t="str">
        <f>IFERROR(VLOOKUP('Pairings NB'!$M$108,Instructores!$A:$C,2,FALSE),"")</f>
        <v/>
      </c>
      <c r="G27" s="10">
        <f>'Pairings NB'!$M$108</f>
        <v>0</v>
      </c>
      <c r="H27" s="10">
        <f>'Pairings NB'!$O$108</f>
        <v>0</v>
      </c>
      <c r="I27" s="10">
        <f>'Pairings NB'!J110</f>
        <v>320</v>
      </c>
      <c r="J27" s="10" t="str">
        <f>IFERROR(VLOOKUP('Pairings NB'!$M$108,Instructores!$A:$C,3,FALSE),"")</f>
        <v/>
      </c>
      <c r="K27" s="10">
        <f>IF('Pairings NB'!J110=320,4,3)</f>
        <v>4</v>
      </c>
    </row>
    <row r="28" spans="1:11" x14ac:dyDescent="0.25">
      <c r="A28" s="10">
        <f>'Pairings NB'!B115</f>
        <v>203</v>
      </c>
      <c r="B28" s="10" t="str">
        <f>'Pairings NB'!C115</f>
        <v>02/10/2026</v>
      </c>
      <c r="C28" s="10" t="str">
        <f>'Pairings NB'!D115</f>
        <v>viernes</v>
      </c>
      <c r="D28" s="10" t="str">
        <f>'Pairings NB'!E115&amp;"/"&amp;'Pairings NB'!E116</f>
        <v>2111/2110</v>
      </c>
      <c r="E28" s="10" t="str">
        <f>'Pairings NB'!F115&amp;"-"&amp;'Pairings NB'!G115&amp;"-"&amp;'Pairings NB'!F115</f>
        <v>LIM-AQP-LIM</v>
      </c>
      <c r="F28" s="10" t="str">
        <f>IFERROR(VLOOKUP('Pairings NB'!$M$115,Instructores!$A:$C,2,FALSE),"")</f>
        <v/>
      </c>
      <c r="G28" s="10">
        <f>'Pairings NB'!$M$115</f>
        <v>0</v>
      </c>
      <c r="H28" s="10">
        <f>'Pairings NB'!$O$115</f>
        <v>0</v>
      </c>
      <c r="I28" s="10">
        <f>'Pairings NB'!J115</f>
        <v>319</v>
      </c>
      <c r="J28" s="10" t="str">
        <f>IFERROR(VLOOKUP('Pairings NB'!$M$115,Instructores!$A:$C,3,FALSE),"")</f>
        <v/>
      </c>
      <c r="K28" s="10">
        <f>IF('Pairings NB'!J115=320,4,3)</f>
        <v>3</v>
      </c>
    </row>
    <row r="29" spans="1:11" x14ac:dyDescent="0.25">
      <c r="A29" s="10">
        <f>'Pairings NB'!B120</f>
        <v>205</v>
      </c>
      <c r="B29" s="10" t="str">
        <f>'Pairings NB'!C120</f>
        <v>02/10/2026</v>
      </c>
      <c r="C29" s="10" t="str">
        <f>'Pairings NB'!D120</f>
        <v>viernes</v>
      </c>
      <c r="D29" s="10" t="str">
        <f>'Pairings NB'!E120&amp;"/"&amp;'Pairings NB'!E121</f>
        <v>2356/2357</v>
      </c>
      <c r="E29" s="10" t="str">
        <f>'Pairings NB'!F120&amp;"-"&amp;'Pairings NB'!G120&amp;"-"&amp;'Pairings NB'!F120</f>
        <v>LIM-CUZ-LIM</v>
      </c>
      <c r="F29" s="10" t="str">
        <f>IFERROR(VLOOKUP('Pairings NB'!$M$120,Instructores!$A:$C,2,FALSE),"")</f>
        <v/>
      </c>
      <c r="G29" s="10">
        <f>'Pairings NB'!$M$120</f>
        <v>0</v>
      </c>
      <c r="H29" s="10">
        <f>'Pairings NB'!$O$120</f>
        <v>0</v>
      </c>
      <c r="I29" s="10">
        <f>'Pairings NB'!J120</f>
        <v>319</v>
      </c>
      <c r="J29" s="10" t="str">
        <f>IFERROR(VLOOKUP('Pairings NB'!$M$120,Instructores!$A:$C,3,FALSE),"")</f>
        <v/>
      </c>
      <c r="K29" s="10">
        <f>IF('Pairings NB'!J120=320,4,3)</f>
        <v>3</v>
      </c>
    </row>
    <row r="30" spans="1:11" x14ac:dyDescent="0.25">
      <c r="A30" s="10">
        <f>'Pairings NB'!B125</f>
        <v>210</v>
      </c>
      <c r="B30" s="10" t="str">
        <f>'Pairings NB'!C125</f>
        <v>02/10/2026</v>
      </c>
      <c r="C30" s="10" t="str">
        <f>'Pairings NB'!D125</f>
        <v>viernes</v>
      </c>
      <c r="D30" s="10" t="str">
        <f>'Pairings NB'!E125&amp;"/"&amp;'Pairings NB'!E126</f>
        <v>2043/2044</v>
      </c>
      <c r="E30" s="10" t="str">
        <f>'Pairings NB'!F125&amp;"-"&amp;'Pairings NB'!G125&amp;"-"&amp;'Pairings NB'!F125</f>
        <v>LIM-AQP-LIM</v>
      </c>
      <c r="F30" s="10" t="str">
        <f>IFERROR(VLOOKUP('Pairings NB'!$M$125,Instructores!$A:$C,2,FALSE),"")</f>
        <v/>
      </c>
      <c r="G30" s="10">
        <f>'Pairings NB'!$M$125</f>
        <v>0</v>
      </c>
      <c r="H30" s="10">
        <f>'Pairings NB'!$O$125</f>
        <v>0</v>
      </c>
      <c r="I30" s="10">
        <f>'Pairings NB'!J125</f>
        <v>320</v>
      </c>
      <c r="J30" s="10" t="str">
        <f>IFERROR(VLOOKUP('Pairings NB'!$M$125,Instructores!$A:$C,3,FALSE),"")</f>
        <v/>
      </c>
      <c r="K30" s="10">
        <f>IF('Pairings NB'!J125=320,4,3)</f>
        <v>4</v>
      </c>
    </row>
    <row r="31" spans="1:11" x14ac:dyDescent="0.25">
      <c r="A31" s="10">
        <f>'Pairings NB'!B130</f>
        <v>217</v>
      </c>
      <c r="B31" s="10" t="str">
        <f>'Pairings NB'!C130</f>
        <v>02/10/2026</v>
      </c>
      <c r="C31" s="10" t="str">
        <f>'Pairings NB'!D130</f>
        <v>viernes</v>
      </c>
      <c r="D31" s="10" t="str">
        <f>'Pairings NB'!E130&amp;"/"&amp;'Pairings NB'!E131</f>
        <v>2087/2088</v>
      </c>
      <c r="E31" s="10" t="str">
        <f>'Pairings NB'!F130&amp;"-"&amp;'Pairings NB'!G130&amp;"-"&amp;'Pairings NB'!F130</f>
        <v>LIM-TPP-LIM</v>
      </c>
      <c r="F31" s="10" t="str">
        <f>IFERROR(VLOOKUP('Pairings NB'!$M$130,Instructores!$A:$C,2,FALSE),"")</f>
        <v/>
      </c>
      <c r="G31" s="10">
        <f>'Pairings NB'!$M$130</f>
        <v>0</v>
      </c>
      <c r="H31" s="10">
        <f>'Pairings NB'!$O$130</f>
        <v>0</v>
      </c>
      <c r="I31" s="10">
        <f>'Pairings NB'!J130</f>
        <v>320</v>
      </c>
      <c r="J31" s="10" t="str">
        <f>IFERROR(VLOOKUP('Pairings NB'!$M$130,Instructores!$A:$C,3,FALSE),"")</f>
        <v/>
      </c>
      <c r="K31" s="10">
        <f>IF('Pairings NB'!J130=320,4,3)</f>
        <v>4</v>
      </c>
    </row>
    <row r="32" spans="1:11" x14ac:dyDescent="0.25">
      <c r="A32" s="10">
        <f>'Pairings NB'!B135</f>
        <v>218</v>
      </c>
      <c r="B32" s="10" t="str">
        <f>'Pairings NB'!C135</f>
        <v>02/10/2026</v>
      </c>
      <c r="C32" s="10" t="str">
        <f>'Pairings NB'!D135</f>
        <v>viernes</v>
      </c>
      <c r="D32" s="10" t="str">
        <f>'Pairings NB'!E135&amp;"/"&amp;'Pairings NB'!E136</f>
        <v>2295/2294</v>
      </c>
      <c r="E32" s="10" t="str">
        <f>'Pairings NB'!F135&amp;"-"&amp;'Pairings NB'!G135&amp;"-"&amp;'Pairings NB'!F135</f>
        <v>LIM-CJA-LIM</v>
      </c>
      <c r="F32" s="10" t="str">
        <f>IFERROR(VLOOKUP('Pairings NB'!$M$135,Instructores!$A:$C,2,FALSE),"")</f>
        <v/>
      </c>
      <c r="G32" s="10">
        <f>'Pairings NB'!$M$135</f>
        <v>0</v>
      </c>
      <c r="H32" s="10">
        <f>'Pairings NB'!$O$135</f>
        <v>0</v>
      </c>
      <c r="I32" s="10">
        <f>'Pairings NB'!J135</f>
        <v>320</v>
      </c>
      <c r="J32" s="10" t="str">
        <f>IFERROR(VLOOKUP('Pairings NB'!$M$135,Instructores!$A:$C,3,FALSE),"")</f>
        <v/>
      </c>
      <c r="K32" s="10">
        <f>IF('Pairings NB'!J135=320,4,3)</f>
        <v>4</v>
      </c>
    </row>
    <row r="33" spans="1:11" x14ac:dyDescent="0.25">
      <c r="A33" s="10">
        <f>'Pairings NB'!B137</f>
        <v>234</v>
      </c>
      <c r="B33" s="10" t="str">
        <f>'Pairings NB'!C137</f>
        <v>02/10/2026</v>
      </c>
      <c r="C33" s="10" t="str">
        <f>'Pairings NB'!D137</f>
        <v>viernes</v>
      </c>
      <c r="D33" s="10" t="str">
        <f>'Pairings NB'!E137&amp;"/"&amp;'Pairings NB'!E138</f>
        <v>2310/2311</v>
      </c>
      <c r="E33" s="10" t="str">
        <f>'Pairings NB'!F137&amp;"-"&amp;'Pairings NB'!G137&amp;"-"&amp;'Pairings NB'!F137</f>
        <v>LIM-CIX-LIM</v>
      </c>
      <c r="F33" s="10" t="str">
        <f>IFERROR(VLOOKUP('Pairings NB'!$M$135,Instructores!$A:$C,2,FALSE),"")</f>
        <v/>
      </c>
      <c r="G33" s="10">
        <f>'Pairings NB'!$M$135</f>
        <v>0</v>
      </c>
      <c r="H33" s="10">
        <f>'Pairings NB'!$O$135</f>
        <v>0</v>
      </c>
      <c r="I33" s="10">
        <f>'Pairings NB'!J137</f>
        <v>320</v>
      </c>
      <c r="J33" s="10" t="str">
        <f>IFERROR(VLOOKUP('Pairings NB'!$M$135,Instructores!$A:$C,3,FALSE),"")</f>
        <v/>
      </c>
      <c r="K33" s="10">
        <f>IF('Pairings NB'!J137=320,4,3)</f>
        <v>4</v>
      </c>
    </row>
    <row r="34" spans="1:11" x14ac:dyDescent="0.25">
      <c r="A34" s="10">
        <f>'Pairings NB'!B142</f>
        <v>220</v>
      </c>
      <c r="B34" s="10" t="str">
        <f>'Pairings NB'!C142</f>
        <v>02/10/2026</v>
      </c>
      <c r="C34" s="10" t="str">
        <f>'Pairings NB'!D142</f>
        <v>viernes</v>
      </c>
      <c r="D34" s="10" t="str">
        <f>'Pairings NB'!E142&amp;"/"&amp;'Pairings NB'!E143</f>
        <v>2154/2155</v>
      </c>
      <c r="E34" s="10" t="str">
        <f>'Pairings NB'!F142&amp;"-"&amp;'Pairings NB'!G142&amp;"-"&amp;'Pairings NB'!F142</f>
        <v>LIM-CUZ-LIM</v>
      </c>
      <c r="F34" s="10" t="str">
        <f>IFERROR(VLOOKUP('Pairings NB'!$M$142,Instructores!$A:$C,2,FALSE),"")</f>
        <v/>
      </c>
      <c r="G34" s="10">
        <f>'Pairings NB'!$M$142</f>
        <v>0</v>
      </c>
      <c r="H34" s="10">
        <f>'Pairings NB'!$O$142</f>
        <v>0</v>
      </c>
      <c r="I34" s="10">
        <f>'Pairings NB'!J142</f>
        <v>320</v>
      </c>
      <c r="J34" s="10" t="str">
        <f>IFERROR(VLOOKUP('Pairings NB'!$M$142,Instructores!$A:$C,3,FALSE),"")</f>
        <v/>
      </c>
      <c r="K34" s="10">
        <f>IF('Pairings NB'!J142=320,4,3)</f>
        <v>4</v>
      </c>
    </row>
    <row r="35" spans="1:11" x14ac:dyDescent="0.25">
      <c r="A35" s="10">
        <f>'Pairings NB'!B147</f>
        <v>221</v>
      </c>
      <c r="B35" s="10" t="str">
        <f>'Pairings NB'!C147</f>
        <v>02/10/2026</v>
      </c>
      <c r="C35" s="10" t="str">
        <f>'Pairings NB'!D147</f>
        <v>viernes</v>
      </c>
      <c r="D35" s="10" t="str">
        <f>'Pairings NB'!E147&amp;"/"&amp;'Pairings NB'!E148</f>
        <v>2154/2155</v>
      </c>
      <c r="E35" s="10" t="str">
        <f>'Pairings NB'!F147&amp;"-"&amp;'Pairings NB'!G147&amp;"-"&amp;'Pairings NB'!F147</f>
        <v>LIM-CUZ-LIM</v>
      </c>
      <c r="F35" s="10" t="str">
        <f>IFERROR(VLOOKUP('Pairings NB'!$M$147,Instructores!$A:$C,2,FALSE),"")</f>
        <v/>
      </c>
      <c r="G35" s="10">
        <f>'Pairings NB'!$M$147</f>
        <v>0</v>
      </c>
      <c r="H35" s="10">
        <f>'Pairings NB'!$O$147</f>
        <v>0</v>
      </c>
      <c r="I35" s="10">
        <f>'Pairings NB'!J147</f>
        <v>320</v>
      </c>
      <c r="J35" s="10" t="str">
        <f>IFERROR(VLOOKUP('Pairings NB'!$M$147,Instructores!$A:$C,3,FALSE),"")</f>
        <v/>
      </c>
      <c r="K35" s="10">
        <f>IF('Pairings NB'!J147=320,4,3)</f>
        <v>4</v>
      </c>
    </row>
    <row r="36" spans="1:11" x14ac:dyDescent="0.25">
      <c r="A36" s="10">
        <f>'Pairings NB'!B152</f>
        <v>224</v>
      </c>
      <c r="B36" s="10" t="str">
        <f>'Pairings NB'!C152</f>
        <v>02/10/2026</v>
      </c>
      <c r="C36" s="10" t="str">
        <f>'Pairings NB'!D152</f>
        <v>viernes</v>
      </c>
      <c r="D36" s="10" t="str">
        <f>'Pairings NB'!E152&amp;"/"&amp;'Pairings NB'!E153</f>
        <v>2360/2361</v>
      </c>
      <c r="E36" s="10" t="str">
        <f>'Pairings NB'!F152&amp;"-"&amp;'Pairings NB'!G152&amp;"-"&amp;'Pairings NB'!F152</f>
        <v>LIM-PCL-LIM</v>
      </c>
      <c r="F36" s="10" t="str">
        <f>IFERROR(VLOOKUP('Pairings NB'!$M$152,Instructores!$A:$C,2,FALSE),"")</f>
        <v/>
      </c>
      <c r="G36" s="10">
        <f>'Pairings NB'!$M$152</f>
        <v>0</v>
      </c>
      <c r="H36" s="10">
        <f>'Pairings NB'!$O$152</f>
        <v>0</v>
      </c>
      <c r="I36" s="10">
        <f>'Pairings NB'!J152</f>
        <v>320</v>
      </c>
      <c r="J36" s="10" t="str">
        <f>IFERROR(VLOOKUP('Pairings NB'!$M$152,Instructores!$A:$C,3,FALSE),"")</f>
        <v/>
      </c>
      <c r="K36" s="10">
        <f>IF('Pairings NB'!J152=320,4,3)</f>
        <v>4</v>
      </c>
    </row>
    <row r="37" spans="1:11" x14ac:dyDescent="0.25">
      <c r="A37" s="10">
        <f>'Pairings NB'!B157</f>
        <v>225</v>
      </c>
      <c r="B37" s="10" t="str">
        <f>'Pairings NB'!C157</f>
        <v>02/10/2026</v>
      </c>
      <c r="C37" s="10" t="str">
        <f>'Pairings NB'!D157</f>
        <v>viernes</v>
      </c>
      <c r="D37" s="10" t="str">
        <f>'Pairings NB'!E157&amp;"/"&amp;'Pairings NB'!E158</f>
        <v>2360/2361</v>
      </c>
      <c r="E37" s="10" t="str">
        <f>'Pairings NB'!F157&amp;"-"&amp;'Pairings NB'!G157&amp;"-"&amp;'Pairings NB'!F157</f>
        <v>LIM-PCL-LIM</v>
      </c>
      <c r="F37" s="10" t="str">
        <f>IFERROR(VLOOKUP('Pairings NB'!$M$157,Instructores!$A:$C,2,FALSE),"")</f>
        <v/>
      </c>
      <c r="G37" s="10">
        <f>'Pairings NB'!$M$157</f>
        <v>0</v>
      </c>
      <c r="H37" s="10">
        <f>'Pairings NB'!$O$157</f>
        <v>0</v>
      </c>
      <c r="I37" s="10">
        <f>'Pairings NB'!J157</f>
        <v>320</v>
      </c>
      <c r="J37" s="10" t="str">
        <f>IFERROR(VLOOKUP('Pairings NB'!$M$157,Instructores!$A:$C,3,FALSE),"")</f>
        <v/>
      </c>
      <c r="K37" s="10">
        <f>IF('Pairings NB'!J157=320,4,3)</f>
        <v>4</v>
      </c>
    </row>
    <row r="38" spans="1:11" x14ac:dyDescent="0.25">
      <c r="A38" s="10">
        <f>'Pairings NB'!B162</f>
        <v>226</v>
      </c>
      <c r="B38" s="10" t="str">
        <f>'Pairings NB'!C162</f>
        <v>02/10/2026</v>
      </c>
      <c r="C38" s="10" t="str">
        <f>'Pairings NB'!D162</f>
        <v>viernes</v>
      </c>
      <c r="D38" s="10" t="str">
        <f>'Pairings NB'!E162&amp;"/"&amp;'Pairings NB'!E163</f>
        <v>2312/2313</v>
      </c>
      <c r="E38" s="10" t="str">
        <f>'Pairings NB'!F162&amp;"-"&amp;'Pairings NB'!G162&amp;"-"&amp;'Pairings NB'!F162</f>
        <v>LIM-CIX-LIM</v>
      </c>
      <c r="F38" s="10" t="str">
        <f>IFERROR(VLOOKUP('Pairings NB'!$M$162,Instructores!$A:$C,2,FALSE),"")</f>
        <v/>
      </c>
      <c r="G38" s="10">
        <f>'Pairings NB'!$M$162</f>
        <v>0</v>
      </c>
      <c r="H38" s="10">
        <f>'Pairings NB'!$O$162</f>
        <v>0</v>
      </c>
      <c r="I38" s="10">
        <f>'Pairings NB'!J162</f>
        <v>320</v>
      </c>
      <c r="J38" s="10" t="str">
        <f>IFERROR(VLOOKUP('Pairings NB'!$M$162,Instructores!$A:$C,3,FALSE),"")</f>
        <v/>
      </c>
      <c r="K38" s="10">
        <f>IF('Pairings NB'!J162=320,4,3)</f>
        <v>4</v>
      </c>
    </row>
    <row r="39" spans="1:11" x14ac:dyDescent="0.25">
      <c r="A39" s="10">
        <f>'Pairings NB'!B167</f>
        <v>227</v>
      </c>
      <c r="B39" s="10" t="str">
        <f>'Pairings NB'!C167</f>
        <v>02/10/2026</v>
      </c>
      <c r="C39" s="10" t="str">
        <f>'Pairings NB'!D167</f>
        <v>viernes</v>
      </c>
      <c r="D39" s="10" t="str">
        <f>'Pairings NB'!E167&amp;"/"&amp;'Pairings NB'!E168</f>
        <v>2301/2300</v>
      </c>
      <c r="E39" s="10" t="str">
        <f>'Pairings NB'!F167&amp;"-"&amp;'Pairings NB'!G167&amp;"-"&amp;'Pairings NB'!F167</f>
        <v>LIM-TPP-LIM</v>
      </c>
      <c r="F39" s="10" t="str">
        <f>IFERROR(VLOOKUP('Pairings NB'!$M$167,Instructores!$A:$C,2,FALSE),"")</f>
        <v/>
      </c>
      <c r="G39" s="10">
        <f>'Pairings NB'!$M$167</f>
        <v>0</v>
      </c>
      <c r="H39" s="10">
        <f>'Pairings NB'!$O$167</f>
        <v>0</v>
      </c>
      <c r="I39" s="10">
        <f>'Pairings NB'!J167</f>
        <v>319</v>
      </c>
      <c r="J39" s="10" t="str">
        <f>IFERROR(VLOOKUP('Pairings NB'!$M$167,Instructores!$A:$C,3,FALSE),"")</f>
        <v/>
      </c>
      <c r="K39" s="10">
        <f>IF('Pairings NB'!J167=320,4,3)</f>
        <v>3</v>
      </c>
    </row>
    <row r="40" spans="1:11" x14ac:dyDescent="0.25">
      <c r="A40" s="10">
        <f>'Pairings NB'!B172</f>
        <v>236</v>
      </c>
      <c r="B40" s="10" t="str">
        <f>'Pairings NB'!C172</f>
        <v>02/10/2026</v>
      </c>
      <c r="C40" s="10" t="str">
        <f>'Pairings NB'!D172</f>
        <v>viernes</v>
      </c>
      <c r="D40" s="10" t="str">
        <f>'Pairings NB'!E172&amp;"/"&amp;'Pairings NB'!E173</f>
        <v>2221/2222</v>
      </c>
      <c r="E40" s="10" t="str">
        <f>'Pairings NB'!F172&amp;"-"&amp;'Pairings NB'!G172&amp;"-"&amp;'Pairings NB'!F172</f>
        <v>LIM-CUZ-LIM</v>
      </c>
      <c r="F40" s="10" t="str">
        <f>IFERROR(VLOOKUP('Pairings NB'!$M$172,Instructores!$A:$C,2,FALSE),"")</f>
        <v/>
      </c>
      <c r="G40" s="10">
        <f>'Pairings NB'!$M$172</f>
        <v>0</v>
      </c>
      <c r="H40" s="10">
        <f>'Pairings NB'!$O$172</f>
        <v>0</v>
      </c>
      <c r="I40" s="10">
        <f>'Pairings NB'!J172</f>
        <v>320</v>
      </c>
      <c r="J40" s="10" t="str">
        <f>IFERROR(VLOOKUP('Pairings NB'!$M$172,Instructores!$A:$C,3,FALSE),"")</f>
        <v/>
      </c>
      <c r="K40" s="10">
        <f>IF('Pairings NB'!J172=320,4,3)</f>
        <v>4</v>
      </c>
    </row>
    <row r="41" spans="1:11" x14ac:dyDescent="0.25">
      <c r="A41" s="10">
        <f>'Pairings NB'!B177</f>
        <v>284</v>
      </c>
      <c r="B41" s="10" t="str">
        <f>'Pairings NB'!C177</f>
        <v>03/10/2026</v>
      </c>
      <c r="C41" s="10" t="str">
        <f>'Pairings NB'!D177</f>
        <v>sábado</v>
      </c>
      <c r="D41" s="10" t="str">
        <f>'Pairings NB'!E177&amp;"/"&amp;'Pairings NB'!E178</f>
        <v>2299/2298</v>
      </c>
      <c r="E41" s="10" t="str">
        <f>'Pairings NB'!F177&amp;"-"&amp;'Pairings NB'!G177&amp;"-"&amp;'Pairings NB'!F177</f>
        <v>LIM-CJA-LIM</v>
      </c>
      <c r="F41" s="10" t="str">
        <f>IFERROR(VLOOKUP('Pairings NB'!$M$177,Instructores!$A:$C,2,FALSE),"")</f>
        <v/>
      </c>
      <c r="G41" s="10">
        <f>'Pairings NB'!$M$177</f>
        <v>0</v>
      </c>
      <c r="H41" s="10">
        <f>'Pairings NB'!$O$177</f>
        <v>0</v>
      </c>
      <c r="I41" s="10">
        <f>'Pairings NB'!J177</f>
        <v>320</v>
      </c>
      <c r="J41" s="10" t="str">
        <f>IFERROR(VLOOKUP('Pairings NB'!$M$177,Instructores!$A:$C,3,FALSE),"")</f>
        <v/>
      </c>
      <c r="K41" s="10">
        <f>IF('Pairings NB'!J177=320,4,3)</f>
        <v>4</v>
      </c>
    </row>
    <row r="42" spans="1:11" x14ac:dyDescent="0.25">
      <c r="A42" s="10">
        <f>'Pairings NB'!B182</f>
        <v>286</v>
      </c>
      <c r="B42" s="10" t="str">
        <f>'Pairings NB'!C182</f>
        <v>03/10/2026</v>
      </c>
      <c r="C42" s="10" t="str">
        <f>'Pairings NB'!D182</f>
        <v>sábado</v>
      </c>
      <c r="D42" s="10" t="str">
        <f>'Pairings NB'!E182&amp;"/"&amp;'Pairings NB'!E183</f>
        <v>2061/2062</v>
      </c>
      <c r="E42" s="10" t="str">
        <f>'Pairings NB'!F182&amp;"-"&amp;'Pairings NB'!G182&amp;"-"&amp;'Pairings NB'!F182</f>
        <v>LIM-CUZ-LIM</v>
      </c>
      <c r="F42" s="10" t="str">
        <f>IFERROR(VLOOKUP('Pairings NB'!$M$182,Instructores!$A:$C,2,FALSE),"")</f>
        <v/>
      </c>
      <c r="G42" s="10">
        <f>'Pairings NB'!$M$182</f>
        <v>0</v>
      </c>
      <c r="H42" s="10">
        <f>'Pairings NB'!$O$182</f>
        <v>0</v>
      </c>
      <c r="I42" s="10">
        <f>'Pairings NB'!J182</f>
        <v>320</v>
      </c>
      <c r="J42" s="10" t="str">
        <f>IFERROR(VLOOKUP('Pairings NB'!$M$182,Instructores!$A:$C,3,FALSE),"")</f>
        <v/>
      </c>
      <c r="K42" s="10">
        <f>IF('Pairings NB'!J182=320,4,3)</f>
        <v>4</v>
      </c>
    </row>
    <row r="43" spans="1:11" x14ac:dyDescent="0.25">
      <c r="A43" s="10">
        <f>'Pairings NB'!B184</f>
        <v>313</v>
      </c>
      <c r="B43" s="10" t="str">
        <f>'Pairings NB'!C184</f>
        <v>03/10/2026</v>
      </c>
      <c r="C43" s="10" t="str">
        <f>'Pairings NB'!D184</f>
        <v>sábado</v>
      </c>
      <c r="D43" s="10" t="str">
        <f>'Pairings NB'!E184&amp;"/"&amp;'Pairings NB'!E185</f>
        <v>2276/2277</v>
      </c>
      <c r="E43" s="10" t="str">
        <f>'Pairings NB'!F184&amp;"-"&amp;'Pairings NB'!G184&amp;"-"&amp;'Pairings NB'!F184</f>
        <v>LIM-CUZ-LIM</v>
      </c>
      <c r="F43" s="10" t="str">
        <f>IFERROR(VLOOKUP('Pairings NB'!$M$182,Instructores!$A:$C,2,FALSE),"")</f>
        <v/>
      </c>
      <c r="G43" s="10">
        <f>'Pairings NB'!$M$182</f>
        <v>0</v>
      </c>
      <c r="H43" s="10">
        <f>'Pairings NB'!$O$182</f>
        <v>0</v>
      </c>
      <c r="I43" s="10">
        <f>'Pairings NB'!J184</f>
        <v>320</v>
      </c>
      <c r="J43" s="10" t="str">
        <f>IFERROR(VLOOKUP('Pairings NB'!$M$182,Instructores!$A:$C,3,FALSE),"")</f>
        <v/>
      </c>
      <c r="K43" s="10">
        <f>IF('Pairings NB'!J184=320,4,3)</f>
        <v>4</v>
      </c>
    </row>
    <row r="44" spans="1:11" x14ac:dyDescent="0.25">
      <c r="A44" s="10">
        <f>'Pairings NB'!B189</f>
        <v>291</v>
      </c>
      <c r="B44" s="10" t="str">
        <f>'Pairings NB'!C189</f>
        <v>03/10/2026</v>
      </c>
      <c r="C44" s="10" t="str">
        <f>'Pairings NB'!D189</f>
        <v>sábado</v>
      </c>
      <c r="D44" s="10" t="str">
        <f>'Pairings NB'!E189&amp;"/"&amp;'Pairings NB'!E190</f>
        <v>2120/2121</v>
      </c>
      <c r="E44" s="10" t="str">
        <f>'Pairings NB'!F189&amp;"-"&amp;'Pairings NB'!G189&amp;"-"&amp;'Pairings NB'!F189</f>
        <v>LIM-CUZ-LIM</v>
      </c>
      <c r="F44" s="10" t="str">
        <f>IFERROR(VLOOKUP('Pairings NB'!$M$189,Instructores!$A:$C,2,FALSE),"")</f>
        <v/>
      </c>
      <c r="G44" s="10">
        <f>'Pairings NB'!$M$189</f>
        <v>0</v>
      </c>
      <c r="H44" s="10">
        <f>'Pairings NB'!$O$189</f>
        <v>0</v>
      </c>
      <c r="I44" s="10">
        <f>'Pairings NB'!J189</f>
        <v>320</v>
      </c>
      <c r="J44" s="10" t="str">
        <f>IFERROR(VLOOKUP('Pairings NB'!$M$189,Instructores!$A:$C,3,FALSE),"")</f>
        <v/>
      </c>
      <c r="K44" s="10">
        <f>IF('Pairings NB'!J189=320,4,3)</f>
        <v>4</v>
      </c>
    </row>
    <row r="45" spans="1:11" x14ac:dyDescent="0.25">
      <c r="A45" s="10">
        <f>'Pairings NB'!B194</f>
        <v>296</v>
      </c>
      <c r="B45" s="10" t="str">
        <f>'Pairings NB'!C194</f>
        <v>03/10/2026</v>
      </c>
      <c r="C45" s="10" t="str">
        <f>'Pairings NB'!D194</f>
        <v>sábado</v>
      </c>
      <c r="D45" s="10" t="str">
        <f>'Pairings NB'!E194&amp;"/"&amp;'Pairings NB'!E195</f>
        <v>2234/2235</v>
      </c>
      <c r="E45" s="10" t="str">
        <f>'Pairings NB'!F194&amp;"-"&amp;'Pairings NB'!G194&amp;"-"&amp;'Pairings NB'!F194</f>
        <v>LIM-IQT-LIM</v>
      </c>
      <c r="F45" s="10" t="str">
        <f>IFERROR(VLOOKUP('Pairings NB'!$M$194,Instructores!$A:$C,2,FALSE),"")</f>
        <v/>
      </c>
      <c r="G45" s="10">
        <f>'Pairings NB'!$M$194</f>
        <v>0</v>
      </c>
      <c r="H45" s="10">
        <f>'Pairings NB'!$O$194</f>
        <v>0</v>
      </c>
      <c r="I45" s="10">
        <f>'Pairings NB'!J194</f>
        <v>320</v>
      </c>
      <c r="J45" s="10" t="str">
        <f>IFERROR(VLOOKUP('Pairings NB'!$M$194,Instructores!$A:$C,3,FALSE),"")</f>
        <v/>
      </c>
      <c r="K45" s="10">
        <f>IF('Pairings NB'!J194=320,4,3)</f>
        <v>4</v>
      </c>
    </row>
    <row r="46" spans="1:11" x14ac:dyDescent="0.25">
      <c r="A46" s="10">
        <f>'Pairings NB'!B199</f>
        <v>298</v>
      </c>
      <c r="B46" s="10" t="str">
        <f>'Pairings NB'!C199</f>
        <v>03/10/2026</v>
      </c>
      <c r="C46" s="10" t="str">
        <f>'Pairings NB'!D199</f>
        <v>sábado</v>
      </c>
      <c r="D46" s="10" t="str">
        <f>'Pairings NB'!E199&amp;"/"&amp;'Pairings NB'!E200</f>
        <v>2152/2153</v>
      </c>
      <c r="E46" s="10" t="str">
        <f>'Pairings NB'!F199&amp;"-"&amp;'Pairings NB'!G199&amp;"-"&amp;'Pairings NB'!F199</f>
        <v>LIM-CIX-LIM</v>
      </c>
      <c r="F46" s="10" t="str">
        <f>IFERROR(VLOOKUP('Pairings NB'!$M$199,Instructores!$A:$C,2,FALSE),"")</f>
        <v/>
      </c>
      <c r="G46" s="10">
        <f>'Pairings NB'!$M$199</f>
        <v>0</v>
      </c>
      <c r="H46" s="10">
        <f>'Pairings NB'!$O$199</f>
        <v>0</v>
      </c>
      <c r="I46" s="10">
        <f>'Pairings NB'!J199</f>
        <v>320</v>
      </c>
      <c r="J46" s="10" t="str">
        <f>IFERROR(VLOOKUP('Pairings NB'!$M$199,Instructores!$A:$C,3,FALSE),"")</f>
        <v/>
      </c>
      <c r="K46" s="10">
        <f>IF('Pairings NB'!J199=320,4,3)</f>
        <v>4</v>
      </c>
    </row>
    <row r="47" spans="1:11" x14ac:dyDescent="0.25">
      <c r="A47" s="10">
        <f>'Pairings NB'!B201</f>
        <v>318</v>
      </c>
      <c r="B47" s="10" t="str">
        <f>'Pairings NB'!C201</f>
        <v>03/10/2026</v>
      </c>
      <c r="C47" s="10" t="str">
        <f>'Pairings NB'!D201</f>
        <v>sábado</v>
      </c>
      <c r="D47" s="10" t="str">
        <f>'Pairings NB'!E201&amp;"/"&amp;'Pairings NB'!E202</f>
        <v>2310/2311</v>
      </c>
      <c r="E47" s="10" t="str">
        <f>'Pairings NB'!F201&amp;"-"&amp;'Pairings NB'!G201&amp;"-"&amp;'Pairings NB'!F201</f>
        <v>LIM-CIX-LIM</v>
      </c>
      <c r="F47" s="10" t="str">
        <f>IFERROR(VLOOKUP('Pairings NB'!$M$199,Instructores!$A:$C,2,FALSE),"")</f>
        <v/>
      </c>
      <c r="G47" s="10">
        <f>'Pairings NB'!$M$199</f>
        <v>0</v>
      </c>
      <c r="H47" s="10">
        <f>'Pairings NB'!$O$199</f>
        <v>0</v>
      </c>
      <c r="I47" s="10">
        <f>'Pairings NB'!J201</f>
        <v>320</v>
      </c>
      <c r="J47" s="10" t="str">
        <f>IFERROR(VLOOKUP('Pairings NB'!$M$199,Instructores!$A:$C,3,FALSE),"")</f>
        <v/>
      </c>
      <c r="K47" s="10">
        <f>IF('Pairings NB'!J201=320,4,3)</f>
        <v>4</v>
      </c>
    </row>
    <row r="48" spans="1:11" x14ac:dyDescent="0.25">
      <c r="A48" s="10">
        <f>'Pairings NB'!B206</f>
        <v>299</v>
      </c>
      <c r="B48" s="10" t="str">
        <f>'Pairings NB'!C206</f>
        <v>03/10/2026</v>
      </c>
      <c r="C48" s="10" t="str">
        <f>'Pairings NB'!D206</f>
        <v>sábado</v>
      </c>
      <c r="D48" s="10" t="str">
        <f>'Pairings NB'!E206&amp;"/"&amp;'Pairings NB'!E207</f>
        <v>2087/2088</v>
      </c>
      <c r="E48" s="10" t="str">
        <f>'Pairings NB'!F206&amp;"-"&amp;'Pairings NB'!G206&amp;"-"&amp;'Pairings NB'!F206</f>
        <v>LIM-TPP-LIM</v>
      </c>
      <c r="F48" s="10" t="str">
        <f>IFERROR(VLOOKUP('Pairings NB'!$M$206,Instructores!$A:$C,2,FALSE),"")</f>
        <v/>
      </c>
      <c r="G48" s="10">
        <f>'Pairings NB'!$M$206</f>
        <v>0</v>
      </c>
      <c r="H48" s="10">
        <f>'Pairings NB'!$O$206</f>
        <v>0</v>
      </c>
      <c r="I48" s="10">
        <f>'Pairings NB'!J206</f>
        <v>320</v>
      </c>
      <c r="J48" s="10" t="str">
        <f>IFERROR(VLOOKUP('Pairings NB'!$M$206,Instructores!$A:$C,3,FALSE),"")</f>
        <v/>
      </c>
      <c r="K48" s="10">
        <f>IF('Pairings NB'!J206=320,4,3)</f>
        <v>4</v>
      </c>
    </row>
    <row r="49" spans="1:11" x14ac:dyDescent="0.25">
      <c r="A49" s="10">
        <f>'Pairings NB'!B211</f>
        <v>300</v>
      </c>
      <c r="B49" s="10" t="str">
        <f>'Pairings NB'!C211</f>
        <v>03/10/2026</v>
      </c>
      <c r="C49" s="10" t="str">
        <f>'Pairings NB'!D211</f>
        <v>sábado</v>
      </c>
      <c r="D49" s="10" t="str">
        <f>'Pairings NB'!E211&amp;"/"&amp;'Pairings NB'!E212</f>
        <v>2295/2294</v>
      </c>
      <c r="E49" s="10" t="str">
        <f>'Pairings NB'!F211&amp;"-"&amp;'Pairings NB'!G211&amp;"-"&amp;'Pairings NB'!F211</f>
        <v>LIM-CJA-LIM</v>
      </c>
      <c r="F49" s="10" t="str">
        <f>IFERROR(VLOOKUP('Pairings NB'!$M$211,Instructores!$A:$C,2,FALSE),"")</f>
        <v/>
      </c>
      <c r="G49" s="10">
        <f>'Pairings NB'!$M$211</f>
        <v>0</v>
      </c>
      <c r="H49" s="10">
        <f>'Pairings NB'!$O$211</f>
        <v>0</v>
      </c>
      <c r="I49" s="10">
        <f>'Pairings NB'!J211</f>
        <v>320</v>
      </c>
      <c r="J49" s="10" t="str">
        <f>IFERROR(VLOOKUP('Pairings NB'!$M$211,Instructores!$A:$C,3,FALSE),"")</f>
        <v/>
      </c>
      <c r="K49" s="10">
        <f>IF('Pairings NB'!J211=320,4,3)</f>
        <v>4</v>
      </c>
    </row>
    <row r="50" spans="1:11" x14ac:dyDescent="0.25">
      <c r="A50" s="10">
        <f>'Pairings NB'!B216</f>
        <v>302</v>
      </c>
      <c r="B50" s="10" t="str">
        <f>'Pairings NB'!C216</f>
        <v>03/10/2026</v>
      </c>
      <c r="C50" s="10" t="str">
        <f>'Pairings NB'!D216</f>
        <v>sábado</v>
      </c>
      <c r="D50" s="10" t="str">
        <f>'Pairings NB'!E216&amp;"/"&amp;'Pairings NB'!E217</f>
        <v>2264/2265</v>
      </c>
      <c r="E50" s="10" t="str">
        <f>'Pairings NB'!F216&amp;"-"&amp;'Pairings NB'!G216&amp;"-"&amp;'Pairings NB'!F216</f>
        <v>LIM-PEM-LIM</v>
      </c>
      <c r="F50" s="10" t="str">
        <f>IFERROR(VLOOKUP('Pairings NB'!$M$216,Instructores!$A:$C,2,FALSE),"")</f>
        <v/>
      </c>
      <c r="G50" s="10">
        <f>'Pairings NB'!$M$216</f>
        <v>0</v>
      </c>
      <c r="H50" s="10">
        <f>'Pairings NB'!$O$216</f>
        <v>0</v>
      </c>
      <c r="I50" s="10">
        <f>'Pairings NB'!J216</f>
        <v>319</v>
      </c>
      <c r="J50" s="10" t="str">
        <f>IFERROR(VLOOKUP('Pairings NB'!$M$216,Instructores!$A:$C,3,FALSE),"")</f>
        <v/>
      </c>
      <c r="K50" s="10">
        <f>IF('Pairings NB'!J216=320,4,3)</f>
        <v>3</v>
      </c>
    </row>
    <row r="51" spans="1:11" x14ac:dyDescent="0.25">
      <c r="A51" s="10">
        <f>'Pairings NB'!B221</f>
        <v>303</v>
      </c>
      <c r="B51" s="10" t="str">
        <f>'Pairings NB'!C221</f>
        <v>03/10/2026</v>
      </c>
      <c r="C51" s="10" t="str">
        <f>'Pairings NB'!D221</f>
        <v>sábado</v>
      </c>
      <c r="D51" s="10" t="str">
        <f>'Pairings NB'!E221&amp;"/"&amp;'Pairings NB'!E222</f>
        <v>2338/2339</v>
      </c>
      <c r="E51" s="10" t="str">
        <f>'Pairings NB'!F221&amp;"-"&amp;'Pairings NB'!G221&amp;"-"&amp;'Pairings NB'!F221</f>
        <v>LIM-PIU-LIM</v>
      </c>
      <c r="F51" s="10" t="str">
        <f>IFERROR(VLOOKUP('Pairings NB'!$M$221,Instructores!$A:$C,2,FALSE),"")</f>
        <v/>
      </c>
      <c r="G51" s="10">
        <f>'Pairings NB'!$M$221</f>
        <v>0</v>
      </c>
      <c r="H51" s="10">
        <f>'Pairings NB'!$O$221</f>
        <v>0</v>
      </c>
      <c r="I51" s="10">
        <f>'Pairings NB'!J221</f>
        <v>320</v>
      </c>
      <c r="J51" s="10" t="str">
        <f>IFERROR(VLOOKUP('Pairings NB'!$M$221,Instructores!$A:$C,3,FALSE),"")</f>
        <v/>
      </c>
      <c r="K51" s="10">
        <f>IF('Pairings NB'!J221=320,4,3)</f>
        <v>4</v>
      </c>
    </row>
    <row r="52" spans="1:11" x14ac:dyDescent="0.25">
      <c r="A52" s="10">
        <f>'Pairings NB'!B226</f>
        <v>304</v>
      </c>
      <c r="B52" s="10" t="str">
        <f>'Pairings NB'!C226</f>
        <v>03/10/2026</v>
      </c>
      <c r="C52" s="10" t="str">
        <f>'Pairings NB'!D226</f>
        <v>sábado</v>
      </c>
      <c r="D52" s="10" t="str">
        <f>'Pairings NB'!E226&amp;"/"&amp;'Pairings NB'!E227</f>
        <v>2338/2339</v>
      </c>
      <c r="E52" s="10" t="str">
        <f>'Pairings NB'!F226&amp;"-"&amp;'Pairings NB'!G226&amp;"-"&amp;'Pairings NB'!F226</f>
        <v>LIM-PIU-LIM</v>
      </c>
      <c r="F52" s="10" t="str">
        <f>IFERROR(VLOOKUP('Pairings NB'!$M$226,Instructores!$A:$C,2,FALSE),"")</f>
        <v/>
      </c>
      <c r="G52" s="10">
        <f>'Pairings NB'!$M$226</f>
        <v>0</v>
      </c>
      <c r="H52" s="10">
        <f>'Pairings NB'!$O$226</f>
        <v>0</v>
      </c>
      <c r="I52" s="10">
        <f>'Pairings NB'!J226</f>
        <v>320</v>
      </c>
      <c r="J52" s="10" t="str">
        <f>IFERROR(VLOOKUP('Pairings NB'!$M$226,Instructores!$A:$C,3,FALSE),"")</f>
        <v/>
      </c>
      <c r="K52" s="10">
        <f>IF('Pairings NB'!J226=320,4,3)</f>
        <v>4</v>
      </c>
    </row>
    <row r="53" spans="1:11" x14ac:dyDescent="0.25">
      <c r="A53" s="10">
        <f>'Pairings NB'!B231</f>
        <v>305</v>
      </c>
      <c r="B53" s="10" t="str">
        <f>'Pairings NB'!C231</f>
        <v>03/10/2026</v>
      </c>
      <c r="C53" s="10" t="str">
        <f>'Pairings NB'!D231</f>
        <v>sábado</v>
      </c>
      <c r="D53" s="10" t="str">
        <f>'Pairings NB'!E231&amp;"/"&amp;'Pairings NB'!E232</f>
        <v>2113/2112</v>
      </c>
      <c r="E53" s="10" t="str">
        <f>'Pairings NB'!F231&amp;"-"&amp;'Pairings NB'!G231&amp;"-"&amp;'Pairings NB'!F231</f>
        <v>LIM-AQP-LIM</v>
      </c>
      <c r="F53" s="10" t="str">
        <f>IFERROR(VLOOKUP('Pairings NB'!$M$231,Instructores!$A:$C,2,FALSE),"")</f>
        <v/>
      </c>
      <c r="G53" s="10">
        <f>'Pairings NB'!$M$231</f>
        <v>0</v>
      </c>
      <c r="H53" s="10">
        <f>'Pairings NB'!$O$231</f>
        <v>0</v>
      </c>
      <c r="I53" s="10">
        <f>'Pairings NB'!J231</f>
        <v>320</v>
      </c>
      <c r="J53" s="10" t="str">
        <f>IFERROR(VLOOKUP('Pairings NB'!$M$231,Instructores!$A:$C,3,FALSE),"")</f>
        <v/>
      </c>
      <c r="K53" s="10">
        <f>IF('Pairings NB'!J231=320,4,3)</f>
        <v>4</v>
      </c>
    </row>
    <row r="54" spans="1:11" x14ac:dyDescent="0.25">
      <c r="A54" s="10">
        <f>'Pairings NB'!B236</f>
        <v>307</v>
      </c>
      <c r="B54" s="10" t="str">
        <f>'Pairings NB'!C236</f>
        <v>03/10/2026</v>
      </c>
      <c r="C54" s="10" t="str">
        <f>'Pairings NB'!D236</f>
        <v>sábado</v>
      </c>
      <c r="D54" s="10" t="str">
        <f>'Pairings NB'!E236&amp;"/"&amp;'Pairings NB'!E237</f>
        <v>2297/2296</v>
      </c>
      <c r="E54" s="10" t="str">
        <f>'Pairings NB'!F236&amp;"-"&amp;'Pairings NB'!G236&amp;"-"&amp;'Pairings NB'!F236</f>
        <v>LIM-CJA-LIM</v>
      </c>
      <c r="F54" s="10" t="str">
        <f>IFERROR(VLOOKUP('Pairings NB'!$M$236,Instructores!$A:$C,2,FALSE),"")</f>
        <v/>
      </c>
      <c r="G54" s="10">
        <f>'Pairings NB'!$M$236</f>
        <v>0</v>
      </c>
      <c r="H54" s="10">
        <f>'Pairings NB'!$O$236</f>
        <v>0</v>
      </c>
      <c r="I54" s="10">
        <f>'Pairings NB'!J236</f>
        <v>320</v>
      </c>
      <c r="J54" s="10" t="str">
        <f>IFERROR(VLOOKUP('Pairings NB'!$M$236,Instructores!$A:$C,3,FALSE),"")</f>
        <v/>
      </c>
      <c r="K54" s="10">
        <f>IF('Pairings NB'!J236=320,4,3)</f>
        <v>4</v>
      </c>
    </row>
    <row r="55" spans="1:11" x14ac:dyDescent="0.25">
      <c r="A55" s="10">
        <f>'Pairings NB'!B241</f>
        <v>308</v>
      </c>
      <c r="B55" s="10" t="str">
        <f>'Pairings NB'!C241</f>
        <v>03/10/2026</v>
      </c>
      <c r="C55" s="10" t="str">
        <f>'Pairings NB'!D241</f>
        <v>sábado</v>
      </c>
      <c r="D55" s="10" t="str">
        <f>'Pairings NB'!E241&amp;"/"&amp;'Pairings NB'!E242</f>
        <v>2360/2361</v>
      </c>
      <c r="E55" s="10" t="str">
        <f>'Pairings NB'!F241&amp;"-"&amp;'Pairings NB'!G241&amp;"-"&amp;'Pairings NB'!F241</f>
        <v>LIM-PCL-LIM</v>
      </c>
      <c r="F55" s="10" t="str">
        <f>IFERROR(VLOOKUP('Pairings NB'!$M$241,Instructores!$A:$C,2,FALSE),"")</f>
        <v/>
      </c>
      <c r="G55" s="10">
        <f>'Pairings NB'!$M$241</f>
        <v>0</v>
      </c>
      <c r="H55" s="10">
        <f>'Pairings NB'!$O$241</f>
        <v>0</v>
      </c>
      <c r="I55" s="10">
        <f>'Pairings NB'!J241</f>
        <v>319</v>
      </c>
      <c r="J55" s="10" t="str">
        <f>IFERROR(VLOOKUP('Pairings NB'!$M$241,Instructores!$A:$C,3,FALSE),"")</f>
        <v/>
      </c>
      <c r="K55" s="10">
        <f>IF('Pairings NB'!J241=320,4,3)</f>
        <v>3</v>
      </c>
    </row>
    <row r="56" spans="1:11" x14ac:dyDescent="0.25">
      <c r="A56" s="10">
        <f>'Pairings NB'!B246</f>
        <v>309</v>
      </c>
      <c r="B56" s="10" t="str">
        <f>'Pairings NB'!C246</f>
        <v>03/10/2026</v>
      </c>
      <c r="C56" s="10" t="str">
        <f>'Pairings NB'!D246</f>
        <v>sábado</v>
      </c>
      <c r="D56" s="10" t="str">
        <f>'Pairings NB'!E246&amp;"/"&amp;'Pairings NB'!E247</f>
        <v>2312/2313</v>
      </c>
      <c r="E56" s="10" t="str">
        <f>'Pairings NB'!F246&amp;"-"&amp;'Pairings NB'!G246&amp;"-"&amp;'Pairings NB'!F246</f>
        <v>LIM-CIX-LIM</v>
      </c>
      <c r="F56" s="10" t="str">
        <f>IFERROR(VLOOKUP('Pairings NB'!$M$246,Instructores!$A:$C,2,FALSE),"")</f>
        <v/>
      </c>
      <c r="G56" s="10">
        <f>'Pairings NB'!$M$246</f>
        <v>0</v>
      </c>
      <c r="H56" s="10">
        <f>'Pairings NB'!$O$246</f>
        <v>0</v>
      </c>
      <c r="I56" s="10">
        <f>'Pairings NB'!J246</f>
        <v>320</v>
      </c>
      <c r="J56" s="10" t="str">
        <f>IFERROR(VLOOKUP('Pairings NB'!$M$246,Instructores!$A:$C,3,FALSE),"")</f>
        <v/>
      </c>
      <c r="K56" s="10">
        <f>IF('Pairings NB'!J246=320,4,3)</f>
        <v>4</v>
      </c>
    </row>
    <row r="57" spans="1:11" x14ac:dyDescent="0.25">
      <c r="A57" s="10">
        <f>'Pairings NB'!B251</f>
        <v>310</v>
      </c>
      <c r="B57" s="10" t="str">
        <f>'Pairings NB'!C251</f>
        <v>03/10/2026</v>
      </c>
      <c r="C57" s="10" t="str">
        <f>'Pairings NB'!D251</f>
        <v>sábado</v>
      </c>
      <c r="D57" s="10" t="str">
        <f>'Pairings NB'!E251&amp;"/"&amp;'Pairings NB'!E252</f>
        <v>2301/2300</v>
      </c>
      <c r="E57" s="10" t="str">
        <f>'Pairings NB'!F251&amp;"-"&amp;'Pairings NB'!G251&amp;"-"&amp;'Pairings NB'!F251</f>
        <v>LIM-TPP-LIM</v>
      </c>
      <c r="F57" s="10" t="str">
        <f>IFERROR(VLOOKUP('Pairings NB'!$M$251,Instructores!$A:$C,2,FALSE),"")</f>
        <v/>
      </c>
      <c r="G57" s="10">
        <f>'Pairings NB'!$M$251</f>
        <v>0</v>
      </c>
      <c r="H57" s="10">
        <f>'Pairings NB'!$O$251</f>
        <v>0</v>
      </c>
      <c r="I57" s="10">
        <f>'Pairings NB'!J251</f>
        <v>320</v>
      </c>
      <c r="J57" s="10" t="str">
        <f>IFERROR(VLOOKUP('Pairings NB'!$M$251,Instructores!$A:$C,3,FALSE),"")</f>
        <v/>
      </c>
      <c r="K57" s="10">
        <f>IF('Pairings NB'!J251=320,4,3)</f>
        <v>4</v>
      </c>
    </row>
    <row r="58" spans="1:11" x14ac:dyDescent="0.25">
      <c r="A58" s="10">
        <f>'Pairings NB'!B256</f>
        <v>314</v>
      </c>
      <c r="B58" s="10" t="str">
        <f>'Pairings NB'!C256</f>
        <v>03/10/2026</v>
      </c>
      <c r="C58" s="10" t="str">
        <f>'Pairings NB'!D256</f>
        <v>sábado</v>
      </c>
      <c r="D58" s="10" t="str">
        <f>'Pairings NB'!E256&amp;"/"&amp;'Pairings NB'!E257</f>
        <v>2213/2214</v>
      </c>
      <c r="E58" s="10" t="str">
        <f>'Pairings NB'!F256&amp;"-"&amp;'Pairings NB'!G256&amp;"-"&amp;'Pairings NB'!F256</f>
        <v>LIM-CIX-LIM</v>
      </c>
      <c r="F58" s="10" t="str">
        <f>IFERROR(VLOOKUP('Pairings NB'!$M$256,Instructores!$A:$C,2,FALSE),"")</f>
        <v/>
      </c>
      <c r="G58" s="10">
        <f>'Pairings NB'!$M$256</f>
        <v>0</v>
      </c>
      <c r="H58" s="10">
        <f>'Pairings NB'!$O$256</f>
        <v>0</v>
      </c>
      <c r="I58" s="10">
        <f>'Pairings NB'!J256</f>
        <v>320</v>
      </c>
      <c r="J58" s="10" t="str">
        <f>IFERROR(VLOOKUP('Pairings NB'!$M$256,Instructores!$A:$C,3,FALSE),"")</f>
        <v/>
      </c>
      <c r="K58" s="10">
        <f>IF('Pairings NB'!J256=320,4,3)</f>
        <v>4</v>
      </c>
    </row>
    <row r="59" spans="1:11" x14ac:dyDescent="0.25">
      <c r="A59" s="10">
        <f>'Pairings NB'!B261</f>
        <v>319</v>
      </c>
      <c r="B59" s="10" t="str">
        <f>'Pairings NB'!C261</f>
        <v>03/10/2026</v>
      </c>
      <c r="C59" s="10" t="str">
        <f>'Pairings NB'!D261</f>
        <v>sábado</v>
      </c>
      <c r="D59" s="10" t="str">
        <f>'Pairings NB'!E261&amp;"/"&amp;'Pairings NB'!E262</f>
        <v>2200/2201</v>
      </c>
      <c r="E59" s="10" t="str">
        <f>'Pairings NB'!F261&amp;"-"&amp;'Pairings NB'!G261&amp;"-"&amp;'Pairings NB'!F261</f>
        <v>LIM-CUZ-LIM</v>
      </c>
      <c r="F59" s="10" t="str">
        <f>IFERROR(VLOOKUP('Pairings NB'!$M$261,Instructores!$A:$C,2,FALSE),"")</f>
        <v/>
      </c>
      <c r="G59" s="10">
        <f>'Pairings NB'!$M$261</f>
        <v>0</v>
      </c>
      <c r="H59" s="10">
        <f>'Pairings NB'!$O$261</f>
        <v>0</v>
      </c>
      <c r="I59" s="10">
        <f>'Pairings NB'!J261</f>
        <v>320</v>
      </c>
      <c r="J59" s="10" t="str">
        <f>IFERROR(VLOOKUP('Pairings NB'!$M$261,Instructores!$A:$C,3,FALSE),"")</f>
        <v/>
      </c>
      <c r="K59" s="10">
        <f>IF('Pairings NB'!J261=320,4,3)</f>
        <v>4</v>
      </c>
    </row>
    <row r="60" spans="1:11" x14ac:dyDescent="0.25">
      <c r="A60" s="10">
        <f>'Pairings NB'!B266</f>
        <v>365</v>
      </c>
      <c r="B60" s="10" t="str">
        <f>'Pairings NB'!C266</f>
        <v>04/10/2026</v>
      </c>
      <c r="C60" s="10" t="str">
        <f>'Pairings NB'!D266</f>
        <v>domingo</v>
      </c>
      <c r="D60" s="10" t="str">
        <f>'Pairings NB'!E266&amp;"/"&amp;'Pairings NB'!E267</f>
        <v>2260/2261</v>
      </c>
      <c r="E60" s="10" t="str">
        <f>'Pairings NB'!F266&amp;"-"&amp;'Pairings NB'!G266&amp;"-"&amp;'Pairings NB'!F266</f>
        <v>LIM-PEM-LIM</v>
      </c>
      <c r="F60" s="10" t="str">
        <f>IFERROR(VLOOKUP('Pairings NB'!$M$266,Instructores!$A:$C,2,FALSE),"")</f>
        <v/>
      </c>
      <c r="G60" s="10">
        <f>'Pairings NB'!$M$266</f>
        <v>0</v>
      </c>
      <c r="H60" s="10">
        <f>'Pairings NB'!$O$266</f>
        <v>0</v>
      </c>
      <c r="I60" s="10">
        <f>'Pairings NB'!J266</f>
        <v>320</v>
      </c>
      <c r="J60" s="10" t="str">
        <f>IFERROR(VLOOKUP('Pairings NB'!$M$266,Instructores!$A:$C,3,FALSE),"")</f>
        <v/>
      </c>
      <c r="K60" s="10">
        <f>IF('Pairings NB'!J266=320,4,3)</f>
        <v>4</v>
      </c>
    </row>
    <row r="61" spans="1:11" x14ac:dyDescent="0.25">
      <c r="A61" s="10">
        <f>'Pairings NB'!B268</f>
        <v>392</v>
      </c>
      <c r="B61" s="10" t="str">
        <f>'Pairings NB'!C268</f>
        <v>04/10/2026</v>
      </c>
      <c r="C61" s="10" t="str">
        <f>'Pairings NB'!D268</f>
        <v>domingo</v>
      </c>
      <c r="D61" s="10" t="str">
        <f>'Pairings NB'!E268&amp;"/"&amp;'Pairings NB'!E269</f>
        <v>2297/2296</v>
      </c>
      <c r="E61" s="10" t="str">
        <f>'Pairings NB'!F268&amp;"-"&amp;'Pairings NB'!G268&amp;"-"&amp;'Pairings NB'!F268</f>
        <v>LIM-CJA-LIM</v>
      </c>
      <c r="F61" s="10" t="str">
        <f>IFERROR(VLOOKUP('Pairings NB'!$M$266,Instructores!$A:$C,2,FALSE),"")</f>
        <v/>
      </c>
      <c r="G61" s="10">
        <f>'Pairings NB'!$M$266</f>
        <v>0</v>
      </c>
      <c r="H61" s="10">
        <f>'Pairings NB'!$O$266</f>
        <v>0</v>
      </c>
      <c r="I61" s="10">
        <f>'Pairings NB'!J268</f>
        <v>320</v>
      </c>
      <c r="J61" s="10" t="str">
        <f>IFERROR(VLOOKUP('Pairings NB'!$M$266,Instructores!$A:$C,3,FALSE),"")</f>
        <v/>
      </c>
      <c r="K61" s="10">
        <f>IF('Pairings NB'!J268=320,4,3)</f>
        <v>4</v>
      </c>
    </row>
    <row r="62" spans="1:11" x14ac:dyDescent="0.25">
      <c r="A62" s="10">
        <f>'Pairings NB'!B273</f>
        <v>370</v>
      </c>
      <c r="B62" s="10" t="str">
        <f>'Pairings NB'!C273</f>
        <v>04/10/2026</v>
      </c>
      <c r="C62" s="10" t="str">
        <f>'Pairings NB'!D273</f>
        <v>domingo</v>
      </c>
      <c r="D62" s="10" t="str">
        <f>'Pairings NB'!E273&amp;"/"&amp;'Pairings NB'!E274</f>
        <v>2111/2110</v>
      </c>
      <c r="E62" s="10" t="str">
        <f>'Pairings NB'!F273&amp;"-"&amp;'Pairings NB'!G273&amp;"-"&amp;'Pairings NB'!F273</f>
        <v>LIM-AQP-LIM</v>
      </c>
      <c r="F62" s="10" t="str">
        <f>IFERROR(VLOOKUP('Pairings NB'!$M$273,Instructores!$A:$C,2,FALSE),"")</f>
        <v/>
      </c>
      <c r="G62" s="10">
        <f>'Pairings NB'!$M$273</f>
        <v>0</v>
      </c>
      <c r="H62" s="10">
        <f>'Pairings NB'!$O$273</f>
        <v>0</v>
      </c>
      <c r="I62" s="10">
        <f>'Pairings NB'!J273</f>
        <v>320</v>
      </c>
      <c r="J62" s="10" t="str">
        <f>IFERROR(VLOOKUP('Pairings NB'!$M$273,Instructores!$A:$C,3,FALSE),"")</f>
        <v/>
      </c>
      <c r="K62" s="10">
        <f>IF('Pairings NB'!J273=320,4,3)</f>
        <v>4</v>
      </c>
    </row>
    <row r="63" spans="1:11" x14ac:dyDescent="0.25">
      <c r="A63" s="10">
        <f>'Pairings NB'!B278</f>
        <v>371</v>
      </c>
      <c r="B63" s="10" t="str">
        <f>'Pairings NB'!C278</f>
        <v>04/10/2026</v>
      </c>
      <c r="C63" s="10" t="str">
        <f>'Pairings NB'!D278</f>
        <v>domingo</v>
      </c>
      <c r="D63" s="10" t="str">
        <f>'Pairings NB'!E278&amp;"/"&amp;'Pairings NB'!E279</f>
        <v>2061/2062</v>
      </c>
      <c r="E63" s="10" t="str">
        <f>'Pairings NB'!F278&amp;"-"&amp;'Pairings NB'!G278&amp;"-"&amp;'Pairings NB'!F278</f>
        <v>LIM-CUZ-LIM</v>
      </c>
      <c r="F63" s="10" t="str">
        <f>IFERROR(VLOOKUP('Pairings NB'!$M$278,Instructores!$A:$C,2,FALSE),"")</f>
        <v/>
      </c>
      <c r="G63" s="10">
        <f>'Pairings NB'!$M$278</f>
        <v>0</v>
      </c>
      <c r="H63" s="10">
        <f>'Pairings NB'!$O$278</f>
        <v>0</v>
      </c>
      <c r="I63" s="10">
        <f>'Pairings NB'!J278</f>
        <v>320</v>
      </c>
      <c r="J63" s="10" t="str">
        <f>IFERROR(VLOOKUP('Pairings NB'!$M$278,Instructores!$A:$C,3,FALSE),"")</f>
        <v/>
      </c>
      <c r="K63" s="10">
        <f>IF('Pairings NB'!J278=320,4,3)</f>
        <v>4</v>
      </c>
    </row>
    <row r="64" spans="1:11" x14ac:dyDescent="0.25">
      <c r="A64" s="10">
        <f>'Pairings NB'!B280</f>
        <v>398</v>
      </c>
      <c r="B64" s="10" t="str">
        <f>'Pairings NB'!C280</f>
        <v>04/10/2026</v>
      </c>
      <c r="C64" s="10" t="str">
        <f>'Pairings NB'!D280</f>
        <v>domingo</v>
      </c>
      <c r="D64" s="10" t="str">
        <f>'Pairings NB'!E280&amp;"/"&amp;'Pairings NB'!E281</f>
        <v>2127/2026</v>
      </c>
      <c r="E64" s="10" t="str">
        <f>'Pairings NB'!F280&amp;"-"&amp;'Pairings NB'!G280&amp;"-"&amp;'Pairings NB'!F280</f>
        <v>LIM-CUZ-LIM</v>
      </c>
      <c r="F64" s="10" t="str">
        <f>IFERROR(VLOOKUP('Pairings NB'!$M$278,Instructores!$A:$C,2,FALSE),"")</f>
        <v/>
      </c>
      <c r="G64" s="10">
        <f>'Pairings NB'!$M$278</f>
        <v>0</v>
      </c>
      <c r="H64" s="10">
        <f>'Pairings NB'!$O$278</f>
        <v>0</v>
      </c>
      <c r="I64" s="10">
        <f>'Pairings NB'!J280</f>
        <v>320</v>
      </c>
      <c r="J64" s="10" t="str">
        <f>IFERROR(VLOOKUP('Pairings NB'!$M$278,Instructores!$A:$C,3,FALSE),"")</f>
        <v/>
      </c>
      <c r="K64" s="10">
        <f>IF('Pairings NB'!J280=320,4,3)</f>
        <v>4</v>
      </c>
    </row>
    <row r="65" spans="1:11" x14ac:dyDescent="0.25">
      <c r="A65" s="10">
        <f>'Pairings NB'!B285</f>
        <v>383</v>
      </c>
      <c r="B65" s="10" t="str">
        <f>'Pairings NB'!C285</f>
        <v>04/10/2026</v>
      </c>
      <c r="C65" s="10" t="str">
        <f>'Pairings NB'!D285</f>
        <v>domingo</v>
      </c>
      <c r="D65" s="10" t="str">
        <f>'Pairings NB'!E285&amp;"/"&amp;'Pairings NB'!E286</f>
        <v>2232/2233</v>
      </c>
      <c r="E65" s="10" t="str">
        <f>'Pairings NB'!F285&amp;"-"&amp;'Pairings NB'!G285&amp;"-"&amp;'Pairings NB'!F285</f>
        <v>LIM-CUZ-LIM</v>
      </c>
      <c r="F65" s="10" t="str">
        <f>IFERROR(VLOOKUP('Pairings NB'!$M$285,Instructores!$A:$C,2,FALSE),"")</f>
        <v/>
      </c>
      <c r="G65" s="10">
        <f>'Pairings NB'!$M$285</f>
        <v>0</v>
      </c>
      <c r="H65" s="10">
        <f>'Pairings NB'!$O$285</f>
        <v>0</v>
      </c>
      <c r="I65" s="10">
        <f>'Pairings NB'!J285</f>
        <v>320</v>
      </c>
      <c r="J65" s="10" t="str">
        <f>IFERROR(VLOOKUP('Pairings NB'!$M$285,Instructores!$A:$C,3,FALSE),"")</f>
        <v/>
      </c>
      <c r="K65" s="10">
        <f>IF('Pairings NB'!J285=320,4,3)</f>
        <v>4</v>
      </c>
    </row>
    <row r="66" spans="1:11" x14ac:dyDescent="0.25">
      <c r="A66" s="10">
        <f>'Pairings NB'!B290</f>
        <v>384</v>
      </c>
      <c r="B66" s="10" t="str">
        <f>'Pairings NB'!C290</f>
        <v>04/10/2026</v>
      </c>
      <c r="C66" s="10" t="str">
        <f>'Pairings NB'!D290</f>
        <v>domingo</v>
      </c>
      <c r="D66" s="10" t="str">
        <f>'Pairings NB'!E290&amp;"/"&amp;'Pairings NB'!E291</f>
        <v>2295/2294</v>
      </c>
      <c r="E66" s="10" t="str">
        <f>'Pairings NB'!F290&amp;"-"&amp;'Pairings NB'!G290&amp;"-"&amp;'Pairings NB'!F290</f>
        <v>LIM-CJA-LIM</v>
      </c>
      <c r="F66" s="10" t="str">
        <f>IFERROR(VLOOKUP('Pairings NB'!$M$290,Instructores!$A:$C,2,FALSE),"")</f>
        <v/>
      </c>
      <c r="G66" s="10">
        <f>'Pairings NB'!$M$290</f>
        <v>0</v>
      </c>
      <c r="H66" s="10">
        <f>'Pairings NB'!$O$290</f>
        <v>0</v>
      </c>
      <c r="I66" s="10">
        <f>'Pairings NB'!J290</f>
        <v>320</v>
      </c>
      <c r="J66" s="10" t="str">
        <f>IFERROR(VLOOKUP('Pairings NB'!$M$290,Instructores!$A:$C,3,FALSE),"")</f>
        <v/>
      </c>
      <c r="K66" s="10">
        <f>IF('Pairings NB'!J290=320,4,3)</f>
        <v>4</v>
      </c>
    </row>
    <row r="67" spans="1:11" x14ac:dyDescent="0.25">
      <c r="A67" s="10">
        <f>'Pairings NB'!B295</f>
        <v>385</v>
      </c>
      <c r="B67" s="10" t="str">
        <f>'Pairings NB'!C295</f>
        <v>04/10/2026</v>
      </c>
      <c r="C67" s="10" t="str">
        <f>'Pairings NB'!D295</f>
        <v>domingo</v>
      </c>
      <c r="D67" s="10" t="str">
        <f>'Pairings NB'!E295&amp;"/"&amp;'Pairings NB'!E296</f>
        <v>2295/2294</v>
      </c>
      <c r="E67" s="10" t="str">
        <f>'Pairings NB'!F295&amp;"-"&amp;'Pairings NB'!G295&amp;"-"&amp;'Pairings NB'!F295</f>
        <v>LIM-CJA-LIM</v>
      </c>
      <c r="F67" s="10" t="str">
        <f>IFERROR(VLOOKUP('Pairings NB'!$M$295,Instructores!$A:$C,2,FALSE),"")</f>
        <v/>
      </c>
      <c r="G67" s="10">
        <f>'Pairings NB'!$M$295</f>
        <v>0</v>
      </c>
      <c r="H67" s="10">
        <f>'Pairings NB'!$O$295</f>
        <v>0</v>
      </c>
      <c r="I67" s="10">
        <f>'Pairings NB'!J295</f>
        <v>320</v>
      </c>
      <c r="J67" s="10" t="str">
        <f>IFERROR(VLOOKUP('Pairings NB'!$M$295,Instructores!$A:$C,3,FALSE),"")</f>
        <v/>
      </c>
      <c r="K67" s="10">
        <f>IF('Pairings NB'!J295=320,4,3)</f>
        <v>4</v>
      </c>
    </row>
    <row r="68" spans="1:11" x14ac:dyDescent="0.25">
      <c r="A68" s="10">
        <f>'Pairings NB'!B300</f>
        <v>387</v>
      </c>
      <c r="B68" s="10" t="str">
        <f>'Pairings NB'!C300</f>
        <v>04/10/2026</v>
      </c>
      <c r="C68" s="10" t="str">
        <f>'Pairings NB'!D300</f>
        <v>domingo</v>
      </c>
      <c r="D68" s="10" t="str">
        <f>'Pairings NB'!E300&amp;"/"&amp;'Pairings NB'!E301</f>
        <v>2154/2155</v>
      </c>
      <c r="E68" s="10" t="str">
        <f>'Pairings NB'!F300&amp;"-"&amp;'Pairings NB'!G300&amp;"-"&amp;'Pairings NB'!F300</f>
        <v>LIM-CUZ-LIM</v>
      </c>
      <c r="F68" s="10" t="str">
        <f>IFERROR(VLOOKUP('Pairings NB'!$M$300,Instructores!$A:$C,2,FALSE),"")</f>
        <v/>
      </c>
      <c r="G68" s="10">
        <f>'Pairings NB'!$M$300</f>
        <v>0</v>
      </c>
      <c r="H68" s="10">
        <f>'Pairings NB'!$O$300</f>
        <v>0</v>
      </c>
      <c r="I68" s="10">
        <f>'Pairings NB'!J300</f>
        <v>320</v>
      </c>
      <c r="J68" s="10" t="str">
        <f>IFERROR(VLOOKUP('Pairings NB'!$M$300,Instructores!$A:$C,3,FALSE),"")</f>
        <v/>
      </c>
      <c r="K68" s="10">
        <f>IF('Pairings NB'!J300=320,4,3)</f>
        <v>4</v>
      </c>
    </row>
    <row r="69" spans="1:11" x14ac:dyDescent="0.25">
      <c r="A69" s="10">
        <f>'Pairings NB'!B305</f>
        <v>388</v>
      </c>
      <c r="B69" s="10" t="str">
        <f>'Pairings NB'!C305</f>
        <v>04/10/2026</v>
      </c>
      <c r="C69" s="10" t="str">
        <f>'Pairings NB'!D305</f>
        <v>domingo</v>
      </c>
      <c r="D69" s="10" t="str">
        <f>'Pairings NB'!E305&amp;"/"&amp;'Pairings NB'!E306</f>
        <v>2338/2339</v>
      </c>
      <c r="E69" s="10" t="str">
        <f>'Pairings NB'!F305&amp;"-"&amp;'Pairings NB'!G305&amp;"-"&amp;'Pairings NB'!F305</f>
        <v>LIM-PIU-LIM</v>
      </c>
      <c r="F69" s="10" t="str">
        <f>IFERROR(VLOOKUP('Pairings NB'!$M$305,Instructores!$A:$C,2,FALSE),"")</f>
        <v/>
      </c>
      <c r="G69" s="10">
        <f>'Pairings NB'!$M$305</f>
        <v>0</v>
      </c>
      <c r="H69" s="10">
        <f>'Pairings NB'!$O$305</f>
        <v>0</v>
      </c>
      <c r="I69" s="10">
        <f>'Pairings NB'!J305</f>
        <v>320</v>
      </c>
      <c r="J69" s="10" t="str">
        <f>IFERROR(VLOOKUP('Pairings NB'!$M$305,Instructores!$A:$C,3,FALSE),"")</f>
        <v/>
      </c>
      <c r="K69" s="10">
        <f>IF('Pairings NB'!J305=320,4,3)</f>
        <v>4</v>
      </c>
    </row>
    <row r="70" spans="1:11" x14ac:dyDescent="0.25">
      <c r="A70" s="10">
        <f>'Pairings NB'!B310</f>
        <v>389</v>
      </c>
      <c r="B70" s="10" t="str">
        <f>'Pairings NB'!C310</f>
        <v>04/10/2026</v>
      </c>
      <c r="C70" s="10" t="str">
        <f>'Pairings NB'!D310</f>
        <v>domingo</v>
      </c>
      <c r="D70" s="10" t="str">
        <f>'Pairings NB'!E310&amp;"/"&amp;'Pairings NB'!E311</f>
        <v>2338/2339</v>
      </c>
      <c r="E70" s="10" t="str">
        <f>'Pairings NB'!F310&amp;"-"&amp;'Pairings NB'!G310&amp;"-"&amp;'Pairings NB'!F310</f>
        <v>LIM-PIU-LIM</v>
      </c>
      <c r="F70" s="10" t="str">
        <f>IFERROR(VLOOKUP('Pairings NB'!$M$310,Instructores!$A:$C,2,FALSE),"")</f>
        <v/>
      </c>
      <c r="G70" s="10">
        <f>'Pairings NB'!$M$310</f>
        <v>0</v>
      </c>
      <c r="H70" s="10">
        <f>'Pairings NB'!$O$310</f>
        <v>0</v>
      </c>
      <c r="I70" s="10">
        <f>'Pairings NB'!J310</f>
        <v>320</v>
      </c>
      <c r="J70" s="10" t="str">
        <f>IFERROR(VLOOKUP('Pairings NB'!$M$310,Instructores!$A:$C,3,FALSE),"")</f>
        <v/>
      </c>
      <c r="K70" s="10">
        <f>IF('Pairings NB'!J310=320,4,3)</f>
        <v>4</v>
      </c>
    </row>
    <row r="71" spans="1:11" x14ac:dyDescent="0.25">
      <c r="A71" s="10">
        <f>'Pairings NB'!B315</f>
        <v>390</v>
      </c>
      <c r="B71" s="10" t="str">
        <f>'Pairings NB'!C315</f>
        <v>04/10/2026</v>
      </c>
      <c r="C71" s="10" t="str">
        <f>'Pairings NB'!D315</f>
        <v>domingo</v>
      </c>
      <c r="D71" s="10" t="str">
        <f>'Pairings NB'!E315&amp;"/"&amp;'Pairings NB'!E316</f>
        <v>2113/2112</v>
      </c>
      <c r="E71" s="10" t="str">
        <f>'Pairings NB'!F315&amp;"-"&amp;'Pairings NB'!G315&amp;"-"&amp;'Pairings NB'!F315</f>
        <v>LIM-AQP-LIM</v>
      </c>
      <c r="F71" s="10" t="str">
        <f>IFERROR(VLOOKUP('Pairings NB'!$M$315,Instructores!$A:$C,2,FALSE),"")</f>
        <v/>
      </c>
      <c r="G71" s="10">
        <f>'Pairings NB'!$M$315</f>
        <v>0</v>
      </c>
      <c r="H71" s="10">
        <f>'Pairings NB'!$O$315</f>
        <v>0</v>
      </c>
      <c r="I71" s="10">
        <f>'Pairings NB'!J315</f>
        <v>319</v>
      </c>
      <c r="J71" s="10" t="str">
        <f>IFERROR(VLOOKUP('Pairings NB'!$M$315,Instructores!$A:$C,3,FALSE),"")</f>
        <v/>
      </c>
      <c r="K71" s="10">
        <f>IF('Pairings NB'!J315=320,4,3)</f>
        <v>3</v>
      </c>
    </row>
    <row r="72" spans="1:11" x14ac:dyDescent="0.25">
      <c r="A72" s="10">
        <f>'Pairings NB'!B320</f>
        <v>393</v>
      </c>
      <c r="B72" s="10" t="str">
        <f>'Pairings NB'!C320</f>
        <v>04/10/2026</v>
      </c>
      <c r="C72" s="10" t="str">
        <f>'Pairings NB'!D320</f>
        <v>domingo</v>
      </c>
      <c r="D72" s="10" t="str">
        <f>'Pairings NB'!E320&amp;"/"&amp;'Pairings NB'!E321</f>
        <v>2297/2296</v>
      </c>
      <c r="E72" s="10" t="str">
        <f>'Pairings NB'!F320&amp;"-"&amp;'Pairings NB'!G320&amp;"-"&amp;'Pairings NB'!F320</f>
        <v>LIM-CJA-LIM</v>
      </c>
      <c r="F72" s="10" t="str">
        <f>IFERROR(VLOOKUP('Pairings NB'!$M$320,Instructores!$A:$C,2,FALSE),"")</f>
        <v/>
      </c>
      <c r="G72" s="10">
        <f>'Pairings NB'!$M$320</f>
        <v>0</v>
      </c>
      <c r="H72" s="10">
        <f>'Pairings NB'!$O$320</f>
        <v>0</v>
      </c>
      <c r="I72" s="10">
        <f>'Pairings NB'!J320</f>
        <v>320</v>
      </c>
      <c r="J72" s="10" t="str">
        <f>IFERROR(VLOOKUP('Pairings NB'!$M$320,Instructores!$A:$C,3,FALSE),"")</f>
        <v/>
      </c>
      <c r="K72" s="10">
        <f>IF('Pairings NB'!J320=320,4,3)</f>
        <v>4</v>
      </c>
    </row>
    <row r="73" spans="1:11" x14ac:dyDescent="0.25">
      <c r="A73" s="10">
        <f>'Pairings NB'!B325</f>
        <v>394</v>
      </c>
      <c r="B73" s="10" t="str">
        <f>'Pairings NB'!C325</f>
        <v>04/10/2026</v>
      </c>
      <c r="C73" s="10" t="str">
        <f>'Pairings NB'!D325</f>
        <v>domingo</v>
      </c>
      <c r="D73" s="10" t="str">
        <f>'Pairings NB'!E325&amp;"/"&amp;'Pairings NB'!E326</f>
        <v>2360/2361</v>
      </c>
      <c r="E73" s="10" t="str">
        <f>'Pairings NB'!F325&amp;"-"&amp;'Pairings NB'!G325&amp;"-"&amp;'Pairings NB'!F325</f>
        <v>LIM-PCL-LIM</v>
      </c>
      <c r="F73" s="10" t="str">
        <f>IFERROR(VLOOKUP('Pairings NB'!$M$325,Instructores!$A:$C,2,FALSE),"")</f>
        <v/>
      </c>
      <c r="G73" s="10">
        <f>'Pairings NB'!$M$325</f>
        <v>0</v>
      </c>
      <c r="H73" s="10">
        <f>'Pairings NB'!$O$325</f>
        <v>0</v>
      </c>
      <c r="I73" s="10">
        <f>'Pairings NB'!J325</f>
        <v>319</v>
      </c>
      <c r="J73" s="10" t="str">
        <f>IFERROR(VLOOKUP('Pairings NB'!$M$325,Instructores!$A:$C,3,FALSE),"")</f>
        <v/>
      </c>
      <c r="K73" s="10">
        <f>IF('Pairings NB'!J325=320,4,3)</f>
        <v>3</v>
      </c>
    </row>
    <row r="74" spans="1:11" x14ac:dyDescent="0.25">
      <c r="A74" s="10">
        <f>'Pairings NB'!B330</f>
        <v>395</v>
      </c>
      <c r="B74" s="10" t="str">
        <f>'Pairings NB'!C330</f>
        <v>04/10/2026</v>
      </c>
      <c r="C74" s="10" t="str">
        <f>'Pairings NB'!D330</f>
        <v>domingo</v>
      </c>
      <c r="D74" s="10" t="str">
        <f>'Pairings NB'!E330&amp;"/"&amp;'Pairings NB'!E331</f>
        <v>2312/2313</v>
      </c>
      <c r="E74" s="10" t="str">
        <f>'Pairings NB'!F330&amp;"-"&amp;'Pairings NB'!G330&amp;"-"&amp;'Pairings NB'!F330</f>
        <v>LIM-CIX-LIM</v>
      </c>
      <c r="F74" s="10" t="str">
        <f>IFERROR(VLOOKUP('Pairings NB'!$M$330,Instructores!$A:$C,2,FALSE),"")</f>
        <v/>
      </c>
      <c r="G74" s="10">
        <f>'Pairings NB'!$M$330</f>
        <v>0</v>
      </c>
      <c r="H74" s="10">
        <f>'Pairings NB'!$O$330</f>
        <v>0</v>
      </c>
      <c r="I74" s="10">
        <f>'Pairings NB'!J330</f>
        <v>320</v>
      </c>
      <c r="J74" s="10" t="str">
        <f>IFERROR(VLOOKUP('Pairings NB'!$M$330,Instructores!$A:$C,3,FALSE),"")</f>
        <v/>
      </c>
      <c r="K74" s="10">
        <f>IF('Pairings NB'!J330=320,4,3)</f>
        <v>4</v>
      </c>
    </row>
    <row r="75" spans="1:11" x14ac:dyDescent="0.25">
      <c r="A75" s="10">
        <f>'Pairings NB'!B335</f>
        <v>396</v>
      </c>
      <c r="B75" s="10" t="str">
        <f>'Pairings NB'!C335</f>
        <v>04/10/2026</v>
      </c>
      <c r="C75" s="10" t="str">
        <f>'Pairings NB'!D335</f>
        <v>domingo</v>
      </c>
      <c r="D75" s="10" t="str">
        <f>'Pairings NB'!E335&amp;"/"&amp;'Pairings NB'!E336</f>
        <v>2312/2313</v>
      </c>
      <c r="E75" s="10" t="str">
        <f>'Pairings NB'!F335&amp;"-"&amp;'Pairings NB'!G335&amp;"-"&amp;'Pairings NB'!F335</f>
        <v>LIM-CIX-LIM</v>
      </c>
      <c r="F75" s="10" t="str">
        <f>IFERROR(VLOOKUP('Pairings NB'!$M$335,Instructores!$A:$C,2,FALSE),"")</f>
        <v/>
      </c>
      <c r="G75" s="10">
        <f>'Pairings NB'!$M$335</f>
        <v>0</v>
      </c>
      <c r="H75" s="10">
        <f>'Pairings NB'!$O$335</f>
        <v>0</v>
      </c>
      <c r="I75" s="10">
        <f>'Pairings NB'!J335</f>
        <v>320</v>
      </c>
      <c r="J75" s="10" t="str">
        <f>IFERROR(VLOOKUP('Pairings NB'!$M$335,Instructores!$A:$C,3,FALSE),"")</f>
        <v/>
      </c>
      <c r="K75" s="10">
        <f>IF('Pairings NB'!J335=320,4,3)</f>
        <v>4</v>
      </c>
    </row>
    <row r="76" spans="1:11" x14ac:dyDescent="0.25">
      <c r="A76" s="10">
        <f>'Pairings NB'!B340</f>
        <v>441</v>
      </c>
      <c r="B76" s="10" t="str">
        <f>'Pairings NB'!C340</f>
        <v>05/10/2026</v>
      </c>
      <c r="C76" s="10" t="str">
        <f>'Pairings NB'!D340</f>
        <v>lunes</v>
      </c>
      <c r="D76" s="10" t="str">
        <f>'Pairings NB'!E340&amp;"/"&amp;'Pairings NB'!E341</f>
        <v>2123/2124</v>
      </c>
      <c r="E76" s="10" t="str">
        <f>'Pairings NB'!F340&amp;"-"&amp;'Pairings NB'!G340&amp;"-"&amp;'Pairings NB'!F340</f>
        <v>LIM-AQP-LIM</v>
      </c>
      <c r="F76" s="10" t="str">
        <f>IFERROR(VLOOKUP('Pairings NB'!$M$340,Instructores!$A:$C,2,FALSE),"")</f>
        <v/>
      </c>
      <c r="G76" s="10">
        <f>'Pairings NB'!$M$340</f>
        <v>0</v>
      </c>
      <c r="H76" s="10">
        <f>'Pairings NB'!$O$340</f>
        <v>0</v>
      </c>
      <c r="I76" s="10">
        <f>'Pairings NB'!J340</f>
        <v>320</v>
      </c>
      <c r="J76" s="10" t="str">
        <f>IFERROR(VLOOKUP('Pairings NB'!$M$340,Instructores!$A:$C,3,FALSE),"")</f>
        <v/>
      </c>
      <c r="K76" s="10">
        <f>IF('Pairings NB'!J340=320,4,3)</f>
        <v>4</v>
      </c>
    </row>
    <row r="77" spans="1:11" x14ac:dyDescent="0.25">
      <c r="A77" s="10">
        <f>'Pairings NB'!B342</f>
        <v>464</v>
      </c>
      <c r="B77" s="10" t="str">
        <f>'Pairings NB'!C342</f>
        <v>05/10/2026</v>
      </c>
      <c r="C77" s="10" t="str">
        <f>'Pairings NB'!D342</f>
        <v>lunes</v>
      </c>
      <c r="D77" s="10" t="str">
        <f>'Pairings NB'!E342&amp;"/"&amp;'Pairings NB'!E343</f>
        <v>2295/2294</v>
      </c>
      <c r="E77" s="10" t="str">
        <f>'Pairings NB'!F342&amp;"-"&amp;'Pairings NB'!G342&amp;"-"&amp;'Pairings NB'!F342</f>
        <v>LIM-CJA-LIM</v>
      </c>
      <c r="F77" s="10" t="str">
        <f>IFERROR(VLOOKUP('Pairings NB'!$M$340,Instructores!$A:$C,2,FALSE),"")</f>
        <v/>
      </c>
      <c r="G77" s="10">
        <f>'Pairings NB'!$M$340</f>
        <v>0</v>
      </c>
      <c r="H77" s="10">
        <f>'Pairings NB'!$O$340</f>
        <v>0</v>
      </c>
      <c r="I77" s="10">
        <f>'Pairings NB'!J342</f>
        <v>320</v>
      </c>
      <c r="J77" s="10" t="str">
        <f>IFERROR(VLOOKUP('Pairings NB'!$M$340,Instructores!$A:$C,3,FALSE),"")</f>
        <v/>
      </c>
      <c r="K77" s="10">
        <f>IF('Pairings NB'!J342=320,4,3)</f>
        <v>4</v>
      </c>
    </row>
    <row r="78" spans="1:11" x14ac:dyDescent="0.25">
      <c r="A78" s="10">
        <f>'Pairings NB'!B347</f>
        <v>444</v>
      </c>
      <c r="B78" s="10" t="str">
        <f>'Pairings NB'!C347</f>
        <v>05/10/2026</v>
      </c>
      <c r="C78" s="10" t="str">
        <f>'Pairings NB'!D347</f>
        <v>lunes</v>
      </c>
      <c r="D78" s="10" t="str">
        <f>'Pairings NB'!E347&amp;"/"&amp;'Pairings NB'!E348</f>
        <v>2075/2076</v>
      </c>
      <c r="E78" s="10" t="str">
        <f>'Pairings NB'!F347&amp;"-"&amp;'Pairings NB'!G347&amp;"-"&amp;'Pairings NB'!F347</f>
        <v>LIM-CUZ-LIM</v>
      </c>
      <c r="F78" s="10" t="str">
        <f>IFERROR(VLOOKUP('Pairings NB'!$M$347,Instructores!$A:$C,2,FALSE),"")</f>
        <v/>
      </c>
      <c r="G78" s="10">
        <f>'Pairings NB'!$M$347</f>
        <v>0</v>
      </c>
      <c r="H78" s="10">
        <f>'Pairings NB'!$O$347</f>
        <v>0</v>
      </c>
      <c r="I78" s="10">
        <f>'Pairings NB'!J347</f>
        <v>319</v>
      </c>
      <c r="J78" s="10" t="str">
        <f>IFERROR(VLOOKUP('Pairings NB'!$M$347,Instructores!$A:$C,3,FALSE),"")</f>
        <v/>
      </c>
      <c r="K78" s="10">
        <f>IF('Pairings NB'!J347=320,4,3)</f>
        <v>3</v>
      </c>
    </row>
    <row r="79" spans="1:11" x14ac:dyDescent="0.25">
      <c r="A79" s="10">
        <f>'Pairings NB'!B349</f>
        <v>470</v>
      </c>
      <c r="B79" s="10" t="str">
        <f>'Pairings NB'!C349</f>
        <v>05/10/2026</v>
      </c>
      <c r="C79" s="10" t="str">
        <f>'Pairings NB'!D349</f>
        <v>lunes</v>
      </c>
      <c r="D79" s="10" t="str">
        <f>'Pairings NB'!E349&amp;"/"&amp;'Pairings NB'!E350</f>
        <v>2297/2296</v>
      </c>
      <c r="E79" s="10" t="str">
        <f>'Pairings NB'!F349&amp;"-"&amp;'Pairings NB'!G349&amp;"-"&amp;'Pairings NB'!F349</f>
        <v>LIM-CJA-LIM</v>
      </c>
      <c r="F79" s="10" t="str">
        <f>IFERROR(VLOOKUP('Pairings NB'!$M$347,Instructores!$A:$C,2,FALSE),"")</f>
        <v/>
      </c>
      <c r="G79" s="10">
        <f>'Pairings NB'!$M$347</f>
        <v>0</v>
      </c>
      <c r="H79" s="10">
        <f>'Pairings NB'!$O$347</f>
        <v>0</v>
      </c>
      <c r="I79" s="10">
        <f>'Pairings NB'!J349</f>
        <v>319</v>
      </c>
      <c r="J79" s="10" t="str">
        <f>IFERROR(VLOOKUP('Pairings NB'!$M$347,Instructores!$A:$C,3,FALSE),"")</f>
        <v/>
      </c>
      <c r="K79" s="10">
        <f>IF('Pairings NB'!J349=320,4,3)</f>
        <v>3</v>
      </c>
    </row>
    <row r="80" spans="1:11" x14ac:dyDescent="0.25">
      <c r="A80" s="10">
        <f>'Pairings NB'!B354</f>
        <v>446</v>
      </c>
      <c r="B80" s="10" t="str">
        <f>'Pairings NB'!C354</f>
        <v>05/10/2026</v>
      </c>
      <c r="C80" s="10" t="str">
        <f>'Pairings NB'!D354</f>
        <v>lunes</v>
      </c>
      <c r="D80" s="10" t="str">
        <f>'Pairings NB'!E354&amp;"/"&amp;'Pairings NB'!E355</f>
        <v>2057/2058</v>
      </c>
      <c r="E80" s="10" t="str">
        <f>'Pairings NB'!F354&amp;"-"&amp;'Pairings NB'!G354&amp;"-"&amp;'Pairings NB'!F354</f>
        <v>LIM-CUZ-LIM</v>
      </c>
      <c r="F80" s="10" t="str">
        <f>IFERROR(VLOOKUP('Pairings NB'!$M$354,Instructores!$A:$C,2,FALSE),"")</f>
        <v/>
      </c>
      <c r="G80" s="10">
        <f>'Pairings NB'!$M$354</f>
        <v>0</v>
      </c>
      <c r="H80" s="10">
        <f>'Pairings NB'!$O$354</f>
        <v>0</v>
      </c>
      <c r="I80" s="10">
        <f>'Pairings NB'!J354</f>
        <v>320</v>
      </c>
      <c r="J80" s="10" t="str">
        <f>IFERROR(VLOOKUP('Pairings NB'!$M$354,Instructores!$A:$C,3,FALSE),"")</f>
        <v/>
      </c>
      <c r="K80" s="10">
        <f>IF('Pairings NB'!J354=320,4,3)</f>
        <v>4</v>
      </c>
    </row>
    <row r="81" spans="1:11" x14ac:dyDescent="0.25">
      <c r="A81" s="10">
        <f>'Pairings NB'!B356</f>
        <v>475</v>
      </c>
      <c r="B81" s="10" t="str">
        <f>'Pairings NB'!C356</f>
        <v>05/10/2026</v>
      </c>
      <c r="C81" s="10" t="str">
        <f>'Pairings NB'!D356</f>
        <v>lunes</v>
      </c>
      <c r="D81" s="10" t="str">
        <f>'Pairings NB'!E356&amp;"/"&amp;'Pairings NB'!E357</f>
        <v>2127/2026</v>
      </c>
      <c r="E81" s="10" t="str">
        <f>'Pairings NB'!F356&amp;"-"&amp;'Pairings NB'!G356&amp;"-"&amp;'Pairings NB'!F356</f>
        <v>LIM-CUZ-LIM</v>
      </c>
      <c r="F81" s="10" t="str">
        <f>IFERROR(VLOOKUP('Pairings NB'!$M$354,Instructores!$A:$C,2,FALSE),"")</f>
        <v/>
      </c>
      <c r="G81" s="10">
        <f>'Pairings NB'!$M$354</f>
        <v>0</v>
      </c>
      <c r="H81" s="10">
        <f>'Pairings NB'!$O$354</f>
        <v>0</v>
      </c>
      <c r="I81" s="10">
        <f>'Pairings NB'!J356</f>
        <v>319</v>
      </c>
      <c r="J81" s="10" t="str">
        <f>IFERROR(VLOOKUP('Pairings NB'!$M$354,Instructores!$A:$C,3,FALSE),"")</f>
        <v/>
      </c>
      <c r="K81" s="10">
        <f>IF('Pairings NB'!J356=320,4,3)</f>
        <v>3</v>
      </c>
    </row>
    <row r="82" spans="1:11" x14ac:dyDescent="0.25">
      <c r="A82" s="10">
        <f>'Pairings NB'!B361</f>
        <v>448</v>
      </c>
      <c r="B82" s="10" t="str">
        <f>'Pairings NB'!C361</f>
        <v>05/10/2026</v>
      </c>
      <c r="C82" s="10" t="str">
        <f>'Pairings NB'!D361</f>
        <v>lunes</v>
      </c>
      <c r="D82" s="10" t="str">
        <f>'Pairings NB'!E361&amp;"/"&amp;'Pairings NB'!E362</f>
        <v>2019/2038</v>
      </c>
      <c r="E82" s="10" t="str">
        <f>'Pairings NB'!F361&amp;"-"&amp;'Pairings NB'!G361&amp;"-"&amp;'Pairings NB'!F361</f>
        <v>LIM-IQT-LIM</v>
      </c>
      <c r="F82" s="10" t="str">
        <f>IFERROR(VLOOKUP('Pairings NB'!$M$361,Instructores!$A:$C,2,FALSE),"")</f>
        <v/>
      </c>
      <c r="G82" s="10">
        <f>'Pairings NB'!$M$361</f>
        <v>0</v>
      </c>
      <c r="H82" s="10">
        <f>'Pairings NB'!$O$361</f>
        <v>0</v>
      </c>
      <c r="I82" s="10">
        <f>'Pairings NB'!J361</f>
        <v>320</v>
      </c>
      <c r="J82" s="10" t="str">
        <f>IFERROR(VLOOKUP('Pairings NB'!$M$361,Instructores!$A:$C,3,FALSE),"")</f>
        <v/>
      </c>
      <c r="K82" s="10">
        <f>IF('Pairings NB'!J361=320,4,3)</f>
        <v>4</v>
      </c>
    </row>
    <row r="83" spans="1:11" x14ac:dyDescent="0.25">
      <c r="A83" s="10">
        <f>'Pairings NB'!B366</f>
        <v>452</v>
      </c>
      <c r="B83" s="10" t="str">
        <f>'Pairings NB'!C366</f>
        <v>05/10/2026</v>
      </c>
      <c r="C83" s="10" t="str">
        <f>'Pairings NB'!D366</f>
        <v>lunes</v>
      </c>
      <c r="D83" s="10" t="str">
        <f>'Pairings NB'!E366&amp;"/"&amp;'Pairings NB'!E367</f>
        <v>2316/2317</v>
      </c>
      <c r="E83" s="10" t="str">
        <f>'Pairings NB'!F366&amp;"-"&amp;'Pairings NB'!G366&amp;"-"&amp;'Pairings NB'!F366</f>
        <v>LIM-PIU-LIM</v>
      </c>
      <c r="F83" s="10" t="str">
        <f>IFERROR(VLOOKUP('Pairings NB'!$M$366,Instructores!$A:$C,2,FALSE),"")</f>
        <v/>
      </c>
      <c r="G83" s="10">
        <f>'Pairings NB'!$M$366</f>
        <v>0</v>
      </c>
      <c r="H83" s="10">
        <f>'Pairings NB'!$O$366</f>
        <v>0</v>
      </c>
      <c r="I83" s="10">
        <f>'Pairings NB'!J366</f>
        <v>320</v>
      </c>
      <c r="J83" s="10" t="str">
        <f>IFERROR(VLOOKUP('Pairings NB'!$M$366,Instructores!$A:$C,3,FALSE),"")</f>
        <v/>
      </c>
      <c r="K83" s="10">
        <f>IF('Pairings NB'!J366=320,4,3)</f>
        <v>4</v>
      </c>
    </row>
    <row r="84" spans="1:11" x14ac:dyDescent="0.25">
      <c r="A84" s="10">
        <f>'Pairings NB'!B371</f>
        <v>450</v>
      </c>
      <c r="B84" s="10" t="str">
        <f>'Pairings NB'!C371</f>
        <v>05/10/2026</v>
      </c>
      <c r="C84" s="10" t="str">
        <f>'Pairings NB'!D371</f>
        <v>lunes</v>
      </c>
      <c r="D84" s="10" t="str">
        <f>'Pairings NB'!E371&amp;"/"&amp;'Pairings NB'!E372</f>
        <v>2061/2062</v>
      </c>
      <c r="E84" s="10" t="str">
        <f>'Pairings NB'!F371&amp;"-"&amp;'Pairings NB'!G371&amp;"-"&amp;'Pairings NB'!F371</f>
        <v>LIM-CUZ-LIM</v>
      </c>
      <c r="F84" s="10" t="str">
        <f>IFERROR(VLOOKUP('Pairings NB'!$M$371,Instructores!$A:$C,2,FALSE),"")</f>
        <v/>
      </c>
      <c r="G84" s="10">
        <f>'Pairings NB'!$M$371</f>
        <v>0</v>
      </c>
      <c r="H84" s="10">
        <f>'Pairings NB'!$O$371</f>
        <v>0</v>
      </c>
      <c r="I84" s="10">
        <f>'Pairings NB'!J371</f>
        <v>320</v>
      </c>
      <c r="J84" s="10" t="str">
        <f>IFERROR(VLOOKUP('Pairings NB'!$M$371,Instructores!$A:$C,3,FALSE),"")</f>
        <v/>
      </c>
      <c r="K84" s="10">
        <f>IF('Pairings NB'!J371=320,4,3)</f>
        <v>4</v>
      </c>
    </row>
    <row r="85" spans="1:11" x14ac:dyDescent="0.25">
      <c r="A85" s="10">
        <f>'Pairings NB'!B376</f>
        <v>451</v>
      </c>
      <c r="B85" s="10" t="str">
        <f>'Pairings NB'!C376</f>
        <v>05/10/2026</v>
      </c>
      <c r="C85" s="10" t="str">
        <f>'Pairings NB'!D376</f>
        <v>lunes</v>
      </c>
      <c r="D85" s="10" t="str">
        <f>'Pairings NB'!E376&amp;"/"&amp;'Pairings NB'!E377</f>
        <v>2111/2110</v>
      </c>
      <c r="E85" s="10" t="str">
        <f>'Pairings NB'!F376&amp;"-"&amp;'Pairings NB'!G376&amp;"-"&amp;'Pairings NB'!F376</f>
        <v>LIM-AQP-LIM</v>
      </c>
      <c r="F85" s="10" t="str">
        <f>IFERROR(VLOOKUP('Pairings NB'!$M$376,Instructores!$A:$C,2,FALSE),"")</f>
        <v/>
      </c>
      <c r="G85" s="10">
        <f>'Pairings NB'!$M$376</f>
        <v>0</v>
      </c>
      <c r="H85" s="10">
        <f>'Pairings NB'!$O$376</f>
        <v>0</v>
      </c>
      <c r="I85" s="10">
        <f>'Pairings NB'!J376</f>
        <v>320</v>
      </c>
      <c r="J85" s="10" t="str">
        <f>IFERROR(VLOOKUP('Pairings NB'!$M$376,Instructores!$A:$C,3,FALSE),"")</f>
        <v/>
      </c>
      <c r="K85" s="10">
        <f>IF('Pairings NB'!J376=320,4,3)</f>
        <v>4</v>
      </c>
    </row>
    <row r="86" spans="1:11" x14ac:dyDescent="0.25">
      <c r="A86" s="10">
        <f>'Pairings NB'!B381</f>
        <v>457</v>
      </c>
      <c r="B86" s="10" t="str">
        <f>'Pairings NB'!C381</f>
        <v>05/10/2026</v>
      </c>
      <c r="C86" s="10" t="str">
        <f>'Pairings NB'!D381</f>
        <v>lunes</v>
      </c>
      <c r="D86" s="10" t="str">
        <f>'Pairings NB'!E381&amp;"/"&amp;'Pairings NB'!E382</f>
        <v>2043/2044</v>
      </c>
      <c r="E86" s="10" t="str">
        <f>'Pairings NB'!F381&amp;"-"&amp;'Pairings NB'!G381&amp;"-"&amp;'Pairings NB'!F381</f>
        <v>LIM-AQP-LIM</v>
      </c>
      <c r="F86" s="10" t="str">
        <f>IFERROR(VLOOKUP('Pairings NB'!$M$381,Instructores!$A:$C,2,FALSE),"")</f>
        <v/>
      </c>
      <c r="G86" s="10">
        <f>'Pairings NB'!$M$381</f>
        <v>0</v>
      </c>
      <c r="H86" s="10">
        <f>'Pairings NB'!$O$381</f>
        <v>0</v>
      </c>
      <c r="I86" s="10">
        <f>'Pairings NB'!J381</f>
        <v>320</v>
      </c>
      <c r="J86" s="10" t="str">
        <f>IFERROR(VLOOKUP('Pairings NB'!$M$381,Instructores!$A:$C,3,FALSE),"")</f>
        <v/>
      </c>
      <c r="K86" s="10">
        <f>IF('Pairings NB'!J381=320,4,3)</f>
        <v>4</v>
      </c>
    </row>
    <row r="87" spans="1:11" x14ac:dyDescent="0.25">
      <c r="A87" s="10">
        <f>'Pairings NB'!B386</f>
        <v>458</v>
      </c>
      <c r="B87" s="10" t="str">
        <f>'Pairings NB'!C386</f>
        <v>05/10/2026</v>
      </c>
      <c r="C87" s="10" t="str">
        <f>'Pairings NB'!D386</f>
        <v>lunes</v>
      </c>
      <c r="D87" s="10" t="str">
        <f>'Pairings NB'!E386&amp;"/"&amp;'Pairings NB'!E387</f>
        <v>2308/2309</v>
      </c>
      <c r="E87" s="10" t="str">
        <f>'Pairings NB'!F386&amp;"-"&amp;'Pairings NB'!G386&amp;"-"&amp;'Pairings NB'!F386</f>
        <v>LIM-PIU-LIM</v>
      </c>
      <c r="F87" s="10" t="str">
        <f>IFERROR(VLOOKUP('Pairings NB'!$M$386,Instructores!$A:$C,2,FALSE),"")</f>
        <v/>
      </c>
      <c r="G87" s="10">
        <f>'Pairings NB'!$M$386</f>
        <v>0</v>
      </c>
      <c r="H87" s="10">
        <f>'Pairings NB'!$O$386</f>
        <v>0</v>
      </c>
      <c r="I87" s="10">
        <f>'Pairings NB'!J386</f>
        <v>320</v>
      </c>
      <c r="J87" s="10" t="str">
        <f>IFERROR(VLOOKUP('Pairings NB'!$M$386,Instructores!$A:$C,3,FALSE),"")</f>
        <v/>
      </c>
      <c r="K87" s="10">
        <f>IF('Pairings NB'!J386=320,4,3)</f>
        <v>4</v>
      </c>
    </row>
    <row r="88" spans="1:11" x14ac:dyDescent="0.25">
      <c r="A88" s="10">
        <f>'Pairings NB'!B391</f>
        <v>467</v>
      </c>
      <c r="B88" s="10" t="str">
        <f>'Pairings NB'!C391</f>
        <v>05/10/2026</v>
      </c>
      <c r="C88" s="10" t="str">
        <f>'Pairings NB'!D391</f>
        <v>lunes</v>
      </c>
      <c r="D88" s="10" t="str">
        <f>'Pairings NB'!E391&amp;"/"&amp;'Pairings NB'!E392</f>
        <v>2264/2265</v>
      </c>
      <c r="E88" s="10" t="str">
        <f>'Pairings NB'!F391&amp;"-"&amp;'Pairings NB'!G391&amp;"-"&amp;'Pairings NB'!F391</f>
        <v>LIM-PEM-LIM</v>
      </c>
      <c r="F88" s="10" t="str">
        <f>IFERROR(VLOOKUP('Pairings NB'!$M$391,Instructores!$A:$C,2,FALSE),"")</f>
        <v/>
      </c>
      <c r="G88" s="10">
        <f>'Pairings NB'!$M$391</f>
        <v>0</v>
      </c>
      <c r="H88" s="10">
        <f>'Pairings NB'!$O$391</f>
        <v>0</v>
      </c>
      <c r="I88" s="10">
        <f>'Pairings NB'!J391</f>
        <v>320</v>
      </c>
      <c r="J88" s="10" t="str">
        <f>IFERROR(VLOOKUP('Pairings NB'!$M$391,Instructores!$A:$C,3,FALSE),"")</f>
        <v/>
      </c>
      <c r="K88" s="10">
        <f>IF('Pairings NB'!J391=320,4,3)</f>
        <v>4</v>
      </c>
    </row>
    <row r="89" spans="1:11" x14ac:dyDescent="0.25">
      <c r="A89" s="10">
        <f>'Pairings NB'!B396</f>
        <v>468</v>
      </c>
      <c r="B89" s="10" t="str">
        <f>'Pairings NB'!C396</f>
        <v>05/10/2026</v>
      </c>
      <c r="C89" s="10" t="str">
        <f>'Pairings NB'!D396</f>
        <v>lunes</v>
      </c>
      <c r="D89" s="10" t="str">
        <f>'Pairings NB'!E396&amp;"/"&amp;'Pairings NB'!E397</f>
        <v>2113/2112</v>
      </c>
      <c r="E89" s="10" t="str">
        <f>'Pairings NB'!F396&amp;"-"&amp;'Pairings NB'!G396&amp;"-"&amp;'Pairings NB'!F396</f>
        <v>LIM-AQP-LIM</v>
      </c>
      <c r="F89" s="10" t="str">
        <f>IFERROR(VLOOKUP('Pairings NB'!$M$396,Instructores!$A:$C,2,FALSE),"")</f>
        <v/>
      </c>
      <c r="G89" s="10">
        <f>'Pairings NB'!$M$396</f>
        <v>0</v>
      </c>
      <c r="H89" s="10">
        <f>'Pairings NB'!$O$396</f>
        <v>0</v>
      </c>
      <c r="I89" s="10">
        <f>'Pairings NB'!J396</f>
        <v>320</v>
      </c>
      <c r="J89" s="10" t="str">
        <f>IFERROR(VLOOKUP('Pairings NB'!$M$396,Instructores!$A:$C,3,FALSE),"")</f>
        <v/>
      </c>
      <c r="K89" s="10">
        <f>IF('Pairings NB'!J396=320,4,3)</f>
        <v>4</v>
      </c>
    </row>
    <row r="90" spans="1:11" x14ac:dyDescent="0.25">
      <c r="A90" s="10">
        <f>'Pairings NB'!B401</f>
        <v>469</v>
      </c>
      <c r="B90" s="10" t="str">
        <f>'Pairings NB'!C401</f>
        <v>05/10/2026</v>
      </c>
      <c r="C90" s="10" t="str">
        <f>'Pairings NB'!D401</f>
        <v>lunes</v>
      </c>
      <c r="D90" s="10" t="str">
        <f>'Pairings NB'!E401&amp;"/"&amp;'Pairings NB'!E402</f>
        <v>2113/2112</v>
      </c>
      <c r="E90" s="10" t="str">
        <f>'Pairings NB'!F401&amp;"-"&amp;'Pairings NB'!G401&amp;"-"&amp;'Pairings NB'!F401</f>
        <v>LIM-AQP-LIM</v>
      </c>
      <c r="F90" s="10" t="str">
        <f>IFERROR(VLOOKUP('Pairings NB'!$M$401,Instructores!$A:$C,2,FALSE),"")</f>
        <v/>
      </c>
      <c r="G90" s="10">
        <f>'Pairings NB'!$M$401</f>
        <v>0</v>
      </c>
      <c r="H90" s="10">
        <f>'Pairings NB'!$O$401</f>
        <v>0</v>
      </c>
      <c r="I90" s="10">
        <f>'Pairings NB'!J401</f>
        <v>320</v>
      </c>
      <c r="J90" s="10" t="str">
        <f>IFERROR(VLOOKUP('Pairings NB'!$M$401,Instructores!$A:$C,3,FALSE),"")</f>
        <v/>
      </c>
      <c r="K90" s="10">
        <f>IF('Pairings NB'!J401=320,4,3)</f>
        <v>4</v>
      </c>
    </row>
    <row r="91" spans="1:11" x14ac:dyDescent="0.25">
      <c r="A91" s="10">
        <f>'Pairings NB'!B406</f>
        <v>471</v>
      </c>
      <c r="B91" s="10" t="str">
        <f>'Pairings NB'!C406</f>
        <v>05/10/2026</v>
      </c>
      <c r="C91" s="10" t="str">
        <f>'Pairings NB'!D406</f>
        <v>lunes</v>
      </c>
      <c r="D91" s="10" t="str">
        <f>'Pairings NB'!E406&amp;"/"&amp;'Pairings NB'!E407</f>
        <v>2360/2361</v>
      </c>
      <c r="E91" s="10" t="str">
        <f>'Pairings NB'!F406&amp;"-"&amp;'Pairings NB'!G406&amp;"-"&amp;'Pairings NB'!F406</f>
        <v>LIM-PCL-LIM</v>
      </c>
      <c r="F91" s="10" t="str">
        <f>IFERROR(VLOOKUP('Pairings NB'!$M$406,Instructores!$A:$C,2,FALSE),"")</f>
        <v/>
      </c>
      <c r="G91" s="10">
        <f>'Pairings NB'!$M$406</f>
        <v>0</v>
      </c>
      <c r="H91" s="10">
        <f>'Pairings NB'!$O$406</f>
        <v>0</v>
      </c>
      <c r="I91" s="10">
        <f>'Pairings NB'!J406</f>
        <v>320</v>
      </c>
      <c r="J91" s="10" t="str">
        <f>IFERROR(VLOOKUP('Pairings NB'!$M$406,Instructores!$A:$C,3,FALSE),"")</f>
        <v/>
      </c>
      <c r="K91" s="10">
        <f>IF('Pairings NB'!J406=320,4,3)</f>
        <v>4</v>
      </c>
    </row>
    <row r="92" spans="1:11" x14ac:dyDescent="0.25">
      <c r="A92" s="10">
        <f>'Pairings NB'!B411</f>
        <v>472</v>
      </c>
      <c r="B92" s="10" t="str">
        <f>'Pairings NB'!C411</f>
        <v>05/10/2026</v>
      </c>
      <c r="C92" s="10" t="str">
        <f>'Pairings NB'!D411</f>
        <v>lunes</v>
      </c>
      <c r="D92" s="10" t="str">
        <f>'Pairings NB'!E411&amp;"/"&amp;'Pairings NB'!E412</f>
        <v>2312/2313</v>
      </c>
      <c r="E92" s="10" t="str">
        <f>'Pairings NB'!F411&amp;"-"&amp;'Pairings NB'!G411&amp;"-"&amp;'Pairings NB'!F411</f>
        <v>LIM-CIX-LIM</v>
      </c>
      <c r="F92" s="10" t="str">
        <f>IFERROR(VLOOKUP('Pairings NB'!$M$411,Instructores!$A:$C,2,FALSE),"")</f>
        <v/>
      </c>
      <c r="G92" s="10">
        <f>'Pairings NB'!$M$411</f>
        <v>0</v>
      </c>
      <c r="H92" s="10">
        <f>'Pairings NB'!$O$411</f>
        <v>0</v>
      </c>
      <c r="I92" s="10">
        <f>'Pairings NB'!J411</f>
        <v>320</v>
      </c>
      <c r="J92" s="10" t="str">
        <f>IFERROR(VLOOKUP('Pairings NB'!$M$411,Instructores!$A:$C,3,FALSE),"")</f>
        <v/>
      </c>
      <c r="K92" s="10">
        <f>IF('Pairings NB'!J411=320,4,3)</f>
        <v>4</v>
      </c>
    </row>
    <row r="93" spans="1:11" x14ac:dyDescent="0.25">
      <c r="A93" s="10">
        <f>'Pairings NB'!B416</f>
        <v>478</v>
      </c>
      <c r="B93" s="10" t="str">
        <f>'Pairings NB'!C416</f>
        <v>05/10/2026</v>
      </c>
      <c r="C93" s="10" t="str">
        <f>'Pairings NB'!D416</f>
        <v>lunes</v>
      </c>
      <c r="D93" s="10" t="str">
        <f>'Pairings NB'!E416&amp;"/"&amp;'Pairings NB'!E417</f>
        <v>2310/2311</v>
      </c>
      <c r="E93" s="10" t="str">
        <f>'Pairings NB'!F416&amp;"-"&amp;'Pairings NB'!G416&amp;"-"&amp;'Pairings NB'!F416</f>
        <v>LIM-CIX-LIM</v>
      </c>
      <c r="F93" s="10" t="str">
        <f>IFERROR(VLOOKUP('Pairings NB'!$M$416,Instructores!$A:$C,2,FALSE),"")</f>
        <v/>
      </c>
      <c r="G93" s="10">
        <f>'Pairings NB'!$M$416</f>
        <v>0</v>
      </c>
      <c r="H93" s="10">
        <f>'Pairings NB'!$O$416</f>
        <v>0</v>
      </c>
      <c r="I93" s="10">
        <f>'Pairings NB'!J416</f>
        <v>320</v>
      </c>
      <c r="J93" s="10" t="str">
        <f>IFERROR(VLOOKUP('Pairings NB'!$M$416,Instructores!$A:$C,3,FALSE),"")</f>
        <v/>
      </c>
      <c r="K93" s="10">
        <f>IF('Pairings NB'!J416=320,4,3)</f>
        <v>4</v>
      </c>
    </row>
    <row r="94" spans="1:11" x14ac:dyDescent="0.25">
      <c r="A94" s="10">
        <f>'Pairings NB'!B421</f>
        <v>479</v>
      </c>
      <c r="B94" s="10" t="str">
        <f>'Pairings NB'!C421</f>
        <v>05/10/2026</v>
      </c>
      <c r="C94" s="10" t="str">
        <f>'Pairings NB'!D421</f>
        <v>lunes</v>
      </c>
      <c r="D94" s="10" t="str">
        <f>'Pairings NB'!E421&amp;"/"&amp;'Pairings NB'!E422</f>
        <v>2091/2092</v>
      </c>
      <c r="E94" s="10" t="str">
        <f>'Pairings NB'!F421&amp;"-"&amp;'Pairings NB'!G421&amp;"-"&amp;'Pairings NB'!F421</f>
        <v>LIM-TPP-LIM</v>
      </c>
      <c r="F94" s="10" t="str">
        <f>IFERROR(VLOOKUP('Pairings NB'!$M$421,Instructores!$A:$C,2,FALSE),"")</f>
        <v/>
      </c>
      <c r="G94" s="10">
        <f>'Pairings NB'!$M$421</f>
        <v>0</v>
      </c>
      <c r="H94" s="10">
        <f>'Pairings NB'!$O$421</f>
        <v>0</v>
      </c>
      <c r="I94" s="10">
        <f>'Pairings NB'!J421</f>
        <v>320</v>
      </c>
      <c r="J94" s="10" t="str">
        <f>IFERROR(VLOOKUP('Pairings NB'!$M$421,Instructores!$A:$C,3,FALSE),"")</f>
        <v/>
      </c>
      <c r="K94" s="10">
        <f>IF('Pairings NB'!J421=320,4,3)</f>
        <v>4</v>
      </c>
    </row>
    <row r="95" spans="1:11" x14ac:dyDescent="0.25">
      <c r="A95" s="10">
        <f>'Pairings NB'!B426</f>
        <v>480</v>
      </c>
      <c r="B95" s="10" t="str">
        <f>'Pairings NB'!C426</f>
        <v>05/10/2026</v>
      </c>
      <c r="C95" s="10" t="str">
        <f>'Pairings NB'!D426</f>
        <v>lunes</v>
      </c>
      <c r="D95" s="10" t="str">
        <f>'Pairings NB'!E426&amp;"/"&amp;'Pairings NB'!E427</f>
        <v>2117/2116</v>
      </c>
      <c r="E95" s="10" t="str">
        <f>'Pairings NB'!F426&amp;"-"&amp;'Pairings NB'!G426&amp;"-"&amp;'Pairings NB'!F426</f>
        <v>LIM-AQP-LIM</v>
      </c>
      <c r="F95" s="10" t="str">
        <f>IFERROR(VLOOKUP('Pairings NB'!$M$426,Instructores!$A:$C,2,FALSE),"")</f>
        <v/>
      </c>
      <c r="G95" s="10">
        <f>'Pairings NB'!$M$426</f>
        <v>0</v>
      </c>
      <c r="H95" s="10">
        <f>'Pairings NB'!$O$426</f>
        <v>0</v>
      </c>
      <c r="I95" s="10">
        <f>'Pairings NB'!J426</f>
        <v>319</v>
      </c>
      <c r="J95" s="10" t="str">
        <f>IFERROR(VLOOKUP('Pairings NB'!$M$426,Instructores!$A:$C,3,FALSE),"")</f>
        <v/>
      </c>
      <c r="K95" s="10">
        <f>IF('Pairings NB'!J426=320,4,3)</f>
        <v>3</v>
      </c>
    </row>
    <row r="96" spans="1:11" x14ac:dyDescent="0.25">
      <c r="A96" s="10">
        <f>'Pairings NB'!B431</f>
        <v>524</v>
      </c>
      <c r="B96" s="10" t="str">
        <f>'Pairings NB'!C431</f>
        <v>06/10/2026</v>
      </c>
      <c r="C96" s="10" t="str">
        <f>'Pairings NB'!D431</f>
        <v>martes</v>
      </c>
      <c r="D96" s="10" t="str">
        <f>'Pairings NB'!E431&amp;"/"&amp;'Pairings NB'!E432</f>
        <v>2007/2008</v>
      </c>
      <c r="E96" s="10" t="str">
        <f>'Pairings NB'!F431&amp;"-"&amp;'Pairings NB'!G431&amp;"-"&amp;'Pairings NB'!F431</f>
        <v>LIM-CUZ-LIM</v>
      </c>
      <c r="F96" s="10" t="str">
        <f>IFERROR(VLOOKUP('Pairings NB'!$M$431,Instructores!$A:$C,2,FALSE),"")</f>
        <v/>
      </c>
      <c r="G96" s="10">
        <f>'Pairings NB'!$M$431</f>
        <v>0</v>
      </c>
      <c r="H96" s="10">
        <f>'Pairings NB'!$O$431</f>
        <v>0</v>
      </c>
      <c r="I96" s="10">
        <f>'Pairings NB'!J431</f>
        <v>320</v>
      </c>
      <c r="J96" s="10" t="str">
        <f>IFERROR(VLOOKUP('Pairings NB'!$M$431,Instructores!$A:$C,3,FALSE),"")</f>
        <v/>
      </c>
      <c r="K96" s="10">
        <f>IF('Pairings NB'!J431=320,4,3)</f>
        <v>4</v>
      </c>
    </row>
    <row r="97" spans="1:11" x14ac:dyDescent="0.25">
      <c r="A97" s="10">
        <f>'Pairings NB'!B433</f>
        <v>544</v>
      </c>
      <c r="B97" s="10" t="str">
        <f>'Pairings NB'!C433</f>
        <v>06/10/2026</v>
      </c>
      <c r="C97" s="10" t="str">
        <f>'Pairings NB'!D433</f>
        <v>martes</v>
      </c>
      <c r="D97" s="10" t="str">
        <f>'Pairings NB'!E433&amp;"/"&amp;'Pairings NB'!E434</f>
        <v>2295/2294</v>
      </c>
      <c r="E97" s="10" t="str">
        <f>'Pairings NB'!F433&amp;"-"&amp;'Pairings NB'!G433&amp;"-"&amp;'Pairings NB'!F433</f>
        <v>LIM-CJA-LIM</v>
      </c>
      <c r="F97" s="10" t="str">
        <f>IFERROR(VLOOKUP('Pairings NB'!$M$431,Instructores!$A:$C,2,FALSE),"")</f>
        <v/>
      </c>
      <c r="G97" s="10">
        <f>'Pairings NB'!$M$431</f>
        <v>0</v>
      </c>
      <c r="H97" s="10">
        <f>'Pairings NB'!$O$431</f>
        <v>0</v>
      </c>
      <c r="I97" s="10">
        <f>'Pairings NB'!J433</f>
        <v>319</v>
      </c>
      <c r="J97" s="10" t="str">
        <f>IFERROR(VLOOKUP('Pairings NB'!$M$431,Instructores!$A:$C,3,FALSE),"")</f>
        <v/>
      </c>
      <c r="K97" s="10">
        <f>IF('Pairings NB'!J433=320,4,3)</f>
        <v>3</v>
      </c>
    </row>
    <row r="98" spans="1:11" x14ac:dyDescent="0.25">
      <c r="A98" s="10">
        <f>'Pairings NB'!B438</f>
        <v>528</v>
      </c>
      <c r="B98" s="10" t="str">
        <f>'Pairings NB'!C438</f>
        <v>06/10/2026</v>
      </c>
      <c r="C98" s="10" t="str">
        <f>'Pairings NB'!D438</f>
        <v>martes</v>
      </c>
      <c r="D98" s="10" t="str">
        <f>'Pairings NB'!E438&amp;"/"&amp;'Pairings NB'!E439</f>
        <v>2075/2076</v>
      </c>
      <c r="E98" s="10" t="str">
        <f>'Pairings NB'!F438&amp;"-"&amp;'Pairings NB'!G438&amp;"-"&amp;'Pairings NB'!F438</f>
        <v>LIM-CUZ-LIM</v>
      </c>
      <c r="F98" s="10" t="str">
        <f>IFERROR(VLOOKUP('Pairings NB'!$M$438,Instructores!$A:$C,2,FALSE),"")</f>
        <v/>
      </c>
      <c r="G98" s="10">
        <f>'Pairings NB'!$M$438</f>
        <v>0</v>
      </c>
      <c r="H98" s="10">
        <f>'Pairings NB'!$O$438</f>
        <v>0</v>
      </c>
      <c r="I98" s="10">
        <f>'Pairings NB'!J438</f>
        <v>319</v>
      </c>
      <c r="J98" s="10" t="str">
        <f>IFERROR(VLOOKUP('Pairings NB'!$M$438,Instructores!$A:$C,3,FALSE),"")</f>
        <v/>
      </c>
      <c r="K98" s="10">
        <f>IF('Pairings NB'!J438=320,4,3)</f>
        <v>3</v>
      </c>
    </row>
    <row r="99" spans="1:11" x14ac:dyDescent="0.25">
      <c r="A99" s="10">
        <f>'Pairings NB'!B440</f>
        <v>550</v>
      </c>
      <c r="B99" s="10" t="str">
        <f>'Pairings NB'!C440</f>
        <v>06/10/2026</v>
      </c>
      <c r="C99" s="10" t="str">
        <f>'Pairings NB'!D440</f>
        <v>martes</v>
      </c>
      <c r="D99" s="10" t="str">
        <f>'Pairings NB'!E440&amp;"/"&amp;'Pairings NB'!E441</f>
        <v>2297/2296</v>
      </c>
      <c r="E99" s="10" t="str">
        <f>'Pairings NB'!F440&amp;"-"&amp;'Pairings NB'!G440&amp;"-"&amp;'Pairings NB'!F440</f>
        <v>LIM-CJA-LIM</v>
      </c>
      <c r="F99" s="10" t="str">
        <f>IFERROR(VLOOKUP('Pairings NB'!$M$438,Instructores!$A:$C,2,FALSE),"")</f>
        <v/>
      </c>
      <c r="G99" s="10">
        <f>'Pairings NB'!$M$438</f>
        <v>0</v>
      </c>
      <c r="H99" s="10">
        <f>'Pairings NB'!$O$438</f>
        <v>0</v>
      </c>
      <c r="I99" s="10">
        <f>'Pairings NB'!J440</f>
        <v>320</v>
      </c>
      <c r="J99" s="10" t="str">
        <f>IFERROR(VLOOKUP('Pairings NB'!$M$438,Instructores!$A:$C,3,FALSE),"")</f>
        <v/>
      </c>
      <c r="K99" s="10">
        <f>IF('Pairings NB'!J440=320,4,3)</f>
        <v>4</v>
      </c>
    </row>
    <row r="100" spans="1:11" x14ac:dyDescent="0.25">
      <c r="A100" s="10">
        <f>'Pairings NB'!B445</f>
        <v>531</v>
      </c>
      <c r="B100" s="10" t="str">
        <f>'Pairings NB'!C445</f>
        <v>06/10/2026</v>
      </c>
      <c r="C100" s="10" t="str">
        <f>'Pairings NB'!D445</f>
        <v>martes</v>
      </c>
      <c r="D100" s="10" t="str">
        <f>'Pairings NB'!E445&amp;"/"&amp;'Pairings NB'!E446</f>
        <v>2061/2062</v>
      </c>
      <c r="E100" s="10" t="str">
        <f>'Pairings NB'!F445&amp;"-"&amp;'Pairings NB'!G445&amp;"-"&amp;'Pairings NB'!F445</f>
        <v>LIM-CUZ-LIM</v>
      </c>
      <c r="F100" s="10" t="str">
        <f>IFERROR(VLOOKUP('Pairings NB'!$M$445,Instructores!$A:$C,2,FALSE),"")</f>
        <v/>
      </c>
      <c r="G100" s="10">
        <f>'Pairings NB'!$M$445</f>
        <v>0</v>
      </c>
      <c r="H100" s="10">
        <f>'Pairings NB'!$O$445</f>
        <v>0</v>
      </c>
      <c r="I100" s="10">
        <f>'Pairings NB'!J445</f>
        <v>320</v>
      </c>
      <c r="J100" s="10" t="str">
        <f>IFERROR(VLOOKUP('Pairings NB'!$M$445,Instructores!$A:$C,3,FALSE),"")</f>
        <v/>
      </c>
      <c r="K100" s="10">
        <f>IF('Pairings NB'!J445=320,4,3)</f>
        <v>4</v>
      </c>
    </row>
    <row r="101" spans="1:11" x14ac:dyDescent="0.25">
      <c r="A101" s="10">
        <f>'Pairings NB'!B447</f>
        <v>555</v>
      </c>
      <c r="B101" s="10" t="str">
        <f>'Pairings NB'!C447</f>
        <v>06/10/2026</v>
      </c>
      <c r="C101" s="10" t="str">
        <f>'Pairings NB'!D447</f>
        <v>martes</v>
      </c>
      <c r="D101" s="10" t="str">
        <f>'Pairings NB'!E447&amp;"/"&amp;'Pairings NB'!E448</f>
        <v>2276/2277</v>
      </c>
      <c r="E101" s="10" t="str">
        <f>'Pairings NB'!F447&amp;"-"&amp;'Pairings NB'!G447&amp;"-"&amp;'Pairings NB'!F447</f>
        <v>LIM-CUZ-LIM</v>
      </c>
      <c r="F101" s="10" t="str">
        <f>IFERROR(VLOOKUP('Pairings NB'!$M$445,Instructores!$A:$C,2,FALSE),"")</f>
        <v/>
      </c>
      <c r="G101" s="10">
        <f>'Pairings NB'!$M$445</f>
        <v>0</v>
      </c>
      <c r="H101" s="10">
        <f>'Pairings NB'!$O$445</f>
        <v>0</v>
      </c>
      <c r="I101" s="10">
        <f>'Pairings NB'!J447</f>
        <v>319</v>
      </c>
      <c r="J101" s="10" t="str">
        <f>IFERROR(VLOOKUP('Pairings NB'!$M$445,Instructores!$A:$C,3,FALSE),"")</f>
        <v/>
      </c>
      <c r="K101" s="10">
        <f>IF('Pairings NB'!J447=320,4,3)</f>
        <v>3</v>
      </c>
    </row>
    <row r="102" spans="1:11" x14ac:dyDescent="0.25">
      <c r="A102" s="10">
        <f>'Pairings NB'!B452</f>
        <v>535</v>
      </c>
      <c r="B102" s="10" t="str">
        <f>'Pairings NB'!C452</f>
        <v>06/10/2026</v>
      </c>
      <c r="C102" s="10" t="str">
        <f>'Pairings NB'!D452</f>
        <v>martes</v>
      </c>
      <c r="D102" s="10" t="str">
        <f>'Pairings NB'!E452&amp;"/"&amp;'Pairings NB'!E453</f>
        <v>2120/2121</v>
      </c>
      <c r="E102" s="10" t="str">
        <f>'Pairings NB'!F452&amp;"-"&amp;'Pairings NB'!G452&amp;"-"&amp;'Pairings NB'!F452</f>
        <v>LIM-CUZ-LIM</v>
      </c>
      <c r="F102" s="10" t="str">
        <f>IFERROR(VLOOKUP('Pairings NB'!$M$452,Instructores!$A:$C,2,FALSE),"")</f>
        <v/>
      </c>
      <c r="G102" s="10">
        <f>'Pairings NB'!$M$452</f>
        <v>0</v>
      </c>
      <c r="H102" s="10">
        <f>'Pairings NB'!$O$452</f>
        <v>0</v>
      </c>
      <c r="I102" s="10">
        <f>'Pairings NB'!J452</f>
        <v>320</v>
      </c>
      <c r="J102" s="10" t="str">
        <f>IFERROR(VLOOKUP('Pairings NB'!$M$452,Instructores!$A:$C,3,FALSE),"")</f>
        <v/>
      </c>
      <c r="K102" s="10">
        <f>IF('Pairings NB'!J452=320,4,3)</f>
        <v>4</v>
      </c>
    </row>
    <row r="103" spans="1:11" x14ac:dyDescent="0.25">
      <c r="A103" s="10">
        <f>'Pairings NB'!B457</f>
        <v>537</v>
      </c>
      <c r="B103" s="10" t="str">
        <f>'Pairings NB'!C457</f>
        <v>06/10/2026</v>
      </c>
      <c r="C103" s="10" t="str">
        <f>'Pairings NB'!D457</f>
        <v>martes</v>
      </c>
      <c r="D103" s="10" t="str">
        <f>'Pairings NB'!E457&amp;"/"&amp;'Pairings NB'!E458</f>
        <v>2308/2309</v>
      </c>
      <c r="E103" s="10" t="str">
        <f>'Pairings NB'!F457&amp;"-"&amp;'Pairings NB'!G457&amp;"-"&amp;'Pairings NB'!F457</f>
        <v>LIM-PIU-LIM</v>
      </c>
      <c r="F103" s="10" t="str">
        <f>IFERROR(VLOOKUP('Pairings NB'!$M$457,Instructores!$A:$C,2,FALSE),"")</f>
        <v/>
      </c>
      <c r="G103" s="10">
        <f>'Pairings NB'!$M$457</f>
        <v>0</v>
      </c>
      <c r="H103" s="10">
        <f>'Pairings NB'!$O$457</f>
        <v>0</v>
      </c>
      <c r="I103" s="10">
        <f>'Pairings NB'!J457</f>
        <v>320</v>
      </c>
      <c r="J103" s="10" t="str">
        <f>IFERROR(VLOOKUP('Pairings NB'!$M$457,Instructores!$A:$C,3,FALSE),"")</f>
        <v/>
      </c>
      <c r="K103" s="10">
        <f>IF('Pairings NB'!J457=320,4,3)</f>
        <v>4</v>
      </c>
    </row>
    <row r="104" spans="1:11" x14ac:dyDescent="0.25">
      <c r="A104" s="10">
        <f>'Pairings NB'!B459</f>
        <v>558</v>
      </c>
      <c r="B104" s="10" t="str">
        <f>'Pairings NB'!C459</f>
        <v>06/10/2026</v>
      </c>
      <c r="C104" s="10" t="str">
        <f>'Pairings NB'!D459</f>
        <v>martes</v>
      </c>
      <c r="D104" s="10" t="str">
        <f>'Pairings NB'!E459&amp;"/"&amp;'Pairings NB'!E460</f>
        <v>2236/2237</v>
      </c>
      <c r="E104" s="10" t="str">
        <f>'Pairings NB'!F459&amp;"-"&amp;'Pairings NB'!G459&amp;"-"&amp;'Pairings NB'!F459</f>
        <v>LIM-PIU-LIM</v>
      </c>
      <c r="F104" s="10" t="str">
        <f>IFERROR(VLOOKUP('Pairings NB'!$M$457,Instructores!$A:$C,2,FALSE),"")</f>
        <v/>
      </c>
      <c r="G104" s="10">
        <f>'Pairings NB'!$M$457</f>
        <v>0</v>
      </c>
      <c r="H104" s="10">
        <f>'Pairings NB'!$O$457</f>
        <v>0</v>
      </c>
      <c r="I104" s="10">
        <f>'Pairings NB'!J459</f>
        <v>320</v>
      </c>
      <c r="J104" s="10" t="str">
        <f>IFERROR(VLOOKUP('Pairings NB'!$M$457,Instructores!$A:$C,3,FALSE),"")</f>
        <v/>
      </c>
      <c r="K104" s="10">
        <f>IF('Pairings NB'!J459=320,4,3)</f>
        <v>4</v>
      </c>
    </row>
    <row r="105" spans="1:11" x14ac:dyDescent="0.25">
      <c r="A105" s="10">
        <f>'Pairings NB'!B464</f>
        <v>542</v>
      </c>
      <c r="B105" s="10" t="str">
        <f>'Pairings NB'!C464</f>
        <v>06/10/2026</v>
      </c>
      <c r="C105" s="10" t="str">
        <f>'Pairings NB'!D464</f>
        <v>martes</v>
      </c>
      <c r="D105" s="10" t="str">
        <f>'Pairings NB'!E464&amp;"/"&amp;'Pairings NB'!E465</f>
        <v>2028/2029</v>
      </c>
      <c r="E105" s="10" t="str">
        <f>'Pairings NB'!F464&amp;"-"&amp;'Pairings NB'!G464&amp;"-"&amp;'Pairings NB'!F464</f>
        <v>LIM-CUZ-LIM</v>
      </c>
      <c r="F105" s="10" t="str">
        <f>IFERROR(VLOOKUP('Pairings NB'!$M$464,Instructores!$A:$C,2,FALSE),"")</f>
        <v/>
      </c>
      <c r="G105" s="10">
        <f>'Pairings NB'!$M$464</f>
        <v>0</v>
      </c>
      <c r="H105" s="10">
        <f>'Pairings NB'!$O$464</f>
        <v>0</v>
      </c>
      <c r="I105" s="10">
        <f>'Pairings NB'!J464</f>
        <v>320</v>
      </c>
      <c r="J105" s="10" t="str">
        <f>IFERROR(VLOOKUP('Pairings NB'!$M$464,Instructores!$A:$C,3,FALSE),"")</f>
        <v/>
      </c>
      <c r="K105" s="10">
        <f>IF('Pairings NB'!J464=320,4,3)</f>
        <v>4</v>
      </c>
    </row>
    <row r="106" spans="1:11" x14ac:dyDescent="0.25">
      <c r="A106" s="10">
        <f>'Pairings NB'!B466</f>
        <v>559</v>
      </c>
      <c r="B106" s="10" t="str">
        <f>'Pairings NB'!C466</f>
        <v>06/10/2026</v>
      </c>
      <c r="C106" s="10" t="str">
        <f>'Pairings NB'!D466</f>
        <v>martes</v>
      </c>
      <c r="D106" s="10" t="str">
        <f>'Pairings NB'!E466&amp;"/"&amp;'Pairings NB'!E467</f>
        <v>2310/2311</v>
      </c>
      <c r="E106" s="10" t="str">
        <f>'Pairings NB'!F466&amp;"-"&amp;'Pairings NB'!G466&amp;"-"&amp;'Pairings NB'!F466</f>
        <v>LIM-CIX-LIM</v>
      </c>
      <c r="F106" s="10" t="str">
        <f>IFERROR(VLOOKUP('Pairings NB'!$M$464,Instructores!$A:$C,2,FALSE),"")</f>
        <v/>
      </c>
      <c r="G106" s="10">
        <f>'Pairings NB'!$M$464</f>
        <v>0</v>
      </c>
      <c r="H106" s="10">
        <f>'Pairings NB'!$O$464</f>
        <v>0</v>
      </c>
      <c r="I106" s="10">
        <f>'Pairings NB'!J466</f>
        <v>320</v>
      </c>
      <c r="J106" s="10" t="str">
        <f>IFERROR(VLOOKUP('Pairings NB'!$M$464,Instructores!$A:$C,3,FALSE),"")</f>
        <v/>
      </c>
      <c r="K106" s="10">
        <f>IF('Pairings NB'!J466=320,4,3)</f>
        <v>4</v>
      </c>
    </row>
    <row r="107" spans="1:11" x14ac:dyDescent="0.25">
      <c r="A107" s="10">
        <f>'Pairings NB'!B471</f>
        <v>546</v>
      </c>
      <c r="B107" s="10" t="str">
        <f>'Pairings NB'!C471</f>
        <v>06/10/2026</v>
      </c>
      <c r="C107" s="10" t="str">
        <f>'Pairings NB'!D471</f>
        <v>martes</v>
      </c>
      <c r="D107" s="10" t="str">
        <f>'Pairings NB'!E471&amp;"/"&amp;'Pairings NB'!E472</f>
        <v>2264/2265</v>
      </c>
      <c r="E107" s="10" t="str">
        <f>'Pairings NB'!F471&amp;"-"&amp;'Pairings NB'!G471&amp;"-"&amp;'Pairings NB'!F471</f>
        <v>LIM-PEM-LIM</v>
      </c>
      <c r="F107" s="10" t="str">
        <f>IFERROR(VLOOKUP('Pairings NB'!$M$471,Instructores!$A:$C,2,FALSE),"")</f>
        <v/>
      </c>
      <c r="G107" s="10">
        <f>'Pairings NB'!$M$471</f>
        <v>0</v>
      </c>
      <c r="H107" s="10">
        <f>'Pairings NB'!$O$471</f>
        <v>0</v>
      </c>
      <c r="I107" s="10">
        <f>'Pairings NB'!J471</f>
        <v>320</v>
      </c>
      <c r="J107" s="10" t="str">
        <f>IFERROR(VLOOKUP('Pairings NB'!$M$471,Instructores!$A:$C,3,FALSE),"")</f>
        <v/>
      </c>
      <c r="K107" s="10">
        <f>IF('Pairings NB'!J471=320,4,3)</f>
        <v>4</v>
      </c>
    </row>
    <row r="108" spans="1:11" x14ac:dyDescent="0.25">
      <c r="A108" s="10">
        <f>'Pairings NB'!B473</f>
        <v>561</v>
      </c>
      <c r="B108" s="10" t="str">
        <f>'Pairings NB'!C473</f>
        <v>06/10/2026</v>
      </c>
      <c r="C108" s="10" t="str">
        <f>'Pairings NB'!D473</f>
        <v>martes</v>
      </c>
      <c r="D108" s="10" t="str">
        <f>'Pairings NB'!E473&amp;"/"&amp;'Pairings NB'!E474</f>
        <v>2278/2279</v>
      </c>
      <c r="E108" s="10" t="str">
        <f>'Pairings NB'!F473&amp;"-"&amp;'Pairings NB'!G473&amp;"-"&amp;'Pairings NB'!F473</f>
        <v>LIM-CIX-LIM</v>
      </c>
      <c r="F108" s="10" t="str">
        <f>IFERROR(VLOOKUP('Pairings NB'!$M$471,Instructores!$A:$C,2,FALSE),"")</f>
        <v/>
      </c>
      <c r="G108" s="10">
        <f>'Pairings NB'!$M$471</f>
        <v>0</v>
      </c>
      <c r="H108" s="10">
        <f>'Pairings NB'!$O$471</f>
        <v>0</v>
      </c>
      <c r="I108" s="10">
        <f>'Pairings NB'!J473</f>
        <v>320</v>
      </c>
      <c r="J108" s="10" t="str">
        <f>IFERROR(VLOOKUP('Pairings NB'!$M$471,Instructores!$A:$C,3,FALSE),"")</f>
        <v/>
      </c>
      <c r="K108" s="10">
        <f>IF('Pairings NB'!J473=320,4,3)</f>
        <v>4</v>
      </c>
    </row>
    <row r="109" spans="1:11" x14ac:dyDescent="0.25">
      <c r="A109" s="10">
        <f>'Pairings NB'!B478</f>
        <v>547</v>
      </c>
      <c r="B109" s="10" t="str">
        <f>'Pairings NB'!C478</f>
        <v>06/10/2026</v>
      </c>
      <c r="C109" s="10" t="str">
        <f>'Pairings NB'!D478</f>
        <v>martes</v>
      </c>
      <c r="D109" s="10" t="str">
        <f>'Pairings NB'!E478&amp;"/"&amp;'Pairings NB'!E479</f>
        <v>2338/2339</v>
      </c>
      <c r="E109" s="10" t="str">
        <f>'Pairings NB'!F478&amp;"-"&amp;'Pairings NB'!G478&amp;"-"&amp;'Pairings NB'!F478</f>
        <v>LIM-PIU-LIM</v>
      </c>
      <c r="F109" s="10" t="str">
        <f>IFERROR(VLOOKUP('Pairings NB'!$M$478,Instructores!$A:$C,2,FALSE),"")</f>
        <v/>
      </c>
      <c r="G109" s="10">
        <f>'Pairings NB'!$M$478</f>
        <v>0</v>
      </c>
      <c r="H109" s="10">
        <f>'Pairings NB'!$O$478</f>
        <v>0</v>
      </c>
      <c r="I109" s="10">
        <f>'Pairings NB'!J478</f>
        <v>320</v>
      </c>
      <c r="J109" s="10" t="str">
        <f>IFERROR(VLOOKUP('Pairings NB'!$M$478,Instructores!$A:$C,3,FALSE),"")</f>
        <v/>
      </c>
      <c r="K109" s="10">
        <f>IF('Pairings NB'!J478=320,4,3)</f>
        <v>4</v>
      </c>
    </row>
    <row r="110" spans="1:11" x14ac:dyDescent="0.25">
      <c r="A110" s="10">
        <f>'Pairings NB'!B483</f>
        <v>548</v>
      </c>
      <c r="B110" s="10" t="str">
        <f>'Pairings NB'!C483</f>
        <v>06/10/2026</v>
      </c>
      <c r="C110" s="10" t="str">
        <f>'Pairings NB'!D483</f>
        <v>martes</v>
      </c>
      <c r="D110" s="10" t="str">
        <f>'Pairings NB'!E483&amp;"/"&amp;'Pairings NB'!E484</f>
        <v>2113/2112</v>
      </c>
      <c r="E110" s="10" t="str">
        <f>'Pairings NB'!F483&amp;"-"&amp;'Pairings NB'!G483&amp;"-"&amp;'Pairings NB'!F483</f>
        <v>LIM-AQP-LIM</v>
      </c>
      <c r="F110" s="10" t="str">
        <f>IFERROR(VLOOKUP('Pairings NB'!$M$483,Instructores!$A:$C,2,FALSE),"")</f>
        <v/>
      </c>
      <c r="G110" s="10">
        <f>'Pairings NB'!$M$483</f>
        <v>0</v>
      </c>
      <c r="H110" s="10">
        <f>'Pairings NB'!$O$483</f>
        <v>0</v>
      </c>
      <c r="I110" s="10">
        <f>'Pairings NB'!J483</f>
        <v>319</v>
      </c>
      <c r="J110" s="10" t="str">
        <f>IFERROR(VLOOKUP('Pairings NB'!$M$483,Instructores!$A:$C,3,FALSE),"")</f>
        <v/>
      </c>
      <c r="K110" s="10">
        <f>IF('Pairings NB'!J483=320,4,3)</f>
        <v>3</v>
      </c>
    </row>
    <row r="111" spans="1:11" x14ac:dyDescent="0.25">
      <c r="A111" s="10">
        <f>'Pairings NB'!B488</f>
        <v>551</v>
      </c>
      <c r="B111" s="10" t="str">
        <f>'Pairings NB'!C488</f>
        <v>06/10/2026</v>
      </c>
      <c r="C111" s="10" t="str">
        <f>'Pairings NB'!D488</f>
        <v>martes</v>
      </c>
      <c r="D111" s="10" t="str">
        <f>'Pairings NB'!E488&amp;"/"&amp;'Pairings NB'!E489</f>
        <v>2360/2361</v>
      </c>
      <c r="E111" s="10" t="str">
        <f>'Pairings NB'!F488&amp;"-"&amp;'Pairings NB'!G488&amp;"-"&amp;'Pairings NB'!F488</f>
        <v>LIM-PCL-LIM</v>
      </c>
      <c r="F111" s="10" t="str">
        <f>IFERROR(VLOOKUP('Pairings NB'!$M$488,Instructores!$A:$C,2,FALSE),"")</f>
        <v/>
      </c>
      <c r="G111" s="10">
        <f>'Pairings NB'!$M$488</f>
        <v>0</v>
      </c>
      <c r="H111" s="10">
        <f>'Pairings NB'!$O$488</f>
        <v>0</v>
      </c>
      <c r="I111" s="10">
        <f>'Pairings NB'!J488</f>
        <v>320</v>
      </c>
      <c r="J111" s="10" t="str">
        <f>IFERROR(VLOOKUP('Pairings NB'!$M$488,Instructores!$A:$C,3,FALSE),"")</f>
        <v/>
      </c>
      <c r="K111" s="10">
        <f>IF('Pairings NB'!J488=320,4,3)</f>
        <v>4</v>
      </c>
    </row>
    <row r="112" spans="1:11" x14ac:dyDescent="0.25">
      <c r="A112" s="10">
        <f>'Pairings NB'!B493</f>
        <v>552</v>
      </c>
      <c r="B112" s="10" t="str">
        <f>'Pairings NB'!C493</f>
        <v>06/10/2026</v>
      </c>
      <c r="C112" s="10" t="str">
        <f>'Pairings NB'!D493</f>
        <v>martes</v>
      </c>
      <c r="D112" s="10" t="str">
        <f>'Pairings NB'!E493&amp;"/"&amp;'Pairings NB'!E494</f>
        <v>2312/2313</v>
      </c>
      <c r="E112" s="10" t="str">
        <f>'Pairings NB'!F493&amp;"-"&amp;'Pairings NB'!G493&amp;"-"&amp;'Pairings NB'!F493</f>
        <v>LIM-CIX-LIM</v>
      </c>
      <c r="F112" s="10" t="str">
        <f>IFERROR(VLOOKUP('Pairings NB'!$M$493,Instructores!$A:$C,2,FALSE),"")</f>
        <v/>
      </c>
      <c r="G112" s="10">
        <f>'Pairings NB'!$M$493</f>
        <v>0</v>
      </c>
      <c r="H112" s="10">
        <f>'Pairings NB'!$O$493</f>
        <v>0</v>
      </c>
      <c r="I112" s="10">
        <f>'Pairings NB'!J493</f>
        <v>320</v>
      </c>
      <c r="J112" s="10" t="str">
        <f>IFERROR(VLOOKUP('Pairings NB'!$M$493,Instructores!$A:$C,3,FALSE),"")</f>
        <v/>
      </c>
      <c r="K112" s="10">
        <f>IF('Pairings NB'!J493=320,4,3)</f>
        <v>4</v>
      </c>
    </row>
    <row r="113" spans="1:11" x14ac:dyDescent="0.25">
      <c r="A113" s="10">
        <f>'Pairings NB'!B498</f>
        <v>556</v>
      </c>
      <c r="B113" s="10" t="str">
        <f>'Pairings NB'!C498</f>
        <v>06/10/2026</v>
      </c>
      <c r="C113" s="10" t="str">
        <f>'Pairings NB'!D498</f>
        <v>martes</v>
      </c>
      <c r="D113" s="10" t="str">
        <f>'Pairings NB'!E498&amp;"/"&amp;'Pairings NB'!E499</f>
        <v>2115/2114</v>
      </c>
      <c r="E113" s="10" t="str">
        <f>'Pairings NB'!F498&amp;"-"&amp;'Pairings NB'!G498&amp;"-"&amp;'Pairings NB'!F498</f>
        <v>LIM-AQP-LIM</v>
      </c>
      <c r="F113" s="10" t="str">
        <f>IFERROR(VLOOKUP('Pairings NB'!$M$498,Instructores!$A:$C,2,FALSE),"")</f>
        <v/>
      </c>
      <c r="G113" s="10">
        <f>'Pairings NB'!$M$498</f>
        <v>0</v>
      </c>
      <c r="H113" s="10">
        <f>'Pairings NB'!$O$498</f>
        <v>0</v>
      </c>
      <c r="I113" s="10">
        <f>'Pairings NB'!J498</f>
        <v>320</v>
      </c>
      <c r="J113" s="10" t="str">
        <f>IFERROR(VLOOKUP('Pairings NB'!$M$498,Instructores!$A:$C,3,FALSE),"")</f>
        <v/>
      </c>
      <c r="K113" s="10">
        <f>IF('Pairings NB'!J498=320,4,3)</f>
        <v>4</v>
      </c>
    </row>
    <row r="114" spans="1:11" x14ac:dyDescent="0.25">
      <c r="A114" s="10">
        <f>'Pairings NB'!B503</f>
        <v>557</v>
      </c>
      <c r="B114" s="10" t="str">
        <f>'Pairings NB'!C503</f>
        <v>06/10/2026</v>
      </c>
      <c r="C114" s="10" t="str">
        <f>'Pairings NB'!D503</f>
        <v>martes</v>
      </c>
      <c r="D114" s="10" t="str">
        <f>'Pairings NB'!E503&amp;"/"&amp;'Pairings NB'!E504</f>
        <v>2115/2114</v>
      </c>
      <c r="E114" s="10" t="str">
        <f>'Pairings NB'!F503&amp;"-"&amp;'Pairings NB'!G503&amp;"-"&amp;'Pairings NB'!F503</f>
        <v>LIM-AQP-LIM</v>
      </c>
      <c r="F114" s="10" t="str">
        <f>IFERROR(VLOOKUP('Pairings NB'!$M$503,Instructores!$A:$C,2,FALSE),"")</f>
        <v/>
      </c>
      <c r="G114" s="10">
        <f>'Pairings NB'!$M$503</f>
        <v>0</v>
      </c>
      <c r="H114" s="10">
        <f>'Pairings NB'!$O$503</f>
        <v>0</v>
      </c>
      <c r="I114" s="10">
        <f>'Pairings NB'!J503</f>
        <v>320</v>
      </c>
      <c r="J114" s="10" t="str">
        <f>IFERROR(VLOOKUP('Pairings NB'!$M$503,Instructores!$A:$C,3,FALSE),"")</f>
        <v/>
      </c>
      <c r="K114" s="10">
        <f>IF('Pairings NB'!J503=320,4,3)</f>
        <v>4</v>
      </c>
    </row>
    <row r="115" spans="1:11" x14ac:dyDescent="0.25">
      <c r="A115" s="10">
        <f>'Pairings NB'!B508</f>
        <v>560</v>
      </c>
      <c r="B115" s="10" t="str">
        <f>'Pairings NB'!C508</f>
        <v>06/10/2026</v>
      </c>
      <c r="C115" s="10" t="str">
        <f>'Pairings NB'!D508</f>
        <v>martes</v>
      </c>
      <c r="D115" s="10" t="str">
        <f>'Pairings NB'!E508&amp;"/"&amp;'Pairings NB'!E509</f>
        <v>2091/2092</v>
      </c>
      <c r="E115" s="10" t="str">
        <f>'Pairings NB'!F508&amp;"-"&amp;'Pairings NB'!G508&amp;"-"&amp;'Pairings NB'!F508</f>
        <v>LIM-TPP-LIM</v>
      </c>
      <c r="F115" s="10" t="str">
        <f>IFERROR(VLOOKUP('Pairings NB'!$M$508,Instructores!$A:$C,2,FALSE),"")</f>
        <v/>
      </c>
      <c r="G115" s="10">
        <f>'Pairings NB'!$M$508</f>
        <v>0</v>
      </c>
      <c r="H115" s="10">
        <f>'Pairings NB'!$O$508</f>
        <v>0</v>
      </c>
      <c r="I115" s="10">
        <f>'Pairings NB'!J508</f>
        <v>320</v>
      </c>
      <c r="J115" s="10" t="str">
        <f>IFERROR(VLOOKUP('Pairings NB'!$M$508,Instructores!$A:$C,3,FALSE),"")</f>
        <v/>
      </c>
      <c r="K115" s="10">
        <f>IF('Pairings NB'!J508=320,4,3)</f>
        <v>4</v>
      </c>
    </row>
    <row r="116" spans="1:11" x14ac:dyDescent="0.25">
      <c r="A116" s="10">
        <f>'Pairings NB'!B513</f>
        <v>562</v>
      </c>
      <c r="B116" s="10" t="str">
        <f>'Pairings NB'!C513</f>
        <v>06/10/2026</v>
      </c>
      <c r="C116" s="10" t="str">
        <f>'Pairings NB'!D513</f>
        <v>martes</v>
      </c>
      <c r="D116" s="10" t="str">
        <f>'Pairings NB'!E513&amp;"/"&amp;'Pairings NB'!E514</f>
        <v>2164/2165</v>
      </c>
      <c r="E116" s="10" t="str">
        <f>'Pairings NB'!F513&amp;"-"&amp;'Pairings NB'!G513&amp;"-"&amp;'Pairings NB'!F513</f>
        <v>LIM-IQT-LIM</v>
      </c>
      <c r="F116" s="10" t="str">
        <f>IFERROR(VLOOKUP('Pairings NB'!$M$513,Instructores!$A:$C,2,FALSE),"")</f>
        <v/>
      </c>
      <c r="G116" s="10">
        <f>'Pairings NB'!$M$513</f>
        <v>0</v>
      </c>
      <c r="H116" s="10">
        <f>'Pairings NB'!$O$513</f>
        <v>0</v>
      </c>
      <c r="I116" s="10">
        <f>'Pairings NB'!J513</f>
        <v>320</v>
      </c>
      <c r="J116" s="10" t="str">
        <f>IFERROR(VLOOKUP('Pairings NB'!$M$513,Instructores!$A:$C,3,FALSE),"")</f>
        <v/>
      </c>
      <c r="K116" s="10">
        <f>IF('Pairings NB'!J513=320,4,3)</f>
        <v>4</v>
      </c>
    </row>
    <row r="117" spans="1:11" x14ac:dyDescent="0.25">
      <c r="A117" s="10">
        <f>'Pairings NB'!B518</f>
        <v>607</v>
      </c>
      <c r="B117" s="10" t="str">
        <f>'Pairings NB'!C518</f>
        <v>07/10/2026</v>
      </c>
      <c r="C117" s="10" t="str">
        <f>'Pairings NB'!D518</f>
        <v>miércoles</v>
      </c>
      <c r="D117" s="10" t="str">
        <f>'Pairings NB'!E518&amp;"/"&amp;'Pairings NB'!E519</f>
        <v>2299/2298</v>
      </c>
      <c r="E117" s="10" t="str">
        <f>'Pairings NB'!F518&amp;"-"&amp;'Pairings NB'!G518&amp;"-"&amp;'Pairings NB'!F518</f>
        <v>LIM-CJA-LIM</v>
      </c>
      <c r="F117" s="10" t="str">
        <f>IFERROR(VLOOKUP('Pairings NB'!$M$518,Instructores!$A:$C,2,FALSE),"")</f>
        <v/>
      </c>
      <c r="G117" s="10">
        <f>'Pairings NB'!$M$518</f>
        <v>0</v>
      </c>
      <c r="H117" s="10">
        <f>'Pairings NB'!$O$518</f>
        <v>0</v>
      </c>
      <c r="I117" s="10">
        <f>'Pairings NB'!J518</f>
        <v>319</v>
      </c>
      <c r="J117" s="10" t="str">
        <f>IFERROR(VLOOKUP('Pairings NB'!$M$518,Instructores!$A:$C,3,FALSE),"")</f>
        <v/>
      </c>
      <c r="K117" s="10">
        <f>IF('Pairings NB'!J518=320,4,3)</f>
        <v>3</v>
      </c>
    </row>
    <row r="118" spans="1:11" x14ac:dyDescent="0.25">
      <c r="A118" s="10">
        <f>'Pairings NB'!B520</f>
        <v>639</v>
      </c>
      <c r="B118" s="10" t="str">
        <f>'Pairings NB'!C520</f>
        <v>07/10/2026</v>
      </c>
      <c r="C118" s="10" t="str">
        <f>'Pairings NB'!D520</f>
        <v>miércoles</v>
      </c>
      <c r="D118" s="10" t="str">
        <f>'Pairings NB'!E520&amp;"/"&amp;'Pairings NB'!E521</f>
        <v>2127/2026</v>
      </c>
      <c r="E118" s="10" t="str">
        <f>'Pairings NB'!F520&amp;"-"&amp;'Pairings NB'!G520&amp;"-"&amp;'Pairings NB'!F520</f>
        <v>LIM-CUZ-LIM</v>
      </c>
      <c r="F118" s="10" t="str">
        <f>IFERROR(VLOOKUP('Pairings NB'!$M$518,Instructores!$A:$C,2,FALSE),"")</f>
        <v/>
      </c>
      <c r="G118" s="10">
        <f>'Pairings NB'!$M$518</f>
        <v>0</v>
      </c>
      <c r="H118" s="10">
        <f>'Pairings NB'!$O$518</f>
        <v>0</v>
      </c>
      <c r="I118" s="10">
        <f>'Pairings NB'!J520</f>
        <v>320</v>
      </c>
      <c r="J118" s="10" t="str">
        <f>IFERROR(VLOOKUP('Pairings NB'!$M$518,Instructores!$A:$C,3,FALSE),"")</f>
        <v/>
      </c>
      <c r="K118" s="10">
        <f>IF('Pairings NB'!J520=320,4,3)</f>
        <v>4</v>
      </c>
    </row>
    <row r="119" spans="1:11" x14ac:dyDescent="0.25">
      <c r="A119" s="10">
        <f>'Pairings NB'!B525</f>
        <v>609</v>
      </c>
      <c r="B119" s="10" t="str">
        <f>'Pairings NB'!C525</f>
        <v>07/10/2026</v>
      </c>
      <c r="C119" s="10" t="str">
        <f>'Pairings NB'!D525</f>
        <v>miércoles</v>
      </c>
      <c r="D119" s="10" t="str">
        <f>'Pairings NB'!E525&amp;"/"&amp;'Pairings NB'!E526</f>
        <v>2061/2062</v>
      </c>
      <c r="E119" s="10" t="str">
        <f>'Pairings NB'!F525&amp;"-"&amp;'Pairings NB'!G525&amp;"-"&amp;'Pairings NB'!F525</f>
        <v>LIM-CUZ-LIM</v>
      </c>
      <c r="F119" s="10" t="str">
        <f>IFERROR(VLOOKUP('Pairings NB'!$M$525,Instructores!$A:$C,2,FALSE),"")</f>
        <v/>
      </c>
      <c r="G119" s="10">
        <f>'Pairings NB'!$M$525</f>
        <v>0</v>
      </c>
      <c r="H119" s="10">
        <f>'Pairings NB'!$O$525</f>
        <v>0</v>
      </c>
      <c r="I119" s="10">
        <f>'Pairings NB'!J525</f>
        <v>320</v>
      </c>
      <c r="J119" s="10" t="str">
        <f>IFERROR(VLOOKUP('Pairings NB'!$M$525,Instructores!$A:$C,3,FALSE),"")</f>
        <v/>
      </c>
      <c r="K119" s="10">
        <f>IF('Pairings NB'!J525=320,4,3)</f>
        <v>4</v>
      </c>
    </row>
    <row r="120" spans="1:11" x14ac:dyDescent="0.25">
      <c r="A120" s="10">
        <f>'Pairings NB'!B527</f>
        <v>640</v>
      </c>
      <c r="B120" s="10" t="str">
        <f>'Pairings NB'!C527</f>
        <v>07/10/2026</v>
      </c>
      <c r="C120" s="10" t="str">
        <f>'Pairings NB'!D527</f>
        <v>miércoles</v>
      </c>
      <c r="D120" s="10" t="str">
        <f>'Pairings NB'!E527&amp;"/"&amp;'Pairings NB'!E528</f>
        <v>2127/2026</v>
      </c>
      <c r="E120" s="10" t="str">
        <f>'Pairings NB'!F527&amp;"-"&amp;'Pairings NB'!G527&amp;"-"&amp;'Pairings NB'!F527</f>
        <v>LIM-CUZ-LIM</v>
      </c>
      <c r="F120" s="10" t="str">
        <f>IFERROR(VLOOKUP('Pairings NB'!$M$525,Instructores!$A:$C,2,FALSE),"")</f>
        <v/>
      </c>
      <c r="G120" s="10">
        <f>'Pairings NB'!$M$525</f>
        <v>0</v>
      </c>
      <c r="H120" s="10">
        <f>'Pairings NB'!$O$525</f>
        <v>0</v>
      </c>
      <c r="I120" s="10">
        <f>'Pairings NB'!J527</f>
        <v>320</v>
      </c>
      <c r="J120" s="10" t="str">
        <f>IFERROR(VLOOKUP('Pairings NB'!$M$525,Instructores!$A:$C,3,FALSE),"")</f>
        <v/>
      </c>
      <c r="K120" s="10">
        <f>IF('Pairings NB'!J527=320,4,3)</f>
        <v>4</v>
      </c>
    </row>
    <row r="121" spans="1:11" x14ac:dyDescent="0.25">
      <c r="A121" s="10">
        <f>'Pairings NB'!B532</f>
        <v>611</v>
      </c>
      <c r="B121" s="10" t="str">
        <f>'Pairings NB'!C532</f>
        <v>07/10/2026</v>
      </c>
      <c r="C121" s="10" t="str">
        <f>'Pairings NB'!D532</f>
        <v>miércoles</v>
      </c>
      <c r="D121" s="10" t="str">
        <f>'Pairings NB'!E532&amp;"/"&amp;'Pairings NB'!E533</f>
        <v>2356/2357</v>
      </c>
      <c r="E121" s="10" t="str">
        <f>'Pairings NB'!F532&amp;"-"&amp;'Pairings NB'!G532&amp;"-"&amp;'Pairings NB'!F532</f>
        <v>LIM-CUZ-LIM</v>
      </c>
      <c r="F121" s="10" t="str">
        <f>IFERROR(VLOOKUP('Pairings NB'!$M$532,Instructores!$A:$C,2,FALSE),"")</f>
        <v/>
      </c>
      <c r="G121" s="10">
        <f>'Pairings NB'!$M$532</f>
        <v>0</v>
      </c>
      <c r="H121" s="10">
        <f>'Pairings NB'!$O$532</f>
        <v>0</v>
      </c>
      <c r="I121" s="10">
        <f>'Pairings NB'!J532</f>
        <v>320</v>
      </c>
      <c r="J121" s="10" t="str">
        <f>IFERROR(VLOOKUP('Pairings NB'!$M$532,Instructores!$A:$C,3,FALSE),"")</f>
        <v/>
      </c>
      <c r="K121" s="10">
        <f>IF('Pairings NB'!J532=320,4,3)</f>
        <v>4</v>
      </c>
    </row>
    <row r="122" spans="1:11" x14ac:dyDescent="0.25">
      <c r="A122" s="10">
        <f>'Pairings NB'!B537</f>
        <v>615</v>
      </c>
      <c r="B122" s="10" t="str">
        <f>'Pairings NB'!C537</f>
        <v>07/10/2026</v>
      </c>
      <c r="C122" s="10" t="str">
        <f>'Pairings NB'!D537</f>
        <v>miércoles</v>
      </c>
      <c r="D122" s="10" t="str">
        <f>'Pairings NB'!E537&amp;"/"&amp;'Pairings NB'!E538</f>
        <v>2043/2044</v>
      </c>
      <c r="E122" s="10" t="str">
        <f>'Pairings NB'!F537&amp;"-"&amp;'Pairings NB'!G537&amp;"-"&amp;'Pairings NB'!F537</f>
        <v>LIM-AQP-LIM</v>
      </c>
      <c r="F122" s="10" t="str">
        <f>IFERROR(VLOOKUP('Pairings NB'!$M$537,Instructores!$A:$C,2,FALSE),"")</f>
        <v/>
      </c>
      <c r="G122" s="10">
        <f>'Pairings NB'!$M$537</f>
        <v>0</v>
      </c>
      <c r="H122" s="10">
        <f>'Pairings NB'!$O$537</f>
        <v>0</v>
      </c>
      <c r="I122" s="10">
        <f>'Pairings NB'!J537</f>
        <v>319</v>
      </c>
      <c r="J122" s="10" t="str">
        <f>IFERROR(VLOOKUP('Pairings NB'!$M$537,Instructores!$A:$C,3,FALSE),"")</f>
        <v/>
      </c>
      <c r="K122" s="10">
        <f>IF('Pairings NB'!J537=320,4,3)</f>
        <v>3</v>
      </c>
    </row>
    <row r="123" spans="1:11" x14ac:dyDescent="0.25">
      <c r="A123" s="10">
        <f>'Pairings NB'!B539</f>
        <v>641</v>
      </c>
      <c r="B123" s="10" t="str">
        <f>'Pairings NB'!C539</f>
        <v>07/10/2026</v>
      </c>
      <c r="C123" s="10" t="str">
        <f>'Pairings NB'!D539</f>
        <v>miércoles</v>
      </c>
      <c r="D123" s="10" t="str">
        <f>'Pairings NB'!E539&amp;"/"&amp;'Pairings NB'!E540</f>
        <v>2556/2557</v>
      </c>
      <c r="E123" s="10" t="str">
        <f>'Pairings NB'!F539&amp;"-"&amp;'Pairings NB'!G539&amp;"-"&amp;'Pairings NB'!F539</f>
        <v>LIM-PIU-LIM</v>
      </c>
      <c r="F123" s="10" t="str">
        <f>IFERROR(VLOOKUP('Pairings NB'!$M$537,Instructores!$A:$C,2,FALSE),"")</f>
        <v/>
      </c>
      <c r="G123" s="10">
        <f>'Pairings NB'!$M$537</f>
        <v>0</v>
      </c>
      <c r="H123" s="10">
        <f>'Pairings NB'!$O$537</f>
        <v>0</v>
      </c>
      <c r="I123" s="10">
        <f>'Pairings NB'!J539</f>
        <v>320</v>
      </c>
      <c r="J123" s="10" t="str">
        <f>IFERROR(VLOOKUP('Pairings NB'!$M$537,Instructores!$A:$C,3,FALSE),"")</f>
        <v/>
      </c>
      <c r="K123" s="10">
        <f>IF('Pairings NB'!J539=320,4,3)</f>
        <v>4</v>
      </c>
    </row>
    <row r="124" spans="1:11" x14ac:dyDescent="0.25">
      <c r="A124" s="10">
        <f>'Pairings NB'!B544</f>
        <v>619</v>
      </c>
      <c r="B124" s="10" t="str">
        <f>'Pairings NB'!C544</f>
        <v>07/10/2026</v>
      </c>
      <c r="C124" s="10" t="str">
        <f>'Pairings NB'!D544</f>
        <v>miércoles</v>
      </c>
      <c r="D124" s="10" t="str">
        <f>'Pairings NB'!E544&amp;"/"&amp;'Pairings NB'!E545</f>
        <v>2028/2029</v>
      </c>
      <c r="E124" s="10" t="str">
        <f>'Pairings NB'!F544&amp;"-"&amp;'Pairings NB'!G544&amp;"-"&amp;'Pairings NB'!F544</f>
        <v>LIM-CUZ-LIM</v>
      </c>
      <c r="F124" s="10" t="str">
        <f>IFERROR(VLOOKUP('Pairings NB'!$M$544,Instructores!$A:$C,2,FALSE),"")</f>
        <v/>
      </c>
      <c r="G124" s="10">
        <f>'Pairings NB'!$M$544</f>
        <v>0</v>
      </c>
      <c r="H124" s="10">
        <f>'Pairings NB'!$O$544</f>
        <v>0</v>
      </c>
      <c r="I124" s="10">
        <f>'Pairings NB'!J544</f>
        <v>319</v>
      </c>
      <c r="J124" s="10" t="str">
        <f>IFERROR(VLOOKUP('Pairings NB'!$M$544,Instructores!$A:$C,3,FALSE),"")</f>
        <v/>
      </c>
      <c r="K124" s="10">
        <f>IF('Pairings NB'!J544=320,4,3)</f>
        <v>3</v>
      </c>
    </row>
    <row r="125" spans="1:11" x14ac:dyDescent="0.25">
      <c r="A125" s="10">
        <f>'Pairings NB'!B546</f>
        <v>642</v>
      </c>
      <c r="B125" s="10" t="str">
        <f>'Pairings NB'!C546</f>
        <v>07/10/2026</v>
      </c>
      <c r="C125" s="10" t="str">
        <f>'Pairings NB'!D546</f>
        <v>miércoles</v>
      </c>
      <c r="D125" s="10" t="str">
        <f>'Pairings NB'!E546&amp;"/"&amp;'Pairings NB'!E547</f>
        <v>2236/2237</v>
      </c>
      <c r="E125" s="10" t="str">
        <f>'Pairings NB'!F546&amp;"-"&amp;'Pairings NB'!G546&amp;"-"&amp;'Pairings NB'!F546</f>
        <v>LIM-PIU-LIM</v>
      </c>
      <c r="F125" s="10" t="str">
        <f>IFERROR(VLOOKUP('Pairings NB'!$M$544,Instructores!$A:$C,2,FALSE),"")</f>
        <v/>
      </c>
      <c r="G125" s="10">
        <f>'Pairings NB'!$M$544</f>
        <v>0</v>
      </c>
      <c r="H125" s="10">
        <f>'Pairings NB'!$O$544</f>
        <v>0</v>
      </c>
      <c r="I125" s="10">
        <f>'Pairings NB'!J546</f>
        <v>319</v>
      </c>
      <c r="J125" s="10" t="str">
        <f>IFERROR(VLOOKUP('Pairings NB'!$M$544,Instructores!$A:$C,3,FALSE),"")</f>
        <v/>
      </c>
      <c r="K125" s="10">
        <f>IF('Pairings NB'!J546=320,4,3)</f>
        <v>3</v>
      </c>
    </row>
    <row r="126" spans="1:11" x14ac:dyDescent="0.25">
      <c r="A126" s="10">
        <f>'Pairings NB'!B551</f>
        <v>621</v>
      </c>
      <c r="B126" s="10" t="str">
        <f>'Pairings NB'!C551</f>
        <v>07/10/2026</v>
      </c>
      <c r="C126" s="10" t="str">
        <f>'Pairings NB'!D551</f>
        <v>miércoles</v>
      </c>
      <c r="D126" s="10" t="str">
        <f>'Pairings NB'!E551&amp;"/"&amp;'Pairings NB'!E552</f>
        <v>2232/2233</v>
      </c>
      <c r="E126" s="10" t="str">
        <f>'Pairings NB'!F551&amp;"-"&amp;'Pairings NB'!G551&amp;"-"&amp;'Pairings NB'!F551</f>
        <v>LIM-CUZ-LIM</v>
      </c>
      <c r="F126" s="10" t="str">
        <f>IFERROR(VLOOKUP('Pairings NB'!$M$551,Instructores!$A:$C,2,FALSE),"")</f>
        <v/>
      </c>
      <c r="G126" s="10">
        <f>'Pairings NB'!$M$551</f>
        <v>0</v>
      </c>
      <c r="H126" s="10">
        <f>'Pairings NB'!$O$551</f>
        <v>0</v>
      </c>
      <c r="I126" s="10">
        <f>'Pairings NB'!J551</f>
        <v>320</v>
      </c>
      <c r="J126" s="10" t="str">
        <f>IFERROR(VLOOKUP('Pairings NB'!$M$551,Instructores!$A:$C,3,FALSE),"")</f>
        <v/>
      </c>
      <c r="K126" s="10">
        <f>IF('Pairings NB'!J551=320,4,3)</f>
        <v>4</v>
      </c>
    </row>
    <row r="127" spans="1:11" x14ac:dyDescent="0.25">
      <c r="A127" s="10">
        <f>'Pairings NB'!B553</f>
        <v>644</v>
      </c>
      <c r="B127" s="10" t="str">
        <f>'Pairings NB'!C553</f>
        <v>07/10/2026</v>
      </c>
      <c r="C127" s="10" t="str">
        <f>'Pairings NB'!D553</f>
        <v>miércoles</v>
      </c>
      <c r="D127" s="10" t="str">
        <f>'Pairings NB'!E553&amp;"/"&amp;'Pairings NB'!E554</f>
        <v>2117/2116</v>
      </c>
      <c r="E127" s="10" t="str">
        <f>'Pairings NB'!F553&amp;"-"&amp;'Pairings NB'!G553&amp;"-"&amp;'Pairings NB'!F553</f>
        <v>LIM-AQP-LIM</v>
      </c>
      <c r="F127" s="10" t="str">
        <f>IFERROR(VLOOKUP('Pairings NB'!$M$551,Instructores!$A:$C,2,FALSE),"")</f>
        <v/>
      </c>
      <c r="G127" s="10">
        <f>'Pairings NB'!$M$551</f>
        <v>0</v>
      </c>
      <c r="H127" s="10">
        <f>'Pairings NB'!$O$551</f>
        <v>0</v>
      </c>
      <c r="I127" s="10">
        <f>'Pairings NB'!J553</f>
        <v>320</v>
      </c>
      <c r="J127" s="10" t="str">
        <f>IFERROR(VLOOKUP('Pairings NB'!$M$551,Instructores!$A:$C,3,FALSE),"")</f>
        <v/>
      </c>
      <c r="K127" s="10">
        <f>IF('Pairings NB'!J553=320,4,3)</f>
        <v>4</v>
      </c>
    </row>
    <row r="128" spans="1:11" x14ac:dyDescent="0.25">
      <c r="A128" s="10">
        <f>'Pairings NB'!B558</f>
        <v>622</v>
      </c>
      <c r="B128" s="10" t="str">
        <f>'Pairings NB'!C558</f>
        <v>07/10/2026</v>
      </c>
      <c r="C128" s="10" t="str">
        <f>'Pairings NB'!D558</f>
        <v>miércoles</v>
      </c>
      <c r="D128" s="10" t="str">
        <f>'Pairings NB'!E558&amp;"/"&amp;'Pairings NB'!E559</f>
        <v>2055/2056</v>
      </c>
      <c r="E128" s="10" t="str">
        <f>'Pairings NB'!F558&amp;"-"&amp;'Pairings NB'!G558&amp;"-"&amp;'Pairings NB'!F558</f>
        <v>LIM-AQP-LIM</v>
      </c>
      <c r="F128" s="10" t="str">
        <f>IFERROR(VLOOKUP('Pairings NB'!$M$558,Instructores!$A:$C,2,FALSE),"")</f>
        <v/>
      </c>
      <c r="G128" s="10">
        <f>'Pairings NB'!$M$558</f>
        <v>0</v>
      </c>
      <c r="H128" s="10">
        <f>'Pairings NB'!$O$558</f>
        <v>0</v>
      </c>
      <c r="I128" s="10">
        <f>'Pairings NB'!J558</f>
        <v>319</v>
      </c>
      <c r="J128" s="10" t="str">
        <f>IFERROR(VLOOKUP('Pairings NB'!$M$558,Instructores!$A:$C,3,FALSE),"")</f>
        <v/>
      </c>
      <c r="K128" s="10">
        <f>IF('Pairings NB'!J558=320,4,3)</f>
        <v>3</v>
      </c>
    </row>
    <row r="129" spans="1:11" x14ac:dyDescent="0.25">
      <c r="A129" s="10">
        <f>'Pairings NB'!B563</f>
        <v>623</v>
      </c>
      <c r="B129" s="10" t="str">
        <f>'Pairings NB'!C563</f>
        <v>07/10/2026</v>
      </c>
      <c r="C129" s="10" t="str">
        <f>'Pairings NB'!D563</f>
        <v>miércoles</v>
      </c>
      <c r="D129" s="10" t="str">
        <f>'Pairings NB'!E563&amp;"/"&amp;'Pairings NB'!E564</f>
        <v>2087/2088</v>
      </c>
      <c r="E129" s="10" t="str">
        <f>'Pairings NB'!F563&amp;"-"&amp;'Pairings NB'!G563&amp;"-"&amp;'Pairings NB'!F563</f>
        <v>LIM-TPP-LIM</v>
      </c>
      <c r="F129" s="10" t="str">
        <f>IFERROR(VLOOKUP('Pairings NB'!$M$563,Instructores!$A:$C,2,FALSE),"")</f>
        <v/>
      </c>
      <c r="G129" s="10">
        <f>'Pairings NB'!$M$563</f>
        <v>0</v>
      </c>
      <c r="H129" s="10">
        <f>'Pairings NB'!$O$563</f>
        <v>0</v>
      </c>
      <c r="I129" s="10">
        <f>'Pairings NB'!J563</f>
        <v>320</v>
      </c>
      <c r="J129" s="10" t="str">
        <f>IFERROR(VLOOKUP('Pairings NB'!$M$563,Instructores!$A:$C,3,FALSE),"")</f>
        <v/>
      </c>
      <c r="K129" s="10">
        <f>IF('Pairings NB'!J563=320,4,3)</f>
        <v>4</v>
      </c>
    </row>
    <row r="130" spans="1:11" x14ac:dyDescent="0.25">
      <c r="A130" s="10">
        <f>'Pairings NB'!B568</f>
        <v>624</v>
      </c>
      <c r="B130" s="10" t="str">
        <f>'Pairings NB'!C568</f>
        <v>07/10/2026</v>
      </c>
      <c r="C130" s="10" t="str">
        <f>'Pairings NB'!D568</f>
        <v>miércoles</v>
      </c>
      <c r="D130" s="10" t="str">
        <f>'Pairings NB'!E568&amp;"/"&amp;'Pairings NB'!E569</f>
        <v>2087/2088</v>
      </c>
      <c r="E130" s="10" t="str">
        <f>'Pairings NB'!F568&amp;"-"&amp;'Pairings NB'!G568&amp;"-"&amp;'Pairings NB'!F568</f>
        <v>LIM-TPP-LIM</v>
      </c>
      <c r="F130" s="10" t="str">
        <f>IFERROR(VLOOKUP('Pairings NB'!$M$568,Instructores!$A:$C,2,FALSE),"")</f>
        <v/>
      </c>
      <c r="G130" s="10">
        <f>'Pairings NB'!$M$568</f>
        <v>0</v>
      </c>
      <c r="H130" s="10">
        <f>'Pairings NB'!$O$568</f>
        <v>0</v>
      </c>
      <c r="I130" s="10">
        <f>'Pairings NB'!J568</f>
        <v>320</v>
      </c>
      <c r="J130" s="10" t="str">
        <f>IFERROR(VLOOKUP('Pairings NB'!$M$568,Instructores!$A:$C,3,FALSE),"")</f>
        <v/>
      </c>
      <c r="K130" s="10">
        <f>IF('Pairings NB'!J568=320,4,3)</f>
        <v>4</v>
      </c>
    </row>
    <row r="131" spans="1:11" x14ac:dyDescent="0.25">
      <c r="A131" s="10">
        <f>'Pairings NB'!B573</f>
        <v>625</v>
      </c>
      <c r="B131" s="10" t="str">
        <f>'Pairings NB'!C573</f>
        <v>07/10/2026</v>
      </c>
      <c r="C131" s="10" t="str">
        <f>'Pairings NB'!D573</f>
        <v>miércoles</v>
      </c>
      <c r="D131" s="10" t="str">
        <f>'Pairings NB'!E573&amp;"/"&amp;'Pairings NB'!E574</f>
        <v>2295/2294</v>
      </c>
      <c r="E131" s="10" t="str">
        <f>'Pairings NB'!F573&amp;"-"&amp;'Pairings NB'!G573&amp;"-"&amp;'Pairings NB'!F573</f>
        <v>LIM-CJA-LIM</v>
      </c>
      <c r="F131" s="10" t="str">
        <f>IFERROR(VLOOKUP('Pairings NB'!$M$573,Instructores!$A:$C,2,FALSE),"")</f>
        <v/>
      </c>
      <c r="G131" s="10">
        <f>'Pairings NB'!$M$573</f>
        <v>0</v>
      </c>
      <c r="H131" s="10">
        <f>'Pairings NB'!$O$573</f>
        <v>0</v>
      </c>
      <c r="I131" s="10">
        <f>'Pairings NB'!J573</f>
        <v>320</v>
      </c>
      <c r="J131" s="10" t="str">
        <f>IFERROR(VLOOKUP('Pairings NB'!$M$573,Instructores!$A:$C,3,FALSE),"")</f>
        <v/>
      </c>
      <c r="K131" s="10">
        <f>IF('Pairings NB'!J573=320,4,3)</f>
        <v>4</v>
      </c>
    </row>
    <row r="132" spans="1:11" x14ac:dyDescent="0.25">
      <c r="A132" s="10">
        <f>'Pairings NB'!B575</f>
        <v>643</v>
      </c>
      <c r="B132" s="10" t="str">
        <f>'Pairings NB'!C575</f>
        <v>07/10/2026</v>
      </c>
      <c r="C132" s="10" t="str">
        <f>'Pairings NB'!D575</f>
        <v>miércoles</v>
      </c>
      <c r="D132" s="10" t="str">
        <f>'Pairings NB'!E575&amp;"/"&amp;'Pairings NB'!E576</f>
        <v>2310/2311</v>
      </c>
      <c r="E132" s="10" t="str">
        <f>'Pairings NB'!F575&amp;"-"&amp;'Pairings NB'!G575&amp;"-"&amp;'Pairings NB'!F575</f>
        <v>LIM-CIX-LIM</v>
      </c>
      <c r="F132" s="10" t="str">
        <f>IFERROR(VLOOKUP('Pairings NB'!$M$573,Instructores!$A:$C,2,FALSE),"")</f>
        <v/>
      </c>
      <c r="G132" s="10">
        <f>'Pairings NB'!$M$573</f>
        <v>0</v>
      </c>
      <c r="H132" s="10">
        <f>'Pairings NB'!$O$573</f>
        <v>0</v>
      </c>
      <c r="I132" s="10">
        <f>'Pairings NB'!J575</f>
        <v>320</v>
      </c>
      <c r="J132" s="10" t="str">
        <f>IFERROR(VLOOKUP('Pairings NB'!$M$573,Instructores!$A:$C,3,FALSE),"")</f>
        <v/>
      </c>
      <c r="K132" s="10">
        <f>IF('Pairings NB'!J575=320,4,3)</f>
        <v>4</v>
      </c>
    </row>
    <row r="133" spans="1:11" x14ac:dyDescent="0.25">
      <c r="A133" s="10">
        <f>'Pairings NB'!B580</f>
        <v>627</v>
      </c>
      <c r="B133" s="10" t="str">
        <f>'Pairings NB'!C580</f>
        <v>07/10/2026</v>
      </c>
      <c r="C133" s="10" t="str">
        <f>'Pairings NB'!D580</f>
        <v>miércoles</v>
      </c>
      <c r="D133" s="10" t="str">
        <f>'Pairings NB'!E580&amp;"/"&amp;'Pairings NB'!E581</f>
        <v>2154/2155</v>
      </c>
      <c r="E133" s="10" t="str">
        <f>'Pairings NB'!F580&amp;"-"&amp;'Pairings NB'!G580&amp;"-"&amp;'Pairings NB'!F580</f>
        <v>LIM-CUZ-LIM</v>
      </c>
      <c r="F133" s="10" t="str">
        <f>IFERROR(VLOOKUP('Pairings NB'!$M$580,Instructores!$A:$C,2,FALSE),"")</f>
        <v/>
      </c>
      <c r="G133" s="10">
        <f>'Pairings NB'!$M$580</f>
        <v>0</v>
      </c>
      <c r="H133" s="10">
        <f>'Pairings NB'!$O$580</f>
        <v>0</v>
      </c>
      <c r="I133" s="10">
        <f>'Pairings NB'!J580</f>
        <v>320</v>
      </c>
      <c r="J133" s="10" t="str">
        <f>IFERROR(VLOOKUP('Pairings NB'!$M$580,Instructores!$A:$C,3,FALSE),"")</f>
        <v/>
      </c>
      <c r="K133" s="10">
        <f>IF('Pairings NB'!J580=320,4,3)</f>
        <v>4</v>
      </c>
    </row>
    <row r="134" spans="1:11" x14ac:dyDescent="0.25">
      <c r="A134" s="10">
        <f>'Pairings NB'!B585</f>
        <v>628</v>
      </c>
      <c r="B134" s="10" t="str">
        <f>'Pairings NB'!C585</f>
        <v>07/10/2026</v>
      </c>
      <c r="C134" s="10" t="str">
        <f>'Pairings NB'!D585</f>
        <v>miércoles</v>
      </c>
      <c r="D134" s="10" t="str">
        <f>'Pairings NB'!E585&amp;"/"&amp;'Pairings NB'!E586</f>
        <v>2264/2265</v>
      </c>
      <c r="E134" s="10" t="str">
        <f>'Pairings NB'!F585&amp;"-"&amp;'Pairings NB'!G585&amp;"-"&amp;'Pairings NB'!F585</f>
        <v>LIM-PEM-LIM</v>
      </c>
      <c r="F134" s="10" t="str">
        <f>IFERROR(VLOOKUP('Pairings NB'!$M$585,Instructores!$A:$C,2,FALSE),"")</f>
        <v/>
      </c>
      <c r="G134" s="10">
        <f>'Pairings NB'!$M$585</f>
        <v>0</v>
      </c>
      <c r="H134" s="10">
        <f>'Pairings NB'!$O$585</f>
        <v>0</v>
      </c>
      <c r="I134" s="10">
        <f>'Pairings NB'!J585</f>
        <v>319</v>
      </c>
      <c r="J134" s="10" t="str">
        <f>IFERROR(VLOOKUP('Pairings NB'!$M$585,Instructores!$A:$C,3,FALSE),"")</f>
        <v/>
      </c>
      <c r="K134" s="10">
        <f>IF('Pairings NB'!J585=320,4,3)</f>
        <v>3</v>
      </c>
    </row>
    <row r="135" spans="1:11" x14ac:dyDescent="0.25">
      <c r="A135" s="10">
        <f>'Pairings NB'!B590</f>
        <v>629</v>
      </c>
      <c r="B135" s="10" t="str">
        <f>'Pairings NB'!C590</f>
        <v>07/10/2026</v>
      </c>
      <c r="C135" s="10" t="str">
        <f>'Pairings NB'!D590</f>
        <v>miércoles</v>
      </c>
      <c r="D135" s="10" t="str">
        <f>'Pairings NB'!E590&amp;"/"&amp;'Pairings NB'!E591</f>
        <v>2338/2339</v>
      </c>
      <c r="E135" s="10" t="str">
        <f>'Pairings NB'!F590&amp;"-"&amp;'Pairings NB'!G590&amp;"-"&amp;'Pairings NB'!F590</f>
        <v>LIM-PIU-LIM</v>
      </c>
      <c r="F135" s="10" t="str">
        <f>IFERROR(VLOOKUP('Pairings NB'!$M$590,Instructores!$A:$C,2,FALSE),"")</f>
        <v/>
      </c>
      <c r="G135" s="10">
        <f>'Pairings NB'!$M$590</f>
        <v>0</v>
      </c>
      <c r="H135" s="10">
        <f>'Pairings NB'!$O$590</f>
        <v>0</v>
      </c>
      <c r="I135" s="10">
        <f>'Pairings NB'!J590</f>
        <v>320</v>
      </c>
      <c r="J135" s="10" t="str">
        <f>IFERROR(VLOOKUP('Pairings NB'!$M$590,Instructores!$A:$C,3,FALSE),"")</f>
        <v/>
      </c>
      <c r="K135" s="10">
        <f>IF('Pairings NB'!J590=320,4,3)</f>
        <v>4</v>
      </c>
    </row>
    <row r="136" spans="1:11" x14ac:dyDescent="0.25">
      <c r="A136" s="10">
        <f>'Pairings NB'!B595</f>
        <v>630</v>
      </c>
      <c r="B136" s="10" t="str">
        <f>'Pairings NB'!C595</f>
        <v>07/10/2026</v>
      </c>
      <c r="C136" s="10" t="str">
        <f>'Pairings NB'!D595</f>
        <v>miércoles</v>
      </c>
      <c r="D136" s="10" t="str">
        <f>'Pairings NB'!E595&amp;"/"&amp;'Pairings NB'!E596</f>
        <v>2113/2112</v>
      </c>
      <c r="E136" s="10" t="str">
        <f>'Pairings NB'!F595&amp;"-"&amp;'Pairings NB'!G595&amp;"-"&amp;'Pairings NB'!F595</f>
        <v>LIM-AQP-LIM</v>
      </c>
      <c r="F136" s="10" t="str">
        <f>IFERROR(VLOOKUP('Pairings NB'!$M$595,Instructores!$A:$C,2,FALSE),"")</f>
        <v/>
      </c>
      <c r="G136" s="10">
        <f>'Pairings NB'!$M$595</f>
        <v>0</v>
      </c>
      <c r="H136" s="10">
        <f>'Pairings NB'!$O$595</f>
        <v>0</v>
      </c>
      <c r="I136" s="10">
        <f>'Pairings NB'!J595</f>
        <v>320</v>
      </c>
      <c r="J136" s="10" t="str">
        <f>IFERROR(VLOOKUP('Pairings NB'!$M$595,Instructores!$A:$C,3,FALSE),"")</f>
        <v/>
      </c>
      <c r="K136" s="10">
        <f>IF('Pairings NB'!J595=320,4,3)</f>
        <v>4</v>
      </c>
    </row>
    <row r="137" spans="1:11" x14ac:dyDescent="0.25">
      <c r="A137" s="10">
        <f>'Pairings NB'!B600</f>
        <v>632</v>
      </c>
      <c r="B137" s="10" t="str">
        <f>'Pairings NB'!C600</f>
        <v>07/10/2026</v>
      </c>
      <c r="C137" s="10" t="str">
        <f>'Pairings NB'!D600</f>
        <v>miércoles</v>
      </c>
      <c r="D137" s="10" t="str">
        <f>'Pairings NB'!E600&amp;"/"&amp;'Pairings NB'!E601</f>
        <v>2297/2296</v>
      </c>
      <c r="E137" s="10" t="str">
        <f>'Pairings NB'!F600&amp;"-"&amp;'Pairings NB'!G600&amp;"-"&amp;'Pairings NB'!F600</f>
        <v>LIM-CJA-LIM</v>
      </c>
      <c r="F137" s="10" t="str">
        <f>IFERROR(VLOOKUP('Pairings NB'!$M$600,Instructores!$A:$C,2,FALSE),"")</f>
        <v/>
      </c>
      <c r="G137" s="10">
        <f>'Pairings NB'!$M$600</f>
        <v>0</v>
      </c>
      <c r="H137" s="10">
        <f>'Pairings NB'!$O$600</f>
        <v>0</v>
      </c>
      <c r="I137" s="10">
        <f>'Pairings NB'!J600</f>
        <v>320</v>
      </c>
      <c r="J137" s="10" t="str">
        <f>IFERROR(VLOOKUP('Pairings NB'!$M$600,Instructores!$A:$C,3,FALSE),"")</f>
        <v/>
      </c>
      <c r="K137" s="10">
        <f>IF('Pairings NB'!J600=320,4,3)</f>
        <v>4</v>
      </c>
    </row>
    <row r="138" spans="1:11" x14ac:dyDescent="0.25">
      <c r="A138" s="10">
        <f>'Pairings NB'!B605</f>
        <v>633</v>
      </c>
      <c r="B138" s="10" t="str">
        <f>'Pairings NB'!C605</f>
        <v>07/10/2026</v>
      </c>
      <c r="C138" s="10" t="str">
        <f>'Pairings NB'!D605</f>
        <v>miércoles</v>
      </c>
      <c r="D138" s="10" t="str">
        <f>'Pairings NB'!E605&amp;"/"&amp;'Pairings NB'!E606</f>
        <v>2360/2361</v>
      </c>
      <c r="E138" s="10" t="str">
        <f>'Pairings NB'!F605&amp;"-"&amp;'Pairings NB'!G605&amp;"-"&amp;'Pairings NB'!F605</f>
        <v>LIM-PCL-LIM</v>
      </c>
      <c r="F138" s="10" t="str">
        <f>IFERROR(VLOOKUP('Pairings NB'!$M$605,Instructores!$A:$C,2,FALSE),"")</f>
        <v/>
      </c>
      <c r="G138" s="10">
        <f>'Pairings NB'!$M$605</f>
        <v>0</v>
      </c>
      <c r="H138" s="10">
        <f>'Pairings NB'!$O$605</f>
        <v>0</v>
      </c>
      <c r="I138" s="10">
        <f>'Pairings NB'!J605</f>
        <v>319</v>
      </c>
      <c r="J138" s="10" t="str">
        <f>IFERROR(VLOOKUP('Pairings NB'!$M$605,Instructores!$A:$C,3,FALSE),"")</f>
        <v/>
      </c>
      <c r="K138" s="10">
        <f>IF('Pairings NB'!J605=320,4,3)</f>
        <v>3</v>
      </c>
    </row>
    <row r="139" spans="1:11" x14ac:dyDescent="0.25">
      <c r="A139" s="10">
        <f>'Pairings NB'!B610</f>
        <v>634</v>
      </c>
      <c r="B139" s="10" t="str">
        <f>'Pairings NB'!C610</f>
        <v>07/10/2026</v>
      </c>
      <c r="C139" s="10" t="str">
        <f>'Pairings NB'!D610</f>
        <v>miércoles</v>
      </c>
      <c r="D139" s="10" t="str">
        <f>'Pairings NB'!E610&amp;"/"&amp;'Pairings NB'!E611</f>
        <v>2312/2313</v>
      </c>
      <c r="E139" s="10" t="str">
        <f>'Pairings NB'!F610&amp;"-"&amp;'Pairings NB'!G610&amp;"-"&amp;'Pairings NB'!F610</f>
        <v>LIM-CIX-LIM</v>
      </c>
      <c r="F139" s="10" t="str">
        <f>IFERROR(VLOOKUP('Pairings NB'!$M$610,Instructores!$A:$C,2,FALSE),"")</f>
        <v/>
      </c>
      <c r="G139" s="10">
        <f>'Pairings NB'!$M$610</f>
        <v>0</v>
      </c>
      <c r="H139" s="10">
        <f>'Pairings NB'!$O$610</f>
        <v>0</v>
      </c>
      <c r="I139" s="10">
        <f>'Pairings NB'!J610</f>
        <v>320</v>
      </c>
      <c r="J139" s="10" t="str">
        <f>IFERROR(VLOOKUP('Pairings NB'!$M$610,Instructores!$A:$C,3,FALSE),"")</f>
        <v/>
      </c>
      <c r="K139" s="10">
        <f>IF('Pairings NB'!J610=320,4,3)</f>
        <v>4</v>
      </c>
    </row>
    <row r="140" spans="1:11" x14ac:dyDescent="0.25">
      <c r="A140" s="10">
        <f>'Pairings NB'!B615</f>
        <v>635</v>
      </c>
      <c r="B140" s="10" t="str">
        <f>'Pairings NB'!C615</f>
        <v>07/10/2026</v>
      </c>
      <c r="C140" s="10" t="str">
        <f>'Pairings NB'!D615</f>
        <v>miércoles</v>
      </c>
      <c r="D140" s="10" t="str">
        <f>'Pairings NB'!E615&amp;"/"&amp;'Pairings NB'!E616</f>
        <v>2301/2300</v>
      </c>
      <c r="E140" s="10" t="str">
        <f>'Pairings NB'!F615&amp;"-"&amp;'Pairings NB'!G615&amp;"-"&amp;'Pairings NB'!F615</f>
        <v>LIM-TPP-LIM</v>
      </c>
      <c r="F140" s="10" t="str">
        <f>IFERROR(VLOOKUP('Pairings NB'!$M$615,Instructores!$A:$C,2,FALSE),"")</f>
        <v/>
      </c>
      <c r="G140" s="10">
        <f>'Pairings NB'!$M$615</f>
        <v>0</v>
      </c>
      <c r="H140" s="10">
        <f>'Pairings NB'!$O$615</f>
        <v>0</v>
      </c>
      <c r="I140" s="10">
        <f>'Pairings NB'!J615</f>
        <v>320</v>
      </c>
      <c r="J140" s="10" t="str">
        <f>IFERROR(VLOOKUP('Pairings NB'!$M$615,Instructores!$A:$C,3,FALSE),"")</f>
        <v/>
      </c>
      <c r="K140" s="10">
        <f>IF('Pairings NB'!J615=320,4,3)</f>
        <v>4</v>
      </c>
    </row>
    <row r="141" spans="1:11" x14ac:dyDescent="0.25">
      <c r="A141" s="10">
        <f>'Pairings NB'!B620</f>
        <v>693</v>
      </c>
      <c r="B141" s="10" t="str">
        <f>'Pairings NB'!C620</f>
        <v>08/10/2026</v>
      </c>
      <c r="C141" s="10" t="str">
        <f>'Pairings NB'!D620</f>
        <v>jueves</v>
      </c>
      <c r="D141" s="10" t="str">
        <f>'Pairings NB'!E620&amp;"/"&amp;'Pairings NB'!E621</f>
        <v>2061/2062</v>
      </c>
      <c r="E141" s="10" t="str">
        <f>'Pairings NB'!F620&amp;"-"&amp;'Pairings NB'!G620&amp;"-"&amp;'Pairings NB'!F620</f>
        <v>LIM-CUZ-LIM</v>
      </c>
      <c r="F141" s="10" t="str">
        <f>IFERROR(VLOOKUP('Pairings NB'!$M$620,Instructores!$A:$C,2,FALSE),"")</f>
        <v/>
      </c>
      <c r="G141" s="10">
        <f>'Pairings NB'!$M$620</f>
        <v>0</v>
      </c>
      <c r="H141" s="10">
        <f>'Pairings NB'!$O$620</f>
        <v>0</v>
      </c>
      <c r="I141" s="10">
        <f>'Pairings NB'!J620</f>
        <v>320</v>
      </c>
      <c r="J141" s="10" t="str">
        <f>IFERROR(VLOOKUP('Pairings NB'!$M$620,Instructores!$A:$C,3,FALSE),"")</f>
        <v/>
      </c>
      <c r="K141" s="10">
        <f>IF('Pairings NB'!J620=320,4,3)</f>
        <v>4</v>
      </c>
    </row>
    <row r="142" spans="1:11" x14ac:dyDescent="0.25">
      <c r="A142" s="10">
        <f>'Pairings NB'!B625</f>
        <v>699</v>
      </c>
      <c r="B142" s="10" t="str">
        <f>'Pairings NB'!C625</f>
        <v>08/10/2026</v>
      </c>
      <c r="C142" s="10" t="str">
        <f>'Pairings NB'!D625</f>
        <v>jueves</v>
      </c>
      <c r="D142" s="10" t="str">
        <f>'Pairings NB'!E625&amp;"/"&amp;'Pairings NB'!E626</f>
        <v>2120/2121</v>
      </c>
      <c r="E142" s="10" t="str">
        <f>'Pairings NB'!F625&amp;"-"&amp;'Pairings NB'!G625&amp;"-"&amp;'Pairings NB'!F625</f>
        <v>LIM-CUZ-LIM</v>
      </c>
      <c r="F142" s="10" t="str">
        <f>IFERROR(VLOOKUP('Pairings NB'!$M$625,Instructores!$A:$C,2,FALSE),"")</f>
        <v/>
      </c>
      <c r="G142" s="10">
        <f>'Pairings NB'!$M$625</f>
        <v>0</v>
      </c>
      <c r="H142" s="10">
        <f>'Pairings NB'!$O$625</f>
        <v>0</v>
      </c>
      <c r="I142" s="10">
        <f>'Pairings NB'!J625</f>
        <v>320</v>
      </c>
      <c r="J142" s="10" t="str">
        <f>IFERROR(VLOOKUP('Pairings NB'!$M$625,Instructores!$A:$C,3,FALSE),"")</f>
        <v/>
      </c>
      <c r="K142" s="10">
        <f>IF('Pairings NB'!J625=320,4,3)</f>
        <v>4</v>
      </c>
    </row>
    <row r="143" spans="1:11" x14ac:dyDescent="0.25">
      <c r="A143" s="10">
        <f>'Pairings NB'!B627</f>
        <v>729</v>
      </c>
      <c r="B143" s="10" t="str">
        <f>'Pairings NB'!C627</f>
        <v>08/10/2026</v>
      </c>
      <c r="C143" s="10" t="str">
        <f>'Pairings NB'!D627</f>
        <v>jueves</v>
      </c>
      <c r="D143" s="10" t="str">
        <f>'Pairings NB'!E627&amp;"/"&amp;'Pairings NB'!E628</f>
        <v>2580/2581</v>
      </c>
      <c r="E143" s="10" t="str">
        <f>'Pairings NB'!F627&amp;"-"&amp;'Pairings NB'!G627&amp;"-"&amp;'Pairings NB'!F627</f>
        <v>LIM-PCL-LIM</v>
      </c>
      <c r="F143" s="10" t="str">
        <f>IFERROR(VLOOKUP('Pairings NB'!$M$625,Instructores!$A:$C,2,FALSE),"")</f>
        <v/>
      </c>
      <c r="G143" s="10">
        <f>'Pairings NB'!$M$625</f>
        <v>0</v>
      </c>
      <c r="H143" s="10">
        <f>'Pairings NB'!$O$625</f>
        <v>0</v>
      </c>
      <c r="I143" s="10">
        <f>'Pairings NB'!J627</f>
        <v>320</v>
      </c>
      <c r="J143" s="10" t="str">
        <f>IFERROR(VLOOKUP('Pairings NB'!$M$625,Instructores!$A:$C,3,FALSE),"")</f>
        <v/>
      </c>
      <c r="K143" s="10">
        <f>IF('Pairings NB'!J627=320,4,3)</f>
        <v>4</v>
      </c>
    </row>
    <row r="144" spans="1:11" x14ac:dyDescent="0.25">
      <c r="A144" s="10">
        <f>'Pairings NB'!B632</f>
        <v>701</v>
      </c>
      <c r="B144" s="10" t="str">
        <f>'Pairings NB'!C632</f>
        <v>08/10/2026</v>
      </c>
      <c r="C144" s="10" t="str">
        <f>'Pairings NB'!D632</f>
        <v>jueves</v>
      </c>
      <c r="D144" s="10" t="str">
        <f>'Pairings NB'!E632&amp;"/"&amp;'Pairings NB'!E633</f>
        <v>2043/2044</v>
      </c>
      <c r="E144" s="10" t="str">
        <f>'Pairings NB'!F632&amp;"-"&amp;'Pairings NB'!G632&amp;"-"&amp;'Pairings NB'!F632</f>
        <v>LIM-AQP-LIM</v>
      </c>
      <c r="F144" s="10" t="str">
        <f>IFERROR(VLOOKUP('Pairings NB'!$M$632,Instructores!$A:$C,2,FALSE),"")</f>
        <v/>
      </c>
      <c r="G144" s="10">
        <f>'Pairings NB'!$M$632</f>
        <v>0</v>
      </c>
      <c r="H144" s="10">
        <f>'Pairings NB'!$O$632</f>
        <v>0</v>
      </c>
      <c r="I144" s="10">
        <f>'Pairings NB'!J632</f>
        <v>320</v>
      </c>
      <c r="J144" s="10" t="str">
        <f>IFERROR(VLOOKUP('Pairings NB'!$M$632,Instructores!$A:$C,3,FALSE),"")</f>
        <v/>
      </c>
      <c r="K144" s="10">
        <f>IF('Pairings NB'!J632=320,4,3)</f>
        <v>4</v>
      </c>
    </row>
    <row r="145" spans="1:11" x14ac:dyDescent="0.25">
      <c r="A145" s="10">
        <f>'Pairings NB'!B637</f>
        <v>702</v>
      </c>
      <c r="B145" s="10" t="str">
        <f>'Pairings NB'!C637</f>
        <v>08/10/2026</v>
      </c>
      <c r="C145" s="10" t="str">
        <f>'Pairings NB'!D637</f>
        <v>jueves</v>
      </c>
      <c r="D145" s="10" t="str">
        <f>'Pairings NB'!E637&amp;"/"&amp;'Pairings NB'!E638</f>
        <v>2308/2309</v>
      </c>
      <c r="E145" s="10" t="str">
        <f>'Pairings NB'!F637&amp;"-"&amp;'Pairings NB'!G637&amp;"-"&amp;'Pairings NB'!F637</f>
        <v>LIM-PIU-LIM</v>
      </c>
      <c r="F145" s="10" t="str">
        <f>IFERROR(VLOOKUP('Pairings NB'!$M$637,Instructores!$A:$C,2,FALSE),"")</f>
        <v/>
      </c>
      <c r="G145" s="10">
        <f>'Pairings NB'!$M$637</f>
        <v>0</v>
      </c>
      <c r="H145" s="10">
        <f>'Pairings NB'!$O$637</f>
        <v>0</v>
      </c>
      <c r="I145" s="10">
        <f>'Pairings NB'!J637</f>
        <v>320</v>
      </c>
      <c r="J145" s="10" t="str">
        <f>IFERROR(VLOOKUP('Pairings NB'!$M$637,Instructores!$A:$C,3,FALSE),"")</f>
        <v/>
      </c>
      <c r="K145" s="10">
        <f>IF('Pairings NB'!J637=320,4,3)</f>
        <v>4</v>
      </c>
    </row>
    <row r="146" spans="1:11" x14ac:dyDescent="0.25">
      <c r="A146" s="10">
        <f>'Pairings NB'!B642</f>
        <v>707</v>
      </c>
      <c r="B146" s="10" t="str">
        <f>'Pairings NB'!C642</f>
        <v>08/10/2026</v>
      </c>
      <c r="C146" s="10" t="str">
        <f>'Pairings NB'!D642</f>
        <v>jueves</v>
      </c>
      <c r="D146" s="10" t="str">
        <f>'Pairings NB'!E642&amp;"/"&amp;'Pairings NB'!E643</f>
        <v>2234/2235</v>
      </c>
      <c r="E146" s="10" t="str">
        <f>'Pairings NB'!F642&amp;"-"&amp;'Pairings NB'!G642&amp;"-"&amp;'Pairings NB'!F642</f>
        <v>LIM-IQT-LIM</v>
      </c>
      <c r="F146" s="10" t="str">
        <f>IFERROR(VLOOKUP('Pairings NB'!$M$642,Instructores!$A:$C,2,FALSE),"")</f>
        <v/>
      </c>
      <c r="G146" s="10">
        <f>'Pairings NB'!$M$642</f>
        <v>0</v>
      </c>
      <c r="H146" s="10">
        <f>'Pairings NB'!$O$642</f>
        <v>0</v>
      </c>
      <c r="I146" s="10">
        <f>'Pairings NB'!J642</f>
        <v>320</v>
      </c>
      <c r="J146" s="10" t="str">
        <f>IFERROR(VLOOKUP('Pairings NB'!$M$642,Instructores!$A:$C,3,FALSE),"")</f>
        <v/>
      </c>
      <c r="K146" s="10">
        <f>IF('Pairings NB'!J642=320,4,3)</f>
        <v>4</v>
      </c>
    </row>
    <row r="147" spans="1:11" x14ac:dyDescent="0.25">
      <c r="A147" s="10">
        <f>'Pairings NB'!B647</f>
        <v>709</v>
      </c>
      <c r="B147" s="10" t="str">
        <f>'Pairings NB'!C647</f>
        <v>08/10/2026</v>
      </c>
      <c r="C147" s="10" t="str">
        <f>'Pairings NB'!D647</f>
        <v>jueves</v>
      </c>
      <c r="D147" s="10" t="str">
        <f>'Pairings NB'!E647&amp;"/"&amp;'Pairings NB'!E648</f>
        <v>2055/2056</v>
      </c>
      <c r="E147" s="10" t="str">
        <f>'Pairings NB'!F647&amp;"-"&amp;'Pairings NB'!G647&amp;"-"&amp;'Pairings NB'!F647</f>
        <v>LIM-AQP-LIM</v>
      </c>
      <c r="F147" s="10" t="str">
        <f>IFERROR(VLOOKUP('Pairings NB'!$M$647,Instructores!$A:$C,2,FALSE),"")</f>
        <v/>
      </c>
      <c r="G147" s="10">
        <f>'Pairings NB'!$M$647</f>
        <v>0</v>
      </c>
      <c r="H147" s="10">
        <f>'Pairings NB'!$O$647</f>
        <v>0</v>
      </c>
      <c r="I147" s="10">
        <f>'Pairings NB'!J647</f>
        <v>320</v>
      </c>
      <c r="J147" s="10" t="str">
        <f>IFERROR(VLOOKUP('Pairings NB'!$M$647,Instructores!$A:$C,3,FALSE),"")</f>
        <v/>
      </c>
      <c r="K147" s="10">
        <f>IF('Pairings NB'!J647=320,4,3)</f>
        <v>4</v>
      </c>
    </row>
    <row r="148" spans="1:11" x14ac:dyDescent="0.25">
      <c r="A148" s="10">
        <f>'Pairings NB'!B652</f>
        <v>712</v>
      </c>
      <c r="B148" s="10" t="str">
        <f>'Pairings NB'!C652</f>
        <v>08/10/2026</v>
      </c>
      <c r="C148" s="10" t="str">
        <f>'Pairings NB'!D652</f>
        <v>jueves</v>
      </c>
      <c r="D148" s="10" t="str">
        <f>'Pairings NB'!E652&amp;"/"&amp;'Pairings NB'!E653</f>
        <v>2154/2155</v>
      </c>
      <c r="E148" s="10" t="str">
        <f>'Pairings NB'!F652&amp;"-"&amp;'Pairings NB'!G652&amp;"-"&amp;'Pairings NB'!F652</f>
        <v>LIM-CUZ-LIM</v>
      </c>
      <c r="F148" s="10" t="str">
        <f>IFERROR(VLOOKUP('Pairings NB'!$M$652,Instructores!$A:$C,2,FALSE),"")</f>
        <v/>
      </c>
      <c r="G148" s="10">
        <f>'Pairings NB'!$M$652</f>
        <v>0</v>
      </c>
      <c r="H148" s="10">
        <f>'Pairings NB'!$O$652</f>
        <v>0</v>
      </c>
      <c r="I148" s="10">
        <f>'Pairings NB'!J652</f>
        <v>320</v>
      </c>
      <c r="J148" s="10" t="str">
        <f>IFERROR(VLOOKUP('Pairings NB'!$M$652,Instructores!$A:$C,3,FALSE),"")</f>
        <v/>
      </c>
      <c r="K148" s="10">
        <f>IF('Pairings NB'!J652=320,4,3)</f>
        <v>4</v>
      </c>
    </row>
    <row r="149" spans="1:11" x14ac:dyDescent="0.25">
      <c r="A149" s="10">
        <f>'Pairings NB'!B657</f>
        <v>713</v>
      </c>
      <c r="B149" s="10" t="str">
        <f>'Pairings NB'!C657</f>
        <v>08/10/2026</v>
      </c>
      <c r="C149" s="10" t="str">
        <f>'Pairings NB'!D657</f>
        <v>jueves</v>
      </c>
      <c r="D149" s="10" t="str">
        <f>'Pairings NB'!E657&amp;"/"&amp;'Pairings NB'!E658</f>
        <v>2154/2155</v>
      </c>
      <c r="E149" s="10" t="str">
        <f>'Pairings NB'!F657&amp;"-"&amp;'Pairings NB'!G657&amp;"-"&amp;'Pairings NB'!F657</f>
        <v>LIM-CUZ-LIM</v>
      </c>
      <c r="F149" s="10" t="str">
        <f>IFERROR(VLOOKUP('Pairings NB'!$M$657,Instructores!$A:$C,2,FALSE),"")</f>
        <v/>
      </c>
      <c r="G149" s="10">
        <f>'Pairings NB'!$M$657</f>
        <v>0</v>
      </c>
      <c r="H149" s="10">
        <f>'Pairings NB'!$O$657</f>
        <v>0</v>
      </c>
      <c r="I149" s="10">
        <f>'Pairings NB'!J657</f>
        <v>320</v>
      </c>
      <c r="J149" s="10" t="str">
        <f>IFERROR(VLOOKUP('Pairings NB'!$M$657,Instructores!$A:$C,3,FALSE),"")</f>
        <v/>
      </c>
      <c r="K149" s="10">
        <f>IF('Pairings NB'!J657=320,4,3)</f>
        <v>4</v>
      </c>
    </row>
    <row r="150" spans="1:11" x14ac:dyDescent="0.25">
      <c r="A150" s="10">
        <f>'Pairings NB'!B662</f>
        <v>714</v>
      </c>
      <c r="B150" s="10" t="str">
        <f>'Pairings NB'!C662</f>
        <v>08/10/2026</v>
      </c>
      <c r="C150" s="10" t="str">
        <f>'Pairings NB'!D662</f>
        <v>jueves</v>
      </c>
      <c r="D150" s="10" t="str">
        <f>'Pairings NB'!E662&amp;"/"&amp;'Pairings NB'!E663</f>
        <v>2264/2265</v>
      </c>
      <c r="E150" s="10" t="str">
        <f>'Pairings NB'!F662&amp;"-"&amp;'Pairings NB'!G662&amp;"-"&amp;'Pairings NB'!F662</f>
        <v>LIM-PEM-LIM</v>
      </c>
      <c r="F150" s="10" t="str">
        <f>IFERROR(VLOOKUP('Pairings NB'!$M$662,Instructores!$A:$C,2,FALSE),"")</f>
        <v/>
      </c>
      <c r="G150" s="10">
        <f>'Pairings NB'!$M$662</f>
        <v>0</v>
      </c>
      <c r="H150" s="10">
        <f>'Pairings NB'!$O$662</f>
        <v>0</v>
      </c>
      <c r="I150" s="10">
        <f>'Pairings NB'!J662</f>
        <v>319</v>
      </c>
      <c r="J150" s="10" t="str">
        <f>IFERROR(VLOOKUP('Pairings NB'!$M$662,Instructores!$A:$C,3,FALSE),"")</f>
        <v/>
      </c>
      <c r="K150" s="10">
        <f>IF('Pairings NB'!J662=320,4,3)</f>
        <v>3</v>
      </c>
    </row>
    <row r="151" spans="1:11" x14ac:dyDescent="0.25">
      <c r="A151" s="10">
        <f>'Pairings NB'!B667</f>
        <v>715</v>
      </c>
      <c r="B151" s="10" t="str">
        <f>'Pairings NB'!C667</f>
        <v>08/10/2026</v>
      </c>
      <c r="C151" s="10" t="str">
        <f>'Pairings NB'!D667</f>
        <v>jueves</v>
      </c>
      <c r="D151" s="10" t="str">
        <f>'Pairings NB'!E667&amp;"/"&amp;'Pairings NB'!E668</f>
        <v>2338/2339</v>
      </c>
      <c r="E151" s="10" t="str">
        <f>'Pairings NB'!F667&amp;"-"&amp;'Pairings NB'!G667&amp;"-"&amp;'Pairings NB'!F667</f>
        <v>LIM-PIU-LIM</v>
      </c>
      <c r="F151" s="10" t="str">
        <f>IFERROR(VLOOKUP('Pairings NB'!$M$667,Instructores!$A:$C,2,FALSE),"")</f>
        <v/>
      </c>
      <c r="G151" s="10">
        <f>'Pairings NB'!$M$667</f>
        <v>0</v>
      </c>
      <c r="H151" s="10">
        <f>'Pairings NB'!$O$667</f>
        <v>0</v>
      </c>
      <c r="I151" s="10">
        <f>'Pairings NB'!J667</f>
        <v>320</v>
      </c>
      <c r="J151" s="10" t="str">
        <f>IFERROR(VLOOKUP('Pairings NB'!$M$667,Instructores!$A:$C,3,FALSE),"")</f>
        <v/>
      </c>
      <c r="K151" s="10">
        <f>IF('Pairings NB'!J667=320,4,3)</f>
        <v>4</v>
      </c>
    </row>
    <row r="152" spans="1:11" x14ac:dyDescent="0.25">
      <c r="A152" s="10">
        <f>'Pairings NB'!B672</f>
        <v>716</v>
      </c>
      <c r="B152" s="10" t="str">
        <f>'Pairings NB'!C672</f>
        <v>08/10/2026</v>
      </c>
      <c r="C152" s="10" t="str">
        <f>'Pairings NB'!D672</f>
        <v>jueves</v>
      </c>
      <c r="D152" s="10" t="str">
        <f>'Pairings NB'!E672&amp;"/"&amp;'Pairings NB'!E673</f>
        <v>2113/2112</v>
      </c>
      <c r="E152" s="10" t="str">
        <f>'Pairings NB'!F672&amp;"-"&amp;'Pairings NB'!G672&amp;"-"&amp;'Pairings NB'!F672</f>
        <v>LIM-AQP-LIM</v>
      </c>
      <c r="F152" s="10" t="str">
        <f>IFERROR(VLOOKUP('Pairings NB'!$M$672,Instructores!$A:$C,2,FALSE),"")</f>
        <v/>
      </c>
      <c r="G152" s="10">
        <f>'Pairings NB'!$M$672</f>
        <v>0</v>
      </c>
      <c r="H152" s="10">
        <f>'Pairings NB'!$O$672</f>
        <v>0</v>
      </c>
      <c r="I152" s="10">
        <f>'Pairings NB'!J672</f>
        <v>320</v>
      </c>
      <c r="J152" s="10" t="str">
        <f>IFERROR(VLOOKUP('Pairings NB'!$M$672,Instructores!$A:$C,3,FALSE),"")</f>
        <v/>
      </c>
      <c r="K152" s="10">
        <f>IF('Pairings NB'!J672=320,4,3)</f>
        <v>4</v>
      </c>
    </row>
    <row r="153" spans="1:11" x14ac:dyDescent="0.25">
      <c r="A153" s="10">
        <f>'Pairings NB'!B677</f>
        <v>717</v>
      </c>
      <c r="B153" s="10" t="str">
        <f>'Pairings NB'!C677</f>
        <v>08/10/2026</v>
      </c>
      <c r="C153" s="10" t="str">
        <f>'Pairings NB'!D677</f>
        <v>jueves</v>
      </c>
      <c r="D153" s="10" t="str">
        <f>'Pairings NB'!E677&amp;"/"&amp;'Pairings NB'!E678</f>
        <v>2113/2112</v>
      </c>
      <c r="E153" s="10" t="str">
        <f>'Pairings NB'!F677&amp;"-"&amp;'Pairings NB'!G677&amp;"-"&amp;'Pairings NB'!F677</f>
        <v>LIM-AQP-LIM</v>
      </c>
      <c r="F153" s="10" t="str">
        <f>IFERROR(VLOOKUP('Pairings NB'!$M$677,Instructores!$A:$C,2,FALSE),"")</f>
        <v/>
      </c>
      <c r="G153" s="10">
        <f>'Pairings NB'!$M$677</f>
        <v>0</v>
      </c>
      <c r="H153" s="10">
        <f>'Pairings NB'!$O$677</f>
        <v>0</v>
      </c>
      <c r="I153" s="10">
        <f>'Pairings NB'!J677</f>
        <v>320</v>
      </c>
      <c r="J153" s="10" t="str">
        <f>IFERROR(VLOOKUP('Pairings NB'!$M$677,Instructores!$A:$C,3,FALSE),"")</f>
        <v/>
      </c>
      <c r="K153" s="10">
        <f>IF('Pairings NB'!J677=320,4,3)</f>
        <v>4</v>
      </c>
    </row>
    <row r="154" spans="1:11" x14ac:dyDescent="0.25">
      <c r="A154" s="10">
        <f>'Pairings NB'!B682</f>
        <v>719</v>
      </c>
      <c r="B154" s="10" t="str">
        <f>'Pairings NB'!C682</f>
        <v>08/10/2026</v>
      </c>
      <c r="C154" s="10" t="str">
        <f>'Pairings NB'!D682</f>
        <v>jueves</v>
      </c>
      <c r="D154" s="10" t="str">
        <f>'Pairings NB'!E682&amp;"/"&amp;'Pairings NB'!E683</f>
        <v>2297/2296</v>
      </c>
      <c r="E154" s="10" t="str">
        <f>'Pairings NB'!F682&amp;"-"&amp;'Pairings NB'!G682&amp;"-"&amp;'Pairings NB'!F682</f>
        <v>LIM-CJA-LIM</v>
      </c>
      <c r="F154" s="10" t="str">
        <f>IFERROR(VLOOKUP('Pairings NB'!$M$682,Instructores!$A:$C,2,FALSE),"")</f>
        <v/>
      </c>
      <c r="G154" s="10">
        <f>'Pairings NB'!$M$682</f>
        <v>0</v>
      </c>
      <c r="H154" s="10">
        <f>'Pairings NB'!$O$682</f>
        <v>0</v>
      </c>
      <c r="I154" s="10">
        <f>'Pairings NB'!J682</f>
        <v>320</v>
      </c>
      <c r="J154" s="10" t="str">
        <f>IFERROR(VLOOKUP('Pairings NB'!$M$682,Instructores!$A:$C,3,FALSE),"")</f>
        <v/>
      </c>
      <c r="K154" s="10">
        <f>IF('Pairings NB'!J682=320,4,3)</f>
        <v>4</v>
      </c>
    </row>
    <row r="155" spans="1:11" x14ac:dyDescent="0.25">
      <c r="A155" s="10">
        <f>'Pairings NB'!B687</f>
        <v>720</v>
      </c>
      <c r="B155" s="10" t="str">
        <f>'Pairings NB'!C687</f>
        <v>08/10/2026</v>
      </c>
      <c r="C155" s="10" t="str">
        <f>'Pairings NB'!D687</f>
        <v>jueves</v>
      </c>
      <c r="D155" s="10" t="str">
        <f>'Pairings NB'!E687&amp;"/"&amp;'Pairings NB'!E688</f>
        <v>2297/2296</v>
      </c>
      <c r="E155" s="10" t="str">
        <f>'Pairings NB'!F687&amp;"-"&amp;'Pairings NB'!G687&amp;"-"&amp;'Pairings NB'!F687</f>
        <v>LIM-CJA-LIM</v>
      </c>
      <c r="F155" s="10" t="str">
        <f>IFERROR(VLOOKUP('Pairings NB'!$M$687,Instructores!$A:$C,2,FALSE),"")</f>
        <v/>
      </c>
      <c r="G155" s="10">
        <f>'Pairings NB'!$M$687</f>
        <v>0</v>
      </c>
      <c r="H155" s="10">
        <f>'Pairings NB'!$O$687</f>
        <v>0</v>
      </c>
      <c r="I155" s="10">
        <f>'Pairings NB'!J687</f>
        <v>320</v>
      </c>
      <c r="J155" s="10" t="str">
        <f>IFERROR(VLOOKUP('Pairings NB'!$M$687,Instructores!$A:$C,3,FALSE),"")</f>
        <v/>
      </c>
      <c r="K155" s="10">
        <f>IF('Pairings NB'!J687=320,4,3)</f>
        <v>4</v>
      </c>
    </row>
    <row r="156" spans="1:11" x14ac:dyDescent="0.25">
      <c r="A156" s="10">
        <f>'Pairings NB'!B692</f>
        <v>721</v>
      </c>
      <c r="B156" s="10" t="str">
        <f>'Pairings NB'!C692</f>
        <v>08/10/2026</v>
      </c>
      <c r="C156" s="10" t="str">
        <f>'Pairings NB'!D692</f>
        <v>jueves</v>
      </c>
      <c r="D156" s="10" t="str">
        <f>'Pairings NB'!E692&amp;"/"&amp;'Pairings NB'!E693</f>
        <v>2312/2313</v>
      </c>
      <c r="E156" s="10" t="str">
        <f>'Pairings NB'!F692&amp;"-"&amp;'Pairings NB'!G692&amp;"-"&amp;'Pairings NB'!F692</f>
        <v>LIM-CIX-LIM</v>
      </c>
      <c r="F156" s="10" t="str">
        <f>IFERROR(VLOOKUP('Pairings NB'!$M$692,Instructores!$A:$C,2,FALSE),"")</f>
        <v/>
      </c>
      <c r="G156" s="10">
        <f>'Pairings NB'!$M$692</f>
        <v>0</v>
      </c>
      <c r="H156" s="10">
        <f>'Pairings NB'!$O$692</f>
        <v>0</v>
      </c>
      <c r="I156" s="10">
        <f>'Pairings NB'!J692</f>
        <v>320</v>
      </c>
      <c r="J156" s="10" t="str">
        <f>IFERROR(VLOOKUP('Pairings NB'!$M$692,Instructores!$A:$C,3,FALSE),"")</f>
        <v/>
      </c>
      <c r="K156" s="10">
        <f>IF('Pairings NB'!J692=320,4,3)</f>
        <v>4</v>
      </c>
    </row>
    <row r="157" spans="1:11" x14ac:dyDescent="0.25">
      <c r="A157" s="10">
        <f>'Pairings NB'!B697</f>
        <v>722</v>
      </c>
      <c r="B157" s="10" t="str">
        <f>'Pairings NB'!C697</f>
        <v>08/10/2026</v>
      </c>
      <c r="C157" s="10" t="str">
        <f>'Pairings NB'!D697</f>
        <v>jueves</v>
      </c>
      <c r="D157" s="10" t="str">
        <f>'Pairings NB'!E697&amp;"/"&amp;'Pairings NB'!E698</f>
        <v>2312/2313</v>
      </c>
      <c r="E157" s="10" t="str">
        <f>'Pairings NB'!F697&amp;"-"&amp;'Pairings NB'!G697&amp;"-"&amp;'Pairings NB'!F697</f>
        <v>LIM-CIX-LIM</v>
      </c>
      <c r="F157" s="10" t="str">
        <f>IFERROR(VLOOKUP('Pairings NB'!$M$697,Instructores!$A:$C,2,FALSE),"")</f>
        <v/>
      </c>
      <c r="G157" s="10">
        <f>'Pairings NB'!$M$697</f>
        <v>0</v>
      </c>
      <c r="H157" s="10">
        <f>'Pairings NB'!$O$697</f>
        <v>0</v>
      </c>
      <c r="I157" s="10">
        <f>'Pairings NB'!J697</f>
        <v>320</v>
      </c>
      <c r="J157" s="10" t="str">
        <f>IFERROR(VLOOKUP('Pairings NB'!$M$697,Instructores!$A:$C,3,FALSE),"")</f>
        <v/>
      </c>
      <c r="K157" s="10">
        <f>IF('Pairings NB'!J697=320,4,3)</f>
        <v>4</v>
      </c>
    </row>
    <row r="158" spans="1:11" x14ac:dyDescent="0.25">
      <c r="A158" s="10">
        <f>'Pairings NB'!B702</f>
        <v>723</v>
      </c>
      <c r="B158" s="10" t="str">
        <f>'Pairings NB'!C702</f>
        <v>08/10/2026</v>
      </c>
      <c r="C158" s="10" t="str">
        <f>'Pairings NB'!D702</f>
        <v>jueves</v>
      </c>
      <c r="D158" s="10" t="str">
        <f>'Pairings NB'!E702&amp;"/"&amp;'Pairings NB'!E703</f>
        <v>2301/2300</v>
      </c>
      <c r="E158" s="10" t="str">
        <f>'Pairings NB'!F702&amp;"-"&amp;'Pairings NB'!G702&amp;"-"&amp;'Pairings NB'!F702</f>
        <v>LIM-TPP-LIM</v>
      </c>
      <c r="F158" s="10" t="str">
        <f>IFERROR(VLOOKUP('Pairings NB'!$M$702,Instructores!$A:$C,2,FALSE),"")</f>
        <v/>
      </c>
      <c r="G158" s="10">
        <f>'Pairings NB'!$M$702</f>
        <v>0</v>
      </c>
      <c r="H158" s="10">
        <f>'Pairings NB'!$O$702</f>
        <v>0</v>
      </c>
      <c r="I158" s="10">
        <f>'Pairings NB'!J702</f>
        <v>320</v>
      </c>
      <c r="J158" s="10" t="str">
        <f>IFERROR(VLOOKUP('Pairings NB'!$M$702,Instructores!$A:$C,3,FALSE),"")</f>
        <v/>
      </c>
      <c r="K158" s="10">
        <f>IF('Pairings NB'!J702=320,4,3)</f>
        <v>4</v>
      </c>
    </row>
    <row r="159" spans="1:11" x14ac:dyDescent="0.25">
      <c r="A159" s="10">
        <f>'Pairings NB'!B707</f>
        <v>727</v>
      </c>
      <c r="B159" s="10" t="str">
        <f>'Pairings NB'!C707</f>
        <v>08/10/2026</v>
      </c>
      <c r="C159" s="10" t="str">
        <f>'Pairings NB'!D707</f>
        <v>jueves</v>
      </c>
      <c r="D159" s="10" t="str">
        <f>'Pairings NB'!E707&amp;"/"&amp;'Pairings NB'!E708</f>
        <v>2115/2114</v>
      </c>
      <c r="E159" s="10" t="str">
        <f>'Pairings NB'!F707&amp;"-"&amp;'Pairings NB'!G707&amp;"-"&amp;'Pairings NB'!F707</f>
        <v>LIM-AQP-LIM</v>
      </c>
      <c r="F159" s="10" t="str">
        <f>IFERROR(VLOOKUP('Pairings NB'!$M$707,Instructores!$A:$C,2,FALSE),"")</f>
        <v/>
      </c>
      <c r="G159" s="10">
        <f>'Pairings NB'!$M$707</f>
        <v>0</v>
      </c>
      <c r="H159" s="10">
        <f>'Pairings NB'!$O$707</f>
        <v>0</v>
      </c>
      <c r="I159" s="10">
        <f>'Pairings NB'!J707</f>
        <v>320</v>
      </c>
      <c r="J159" s="10" t="str">
        <f>IFERROR(VLOOKUP('Pairings NB'!$M$707,Instructores!$A:$C,3,FALSE),"")</f>
        <v/>
      </c>
      <c r="K159" s="10">
        <f>IF('Pairings NB'!J707=320,4,3)</f>
        <v>4</v>
      </c>
    </row>
    <row r="160" spans="1:11" x14ac:dyDescent="0.25">
      <c r="A160" s="10">
        <f>'Pairings NB'!B712</f>
        <v>775</v>
      </c>
      <c r="B160" s="10" t="str">
        <f>'Pairings NB'!C712</f>
        <v>09/10/2026</v>
      </c>
      <c r="C160" s="10" t="str">
        <f>'Pairings NB'!D712</f>
        <v>viernes</v>
      </c>
      <c r="D160" s="10" t="str">
        <f>'Pairings NB'!E712&amp;"/"&amp;'Pairings NB'!E713</f>
        <v>2007/2008</v>
      </c>
      <c r="E160" s="10" t="str">
        <f>'Pairings NB'!F712&amp;"-"&amp;'Pairings NB'!G712&amp;"-"&amp;'Pairings NB'!F712</f>
        <v>LIM-CUZ-LIM</v>
      </c>
      <c r="F160" s="10" t="str">
        <f>IFERROR(VLOOKUP('Pairings NB'!$M$712,Instructores!$A:$C,2,FALSE),"")</f>
        <v/>
      </c>
      <c r="G160" s="10">
        <f>'Pairings NB'!$M$712</f>
        <v>0</v>
      </c>
      <c r="H160" s="10">
        <f>'Pairings NB'!$O$712</f>
        <v>0</v>
      </c>
      <c r="I160" s="10">
        <f>'Pairings NB'!J712</f>
        <v>319</v>
      </c>
      <c r="J160" s="10" t="str">
        <f>IFERROR(VLOOKUP('Pairings NB'!$M$712,Instructores!$A:$C,3,FALSE),"")</f>
        <v/>
      </c>
      <c r="K160" s="10">
        <f>IF('Pairings NB'!J712=320,4,3)</f>
        <v>3</v>
      </c>
    </row>
    <row r="161" spans="1:11" x14ac:dyDescent="0.25">
      <c r="A161" s="10">
        <f>'Pairings NB'!B714</f>
        <v>801</v>
      </c>
      <c r="B161" s="10" t="str">
        <f>'Pairings NB'!C714</f>
        <v>09/10/2026</v>
      </c>
      <c r="C161" s="10" t="str">
        <f>'Pairings NB'!D714</f>
        <v>viernes</v>
      </c>
      <c r="D161" s="10" t="str">
        <f>'Pairings NB'!E714&amp;"/"&amp;'Pairings NB'!E715</f>
        <v>2087/2088</v>
      </c>
      <c r="E161" s="10" t="str">
        <f>'Pairings NB'!F714&amp;"-"&amp;'Pairings NB'!G714&amp;"-"&amp;'Pairings NB'!F714</f>
        <v>LIM-TPP-LIM</v>
      </c>
      <c r="F161" s="10" t="str">
        <f>IFERROR(VLOOKUP('Pairings NB'!$M$712,Instructores!$A:$C,2,FALSE),"")</f>
        <v/>
      </c>
      <c r="G161" s="10">
        <f>'Pairings NB'!$M$712</f>
        <v>0</v>
      </c>
      <c r="H161" s="10">
        <f>'Pairings NB'!$O$712</f>
        <v>0</v>
      </c>
      <c r="I161" s="10">
        <f>'Pairings NB'!J714</f>
        <v>320</v>
      </c>
      <c r="J161" s="10" t="str">
        <f>IFERROR(VLOOKUP('Pairings NB'!$M$712,Instructores!$A:$C,3,FALSE),"")</f>
        <v/>
      </c>
      <c r="K161" s="10">
        <f>IF('Pairings NB'!J714=320,4,3)</f>
        <v>4</v>
      </c>
    </row>
    <row r="162" spans="1:11" x14ac:dyDescent="0.25">
      <c r="A162" s="10">
        <f>'Pairings NB'!B719</f>
        <v>779</v>
      </c>
      <c r="B162" s="10" t="str">
        <f>'Pairings NB'!C719</f>
        <v>09/10/2026</v>
      </c>
      <c r="C162" s="10" t="str">
        <f>'Pairings NB'!D719</f>
        <v>viernes</v>
      </c>
      <c r="D162" s="10" t="str">
        <f>'Pairings NB'!E719&amp;"/"&amp;'Pairings NB'!E720</f>
        <v>2260/2261</v>
      </c>
      <c r="E162" s="10" t="str">
        <f>'Pairings NB'!F719&amp;"-"&amp;'Pairings NB'!G719&amp;"-"&amp;'Pairings NB'!F719</f>
        <v>LIM-PEM-LIM</v>
      </c>
      <c r="F162" s="10" t="str">
        <f>IFERROR(VLOOKUP('Pairings NB'!$M$719,Instructores!$A:$C,2,FALSE),"")</f>
        <v/>
      </c>
      <c r="G162" s="10">
        <f>'Pairings NB'!$M$719</f>
        <v>0</v>
      </c>
      <c r="H162" s="10">
        <f>'Pairings NB'!$O$719</f>
        <v>0</v>
      </c>
      <c r="I162" s="10">
        <f>'Pairings NB'!J719</f>
        <v>320</v>
      </c>
      <c r="J162" s="10" t="str">
        <f>IFERROR(VLOOKUP('Pairings NB'!$M$719,Instructores!$A:$C,3,FALSE),"")</f>
        <v/>
      </c>
      <c r="K162" s="10">
        <f>IF('Pairings NB'!J719=320,4,3)</f>
        <v>4</v>
      </c>
    </row>
    <row r="163" spans="1:11" x14ac:dyDescent="0.25">
      <c r="A163" s="10">
        <f>'Pairings NB'!B721</f>
        <v>808</v>
      </c>
      <c r="B163" s="10" t="str">
        <f>'Pairings NB'!C721</f>
        <v>09/10/2026</v>
      </c>
      <c r="C163" s="10" t="str">
        <f>'Pairings NB'!D721</f>
        <v>viernes</v>
      </c>
      <c r="D163" s="10" t="str">
        <f>'Pairings NB'!E721&amp;"/"&amp;'Pairings NB'!E722</f>
        <v>2297/2296</v>
      </c>
      <c r="E163" s="10" t="str">
        <f>'Pairings NB'!F721&amp;"-"&amp;'Pairings NB'!G721&amp;"-"&amp;'Pairings NB'!F721</f>
        <v>LIM-CJA-LIM</v>
      </c>
      <c r="F163" s="10" t="str">
        <f>IFERROR(VLOOKUP('Pairings NB'!$M$719,Instructores!$A:$C,2,FALSE),"")</f>
        <v/>
      </c>
      <c r="G163" s="10">
        <f>'Pairings NB'!$M$719</f>
        <v>0</v>
      </c>
      <c r="H163" s="10">
        <f>'Pairings NB'!$O$719</f>
        <v>0</v>
      </c>
      <c r="I163" s="10">
        <f>'Pairings NB'!J721</f>
        <v>320</v>
      </c>
      <c r="J163" s="10" t="str">
        <f>IFERROR(VLOOKUP('Pairings NB'!$M$719,Instructores!$A:$C,3,FALSE),"")</f>
        <v/>
      </c>
      <c r="K163" s="10">
        <f>IF('Pairings NB'!J721=320,4,3)</f>
        <v>4</v>
      </c>
    </row>
    <row r="164" spans="1:11" x14ac:dyDescent="0.25">
      <c r="A164" s="10">
        <f>'Pairings NB'!B726</f>
        <v>780</v>
      </c>
      <c r="B164" s="10" t="str">
        <f>'Pairings NB'!C726</f>
        <v>09/10/2026</v>
      </c>
      <c r="C164" s="10" t="str">
        <f>'Pairings NB'!D726</f>
        <v>viernes</v>
      </c>
      <c r="D164" s="10" t="str">
        <f>'Pairings NB'!E726&amp;"/"&amp;'Pairings NB'!E727</f>
        <v>2260/2261</v>
      </c>
      <c r="E164" s="10" t="str">
        <f>'Pairings NB'!F726&amp;"-"&amp;'Pairings NB'!G726&amp;"-"&amp;'Pairings NB'!F726</f>
        <v>LIM-PEM-LIM</v>
      </c>
      <c r="F164" s="10" t="str">
        <f>IFERROR(VLOOKUP('Pairings NB'!$M$726,Instructores!$A:$C,2,FALSE),"")</f>
        <v/>
      </c>
      <c r="G164" s="10">
        <f>'Pairings NB'!$M$726</f>
        <v>0</v>
      </c>
      <c r="H164" s="10">
        <f>'Pairings NB'!$O$726</f>
        <v>0</v>
      </c>
      <c r="I164" s="10">
        <f>'Pairings NB'!J726</f>
        <v>320</v>
      </c>
      <c r="J164" s="10" t="str">
        <f>IFERROR(VLOOKUP('Pairings NB'!$M$726,Instructores!$A:$C,3,FALSE),"")</f>
        <v/>
      </c>
      <c r="K164" s="10">
        <f>IF('Pairings NB'!J726=320,4,3)</f>
        <v>4</v>
      </c>
    </row>
    <row r="165" spans="1:11" x14ac:dyDescent="0.25">
      <c r="A165" s="10">
        <f>'Pairings NB'!B728</f>
        <v>809</v>
      </c>
      <c r="B165" s="10" t="str">
        <f>'Pairings NB'!C728</f>
        <v>09/10/2026</v>
      </c>
      <c r="C165" s="10" t="str">
        <f>'Pairings NB'!D728</f>
        <v>viernes</v>
      </c>
      <c r="D165" s="10" t="str">
        <f>'Pairings NB'!E728&amp;"/"&amp;'Pairings NB'!E729</f>
        <v>2360/2361</v>
      </c>
      <c r="E165" s="10" t="str">
        <f>'Pairings NB'!F728&amp;"-"&amp;'Pairings NB'!G728&amp;"-"&amp;'Pairings NB'!F728</f>
        <v>LIM-PCL-LIM</v>
      </c>
      <c r="F165" s="10" t="str">
        <f>IFERROR(VLOOKUP('Pairings NB'!$M$726,Instructores!$A:$C,2,FALSE),"")</f>
        <v/>
      </c>
      <c r="G165" s="10">
        <f>'Pairings NB'!$M$726</f>
        <v>0</v>
      </c>
      <c r="H165" s="10">
        <f>'Pairings NB'!$O$726</f>
        <v>0</v>
      </c>
      <c r="I165" s="10">
        <f>'Pairings NB'!J728</f>
        <v>320</v>
      </c>
      <c r="J165" s="10" t="str">
        <f>IFERROR(VLOOKUP('Pairings NB'!$M$726,Instructores!$A:$C,3,FALSE),"")</f>
        <v/>
      </c>
      <c r="K165" s="10">
        <f>IF('Pairings NB'!J728=320,4,3)</f>
        <v>4</v>
      </c>
    </row>
    <row r="166" spans="1:11" x14ac:dyDescent="0.25">
      <c r="A166" s="10">
        <f>'Pairings NB'!B733</f>
        <v>782</v>
      </c>
      <c r="B166" s="10" t="str">
        <f>'Pairings NB'!C733</f>
        <v>09/10/2026</v>
      </c>
      <c r="C166" s="10" t="str">
        <f>'Pairings NB'!D733</f>
        <v>viernes</v>
      </c>
      <c r="D166" s="10" t="str">
        <f>'Pairings NB'!E733&amp;"/"&amp;'Pairings NB'!E734</f>
        <v>2019/2038</v>
      </c>
      <c r="E166" s="10" t="str">
        <f>'Pairings NB'!F733&amp;"-"&amp;'Pairings NB'!G733&amp;"-"&amp;'Pairings NB'!F733</f>
        <v>LIM-IQT-LIM</v>
      </c>
      <c r="F166" s="10" t="str">
        <f>IFERROR(VLOOKUP('Pairings NB'!$M$733,Instructores!$A:$C,2,FALSE),"")</f>
        <v/>
      </c>
      <c r="G166" s="10">
        <f>'Pairings NB'!$M$733</f>
        <v>0</v>
      </c>
      <c r="H166" s="10">
        <f>'Pairings NB'!$O$733</f>
        <v>0</v>
      </c>
      <c r="I166" s="10">
        <f>'Pairings NB'!J733</f>
        <v>320</v>
      </c>
      <c r="J166" s="10" t="str">
        <f>IFERROR(VLOOKUP('Pairings NB'!$M$733,Instructores!$A:$C,3,FALSE),"")</f>
        <v/>
      </c>
      <c r="K166" s="10">
        <f>IF('Pairings NB'!J733=320,4,3)</f>
        <v>4</v>
      </c>
    </row>
    <row r="167" spans="1:11" x14ac:dyDescent="0.25">
      <c r="A167" s="10">
        <f>'Pairings NB'!B735</f>
        <v>817</v>
      </c>
      <c r="B167" s="10" t="str">
        <f>'Pairings NB'!C735</f>
        <v>09/10/2026</v>
      </c>
      <c r="C167" s="10" t="str">
        <f>'Pairings NB'!D735</f>
        <v>viernes</v>
      </c>
      <c r="D167" s="10" t="str">
        <f>'Pairings NB'!E735&amp;"/"&amp;'Pairings NB'!E736</f>
        <v>2213/2214</v>
      </c>
      <c r="E167" s="10" t="str">
        <f>'Pairings NB'!F735&amp;"-"&amp;'Pairings NB'!G735&amp;"-"&amp;'Pairings NB'!F735</f>
        <v>LIM-CIX-LIM</v>
      </c>
      <c r="F167" s="10" t="str">
        <f>IFERROR(VLOOKUP('Pairings NB'!$M$733,Instructores!$A:$C,2,FALSE),"")</f>
        <v/>
      </c>
      <c r="G167" s="10">
        <f>'Pairings NB'!$M$733</f>
        <v>0</v>
      </c>
      <c r="H167" s="10">
        <f>'Pairings NB'!$O$733</f>
        <v>0</v>
      </c>
      <c r="I167" s="10">
        <f>'Pairings NB'!J735</f>
        <v>320</v>
      </c>
      <c r="J167" s="10" t="str">
        <f>IFERROR(VLOOKUP('Pairings NB'!$M$733,Instructores!$A:$C,3,FALSE),"")</f>
        <v/>
      </c>
      <c r="K167" s="10">
        <f>IF('Pairings NB'!J735=320,4,3)</f>
        <v>4</v>
      </c>
    </row>
    <row r="168" spans="1:11" x14ac:dyDescent="0.25">
      <c r="A168" s="10">
        <f>'Pairings NB'!B740</f>
        <v>784</v>
      </c>
      <c r="B168" s="10" t="str">
        <f>'Pairings NB'!C740</f>
        <v>09/10/2026</v>
      </c>
      <c r="C168" s="10" t="str">
        <f>'Pairings NB'!D740</f>
        <v>viernes</v>
      </c>
      <c r="D168" s="10" t="str">
        <f>'Pairings NB'!E740&amp;"/"&amp;'Pairings NB'!E741</f>
        <v>2111/2110</v>
      </c>
      <c r="E168" s="10" t="str">
        <f>'Pairings NB'!F740&amp;"-"&amp;'Pairings NB'!G740&amp;"-"&amp;'Pairings NB'!F740</f>
        <v>LIM-AQP-LIM</v>
      </c>
      <c r="F168" s="10" t="str">
        <f>IFERROR(VLOOKUP('Pairings NB'!$M$740,Instructores!$A:$C,2,FALSE),"")</f>
        <v/>
      </c>
      <c r="G168" s="10">
        <f>'Pairings NB'!$M$740</f>
        <v>0</v>
      </c>
      <c r="H168" s="10">
        <f>'Pairings NB'!$O$740</f>
        <v>0</v>
      </c>
      <c r="I168" s="10">
        <f>'Pairings NB'!J740</f>
        <v>319</v>
      </c>
      <c r="J168" s="10" t="str">
        <f>IFERROR(VLOOKUP('Pairings NB'!$M$740,Instructores!$A:$C,3,FALSE),"")</f>
        <v/>
      </c>
      <c r="K168" s="10">
        <f>IF('Pairings NB'!J740=320,4,3)</f>
        <v>3</v>
      </c>
    </row>
    <row r="169" spans="1:11" x14ac:dyDescent="0.25">
      <c r="A169" s="10">
        <f>'Pairings NB'!B745</f>
        <v>786</v>
      </c>
      <c r="B169" s="10" t="str">
        <f>'Pairings NB'!C745</f>
        <v>09/10/2026</v>
      </c>
      <c r="C169" s="10" t="str">
        <f>'Pairings NB'!D745</f>
        <v>viernes</v>
      </c>
      <c r="D169" s="10" t="str">
        <f>'Pairings NB'!E745&amp;"/"&amp;'Pairings NB'!E746</f>
        <v>2356/2357</v>
      </c>
      <c r="E169" s="10" t="str">
        <f>'Pairings NB'!F745&amp;"-"&amp;'Pairings NB'!G745&amp;"-"&amp;'Pairings NB'!F745</f>
        <v>LIM-CUZ-LIM</v>
      </c>
      <c r="F169" s="10" t="str">
        <f>IFERROR(VLOOKUP('Pairings NB'!$M$745,Instructores!$A:$C,2,FALSE),"")</f>
        <v/>
      </c>
      <c r="G169" s="10">
        <f>'Pairings NB'!$M$745</f>
        <v>0</v>
      </c>
      <c r="H169" s="10">
        <f>'Pairings NB'!$O$745</f>
        <v>0</v>
      </c>
      <c r="I169" s="10">
        <f>'Pairings NB'!J745</f>
        <v>319</v>
      </c>
      <c r="J169" s="10" t="str">
        <f>IFERROR(VLOOKUP('Pairings NB'!$M$745,Instructores!$A:$C,3,FALSE),"")</f>
        <v/>
      </c>
      <c r="K169" s="10">
        <f>IF('Pairings NB'!J745=320,4,3)</f>
        <v>3</v>
      </c>
    </row>
    <row r="170" spans="1:11" x14ac:dyDescent="0.25">
      <c r="A170" s="10">
        <f>'Pairings NB'!B750</f>
        <v>790</v>
      </c>
      <c r="B170" s="10" t="str">
        <f>'Pairings NB'!C750</f>
        <v>09/10/2026</v>
      </c>
      <c r="C170" s="10" t="str">
        <f>'Pairings NB'!D750</f>
        <v>viernes</v>
      </c>
      <c r="D170" s="10" t="str">
        <f>'Pairings NB'!E750&amp;"/"&amp;'Pairings NB'!E751</f>
        <v>2120/2121</v>
      </c>
      <c r="E170" s="10" t="str">
        <f>'Pairings NB'!F750&amp;"-"&amp;'Pairings NB'!G750&amp;"-"&amp;'Pairings NB'!F750</f>
        <v>LIM-CUZ-LIM</v>
      </c>
      <c r="F170" s="10" t="str">
        <f>IFERROR(VLOOKUP('Pairings NB'!$M$750,Instructores!$A:$C,2,FALSE),"")</f>
        <v/>
      </c>
      <c r="G170" s="10">
        <f>'Pairings NB'!$M$750</f>
        <v>0</v>
      </c>
      <c r="H170" s="10">
        <f>'Pairings NB'!$O$750</f>
        <v>0</v>
      </c>
      <c r="I170" s="10">
        <f>'Pairings NB'!J750</f>
        <v>320</v>
      </c>
      <c r="J170" s="10" t="str">
        <f>IFERROR(VLOOKUP('Pairings NB'!$M$750,Instructores!$A:$C,3,FALSE),"")</f>
        <v/>
      </c>
      <c r="K170" s="10">
        <f>IF('Pairings NB'!J750=320,4,3)</f>
        <v>4</v>
      </c>
    </row>
    <row r="171" spans="1:11" x14ac:dyDescent="0.25">
      <c r="A171" s="10">
        <f>'Pairings NB'!B755</f>
        <v>792</v>
      </c>
      <c r="B171" s="10" t="str">
        <f>'Pairings NB'!C755</f>
        <v>09/10/2026</v>
      </c>
      <c r="C171" s="10" t="str">
        <f>'Pairings NB'!D755</f>
        <v>viernes</v>
      </c>
      <c r="D171" s="10" t="str">
        <f>'Pairings NB'!E755&amp;"/"&amp;'Pairings NB'!E756</f>
        <v>2043/2044</v>
      </c>
      <c r="E171" s="10" t="str">
        <f>'Pairings NB'!F755&amp;"-"&amp;'Pairings NB'!G755&amp;"-"&amp;'Pairings NB'!F755</f>
        <v>LIM-AQP-LIM</v>
      </c>
      <c r="F171" s="10" t="str">
        <f>IFERROR(VLOOKUP('Pairings NB'!$M$755,Instructores!$A:$C,2,FALSE),"")</f>
        <v/>
      </c>
      <c r="G171" s="10">
        <f>'Pairings NB'!$M$755</f>
        <v>0</v>
      </c>
      <c r="H171" s="10">
        <f>'Pairings NB'!$O$755</f>
        <v>0</v>
      </c>
      <c r="I171" s="10">
        <f>'Pairings NB'!J755</f>
        <v>320</v>
      </c>
      <c r="J171" s="10" t="str">
        <f>IFERROR(VLOOKUP('Pairings NB'!$M$755,Instructores!$A:$C,3,FALSE),"")</f>
        <v/>
      </c>
      <c r="K171" s="10">
        <f>IF('Pairings NB'!J755=320,4,3)</f>
        <v>4</v>
      </c>
    </row>
    <row r="172" spans="1:11" x14ac:dyDescent="0.25">
      <c r="A172" s="10">
        <f>'Pairings NB'!B760</f>
        <v>796</v>
      </c>
      <c r="B172" s="10" t="str">
        <f>'Pairings NB'!C760</f>
        <v>09/10/2026</v>
      </c>
      <c r="C172" s="10" t="str">
        <f>'Pairings NB'!D760</f>
        <v>viernes</v>
      </c>
      <c r="D172" s="10" t="str">
        <f>'Pairings NB'!E760&amp;"/"&amp;'Pairings NB'!E761</f>
        <v>2028/2029</v>
      </c>
      <c r="E172" s="10" t="str">
        <f>'Pairings NB'!F760&amp;"-"&amp;'Pairings NB'!G760&amp;"-"&amp;'Pairings NB'!F760</f>
        <v>LIM-CUZ-LIM</v>
      </c>
      <c r="F172" s="10" t="str">
        <f>IFERROR(VLOOKUP('Pairings NB'!$M$760,Instructores!$A:$C,2,FALSE),"")</f>
        <v/>
      </c>
      <c r="G172" s="10">
        <f>'Pairings NB'!$M$760</f>
        <v>0</v>
      </c>
      <c r="H172" s="10">
        <f>'Pairings NB'!$O$760</f>
        <v>0</v>
      </c>
      <c r="I172" s="10">
        <f>'Pairings NB'!J760</f>
        <v>320</v>
      </c>
      <c r="J172" s="10" t="str">
        <f>IFERROR(VLOOKUP('Pairings NB'!$M$760,Instructores!$A:$C,3,FALSE),"")</f>
        <v/>
      </c>
      <c r="K172" s="10">
        <f>IF('Pairings NB'!J760=320,4,3)</f>
        <v>4</v>
      </c>
    </row>
    <row r="173" spans="1:11" x14ac:dyDescent="0.25">
      <c r="A173" s="10">
        <f>'Pairings NB'!B762</f>
        <v>818</v>
      </c>
      <c r="B173" s="10" t="str">
        <f>'Pairings NB'!C762</f>
        <v>09/10/2026</v>
      </c>
      <c r="C173" s="10" t="str">
        <f>'Pairings NB'!D762</f>
        <v>viernes</v>
      </c>
      <c r="D173" s="10" t="str">
        <f>'Pairings NB'!E762&amp;"/"&amp;'Pairings NB'!E763</f>
        <v>2310/2311</v>
      </c>
      <c r="E173" s="10" t="str">
        <f>'Pairings NB'!F762&amp;"-"&amp;'Pairings NB'!G762&amp;"-"&amp;'Pairings NB'!F762</f>
        <v>LIM-CIX-LIM</v>
      </c>
      <c r="F173" s="10" t="str">
        <f>IFERROR(VLOOKUP('Pairings NB'!$M$760,Instructores!$A:$C,2,FALSE),"")</f>
        <v/>
      </c>
      <c r="G173" s="10">
        <f>'Pairings NB'!$M$760</f>
        <v>0</v>
      </c>
      <c r="H173" s="10">
        <f>'Pairings NB'!$O$760</f>
        <v>0</v>
      </c>
      <c r="I173" s="10">
        <f>'Pairings NB'!J762</f>
        <v>320</v>
      </c>
      <c r="J173" s="10" t="str">
        <f>IFERROR(VLOOKUP('Pairings NB'!$M$760,Instructores!$A:$C,3,FALSE),"")</f>
        <v/>
      </c>
      <c r="K173" s="10">
        <f>IF('Pairings NB'!J762=320,4,3)</f>
        <v>4</v>
      </c>
    </row>
    <row r="174" spans="1:11" x14ac:dyDescent="0.25">
      <c r="A174" s="10">
        <f>'Pairings NB'!B767</f>
        <v>797</v>
      </c>
      <c r="B174" s="10" t="str">
        <f>'Pairings NB'!C767</f>
        <v>09/10/2026</v>
      </c>
      <c r="C174" s="10" t="str">
        <f>'Pairings NB'!D767</f>
        <v>viernes</v>
      </c>
      <c r="D174" s="10" t="str">
        <f>'Pairings NB'!E767&amp;"/"&amp;'Pairings NB'!E768</f>
        <v>2028/2029</v>
      </c>
      <c r="E174" s="10" t="str">
        <f>'Pairings NB'!F767&amp;"-"&amp;'Pairings NB'!G767&amp;"-"&amp;'Pairings NB'!F767</f>
        <v>LIM-CUZ-LIM</v>
      </c>
      <c r="F174" s="10" t="str">
        <f>IFERROR(VLOOKUP('Pairings NB'!$M$767,Instructores!$A:$C,2,FALSE),"")</f>
        <v/>
      </c>
      <c r="G174" s="10">
        <f>'Pairings NB'!$M$767</f>
        <v>0</v>
      </c>
      <c r="H174" s="10">
        <f>'Pairings NB'!$O$767</f>
        <v>0</v>
      </c>
      <c r="I174" s="10">
        <f>'Pairings NB'!J767</f>
        <v>320</v>
      </c>
      <c r="J174" s="10" t="str">
        <f>IFERROR(VLOOKUP('Pairings NB'!$M$767,Instructores!$A:$C,3,FALSE),"")</f>
        <v/>
      </c>
      <c r="K174" s="10">
        <f>IF('Pairings NB'!J767=320,4,3)</f>
        <v>4</v>
      </c>
    </row>
    <row r="175" spans="1:11" x14ac:dyDescent="0.25">
      <c r="A175" s="10">
        <f>'Pairings NB'!B772</f>
        <v>802</v>
      </c>
      <c r="B175" s="10" t="str">
        <f>'Pairings NB'!C772</f>
        <v>09/10/2026</v>
      </c>
      <c r="C175" s="10" t="str">
        <f>'Pairings NB'!D772</f>
        <v>viernes</v>
      </c>
      <c r="D175" s="10" t="str">
        <f>'Pairings NB'!E772&amp;"/"&amp;'Pairings NB'!E773</f>
        <v>2295/2294</v>
      </c>
      <c r="E175" s="10" t="str">
        <f>'Pairings NB'!F772&amp;"-"&amp;'Pairings NB'!G772&amp;"-"&amp;'Pairings NB'!F772</f>
        <v>LIM-CJA-LIM</v>
      </c>
      <c r="F175" s="10" t="str">
        <f>IFERROR(VLOOKUP('Pairings NB'!$M$772,Instructores!$A:$C,2,FALSE),"")</f>
        <v/>
      </c>
      <c r="G175" s="10">
        <f>'Pairings NB'!$M$772</f>
        <v>0</v>
      </c>
      <c r="H175" s="10">
        <f>'Pairings NB'!$O$772</f>
        <v>0</v>
      </c>
      <c r="I175" s="10">
        <f>'Pairings NB'!J772</f>
        <v>320</v>
      </c>
      <c r="J175" s="10" t="str">
        <f>IFERROR(VLOOKUP('Pairings NB'!$M$772,Instructores!$A:$C,3,FALSE),"")</f>
        <v/>
      </c>
      <c r="K175" s="10">
        <f>IF('Pairings NB'!J772=320,4,3)</f>
        <v>4</v>
      </c>
    </row>
    <row r="176" spans="1:11" x14ac:dyDescent="0.25">
      <c r="A176" s="10">
        <f>'Pairings NB'!B777</f>
        <v>803</v>
      </c>
      <c r="B176" s="10" t="str">
        <f>'Pairings NB'!C777</f>
        <v>09/10/2026</v>
      </c>
      <c r="C176" s="10" t="str">
        <f>'Pairings NB'!D777</f>
        <v>viernes</v>
      </c>
      <c r="D176" s="10" t="str">
        <f>'Pairings NB'!E777&amp;"/"&amp;'Pairings NB'!E778</f>
        <v>2154/2155</v>
      </c>
      <c r="E176" s="10" t="str">
        <f>'Pairings NB'!F777&amp;"-"&amp;'Pairings NB'!G777&amp;"-"&amp;'Pairings NB'!F777</f>
        <v>LIM-CUZ-LIM</v>
      </c>
      <c r="F176" s="10" t="str">
        <f>IFERROR(VLOOKUP('Pairings NB'!$M$777,Instructores!$A:$C,2,FALSE),"")</f>
        <v/>
      </c>
      <c r="G176" s="10">
        <f>'Pairings NB'!$M$777</f>
        <v>0</v>
      </c>
      <c r="H176" s="10">
        <f>'Pairings NB'!$O$777</f>
        <v>0</v>
      </c>
      <c r="I176" s="10">
        <f>'Pairings NB'!J777</f>
        <v>320</v>
      </c>
      <c r="J176" s="10" t="str">
        <f>IFERROR(VLOOKUP('Pairings NB'!$M$777,Instructores!$A:$C,3,FALSE),"")</f>
        <v/>
      </c>
      <c r="K176" s="10">
        <f>IF('Pairings NB'!J777=320,4,3)</f>
        <v>4</v>
      </c>
    </row>
    <row r="177" spans="1:11" x14ac:dyDescent="0.25">
      <c r="A177" s="10">
        <f>'Pairings NB'!B782</f>
        <v>805</v>
      </c>
      <c r="B177" s="10" t="str">
        <f>'Pairings NB'!C782</f>
        <v>09/10/2026</v>
      </c>
      <c r="C177" s="10" t="str">
        <f>'Pairings NB'!D782</f>
        <v>viernes</v>
      </c>
      <c r="D177" s="10" t="str">
        <f>'Pairings NB'!E782&amp;"/"&amp;'Pairings NB'!E783</f>
        <v>2338/2339</v>
      </c>
      <c r="E177" s="10" t="str">
        <f>'Pairings NB'!F782&amp;"-"&amp;'Pairings NB'!G782&amp;"-"&amp;'Pairings NB'!F782</f>
        <v>LIM-PIU-LIM</v>
      </c>
      <c r="F177" s="10" t="str">
        <f>IFERROR(VLOOKUP('Pairings NB'!$M$782,Instructores!$A:$C,2,FALSE),"")</f>
        <v/>
      </c>
      <c r="G177" s="10">
        <f>'Pairings NB'!$M$782</f>
        <v>0</v>
      </c>
      <c r="H177" s="10">
        <f>'Pairings NB'!$O$782</f>
        <v>0</v>
      </c>
      <c r="I177" s="10">
        <f>'Pairings NB'!J782</f>
        <v>319</v>
      </c>
      <c r="J177" s="10" t="str">
        <f>IFERROR(VLOOKUP('Pairings NB'!$M$782,Instructores!$A:$C,3,FALSE),"")</f>
        <v/>
      </c>
      <c r="K177" s="10">
        <f>IF('Pairings NB'!J782=320,4,3)</f>
        <v>3</v>
      </c>
    </row>
    <row r="178" spans="1:11" x14ac:dyDescent="0.25">
      <c r="A178" s="10">
        <f>'Pairings NB'!B787</f>
        <v>810</v>
      </c>
      <c r="B178" s="10" t="str">
        <f>'Pairings NB'!C787</f>
        <v>09/10/2026</v>
      </c>
      <c r="C178" s="10" t="str">
        <f>'Pairings NB'!D787</f>
        <v>viernes</v>
      </c>
      <c r="D178" s="10" t="str">
        <f>'Pairings NB'!E787&amp;"/"&amp;'Pairings NB'!E788</f>
        <v>2312/2313</v>
      </c>
      <c r="E178" s="10" t="str">
        <f>'Pairings NB'!F787&amp;"-"&amp;'Pairings NB'!G787&amp;"-"&amp;'Pairings NB'!F787</f>
        <v>LIM-CIX-LIM</v>
      </c>
      <c r="F178" s="10" t="str">
        <f>IFERROR(VLOOKUP('Pairings NB'!$M$787,Instructores!$A:$C,2,FALSE),"")</f>
        <v/>
      </c>
      <c r="G178" s="10">
        <f>'Pairings NB'!$M$787</f>
        <v>0</v>
      </c>
      <c r="H178" s="10">
        <f>'Pairings NB'!$O$787</f>
        <v>0</v>
      </c>
      <c r="I178" s="10">
        <f>'Pairings NB'!J787</f>
        <v>320</v>
      </c>
      <c r="J178" s="10" t="str">
        <f>IFERROR(VLOOKUP('Pairings NB'!$M$787,Instructores!$A:$C,3,FALSE),"")</f>
        <v/>
      </c>
      <c r="K178" s="10">
        <f>IF('Pairings NB'!J787=320,4,3)</f>
        <v>4</v>
      </c>
    </row>
    <row r="179" spans="1:11" x14ac:dyDescent="0.25">
      <c r="A179" s="10">
        <f>'Pairings NB'!B792</f>
        <v>811</v>
      </c>
      <c r="B179" s="10" t="str">
        <f>'Pairings NB'!C792</f>
        <v>09/10/2026</v>
      </c>
      <c r="C179" s="10" t="str">
        <f>'Pairings NB'!D792</f>
        <v>viernes</v>
      </c>
      <c r="D179" s="10" t="str">
        <f>'Pairings NB'!E792&amp;"/"&amp;'Pairings NB'!E793</f>
        <v>2312/2313</v>
      </c>
      <c r="E179" s="10" t="str">
        <f>'Pairings NB'!F792&amp;"-"&amp;'Pairings NB'!G792&amp;"-"&amp;'Pairings NB'!F792</f>
        <v>LIM-CIX-LIM</v>
      </c>
      <c r="F179" s="10" t="str">
        <f>IFERROR(VLOOKUP('Pairings NB'!$M$792,Instructores!$A:$C,2,FALSE),"")</f>
        <v/>
      </c>
      <c r="G179" s="10">
        <f>'Pairings NB'!$M$792</f>
        <v>0</v>
      </c>
      <c r="H179" s="10">
        <f>'Pairings NB'!$O$792</f>
        <v>0</v>
      </c>
      <c r="I179" s="10">
        <f>'Pairings NB'!J792</f>
        <v>320</v>
      </c>
      <c r="J179" s="10" t="str">
        <f>IFERROR(VLOOKUP('Pairings NB'!$M$792,Instructores!$A:$C,3,FALSE),"")</f>
        <v/>
      </c>
      <c r="K179" s="10">
        <f>IF('Pairings NB'!J792=320,4,3)</f>
        <v>4</v>
      </c>
    </row>
    <row r="180" spans="1:11" x14ac:dyDescent="0.25">
      <c r="A180" s="10">
        <f>'Pairings NB'!B797</f>
        <v>812</v>
      </c>
      <c r="B180" s="10" t="str">
        <f>'Pairings NB'!C797</f>
        <v>09/10/2026</v>
      </c>
      <c r="C180" s="10" t="str">
        <f>'Pairings NB'!D797</f>
        <v>viernes</v>
      </c>
      <c r="D180" s="10" t="str">
        <f>'Pairings NB'!E797&amp;"/"&amp;'Pairings NB'!E798</f>
        <v>2301/2300</v>
      </c>
      <c r="E180" s="10" t="str">
        <f>'Pairings NB'!F797&amp;"-"&amp;'Pairings NB'!G797&amp;"-"&amp;'Pairings NB'!F797</f>
        <v>LIM-TPP-LIM</v>
      </c>
      <c r="F180" s="10" t="str">
        <f>IFERROR(VLOOKUP('Pairings NB'!$M$797,Instructores!$A:$C,2,FALSE),"")</f>
        <v/>
      </c>
      <c r="G180" s="10">
        <f>'Pairings NB'!$M$797</f>
        <v>0</v>
      </c>
      <c r="H180" s="10">
        <f>'Pairings NB'!$O$797</f>
        <v>0</v>
      </c>
      <c r="I180" s="10">
        <f>'Pairings NB'!J797</f>
        <v>320</v>
      </c>
      <c r="J180" s="10" t="str">
        <f>IFERROR(VLOOKUP('Pairings NB'!$M$797,Instructores!$A:$C,3,FALSE),"")</f>
        <v/>
      </c>
      <c r="K180" s="10">
        <f>IF('Pairings NB'!J797=320,4,3)</f>
        <v>4</v>
      </c>
    </row>
    <row r="181" spans="1:11" x14ac:dyDescent="0.25">
      <c r="A181" s="10">
        <f>'Pairings NB'!B802</f>
        <v>862</v>
      </c>
      <c r="B181" s="10" t="str">
        <f>'Pairings NB'!C802</f>
        <v>10/10/2026</v>
      </c>
      <c r="C181" s="10" t="str">
        <f>'Pairings NB'!D802</f>
        <v>sábado</v>
      </c>
      <c r="D181" s="10" t="str">
        <f>'Pairings NB'!E802&amp;"/"&amp;'Pairings NB'!E803</f>
        <v>2260/2261</v>
      </c>
      <c r="E181" s="10" t="str">
        <f>'Pairings NB'!F802&amp;"-"&amp;'Pairings NB'!G802&amp;"-"&amp;'Pairings NB'!F802</f>
        <v>LIM-PEM-LIM</v>
      </c>
      <c r="F181" s="10" t="str">
        <f>IFERROR(VLOOKUP('Pairings NB'!$M$802,Instructores!$A:$C,2,FALSE),"")</f>
        <v/>
      </c>
      <c r="G181" s="10">
        <f>'Pairings NB'!$M$802</f>
        <v>0</v>
      </c>
      <c r="H181" s="10">
        <f>'Pairings NB'!$O$802</f>
        <v>0</v>
      </c>
      <c r="I181" s="10">
        <f>'Pairings NB'!J802</f>
        <v>320</v>
      </c>
      <c r="J181" s="10" t="str">
        <f>IFERROR(VLOOKUP('Pairings NB'!$M$802,Instructores!$A:$C,3,FALSE),"")</f>
        <v/>
      </c>
      <c r="K181" s="10">
        <f>IF('Pairings NB'!J802=320,4,3)</f>
        <v>4</v>
      </c>
    </row>
    <row r="182" spans="1:11" x14ac:dyDescent="0.25">
      <c r="A182" s="10">
        <f>'Pairings NB'!B804</f>
        <v>888</v>
      </c>
      <c r="B182" s="10" t="str">
        <f>'Pairings NB'!C804</f>
        <v>10/10/2026</v>
      </c>
      <c r="C182" s="10" t="str">
        <f>'Pairings NB'!D804</f>
        <v>sábado</v>
      </c>
      <c r="D182" s="10" t="str">
        <f>'Pairings NB'!E804&amp;"/"&amp;'Pairings NB'!E805</f>
        <v>2297/2296</v>
      </c>
      <c r="E182" s="10" t="str">
        <f>'Pairings NB'!F804&amp;"-"&amp;'Pairings NB'!G804&amp;"-"&amp;'Pairings NB'!F804</f>
        <v>LIM-CJA-LIM</v>
      </c>
      <c r="F182" s="10" t="str">
        <f>IFERROR(VLOOKUP('Pairings NB'!$M$802,Instructores!$A:$C,2,FALSE),"")</f>
        <v/>
      </c>
      <c r="G182" s="10">
        <f>'Pairings NB'!$M$802</f>
        <v>0</v>
      </c>
      <c r="H182" s="10">
        <f>'Pairings NB'!$O$802</f>
        <v>0</v>
      </c>
      <c r="I182" s="10">
        <f>'Pairings NB'!J804</f>
        <v>320</v>
      </c>
      <c r="J182" s="10" t="str">
        <f>IFERROR(VLOOKUP('Pairings NB'!$M$802,Instructores!$A:$C,3,FALSE),"")</f>
        <v/>
      </c>
      <c r="K182" s="10">
        <f>IF('Pairings NB'!J804=320,4,3)</f>
        <v>4</v>
      </c>
    </row>
    <row r="183" spans="1:11" x14ac:dyDescent="0.25">
      <c r="A183" s="10">
        <f>'Pairings NB'!B809</f>
        <v>863</v>
      </c>
      <c r="B183" s="10" t="str">
        <f>'Pairings NB'!C809</f>
        <v>10/10/2026</v>
      </c>
      <c r="C183" s="10" t="str">
        <f>'Pairings NB'!D809</f>
        <v>sábado</v>
      </c>
      <c r="D183" s="10" t="str">
        <f>'Pairings NB'!E809&amp;"/"&amp;'Pairings NB'!E810</f>
        <v>2015/2016</v>
      </c>
      <c r="E183" s="10" t="str">
        <f>'Pairings NB'!F809&amp;"-"&amp;'Pairings NB'!G809&amp;"-"&amp;'Pairings NB'!F809</f>
        <v>LIM-PIU-LIM</v>
      </c>
      <c r="F183" s="10" t="str">
        <f>IFERROR(VLOOKUP('Pairings NB'!$M$809,Instructores!$A:$C,2,FALSE),"")</f>
        <v/>
      </c>
      <c r="G183" s="10">
        <f>'Pairings NB'!$M$809</f>
        <v>0</v>
      </c>
      <c r="H183" s="10">
        <f>'Pairings NB'!$O$809</f>
        <v>0</v>
      </c>
      <c r="I183" s="10">
        <f>'Pairings NB'!J809</f>
        <v>320</v>
      </c>
      <c r="J183" s="10" t="str">
        <f>IFERROR(VLOOKUP('Pairings NB'!$M$809,Instructores!$A:$C,3,FALSE),"")</f>
        <v/>
      </c>
      <c r="K183" s="10">
        <f>IF('Pairings NB'!J809=320,4,3)</f>
        <v>4</v>
      </c>
    </row>
    <row r="184" spans="1:11" x14ac:dyDescent="0.25">
      <c r="A184" s="10">
        <f>'Pairings NB'!B814</f>
        <v>864</v>
      </c>
      <c r="B184" s="10" t="str">
        <f>'Pairings NB'!C814</f>
        <v>10/10/2026</v>
      </c>
      <c r="C184" s="10" t="str">
        <f>'Pairings NB'!D814</f>
        <v>sábado</v>
      </c>
      <c r="D184" s="10" t="str">
        <f>'Pairings NB'!E814&amp;"/"&amp;'Pairings NB'!E815</f>
        <v>2299/2298</v>
      </c>
      <c r="E184" s="10" t="str">
        <f>'Pairings NB'!F814&amp;"-"&amp;'Pairings NB'!G814&amp;"-"&amp;'Pairings NB'!F814</f>
        <v>LIM-CJA-LIM</v>
      </c>
      <c r="F184" s="10" t="str">
        <f>IFERROR(VLOOKUP('Pairings NB'!$M$814,Instructores!$A:$C,2,FALSE),"")</f>
        <v/>
      </c>
      <c r="G184" s="10">
        <f>'Pairings NB'!$M$814</f>
        <v>0</v>
      </c>
      <c r="H184" s="10">
        <f>'Pairings NB'!$O$814</f>
        <v>0</v>
      </c>
      <c r="I184" s="10">
        <f>'Pairings NB'!J814</f>
        <v>320</v>
      </c>
      <c r="J184" s="10" t="str">
        <f>IFERROR(VLOOKUP('Pairings NB'!$M$814,Instructores!$A:$C,3,FALSE),"")</f>
        <v/>
      </c>
      <c r="K184" s="10">
        <f>IF('Pairings NB'!J814=320,4,3)</f>
        <v>4</v>
      </c>
    </row>
    <row r="185" spans="1:11" x14ac:dyDescent="0.25">
      <c r="A185" s="10">
        <f>'Pairings NB'!B819</f>
        <v>866</v>
      </c>
      <c r="B185" s="10" t="str">
        <f>'Pairings NB'!C819</f>
        <v>10/10/2026</v>
      </c>
      <c r="C185" s="10" t="str">
        <f>'Pairings NB'!D819</f>
        <v>sábado</v>
      </c>
      <c r="D185" s="10" t="str">
        <f>'Pairings NB'!E819&amp;"/"&amp;'Pairings NB'!E820</f>
        <v>2061/2062</v>
      </c>
      <c r="E185" s="10" t="str">
        <f>'Pairings NB'!F819&amp;"-"&amp;'Pairings NB'!G819&amp;"-"&amp;'Pairings NB'!F819</f>
        <v>LIM-CUZ-LIM</v>
      </c>
      <c r="F185" s="10" t="str">
        <f>IFERROR(VLOOKUP('Pairings NB'!$M$819,Instructores!$A:$C,2,FALSE),"")</f>
        <v/>
      </c>
      <c r="G185" s="10">
        <f>'Pairings NB'!$M$819</f>
        <v>0</v>
      </c>
      <c r="H185" s="10">
        <f>'Pairings NB'!$O$819</f>
        <v>0</v>
      </c>
      <c r="I185" s="10">
        <f>'Pairings NB'!J819</f>
        <v>320</v>
      </c>
      <c r="J185" s="10" t="str">
        <f>IFERROR(VLOOKUP('Pairings NB'!$M$819,Instructores!$A:$C,3,FALSE),"")</f>
        <v/>
      </c>
      <c r="K185" s="10">
        <f>IF('Pairings NB'!J819=320,4,3)</f>
        <v>4</v>
      </c>
    </row>
    <row r="186" spans="1:11" x14ac:dyDescent="0.25">
      <c r="A186" s="10">
        <f>'Pairings NB'!B821</f>
        <v>894</v>
      </c>
      <c r="B186" s="10" t="str">
        <f>'Pairings NB'!C821</f>
        <v>10/10/2026</v>
      </c>
      <c r="C186" s="10" t="str">
        <f>'Pairings NB'!D821</f>
        <v>sábado</v>
      </c>
      <c r="D186" s="10" t="str">
        <f>'Pairings NB'!E821&amp;"/"&amp;'Pairings NB'!E822</f>
        <v>2276/2277</v>
      </c>
      <c r="E186" s="10" t="str">
        <f>'Pairings NB'!F821&amp;"-"&amp;'Pairings NB'!G821&amp;"-"&amp;'Pairings NB'!F821</f>
        <v>LIM-CUZ-LIM</v>
      </c>
      <c r="F186" s="10" t="str">
        <f>IFERROR(VLOOKUP('Pairings NB'!$M$819,Instructores!$A:$C,2,FALSE),"")</f>
        <v/>
      </c>
      <c r="G186" s="10">
        <f>'Pairings NB'!$M$819</f>
        <v>0</v>
      </c>
      <c r="H186" s="10">
        <f>'Pairings NB'!$O$819</f>
        <v>0</v>
      </c>
      <c r="I186" s="10">
        <f>'Pairings NB'!J821</f>
        <v>320</v>
      </c>
      <c r="J186" s="10" t="str">
        <f>IFERROR(VLOOKUP('Pairings NB'!$M$819,Instructores!$A:$C,3,FALSE),"")</f>
        <v/>
      </c>
      <c r="K186" s="10">
        <f>IF('Pairings NB'!J821=320,4,3)</f>
        <v>4</v>
      </c>
    </row>
    <row r="187" spans="1:11" x14ac:dyDescent="0.25">
      <c r="A187" s="10">
        <f>'Pairings NB'!B826</f>
        <v>870</v>
      </c>
      <c r="B187" s="10" t="str">
        <f>'Pairings NB'!C826</f>
        <v>10/10/2026</v>
      </c>
      <c r="C187" s="10" t="str">
        <f>'Pairings NB'!D826</f>
        <v>sábado</v>
      </c>
      <c r="D187" s="10" t="str">
        <f>'Pairings NB'!E826&amp;"/"&amp;'Pairings NB'!E827</f>
        <v>2023/2024</v>
      </c>
      <c r="E187" s="10" t="str">
        <f>'Pairings NB'!F826&amp;"-"&amp;'Pairings NB'!G826&amp;"-"&amp;'Pairings NB'!F826</f>
        <v>LIM-PEM-LIM</v>
      </c>
      <c r="F187" s="10" t="str">
        <f>IFERROR(VLOOKUP('Pairings NB'!$M$826,Instructores!$A:$C,2,FALSE),"")</f>
        <v/>
      </c>
      <c r="G187" s="10">
        <f>'Pairings NB'!$M$826</f>
        <v>0</v>
      </c>
      <c r="H187" s="10">
        <f>'Pairings NB'!$O$826</f>
        <v>0</v>
      </c>
      <c r="I187" s="10">
        <f>'Pairings NB'!J826</f>
        <v>320</v>
      </c>
      <c r="J187" s="10" t="str">
        <f>IFERROR(VLOOKUP('Pairings NB'!$M$826,Instructores!$A:$C,3,FALSE),"")</f>
        <v/>
      </c>
      <c r="K187" s="10">
        <f>IF('Pairings NB'!J826=320,4,3)</f>
        <v>4</v>
      </c>
    </row>
    <row r="188" spans="1:11" x14ac:dyDescent="0.25">
      <c r="A188" s="10">
        <f>'Pairings NB'!B831</f>
        <v>873</v>
      </c>
      <c r="B188" s="10" t="str">
        <f>'Pairings NB'!C831</f>
        <v>10/10/2026</v>
      </c>
      <c r="C188" s="10" t="str">
        <f>'Pairings NB'!D831</f>
        <v>sábado</v>
      </c>
      <c r="D188" s="10" t="str">
        <f>'Pairings NB'!E831&amp;"/"&amp;'Pairings NB'!E832</f>
        <v>2043/2044</v>
      </c>
      <c r="E188" s="10" t="str">
        <f>'Pairings NB'!F831&amp;"-"&amp;'Pairings NB'!G831&amp;"-"&amp;'Pairings NB'!F831</f>
        <v>LIM-AQP-LIM</v>
      </c>
      <c r="F188" s="10" t="str">
        <f>IFERROR(VLOOKUP('Pairings NB'!$M$831,Instructores!$A:$C,2,FALSE),"")</f>
        <v/>
      </c>
      <c r="G188" s="10">
        <f>'Pairings NB'!$M$831</f>
        <v>0</v>
      </c>
      <c r="H188" s="10">
        <f>'Pairings NB'!$O$831</f>
        <v>0</v>
      </c>
      <c r="I188" s="10">
        <f>'Pairings NB'!J831</f>
        <v>320</v>
      </c>
      <c r="J188" s="10" t="str">
        <f>IFERROR(VLOOKUP('Pairings NB'!$M$831,Instructores!$A:$C,3,FALSE),"")</f>
        <v/>
      </c>
      <c r="K188" s="10">
        <f>IF('Pairings NB'!J831=320,4,3)</f>
        <v>4</v>
      </c>
    </row>
    <row r="189" spans="1:11" x14ac:dyDescent="0.25">
      <c r="A189" s="10">
        <f>'Pairings NB'!B836</f>
        <v>874</v>
      </c>
      <c r="B189" s="10" t="str">
        <f>'Pairings NB'!C836</f>
        <v>10/10/2026</v>
      </c>
      <c r="C189" s="10" t="str">
        <f>'Pairings NB'!D836</f>
        <v>sábado</v>
      </c>
      <c r="D189" s="10" t="str">
        <f>'Pairings NB'!E836&amp;"/"&amp;'Pairings NB'!E837</f>
        <v>2308/2309</v>
      </c>
      <c r="E189" s="10" t="str">
        <f>'Pairings NB'!F836&amp;"-"&amp;'Pairings NB'!G836&amp;"-"&amp;'Pairings NB'!F836</f>
        <v>LIM-PIU-LIM</v>
      </c>
      <c r="F189" s="10" t="str">
        <f>IFERROR(VLOOKUP('Pairings NB'!$M$836,Instructores!$A:$C,2,FALSE),"")</f>
        <v/>
      </c>
      <c r="G189" s="10">
        <f>'Pairings NB'!$M$836</f>
        <v>0</v>
      </c>
      <c r="H189" s="10">
        <f>'Pairings NB'!$O$836</f>
        <v>0</v>
      </c>
      <c r="I189" s="10">
        <f>'Pairings NB'!J836</f>
        <v>320</v>
      </c>
      <c r="J189" s="10" t="str">
        <f>IFERROR(VLOOKUP('Pairings NB'!$M$836,Instructores!$A:$C,3,FALSE),"")</f>
        <v/>
      </c>
      <c r="K189" s="10">
        <f>IF('Pairings NB'!J836=320,4,3)</f>
        <v>4</v>
      </c>
    </row>
    <row r="190" spans="1:11" x14ac:dyDescent="0.25">
      <c r="A190" s="10">
        <f>'Pairings NB'!B841</f>
        <v>879</v>
      </c>
      <c r="B190" s="10" t="str">
        <f>'Pairings NB'!C841</f>
        <v>10/10/2026</v>
      </c>
      <c r="C190" s="10" t="str">
        <f>'Pairings NB'!D841</f>
        <v>sábado</v>
      </c>
      <c r="D190" s="10" t="str">
        <f>'Pairings NB'!E841&amp;"/"&amp;'Pairings NB'!E842</f>
        <v>2152/2153</v>
      </c>
      <c r="E190" s="10" t="str">
        <f>'Pairings NB'!F841&amp;"-"&amp;'Pairings NB'!G841&amp;"-"&amp;'Pairings NB'!F841</f>
        <v>LIM-CIX-LIM</v>
      </c>
      <c r="F190" s="10" t="str">
        <f>IFERROR(VLOOKUP('Pairings NB'!$M$841,Instructores!$A:$C,2,FALSE),"")</f>
        <v/>
      </c>
      <c r="G190" s="10">
        <f>'Pairings NB'!$M$841</f>
        <v>0</v>
      </c>
      <c r="H190" s="10">
        <f>'Pairings NB'!$O$841</f>
        <v>0</v>
      </c>
      <c r="I190" s="10">
        <f>'Pairings NB'!J841</f>
        <v>320</v>
      </c>
      <c r="J190" s="10" t="str">
        <f>IFERROR(VLOOKUP('Pairings NB'!$M$841,Instructores!$A:$C,3,FALSE),"")</f>
        <v/>
      </c>
      <c r="K190" s="10">
        <f>IF('Pairings NB'!J841=320,4,3)</f>
        <v>4</v>
      </c>
    </row>
    <row r="191" spans="1:11" x14ac:dyDescent="0.25">
      <c r="A191" s="10">
        <f>'Pairings NB'!B846</f>
        <v>881</v>
      </c>
      <c r="B191" s="10" t="str">
        <f>'Pairings NB'!C846</f>
        <v>10/10/2026</v>
      </c>
      <c r="C191" s="10" t="str">
        <f>'Pairings NB'!D846</f>
        <v>sábado</v>
      </c>
      <c r="D191" s="10" t="str">
        <f>'Pairings NB'!E846&amp;"/"&amp;'Pairings NB'!E847</f>
        <v>2087/2088</v>
      </c>
      <c r="E191" s="10" t="str">
        <f>'Pairings NB'!F846&amp;"-"&amp;'Pairings NB'!G846&amp;"-"&amp;'Pairings NB'!F846</f>
        <v>LIM-TPP-LIM</v>
      </c>
      <c r="F191" s="10" t="str">
        <f>IFERROR(VLOOKUP('Pairings NB'!$M$846,Instructores!$A:$C,2,FALSE),"")</f>
        <v/>
      </c>
      <c r="G191" s="10">
        <f>'Pairings NB'!$M$846</f>
        <v>0</v>
      </c>
      <c r="H191" s="10">
        <f>'Pairings NB'!$O$846</f>
        <v>0</v>
      </c>
      <c r="I191" s="10">
        <f>'Pairings NB'!J846</f>
        <v>320</v>
      </c>
      <c r="J191" s="10" t="str">
        <f>IFERROR(VLOOKUP('Pairings NB'!$M$846,Instructores!$A:$C,3,FALSE),"")</f>
        <v/>
      </c>
      <c r="K191" s="10">
        <f>IF('Pairings NB'!J846=320,4,3)</f>
        <v>4</v>
      </c>
    </row>
    <row r="192" spans="1:11" x14ac:dyDescent="0.25">
      <c r="A192" s="10">
        <f>'Pairings NB'!B851</f>
        <v>882</v>
      </c>
      <c r="B192" s="10" t="str">
        <f>'Pairings NB'!C851</f>
        <v>10/10/2026</v>
      </c>
      <c r="C192" s="10" t="str">
        <f>'Pairings NB'!D851</f>
        <v>sábado</v>
      </c>
      <c r="D192" s="10" t="str">
        <f>'Pairings NB'!E851&amp;"/"&amp;'Pairings NB'!E852</f>
        <v>2295/2294</v>
      </c>
      <c r="E192" s="10" t="str">
        <f>'Pairings NB'!F851&amp;"-"&amp;'Pairings NB'!G851&amp;"-"&amp;'Pairings NB'!F851</f>
        <v>LIM-CJA-LIM</v>
      </c>
      <c r="F192" s="10" t="str">
        <f>IFERROR(VLOOKUP('Pairings NB'!$M$851,Instructores!$A:$C,2,FALSE),"")</f>
        <v/>
      </c>
      <c r="G192" s="10">
        <f>'Pairings NB'!$M$851</f>
        <v>0</v>
      </c>
      <c r="H192" s="10">
        <f>'Pairings NB'!$O$851</f>
        <v>0</v>
      </c>
      <c r="I192" s="10">
        <f>'Pairings NB'!J851</f>
        <v>320</v>
      </c>
      <c r="J192" s="10" t="str">
        <f>IFERROR(VLOOKUP('Pairings NB'!$M$851,Instructores!$A:$C,3,FALSE),"")</f>
        <v/>
      </c>
      <c r="K192" s="10">
        <f>IF('Pairings NB'!J851=320,4,3)</f>
        <v>4</v>
      </c>
    </row>
    <row r="193" spans="1:11" x14ac:dyDescent="0.25">
      <c r="A193" s="10">
        <f>'Pairings NB'!B856</f>
        <v>884</v>
      </c>
      <c r="B193" s="10" t="str">
        <f>'Pairings NB'!C856</f>
        <v>10/10/2026</v>
      </c>
      <c r="C193" s="10" t="str">
        <f>'Pairings NB'!D856</f>
        <v>sábado</v>
      </c>
      <c r="D193" s="10" t="str">
        <f>'Pairings NB'!E856&amp;"/"&amp;'Pairings NB'!E857</f>
        <v>2264/2265</v>
      </c>
      <c r="E193" s="10" t="str">
        <f>'Pairings NB'!F856&amp;"-"&amp;'Pairings NB'!G856&amp;"-"&amp;'Pairings NB'!F856</f>
        <v>LIM-PEM-LIM</v>
      </c>
      <c r="F193" s="10" t="str">
        <f>IFERROR(VLOOKUP('Pairings NB'!$M$856,Instructores!$A:$C,2,FALSE),"")</f>
        <v/>
      </c>
      <c r="G193" s="10">
        <f>'Pairings NB'!$M$856</f>
        <v>0</v>
      </c>
      <c r="H193" s="10">
        <f>'Pairings NB'!$O$856</f>
        <v>0</v>
      </c>
      <c r="I193" s="10">
        <f>'Pairings NB'!J856</f>
        <v>319</v>
      </c>
      <c r="J193" s="10" t="str">
        <f>IFERROR(VLOOKUP('Pairings NB'!$M$856,Instructores!$A:$C,3,FALSE),"")</f>
        <v/>
      </c>
      <c r="K193" s="10">
        <f>IF('Pairings NB'!J856=320,4,3)</f>
        <v>3</v>
      </c>
    </row>
    <row r="194" spans="1:11" x14ac:dyDescent="0.25">
      <c r="A194" s="10">
        <f>'Pairings NB'!B858</f>
        <v>897</v>
      </c>
      <c r="B194" s="10" t="str">
        <f>'Pairings NB'!C858</f>
        <v>10/10/2026</v>
      </c>
      <c r="C194" s="10" t="str">
        <f>'Pairings NB'!D858</f>
        <v>sábado</v>
      </c>
      <c r="D194" s="10" t="str">
        <f>'Pairings NB'!E858&amp;"/"&amp;'Pairings NB'!E859</f>
        <v>2048/2070</v>
      </c>
      <c r="E194" s="10" t="str">
        <f>'Pairings NB'!F858&amp;"-"&amp;'Pairings NB'!G858&amp;"-"&amp;'Pairings NB'!F858</f>
        <v>LIM-CUZ-LIM</v>
      </c>
      <c r="F194" s="10" t="str">
        <f>IFERROR(VLOOKUP('Pairings NB'!$M$856,Instructores!$A:$C,2,FALSE),"")</f>
        <v/>
      </c>
      <c r="G194" s="10">
        <f>'Pairings NB'!$M$856</f>
        <v>0</v>
      </c>
      <c r="H194" s="10">
        <f>'Pairings NB'!$O$856</f>
        <v>0</v>
      </c>
      <c r="I194" s="10">
        <f>'Pairings NB'!J858</f>
        <v>320</v>
      </c>
      <c r="J194" s="10" t="str">
        <f>IFERROR(VLOOKUP('Pairings NB'!$M$856,Instructores!$A:$C,3,FALSE),"")</f>
        <v/>
      </c>
      <c r="K194" s="10">
        <f>IF('Pairings NB'!J858=320,4,3)</f>
        <v>4</v>
      </c>
    </row>
    <row r="195" spans="1:11" x14ac:dyDescent="0.25">
      <c r="A195" s="10">
        <f>'Pairings NB'!B863</f>
        <v>885</v>
      </c>
      <c r="B195" s="10" t="str">
        <f>'Pairings NB'!C863</f>
        <v>10/10/2026</v>
      </c>
      <c r="C195" s="10" t="str">
        <f>'Pairings NB'!D863</f>
        <v>sábado</v>
      </c>
      <c r="D195" s="10" t="str">
        <f>'Pairings NB'!E863&amp;"/"&amp;'Pairings NB'!E864</f>
        <v>2338/2339</v>
      </c>
      <c r="E195" s="10" t="str">
        <f>'Pairings NB'!F863&amp;"-"&amp;'Pairings NB'!G863&amp;"-"&amp;'Pairings NB'!F863</f>
        <v>LIM-PIU-LIM</v>
      </c>
      <c r="F195" s="10" t="str">
        <f>IFERROR(VLOOKUP('Pairings NB'!$M$863,Instructores!$A:$C,2,FALSE),"")</f>
        <v/>
      </c>
      <c r="G195" s="10">
        <f>'Pairings NB'!$M$863</f>
        <v>0</v>
      </c>
      <c r="H195" s="10">
        <f>'Pairings NB'!$O$863</f>
        <v>0</v>
      </c>
      <c r="I195" s="10">
        <f>'Pairings NB'!J863</f>
        <v>320</v>
      </c>
      <c r="J195" s="10" t="str">
        <f>IFERROR(VLOOKUP('Pairings NB'!$M$863,Instructores!$A:$C,3,FALSE),"")</f>
        <v/>
      </c>
      <c r="K195" s="10">
        <f>IF('Pairings NB'!J863=320,4,3)</f>
        <v>4</v>
      </c>
    </row>
    <row r="196" spans="1:11" x14ac:dyDescent="0.25">
      <c r="A196" s="10">
        <f>'Pairings NB'!B868</f>
        <v>886</v>
      </c>
      <c r="B196" s="10" t="str">
        <f>'Pairings NB'!C868</f>
        <v>10/10/2026</v>
      </c>
      <c r="C196" s="10" t="str">
        <f>'Pairings NB'!D868</f>
        <v>sábado</v>
      </c>
      <c r="D196" s="10" t="str">
        <f>'Pairings NB'!E868&amp;"/"&amp;'Pairings NB'!E869</f>
        <v>2113/2112</v>
      </c>
      <c r="E196" s="10" t="str">
        <f>'Pairings NB'!F868&amp;"-"&amp;'Pairings NB'!G868&amp;"-"&amp;'Pairings NB'!F868</f>
        <v>LIM-AQP-LIM</v>
      </c>
      <c r="F196" s="10" t="str">
        <f>IFERROR(VLOOKUP('Pairings NB'!$M$868,Instructores!$A:$C,2,FALSE),"")</f>
        <v/>
      </c>
      <c r="G196" s="10">
        <f>'Pairings NB'!$M$868</f>
        <v>0</v>
      </c>
      <c r="H196" s="10">
        <f>'Pairings NB'!$O$868</f>
        <v>0</v>
      </c>
      <c r="I196" s="10">
        <f>'Pairings NB'!J868</f>
        <v>320</v>
      </c>
      <c r="J196" s="10" t="str">
        <f>IFERROR(VLOOKUP('Pairings NB'!$M$868,Instructores!$A:$C,3,FALSE),"")</f>
        <v/>
      </c>
      <c r="K196" s="10">
        <f>IF('Pairings NB'!J868=320,4,3)</f>
        <v>4</v>
      </c>
    </row>
    <row r="197" spans="1:11" x14ac:dyDescent="0.25">
      <c r="A197" s="10">
        <f>'Pairings NB'!B873</f>
        <v>889</v>
      </c>
      <c r="B197" s="10" t="str">
        <f>'Pairings NB'!C873</f>
        <v>10/10/2026</v>
      </c>
      <c r="C197" s="10" t="str">
        <f>'Pairings NB'!D873</f>
        <v>sábado</v>
      </c>
      <c r="D197" s="10" t="str">
        <f>'Pairings NB'!E873&amp;"/"&amp;'Pairings NB'!E874</f>
        <v>2360/2361</v>
      </c>
      <c r="E197" s="10" t="str">
        <f>'Pairings NB'!F873&amp;"-"&amp;'Pairings NB'!G873&amp;"-"&amp;'Pairings NB'!F873</f>
        <v>LIM-PCL-LIM</v>
      </c>
      <c r="F197" s="10" t="str">
        <f>IFERROR(VLOOKUP('Pairings NB'!$M$873,Instructores!$A:$C,2,FALSE),"")</f>
        <v/>
      </c>
      <c r="G197" s="10">
        <f>'Pairings NB'!$M$873</f>
        <v>0</v>
      </c>
      <c r="H197" s="10">
        <f>'Pairings NB'!$O$873</f>
        <v>0</v>
      </c>
      <c r="I197" s="10">
        <f>'Pairings NB'!J873</f>
        <v>319</v>
      </c>
      <c r="J197" s="10" t="str">
        <f>IFERROR(VLOOKUP('Pairings NB'!$M$873,Instructores!$A:$C,3,FALSE),"")</f>
        <v/>
      </c>
      <c r="K197" s="10">
        <f>IF('Pairings NB'!J873=320,4,3)</f>
        <v>3</v>
      </c>
    </row>
    <row r="198" spans="1:11" x14ac:dyDescent="0.25">
      <c r="A198" s="10">
        <f>'Pairings NB'!B878</f>
        <v>890</v>
      </c>
      <c r="B198" s="10" t="str">
        <f>'Pairings NB'!C878</f>
        <v>10/10/2026</v>
      </c>
      <c r="C198" s="10" t="str">
        <f>'Pairings NB'!D878</f>
        <v>sábado</v>
      </c>
      <c r="D198" s="10" t="str">
        <f>'Pairings NB'!E878&amp;"/"&amp;'Pairings NB'!E879</f>
        <v>2312/2313</v>
      </c>
      <c r="E198" s="10" t="str">
        <f>'Pairings NB'!F878&amp;"-"&amp;'Pairings NB'!G878&amp;"-"&amp;'Pairings NB'!F878</f>
        <v>LIM-CIX-LIM</v>
      </c>
      <c r="F198" s="10" t="str">
        <f>IFERROR(VLOOKUP('Pairings NB'!$M$878,Instructores!$A:$C,2,FALSE),"")</f>
        <v/>
      </c>
      <c r="G198" s="10">
        <f>'Pairings NB'!$M$878</f>
        <v>0</v>
      </c>
      <c r="H198" s="10">
        <f>'Pairings NB'!$O$878</f>
        <v>0</v>
      </c>
      <c r="I198" s="10">
        <f>'Pairings NB'!J878</f>
        <v>320</v>
      </c>
      <c r="J198" s="10" t="str">
        <f>IFERROR(VLOOKUP('Pairings NB'!$M$878,Instructores!$A:$C,3,FALSE),"")</f>
        <v/>
      </c>
      <c r="K198" s="10">
        <f>IF('Pairings NB'!J878=320,4,3)</f>
        <v>4</v>
      </c>
    </row>
    <row r="199" spans="1:11" x14ac:dyDescent="0.25">
      <c r="A199" s="10">
        <f>'Pairings NB'!B883</f>
        <v>891</v>
      </c>
      <c r="B199" s="10" t="str">
        <f>'Pairings NB'!C883</f>
        <v>10/10/2026</v>
      </c>
      <c r="C199" s="10" t="str">
        <f>'Pairings NB'!D883</f>
        <v>sábado</v>
      </c>
      <c r="D199" s="10" t="str">
        <f>'Pairings NB'!E883&amp;"/"&amp;'Pairings NB'!E884</f>
        <v>2301/2300</v>
      </c>
      <c r="E199" s="10" t="str">
        <f>'Pairings NB'!F883&amp;"-"&amp;'Pairings NB'!G883&amp;"-"&amp;'Pairings NB'!F883</f>
        <v>LIM-TPP-LIM</v>
      </c>
      <c r="F199" s="10" t="str">
        <f>IFERROR(VLOOKUP('Pairings NB'!$M$883,Instructores!$A:$C,2,FALSE),"")</f>
        <v/>
      </c>
      <c r="G199" s="10">
        <f>'Pairings NB'!$M$883</f>
        <v>0</v>
      </c>
      <c r="H199" s="10">
        <f>'Pairings NB'!$O$883</f>
        <v>0</v>
      </c>
      <c r="I199" s="10">
        <f>'Pairings NB'!J883</f>
        <v>320</v>
      </c>
      <c r="J199" s="10" t="str">
        <f>IFERROR(VLOOKUP('Pairings NB'!$M$883,Instructores!$A:$C,3,FALSE),"")</f>
        <v/>
      </c>
      <c r="K199" s="10">
        <f>IF('Pairings NB'!J883=320,4,3)</f>
        <v>4</v>
      </c>
    </row>
    <row r="200" spans="1:11" x14ac:dyDescent="0.25">
      <c r="A200" s="10">
        <f>'Pairings NB'!B888</f>
        <v>892</v>
      </c>
      <c r="B200" s="10" t="str">
        <f>'Pairings NB'!C888</f>
        <v>10/10/2026</v>
      </c>
      <c r="C200" s="10" t="str">
        <f>'Pairings NB'!D888</f>
        <v>sábado</v>
      </c>
      <c r="D200" s="10" t="str">
        <f>'Pairings NB'!E888&amp;"/"&amp;'Pairings NB'!E889</f>
        <v>2301/2300</v>
      </c>
      <c r="E200" s="10" t="str">
        <f>'Pairings NB'!F888&amp;"-"&amp;'Pairings NB'!G888&amp;"-"&amp;'Pairings NB'!F888</f>
        <v>LIM-TPP-LIM</v>
      </c>
      <c r="F200" s="10" t="str">
        <f>IFERROR(VLOOKUP('Pairings NB'!$M$888,Instructores!$A:$C,2,FALSE),"")</f>
        <v/>
      </c>
      <c r="G200" s="10">
        <f>'Pairings NB'!$M$888</f>
        <v>0</v>
      </c>
      <c r="H200" s="10">
        <f>'Pairings NB'!$O$888</f>
        <v>0</v>
      </c>
      <c r="I200" s="10">
        <f>'Pairings NB'!J888</f>
        <v>320</v>
      </c>
      <c r="J200" s="10" t="str">
        <f>IFERROR(VLOOKUP('Pairings NB'!$M$888,Instructores!$A:$C,3,FALSE),"")</f>
        <v/>
      </c>
      <c r="K200" s="10">
        <f>IF('Pairings NB'!J888=320,4,3)</f>
        <v>4</v>
      </c>
    </row>
    <row r="201" spans="1:11" x14ac:dyDescent="0.25">
      <c r="A201" s="10">
        <f>'Pairings NB'!B893</f>
        <v>898</v>
      </c>
      <c r="B201" s="10" t="str">
        <f>'Pairings NB'!C893</f>
        <v>10/10/2026</v>
      </c>
      <c r="C201" s="10" t="str">
        <f>'Pairings NB'!D893</f>
        <v>sábado</v>
      </c>
      <c r="D201" s="10" t="str">
        <f>'Pairings NB'!E893&amp;"/"&amp;'Pairings NB'!E894</f>
        <v>2200/2201</v>
      </c>
      <c r="E201" s="10" t="str">
        <f>'Pairings NB'!F893&amp;"-"&amp;'Pairings NB'!G893&amp;"-"&amp;'Pairings NB'!F893</f>
        <v>LIM-CUZ-LIM</v>
      </c>
      <c r="F201" s="10" t="str">
        <f>IFERROR(VLOOKUP('Pairings NB'!$M$893,Instructores!$A:$C,2,FALSE),"")</f>
        <v/>
      </c>
      <c r="G201" s="10">
        <f>'Pairings NB'!$M$893</f>
        <v>0</v>
      </c>
      <c r="H201" s="10">
        <f>'Pairings NB'!$O$893</f>
        <v>0</v>
      </c>
      <c r="I201" s="10">
        <f>'Pairings NB'!J893</f>
        <v>320</v>
      </c>
      <c r="J201" s="10" t="str">
        <f>IFERROR(VLOOKUP('Pairings NB'!$M$893,Instructores!$A:$C,3,FALSE),"")</f>
        <v/>
      </c>
      <c r="K201" s="10">
        <f>IF('Pairings NB'!J893=320,4,3)</f>
        <v>4</v>
      </c>
    </row>
    <row r="202" spans="1:11" x14ac:dyDescent="0.25">
      <c r="A202" s="10">
        <f>'Pairings NB'!B898</f>
        <v>940</v>
      </c>
      <c r="B202" s="10" t="str">
        <f>'Pairings NB'!C898</f>
        <v>11/10/2026</v>
      </c>
      <c r="C202" s="10" t="str">
        <f>'Pairings NB'!D898</f>
        <v>domingo</v>
      </c>
      <c r="D202" s="10" t="str">
        <f>'Pairings NB'!E898&amp;"/"&amp;'Pairings NB'!E899</f>
        <v>2007/2008</v>
      </c>
      <c r="E202" s="10" t="str">
        <f>'Pairings NB'!F898&amp;"-"&amp;'Pairings NB'!G898&amp;"-"&amp;'Pairings NB'!F898</f>
        <v>LIM-CUZ-LIM</v>
      </c>
      <c r="F202" s="10" t="str">
        <f>IFERROR(VLOOKUP('Pairings NB'!$M$898,Instructores!$A:$C,2,FALSE),"")</f>
        <v/>
      </c>
      <c r="G202" s="10">
        <f>'Pairings NB'!$M$898</f>
        <v>0</v>
      </c>
      <c r="H202" s="10">
        <f>'Pairings NB'!$O$898</f>
        <v>0</v>
      </c>
      <c r="I202" s="10">
        <f>'Pairings NB'!J898</f>
        <v>319</v>
      </c>
      <c r="J202" s="10" t="str">
        <f>IFERROR(VLOOKUP('Pairings NB'!$M$898,Instructores!$A:$C,3,FALSE),"")</f>
        <v/>
      </c>
      <c r="K202" s="10">
        <f>IF('Pairings NB'!J898=320,4,3)</f>
        <v>3</v>
      </c>
    </row>
    <row r="203" spans="1:11" x14ac:dyDescent="0.25">
      <c r="A203" s="10">
        <f>'Pairings NB'!B900</f>
        <v>961</v>
      </c>
      <c r="B203" s="10" t="str">
        <f>'Pairings NB'!C900</f>
        <v>11/10/2026</v>
      </c>
      <c r="C203" s="10" t="str">
        <f>'Pairings NB'!D900</f>
        <v>domingo</v>
      </c>
      <c r="D203" s="10" t="str">
        <f>'Pairings NB'!E900&amp;"/"&amp;'Pairings NB'!E901</f>
        <v>2232/2233</v>
      </c>
      <c r="E203" s="10" t="str">
        <f>'Pairings NB'!F900&amp;"-"&amp;'Pairings NB'!G900&amp;"-"&amp;'Pairings NB'!F900</f>
        <v>LIM-CUZ-LIM</v>
      </c>
      <c r="F203" s="10" t="str">
        <f>IFERROR(VLOOKUP('Pairings NB'!$M$898,Instructores!$A:$C,2,FALSE),"")</f>
        <v/>
      </c>
      <c r="G203" s="10">
        <f>'Pairings NB'!$M$898</f>
        <v>0</v>
      </c>
      <c r="H203" s="10">
        <f>'Pairings NB'!$O$898</f>
        <v>0</v>
      </c>
      <c r="I203" s="10">
        <f>'Pairings NB'!J900</f>
        <v>320</v>
      </c>
      <c r="J203" s="10" t="str">
        <f>IFERROR(VLOOKUP('Pairings NB'!$M$898,Instructores!$A:$C,3,FALSE),"")</f>
        <v/>
      </c>
      <c r="K203" s="10">
        <f>IF('Pairings NB'!J900=320,4,3)</f>
        <v>4</v>
      </c>
    </row>
    <row r="204" spans="1:11" x14ac:dyDescent="0.25">
      <c r="A204" s="10">
        <f>'Pairings NB'!B905</f>
        <v>947</v>
      </c>
      <c r="B204" s="10" t="str">
        <f>'Pairings NB'!C905</f>
        <v>11/10/2026</v>
      </c>
      <c r="C204" s="10" t="str">
        <f>'Pairings NB'!D905</f>
        <v>domingo</v>
      </c>
      <c r="D204" s="10" t="str">
        <f>'Pairings NB'!E905&amp;"/"&amp;'Pairings NB'!E906</f>
        <v>2299/2298</v>
      </c>
      <c r="E204" s="10" t="str">
        <f>'Pairings NB'!F905&amp;"-"&amp;'Pairings NB'!G905&amp;"-"&amp;'Pairings NB'!F905</f>
        <v>LIM-CJA-LIM</v>
      </c>
      <c r="F204" s="10" t="str">
        <f>IFERROR(VLOOKUP('Pairings NB'!$M$905,Instructores!$A:$C,2,FALSE),"")</f>
        <v/>
      </c>
      <c r="G204" s="10">
        <f>'Pairings NB'!$M$905</f>
        <v>0</v>
      </c>
      <c r="H204" s="10">
        <f>'Pairings NB'!$O$905</f>
        <v>0</v>
      </c>
      <c r="I204" s="10">
        <f>'Pairings NB'!J905</f>
        <v>320</v>
      </c>
      <c r="J204" s="10" t="str">
        <f>IFERROR(VLOOKUP('Pairings NB'!$M$905,Instructores!$A:$C,3,FALSE),"")</f>
        <v/>
      </c>
      <c r="K204" s="10">
        <f>IF('Pairings NB'!J905=320,4,3)</f>
        <v>4</v>
      </c>
    </row>
    <row r="205" spans="1:11" x14ac:dyDescent="0.25">
      <c r="A205" s="10">
        <f>'Pairings NB'!B910</f>
        <v>954</v>
      </c>
      <c r="B205" s="10" t="str">
        <f>'Pairings NB'!C910</f>
        <v>11/10/2026</v>
      </c>
      <c r="C205" s="10" t="str">
        <f>'Pairings NB'!D910</f>
        <v>domingo</v>
      </c>
      <c r="D205" s="10" t="str">
        <f>'Pairings NB'!E910&amp;"/"&amp;'Pairings NB'!E911</f>
        <v>2023/2024</v>
      </c>
      <c r="E205" s="10" t="str">
        <f>'Pairings NB'!F910&amp;"-"&amp;'Pairings NB'!G910&amp;"-"&amp;'Pairings NB'!F910</f>
        <v>LIM-PEM-LIM</v>
      </c>
      <c r="F205" s="10" t="str">
        <f>IFERROR(VLOOKUP('Pairings NB'!$M$910,Instructores!$A:$C,2,FALSE),"")</f>
        <v/>
      </c>
      <c r="G205" s="10">
        <f>'Pairings NB'!$M$910</f>
        <v>0</v>
      </c>
      <c r="H205" s="10">
        <f>'Pairings NB'!$O$910</f>
        <v>0</v>
      </c>
      <c r="I205" s="10">
        <f>'Pairings NB'!J910</f>
        <v>320</v>
      </c>
      <c r="J205" s="10" t="str">
        <f>IFERROR(VLOOKUP('Pairings NB'!$M$910,Instructores!$A:$C,3,FALSE),"")</f>
        <v/>
      </c>
      <c r="K205" s="10">
        <f>IF('Pairings NB'!J910=320,4,3)</f>
        <v>4</v>
      </c>
    </row>
    <row r="206" spans="1:11" x14ac:dyDescent="0.25">
      <c r="A206" s="10">
        <f>'Pairings NB'!B912</f>
        <v>975</v>
      </c>
      <c r="B206" s="10" t="str">
        <f>'Pairings NB'!C912</f>
        <v>11/10/2026</v>
      </c>
      <c r="C206" s="10" t="str">
        <f>'Pairings NB'!D912</f>
        <v>domingo</v>
      </c>
      <c r="D206" s="10" t="str">
        <f>'Pairings NB'!E912&amp;"/"&amp;'Pairings NB'!E913</f>
        <v>2115/2114</v>
      </c>
      <c r="E206" s="10" t="str">
        <f>'Pairings NB'!F912&amp;"-"&amp;'Pairings NB'!G912&amp;"-"&amp;'Pairings NB'!F912</f>
        <v>LIM-AQP-LIM</v>
      </c>
      <c r="F206" s="10" t="str">
        <f>IFERROR(VLOOKUP('Pairings NB'!$M$910,Instructores!$A:$C,2,FALSE),"")</f>
        <v/>
      </c>
      <c r="G206" s="10">
        <f>'Pairings NB'!$M$910</f>
        <v>0</v>
      </c>
      <c r="H206" s="10">
        <f>'Pairings NB'!$O$910</f>
        <v>0</v>
      </c>
      <c r="I206" s="10">
        <f>'Pairings NB'!J912</f>
        <v>320</v>
      </c>
      <c r="J206" s="10" t="str">
        <f>IFERROR(VLOOKUP('Pairings NB'!$M$910,Instructores!$A:$C,3,FALSE),"")</f>
        <v/>
      </c>
      <c r="K206" s="10">
        <f>IF('Pairings NB'!J912=320,4,3)</f>
        <v>4</v>
      </c>
    </row>
    <row r="207" spans="1:11" x14ac:dyDescent="0.25">
      <c r="A207" s="10">
        <f>'Pairings NB'!B917</f>
        <v>962</v>
      </c>
      <c r="B207" s="10" t="str">
        <f>'Pairings NB'!C917</f>
        <v>11/10/2026</v>
      </c>
      <c r="C207" s="10" t="str">
        <f>'Pairings NB'!D917</f>
        <v>domingo</v>
      </c>
      <c r="D207" s="10" t="str">
        <f>'Pairings NB'!E917&amp;"/"&amp;'Pairings NB'!E918</f>
        <v>2232/2233</v>
      </c>
      <c r="E207" s="10" t="str">
        <f>'Pairings NB'!F917&amp;"-"&amp;'Pairings NB'!G917&amp;"-"&amp;'Pairings NB'!F917</f>
        <v>LIM-CUZ-LIM</v>
      </c>
      <c r="F207" s="10" t="str">
        <f>IFERROR(VLOOKUP('Pairings NB'!$M$917,Instructores!$A:$C,2,FALSE),"")</f>
        <v/>
      </c>
      <c r="G207" s="10">
        <f>'Pairings NB'!$M$917</f>
        <v>0</v>
      </c>
      <c r="H207" s="10">
        <f>'Pairings NB'!$O$917</f>
        <v>0</v>
      </c>
      <c r="I207" s="10">
        <f>'Pairings NB'!J917</f>
        <v>320</v>
      </c>
      <c r="J207" s="10" t="str">
        <f>IFERROR(VLOOKUP('Pairings NB'!$M$917,Instructores!$A:$C,3,FALSE),"")</f>
        <v/>
      </c>
      <c r="K207" s="10">
        <f>IF('Pairings NB'!J917=320,4,3)</f>
        <v>4</v>
      </c>
    </row>
    <row r="208" spans="1:11" x14ac:dyDescent="0.25">
      <c r="A208" s="10">
        <f>'Pairings NB'!B919</f>
        <v>979</v>
      </c>
      <c r="B208" s="10" t="str">
        <f>'Pairings NB'!C919</f>
        <v>11/10/2026</v>
      </c>
      <c r="C208" s="10" t="str">
        <f>'Pairings NB'!D919</f>
        <v>domingo</v>
      </c>
      <c r="D208" s="10" t="str">
        <f>'Pairings NB'!E919&amp;"/"&amp;'Pairings NB'!E920</f>
        <v>2091/2092</v>
      </c>
      <c r="E208" s="10" t="str">
        <f>'Pairings NB'!F919&amp;"-"&amp;'Pairings NB'!G919&amp;"-"&amp;'Pairings NB'!F919</f>
        <v>LIM-TPP-LIM</v>
      </c>
      <c r="F208" s="10" t="str">
        <f>IFERROR(VLOOKUP('Pairings NB'!$M$917,Instructores!$A:$C,2,FALSE),"")</f>
        <v/>
      </c>
      <c r="G208" s="10">
        <f>'Pairings NB'!$M$917</f>
        <v>0</v>
      </c>
      <c r="H208" s="10">
        <f>'Pairings NB'!$O$917</f>
        <v>0</v>
      </c>
      <c r="I208" s="10">
        <f>'Pairings NB'!J919</f>
        <v>320</v>
      </c>
      <c r="J208" s="10" t="str">
        <f>IFERROR(VLOOKUP('Pairings NB'!$M$917,Instructores!$A:$C,3,FALSE),"")</f>
        <v/>
      </c>
      <c r="K208" s="10">
        <f>IF('Pairings NB'!J919=320,4,3)</f>
        <v>4</v>
      </c>
    </row>
    <row r="209" spans="1:11" x14ac:dyDescent="0.25">
      <c r="A209" s="10">
        <f>'Pairings NB'!B924</f>
        <v>963</v>
      </c>
      <c r="B209" s="10" t="str">
        <f>'Pairings NB'!C924</f>
        <v>11/10/2026</v>
      </c>
      <c r="C209" s="10" t="str">
        <f>'Pairings NB'!D924</f>
        <v>domingo</v>
      </c>
      <c r="D209" s="10" t="str">
        <f>'Pairings NB'!E924&amp;"/"&amp;'Pairings NB'!E925</f>
        <v>2295/2294</v>
      </c>
      <c r="E209" s="10" t="str">
        <f>'Pairings NB'!F924&amp;"-"&amp;'Pairings NB'!G924&amp;"-"&amp;'Pairings NB'!F924</f>
        <v>LIM-CJA-LIM</v>
      </c>
      <c r="F209" s="10" t="str">
        <f>IFERROR(VLOOKUP('Pairings NB'!$M$924,Instructores!$A:$C,2,FALSE),"")</f>
        <v/>
      </c>
      <c r="G209" s="10">
        <f>'Pairings NB'!$M$924</f>
        <v>0</v>
      </c>
      <c r="H209" s="10">
        <f>'Pairings NB'!$O$924</f>
        <v>0</v>
      </c>
      <c r="I209" s="10">
        <f>'Pairings NB'!J924</f>
        <v>320</v>
      </c>
      <c r="J209" s="10" t="str">
        <f>IFERROR(VLOOKUP('Pairings NB'!$M$924,Instructores!$A:$C,3,FALSE),"")</f>
        <v/>
      </c>
      <c r="K209" s="10">
        <f>IF('Pairings NB'!J924=320,4,3)</f>
        <v>4</v>
      </c>
    </row>
    <row r="210" spans="1:11" x14ac:dyDescent="0.25">
      <c r="A210" s="10">
        <f>'Pairings NB'!B929</f>
        <v>964</v>
      </c>
      <c r="B210" s="10" t="str">
        <f>'Pairings NB'!C929</f>
        <v>11/10/2026</v>
      </c>
      <c r="C210" s="10" t="str">
        <f>'Pairings NB'!D929</f>
        <v>domingo</v>
      </c>
      <c r="D210" s="10" t="str">
        <f>'Pairings NB'!E929&amp;"/"&amp;'Pairings NB'!E930</f>
        <v>2295/2294</v>
      </c>
      <c r="E210" s="10" t="str">
        <f>'Pairings NB'!F929&amp;"-"&amp;'Pairings NB'!G929&amp;"-"&amp;'Pairings NB'!F929</f>
        <v>LIM-CJA-LIM</v>
      </c>
      <c r="F210" s="10" t="str">
        <f>IFERROR(VLOOKUP('Pairings NB'!$M$929,Instructores!$A:$C,2,FALSE),"")</f>
        <v/>
      </c>
      <c r="G210" s="10">
        <f>'Pairings NB'!$M$929</f>
        <v>0</v>
      </c>
      <c r="H210" s="10">
        <f>'Pairings NB'!$O$929</f>
        <v>0</v>
      </c>
      <c r="I210" s="10">
        <f>'Pairings NB'!J929</f>
        <v>320</v>
      </c>
      <c r="J210" s="10" t="str">
        <f>IFERROR(VLOOKUP('Pairings NB'!$M$929,Instructores!$A:$C,3,FALSE),"")</f>
        <v/>
      </c>
      <c r="K210" s="10">
        <f>IF('Pairings NB'!J929=320,4,3)</f>
        <v>4</v>
      </c>
    </row>
    <row r="211" spans="1:11" x14ac:dyDescent="0.25">
      <c r="A211" s="10">
        <f>'Pairings NB'!B934</f>
        <v>966</v>
      </c>
      <c r="B211" s="10" t="str">
        <f>'Pairings NB'!C934</f>
        <v>11/10/2026</v>
      </c>
      <c r="C211" s="10" t="str">
        <f>'Pairings NB'!D934</f>
        <v>domingo</v>
      </c>
      <c r="D211" s="10" t="str">
        <f>'Pairings NB'!E934&amp;"/"&amp;'Pairings NB'!E935</f>
        <v>2154/2155</v>
      </c>
      <c r="E211" s="10" t="str">
        <f>'Pairings NB'!F934&amp;"-"&amp;'Pairings NB'!G934&amp;"-"&amp;'Pairings NB'!F934</f>
        <v>LIM-CUZ-LIM</v>
      </c>
      <c r="F211" s="10" t="str">
        <f>IFERROR(VLOOKUP('Pairings NB'!$M$934,Instructores!$A:$C,2,FALSE),"")</f>
        <v/>
      </c>
      <c r="G211" s="10">
        <f>'Pairings NB'!$M$934</f>
        <v>0</v>
      </c>
      <c r="H211" s="10">
        <f>'Pairings NB'!$O$934</f>
        <v>0</v>
      </c>
      <c r="I211" s="10">
        <f>'Pairings NB'!J934</f>
        <v>320</v>
      </c>
      <c r="J211" s="10" t="str">
        <f>IFERROR(VLOOKUP('Pairings NB'!$M$934,Instructores!$A:$C,3,FALSE),"")</f>
        <v/>
      </c>
      <c r="K211" s="10">
        <f>IF('Pairings NB'!J934=320,4,3)</f>
        <v>4</v>
      </c>
    </row>
    <row r="212" spans="1:11" x14ac:dyDescent="0.25">
      <c r="A212" s="10">
        <f>'Pairings NB'!B939</f>
        <v>968</v>
      </c>
      <c r="B212" s="10" t="str">
        <f>'Pairings NB'!C939</f>
        <v>11/10/2026</v>
      </c>
      <c r="C212" s="10" t="str">
        <f>'Pairings NB'!D939</f>
        <v>domingo</v>
      </c>
      <c r="D212" s="10" t="str">
        <f>'Pairings NB'!E939&amp;"/"&amp;'Pairings NB'!E940</f>
        <v>2113/2112</v>
      </c>
      <c r="E212" s="10" t="str">
        <f>'Pairings NB'!F939&amp;"-"&amp;'Pairings NB'!G939&amp;"-"&amp;'Pairings NB'!F939</f>
        <v>LIM-AQP-LIM</v>
      </c>
      <c r="F212" s="10" t="str">
        <f>IFERROR(VLOOKUP('Pairings NB'!$M$939,Instructores!$A:$C,2,FALSE),"")</f>
        <v/>
      </c>
      <c r="G212" s="10">
        <f>'Pairings NB'!$M$939</f>
        <v>0</v>
      </c>
      <c r="H212" s="10">
        <f>'Pairings NB'!$O$939</f>
        <v>0</v>
      </c>
      <c r="I212" s="10">
        <f>'Pairings NB'!J939</f>
        <v>320</v>
      </c>
      <c r="J212" s="10" t="str">
        <f>IFERROR(VLOOKUP('Pairings NB'!$M$939,Instructores!$A:$C,3,FALSE),"")</f>
        <v/>
      </c>
      <c r="K212" s="10">
        <f>IF('Pairings NB'!J939=320,4,3)</f>
        <v>4</v>
      </c>
    </row>
    <row r="213" spans="1:11" x14ac:dyDescent="0.25">
      <c r="A213" s="10">
        <f>'Pairings NB'!B944</f>
        <v>970</v>
      </c>
      <c r="B213" s="10" t="str">
        <f>'Pairings NB'!C944</f>
        <v>11/10/2026</v>
      </c>
      <c r="C213" s="10" t="str">
        <f>'Pairings NB'!D944</f>
        <v>domingo</v>
      </c>
      <c r="D213" s="10" t="str">
        <f>'Pairings NB'!E944&amp;"/"&amp;'Pairings NB'!E945</f>
        <v>2297/2296</v>
      </c>
      <c r="E213" s="10" t="str">
        <f>'Pairings NB'!F944&amp;"-"&amp;'Pairings NB'!G944&amp;"-"&amp;'Pairings NB'!F944</f>
        <v>LIM-CJA-LIM</v>
      </c>
      <c r="F213" s="10" t="str">
        <f>IFERROR(VLOOKUP('Pairings NB'!$M$944,Instructores!$A:$C,2,FALSE),"")</f>
        <v/>
      </c>
      <c r="G213" s="10">
        <f>'Pairings NB'!$M$944</f>
        <v>0</v>
      </c>
      <c r="H213" s="10">
        <f>'Pairings NB'!$O$944</f>
        <v>0</v>
      </c>
      <c r="I213" s="10">
        <f>'Pairings NB'!J944</f>
        <v>319</v>
      </c>
      <c r="J213" s="10" t="str">
        <f>IFERROR(VLOOKUP('Pairings NB'!$M$944,Instructores!$A:$C,3,FALSE),"")</f>
        <v/>
      </c>
      <c r="K213" s="10">
        <f>IF('Pairings NB'!J944=320,4,3)</f>
        <v>3</v>
      </c>
    </row>
    <row r="214" spans="1:11" x14ac:dyDescent="0.25">
      <c r="A214" s="10">
        <f>'Pairings NB'!B949</f>
        <v>971</v>
      </c>
      <c r="B214" s="10" t="str">
        <f>'Pairings NB'!C949</f>
        <v>11/10/2026</v>
      </c>
      <c r="C214" s="10" t="str">
        <f>'Pairings NB'!D949</f>
        <v>domingo</v>
      </c>
      <c r="D214" s="10" t="str">
        <f>'Pairings NB'!E949&amp;"/"&amp;'Pairings NB'!E950</f>
        <v>2360/2361</v>
      </c>
      <c r="E214" s="10" t="str">
        <f>'Pairings NB'!F949&amp;"-"&amp;'Pairings NB'!G949&amp;"-"&amp;'Pairings NB'!F949</f>
        <v>LIM-PCL-LIM</v>
      </c>
      <c r="F214" s="10" t="str">
        <f>IFERROR(VLOOKUP('Pairings NB'!$M$949,Instructores!$A:$C,2,FALSE),"")</f>
        <v/>
      </c>
      <c r="G214" s="10">
        <f>'Pairings NB'!$M$949</f>
        <v>0</v>
      </c>
      <c r="H214" s="10">
        <f>'Pairings NB'!$O$949</f>
        <v>0</v>
      </c>
      <c r="I214" s="10">
        <f>'Pairings NB'!J949</f>
        <v>320</v>
      </c>
      <c r="J214" s="10" t="str">
        <f>IFERROR(VLOOKUP('Pairings NB'!$M$949,Instructores!$A:$C,3,FALSE),"")</f>
        <v/>
      </c>
      <c r="K214" s="10">
        <f>IF('Pairings NB'!J949=320,4,3)</f>
        <v>4</v>
      </c>
    </row>
    <row r="215" spans="1:11" x14ac:dyDescent="0.25">
      <c r="A215" s="10">
        <f>'Pairings NB'!B954</f>
        <v>972</v>
      </c>
      <c r="B215" s="10" t="str">
        <f>'Pairings NB'!C954</f>
        <v>11/10/2026</v>
      </c>
      <c r="C215" s="10" t="str">
        <f>'Pairings NB'!D954</f>
        <v>domingo</v>
      </c>
      <c r="D215" s="10" t="str">
        <f>'Pairings NB'!E954&amp;"/"&amp;'Pairings NB'!E955</f>
        <v>2312/2313</v>
      </c>
      <c r="E215" s="10" t="str">
        <f>'Pairings NB'!F954&amp;"-"&amp;'Pairings NB'!G954&amp;"-"&amp;'Pairings NB'!F954</f>
        <v>LIM-CIX-LIM</v>
      </c>
      <c r="F215" s="10" t="str">
        <f>IFERROR(VLOOKUP('Pairings NB'!$M$954,Instructores!$A:$C,2,FALSE),"")</f>
        <v/>
      </c>
      <c r="G215" s="10">
        <f>'Pairings NB'!$M$954</f>
        <v>0</v>
      </c>
      <c r="H215" s="10">
        <f>'Pairings NB'!$O$954</f>
        <v>0</v>
      </c>
      <c r="I215" s="10">
        <f>'Pairings NB'!J954</f>
        <v>320</v>
      </c>
      <c r="J215" s="10" t="str">
        <f>IFERROR(VLOOKUP('Pairings NB'!$M$954,Instructores!$A:$C,3,FALSE),"")</f>
        <v/>
      </c>
      <c r="K215" s="10">
        <f>IF('Pairings NB'!J954=320,4,3)</f>
        <v>4</v>
      </c>
    </row>
    <row r="216" spans="1:11" x14ac:dyDescent="0.25">
      <c r="A216" s="10">
        <f>'Pairings NB'!B959</f>
        <v>973</v>
      </c>
      <c r="B216" s="10" t="str">
        <f>'Pairings NB'!C959</f>
        <v>11/10/2026</v>
      </c>
      <c r="C216" s="10" t="str">
        <f>'Pairings NB'!D959</f>
        <v>domingo</v>
      </c>
      <c r="D216" s="10" t="str">
        <f>'Pairings NB'!E959&amp;"/"&amp;'Pairings NB'!E960</f>
        <v>2301/2300</v>
      </c>
      <c r="E216" s="10" t="str">
        <f>'Pairings NB'!F959&amp;"-"&amp;'Pairings NB'!G959&amp;"-"&amp;'Pairings NB'!F959</f>
        <v>LIM-TPP-LIM</v>
      </c>
      <c r="F216" s="10" t="str">
        <f>IFERROR(VLOOKUP('Pairings NB'!$M$959,Instructores!$A:$C,2,FALSE),"")</f>
        <v/>
      </c>
      <c r="G216" s="10">
        <f>'Pairings NB'!$M$959</f>
        <v>0</v>
      </c>
      <c r="H216" s="10">
        <f>'Pairings NB'!$O$959</f>
        <v>0</v>
      </c>
      <c r="I216" s="10">
        <f>'Pairings NB'!J959</f>
        <v>320</v>
      </c>
      <c r="J216" s="10" t="str">
        <f>IFERROR(VLOOKUP('Pairings NB'!$M$959,Instructores!$A:$C,3,FALSE),"")</f>
        <v/>
      </c>
      <c r="K216" s="10">
        <f>IF('Pairings NB'!J959=320,4,3)</f>
        <v>4</v>
      </c>
    </row>
    <row r="217" spans="1:11" x14ac:dyDescent="0.25">
      <c r="A217" s="10">
        <f>'Pairings NB'!B964</f>
        <v>976</v>
      </c>
      <c r="B217" s="10" t="str">
        <f>'Pairings NB'!C964</f>
        <v>11/10/2026</v>
      </c>
      <c r="C217" s="10" t="str">
        <f>'Pairings NB'!D964</f>
        <v>domingo</v>
      </c>
      <c r="D217" s="10" t="str">
        <f>'Pairings NB'!E964&amp;"/"&amp;'Pairings NB'!E965</f>
        <v>2115/2114</v>
      </c>
      <c r="E217" s="10" t="str">
        <f>'Pairings NB'!F964&amp;"-"&amp;'Pairings NB'!G964&amp;"-"&amp;'Pairings NB'!F964</f>
        <v>LIM-AQP-LIM</v>
      </c>
      <c r="F217" s="10" t="str">
        <f>IFERROR(VLOOKUP('Pairings NB'!$M$964,Instructores!$A:$C,2,FALSE),"")</f>
        <v/>
      </c>
      <c r="G217" s="10">
        <f>'Pairings NB'!$M$964</f>
        <v>0</v>
      </c>
      <c r="H217" s="10">
        <f>'Pairings NB'!$O$964</f>
        <v>0</v>
      </c>
      <c r="I217" s="10">
        <f>'Pairings NB'!J964</f>
        <v>320</v>
      </c>
      <c r="J217" s="10" t="str">
        <f>IFERROR(VLOOKUP('Pairings NB'!$M$964,Instructores!$A:$C,3,FALSE),"")</f>
        <v/>
      </c>
      <c r="K217" s="10">
        <f>IF('Pairings NB'!J964=320,4,3)</f>
        <v>4</v>
      </c>
    </row>
    <row r="218" spans="1:11" x14ac:dyDescent="0.25">
      <c r="A218" s="10">
        <f>'Pairings NB'!B969</f>
        <v>977</v>
      </c>
      <c r="B218" s="10" t="str">
        <f>'Pairings NB'!C969</f>
        <v>11/10/2026</v>
      </c>
      <c r="C218" s="10" t="str">
        <f>'Pairings NB'!D969</f>
        <v>domingo</v>
      </c>
      <c r="D218" s="10" t="str">
        <f>'Pairings NB'!E969&amp;"/"&amp;'Pairings NB'!E970</f>
        <v>2213/2214</v>
      </c>
      <c r="E218" s="10" t="str">
        <f>'Pairings NB'!F969&amp;"-"&amp;'Pairings NB'!G969&amp;"-"&amp;'Pairings NB'!F969</f>
        <v>LIM-CIX-LIM</v>
      </c>
      <c r="F218" s="10" t="str">
        <f>IFERROR(VLOOKUP('Pairings NB'!$M$969,Instructores!$A:$C,2,FALSE),"")</f>
        <v/>
      </c>
      <c r="G218" s="10">
        <f>'Pairings NB'!$M$969</f>
        <v>0</v>
      </c>
      <c r="H218" s="10">
        <f>'Pairings NB'!$O$969</f>
        <v>0</v>
      </c>
      <c r="I218" s="10">
        <f>'Pairings NB'!J969</f>
        <v>320</v>
      </c>
      <c r="J218" s="10" t="str">
        <f>IFERROR(VLOOKUP('Pairings NB'!$M$969,Instructores!$A:$C,3,FALSE),"")</f>
        <v/>
      </c>
      <c r="K218" s="10">
        <f>IF('Pairings NB'!J969=320,4,3)</f>
        <v>4</v>
      </c>
    </row>
    <row r="219" spans="1:11" x14ac:dyDescent="0.25">
      <c r="A219" s="10">
        <f>'Pairings NB'!B974</f>
        <v>1026</v>
      </c>
      <c r="B219" s="10" t="str">
        <f>'Pairings NB'!C974</f>
        <v>12/10/2026</v>
      </c>
      <c r="C219" s="10" t="str">
        <f>'Pairings NB'!D974</f>
        <v>lunes</v>
      </c>
      <c r="D219" s="10" t="str">
        <f>'Pairings NB'!E974&amp;"/"&amp;'Pairings NB'!E975</f>
        <v>2075/2076</v>
      </c>
      <c r="E219" s="10" t="str">
        <f>'Pairings NB'!F974&amp;"-"&amp;'Pairings NB'!G974&amp;"-"&amp;'Pairings NB'!F974</f>
        <v>LIM-CUZ-LIM</v>
      </c>
      <c r="F219" s="10" t="str">
        <f>IFERROR(VLOOKUP('Pairings NB'!$M$974,Instructores!$A:$C,2,FALSE),"")</f>
        <v/>
      </c>
      <c r="G219" s="10">
        <f>'Pairings NB'!$M$974</f>
        <v>0</v>
      </c>
      <c r="H219" s="10">
        <f>'Pairings NB'!$O$974</f>
        <v>0</v>
      </c>
      <c r="I219" s="10">
        <f>'Pairings NB'!J974</f>
        <v>319</v>
      </c>
      <c r="J219" s="10" t="str">
        <f>IFERROR(VLOOKUP('Pairings NB'!$M$974,Instructores!$A:$C,3,FALSE),"")</f>
        <v/>
      </c>
      <c r="K219" s="10">
        <f>IF('Pairings NB'!J974=320,4,3)</f>
        <v>3</v>
      </c>
    </row>
    <row r="220" spans="1:11" x14ac:dyDescent="0.25">
      <c r="A220" s="10">
        <f>'Pairings NB'!B976</f>
        <v>1053</v>
      </c>
      <c r="B220" s="10" t="str">
        <f>'Pairings NB'!C976</f>
        <v>12/10/2026</v>
      </c>
      <c r="C220" s="10" t="str">
        <f>'Pairings NB'!D976</f>
        <v>lunes</v>
      </c>
      <c r="D220" s="10" t="str">
        <f>'Pairings NB'!E976&amp;"/"&amp;'Pairings NB'!E977</f>
        <v>2297/2296</v>
      </c>
      <c r="E220" s="10" t="str">
        <f>'Pairings NB'!F976&amp;"-"&amp;'Pairings NB'!G976&amp;"-"&amp;'Pairings NB'!F976</f>
        <v>LIM-CJA-LIM</v>
      </c>
      <c r="F220" s="10" t="str">
        <f>IFERROR(VLOOKUP('Pairings NB'!$M$974,Instructores!$A:$C,2,FALSE),"")</f>
        <v/>
      </c>
      <c r="G220" s="10">
        <f>'Pairings NB'!$M$974</f>
        <v>0</v>
      </c>
      <c r="H220" s="10">
        <f>'Pairings NB'!$O$974</f>
        <v>0</v>
      </c>
      <c r="I220" s="10">
        <f>'Pairings NB'!J976</f>
        <v>320</v>
      </c>
      <c r="J220" s="10" t="str">
        <f>IFERROR(VLOOKUP('Pairings NB'!$M$974,Instructores!$A:$C,3,FALSE),"")</f>
        <v/>
      </c>
      <c r="K220" s="10">
        <f>IF('Pairings NB'!J976=320,4,3)</f>
        <v>4</v>
      </c>
    </row>
    <row r="221" spans="1:11" x14ac:dyDescent="0.25">
      <c r="A221" s="10">
        <f>'Pairings NB'!B981</f>
        <v>1029</v>
      </c>
      <c r="B221" s="10" t="str">
        <f>'Pairings NB'!C981</f>
        <v>12/10/2026</v>
      </c>
      <c r="C221" s="10" t="str">
        <f>'Pairings NB'!D981</f>
        <v>lunes</v>
      </c>
      <c r="D221" s="10" t="str">
        <f>'Pairings NB'!E981&amp;"/"&amp;'Pairings NB'!E982</f>
        <v>2019/2038</v>
      </c>
      <c r="E221" s="10" t="str">
        <f>'Pairings NB'!F981&amp;"-"&amp;'Pairings NB'!G981&amp;"-"&amp;'Pairings NB'!F981</f>
        <v>LIM-IQT-LIM</v>
      </c>
      <c r="F221" s="10" t="str">
        <f>IFERROR(VLOOKUP('Pairings NB'!$M$981,Instructores!$A:$C,2,FALSE),"")</f>
        <v/>
      </c>
      <c r="G221" s="10">
        <f>'Pairings NB'!$M$981</f>
        <v>0</v>
      </c>
      <c r="H221" s="10">
        <f>'Pairings NB'!$O$981</f>
        <v>0</v>
      </c>
      <c r="I221" s="10">
        <f>'Pairings NB'!J981</f>
        <v>320</v>
      </c>
      <c r="J221" s="10" t="str">
        <f>IFERROR(VLOOKUP('Pairings NB'!$M$981,Instructores!$A:$C,3,FALSE),"")</f>
        <v/>
      </c>
      <c r="K221" s="10">
        <f>IF('Pairings NB'!J981=320,4,3)</f>
        <v>4</v>
      </c>
    </row>
    <row r="222" spans="1:11" x14ac:dyDescent="0.25">
      <c r="A222" s="10">
        <f>'Pairings NB'!B983</f>
        <v>1061</v>
      </c>
      <c r="B222" s="10" t="str">
        <f>'Pairings NB'!C983</f>
        <v>12/10/2026</v>
      </c>
      <c r="C222" s="10" t="str">
        <f>'Pairings NB'!D983</f>
        <v>lunes</v>
      </c>
      <c r="D222" s="10" t="str">
        <f>'Pairings NB'!E983&amp;"/"&amp;'Pairings NB'!E984</f>
        <v>2115/2114</v>
      </c>
      <c r="E222" s="10" t="str">
        <f>'Pairings NB'!F983&amp;"-"&amp;'Pairings NB'!G983&amp;"-"&amp;'Pairings NB'!F983</f>
        <v>LIM-AQP-LIM</v>
      </c>
      <c r="F222" s="10" t="str">
        <f>IFERROR(VLOOKUP('Pairings NB'!$M$981,Instructores!$A:$C,2,FALSE),"")</f>
        <v/>
      </c>
      <c r="G222" s="10">
        <f>'Pairings NB'!$M$981</f>
        <v>0</v>
      </c>
      <c r="H222" s="10">
        <f>'Pairings NB'!$O$981</f>
        <v>0</v>
      </c>
      <c r="I222" s="10">
        <f>'Pairings NB'!J983</f>
        <v>320</v>
      </c>
      <c r="J222" s="10" t="str">
        <f>IFERROR(VLOOKUP('Pairings NB'!$M$981,Instructores!$A:$C,3,FALSE),"")</f>
        <v/>
      </c>
      <c r="K222" s="10">
        <f>IF('Pairings NB'!J983=320,4,3)</f>
        <v>4</v>
      </c>
    </row>
    <row r="223" spans="1:11" x14ac:dyDescent="0.25">
      <c r="A223" s="10">
        <f>'Pairings NB'!B988</f>
        <v>1032</v>
      </c>
      <c r="B223" s="10" t="str">
        <f>'Pairings NB'!C988</f>
        <v>12/10/2026</v>
      </c>
      <c r="C223" s="10" t="str">
        <f>'Pairings NB'!D988</f>
        <v>lunes</v>
      </c>
      <c r="D223" s="10" t="str">
        <f>'Pairings NB'!E988&amp;"/"&amp;'Pairings NB'!E989</f>
        <v>2061/2062</v>
      </c>
      <c r="E223" s="10" t="str">
        <f>'Pairings NB'!F988&amp;"-"&amp;'Pairings NB'!G988&amp;"-"&amp;'Pairings NB'!F988</f>
        <v>LIM-CUZ-LIM</v>
      </c>
      <c r="F223" s="10" t="str">
        <f>IFERROR(VLOOKUP('Pairings NB'!$M$988,Instructores!$A:$C,2,FALSE),"")</f>
        <v/>
      </c>
      <c r="G223" s="10">
        <f>'Pairings NB'!$M$988</f>
        <v>0</v>
      </c>
      <c r="H223" s="10">
        <f>'Pairings NB'!$O$988</f>
        <v>0</v>
      </c>
      <c r="I223" s="10">
        <f>'Pairings NB'!J988</f>
        <v>320</v>
      </c>
      <c r="J223" s="10" t="str">
        <f>IFERROR(VLOOKUP('Pairings NB'!$M$988,Instructores!$A:$C,3,FALSE),"")</f>
        <v/>
      </c>
      <c r="K223" s="10">
        <f>IF('Pairings NB'!J988=320,4,3)</f>
        <v>4</v>
      </c>
    </row>
    <row r="224" spans="1:11" x14ac:dyDescent="0.25">
      <c r="A224" s="10">
        <f>'Pairings NB'!B990</f>
        <v>1060</v>
      </c>
      <c r="B224" s="10" t="str">
        <f>'Pairings NB'!C990</f>
        <v>12/10/2026</v>
      </c>
      <c r="C224" s="10" t="str">
        <f>'Pairings NB'!D990</f>
        <v>lunes</v>
      </c>
      <c r="D224" s="10" t="str">
        <f>'Pairings NB'!E990&amp;"/"&amp;'Pairings NB'!E991</f>
        <v>2127/2026</v>
      </c>
      <c r="E224" s="10" t="str">
        <f>'Pairings NB'!F990&amp;"-"&amp;'Pairings NB'!G990&amp;"-"&amp;'Pairings NB'!F990</f>
        <v>LIM-CUZ-LIM</v>
      </c>
      <c r="F224" s="10" t="str">
        <f>IFERROR(VLOOKUP('Pairings NB'!$M$988,Instructores!$A:$C,2,FALSE),"")</f>
        <v/>
      </c>
      <c r="G224" s="10">
        <f>'Pairings NB'!$M$988</f>
        <v>0</v>
      </c>
      <c r="H224" s="10">
        <f>'Pairings NB'!$O$988</f>
        <v>0</v>
      </c>
      <c r="I224" s="10">
        <f>'Pairings NB'!J990</f>
        <v>320</v>
      </c>
      <c r="J224" s="10" t="str">
        <f>IFERROR(VLOOKUP('Pairings NB'!$M$988,Instructores!$A:$C,3,FALSE),"")</f>
        <v/>
      </c>
      <c r="K224" s="10">
        <f>IF('Pairings NB'!J990=320,4,3)</f>
        <v>4</v>
      </c>
    </row>
    <row r="225" spans="1:11" x14ac:dyDescent="0.25">
      <c r="A225" s="10">
        <f>'Pairings NB'!B995</f>
        <v>1030</v>
      </c>
      <c r="B225" s="10" t="str">
        <f>'Pairings NB'!C995</f>
        <v>12/10/2026</v>
      </c>
      <c r="C225" s="10" t="str">
        <f>'Pairings NB'!D995</f>
        <v>lunes</v>
      </c>
      <c r="D225" s="10" t="str">
        <f>'Pairings NB'!E995&amp;"/"&amp;'Pairings NB'!E996</f>
        <v>2111/2110</v>
      </c>
      <c r="E225" s="10" t="str">
        <f>'Pairings NB'!F995&amp;"-"&amp;'Pairings NB'!G995&amp;"-"&amp;'Pairings NB'!F995</f>
        <v>LIM-AQP-LIM</v>
      </c>
      <c r="F225" s="10" t="str">
        <f>IFERROR(VLOOKUP('Pairings NB'!$M$995,Instructores!$A:$C,2,FALSE),"")</f>
        <v/>
      </c>
      <c r="G225" s="10">
        <f>'Pairings NB'!$M$995</f>
        <v>0</v>
      </c>
      <c r="H225" s="10">
        <f>'Pairings NB'!$O$995</f>
        <v>0</v>
      </c>
      <c r="I225" s="10">
        <f>'Pairings NB'!J995</f>
        <v>320</v>
      </c>
      <c r="J225" s="10" t="str">
        <f>IFERROR(VLOOKUP('Pairings NB'!$M$995,Instructores!$A:$C,3,FALSE),"")</f>
        <v/>
      </c>
      <c r="K225" s="10">
        <f>IF('Pairings NB'!J995=320,4,3)</f>
        <v>4</v>
      </c>
    </row>
    <row r="226" spans="1:11" x14ac:dyDescent="0.25">
      <c r="A226" s="10">
        <f>'Pairings NB'!B1000</f>
        <v>1031</v>
      </c>
      <c r="B226" s="10" t="str">
        <f>'Pairings NB'!C1000</f>
        <v>12/10/2026</v>
      </c>
      <c r="C226" s="10" t="str">
        <f>'Pairings NB'!D1000</f>
        <v>lunes</v>
      </c>
      <c r="D226" s="10" t="str">
        <f>'Pairings NB'!E1000&amp;"/"&amp;'Pairings NB'!E1001</f>
        <v>2316/2317</v>
      </c>
      <c r="E226" s="10" t="str">
        <f>'Pairings NB'!F1000&amp;"-"&amp;'Pairings NB'!G1000&amp;"-"&amp;'Pairings NB'!F1000</f>
        <v>LIM-PIU-LIM</v>
      </c>
      <c r="F226" s="10" t="str">
        <f>IFERROR(VLOOKUP('Pairings NB'!$M$1000,Instructores!$A:$C,2,FALSE),"")</f>
        <v/>
      </c>
      <c r="G226" s="10">
        <f>'Pairings NB'!$M$1000</f>
        <v>0</v>
      </c>
      <c r="H226" s="10">
        <f>'Pairings NB'!$O$1000</f>
        <v>0</v>
      </c>
      <c r="I226" s="10">
        <f>'Pairings NB'!J1000</f>
        <v>320</v>
      </c>
      <c r="J226" s="10" t="str">
        <f>IFERROR(VLOOKUP('Pairings NB'!$M$1000,Instructores!$A:$C,3,FALSE),"")</f>
        <v/>
      </c>
      <c r="K226" s="10">
        <f>IF('Pairings NB'!J1000=320,4,3)</f>
        <v>4</v>
      </c>
    </row>
    <row r="227" spans="1:11" x14ac:dyDescent="0.25">
      <c r="A227" s="10">
        <f>'Pairings NB'!B1005</f>
        <v>1035</v>
      </c>
      <c r="B227" s="10" t="str">
        <f>'Pairings NB'!C1005</f>
        <v>12/10/2026</v>
      </c>
      <c r="C227" s="10" t="str">
        <f>'Pairings NB'!D1005</f>
        <v>lunes</v>
      </c>
      <c r="D227" s="10" t="str">
        <f>'Pairings NB'!E1005&amp;"/"&amp;'Pairings NB'!E1006</f>
        <v>2023/2024</v>
      </c>
      <c r="E227" s="10" t="str">
        <f>'Pairings NB'!F1005&amp;"-"&amp;'Pairings NB'!G1005&amp;"-"&amp;'Pairings NB'!F1005</f>
        <v>LIM-PEM-LIM</v>
      </c>
      <c r="F227" s="10" t="str">
        <f>IFERROR(VLOOKUP('Pairings NB'!$M$1005,Instructores!$A:$C,2,FALSE),"")</f>
        <v/>
      </c>
      <c r="G227" s="10">
        <f>'Pairings NB'!$M$1005</f>
        <v>0</v>
      </c>
      <c r="H227" s="10">
        <f>'Pairings NB'!$O$1005</f>
        <v>0</v>
      </c>
      <c r="I227" s="10">
        <f>'Pairings NB'!J1005</f>
        <v>320</v>
      </c>
      <c r="J227" s="10" t="str">
        <f>IFERROR(VLOOKUP('Pairings NB'!$M$1005,Instructores!$A:$C,3,FALSE),"")</f>
        <v/>
      </c>
      <c r="K227" s="10">
        <f>IF('Pairings NB'!J1005=320,4,3)</f>
        <v>4</v>
      </c>
    </row>
    <row r="228" spans="1:11" x14ac:dyDescent="0.25">
      <c r="A228" s="10">
        <f>'Pairings NB'!B1007</f>
        <v>1062</v>
      </c>
      <c r="B228" s="10" t="str">
        <f>'Pairings NB'!C1007</f>
        <v>12/10/2026</v>
      </c>
      <c r="C228" s="10" t="str">
        <f>'Pairings NB'!D1007</f>
        <v>lunes</v>
      </c>
      <c r="D228" s="10" t="str">
        <f>'Pairings NB'!E1007&amp;"/"&amp;'Pairings NB'!E1008</f>
        <v>2115/2114</v>
      </c>
      <c r="E228" s="10" t="str">
        <f>'Pairings NB'!F1007&amp;"-"&amp;'Pairings NB'!G1007&amp;"-"&amp;'Pairings NB'!F1007</f>
        <v>LIM-AQP-LIM</v>
      </c>
      <c r="F228" s="10" t="str">
        <f>IFERROR(VLOOKUP('Pairings NB'!$M$1005,Instructores!$A:$C,2,FALSE),"")</f>
        <v/>
      </c>
      <c r="G228" s="10">
        <f>'Pairings NB'!$M$1005</f>
        <v>0</v>
      </c>
      <c r="H228" s="10">
        <f>'Pairings NB'!$O$1005</f>
        <v>0</v>
      </c>
      <c r="I228" s="10">
        <f>'Pairings NB'!J1007</f>
        <v>320</v>
      </c>
      <c r="J228" s="10" t="str">
        <f>IFERROR(VLOOKUP('Pairings NB'!$M$1005,Instructores!$A:$C,3,FALSE),"")</f>
        <v/>
      </c>
      <c r="K228" s="10">
        <f>IF('Pairings NB'!J1007=320,4,3)</f>
        <v>4</v>
      </c>
    </row>
    <row r="229" spans="1:11" x14ac:dyDescent="0.25">
      <c r="A229" s="10">
        <f>'Pairings NB'!B1012</f>
        <v>1038</v>
      </c>
      <c r="B229" s="10" t="str">
        <f>'Pairings NB'!C1012</f>
        <v>12/10/2026</v>
      </c>
      <c r="C229" s="10" t="str">
        <f>'Pairings NB'!D1012</f>
        <v>lunes</v>
      </c>
      <c r="D229" s="10" t="str">
        <f>'Pairings NB'!E1012&amp;"/"&amp;'Pairings NB'!E1013</f>
        <v>2308/2309</v>
      </c>
      <c r="E229" s="10" t="str">
        <f>'Pairings NB'!F1012&amp;"-"&amp;'Pairings NB'!G1012&amp;"-"&amp;'Pairings NB'!F1012</f>
        <v>LIM-PIU-LIM</v>
      </c>
      <c r="F229" s="10" t="str">
        <f>IFERROR(VLOOKUP('Pairings NB'!$M$1012,Instructores!$A:$C,2,FALSE),"")</f>
        <v/>
      </c>
      <c r="G229" s="10">
        <f>'Pairings NB'!$M$1012</f>
        <v>0</v>
      </c>
      <c r="H229" s="10">
        <f>'Pairings NB'!$O$1012</f>
        <v>0</v>
      </c>
      <c r="I229" s="10">
        <f>'Pairings NB'!J1012</f>
        <v>320</v>
      </c>
      <c r="J229" s="10" t="str">
        <f>IFERROR(VLOOKUP('Pairings NB'!$M$1012,Instructores!$A:$C,3,FALSE),"")</f>
        <v/>
      </c>
      <c r="K229" s="10">
        <f>IF('Pairings NB'!J1012=320,4,3)</f>
        <v>4</v>
      </c>
    </row>
    <row r="230" spans="1:11" x14ac:dyDescent="0.25">
      <c r="A230" s="10">
        <f>'Pairings NB'!B1017</f>
        <v>1042</v>
      </c>
      <c r="B230" s="10" t="str">
        <f>'Pairings NB'!C1017</f>
        <v>12/10/2026</v>
      </c>
      <c r="C230" s="10" t="str">
        <f>'Pairings NB'!D1017</f>
        <v>lunes</v>
      </c>
      <c r="D230" s="10" t="str">
        <f>'Pairings NB'!E1017&amp;"/"&amp;'Pairings NB'!E1018</f>
        <v>2028/2029</v>
      </c>
      <c r="E230" s="10" t="str">
        <f>'Pairings NB'!F1017&amp;"-"&amp;'Pairings NB'!G1017&amp;"-"&amp;'Pairings NB'!F1017</f>
        <v>LIM-CUZ-LIM</v>
      </c>
      <c r="F230" s="10" t="str">
        <f>IFERROR(VLOOKUP('Pairings NB'!$M$1017,Instructores!$A:$C,2,FALSE),"")</f>
        <v/>
      </c>
      <c r="G230" s="10">
        <f>'Pairings NB'!$M$1017</f>
        <v>0</v>
      </c>
      <c r="H230" s="10">
        <f>'Pairings NB'!$O$1017</f>
        <v>0</v>
      </c>
      <c r="I230" s="10">
        <f>'Pairings NB'!J1017</f>
        <v>319</v>
      </c>
      <c r="J230" s="10" t="str">
        <f>IFERROR(VLOOKUP('Pairings NB'!$M$1017,Instructores!$A:$C,3,FALSE),"")</f>
        <v/>
      </c>
      <c r="K230" s="10">
        <f>IF('Pairings NB'!J1017=320,4,3)</f>
        <v>3</v>
      </c>
    </row>
    <row r="231" spans="1:11" x14ac:dyDescent="0.25">
      <c r="A231" s="10">
        <f>'Pairings NB'!B1019</f>
        <v>1064</v>
      </c>
      <c r="B231" s="10" t="str">
        <f>'Pairings NB'!C1019</f>
        <v>12/10/2026</v>
      </c>
      <c r="C231" s="10" t="str">
        <f>'Pairings NB'!D1019</f>
        <v>lunes</v>
      </c>
      <c r="D231" s="10" t="str">
        <f>'Pairings NB'!E1019&amp;"/"&amp;'Pairings NB'!E1020</f>
        <v>2310/2311</v>
      </c>
      <c r="E231" s="10" t="str">
        <f>'Pairings NB'!F1019&amp;"-"&amp;'Pairings NB'!G1019&amp;"-"&amp;'Pairings NB'!F1019</f>
        <v>LIM-CIX-LIM</v>
      </c>
      <c r="F231" s="10" t="str">
        <f>IFERROR(VLOOKUP('Pairings NB'!$M$1017,Instructores!$A:$C,2,FALSE),"")</f>
        <v/>
      </c>
      <c r="G231" s="10">
        <f>'Pairings NB'!$M$1017</f>
        <v>0</v>
      </c>
      <c r="H231" s="10">
        <f>'Pairings NB'!$O$1017</f>
        <v>0</v>
      </c>
      <c r="I231" s="10">
        <f>'Pairings NB'!J1019</f>
        <v>320</v>
      </c>
      <c r="J231" s="10" t="str">
        <f>IFERROR(VLOOKUP('Pairings NB'!$M$1017,Instructores!$A:$C,3,FALSE),"")</f>
        <v/>
      </c>
      <c r="K231" s="10">
        <f>IF('Pairings NB'!J1019=320,4,3)</f>
        <v>4</v>
      </c>
    </row>
    <row r="232" spans="1:11" x14ac:dyDescent="0.25">
      <c r="A232" s="10">
        <f>'Pairings NB'!B1024</f>
        <v>1044</v>
      </c>
      <c r="B232" s="10" t="str">
        <f>'Pairings NB'!C1024</f>
        <v>12/10/2026</v>
      </c>
      <c r="C232" s="10" t="str">
        <f>'Pairings NB'!D1024</f>
        <v>lunes</v>
      </c>
      <c r="D232" s="10" t="str">
        <f>'Pairings NB'!E1024&amp;"/"&amp;'Pairings NB'!E1025</f>
        <v>2152/2153</v>
      </c>
      <c r="E232" s="10" t="str">
        <f>'Pairings NB'!F1024&amp;"-"&amp;'Pairings NB'!G1024&amp;"-"&amp;'Pairings NB'!F1024</f>
        <v>LIM-CIX-LIM</v>
      </c>
      <c r="F232" s="10" t="str">
        <f>IFERROR(VLOOKUP('Pairings NB'!$M$1024,Instructores!$A:$C,2,FALSE),"")</f>
        <v/>
      </c>
      <c r="G232" s="10">
        <f>'Pairings NB'!$M$1024</f>
        <v>0</v>
      </c>
      <c r="H232" s="10">
        <f>'Pairings NB'!$O$1024</f>
        <v>0</v>
      </c>
      <c r="I232" s="10">
        <f>'Pairings NB'!J1024</f>
        <v>320</v>
      </c>
      <c r="J232" s="10" t="str">
        <f>IFERROR(VLOOKUP('Pairings NB'!$M$1024,Instructores!$A:$C,3,FALSE),"")</f>
        <v/>
      </c>
      <c r="K232" s="10">
        <f>IF('Pairings NB'!J1024=320,4,3)</f>
        <v>4</v>
      </c>
    </row>
    <row r="233" spans="1:11" x14ac:dyDescent="0.25">
      <c r="A233" s="10">
        <f>'Pairings NB'!B1026</f>
        <v>1065</v>
      </c>
      <c r="B233" s="10" t="str">
        <f>'Pairings NB'!C1026</f>
        <v>12/10/2026</v>
      </c>
      <c r="C233" s="10" t="str">
        <f>'Pairings NB'!D1026</f>
        <v>lunes</v>
      </c>
      <c r="D233" s="10" t="str">
        <f>'Pairings NB'!E1026&amp;"/"&amp;'Pairings NB'!E1027</f>
        <v>2091/2092</v>
      </c>
      <c r="E233" s="10" t="str">
        <f>'Pairings NB'!F1026&amp;"-"&amp;'Pairings NB'!G1026&amp;"-"&amp;'Pairings NB'!F1026</f>
        <v>LIM-TPP-LIM</v>
      </c>
      <c r="F233" s="10" t="str">
        <f>IFERROR(VLOOKUP('Pairings NB'!$M$1024,Instructores!$A:$C,2,FALSE),"")</f>
        <v/>
      </c>
      <c r="G233" s="10">
        <f>'Pairings NB'!$M$1024</f>
        <v>0</v>
      </c>
      <c r="H233" s="10">
        <f>'Pairings NB'!$O$1024</f>
        <v>0</v>
      </c>
      <c r="I233" s="10">
        <f>'Pairings NB'!J1026</f>
        <v>320</v>
      </c>
      <c r="J233" s="10" t="str">
        <f>IFERROR(VLOOKUP('Pairings NB'!$M$1024,Instructores!$A:$C,3,FALSE),"")</f>
        <v/>
      </c>
      <c r="K233" s="10">
        <f>IF('Pairings NB'!J1026=320,4,3)</f>
        <v>4</v>
      </c>
    </row>
    <row r="234" spans="1:11" x14ac:dyDescent="0.25">
      <c r="A234" s="10">
        <f>'Pairings NB'!B1031</f>
        <v>1045</v>
      </c>
      <c r="B234" s="10" t="str">
        <f>'Pairings NB'!C1031</f>
        <v>12/10/2026</v>
      </c>
      <c r="C234" s="10" t="str">
        <f>'Pairings NB'!D1031</f>
        <v>lunes</v>
      </c>
      <c r="D234" s="10" t="str">
        <f>'Pairings NB'!E1031&amp;"/"&amp;'Pairings NB'!E1032</f>
        <v>2055/2056</v>
      </c>
      <c r="E234" s="10" t="str">
        <f>'Pairings NB'!F1031&amp;"-"&amp;'Pairings NB'!G1031&amp;"-"&amp;'Pairings NB'!F1031</f>
        <v>LIM-AQP-LIM</v>
      </c>
      <c r="F234" s="10" t="str">
        <f>IFERROR(VLOOKUP('Pairings NB'!$M$1031,Instructores!$A:$C,2,FALSE),"")</f>
        <v/>
      </c>
      <c r="G234" s="10">
        <f>'Pairings NB'!$M$1031</f>
        <v>0</v>
      </c>
      <c r="H234" s="10">
        <f>'Pairings NB'!$O$1031</f>
        <v>0</v>
      </c>
      <c r="I234" s="10">
        <f>'Pairings NB'!J1031</f>
        <v>320</v>
      </c>
      <c r="J234" s="10" t="str">
        <f>IFERROR(VLOOKUP('Pairings NB'!$M$1031,Instructores!$A:$C,3,FALSE),"")</f>
        <v/>
      </c>
      <c r="K234" s="10">
        <f>IF('Pairings NB'!J1031=320,4,3)</f>
        <v>4</v>
      </c>
    </row>
    <row r="235" spans="1:11" x14ac:dyDescent="0.25">
      <c r="A235" s="10">
        <f>'Pairings NB'!B1036</f>
        <v>1046</v>
      </c>
      <c r="B235" s="10" t="str">
        <f>'Pairings NB'!C1036</f>
        <v>12/10/2026</v>
      </c>
      <c r="C235" s="10" t="str">
        <f>'Pairings NB'!D1036</f>
        <v>lunes</v>
      </c>
      <c r="D235" s="10" t="str">
        <f>'Pairings NB'!E1036&amp;"/"&amp;'Pairings NB'!E1037</f>
        <v>2295/2294</v>
      </c>
      <c r="E235" s="10" t="str">
        <f>'Pairings NB'!F1036&amp;"-"&amp;'Pairings NB'!G1036&amp;"-"&amp;'Pairings NB'!F1036</f>
        <v>LIM-CJA-LIM</v>
      </c>
      <c r="F235" s="10" t="str">
        <f>IFERROR(VLOOKUP('Pairings NB'!$M$1036,Instructores!$A:$C,2,FALSE),"")</f>
        <v/>
      </c>
      <c r="G235" s="10">
        <f>'Pairings NB'!$M$1036</f>
        <v>0</v>
      </c>
      <c r="H235" s="10">
        <f>'Pairings NB'!$O$1036</f>
        <v>0</v>
      </c>
      <c r="I235" s="10">
        <f>'Pairings NB'!J1036</f>
        <v>320</v>
      </c>
      <c r="J235" s="10" t="str">
        <f>IFERROR(VLOOKUP('Pairings NB'!$M$1036,Instructores!$A:$C,3,FALSE),"")</f>
        <v/>
      </c>
      <c r="K235" s="10">
        <f>IF('Pairings NB'!J1036=320,4,3)</f>
        <v>4</v>
      </c>
    </row>
    <row r="236" spans="1:11" x14ac:dyDescent="0.25">
      <c r="A236" s="10">
        <f>'Pairings NB'!B1041</f>
        <v>1048</v>
      </c>
      <c r="B236" s="10" t="str">
        <f>'Pairings NB'!C1041</f>
        <v>12/10/2026</v>
      </c>
      <c r="C236" s="10" t="str">
        <f>'Pairings NB'!D1041</f>
        <v>lunes</v>
      </c>
      <c r="D236" s="10" t="str">
        <f>'Pairings NB'!E1041&amp;"/"&amp;'Pairings NB'!E1042</f>
        <v>2264/2265</v>
      </c>
      <c r="E236" s="10" t="str">
        <f>'Pairings NB'!F1041&amp;"-"&amp;'Pairings NB'!G1041&amp;"-"&amp;'Pairings NB'!F1041</f>
        <v>LIM-PEM-LIM</v>
      </c>
      <c r="F236" s="10" t="str">
        <f>IFERROR(VLOOKUP('Pairings NB'!$M$1041,Instructores!$A:$C,2,FALSE),"")</f>
        <v/>
      </c>
      <c r="G236" s="10">
        <f>'Pairings NB'!$M$1041</f>
        <v>0</v>
      </c>
      <c r="H236" s="10">
        <f>'Pairings NB'!$O$1041</f>
        <v>0</v>
      </c>
      <c r="I236" s="10">
        <f>'Pairings NB'!J1041</f>
        <v>319</v>
      </c>
      <c r="J236" s="10" t="str">
        <f>IFERROR(VLOOKUP('Pairings NB'!$M$1041,Instructores!$A:$C,3,FALSE),"")</f>
        <v/>
      </c>
      <c r="K236" s="10">
        <f>IF('Pairings NB'!J1041=320,4,3)</f>
        <v>3</v>
      </c>
    </row>
    <row r="237" spans="1:11" x14ac:dyDescent="0.25">
      <c r="A237" s="10">
        <f>'Pairings NB'!B1046</f>
        <v>1049</v>
      </c>
      <c r="B237" s="10" t="str">
        <f>'Pairings NB'!C1046</f>
        <v>12/10/2026</v>
      </c>
      <c r="C237" s="10" t="str">
        <f>'Pairings NB'!D1046</f>
        <v>lunes</v>
      </c>
      <c r="D237" s="10" t="str">
        <f>'Pairings NB'!E1046&amp;"/"&amp;'Pairings NB'!E1047</f>
        <v>2338/2339</v>
      </c>
      <c r="E237" s="10" t="str">
        <f>'Pairings NB'!F1046&amp;"-"&amp;'Pairings NB'!G1046&amp;"-"&amp;'Pairings NB'!F1046</f>
        <v>LIM-PIU-LIM</v>
      </c>
      <c r="F237" s="10" t="str">
        <f>IFERROR(VLOOKUP('Pairings NB'!$M$1046,Instructores!$A:$C,2,FALSE),"")</f>
        <v/>
      </c>
      <c r="G237" s="10">
        <f>'Pairings NB'!$M$1046</f>
        <v>0</v>
      </c>
      <c r="H237" s="10">
        <f>'Pairings NB'!$O$1046</f>
        <v>0</v>
      </c>
      <c r="I237" s="10">
        <f>'Pairings NB'!J1046</f>
        <v>320</v>
      </c>
      <c r="J237" s="10" t="str">
        <f>IFERROR(VLOOKUP('Pairings NB'!$M$1046,Instructores!$A:$C,3,FALSE),"")</f>
        <v/>
      </c>
      <c r="K237" s="10">
        <f>IF('Pairings NB'!J1046=320,4,3)</f>
        <v>4</v>
      </c>
    </row>
    <row r="238" spans="1:11" x14ac:dyDescent="0.25">
      <c r="A238" s="10">
        <f>'Pairings NB'!B1051</f>
        <v>1050</v>
      </c>
      <c r="B238" s="10" t="str">
        <f>'Pairings NB'!C1051</f>
        <v>12/10/2026</v>
      </c>
      <c r="C238" s="10" t="str">
        <f>'Pairings NB'!D1051</f>
        <v>lunes</v>
      </c>
      <c r="D238" s="10" t="str">
        <f>'Pairings NB'!E1051&amp;"/"&amp;'Pairings NB'!E1052</f>
        <v>2338/2339</v>
      </c>
      <c r="E238" s="10" t="str">
        <f>'Pairings NB'!F1051&amp;"-"&amp;'Pairings NB'!G1051&amp;"-"&amp;'Pairings NB'!F1051</f>
        <v>LIM-PIU-LIM</v>
      </c>
      <c r="F238" s="10" t="str">
        <f>IFERROR(VLOOKUP('Pairings NB'!$M$1051,Instructores!$A:$C,2,FALSE),"")</f>
        <v/>
      </c>
      <c r="G238" s="10">
        <f>'Pairings NB'!$M$1051</f>
        <v>0</v>
      </c>
      <c r="H238" s="10">
        <f>'Pairings NB'!$O$1051</f>
        <v>0</v>
      </c>
      <c r="I238" s="10">
        <f>'Pairings NB'!J1051</f>
        <v>320</v>
      </c>
      <c r="J238" s="10" t="str">
        <f>IFERROR(VLOOKUP('Pairings NB'!$M$1051,Instructores!$A:$C,3,FALSE),"")</f>
        <v/>
      </c>
      <c r="K238" s="10">
        <f>IF('Pairings NB'!J1051=320,4,3)</f>
        <v>4</v>
      </c>
    </row>
    <row r="239" spans="1:11" x14ac:dyDescent="0.25">
      <c r="A239" s="10">
        <f>'Pairings NB'!B1056</f>
        <v>1051</v>
      </c>
      <c r="B239" s="10" t="str">
        <f>'Pairings NB'!C1056</f>
        <v>12/10/2026</v>
      </c>
      <c r="C239" s="10" t="str">
        <f>'Pairings NB'!D1056</f>
        <v>lunes</v>
      </c>
      <c r="D239" s="10" t="str">
        <f>'Pairings NB'!E1056&amp;"/"&amp;'Pairings NB'!E1057</f>
        <v>2113/2112</v>
      </c>
      <c r="E239" s="10" t="str">
        <f>'Pairings NB'!F1056&amp;"-"&amp;'Pairings NB'!G1056&amp;"-"&amp;'Pairings NB'!F1056</f>
        <v>LIM-AQP-LIM</v>
      </c>
      <c r="F239" s="10" t="str">
        <f>IFERROR(VLOOKUP('Pairings NB'!$M$1056,Instructores!$A:$C,2,FALSE),"")</f>
        <v/>
      </c>
      <c r="G239" s="10">
        <f>'Pairings NB'!$M$1056</f>
        <v>0</v>
      </c>
      <c r="H239" s="10">
        <f>'Pairings NB'!$O$1056</f>
        <v>0</v>
      </c>
      <c r="I239" s="10">
        <f>'Pairings NB'!J1056</f>
        <v>319</v>
      </c>
      <c r="J239" s="10" t="str">
        <f>IFERROR(VLOOKUP('Pairings NB'!$M$1056,Instructores!$A:$C,3,FALSE),"")</f>
        <v/>
      </c>
      <c r="K239" s="10">
        <f>IF('Pairings NB'!J1056=320,4,3)</f>
        <v>3</v>
      </c>
    </row>
    <row r="240" spans="1:11" x14ac:dyDescent="0.25">
      <c r="A240" s="10">
        <f>'Pairings NB'!B1061</f>
        <v>1054</v>
      </c>
      <c r="B240" s="10" t="str">
        <f>'Pairings NB'!C1061</f>
        <v>12/10/2026</v>
      </c>
      <c r="C240" s="10" t="str">
        <f>'Pairings NB'!D1061</f>
        <v>lunes</v>
      </c>
      <c r="D240" s="10" t="str">
        <f>'Pairings NB'!E1061&amp;"/"&amp;'Pairings NB'!E1062</f>
        <v>2297/2296</v>
      </c>
      <c r="E240" s="10" t="str">
        <f>'Pairings NB'!F1061&amp;"-"&amp;'Pairings NB'!G1061&amp;"-"&amp;'Pairings NB'!F1061</f>
        <v>LIM-CJA-LIM</v>
      </c>
      <c r="F240" s="10" t="str">
        <f>IFERROR(VLOOKUP('Pairings NB'!$M$1061,Instructores!$A:$C,2,FALSE),"")</f>
        <v/>
      </c>
      <c r="G240" s="10">
        <f>'Pairings NB'!$M$1061</f>
        <v>0</v>
      </c>
      <c r="H240" s="10">
        <f>'Pairings NB'!$O$1061</f>
        <v>0</v>
      </c>
      <c r="I240" s="10">
        <f>'Pairings NB'!J1061</f>
        <v>320</v>
      </c>
      <c r="J240" s="10" t="str">
        <f>IFERROR(VLOOKUP('Pairings NB'!$M$1061,Instructores!$A:$C,3,FALSE),"")</f>
        <v/>
      </c>
      <c r="K240" s="10">
        <f>IF('Pairings NB'!J1061=320,4,3)</f>
        <v>4</v>
      </c>
    </row>
    <row r="241" spans="1:11" x14ac:dyDescent="0.25">
      <c r="A241" s="10">
        <f>'Pairings NB'!B1066</f>
        <v>1055</v>
      </c>
      <c r="B241" s="10" t="str">
        <f>'Pairings NB'!C1066</f>
        <v>12/10/2026</v>
      </c>
      <c r="C241" s="10" t="str">
        <f>'Pairings NB'!D1066</f>
        <v>lunes</v>
      </c>
      <c r="D241" s="10" t="str">
        <f>'Pairings NB'!E1066&amp;"/"&amp;'Pairings NB'!E1067</f>
        <v>2360/2361</v>
      </c>
      <c r="E241" s="10" t="str">
        <f>'Pairings NB'!F1066&amp;"-"&amp;'Pairings NB'!G1066&amp;"-"&amp;'Pairings NB'!F1066</f>
        <v>LIM-PCL-LIM</v>
      </c>
      <c r="F241" s="10" t="str">
        <f>IFERROR(VLOOKUP('Pairings NB'!$M$1066,Instructores!$A:$C,2,FALSE),"")</f>
        <v/>
      </c>
      <c r="G241" s="10">
        <f>'Pairings NB'!$M$1066</f>
        <v>0</v>
      </c>
      <c r="H241" s="10">
        <f>'Pairings NB'!$O$1066</f>
        <v>0</v>
      </c>
      <c r="I241" s="10">
        <f>'Pairings NB'!J1066</f>
        <v>320</v>
      </c>
      <c r="J241" s="10" t="str">
        <f>IFERROR(VLOOKUP('Pairings NB'!$M$1066,Instructores!$A:$C,3,FALSE),"")</f>
        <v/>
      </c>
      <c r="K241" s="10">
        <f>IF('Pairings NB'!J1066=320,4,3)</f>
        <v>4</v>
      </c>
    </row>
    <row r="242" spans="1:11" x14ac:dyDescent="0.25">
      <c r="A242" s="10">
        <f>'Pairings NB'!B1071</f>
        <v>1056</v>
      </c>
      <c r="B242" s="10" t="str">
        <f>'Pairings NB'!C1071</f>
        <v>12/10/2026</v>
      </c>
      <c r="C242" s="10" t="str">
        <f>'Pairings NB'!D1071</f>
        <v>lunes</v>
      </c>
      <c r="D242" s="10" t="str">
        <f>'Pairings NB'!E1071&amp;"/"&amp;'Pairings NB'!E1072</f>
        <v>2312/2313</v>
      </c>
      <c r="E242" s="10" t="str">
        <f>'Pairings NB'!F1071&amp;"-"&amp;'Pairings NB'!G1071&amp;"-"&amp;'Pairings NB'!F1071</f>
        <v>LIM-CIX-LIM</v>
      </c>
      <c r="F242" s="10" t="str">
        <f>IFERROR(VLOOKUP('Pairings NB'!$M$1071,Instructores!$A:$C,2,FALSE),"")</f>
        <v/>
      </c>
      <c r="G242" s="10">
        <f>'Pairings NB'!$M$1071</f>
        <v>0</v>
      </c>
      <c r="H242" s="10">
        <f>'Pairings NB'!$O$1071</f>
        <v>0</v>
      </c>
      <c r="I242" s="10">
        <f>'Pairings NB'!J1071</f>
        <v>320</v>
      </c>
      <c r="J242" s="10" t="str">
        <f>IFERROR(VLOOKUP('Pairings NB'!$M$1071,Instructores!$A:$C,3,FALSE),"")</f>
        <v/>
      </c>
      <c r="K242" s="10">
        <f>IF('Pairings NB'!J1071=320,4,3)</f>
        <v>4</v>
      </c>
    </row>
    <row r="243" spans="1:11" x14ac:dyDescent="0.25">
      <c r="A243" s="10">
        <f>'Pairings NB'!B1076</f>
        <v>1057</v>
      </c>
      <c r="B243" s="10" t="str">
        <f>'Pairings NB'!C1076</f>
        <v>12/10/2026</v>
      </c>
      <c r="C243" s="10" t="str">
        <f>'Pairings NB'!D1076</f>
        <v>lunes</v>
      </c>
      <c r="D243" s="10" t="str">
        <f>'Pairings NB'!E1076&amp;"/"&amp;'Pairings NB'!E1077</f>
        <v>2301/2300</v>
      </c>
      <c r="E243" s="10" t="str">
        <f>'Pairings NB'!F1076&amp;"-"&amp;'Pairings NB'!G1076&amp;"-"&amp;'Pairings NB'!F1076</f>
        <v>LIM-TPP-LIM</v>
      </c>
      <c r="F243" s="10" t="str">
        <f>IFERROR(VLOOKUP('Pairings NB'!$M$1076,Instructores!$A:$C,2,FALSE),"")</f>
        <v/>
      </c>
      <c r="G243" s="10">
        <f>'Pairings NB'!$M$1076</f>
        <v>0</v>
      </c>
      <c r="H243" s="10">
        <f>'Pairings NB'!$O$1076</f>
        <v>0</v>
      </c>
      <c r="I243" s="10">
        <f>'Pairings NB'!J1076</f>
        <v>319</v>
      </c>
      <c r="J243" s="10" t="str">
        <f>IFERROR(VLOOKUP('Pairings NB'!$M$1076,Instructores!$A:$C,3,FALSE),"")</f>
        <v/>
      </c>
      <c r="K243" s="10">
        <f>IF('Pairings NB'!J1076=320,4,3)</f>
        <v>3</v>
      </c>
    </row>
    <row r="244" spans="1:11" x14ac:dyDescent="0.25">
      <c r="A244" s="10">
        <f>'Pairings NB'!B1081</f>
        <v>1063</v>
      </c>
      <c r="B244" s="10" t="str">
        <f>'Pairings NB'!C1081</f>
        <v>12/10/2026</v>
      </c>
      <c r="C244" s="10" t="str">
        <f>'Pairings NB'!D1081</f>
        <v>lunes</v>
      </c>
      <c r="D244" s="10" t="str">
        <f>'Pairings NB'!E1081&amp;"/"&amp;'Pairings NB'!E1082</f>
        <v>2213/2214</v>
      </c>
      <c r="E244" s="10" t="str">
        <f>'Pairings NB'!F1081&amp;"-"&amp;'Pairings NB'!G1081&amp;"-"&amp;'Pairings NB'!F1081</f>
        <v>LIM-CIX-LIM</v>
      </c>
      <c r="F244" s="10" t="str">
        <f>IFERROR(VLOOKUP('Pairings NB'!$M$1081,Instructores!$A:$C,2,FALSE),"")</f>
        <v/>
      </c>
      <c r="G244" s="10">
        <f>'Pairings NB'!$M$1081</f>
        <v>0</v>
      </c>
      <c r="H244" s="10">
        <f>'Pairings NB'!$O$1081</f>
        <v>0</v>
      </c>
      <c r="I244" s="10">
        <f>'Pairings NB'!J1081</f>
        <v>320</v>
      </c>
      <c r="J244" s="10" t="str">
        <f>IFERROR(VLOOKUP('Pairings NB'!$M$1081,Instructores!$A:$C,3,FALSE),"")</f>
        <v/>
      </c>
      <c r="K244" s="10">
        <f>IF('Pairings NB'!J1081=320,4,3)</f>
        <v>4</v>
      </c>
    </row>
    <row r="245" spans="1:11" x14ac:dyDescent="0.25">
      <c r="A245" s="10">
        <f>'Pairings NB'!B1086</f>
        <v>1066</v>
      </c>
      <c r="B245" s="10" t="str">
        <f>'Pairings NB'!C1086</f>
        <v>12/10/2026</v>
      </c>
      <c r="C245" s="10" t="str">
        <f>'Pairings NB'!D1086</f>
        <v>lunes</v>
      </c>
      <c r="D245" s="10" t="str">
        <f>'Pairings NB'!E1086&amp;"/"&amp;'Pairings NB'!E1087</f>
        <v>2200/2201</v>
      </c>
      <c r="E245" s="10" t="str">
        <f>'Pairings NB'!F1086&amp;"-"&amp;'Pairings NB'!G1086&amp;"-"&amp;'Pairings NB'!F1086</f>
        <v>LIM-CUZ-LIM</v>
      </c>
      <c r="F245" s="10" t="str">
        <f>IFERROR(VLOOKUP('Pairings NB'!$M$1086,Instructores!$A:$C,2,FALSE),"")</f>
        <v/>
      </c>
      <c r="G245" s="10">
        <f>'Pairings NB'!$M$1086</f>
        <v>0</v>
      </c>
      <c r="H245" s="10">
        <f>'Pairings NB'!$O$1086</f>
        <v>0</v>
      </c>
      <c r="I245" s="10">
        <f>'Pairings NB'!J1086</f>
        <v>320</v>
      </c>
      <c r="J245" s="10" t="str">
        <f>IFERROR(VLOOKUP('Pairings NB'!$M$1086,Instructores!$A:$C,3,FALSE),"")</f>
        <v/>
      </c>
      <c r="K245" s="10">
        <f>IF('Pairings NB'!J1086=320,4,3)</f>
        <v>4</v>
      </c>
    </row>
    <row r="246" spans="1:11" x14ac:dyDescent="0.25">
      <c r="A246" s="10">
        <f>'Pairings NB'!B1091</f>
        <v>1109</v>
      </c>
      <c r="B246" s="10" t="str">
        <f>'Pairings NB'!C1091</f>
        <v>13/10/2026</v>
      </c>
      <c r="C246" s="10" t="str">
        <f>'Pairings NB'!D1091</f>
        <v>martes</v>
      </c>
      <c r="D246" s="10" t="str">
        <f>'Pairings NB'!E1091&amp;"/"&amp;'Pairings NB'!E1092</f>
        <v>2350/2351</v>
      </c>
      <c r="E246" s="10" t="str">
        <f>'Pairings NB'!F1091&amp;"-"&amp;'Pairings NB'!G1091&amp;"-"&amp;'Pairings NB'!F1091</f>
        <v>LIM-CJA-LIM</v>
      </c>
      <c r="F246" s="10" t="str">
        <f>IFERROR(VLOOKUP('Pairings NB'!$M$1091,Instructores!$A:$C,2,FALSE),"")</f>
        <v/>
      </c>
      <c r="G246" s="10">
        <f>'Pairings NB'!$M$1091</f>
        <v>0</v>
      </c>
      <c r="H246" s="10">
        <f>'Pairings NB'!$O$1091</f>
        <v>0</v>
      </c>
      <c r="I246" s="10">
        <f>'Pairings NB'!J1091</f>
        <v>320</v>
      </c>
      <c r="J246" s="10" t="str">
        <f>IFERROR(VLOOKUP('Pairings NB'!$M$1091,Instructores!$A:$C,3,FALSE),"")</f>
        <v/>
      </c>
      <c r="K246" s="10">
        <f>IF('Pairings NB'!J1091=320,4,3)</f>
        <v>4</v>
      </c>
    </row>
    <row r="247" spans="1:11" x14ac:dyDescent="0.25">
      <c r="A247" s="10">
        <f>'Pairings NB'!B1093</f>
        <v>1127</v>
      </c>
      <c r="B247" s="10" t="str">
        <f>'Pairings NB'!C1093</f>
        <v>13/10/2026</v>
      </c>
      <c r="C247" s="10" t="str">
        <f>'Pairings NB'!D1093</f>
        <v>martes</v>
      </c>
      <c r="D247" s="10" t="str">
        <f>'Pairings NB'!E1093&amp;"/"&amp;'Pairings NB'!E1094</f>
        <v>2087/2088</v>
      </c>
      <c r="E247" s="10" t="str">
        <f>'Pairings NB'!F1093&amp;"-"&amp;'Pairings NB'!G1093&amp;"-"&amp;'Pairings NB'!F1093</f>
        <v>LIM-TPP-LIM</v>
      </c>
      <c r="F247" s="10" t="str">
        <f>IFERROR(VLOOKUP('Pairings NB'!$M$1091,Instructores!$A:$C,2,FALSE),"")</f>
        <v/>
      </c>
      <c r="G247" s="10">
        <f>'Pairings NB'!$M$1091</f>
        <v>0</v>
      </c>
      <c r="H247" s="10">
        <f>'Pairings NB'!$O$1091</f>
        <v>0</v>
      </c>
      <c r="I247" s="10">
        <f>'Pairings NB'!J1093</f>
        <v>320</v>
      </c>
      <c r="J247" s="10" t="str">
        <f>IFERROR(VLOOKUP('Pairings NB'!$M$1091,Instructores!$A:$C,3,FALSE),"")</f>
        <v/>
      </c>
      <c r="K247" s="10">
        <f>IF('Pairings NB'!J1093=320,4,3)</f>
        <v>4</v>
      </c>
    </row>
    <row r="248" spans="1:11" x14ac:dyDescent="0.25">
      <c r="A248" s="10">
        <f>'Pairings NB'!B1098</f>
        <v>1110</v>
      </c>
      <c r="B248" s="10" t="str">
        <f>'Pairings NB'!C1098</f>
        <v>13/10/2026</v>
      </c>
      <c r="C248" s="10" t="str">
        <f>'Pairings NB'!D1098</f>
        <v>martes</v>
      </c>
      <c r="D248" s="10" t="str">
        <f>'Pairings NB'!E1098&amp;"/"&amp;'Pairings NB'!E1099</f>
        <v>2075/2076</v>
      </c>
      <c r="E248" s="10" t="str">
        <f>'Pairings NB'!F1098&amp;"-"&amp;'Pairings NB'!G1098&amp;"-"&amp;'Pairings NB'!F1098</f>
        <v>LIM-CUZ-LIM</v>
      </c>
      <c r="F248" s="10" t="str">
        <f>IFERROR(VLOOKUP('Pairings NB'!$M$1098,Instructores!$A:$C,2,FALSE),"")</f>
        <v/>
      </c>
      <c r="G248" s="10">
        <f>'Pairings NB'!$M$1098</f>
        <v>0</v>
      </c>
      <c r="H248" s="10">
        <f>'Pairings NB'!$O$1098</f>
        <v>0</v>
      </c>
      <c r="I248" s="10">
        <f>'Pairings NB'!J1098</f>
        <v>319</v>
      </c>
      <c r="J248" s="10" t="str">
        <f>IFERROR(VLOOKUP('Pairings NB'!$M$1098,Instructores!$A:$C,3,FALSE),"")</f>
        <v/>
      </c>
      <c r="K248" s="10">
        <f>IF('Pairings NB'!J1098=320,4,3)</f>
        <v>3</v>
      </c>
    </row>
    <row r="249" spans="1:11" x14ac:dyDescent="0.25">
      <c r="A249" s="10">
        <f>'Pairings NB'!B1100</f>
        <v>1134</v>
      </c>
      <c r="B249" s="10" t="str">
        <f>'Pairings NB'!C1100</f>
        <v>13/10/2026</v>
      </c>
      <c r="C249" s="10" t="str">
        <f>'Pairings NB'!D1100</f>
        <v>martes</v>
      </c>
      <c r="D249" s="10" t="str">
        <f>'Pairings NB'!E1100&amp;"/"&amp;'Pairings NB'!E1101</f>
        <v>2297/2296</v>
      </c>
      <c r="E249" s="10" t="str">
        <f>'Pairings NB'!F1100&amp;"-"&amp;'Pairings NB'!G1100&amp;"-"&amp;'Pairings NB'!F1100</f>
        <v>LIM-CJA-LIM</v>
      </c>
      <c r="F249" s="10" t="str">
        <f>IFERROR(VLOOKUP('Pairings NB'!$M$1098,Instructores!$A:$C,2,FALSE),"")</f>
        <v/>
      </c>
      <c r="G249" s="10">
        <f>'Pairings NB'!$M$1098</f>
        <v>0</v>
      </c>
      <c r="H249" s="10">
        <f>'Pairings NB'!$O$1098</f>
        <v>0</v>
      </c>
      <c r="I249" s="10">
        <f>'Pairings NB'!J1100</f>
        <v>320</v>
      </c>
      <c r="J249" s="10" t="str">
        <f>IFERROR(VLOOKUP('Pairings NB'!$M$1098,Instructores!$A:$C,3,FALSE),"")</f>
        <v/>
      </c>
      <c r="K249" s="10">
        <f>IF('Pairings NB'!J1100=320,4,3)</f>
        <v>4</v>
      </c>
    </row>
    <row r="250" spans="1:11" x14ac:dyDescent="0.25">
      <c r="A250" s="10">
        <f>'Pairings NB'!B1105</f>
        <v>1117</v>
      </c>
      <c r="B250" s="10" t="str">
        <f>'Pairings NB'!C1105</f>
        <v>13/10/2026</v>
      </c>
      <c r="C250" s="10" t="str">
        <f>'Pairings NB'!D1105</f>
        <v>martes</v>
      </c>
      <c r="D250" s="10" t="str">
        <f>'Pairings NB'!E1105&amp;"/"&amp;'Pairings NB'!E1106</f>
        <v>2043/2044</v>
      </c>
      <c r="E250" s="10" t="str">
        <f>'Pairings NB'!F1105&amp;"-"&amp;'Pairings NB'!G1105&amp;"-"&amp;'Pairings NB'!F1105</f>
        <v>LIM-AQP-LIM</v>
      </c>
      <c r="F250" s="10" t="str">
        <f>IFERROR(VLOOKUP('Pairings NB'!$M$1105,Instructores!$A:$C,2,FALSE),"")</f>
        <v/>
      </c>
      <c r="G250" s="10">
        <f>'Pairings NB'!$M$1105</f>
        <v>0</v>
      </c>
      <c r="H250" s="10">
        <f>'Pairings NB'!$O$1105</f>
        <v>0</v>
      </c>
      <c r="I250" s="10">
        <f>'Pairings NB'!J1105</f>
        <v>320</v>
      </c>
      <c r="J250" s="10" t="str">
        <f>IFERROR(VLOOKUP('Pairings NB'!$M$1105,Instructores!$A:$C,3,FALSE),"")</f>
        <v/>
      </c>
      <c r="K250" s="10">
        <f>IF('Pairings NB'!J1105=320,4,3)</f>
        <v>4</v>
      </c>
    </row>
    <row r="251" spans="1:11" x14ac:dyDescent="0.25">
      <c r="A251" s="10">
        <f>'Pairings NB'!B1110</f>
        <v>1121</v>
      </c>
      <c r="B251" s="10" t="str">
        <f>'Pairings NB'!C1110</f>
        <v>13/10/2026</v>
      </c>
      <c r="C251" s="10" t="str">
        <f>'Pairings NB'!D1110</f>
        <v>martes</v>
      </c>
      <c r="D251" s="10" t="str">
        <f>'Pairings NB'!E1110&amp;"/"&amp;'Pairings NB'!E1111</f>
        <v>2028/2029</v>
      </c>
      <c r="E251" s="10" t="str">
        <f>'Pairings NB'!F1110&amp;"-"&amp;'Pairings NB'!G1110&amp;"-"&amp;'Pairings NB'!F1110</f>
        <v>LIM-CUZ-LIM</v>
      </c>
      <c r="F251" s="10" t="str">
        <f>IFERROR(VLOOKUP('Pairings NB'!$M$1110,Instructores!$A:$C,2,FALSE),"")</f>
        <v/>
      </c>
      <c r="G251" s="10">
        <f>'Pairings NB'!$M$1110</f>
        <v>0</v>
      </c>
      <c r="H251" s="10">
        <f>'Pairings NB'!$O$1110</f>
        <v>0</v>
      </c>
      <c r="I251" s="10">
        <f>'Pairings NB'!J1110</f>
        <v>320</v>
      </c>
      <c r="J251" s="10" t="str">
        <f>IFERROR(VLOOKUP('Pairings NB'!$M$1110,Instructores!$A:$C,3,FALSE),"")</f>
        <v/>
      </c>
      <c r="K251" s="10">
        <f>IF('Pairings NB'!J1110=320,4,3)</f>
        <v>4</v>
      </c>
    </row>
    <row r="252" spans="1:11" x14ac:dyDescent="0.25">
      <c r="A252" s="10">
        <f>'Pairings NB'!B1115</f>
        <v>1122</v>
      </c>
      <c r="B252" s="10" t="str">
        <f>'Pairings NB'!C1115</f>
        <v>13/10/2026</v>
      </c>
      <c r="C252" s="10" t="str">
        <f>'Pairings NB'!D1115</f>
        <v>martes</v>
      </c>
      <c r="D252" s="10" t="str">
        <f>'Pairings NB'!E1115&amp;"/"&amp;'Pairings NB'!E1116</f>
        <v>2234/2235</v>
      </c>
      <c r="E252" s="10" t="str">
        <f>'Pairings NB'!F1115&amp;"-"&amp;'Pairings NB'!G1115&amp;"-"&amp;'Pairings NB'!F1115</f>
        <v>LIM-IQT-LIM</v>
      </c>
      <c r="F252" s="10" t="str">
        <f>IFERROR(VLOOKUP('Pairings NB'!$M$1115,Instructores!$A:$C,2,FALSE),"")</f>
        <v/>
      </c>
      <c r="G252" s="10">
        <f>'Pairings NB'!$M$1115</f>
        <v>0</v>
      </c>
      <c r="H252" s="10">
        <f>'Pairings NB'!$O$1115</f>
        <v>0</v>
      </c>
      <c r="I252" s="10">
        <f>'Pairings NB'!J1115</f>
        <v>320</v>
      </c>
      <c r="J252" s="10" t="str">
        <f>IFERROR(VLOOKUP('Pairings NB'!$M$1115,Instructores!$A:$C,3,FALSE),"")</f>
        <v/>
      </c>
      <c r="K252" s="10">
        <f>IF('Pairings NB'!J1115=320,4,3)</f>
        <v>4</v>
      </c>
    </row>
    <row r="253" spans="1:11" x14ac:dyDescent="0.25">
      <c r="A253" s="10">
        <f>'Pairings NB'!B1120</f>
        <v>1125</v>
      </c>
      <c r="B253" s="10" t="str">
        <f>'Pairings NB'!C1120</f>
        <v>13/10/2026</v>
      </c>
      <c r="C253" s="10" t="str">
        <f>'Pairings NB'!D1120</f>
        <v>martes</v>
      </c>
      <c r="D253" s="10" t="str">
        <f>'Pairings NB'!E1120&amp;"/"&amp;'Pairings NB'!E1121</f>
        <v>2055/2056</v>
      </c>
      <c r="E253" s="10" t="str">
        <f>'Pairings NB'!F1120&amp;"-"&amp;'Pairings NB'!G1120&amp;"-"&amp;'Pairings NB'!F1120</f>
        <v>LIM-AQP-LIM</v>
      </c>
      <c r="F253" s="10" t="str">
        <f>IFERROR(VLOOKUP('Pairings NB'!$M$1120,Instructores!$A:$C,2,FALSE),"")</f>
        <v/>
      </c>
      <c r="G253" s="10">
        <f>'Pairings NB'!$M$1120</f>
        <v>0</v>
      </c>
      <c r="H253" s="10">
        <f>'Pairings NB'!$O$1120</f>
        <v>0</v>
      </c>
      <c r="I253" s="10">
        <f>'Pairings NB'!J1120</f>
        <v>320</v>
      </c>
      <c r="J253" s="10" t="str">
        <f>IFERROR(VLOOKUP('Pairings NB'!$M$1120,Instructores!$A:$C,3,FALSE),"")</f>
        <v/>
      </c>
      <c r="K253" s="10">
        <f>IF('Pairings NB'!J1120=320,4,3)</f>
        <v>4</v>
      </c>
    </row>
    <row r="254" spans="1:11" x14ac:dyDescent="0.25">
      <c r="A254" s="10">
        <f>'Pairings NB'!B1125</f>
        <v>1128</v>
      </c>
      <c r="B254" s="10" t="str">
        <f>'Pairings NB'!C1125</f>
        <v>13/10/2026</v>
      </c>
      <c r="C254" s="10" t="str">
        <f>'Pairings NB'!D1125</f>
        <v>martes</v>
      </c>
      <c r="D254" s="10" t="str">
        <f>'Pairings NB'!E1125&amp;"/"&amp;'Pairings NB'!E1126</f>
        <v>2295/2294</v>
      </c>
      <c r="E254" s="10" t="str">
        <f>'Pairings NB'!F1125&amp;"-"&amp;'Pairings NB'!G1125&amp;"-"&amp;'Pairings NB'!F1125</f>
        <v>LIM-CJA-LIM</v>
      </c>
      <c r="F254" s="10" t="str">
        <f>IFERROR(VLOOKUP('Pairings NB'!$M$1125,Instructores!$A:$C,2,FALSE),"")</f>
        <v/>
      </c>
      <c r="G254" s="10">
        <f>'Pairings NB'!$M$1125</f>
        <v>0</v>
      </c>
      <c r="H254" s="10">
        <f>'Pairings NB'!$O$1125</f>
        <v>0</v>
      </c>
      <c r="I254" s="10">
        <f>'Pairings NB'!J1125</f>
        <v>320</v>
      </c>
      <c r="J254" s="10" t="str">
        <f>IFERROR(VLOOKUP('Pairings NB'!$M$1125,Instructores!$A:$C,3,FALSE),"")</f>
        <v/>
      </c>
      <c r="K254" s="10">
        <f>IF('Pairings NB'!J1125=320,4,3)</f>
        <v>4</v>
      </c>
    </row>
    <row r="255" spans="1:11" x14ac:dyDescent="0.25">
      <c r="A255" s="10">
        <f>'Pairings NB'!B1130</f>
        <v>1130</v>
      </c>
      <c r="B255" s="10" t="str">
        <f>'Pairings NB'!C1130</f>
        <v>13/10/2026</v>
      </c>
      <c r="C255" s="10" t="str">
        <f>'Pairings NB'!D1130</f>
        <v>martes</v>
      </c>
      <c r="D255" s="10" t="str">
        <f>'Pairings NB'!E1130&amp;"/"&amp;'Pairings NB'!E1131</f>
        <v>2154/2155</v>
      </c>
      <c r="E255" s="10" t="str">
        <f>'Pairings NB'!F1130&amp;"-"&amp;'Pairings NB'!G1130&amp;"-"&amp;'Pairings NB'!F1130</f>
        <v>LIM-CUZ-LIM</v>
      </c>
      <c r="F255" s="10" t="str">
        <f>IFERROR(VLOOKUP('Pairings NB'!$M$1130,Instructores!$A:$C,2,FALSE),"")</f>
        <v/>
      </c>
      <c r="G255" s="10">
        <f>'Pairings NB'!$M$1130</f>
        <v>0</v>
      </c>
      <c r="H255" s="10">
        <f>'Pairings NB'!$O$1130</f>
        <v>0</v>
      </c>
      <c r="I255" s="10">
        <f>'Pairings NB'!J1130</f>
        <v>319</v>
      </c>
      <c r="J255" s="10" t="str">
        <f>IFERROR(VLOOKUP('Pairings NB'!$M$1130,Instructores!$A:$C,3,FALSE),"")</f>
        <v/>
      </c>
      <c r="K255" s="10">
        <f>IF('Pairings NB'!J1130=320,4,3)</f>
        <v>3</v>
      </c>
    </row>
    <row r="256" spans="1:11" x14ac:dyDescent="0.25">
      <c r="A256" s="10">
        <f>'Pairings NB'!B1135</f>
        <v>1131</v>
      </c>
      <c r="B256" s="10" t="str">
        <f>'Pairings NB'!C1135</f>
        <v>13/10/2026</v>
      </c>
      <c r="C256" s="10" t="str">
        <f>'Pairings NB'!D1135</f>
        <v>martes</v>
      </c>
      <c r="D256" s="10" t="str">
        <f>'Pairings NB'!E1135&amp;"/"&amp;'Pairings NB'!E1136</f>
        <v>2338/2339</v>
      </c>
      <c r="E256" s="10" t="str">
        <f>'Pairings NB'!F1135&amp;"-"&amp;'Pairings NB'!G1135&amp;"-"&amp;'Pairings NB'!F1135</f>
        <v>LIM-PIU-LIM</v>
      </c>
      <c r="F256" s="10" t="str">
        <f>IFERROR(VLOOKUP('Pairings NB'!$M$1135,Instructores!$A:$C,2,FALSE),"")</f>
        <v/>
      </c>
      <c r="G256" s="10">
        <f>'Pairings NB'!$M$1135</f>
        <v>0</v>
      </c>
      <c r="H256" s="10">
        <f>'Pairings NB'!$O$1135</f>
        <v>0</v>
      </c>
      <c r="I256" s="10">
        <f>'Pairings NB'!J1135</f>
        <v>319</v>
      </c>
      <c r="J256" s="10" t="str">
        <f>IFERROR(VLOOKUP('Pairings NB'!$M$1135,Instructores!$A:$C,3,FALSE),"")</f>
        <v/>
      </c>
      <c r="K256" s="10">
        <f>IF('Pairings NB'!J1135=320,4,3)</f>
        <v>3</v>
      </c>
    </row>
    <row r="257" spans="1:11" x14ac:dyDescent="0.25">
      <c r="A257" s="10">
        <f>'Pairings NB'!B1140</f>
        <v>1132</v>
      </c>
      <c r="B257" s="10" t="str">
        <f>'Pairings NB'!C1140</f>
        <v>13/10/2026</v>
      </c>
      <c r="C257" s="10" t="str">
        <f>'Pairings NB'!D1140</f>
        <v>martes</v>
      </c>
      <c r="D257" s="10" t="str">
        <f>'Pairings NB'!E1140&amp;"/"&amp;'Pairings NB'!E1141</f>
        <v>2113/2112</v>
      </c>
      <c r="E257" s="10" t="str">
        <f>'Pairings NB'!F1140&amp;"-"&amp;'Pairings NB'!G1140&amp;"-"&amp;'Pairings NB'!F1140</f>
        <v>LIM-AQP-LIM</v>
      </c>
      <c r="F257" s="10" t="str">
        <f>IFERROR(VLOOKUP('Pairings NB'!$M$1140,Instructores!$A:$C,2,FALSE),"")</f>
        <v/>
      </c>
      <c r="G257" s="10">
        <f>'Pairings NB'!$M$1140</f>
        <v>0</v>
      </c>
      <c r="H257" s="10">
        <f>'Pairings NB'!$O$1140</f>
        <v>0</v>
      </c>
      <c r="I257" s="10">
        <f>'Pairings NB'!J1140</f>
        <v>319</v>
      </c>
      <c r="J257" s="10" t="str">
        <f>IFERROR(VLOOKUP('Pairings NB'!$M$1140,Instructores!$A:$C,3,FALSE),"")</f>
        <v/>
      </c>
      <c r="K257" s="10">
        <f>IF('Pairings NB'!J1140=320,4,3)</f>
        <v>3</v>
      </c>
    </row>
    <row r="258" spans="1:11" x14ac:dyDescent="0.25">
      <c r="A258" s="10">
        <f>'Pairings NB'!B1145</f>
        <v>1135</v>
      </c>
      <c r="B258" s="10" t="str">
        <f>'Pairings NB'!C1145</f>
        <v>13/10/2026</v>
      </c>
      <c r="C258" s="10" t="str">
        <f>'Pairings NB'!D1145</f>
        <v>martes</v>
      </c>
      <c r="D258" s="10" t="str">
        <f>'Pairings NB'!E1145&amp;"/"&amp;'Pairings NB'!E1146</f>
        <v>2360/2361</v>
      </c>
      <c r="E258" s="10" t="str">
        <f>'Pairings NB'!F1145&amp;"-"&amp;'Pairings NB'!G1145&amp;"-"&amp;'Pairings NB'!F1145</f>
        <v>LIM-PCL-LIM</v>
      </c>
      <c r="F258" s="10" t="str">
        <f>IFERROR(VLOOKUP('Pairings NB'!$M$1145,Instructores!$A:$C,2,FALSE),"")</f>
        <v/>
      </c>
      <c r="G258" s="10">
        <f>'Pairings NB'!$M$1145</f>
        <v>0</v>
      </c>
      <c r="H258" s="10">
        <f>'Pairings NB'!$O$1145</f>
        <v>0</v>
      </c>
      <c r="I258" s="10">
        <f>'Pairings NB'!J1145</f>
        <v>320</v>
      </c>
      <c r="J258" s="10" t="str">
        <f>IFERROR(VLOOKUP('Pairings NB'!$M$1145,Instructores!$A:$C,3,FALSE),"")</f>
        <v/>
      </c>
      <c r="K258" s="10">
        <f>IF('Pairings NB'!J1145=320,4,3)</f>
        <v>4</v>
      </c>
    </row>
    <row r="259" spans="1:11" x14ac:dyDescent="0.25">
      <c r="A259" s="10">
        <f>'Pairings NB'!B1150</f>
        <v>1136</v>
      </c>
      <c r="B259" s="10" t="str">
        <f>'Pairings NB'!C1150</f>
        <v>13/10/2026</v>
      </c>
      <c r="C259" s="10" t="str">
        <f>'Pairings NB'!D1150</f>
        <v>martes</v>
      </c>
      <c r="D259" s="10" t="str">
        <f>'Pairings NB'!E1150&amp;"/"&amp;'Pairings NB'!E1151</f>
        <v>2312/2313</v>
      </c>
      <c r="E259" s="10" t="str">
        <f>'Pairings NB'!F1150&amp;"-"&amp;'Pairings NB'!G1150&amp;"-"&amp;'Pairings NB'!F1150</f>
        <v>LIM-CIX-LIM</v>
      </c>
      <c r="F259" s="10" t="str">
        <f>IFERROR(VLOOKUP('Pairings NB'!$M$1150,Instructores!$A:$C,2,FALSE),"")</f>
        <v/>
      </c>
      <c r="G259" s="10">
        <f>'Pairings NB'!$M$1150</f>
        <v>0</v>
      </c>
      <c r="H259" s="10">
        <f>'Pairings NB'!$O$1150</f>
        <v>0</v>
      </c>
      <c r="I259" s="10">
        <f>'Pairings NB'!J1150</f>
        <v>320</v>
      </c>
      <c r="J259" s="10" t="str">
        <f>IFERROR(VLOOKUP('Pairings NB'!$M$1150,Instructores!$A:$C,3,FALSE),"")</f>
        <v/>
      </c>
      <c r="K259" s="10">
        <f>IF('Pairings NB'!J1150=320,4,3)</f>
        <v>4</v>
      </c>
    </row>
    <row r="260" spans="1:11" x14ac:dyDescent="0.25">
      <c r="A260" s="10">
        <f>'Pairings NB'!B1155</f>
        <v>1137</v>
      </c>
      <c r="B260" s="10" t="str">
        <f>'Pairings NB'!C1155</f>
        <v>13/10/2026</v>
      </c>
      <c r="C260" s="10" t="str">
        <f>'Pairings NB'!D1155</f>
        <v>martes</v>
      </c>
      <c r="D260" s="10" t="str">
        <f>'Pairings NB'!E1155&amp;"/"&amp;'Pairings NB'!E1156</f>
        <v>2301/2300</v>
      </c>
      <c r="E260" s="10" t="str">
        <f>'Pairings NB'!F1155&amp;"-"&amp;'Pairings NB'!G1155&amp;"-"&amp;'Pairings NB'!F1155</f>
        <v>LIM-TPP-LIM</v>
      </c>
      <c r="F260" s="10" t="str">
        <f>IFERROR(VLOOKUP('Pairings NB'!$M$1155,Instructores!$A:$C,2,FALSE),"")</f>
        <v/>
      </c>
      <c r="G260" s="10">
        <f>'Pairings NB'!$M$1155</f>
        <v>0</v>
      </c>
      <c r="H260" s="10">
        <f>'Pairings NB'!$O$1155</f>
        <v>0</v>
      </c>
      <c r="I260" s="10">
        <f>'Pairings NB'!J1155</f>
        <v>320</v>
      </c>
      <c r="J260" s="10" t="str">
        <f>IFERROR(VLOOKUP('Pairings NB'!$M$1155,Instructores!$A:$C,3,FALSE),"")</f>
        <v/>
      </c>
      <c r="K260" s="10">
        <f>IF('Pairings NB'!J1155=320,4,3)</f>
        <v>4</v>
      </c>
    </row>
    <row r="261" spans="1:11" x14ac:dyDescent="0.25">
      <c r="A261" s="10">
        <f>'Pairings NB'!B1160</f>
        <v>1141</v>
      </c>
      <c r="B261" s="10" t="str">
        <f>'Pairings NB'!C1160</f>
        <v>13/10/2026</v>
      </c>
      <c r="C261" s="10" t="str">
        <f>'Pairings NB'!D1160</f>
        <v>martes</v>
      </c>
      <c r="D261" s="10" t="str">
        <f>'Pairings NB'!E1160&amp;"/"&amp;'Pairings NB'!E1161</f>
        <v>2276/2277</v>
      </c>
      <c r="E261" s="10" t="str">
        <f>'Pairings NB'!F1160&amp;"-"&amp;'Pairings NB'!G1160&amp;"-"&amp;'Pairings NB'!F1160</f>
        <v>LIM-CUZ-LIM</v>
      </c>
      <c r="F261" s="10" t="str">
        <f>IFERROR(VLOOKUP('Pairings NB'!$M$1160,Instructores!$A:$C,2,FALSE),"")</f>
        <v/>
      </c>
      <c r="G261" s="10">
        <f>'Pairings NB'!$M$1160</f>
        <v>0</v>
      </c>
      <c r="H261" s="10">
        <f>'Pairings NB'!$O$1160</f>
        <v>0</v>
      </c>
      <c r="I261" s="10">
        <f>'Pairings NB'!J1160</f>
        <v>320</v>
      </c>
      <c r="J261" s="10" t="str">
        <f>IFERROR(VLOOKUP('Pairings NB'!$M$1160,Instructores!$A:$C,3,FALSE),"")</f>
        <v/>
      </c>
      <c r="K261" s="10">
        <f>IF('Pairings NB'!J1160=320,4,3)</f>
        <v>4</v>
      </c>
    </row>
    <row r="262" spans="1:11" x14ac:dyDescent="0.25">
      <c r="A262" s="10">
        <f>'Pairings NB'!B1165</f>
        <v>1189</v>
      </c>
      <c r="B262" s="10" t="str">
        <f>'Pairings NB'!C1165</f>
        <v>14/10/2026</v>
      </c>
      <c r="C262" s="10" t="str">
        <f>'Pairings NB'!D1165</f>
        <v>miércoles</v>
      </c>
      <c r="D262" s="10" t="str">
        <f>'Pairings NB'!E1165&amp;"/"&amp;'Pairings NB'!E1166</f>
        <v>2350/2351</v>
      </c>
      <c r="E262" s="10" t="str">
        <f>'Pairings NB'!F1165&amp;"-"&amp;'Pairings NB'!G1165&amp;"-"&amp;'Pairings NB'!F1165</f>
        <v>LIM-CJA-LIM</v>
      </c>
      <c r="F262" s="10" t="str">
        <f>IFERROR(VLOOKUP('Pairings NB'!$M$1165,Instructores!$A:$C,2,FALSE),"")</f>
        <v/>
      </c>
      <c r="G262" s="10">
        <f>'Pairings NB'!$M$1165</f>
        <v>0</v>
      </c>
      <c r="H262" s="10">
        <f>'Pairings NB'!$O$1165</f>
        <v>0</v>
      </c>
      <c r="I262" s="10">
        <f>'Pairings NB'!J1165</f>
        <v>320</v>
      </c>
      <c r="J262" s="10" t="str">
        <f>IFERROR(VLOOKUP('Pairings NB'!$M$1165,Instructores!$A:$C,3,FALSE),"")</f>
        <v/>
      </c>
      <c r="K262" s="10">
        <f>IF('Pairings NB'!J1165=320,4,3)</f>
        <v>4</v>
      </c>
    </row>
    <row r="263" spans="1:11" x14ac:dyDescent="0.25">
      <c r="A263" s="10">
        <f>'Pairings NB'!B1167</f>
        <v>1208</v>
      </c>
      <c r="B263" s="10" t="str">
        <f>'Pairings NB'!C1167</f>
        <v>14/10/2026</v>
      </c>
      <c r="C263" s="10" t="str">
        <f>'Pairings NB'!D1167</f>
        <v>miércoles</v>
      </c>
      <c r="D263" s="10" t="str">
        <f>'Pairings NB'!E1167&amp;"/"&amp;'Pairings NB'!E1168</f>
        <v>2087/2088</v>
      </c>
      <c r="E263" s="10" t="str">
        <f>'Pairings NB'!F1167&amp;"-"&amp;'Pairings NB'!G1167&amp;"-"&amp;'Pairings NB'!F1167</f>
        <v>LIM-TPP-LIM</v>
      </c>
      <c r="F263" s="10" t="str">
        <f>IFERROR(VLOOKUP('Pairings NB'!$M$1165,Instructores!$A:$C,2,FALSE),"")</f>
        <v/>
      </c>
      <c r="G263" s="10">
        <f>'Pairings NB'!$M$1165</f>
        <v>0</v>
      </c>
      <c r="H263" s="10">
        <f>'Pairings NB'!$O$1165</f>
        <v>0</v>
      </c>
      <c r="I263" s="10">
        <f>'Pairings NB'!J1167</f>
        <v>320</v>
      </c>
      <c r="J263" s="10" t="str">
        <f>IFERROR(VLOOKUP('Pairings NB'!$M$1165,Instructores!$A:$C,3,FALSE),"")</f>
        <v/>
      </c>
      <c r="K263" s="10">
        <f>IF('Pairings NB'!J1167=320,4,3)</f>
        <v>4</v>
      </c>
    </row>
    <row r="264" spans="1:11" x14ac:dyDescent="0.25">
      <c r="A264" s="10">
        <f>'Pairings NB'!B1172</f>
        <v>1190</v>
      </c>
      <c r="B264" s="10" t="str">
        <f>'Pairings NB'!C1172</f>
        <v>14/10/2026</v>
      </c>
      <c r="C264" s="10" t="str">
        <f>'Pairings NB'!D1172</f>
        <v>miércoles</v>
      </c>
      <c r="D264" s="10" t="str">
        <f>'Pairings NB'!E1172&amp;"/"&amp;'Pairings NB'!E1173</f>
        <v>2350/2351</v>
      </c>
      <c r="E264" s="10" t="str">
        <f>'Pairings NB'!F1172&amp;"-"&amp;'Pairings NB'!G1172&amp;"-"&amp;'Pairings NB'!F1172</f>
        <v>LIM-CJA-LIM</v>
      </c>
      <c r="F264" s="10" t="str">
        <f>IFERROR(VLOOKUP('Pairings NB'!$M$1172,Instructores!$A:$C,2,FALSE),"")</f>
        <v/>
      </c>
      <c r="G264" s="10">
        <f>'Pairings NB'!$M$1172</f>
        <v>0</v>
      </c>
      <c r="H264" s="10">
        <f>'Pairings NB'!$O$1172</f>
        <v>0</v>
      </c>
      <c r="I264" s="10">
        <f>'Pairings NB'!J1172</f>
        <v>320</v>
      </c>
      <c r="J264" s="10" t="str">
        <f>IFERROR(VLOOKUP('Pairings NB'!$M$1172,Instructores!$A:$C,3,FALSE),"")</f>
        <v/>
      </c>
      <c r="K264" s="10">
        <f>IF('Pairings NB'!J1172=320,4,3)</f>
        <v>4</v>
      </c>
    </row>
    <row r="265" spans="1:11" x14ac:dyDescent="0.25">
      <c r="A265" s="10">
        <f>'Pairings NB'!B1174</f>
        <v>1209</v>
      </c>
      <c r="B265" s="10" t="str">
        <f>'Pairings NB'!C1174</f>
        <v>14/10/2026</v>
      </c>
      <c r="C265" s="10" t="str">
        <f>'Pairings NB'!D1174</f>
        <v>miércoles</v>
      </c>
      <c r="D265" s="10" t="str">
        <f>'Pairings NB'!E1174&amp;"/"&amp;'Pairings NB'!E1175</f>
        <v>2295/2294</v>
      </c>
      <c r="E265" s="10" t="str">
        <f>'Pairings NB'!F1174&amp;"-"&amp;'Pairings NB'!G1174&amp;"-"&amp;'Pairings NB'!F1174</f>
        <v>LIM-CJA-LIM</v>
      </c>
      <c r="F265" s="10" t="str">
        <f>IFERROR(VLOOKUP('Pairings NB'!$M$1172,Instructores!$A:$C,2,FALSE),"")</f>
        <v/>
      </c>
      <c r="G265" s="10">
        <f>'Pairings NB'!$M$1172</f>
        <v>0</v>
      </c>
      <c r="H265" s="10">
        <f>'Pairings NB'!$O$1172</f>
        <v>0</v>
      </c>
      <c r="I265" s="10">
        <f>'Pairings NB'!J1174</f>
        <v>319</v>
      </c>
      <c r="J265" s="10" t="str">
        <f>IFERROR(VLOOKUP('Pairings NB'!$M$1172,Instructores!$A:$C,3,FALSE),"")</f>
        <v/>
      </c>
      <c r="K265" s="10">
        <f>IF('Pairings NB'!J1174=320,4,3)</f>
        <v>3</v>
      </c>
    </row>
    <row r="266" spans="1:11" x14ac:dyDescent="0.25">
      <c r="A266" s="10">
        <f>'Pairings NB'!B1179</f>
        <v>1191</v>
      </c>
      <c r="B266" s="10" t="str">
        <f>'Pairings NB'!C1179</f>
        <v>14/10/2026</v>
      </c>
      <c r="C266" s="10" t="str">
        <f>'Pairings NB'!D1179</f>
        <v>miércoles</v>
      </c>
      <c r="D266" s="10" t="str">
        <f>'Pairings NB'!E1179&amp;"/"&amp;'Pairings NB'!E1180</f>
        <v>2019/2038</v>
      </c>
      <c r="E266" s="10" t="str">
        <f>'Pairings NB'!F1179&amp;"-"&amp;'Pairings NB'!G1179&amp;"-"&amp;'Pairings NB'!F1179</f>
        <v>LIM-IQT-LIM</v>
      </c>
      <c r="F266" s="10" t="str">
        <f>IFERROR(VLOOKUP('Pairings NB'!$M$1179,Instructores!$A:$C,2,FALSE),"")</f>
        <v/>
      </c>
      <c r="G266" s="10">
        <f>'Pairings NB'!$M$1179</f>
        <v>0</v>
      </c>
      <c r="H266" s="10">
        <f>'Pairings NB'!$O$1179</f>
        <v>0</v>
      </c>
      <c r="I266" s="10">
        <f>'Pairings NB'!J1179</f>
        <v>320</v>
      </c>
      <c r="J266" s="10" t="str">
        <f>IFERROR(VLOOKUP('Pairings NB'!$M$1179,Instructores!$A:$C,3,FALSE),"")</f>
        <v/>
      </c>
      <c r="K266" s="10">
        <f>IF('Pairings NB'!J1179=320,4,3)</f>
        <v>4</v>
      </c>
    </row>
    <row r="267" spans="1:11" x14ac:dyDescent="0.25">
      <c r="A267" s="10">
        <f>'Pairings NB'!B1184</f>
        <v>1192</v>
      </c>
      <c r="B267" s="10" t="str">
        <f>'Pairings NB'!C1184</f>
        <v>14/10/2026</v>
      </c>
      <c r="C267" s="10" t="str">
        <f>'Pairings NB'!D1184</f>
        <v>miércoles</v>
      </c>
      <c r="D267" s="10" t="str">
        <f>'Pairings NB'!E1184&amp;"/"&amp;'Pairings NB'!E1185</f>
        <v>2299/2298</v>
      </c>
      <c r="E267" s="10" t="str">
        <f>'Pairings NB'!F1184&amp;"-"&amp;'Pairings NB'!G1184&amp;"-"&amp;'Pairings NB'!F1184</f>
        <v>LIM-CJA-LIM</v>
      </c>
      <c r="F267" s="10" t="str">
        <f>IFERROR(VLOOKUP('Pairings NB'!$M$1184,Instructores!$A:$C,2,FALSE),"")</f>
        <v/>
      </c>
      <c r="G267" s="10">
        <f>'Pairings NB'!$M$1184</f>
        <v>0</v>
      </c>
      <c r="H267" s="10">
        <f>'Pairings NB'!$O$1184</f>
        <v>0</v>
      </c>
      <c r="I267" s="10">
        <f>'Pairings NB'!J1184</f>
        <v>319</v>
      </c>
      <c r="J267" s="10" t="str">
        <f>IFERROR(VLOOKUP('Pairings NB'!$M$1184,Instructores!$A:$C,3,FALSE),"")</f>
        <v/>
      </c>
      <c r="K267" s="10">
        <f>IF('Pairings NB'!J1184=320,4,3)</f>
        <v>3</v>
      </c>
    </row>
    <row r="268" spans="1:11" x14ac:dyDescent="0.25">
      <c r="A268" s="10">
        <f>'Pairings NB'!B1186</f>
        <v>1221</v>
      </c>
      <c r="B268" s="10" t="str">
        <f>'Pairings NB'!C1186</f>
        <v>14/10/2026</v>
      </c>
      <c r="C268" s="10" t="str">
        <f>'Pairings NB'!D1186</f>
        <v>miércoles</v>
      </c>
      <c r="D268" s="10" t="str">
        <f>'Pairings NB'!E1186&amp;"/"&amp;'Pairings NB'!E1187</f>
        <v>2127/2026</v>
      </c>
      <c r="E268" s="10" t="str">
        <f>'Pairings NB'!F1186&amp;"-"&amp;'Pairings NB'!G1186&amp;"-"&amp;'Pairings NB'!F1186</f>
        <v>LIM-CUZ-LIM</v>
      </c>
      <c r="F268" s="10" t="str">
        <f>IFERROR(VLOOKUP('Pairings NB'!$M$1184,Instructores!$A:$C,2,FALSE),"")</f>
        <v/>
      </c>
      <c r="G268" s="10">
        <f>'Pairings NB'!$M$1184</f>
        <v>0</v>
      </c>
      <c r="H268" s="10">
        <f>'Pairings NB'!$O$1184</f>
        <v>0</v>
      </c>
      <c r="I268" s="10">
        <f>'Pairings NB'!J1186</f>
        <v>320</v>
      </c>
      <c r="J268" s="10" t="str">
        <f>IFERROR(VLOOKUP('Pairings NB'!$M$1184,Instructores!$A:$C,3,FALSE),"")</f>
        <v/>
      </c>
      <c r="K268" s="10">
        <f>IF('Pairings NB'!J1186=320,4,3)</f>
        <v>4</v>
      </c>
    </row>
    <row r="269" spans="1:11" x14ac:dyDescent="0.25">
      <c r="A269" s="10">
        <f>'Pairings NB'!B1191</f>
        <v>1194</v>
      </c>
      <c r="B269" s="10" t="str">
        <f>'Pairings NB'!C1191</f>
        <v>14/10/2026</v>
      </c>
      <c r="C269" s="10" t="str">
        <f>'Pairings NB'!D1191</f>
        <v>miércoles</v>
      </c>
      <c r="D269" s="10" t="str">
        <f>'Pairings NB'!E1191&amp;"/"&amp;'Pairings NB'!E1192</f>
        <v>2061/2062</v>
      </c>
      <c r="E269" s="10" t="str">
        <f>'Pairings NB'!F1191&amp;"-"&amp;'Pairings NB'!G1191&amp;"-"&amp;'Pairings NB'!F1191</f>
        <v>LIM-CUZ-LIM</v>
      </c>
      <c r="F269" s="10" t="str">
        <f>IFERROR(VLOOKUP('Pairings NB'!$M$1191,Instructores!$A:$C,2,FALSE),"")</f>
        <v/>
      </c>
      <c r="G269" s="10">
        <f>'Pairings NB'!$M$1191</f>
        <v>0</v>
      </c>
      <c r="H269" s="10">
        <f>'Pairings NB'!$O$1191</f>
        <v>0</v>
      </c>
      <c r="I269" s="10">
        <f>'Pairings NB'!J1191</f>
        <v>320</v>
      </c>
      <c r="J269" s="10" t="str">
        <f>IFERROR(VLOOKUP('Pairings NB'!$M$1191,Instructores!$A:$C,3,FALSE),"")</f>
        <v/>
      </c>
      <c r="K269" s="10">
        <f>IF('Pairings NB'!J1191=320,4,3)</f>
        <v>4</v>
      </c>
    </row>
    <row r="270" spans="1:11" x14ac:dyDescent="0.25">
      <c r="A270" s="10">
        <f>'Pairings NB'!B1193</f>
        <v>1222</v>
      </c>
      <c r="B270" s="10" t="str">
        <f>'Pairings NB'!C1193</f>
        <v>14/10/2026</v>
      </c>
      <c r="C270" s="10" t="str">
        <f>'Pairings NB'!D1193</f>
        <v>miércoles</v>
      </c>
      <c r="D270" s="10" t="str">
        <f>'Pairings NB'!E1193&amp;"/"&amp;'Pairings NB'!E1194</f>
        <v>2127/2026</v>
      </c>
      <c r="E270" s="10" t="str">
        <f>'Pairings NB'!F1193&amp;"-"&amp;'Pairings NB'!G1193&amp;"-"&amp;'Pairings NB'!F1193</f>
        <v>LIM-CUZ-LIM</v>
      </c>
      <c r="F270" s="10" t="str">
        <f>IFERROR(VLOOKUP('Pairings NB'!$M$1191,Instructores!$A:$C,2,FALSE),"")</f>
        <v/>
      </c>
      <c r="G270" s="10">
        <f>'Pairings NB'!$M$1191</f>
        <v>0</v>
      </c>
      <c r="H270" s="10">
        <f>'Pairings NB'!$O$1191</f>
        <v>0</v>
      </c>
      <c r="I270" s="10">
        <f>'Pairings NB'!J1193</f>
        <v>320</v>
      </c>
      <c r="J270" s="10" t="str">
        <f>IFERROR(VLOOKUP('Pairings NB'!$M$1191,Instructores!$A:$C,3,FALSE),"")</f>
        <v/>
      </c>
      <c r="K270" s="10">
        <f>IF('Pairings NB'!J1193=320,4,3)</f>
        <v>4</v>
      </c>
    </row>
    <row r="271" spans="1:11" x14ac:dyDescent="0.25">
      <c r="A271" s="10">
        <f>'Pairings NB'!B1198</f>
        <v>1196</v>
      </c>
      <c r="B271" s="10" t="str">
        <f>'Pairings NB'!C1198</f>
        <v>14/10/2026</v>
      </c>
      <c r="C271" s="10" t="str">
        <f>'Pairings NB'!D1198</f>
        <v>miércoles</v>
      </c>
      <c r="D271" s="10" t="str">
        <f>'Pairings NB'!E1198&amp;"/"&amp;'Pairings NB'!E1199</f>
        <v>2356/2357</v>
      </c>
      <c r="E271" s="10" t="str">
        <f>'Pairings NB'!F1198&amp;"-"&amp;'Pairings NB'!G1198&amp;"-"&amp;'Pairings NB'!F1198</f>
        <v>LIM-CUZ-LIM</v>
      </c>
      <c r="F271" s="10" t="str">
        <f>IFERROR(VLOOKUP('Pairings NB'!$M$1198,Instructores!$A:$C,2,FALSE),"")</f>
        <v/>
      </c>
      <c r="G271" s="10">
        <f>'Pairings NB'!$M$1198</f>
        <v>0</v>
      </c>
      <c r="H271" s="10">
        <f>'Pairings NB'!$O$1198</f>
        <v>0</v>
      </c>
      <c r="I271" s="10">
        <f>'Pairings NB'!J1198</f>
        <v>320</v>
      </c>
      <c r="J271" s="10" t="str">
        <f>IFERROR(VLOOKUP('Pairings NB'!$M$1198,Instructores!$A:$C,3,FALSE),"")</f>
        <v/>
      </c>
      <c r="K271" s="10">
        <f>IF('Pairings NB'!J1198=320,4,3)</f>
        <v>4</v>
      </c>
    </row>
    <row r="272" spans="1:11" x14ac:dyDescent="0.25">
      <c r="A272" s="10">
        <f>'Pairings NB'!B1203</f>
        <v>1206</v>
      </c>
      <c r="B272" s="10" t="str">
        <f>'Pairings NB'!C1203</f>
        <v>14/10/2026</v>
      </c>
      <c r="C272" s="10" t="str">
        <f>'Pairings NB'!D1203</f>
        <v>miércoles</v>
      </c>
      <c r="D272" s="10" t="str">
        <f>'Pairings NB'!E1203&amp;"/"&amp;'Pairings NB'!E1204</f>
        <v>2196/2197</v>
      </c>
      <c r="E272" s="10" t="str">
        <f>'Pairings NB'!F1203&amp;"-"&amp;'Pairings NB'!G1203&amp;"-"&amp;'Pairings NB'!F1203</f>
        <v>LIM-PIU-LIM</v>
      </c>
      <c r="F272" s="10" t="str">
        <f>IFERROR(VLOOKUP('Pairings NB'!$M$1203,Instructores!$A:$C,2,FALSE),"")</f>
        <v/>
      </c>
      <c r="G272" s="10">
        <f>'Pairings NB'!$M$1203</f>
        <v>0</v>
      </c>
      <c r="H272" s="10">
        <f>'Pairings NB'!$O$1203</f>
        <v>0</v>
      </c>
      <c r="I272" s="10">
        <f>'Pairings NB'!J1203</f>
        <v>320</v>
      </c>
      <c r="J272" s="10" t="str">
        <f>IFERROR(VLOOKUP('Pairings NB'!$M$1203,Instructores!$A:$C,3,FALSE),"")</f>
        <v/>
      </c>
      <c r="K272" s="10">
        <f>IF('Pairings NB'!J1203=320,4,3)</f>
        <v>4</v>
      </c>
    </row>
    <row r="273" spans="1:11" x14ac:dyDescent="0.25">
      <c r="A273" s="10">
        <f>'Pairings NB'!B1208</f>
        <v>1207</v>
      </c>
      <c r="B273" s="10" t="str">
        <f>'Pairings NB'!C1208</f>
        <v>14/10/2026</v>
      </c>
      <c r="C273" s="10" t="str">
        <f>'Pairings NB'!D1208</f>
        <v>miércoles</v>
      </c>
      <c r="D273" s="10" t="str">
        <f>'Pairings NB'!E1208&amp;"/"&amp;'Pairings NB'!E1209</f>
        <v>2055/2056</v>
      </c>
      <c r="E273" s="10" t="str">
        <f>'Pairings NB'!F1208&amp;"-"&amp;'Pairings NB'!G1208&amp;"-"&amp;'Pairings NB'!F1208</f>
        <v>LIM-AQP-LIM</v>
      </c>
      <c r="F273" s="10" t="str">
        <f>IFERROR(VLOOKUP('Pairings NB'!$M$1208,Instructores!$A:$C,2,FALSE),"")</f>
        <v/>
      </c>
      <c r="G273" s="10">
        <f>'Pairings NB'!$M$1208</f>
        <v>0</v>
      </c>
      <c r="H273" s="10">
        <f>'Pairings NB'!$O$1208</f>
        <v>0</v>
      </c>
      <c r="I273" s="10">
        <f>'Pairings NB'!J1208</f>
        <v>319</v>
      </c>
      <c r="J273" s="10" t="str">
        <f>IFERROR(VLOOKUP('Pairings NB'!$M$1208,Instructores!$A:$C,3,FALSE),"")</f>
        <v/>
      </c>
      <c r="K273" s="10">
        <f>IF('Pairings NB'!J1208=320,4,3)</f>
        <v>3</v>
      </c>
    </row>
    <row r="274" spans="1:11" x14ac:dyDescent="0.25">
      <c r="A274" s="10">
        <f>'Pairings NB'!B1213</f>
        <v>1211</v>
      </c>
      <c r="B274" s="10" t="str">
        <f>'Pairings NB'!C1213</f>
        <v>14/10/2026</v>
      </c>
      <c r="C274" s="10" t="str">
        <f>'Pairings NB'!D1213</f>
        <v>miércoles</v>
      </c>
      <c r="D274" s="10" t="str">
        <f>'Pairings NB'!E1213&amp;"/"&amp;'Pairings NB'!E1214</f>
        <v>2154/2155</v>
      </c>
      <c r="E274" s="10" t="str">
        <f>'Pairings NB'!F1213&amp;"-"&amp;'Pairings NB'!G1213&amp;"-"&amp;'Pairings NB'!F1213</f>
        <v>LIM-CUZ-LIM</v>
      </c>
      <c r="F274" s="10" t="str">
        <f>IFERROR(VLOOKUP('Pairings NB'!$M$1213,Instructores!$A:$C,2,FALSE),"")</f>
        <v/>
      </c>
      <c r="G274" s="10">
        <f>'Pairings NB'!$M$1213</f>
        <v>0</v>
      </c>
      <c r="H274" s="10">
        <f>'Pairings NB'!$O$1213</f>
        <v>0</v>
      </c>
      <c r="I274" s="10">
        <f>'Pairings NB'!J1213</f>
        <v>320</v>
      </c>
      <c r="J274" s="10" t="str">
        <f>IFERROR(VLOOKUP('Pairings NB'!$M$1213,Instructores!$A:$C,3,FALSE),"")</f>
        <v/>
      </c>
      <c r="K274" s="10">
        <f>IF('Pairings NB'!J1213=320,4,3)</f>
        <v>4</v>
      </c>
    </row>
    <row r="275" spans="1:11" x14ac:dyDescent="0.25">
      <c r="A275" s="10">
        <f>'Pairings NB'!B1218</f>
        <v>1212</v>
      </c>
      <c r="B275" s="10" t="str">
        <f>'Pairings NB'!C1218</f>
        <v>14/10/2026</v>
      </c>
      <c r="C275" s="10" t="str">
        <f>'Pairings NB'!D1218</f>
        <v>miércoles</v>
      </c>
      <c r="D275" s="10" t="str">
        <f>'Pairings NB'!E1218&amp;"/"&amp;'Pairings NB'!E1219</f>
        <v>2264/2265</v>
      </c>
      <c r="E275" s="10" t="str">
        <f>'Pairings NB'!F1218&amp;"-"&amp;'Pairings NB'!G1218&amp;"-"&amp;'Pairings NB'!F1218</f>
        <v>LIM-PEM-LIM</v>
      </c>
      <c r="F275" s="10" t="str">
        <f>IFERROR(VLOOKUP('Pairings NB'!$M$1218,Instructores!$A:$C,2,FALSE),"")</f>
        <v/>
      </c>
      <c r="G275" s="10">
        <f>'Pairings NB'!$M$1218</f>
        <v>0</v>
      </c>
      <c r="H275" s="10">
        <f>'Pairings NB'!$O$1218</f>
        <v>0</v>
      </c>
      <c r="I275" s="10">
        <f>'Pairings NB'!J1218</f>
        <v>319</v>
      </c>
      <c r="J275" s="10" t="str">
        <f>IFERROR(VLOOKUP('Pairings NB'!$M$1218,Instructores!$A:$C,3,FALSE),"")</f>
        <v/>
      </c>
      <c r="K275" s="10">
        <f>IF('Pairings NB'!J1218=320,4,3)</f>
        <v>3</v>
      </c>
    </row>
    <row r="276" spans="1:11" x14ac:dyDescent="0.25">
      <c r="A276" s="10">
        <f>'Pairings NB'!B1223</f>
        <v>1213</v>
      </c>
      <c r="B276" s="10" t="str">
        <f>'Pairings NB'!C1223</f>
        <v>14/10/2026</v>
      </c>
      <c r="C276" s="10" t="str">
        <f>'Pairings NB'!D1223</f>
        <v>miércoles</v>
      </c>
      <c r="D276" s="10" t="str">
        <f>'Pairings NB'!E1223&amp;"/"&amp;'Pairings NB'!E1224</f>
        <v>2113/2112</v>
      </c>
      <c r="E276" s="10" t="str">
        <f>'Pairings NB'!F1223&amp;"-"&amp;'Pairings NB'!G1223&amp;"-"&amp;'Pairings NB'!F1223</f>
        <v>LIM-AQP-LIM</v>
      </c>
      <c r="F276" s="10" t="str">
        <f>IFERROR(VLOOKUP('Pairings NB'!$M$1223,Instructores!$A:$C,2,FALSE),"")</f>
        <v/>
      </c>
      <c r="G276" s="10">
        <f>'Pairings NB'!$M$1223</f>
        <v>0</v>
      </c>
      <c r="H276" s="10">
        <f>'Pairings NB'!$O$1223</f>
        <v>0</v>
      </c>
      <c r="I276" s="10">
        <f>'Pairings NB'!J1223</f>
        <v>320</v>
      </c>
      <c r="J276" s="10" t="str">
        <f>IFERROR(VLOOKUP('Pairings NB'!$M$1223,Instructores!$A:$C,3,FALSE),"")</f>
        <v/>
      </c>
      <c r="K276" s="10">
        <f>IF('Pairings NB'!J1223=320,4,3)</f>
        <v>4</v>
      </c>
    </row>
    <row r="277" spans="1:11" x14ac:dyDescent="0.25">
      <c r="A277" s="10">
        <f>'Pairings NB'!B1228</f>
        <v>1215</v>
      </c>
      <c r="B277" s="10" t="str">
        <f>'Pairings NB'!C1228</f>
        <v>14/10/2026</v>
      </c>
      <c r="C277" s="10" t="str">
        <f>'Pairings NB'!D1228</f>
        <v>miércoles</v>
      </c>
      <c r="D277" s="10" t="str">
        <f>'Pairings NB'!E1228&amp;"/"&amp;'Pairings NB'!E1229</f>
        <v>2297/2296</v>
      </c>
      <c r="E277" s="10" t="str">
        <f>'Pairings NB'!F1228&amp;"-"&amp;'Pairings NB'!G1228&amp;"-"&amp;'Pairings NB'!F1228</f>
        <v>LIM-CJA-LIM</v>
      </c>
      <c r="F277" s="10" t="str">
        <f>IFERROR(VLOOKUP('Pairings NB'!$M$1228,Instructores!$A:$C,2,FALSE),"")</f>
        <v/>
      </c>
      <c r="G277" s="10">
        <f>'Pairings NB'!$M$1228</f>
        <v>0</v>
      </c>
      <c r="H277" s="10">
        <f>'Pairings NB'!$O$1228</f>
        <v>0</v>
      </c>
      <c r="I277" s="10">
        <f>'Pairings NB'!J1228</f>
        <v>320</v>
      </c>
      <c r="J277" s="10" t="str">
        <f>IFERROR(VLOOKUP('Pairings NB'!$M$1228,Instructores!$A:$C,3,FALSE),"")</f>
        <v/>
      </c>
      <c r="K277" s="10">
        <f>IF('Pairings NB'!J1228=320,4,3)</f>
        <v>4</v>
      </c>
    </row>
    <row r="278" spans="1:11" x14ac:dyDescent="0.25">
      <c r="A278" s="10">
        <f>'Pairings NB'!B1233</f>
        <v>1216</v>
      </c>
      <c r="B278" s="10" t="str">
        <f>'Pairings NB'!C1233</f>
        <v>14/10/2026</v>
      </c>
      <c r="C278" s="10" t="str">
        <f>'Pairings NB'!D1233</f>
        <v>miércoles</v>
      </c>
      <c r="D278" s="10" t="str">
        <f>'Pairings NB'!E1233&amp;"/"&amp;'Pairings NB'!E1234</f>
        <v>2360/2361</v>
      </c>
      <c r="E278" s="10" t="str">
        <f>'Pairings NB'!F1233&amp;"-"&amp;'Pairings NB'!G1233&amp;"-"&amp;'Pairings NB'!F1233</f>
        <v>LIM-PCL-LIM</v>
      </c>
      <c r="F278" s="10" t="str">
        <f>IFERROR(VLOOKUP('Pairings NB'!$M$1233,Instructores!$A:$C,2,FALSE),"")</f>
        <v/>
      </c>
      <c r="G278" s="10">
        <f>'Pairings NB'!$M$1233</f>
        <v>0</v>
      </c>
      <c r="H278" s="10">
        <f>'Pairings NB'!$O$1233</f>
        <v>0</v>
      </c>
      <c r="I278" s="10">
        <f>'Pairings NB'!J1233</f>
        <v>319</v>
      </c>
      <c r="J278" s="10" t="str">
        <f>IFERROR(VLOOKUP('Pairings NB'!$M$1233,Instructores!$A:$C,3,FALSE),"")</f>
        <v/>
      </c>
      <c r="K278" s="10">
        <f>IF('Pairings NB'!J1233=320,4,3)</f>
        <v>3</v>
      </c>
    </row>
    <row r="279" spans="1:11" x14ac:dyDescent="0.25">
      <c r="A279" s="10">
        <f>'Pairings NB'!B1238</f>
        <v>1217</v>
      </c>
      <c r="B279" s="10" t="str">
        <f>'Pairings NB'!C1238</f>
        <v>14/10/2026</v>
      </c>
      <c r="C279" s="10" t="str">
        <f>'Pairings NB'!D1238</f>
        <v>miércoles</v>
      </c>
      <c r="D279" s="10" t="str">
        <f>'Pairings NB'!E1238&amp;"/"&amp;'Pairings NB'!E1239</f>
        <v>2312/2313</v>
      </c>
      <c r="E279" s="10" t="str">
        <f>'Pairings NB'!F1238&amp;"-"&amp;'Pairings NB'!G1238&amp;"-"&amp;'Pairings NB'!F1238</f>
        <v>LIM-CIX-LIM</v>
      </c>
      <c r="F279" s="10" t="str">
        <f>IFERROR(VLOOKUP('Pairings NB'!$M$1238,Instructores!$A:$C,2,FALSE),"")</f>
        <v/>
      </c>
      <c r="G279" s="10">
        <f>'Pairings NB'!$M$1238</f>
        <v>0</v>
      </c>
      <c r="H279" s="10">
        <f>'Pairings NB'!$O$1238</f>
        <v>0</v>
      </c>
      <c r="I279" s="10">
        <f>'Pairings NB'!J1238</f>
        <v>320</v>
      </c>
      <c r="J279" s="10" t="str">
        <f>IFERROR(VLOOKUP('Pairings NB'!$M$1238,Instructores!$A:$C,3,FALSE),"")</f>
        <v/>
      </c>
      <c r="K279" s="10">
        <f>IF('Pairings NB'!J1238=320,4,3)</f>
        <v>4</v>
      </c>
    </row>
    <row r="280" spans="1:11" x14ac:dyDescent="0.25">
      <c r="A280" s="10">
        <f>'Pairings NB'!B1243</f>
        <v>1218</v>
      </c>
      <c r="B280" s="10" t="str">
        <f>'Pairings NB'!C1243</f>
        <v>14/10/2026</v>
      </c>
      <c r="C280" s="10" t="str">
        <f>'Pairings NB'!D1243</f>
        <v>miércoles</v>
      </c>
      <c r="D280" s="10" t="str">
        <f>'Pairings NB'!E1243&amp;"/"&amp;'Pairings NB'!E1244</f>
        <v>2301/2300</v>
      </c>
      <c r="E280" s="10" t="str">
        <f>'Pairings NB'!F1243&amp;"-"&amp;'Pairings NB'!G1243&amp;"-"&amp;'Pairings NB'!F1243</f>
        <v>LIM-TPP-LIM</v>
      </c>
      <c r="F280" s="10" t="str">
        <f>IFERROR(VLOOKUP('Pairings NB'!$M$1243,Instructores!$A:$C,2,FALSE),"")</f>
        <v/>
      </c>
      <c r="G280" s="10">
        <f>'Pairings NB'!$M$1243</f>
        <v>0</v>
      </c>
      <c r="H280" s="10">
        <f>'Pairings NB'!$O$1243</f>
        <v>0</v>
      </c>
      <c r="I280" s="10">
        <f>'Pairings NB'!J1243</f>
        <v>320</v>
      </c>
      <c r="J280" s="10" t="str">
        <f>IFERROR(VLOOKUP('Pairings NB'!$M$1243,Instructores!$A:$C,3,FALSE),"")</f>
        <v/>
      </c>
      <c r="K280" s="10">
        <f>IF('Pairings NB'!J1243=320,4,3)</f>
        <v>4</v>
      </c>
    </row>
    <row r="281" spans="1:11" x14ac:dyDescent="0.25">
      <c r="A281" s="10">
        <f>'Pairings NB'!B1248</f>
        <v>1224</v>
      </c>
      <c r="B281" s="10" t="str">
        <f>'Pairings NB'!C1248</f>
        <v>14/10/2026</v>
      </c>
      <c r="C281" s="10" t="str">
        <f>'Pairings NB'!D1248</f>
        <v>miércoles</v>
      </c>
      <c r="D281" s="10" t="str">
        <f>'Pairings NB'!E1248&amp;"/"&amp;'Pairings NB'!E1249</f>
        <v>2556/2557</v>
      </c>
      <c r="E281" s="10" t="str">
        <f>'Pairings NB'!F1248&amp;"-"&amp;'Pairings NB'!G1248&amp;"-"&amp;'Pairings NB'!F1248</f>
        <v>LIM-PIU-LIM</v>
      </c>
      <c r="F281" s="10" t="str">
        <f>IFERROR(VLOOKUP('Pairings NB'!$M$1248,Instructores!$A:$C,2,FALSE),"")</f>
        <v/>
      </c>
      <c r="G281" s="10">
        <f>'Pairings NB'!$M$1248</f>
        <v>0</v>
      </c>
      <c r="H281" s="10">
        <f>'Pairings NB'!$O$1248</f>
        <v>0</v>
      </c>
      <c r="I281" s="10">
        <f>'Pairings NB'!J1248</f>
        <v>320</v>
      </c>
      <c r="J281" s="10" t="str">
        <f>IFERROR(VLOOKUP('Pairings NB'!$M$1248,Instructores!$A:$C,3,FALSE),"")</f>
        <v/>
      </c>
      <c r="K281" s="10">
        <f>IF('Pairings NB'!J1248=320,4,3)</f>
        <v>4</v>
      </c>
    </row>
    <row r="282" spans="1:11" x14ac:dyDescent="0.25">
      <c r="A282" s="10">
        <f>'Pairings NB'!B1253</f>
        <v>1226</v>
      </c>
      <c r="B282" s="10" t="str">
        <f>'Pairings NB'!C1253</f>
        <v>14/10/2026</v>
      </c>
      <c r="C282" s="10" t="str">
        <f>'Pairings NB'!D1253</f>
        <v>miércoles</v>
      </c>
      <c r="D282" s="10" t="str">
        <f>'Pairings NB'!E1253&amp;"/"&amp;'Pairings NB'!E1254</f>
        <v>2236/2237</v>
      </c>
      <c r="E282" s="10" t="str">
        <f>'Pairings NB'!F1253&amp;"-"&amp;'Pairings NB'!G1253&amp;"-"&amp;'Pairings NB'!F1253</f>
        <v>LIM-PIU-LIM</v>
      </c>
      <c r="F282" s="10" t="str">
        <f>IFERROR(VLOOKUP('Pairings NB'!$M$1253,Instructores!$A:$C,2,FALSE),"")</f>
        <v/>
      </c>
      <c r="G282" s="10">
        <f>'Pairings NB'!$M$1253</f>
        <v>0</v>
      </c>
      <c r="H282" s="10">
        <f>'Pairings NB'!$O$1253</f>
        <v>0</v>
      </c>
      <c r="I282" s="10">
        <f>'Pairings NB'!J1253</f>
        <v>320</v>
      </c>
      <c r="J282" s="10" t="str">
        <f>IFERROR(VLOOKUP('Pairings NB'!$M$1253,Instructores!$A:$C,3,FALSE),"")</f>
        <v/>
      </c>
      <c r="K282" s="10">
        <f>IF('Pairings NB'!J1253=320,4,3)</f>
        <v>4</v>
      </c>
    </row>
    <row r="283" spans="1:11" x14ac:dyDescent="0.25">
      <c r="A283" s="10">
        <f>'Pairings NB'!B1258</f>
        <v>1227</v>
      </c>
      <c r="B283" s="10" t="str">
        <f>'Pairings NB'!C1258</f>
        <v>14/10/2026</v>
      </c>
      <c r="C283" s="10" t="str">
        <f>'Pairings NB'!D1258</f>
        <v>miércoles</v>
      </c>
      <c r="D283" s="10" t="str">
        <f>'Pairings NB'!E1258&amp;"/"&amp;'Pairings NB'!E1259</f>
        <v>2091/2092</v>
      </c>
      <c r="E283" s="10" t="str">
        <f>'Pairings NB'!F1258&amp;"-"&amp;'Pairings NB'!G1258&amp;"-"&amp;'Pairings NB'!F1258</f>
        <v>LIM-TPP-LIM</v>
      </c>
      <c r="F283" s="10" t="str">
        <f>IFERROR(VLOOKUP('Pairings NB'!$M$1258,Instructores!$A:$C,2,FALSE),"")</f>
        <v/>
      </c>
      <c r="G283" s="10">
        <f>'Pairings NB'!$M$1258</f>
        <v>0</v>
      </c>
      <c r="H283" s="10">
        <f>'Pairings NB'!$O$1258</f>
        <v>0</v>
      </c>
      <c r="I283" s="10">
        <f>'Pairings NB'!J1258</f>
        <v>319</v>
      </c>
      <c r="J283" s="10" t="str">
        <f>IFERROR(VLOOKUP('Pairings NB'!$M$1258,Instructores!$A:$C,3,FALSE),"")</f>
        <v/>
      </c>
      <c r="K283" s="10">
        <f>IF('Pairings NB'!J1258=320,4,3)</f>
        <v>3</v>
      </c>
    </row>
    <row r="284" spans="1:11" x14ac:dyDescent="0.25">
      <c r="A284" s="10">
        <f>'Pairings NB'!B1263</f>
        <v>1228</v>
      </c>
      <c r="B284" s="10" t="str">
        <f>'Pairings NB'!C1263</f>
        <v>14/10/2026</v>
      </c>
      <c r="C284" s="10" t="str">
        <f>'Pairings NB'!D1263</f>
        <v>miércoles</v>
      </c>
      <c r="D284" s="10" t="str">
        <f>'Pairings NB'!E1263&amp;"/"&amp;'Pairings NB'!E1264</f>
        <v>2117/2116</v>
      </c>
      <c r="E284" s="10" t="str">
        <f>'Pairings NB'!F1263&amp;"-"&amp;'Pairings NB'!G1263&amp;"-"&amp;'Pairings NB'!F1263</f>
        <v>LIM-AQP-LIM</v>
      </c>
      <c r="F284" s="10" t="str">
        <f>IFERROR(VLOOKUP('Pairings NB'!$M$1263,Instructores!$A:$C,2,FALSE),"")</f>
        <v/>
      </c>
      <c r="G284" s="10">
        <f>'Pairings NB'!$M$1263</f>
        <v>0</v>
      </c>
      <c r="H284" s="10">
        <f>'Pairings NB'!$O$1263</f>
        <v>0</v>
      </c>
      <c r="I284" s="10">
        <f>'Pairings NB'!J1263</f>
        <v>320</v>
      </c>
      <c r="J284" s="10" t="str">
        <f>IFERROR(VLOOKUP('Pairings NB'!$M$1263,Instructores!$A:$C,3,FALSE),"")</f>
        <v/>
      </c>
      <c r="K284" s="10">
        <f>IF('Pairings NB'!J1263=320,4,3)</f>
        <v>4</v>
      </c>
    </row>
    <row r="285" spans="1:11" x14ac:dyDescent="0.25">
      <c r="A285" s="10">
        <f>'Pairings NB'!B1268</f>
        <v>1229</v>
      </c>
      <c r="B285" s="10" t="str">
        <f>'Pairings NB'!C1268</f>
        <v>14/10/2026</v>
      </c>
      <c r="C285" s="10" t="str">
        <f>'Pairings NB'!D1268</f>
        <v>miércoles</v>
      </c>
      <c r="D285" s="10" t="str">
        <f>'Pairings NB'!E1268&amp;"/"&amp;'Pairings NB'!E1269</f>
        <v>2221/2222</v>
      </c>
      <c r="E285" s="10" t="str">
        <f>'Pairings NB'!F1268&amp;"-"&amp;'Pairings NB'!G1268&amp;"-"&amp;'Pairings NB'!F1268</f>
        <v>LIM-CUZ-LIM</v>
      </c>
      <c r="F285" s="10" t="str">
        <f>IFERROR(VLOOKUP('Pairings NB'!$M$1268,Instructores!$A:$C,2,FALSE),"")</f>
        <v/>
      </c>
      <c r="G285" s="10">
        <f>'Pairings NB'!$M$1268</f>
        <v>0</v>
      </c>
      <c r="H285" s="10">
        <f>'Pairings NB'!$O$1268</f>
        <v>0</v>
      </c>
      <c r="I285" s="10">
        <f>'Pairings NB'!J1268</f>
        <v>320</v>
      </c>
      <c r="J285" s="10" t="str">
        <f>IFERROR(VLOOKUP('Pairings NB'!$M$1268,Instructores!$A:$C,3,FALSE),"")</f>
        <v/>
      </c>
      <c r="K285" s="10">
        <f>IF('Pairings NB'!J1268=320,4,3)</f>
        <v>4</v>
      </c>
    </row>
    <row r="286" spans="1:11" x14ac:dyDescent="0.25">
      <c r="A286" s="10">
        <f>'Pairings NB'!B1273</f>
        <v>1273</v>
      </c>
      <c r="B286" s="10" t="str">
        <f>'Pairings NB'!C1273</f>
        <v>15/10/2026</v>
      </c>
      <c r="C286" s="10" t="str">
        <f>'Pairings NB'!D1273</f>
        <v>jueves</v>
      </c>
      <c r="D286" s="10" t="str">
        <f>'Pairings NB'!E1273&amp;"/"&amp;'Pairings NB'!E1274</f>
        <v>2123/2124</v>
      </c>
      <c r="E286" s="10" t="str">
        <f>'Pairings NB'!F1273&amp;"-"&amp;'Pairings NB'!G1273&amp;"-"&amp;'Pairings NB'!F1273</f>
        <v>LIM-AQP-LIM</v>
      </c>
      <c r="F286" s="10" t="str">
        <f>IFERROR(VLOOKUP('Pairings NB'!$M$1273,Instructores!$A:$C,2,FALSE),"")</f>
        <v/>
      </c>
      <c r="G286" s="10">
        <f>'Pairings NB'!$M$1273</f>
        <v>0</v>
      </c>
      <c r="H286" s="10">
        <f>'Pairings NB'!$O$1273</f>
        <v>0</v>
      </c>
      <c r="I286" s="10">
        <f>'Pairings NB'!J1273</f>
        <v>320</v>
      </c>
      <c r="J286" s="10" t="str">
        <f>IFERROR(VLOOKUP('Pairings NB'!$M$1273,Instructores!$A:$C,3,FALSE),"")</f>
        <v/>
      </c>
      <c r="K286" s="10">
        <f>IF('Pairings NB'!J1273=320,4,3)</f>
        <v>4</v>
      </c>
    </row>
    <row r="287" spans="1:11" x14ac:dyDescent="0.25">
      <c r="A287" s="10">
        <f>'Pairings NB'!B1278</f>
        <v>1277</v>
      </c>
      <c r="B287" s="10" t="str">
        <f>'Pairings NB'!C1278</f>
        <v>15/10/2026</v>
      </c>
      <c r="C287" s="10" t="str">
        <f>'Pairings NB'!D1278</f>
        <v>jueves</v>
      </c>
      <c r="D287" s="10" t="str">
        <f>'Pairings NB'!E1278&amp;"/"&amp;'Pairings NB'!E1279</f>
        <v>2299/2298</v>
      </c>
      <c r="E287" s="10" t="str">
        <f>'Pairings NB'!F1278&amp;"-"&amp;'Pairings NB'!G1278&amp;"-"&amp;'Pairings NB'!F1278</f>
        <v>LIM-CJA-LIM</v>
      </c>
      <c r="F287" s="10" t="str">
        <f>IFERROR(VLOOKUP('Pairings NB'!$M$1278,Instructores!$A:$C,2,FALSE),"")</f>
        <v/>
      </c>
      <c r="G287" s="10">
        <f>'Pairings NB'!$M$1278</f>
        <v>0</v>
      </c>
      <c r="H287" s="10">
        <f>'Pairings NB'!$O$1278</f>
        <v>0</v>
      </c>
      <c r="I287" s="10">
        <f>'Pairings NB'!J1278</f>
        <v>320</v>
      </c>
      <c r="J287" s="10" t="str">
        <f>IFERROR(VLOOKUP('Pairings NB'!$M$1278,Instructores!$A:$C,3,FALSE),"")</f>
        <v/>
      </c>
      <c r="K287" s="10">
        <f>IF('Pairings NB'!J1278=320,4,3)</f>
        <v>4</v>
      </c>
    </row>
    <row r="288" spans="1:11" x14ac:dyDescent="0.25">
      <c r="A288" s="10">
        <f>'Pairings NB'!B1283</f>
        <v>1279</v>
      </c>
      <c r="B288" s="10" t="str">
        <f>'Pairings NB'!C1283</f>
        <v>15/10/2026</v>
      </c>
      <c r="C288" s="10" t="str">
        <f>'Pairings NB'!D1283</f>
        <v>jueves</v>
      </c>
      <c r="D288" s="10" t="str">
        <f>'Pairings NB'!E1283&amp;"/"&amp;'Pairings NB'!E1284</f>
        <v>2061/2062</v>
      </c>
      <c r="E288" s="10" t="str">
        <f>'Pairings NB'!F1283&amp;"-"&amp;'Pairings NB'!G1283&amp;"-"&amp;'Pairings NB'!F1283</f>
        <v>LIM-CUZ-LIM</v>
      </c>
      <c r="F288" s="10" t="str">
        <f>IFERROR(VLOOKUP('Pairings NB'!$M$1283,Instructores!$A:$C,2,FALSE),"")</f>
        <v/>
      </c>
      <c r="G288" s="10">
        <f>'Pairings NB'!$M$1283</f>
        <v>0</v>
      </c>
      <c r="H288" s="10">
        <f>'Pairings NB'!$O$1283</f>
        <v>0</v>
      </c>
      <c r="I288" s="10">
        <f>'Pairings NB'!J1283</f>
        <v>320</v>
      </c>
      <c r="J288" s="10" t="str">
        <f>IFERROR(VLOOKUP('Pairings NB'!$M$1283,Instructores!$A:$C,3,FALSE),"")</f>
        <v/>
      </c>
      <c r="K288" s="10">
        <f>IF('Pairings NB'!J1283=320,4,3)</f>
        <v>4</v>
      </c>
    </row>
    <row r="289" spans="1:11" x14ac:dyDescent="0.25">
      <c r="A289" s="10">
        <f>'Pairings NB'!B1288</f>
        <v>1287</v>
      </c>
      <c r="B289" s="10" t="str">
        <f>'Pairings NB'!C1288</f>
        <v>15/10/2026</v>
      </c>
      <c r="C289" s="10" t="str">
        <f>'Pairings NB'!D1288</f>
        <v>jueves</v>
      </c>
      <c r="D289" s="10" t="str">
        <f>'Pairings NB'!E1288&amp;"/"&amp;'Pairings NB'!E1289</f>
        <v>2043/2044</v>
      </c>
      <c r="E289" s="10" t="str">
        <f>'Pairings NB'!F1288&amp;"-"&amp;'Pairings NB'!G1288&amp;"-"&amp;'Pairings NB'!F1288</f>
        <v>LIM-AQP-LIM</v>
      </c>
      <c r="F289" s="10" t="str">
        <f>IFERROR(VLOOKUP('Pairings NB'!$M$1288,Instructores!$A:$C,2,FALSE),"")</f>
        <v/>
      </c>
      <c r="G289" s="10">
        <f>'Pairings NB'!$M$1288</f>
        <v>0</v>
      </c>
      <c r="H289" s="10">
        <f>'Pairings NB'!$O$1288</f>
        <v>0</v>
      </c>
      <c r="I289" s="10">
        <f>'Pairings NB'!J1288</f>
        <v>320</v>
      </c>
      <c r="J289" s="10" t="str">
        <f>IFERROR(VLOOKUP('Pairings NB'!$M$1288,Instructores!$A:$C,3,FALSE),"")</f>
        <v/>
      </c>
      <c r="K289" s="10">
        <f>IF('Pairings NB'!J1288=320,4,3)</f>
        <v>4</v>
      </c>
    </row>
    <row r="290" spans="1:11" x14ac:dyDescent="0.25">
      <c r="A290" s="10">
        <f>'Pairings NB'!B1293</f>
        <v>1288</v>
      </c>
      <c r="B290" s="10" t="str">
        <f>'Pairings NB'!C1293</f>
        <v>15/10/2026</v>
      </c>
      <c r="C290" s="10" t="str">
        <f>'Pairings NB'!D1293</f>
        <v>jueves</v>
      </c>
      <c r="D290" s="10" t="str">
        <f>'Pairings NB'!E1293&amp;"/"&amp;'Pairings NB'!E1294</f>
        <v>2308/2309</v>
      </c>
      <c r="E290" s="10" t="str">
        <f>'Pairings NB'!F1293&amp;"-"&amp;'Pairings NB'!G1293&amp;"-"&amp;'Pairings NB'!F1293</f>
        <v>LIM-PIU-LIM</v>
      </c>
      <c r="F290" s="10" t="str">
        <f>IFERROR(VLOOKUP('Pairings NB'!$M$1293,Instructores!$A:$C,2,FALSE),"")</f>
        <v/>
      </c>
      <c r="G290" s="10">
        <f>'Pairings NB'!$M$1293</f>
        <v>0</v>
      </c>
      <c r="H290" s="10">
        <f>'Pairings NB'!$O$1293</f>
        <v>0</v>
      </c>
      <c r="I290" s="10">
        <f>'Pairings NB'!J1293</f>
        <v>320</v>
      </c>
      <c r="J290" s="10" t="str">
        <f>IFERROR(VLOOKUP('Pairings NB'!$M$1293,Instructores!$A:$C,3,FALSE),"")</f>
        <v/>
      </c>
      <c r="K290" s="10">
        <f>IF('Pairings NB'!J1293=320,4,3)</f>
        <v>4</v>
      </c>
    </row>
    <row r="291" spans="1:11" x14ac:dyDescent="0.25">
      <c r="A291" s="10">
        <f>'Pairings NB'!B1298</f>
        <v>1293</v>
      </c>
      <c r="B291" s="10" t="str">
        <f>'Pairings NB'!C1298</f>
        <v>15/10/2026</v>
      </c>
      <c r="C291" s="10" t="str">
        <f>'Pairings NB'!D1298</f>
        <v>jueves</v>
      </c>
      <c r="D291" s="10" t="str">
        <f>'Pairings NB'!E1298&amp;"/"&amp;'Pairings NB'!E1299</f>
        <v>2028/2029</v>
      </c>
      <c r="E291" s="10" t="str">
        <f>'Pairings NB'!F1298&amp;"-"&amp;'Pairings NB'!G1298&amp;"-"&amp;'Pairings NB'!F1298</f>
        <v>LIM-CUZ-LIM</v>
      </c>
      <c r="F291" s="10" t="str">
        <f>IFERROR(VLOOKUP('Pairings NB'!$M$1298,Instructores!$A:$C,2,FALSE),"")</f>
        <v/>
      </c>
      <c r="G291" s="10">
        <f>'Pairings NB'!$M$1298</f>
        <v>0</v>
      </c>
      <c r="H291" s="10">
        <f>'Pairings NB'!$O$1298</f>
        <v>0</v>
      </c>
      <c r="I291" s="10">
        <f>'Pairings NB'!J1298</f>
        <v>319</v>
      </c>
      <c r="J291" s="10" t="str">
        <f>IFERROR(VLOOKUP('Pairings NB'!$M$1298,Instructores!$A:$C,3,FALSE),"")</f>
        <v/>
      </c>
      <c r="K291" s="10">
        <f>IF('Pairings NB'!J1298=320,4,3)</f>
        <v>3</v>
      </c>
    </row>
    <row r="292" spans="1:11" x14ac:dyDescent="0.25">
      <c r="A292" s="10">
        <f>'Pairings NB'!B1300</f>
        <v>1313</v>
      </c>
      <c r="B292" s="10" t="str">
        <f>'Pairings NB'!C1300</f>
        <v>15/10/2026</v>
      </c>
      <c r="C292" s="10" t="str">
        <f>'Pairings NB'!D1300</f>
        <v>jueves</v>
      </c>
      <c r="D292" s="10" t="str">
        <f>'Pairings NB'!E1300&amp;"/"&amp;'Pairings NB'!E1301</f>
        <v>2310/2311</v>
      </c>
      <c r="E292" s="10" t="str">
        <f>'Pairings NB'!F1300&amp;"-"&amp;'Pairings NB'!G1300&amp;"-"&amp;'Pairings NB'!F1300</f>
        <v>LIM-CIX-LIM</v>
      </c>
      <c r="F292" s="10" t="str">
        <f>IFERROR(VLOOKUP('Pairings NB'!$M$1298,Instructores!$A:$C,2,FALSE),"")</f>
        <v/>
      </c>
      <c r="G292" s="10">
        <f>'Pairings NB'!$M$1298</f>
        <v>0</v>
      </c>
      <c r="H292" s="10">
        <f>'Pairings NB'!$O$1298</f>
        <v>0</v>
      </c>
      <c r="I292" s="10">
        <f>'Pairings NB'!J1300</f>
        <v>320</v>
      </c>
      <c r="J292" s="10" t="str">
        <f>IFERROR(VLOOKUP('Pairings NB'!$M$1298,Instructores!$A:$C,3,FALSE),"")</f>
        <v/>
      </c>
      <c r="K292" s="10">
        <f>IF('Pairings NB'!J1300=320,4,3)</f>
        <v>4</v>
      </c>
    </row>
    <row r="293" spans="1:11" x14ac:dyDescent="0.25">
      <c r="A293" s="10">
        <f>'Pairings NB'!B1305</f>
        <v>1295</v>
      </c>
      <c r="B293" s="10" t="str">
        <f>'Pairings NB'!C1305</f>
        <v>15/10/2026</v>
      </c>
      <c r="C293" s="10" t="str">
        <f>'Pairings NB'!D1305</f>
        <v>jueves</v>
      </c>
      <c r="D293" s="10" t="str">
        <f>'Pairings NB'!E1305&amp;"/"&amp;'Pairings NB'!E1306</f>
        <v>2152/2153</v>
      </c>
      <c r="E293" s="10" t="str">
        <f>'Pairings NB'!F1305&amp;"-"&amp;'Pairings NB'!G1305&amp;"-"&amp;'Pairings NB'!F1305</f>
        <v>LIM-CIX-LIM</v>
      </c>
      <c r="F293" s="10" t="str">
        <f>IFERROR(VLOOKUP('Pairings NB'!$M$1305,Instructores!$A:$C,2,FALSE),"")</f>
        <v/>
      </c>
      <c r="G293" s="10">
        <f>'Pairings NB'!$M$1305</f>
        <v>0</v>
      </c>
      <c r="H293" s="10">
        <f>'Pairings NB'!$O$1305</f>
        <v>0</v>
      </c>
      <c r="I293" s="10">
        <f>'Pairings NB'!J1305</f>
        <v>320</v>
      </c>
      <c r="J293" s="10" t="str">
        <f>IFERROR(VLOOKUP('Pairings NB'!$M$1305,Instructores!$A:$C,3,FALSE),"")</f>
        <v/>
      </c>
      <c r="K293" s="10">
        <f>IF('Pairings NB'!J1305=320,4,3)</f>
        <v>4</v>
      </c>
    </row>
    <row r="294" spans="1:11" x14ac:dyDescent="0.25">
      <c r="A294" s="10">
        <f>'Pairings NB'!B1310</f>
        <v>1298</v>
      </c>
      <c r="B294" s="10" t="str">
        <f>'Pairings NB'!C1310</f>
        <v>15/10/2026</v>
      </c>
      <c r="C294" s="10" t="str">
        <f>'Pairings NB'!D1310</f>
        <v>jueves</v>
      </c>
      <c r="D294" s="10" t="str">
        <f>'Pairings NB'!E1310&amp;"/"&amp;'Pairings NB'!E1311</f>
        <v>2154/2155</v>
      </c>
      <c r="E294" s="10" t="str">
        <f>'Pairings NB'!F1310&amp;"-"&amp;'Pairings NB'!G1310&amp;"-"&amp;'Pairings NB'!F1310</f>
        <v>LIM-CUZ-LIM</v>
      </c>
      <c r="F294" s="10" t="str">
        <f>IFERROR(VLOOKUP('Pairings NB'!$M$1310,Instructores!$A:$C,2,FALSE),"")</f>
        <v/>
      </c>
      <c r="G294" s="10">
        <f>'Pairings NB'!$M$1310</f>
        <v>0</v>
      </c>
      <c r="H294" s="10">
        <f>'Pairings NB'!$O$1310</f>
        <v>0</v>
      </c>
      <c r="I294" s="10">
        <f>'Pairings NB'!J1310</f>
        <v>320</v>
      </c>
      <c r="J294" s="10" t="str">
        <f>IFERROR(VLOOKUP('Pairings NB'!$M$1310,Instructores!$A:$C,3,FALSE),"")</f>
        <v/>
      </c>
      <c r="K294" s="10">
        <f>IF('Pairings NB'!J1310=320,4,3)</f>
        <v>4</v>
      </c>
    </row>
    <row r="295" spans="1:11" x14ac:dyDescent="0.25">
      <c r="A295" s="10">
        <f>'Pairings NB'!B1315</f>
        <v>1299</v>
      </c>
      <c r="B295" s="10" t="str">
        <f>'Pairings NB'!C1315</f>
        <v>15/10/2026</v>
      </c>
      <c r="C295" s="10" t="str">
        <f>'Pairings NB'!D1315</f>
        <v>jueves</v>
      </c>
      <c r="D295" s="10" t="str">
        <f>'Pairings NB'!E1315&amp;"/"&amp;'Pairings NB'!E1316</f>
        <v>2264/2265</v>
      </c>
      <c r="E295" s="10" t="str">
        <f>'Pairings NB'!F1315&amp;"-"&amp;'Pairings NB'!G1315&amp;"-"&amp;'Pairings NB'!F1315</f>
        <v>LIM-PEM-LIM</v>
      </c>
      <c r="F295" s="10" t="str">
        <f>IFERROR(VLOOKUP('Pairings NB'!$M$1315,Instructores!$A:$C,2,FALSE),"")</f>
        <v/>
      </c>
      <c r="G295" s="10">
        <f>'Pairings NB'!$M$1315</f>
        <v>0</v>
      </c>
      <c r="H295" s="10">
        <f>'Pairings NB'!$O$1315</f>
        <v>0</v>
      </c>
      <c r="I295" s="10">
        <f>'Pairings NB'!J1315</f>
        <v>320</v>
      </c>
      <c r="J295" s="10" t="str">
        <f>IFERROR(VLOOKUP('Pairings NB'!$M$1315,Instructores!$A:$C,3,FALSE),"")</f>
        <v/>
      </c>
      <c r="K295" s="10">
        <f>IF('Pairings NB'!J1315=320,4,3)</f>
        <v>4</v>
      </c>
    </row>
    <row r="296" spans="1:11" x14ac:dyDescent="0.25">
      <c r="A296" s="10">
        <f>'Pairings NB'!B1320</f>
        <v>1300</v>
      </c>
      <c r="B296" s="10" t="str">
        <f>'Pairings NB'!C1320</f>
        <v>15/10/2026</v>
      </c>
      <c r="C296" s="10" t="str">
        <f>'Pairings NB'!D1320</f>
        <v>jueves</v>
      </c>
      <c r="D296" s="10" t="str">
        <f>'Pairings NB'!E1320&amp;"/"&amp;'Pairings NB'!E1321</f>
        <v>2264/2265</v>
      </c>
      <c r="E296" s="10" t="str">
        <f>'Pairings NB'!F1320&amp;"-"&amp;'Pairings NB'!G1320&amp;"-"&amp;'Pairings NB'!F1320</f>
        <v>LIM-PEM-LIM</v>
      </c>
      <c r="F296" s="10" t="str">
        <f>IFERROR(VLOOKUP('Pairings NB'!$M$1320,Instructores!$A:$C,2,FALSE),"")</f>
        <v/>
      </c>
      <c r="G296" s="10">
        <f>'Pairings NB'!$M$1320</f>
        <v>0</v>
      </c>
      <c r="H296" s="10">
        <f>'Pairings NB'!$O$1320</f>
        <v>0</v>
      </c>
      <c r="I296" s="10">
        <f>'Pairings NB'!J1320</f>
        <v>320</v>
      </c>
      <c r="J296" s="10" t="str">
        <f>IFERROR(VLOOKUP('Pairings NB'!$M$1320,Instructores!$A:$C,3,FALSE),"")</f>
        <v/>
      </c>
      <c r="K296" s="10">
        <f>IF('Pairings NB'!J1320=320,4,3)</f>
        <v>4</v>
      </c>
    </row>
    <row r="297" spans="1:11" x14ac:dyDescent="0.25">
      <c r="A297" s="10">
        <f>'Pairings NB'!B1325</f>
        <v>1301</v>
      </c>
      <c r="B297" s="10" t="str">
        <f>'Pairings NB'!C1325</f>
        <v>15/10/2026</v>
      </c>
      <c r="C297" s="10" t="str">
        <f>'Pairings NB'!D1325</f>
        <v>jueves</v>
      </c>
      <c r="D297" s="10" t="str">
        <f>'Pairings NB'!E1325&amp;"/"&amp;'Pairings NB'!E1326</f>
        <v>2338/2339</v>
      </c>
      <c r="E297" s="10" t="str">
        <f>'Pairings NB'!F1325&amp;"-"&amp;'Pairings NB'!G1325&amp;"-"&amp;'Pairings NB'!F1325</f>
        <v>LIM-PIU-LIM</v>
      </c>
      <c r="F297" s="10" t="str">
        <f>IFERROR(VLOOKUP('Pairings NB'!$M$1325,Instructores!$A:$C,2,FALSE),"")</f>
        <v/>
      </c>
      <c r="G297" s="10">
        <f>'Pairings NB'!$M$1325</f>
        <v>0</v>
      </c>
      <c r="H297" s="10">
        <f>'Pairings NB'!$O$1325</f>
        <v>0</v>
      </c>
      <c r="I297" s="10">
        <f>'Pairings NB'!J1325</f>
        <v>319</v>
      </c>
      <c r="J297" s="10" t="str">
        <f>IFERROR(VLOOKUP('Pairings NB'!$M$1325,Instructores!$A:$C,3,FALSE),"")</f>
        <v/>
      </c>
      <c r="K297" s="10">
        <f>IF('Pairings NB'!J1325=320,4,3)</f>
        <v>3</v>
      </c>
    </row>
    <row r="298" spans="1:11" x14ac:dyDescent="0.25">
      <c r="A298" s="10">
        <f>'Pairings NB'!B1330</f>
        <v>1302</v>
      </c>
      <c r="B298" s="10" t="str">
        <f>'Pairings NB'!C1330</f>
        <v>15/10/2026</v>
      </c>
      <c r="C298" s="10" t="str">
        <f>'Pairings NB'!D1330</f>
        <v>jueves</v>
      </c>
      <c r="D298" s="10" t="str">
        <f>'Pairings NB'!E1330&amp;"/"&amp;'Pairings NB'!E1331</f>
        <v>2113/2112</v>
      </c>
      <c r="E298" s="10" t="str">
        <f>'Pairings NB'!F1330&amp;"-"&amp;'Pairings NB'!G1330&amp;"-"&amp;'Pairings NB'!F1330</f>
        <v>LIM-AQP-LIM</v>
      </c>
      <c r="F298" s="10" t="str">
        <f>IFERROR(VLOOKUP('Pairings NB'!$M$1330,Instructores!$A:$C,2,FALSE),"")</f>
        <v/>
      </c>
      <c r="G298" s="10">
        <f>'Pairings NB'!$M$1330</f>
        <v>0</v>
      </c>
      <c r="H298" s="10">
        <f>'Pairings NB'!$O$1330</f>
        <v>0</v>
      </c>
      <c r="I298" s="10">
        <f>'Pairings NB'!J1330</f>
        <v>320</v>
      </c>
      <c r="J298" s="10" t="str">
        <f>IFERROR(VLOOKUP('Pairings NB'!$M$1330,Instructores!$A:$C,3,FALSE),"")</f>
        <v/>
      </c>
      <c r="K298" s="10">
        <f>IF('Pairings NB'!J1330=320,4,3)</f>
        <v>4</v>
      </c>
    </row>
    <row r="299" spans="1:11" x14ac:dyDescent="0.25">
      <c r="A299" s="10">
        <f>'Pairings NB'!B1335</f>
        <v>1303</v>
      </c>
      <c r="B299" s="10" t="str">
        <f>'Pairings NB'!C1335</f>
        <v>15/10/2026</v>
      </c>
      <c r="C299" s="10" t="str">
        <f>'Pairings NB'!D1335</f>
        <v>jueves</v>
      </c>
      <c r="D299" s="10" t="str">
        <f>'Pairings NB'!E1335&amp;"/"&amp;'Pairings NB'!E1336</f>
        <v>2113/2112</v>
      </c>
      <c r="E299" s="10" t="str">
        <f>'Pairings NB'!F1335&amp;"-"&amp;'Pairings NB'!G1335&amp;"-"&amp;'Pairings NB'!F1335</f>
        <v>LIM-AQP-LIM</v>
      </c>
      <c r="F299" s="10" t="str">
        <f>IFERROR(VLOOKUP('Pairings NB'!$M$1335,Instructores!$A:$C,2,FALSE),"")</f>
        <v/>
      </c>
      <c r="G299" s="10">
        <f>'Pairings NB'!$M$1335</f>
        <v>0</v>
      </c>
      <c r="H299" s="10">
        <f>'Pairings NB'!$O$1335</f>
        <v>0</v>
      </c>
      <c r="I299" s="10">
        <f>'Pairings NB'!J1335</f>
        <v>320</v>
      </c>
      <c r="J299" s="10" t="str">
        <f>IFERROR(VLOOKUP('Pairings NB'!$M$1335,Instructores!$A:$C,3,FALSE),"")</f>
        <v/>
      </c>
      <c r="K299" s="10">
        <f>IF('Pairings NB'!J1335=320,4,3)</f>
        <v>4</v>
      </c>
    </row>
    <row r="300" spans="1:11" x14ac:dyDescent="0.25">
      <c r="A300" s="10">
        <f>'Pairings NB'!B1340</f>
        <v>1305</v>
      </c>
      <c r="B300" s="10" t="str">
        <f>'Pairings NB'!C1340</f>
        <v>15/10/2026</v>
      </c>
      <c r="C300" s="10" t="str">
        <f>'Pairings NB'!D1340</f>
        <v>jueves</v>
      </c>
      <c r="D300" s="10" t="str">
        <f>'Pairings NB'!E1340&amp;"/"&amp;'Pairings NB'!E1341</f>
        <v>2297/2296</v>
      </c>
      <c r="E300" s="10" t="str">
        <f>'Pairings NB'!F1340&amp;"-"&amp;'Pairings NB'!G1340&amp;"-"&amp;'Pairings NB'!F1340</f>
        <v>LIM-CJA-LIM</v>
      </c>
      <c r="F300" s="10" t="str">
        <f>IFERROR(VLOOKUP('Pairings NB'!$M$1340,Instructores!$A:$C,2,FALSE),"")</f>
        <v/>
      </c>
      <c r="G300" s="10">
        <f>'Pairings NB'!$M$1340</f>
        <v>0</v>
      </c>
      <c r="H300" s="10">
        <f>'Pairings NB'!$O$1340</f>
        <v>0</v>
      </c>
      <c r="I300" s="10">
        <f>'Pairings NB'!J1340</f>
        <v>320</v>
      </c>
      <c r="J300" s="10" t="str">
        <f>IFERROR(VLOOKUP('Pairings NB'!$M$1340,Instructores!$A:$C,3,FALSE),"")</f>
        <v/>
      </c>
      <c r="K300" s="10">
        <f>IF('Pairings NB'!J1340=320,4,3)</f>
        <v>4</v>
      </c>
    </row>
    <row r="301" spans="1:11" x14ac:dyDescent="0.25">
      <c r="A301" s="10">
        <f>'Pairings NB'!B1345</f>
        <v>1306</v>
      </c>
      <c r="B301" s="10" t="str">
        <f>'Pairings NB'!C1345</f>
        <v>15/10/2026</v>
      </c>
      <c r="C301" s="10" t="str">
        <f>'Pairings NB'!D1345</f>
        <v>jueves</v>
      </c>
      <c r="D301" s="10" t="str">
        <f>'Pairings NB'!E1345&amp;"/"&amp;'Pairings NB'!E1346</f>
        <v>2360/2361</v>
      </c>
      <c r="E301" s="10" t="str">
        <f>'Pairings NB'!F1345&amp;"-"&amp;'Pairings NB'!G1345&amp;"-"&amp;'Pairings NB'!F1345</f>
        <v>LIM-PCL-LIM</v>
      </c>
      <c r="F301" s="10" t="str">
        <f>IFERROR(VLOOKUP('Pairings NB'!$M$1345,Instructores!$A:$C,2,FALSE),"")</f>
        <v/>
      </c>
      <c r="G301" s="10">
        <f>'Pairings NB'!$M$1345</f>
        <v>0</v>
      </c>
      <c r="H301" s="10">
        <f>'Pairings NB'!$O$1345</f>
        <v>0</v>
      </c>
      <c r="I301" s="10">
        <f>'Pairings NB'!J1345</f>
        <v>319</v>
      </c>
      <c r="J301" s="10" t="str">
        <f>IFERROR(VLOOKUP('Pairings NB'!$M$1345,Instructores!$A:$C,3,FALSE),"")</f>
        <v/>
      </c>
      <c r="K301" s="10">
        <f>IF('Pairings NB'!J1345=320,4,3)</f>
        <v>3</v>
      </c>
    </row>
    <row r="302" spans="1:11" x14ac:dyDescent="0.25">
      <c r="A302" s="10">
        <f>'Pairings NB'!B1350</f>
        <v>1307</v>
      </c>
      <c r="B302" s="10" t="str">
        <f>'Pairings NB'!C1350</f>
        <v>15/10/2026</v>
      </c>
      <c r="C302" s="10" t="str">
        <f>'Pairings NB'!D1350</f>
        <v>jueves</v>
      </c>
      <c r="D302" s="10" t="str">
        <f>'Pairings NB'!E1350&amp;"/"&amp;'Pairings NB'!E1351</f>
        <v>2312/2313</v>
      </c>
      <c r="E302" s="10" t="str">
        <f>'Pairings NB'!F1350&amp;"-"&amp;'Pairings NB'!G1350&amp;"-"&amp;'Pairings NB'!F1350</f>
        <v>LIM-CIX-LIM</v>
      </c>
      <c r="F302" s="10" t="str">
        <f>IFERROR(VLOOKUP('Pairings NB'!$M$1350,Instructores!$A:$C,2,FALSE),"")</f>
        <v/>
      </c>
      <c r="G302" s="10">
        <f>'Pairings NB'!$M$1350</f>
        <v>0</v>
      </c>
      <c r="H302" s="10">
        <f>'Pairings NB'!$O$1350</f>
        <v>0</v>
      </c>
      <c r="I302" s="10">
        <f>'Pairings NB'!J1350</f>
        <v>320</v>
      </c>
      <c r="J302" s="10" t="str">
        <f>IFERROR(VLOOKUP('Pairings NB'!$M$1350,Instructores!$A:$C,3,FALSE),"")</f>
        <v/>
      </c>
      <c r="K302" s="10">
        <f>IF('Pairings NB'!J1350=320,4,3)</f>
        <v>4</v>
      </c>
    </row>
    <row r="303" spans="1:11" x14ac:dyDescent="0.25">
      <c r="A303" s="10">
        <f>'Pairings NB'!B1355</f>
        <v>1308</v>
      </c>
      <c r="B303" s="10" t="str">
        <f>'Pairings NB'!C1355</f>
        <v>15/10/2026</v>
      </c>
      <c r="C303" s="10" t="str">
        <f>'Pairings NB'!D1355</f>
        <v>jueves</v>
      </c>
      <c r="D303" s="10" t="str">
        <f>'Pairings NB'!E1355&amp;"/"&amp;'Pairings NB'!E1356</f>
        <v>2301/2300</v>
      </c>
      <c r="E303" s="10" t="str">
        <f>'Pairings NB'!F1355&amp;"-"&amp;'Pairings NB'!G1355&amp;"-"&amp;'Pairings NB'!F1355</f>
        <v>LIM-TPP-LIM</v>
      </c>
      <c r="F303" s="10" t="str">
        <f>IFERROR(VLOOKUP('Pairings NB'!$M$1355,Instructores!$A:$C,2,FALSE),"")</f>
        <v/>
      </c>
      <c r="G303" s="10">
        <f>'Pairings NB'!$M$1355</f>
        <v>0</v>
      </c>
      <c r="H303" s="10">
        <f>'Pairings NB'!$O$1355</f>
        <v>0</v>
      </c>
      <c r="I303" s="10">
        <f>'Pairings NB'!J1355</f>
        <v>320</v>
      </c>
      <c r="J303" s="10" t="str">
        <f>IFERROR(VLOOKUP('Pairings NB'!$M$1355,Instructores!$A:$C,3,FALSE),"")</f>
        <v/>
      </c>
      <c r="K303" s="10">
        <f>IF('Pairings NB'!J1355=320,4,3)</f>
        <v>4</v>
      </c>
    </row>
    <row r="304" spans="1:11" x14ac:dyDescent="0.25">
      <c r="A304" s="10">
        <f>'Pairings NB'!B1360</f>
        <v>1312</v>
      </c>
      <c r="B304" s="10" t="str">
        <f>'Pairings NB'!C1360</f>
        <v>15/10/2026</v>
      </c>
      <c r="C304" s="10" t="str">
        <f>'Pairings NB'!D1360</f>
        <v>jueves</v>
      </c>
      <c r="D304" s="10" t="str">
        <f>'Pairings NB'!E1360&amp;"/"&amp;'Pairings NB'!E1361</f>
        <v>2115/2114</v>
      </c>
      <c r="E304" s="10" t="str">
        <f>'Pairings NB'!F1360&amp;"-"&amp;'Pairings NB'!G1360&amp;"-"&amp;'Pairings NB'!F1360</f>
        <v>LIM-AQP-LIM</v>
      </c>
      <c r="F304" s="10" t="str">
        <f>IFERROR(VLOOKUP('Pairings NB'!$M$1360,Instructores!$A:$C,2,FALSE),"")</f>
        <v/>
      </c>
      <c r="G304" s="10">
        <f>'Pairings NB'!$M$1360</f>
        <v>0</v>
      </c>
      <c r="H304" s="10">
        <f>'Pairings NB'!$O$1360</f>
        <v>0</v>
      </c>
      <c r="I304" s="10">
        <f>'Pairings NB'!J1360</f>
        <v>320</v>
      </c>
      <c r="J304" s="10" t="str">
        <f>IFERROR(VLOOKUP('Pairings NB'!$M$1360,Instructores!$A:$C,3,FALSE),"")</f>
        <v/>
      </c>
      <c r="K304" s="10">
        <f>IF('Pairings NB'!J1360=320,4,3)</f>
        <v>4</v>
      </c>
    </row>
    <row r="305" spans="1:11" x14ac:dyDescent="0.25">
      <c r="A305" s="10">
        <f>'Pairings NB'!B1365</f>
        <v>1356</v>
      </c>
      <c r="B305" s="10" t="str">
        <f>'Pairings NB'!C1365</f>
        <v>16/10/2026</v>
      </c>
      <c r="C305" s="10" t="str">
        <f>'Pairings NB'!D1365</f>
        <v>viernes</v>
      </c>
      <c r="D305" s="10" t="str">
        <f>'Pairings NB'!E1365&amp;"/"&amp;'Pairings NB'!E1366</f>
        <v>2007/2008</v>
      </c>
      <c r="E305" s="10" t="str">
        <f>'Pairings NB'!F1365&amp;"-"&amp;'Pairings NB'!G1365&amp;"-"&amp;'Pairings NB'!F1365</f>
        <v>LIM-CUZ-LIM</v>
      </c>
      <c r="F305" s="10" t="str">
        <f>IFERROR(VLOOKUP('Pairings NB'!$M$1365,Instructores!$A:$C,2,FALSE),"")</f>
        <v/>
      </c>
      <c r="G305" s="10">
        <f>'Pairings NB'!$M$1365</f>
        <v>0</v>
      </c>
      <c r="H305" s="10">
        <f>'Pairings NB'!$O$1365</f>
        <v>0</v>
      </c>
      <c r="I305" s="10">
        <f>'Pairings NB'!J1365</f>
        <v>320</v>
      </c>
      <c r="J305" s="10" t="str">
        <f>IFERROR(VLOOKUP('Pairings NB'!$M$1365,Instructores!$A:$C,3,FALSE),"")</f>
        <v/>
      </c>
      <c r="K305" s="10">
        <f>IF('Pairings NB'!J1365=320,4,3)</f>
        <v>4</v>
      </c>
    </row>
    <row r="306" spans="1:11" x14ac:dyDescent="0.25">
      <c r="A306" s="10">
        <f>'Pairings NB'!B1367</f>
        <v>1376</v>
      </c>
      <c r="B306" s="10" t="str">
        <f>'Pairings NB'!C1367</f>
        <v>16/10/2026</v>
      </c>
      <c r="C306" s="10" t="str">
        <f>'Pairings NB'!D1367</f>
        <v>viernes</v>
      </c>
      <c r="D306" s="10" t="str">
        <f>'Pairings NB'!E1367&amp;"/"&amp;'Pairings NB'!E1368</f>
        <v>2196/2197</v>
      </c>
      <c r="E306" s="10" t="str">
        <f>'Pairings NB'!F1367&amp;"-"&amp;'Pairings NB'!G1367&amp;"-"&amp;'Pairings NB'!F1367</f>
        <v>LIM-PIU-LIM</v>
      </c>
      <c r="F306" s="10" t="str">
        <f>IFERROR(VLOOKUP('Pairings NB'!$M$1365,Instructores!$A:$C,2,FALSE),"")</f>
        <v/>
      </c>
      <c r="G306" s="10">
        <f>'Pairings NB'!$M$1365</f>
        <v>0</v>
      </c>
      <c r="H306" s="10">
        <f>'Pairings NB'!$O$1365</f>
        <v>0</v>
      </c>
      <c r="I306" s="10">
        <f>'Pairings NB'!J1367</f>
        <v>320</v>
      </c>
      <c r="J306" s="10" t="str">
        <f>IFERROR(VLOOKUP('Pairings NB'!$M$1365,Instructores!$A:$C,3,FALSE),"")</f>
        <v/>
      </c>
      <c r="K306" s="10">
        <f>IF('Pairings NB'!J1367=320,4,3)</f>
        <v>4</v>
      </c>
    </row>
    <row r="307" spans="1:11" x14ac:dyDescent="0.25">
      <c r="A307" s="10">
        <f>'Pairings NB'!B1372</f>
        <v>1359</v>
      </c>
      <c r="B307" s="10" t="str">
        <f>'Pairings NB'!C1372</f>
        <v>16/10/2026</v>
      </c>
      <c r="C307" s="10" t="str">
        <f>'Pairings NB'!D1372</f>
        <v>viernes</v>
      </c>
      <c r="D307" s="10" t="str">
        <f>'Pairings NB'!E1372&amp;"/"&amp;'Pairings NB'!E1373</f>
        <v>2075/2076</v>
      </c>
      <c r="E307" s="10" t="str">
        <f>'Pairings NB'!F1372&amp;"-"&amp;'Pairings NB'!G1372&amp;"-"&amp;'Pairings NB'!F1372</f>
        <v>LIM-CUZ-LIM</v>
      </c>
      <c r="F307" s="10" t="str">
        <f>IFERROR(VLOOKUP('Pairings NB'!$M$1372,Instructores!$A:$C,2,FALSE),"")</f>
        <v/>
      </c>
      <c r="G307" s="10">
        <f>'Pairings NB'!$M$1372</f>
        <v>0</v>
      </c>
      <c r="H307" s="10">
        <f>'Pairings NB'!$O$1372</f>
        <v>0</v>
      </c>
      <c r="I307" s="10">
        <f>'Pairings NB'!J1372</f>
        <v>320</v>
      </c>
      <c r="J307" s="10" t="str">
        <f>IFERROR(VLOOKUP('Pairings NB'!$M$1372,Instructores!$A:$C,3,FALSE),"")</f>
        <v/>
      </c>
      <c r="K307" s="10">
        <f>IF('Pairings NB'!J1372=320,4,3)</f>
        <v>4</v>
      </c>
    </row>
    <row r="308" spans="1:11" x14ac:dyDescent="0.25">
      <c r="A308" s="10">
        <f>'Pairings NB'!B1374</f>
        <v>1383</v>
      </c>
      <c r="B308" s="10" t="str">
        <f>'Pairings NB'!C1374</f>
        <v>16/10/2026</v>
      </c>
      <c r="C308" s="10" t="str">
        <f>'Pairings NB'!D1374</f>
        <v>viernes</v>
      </c>
      <c r="D308" s="10" t="str">
        <f>'Pairings NB'!E1374&amp;"/"&amp;'Pairings NB'!E1375</f>
        <v>2297/2296</v>
      </c>
      <c r="E308" s="10" t="str">
        <f>'Pairings NB'!F1374&amp;"-"&amp;'Pairings NB'!G1374&amp;"-"&amp;'Pairings NB'!F1374</f>
        <v>LIM-CJA-LIM</v>
      </c>
      <c r="F308" s="10" t="str">
        <f>IFERROR(VLOOKUP('Pairings NB'!$M$1372,Instructores!$A:$C,2,FALSE),"")</f>
        <v/>
      </c>
      <c r="G308" s="10">
        <f>'Pairings NB'!$M$1372</f>
        <v>0</v>
      </c>
      <c r="H308" s="10">
        <f>'Pairings NB'!$O$1372</f>
        <v>0</v>
      </c>
      <c r="I308" s="10">
        <f>'Pairings NB'!J1374</f>
        <v>320</v>
      </c>
      <c r="J308" s="10" t="str">
        <f>IFERROR(VLOOKUP('Pairings NB'!$M$1372,Instructores!$A:$C,3,FALSE),"")</f>
        <v/>
      </c>
      <c r="K308" s="10">
        <f>IF('Pairings NB'!J1374=320,4,3)</f>
        <v>4</v>
      </c>
    </row>
    <row r="309" spans="1:11" x14ac:dyDescent="0.25">
      <c r="A309" s="10">
        <f>'Pairings NB'!B1379</f>
        <v>1362</v>
      </c>
      <c r="B309" s="10" t="str">
        <f>'Pairings NB'!C1379</f>
        <v>16/10/2026</v>
      </c>
      <c r="C309" s="10" t="str">
        <f>'Pairings NB'!D1379</f>
        <v>viernes</v>
      </c>
      <c r="D309" s="10" t="str">
        <f>'Pairings NB'!E1379&amp;"/"&amp;'Pairings NB'!E1380</f>
        <v>2111/2110</v>
      </c>
      <c r="E309" s="10" t="str">
        <f>'Pairings NB'!F1379&amp;"-"&amp;'Pairings NB'!G1379&amp;"-"&amp;'Pairings NB'!F1379</f>
        <v>LIM-AQP-LIM</v>
      </c>
      <c r="F309" s="10" t="str">
        <f>IFERROR(VLOOKUP('Pairings NB'!$M$1379,Instructores!$A:$C,2,FALSE),"")</f>
        <v/>
      </c>
      <c r="G309" s="10">
        <f>'Pairings NB'!$M$1379</f>
        <v>0</v>
      </c>
      <c r="H309" s="10">
        <f>'Pairings NB'!$O$1379</f>
        <v>0</v>
      </c>
      <c r="I309" s="10">
        <f>'Pairings NB'!J1379</f>
        <v>319</v>
      </c>
      <c r="J309" s="10" t="str">
        <f>IFERROR(VLOOKUP('Pairings NB'!$M$1379,Instructores!$A:$C,3,FALSE),"")</f>
        <v/>
      </c>
      <c r="K309" s="10">
        <f>IF('Pairings NB'!J1379=320,4,3)</f>
        <v>3</v>
      </c>
    </row>
    <row r="310" spans="1:11" x14ac:dyDescent="0.25">
      <c r="A310" s="10">
        <f>'Pairings NB'!B1384</f>
        <v>1363</v>
      </c>
      <c r="B310" s="10" t="str">
        <f>'Pairings NB'!C1384</f>
        <v>16/10/2026</v>
      </c>
      <c r="C310" s="10" t="str">
        <f>'Pairings NB'!D1384</f>
        <v>viernes</v>
      </c>
      <c r="D310" s="10" t="str">
        <f>'Pairings NB'!E1384&amp;"/"&amp;'Pairings NB'!E1385</f>
        <v>2061/2062</v>
      </c>
      <c r="E310" s="10" t="str">
        <f>'Pairings NB'!F1384&amp;"-"&amp;'Pairings NB'!G1384&amp;"-"&amp;'Pairings NB'!F1384</f>
        <v>LIM-CUZ-LIM</v>
      </c>
      <c r="F310" s="10" t="str">
        <f>IFERROR(VLOOKUP('Pairings NB'!$M$1384,Instructores!$A:$C,2,FALSE),"")</f>
        <v/>
      </c>
      <c r="G310" s="10">
        <f>'Pairings NB'!$M$1384</f>
        <v>0</v>
      </c>
      <c r="H310" s="10">
        <f>'Pairings NB'!$O$1384</f>
        <v>0</v>
      </c>
      <c r="I310" s="10">
        <f>'Pairings NB'!J1384</f>
        <v>320</v>
      </c>
      <c r="J310" s="10" t="str">
        <f>IFERROR(VLOOKUP('Pairings NB'!$M$1384,Instructores!$A:$C,3,FALSE),"")</f>
        <v/>
      </c>
      <c r="K310" s="10">
        <f>IF('Pairings NB'!J1384=320,4,3)</f>
        <v>4</v>
      </c>
    </row>
    <row r="311" spans="1:11" x14ac:dyDescent="0.25">
      <c r="A311" s="10">
        <f>'Pairings NB'!B1386</f>
        <v>1390</v>
      </c>
      <c r="B311" s="10" t="str">
        <f>'Pairings NB'!C1386</f>
        <v>16/10/2026</v>
      </c>
      <c r="C311" s="10" t="str">
        <f>'Pairings NB'!D1386</f>
        <v>viernes</v>
      </c>
      <c r="D311" s="10" t="str">
        <f>'Pairings NB'!E1386&amp;"/"&amp;'Pairings NB'!E1387</f>
        <v>2127/2026</v>
      </c>
      <c r="E311" s="10" t="str">
        <f>'Pairings NB'!F1386&amp;"-"&amp;'Pairings NB'!G1386&amp;"-"&amp;'Pairings NB'!F1386</f>
        <v>LIM-CUZ-LIM</v>
      </c>
      <c r="F311" s="10" t="str">
        <f>IFERROR(VLOOKUP('Pairings NB'!$M$1384,Instructores!$A:$C,2,FALSE),"")</f>
        <v/>
      </c>
      <c r="G311" s="10">
        <f>'Pairings NB'!$M$1384</f>
        <v>0</v>
      </c>
      <c r="H311" s="10">
        <f>'Pairings NB'!$O$1384</f>
        <v>0</v>
      </c>
      <c r="I311" s="10">
        <f>'Pairings NB'!J1386</f>
        <v>319</v>
      </c>
      <c r="J311" s="10" t="str">
        <f>IFERROR(VLOOKUP('Pairings NB'!$M$1384,Instructores!$A:$C,3,FALSE),"")</f>
        <v/>
      </c>
      <c r="K311" s="10">
        <f>IF('Pairings NB'!J1386=320,4,3)</f>
        <v>3</v>
      </c>
    </row>
    <row r="312" spans="1:11" x14ac:dyDescent="0.25">
      <c r="A312" s="10">
        <f>'Pairings NB'!B1391</f>
        <v>1365</v>
      </c>
      <c r="B312" s="10" t="str">
        <f>'Pairings NB'!C1391</f>
        <v>16/10/2026</v>
      </c>
      <c r="C312" s="10" t="str">
        <f>'Pairings NB'!D1391</f>
        <v>viernes</v>
      </c>
      <c r="D312" s="10" t="str">
        <f>'Pairings NB'!E1391&amp;"/"&amp;'Pairings NB'!E1392</f>
        <v>2356/2357</v>
      </c>
      <c r="E312" s="10" t="str">
        <f>'Pairings NB'!F1391&amp;"-"&amp;'Pairings NB'!G1391&amp;"-"&amp;'Pairings NB'!F1391</f>
        <v>LIM-CUZ-LIM</v>
      </c>
      <c r="F312" s="10" t="str">
        <f>IFERROR(VLOOKUP('Pairings NB'!$M$1391,Instructores!$A:$C,2,FALSE),"")</f>
        <v/>
      </c>
      <c r="G312" s="10">
        <f>'Pairings NB'!$M$1391</f>
        <v>0</v>
      </c>
      <c r="H312" s="10">
        <f>'Pairings NB'!$O$1391</f>
        <v>0</v>
      </c>
      <c r="I312" s="10">
        <f>'Pairings NB'!J1391</f>
        <v>319</v>
      </c>
      <c r="J312" s="10" t="str">
        <f>IFERROR(VLOOKUP('Pairings NB'!$M$1391,Instructores!$A:$C,3,FALSE),"")</f>
        <v/>
      </c>
      <c r="K312" s="10">
        <f>IF('Pairings NB'!J1391=320,4,3)</f>
        <v>3</v>
      </c>
    </row>
    <row r="313" spans="1:11" x14ac:dyDescent="0.25">
      <c r="A313" s="10">
        <f>'Pairings NB'!B1393</f>
        <v>1394</v>
      </c>
      <c r="B313" s="10" t="str">
        <f>'Pairings NB'!C1393</f>
        <v>16/10/2026</v>
      </c>
      <c r="C313" s="10" t="str">
        <f>'Pairings NB'!D1393</f>
        <v>viernes</v>
      </c>
      <c r="D313" s="10" t="str">
        <f>'Pairings NB'!E1393&amp;"/"&amp;'Pairings NB'!E1394</f>
        <v>2115/2114</v>
      </c>
      <c r="E313" s="10" t="str">
        <f>'Pairings NB'!F1393&amp;"-"&amp;'Pairings NB'!G1393&amp;"-"&amp;'Pairings NB'!F1393</f>
        <v>LIM-AQP-LIM</v>
      </c>
      <c r="F313" s="10" t="str">
        <f>IFERROR(VLOOKUP('Pairings NB'!$M$1391,Instructores!$A:$C,2,FALSE),"")</f>
        <v/>
      </c>
      <c r="G313" s="10">
        <f>'Pairings NB'!$M$1391</f>
        <v>0</v>
      </c>
      <c r="H313" s="10">
        <f>'Pairings NB'!$O$1391</f>
        <v>0</v>
      </c>
      <c r="I313" s="10">
        <f>'Pairings NB'!J1393</f>
        <v>320</v>
      </c>
      <c r="J313" s="10" t="str">
        <f>IFERROR(VLOOKUP('Pairings NB'!$M$1391,Instructores!$A:$C,3,FALSE),"")</f>
        <v/>
      </c>
      <c r="K313" s="10">
        <f>IF('Pairings NB'!J1393=320,4,3)</f>
        <v>4</v>
      </c>
    </row>
    <row r="314" spans="1:11" x14ac:dyDescent="0.25">
      <c r="A314" s="10">
        <f>'Pairings NB'!B1398</f>
        <v>1370</v>
      </c>
      <c r="B314" s="10" t="str">
        <f>'Pairings NB'!C1398</f>
        <v>16/10/2026</v>
      </c>
      <c r="C314" s="10" t="str">
        <f>'Pairings NB'!D1398</f>
        <v>viernes</v>
      </c>
      <c r="D314" s="10" t="str">
        <f>'Pairings NB'!E1398&amp;"/"&amp;'Pairings NB'!E1399</f>
        <v>2308/2309</v>
      </c>
      <c r="E314" s="10" t="str">
        <f>'Pairings NB'!F1398&amp;"-"&amp;'Pairings NB'!G1398&amp;"-"&amp;'Pairings NB'!F1398</f>
        <v>LIM-PIU-LIM</v>
      </c>
      <c r="F314" s="10" t="str">
        <f>IFERROR(VLOOKUP('Pairings NB'!$M$1398,Instructores!$A:$C,2,FALSE),"")</f>
        <v/>
      </c>
      <c r="G314" s="10">
        <f>'Pairings NB'!$M$1398</f>
        <v>0</v>
      </c>
      <c r="H314" s="10">
        <f>'Pairings NB'!$O$1398</f>
        <v>0</v>
      </c>
      <c r="I314" s="10">
        <f>'Pairings NB'!J1398</f>
        <v>319</v>
      </c>
      <c r="J314" s="10" t="str">
        <f>IFERROR(VLOOKUP('Pairings NB'!$M$1398,Instructores!$A:$C,3,FALSE),"")</f>
        <v/>
      </c>
      <c r="K314" s="10">
        <f>IF('Pairings NB'!J1398=320,4,3)</f>
        <v>3</v>
      </c>
    </row>
    <row r="315" spans="1:11" x14ac:dyDescent="0.25">
      <c r="A315" s="10">
        <f>'Pairings NB'!B1403</f>
        <v>1375</v>
      </c>
      <c r="B315" s="10" t="str">
        <f>'Pairings NB'!C1403</f>
        <v>16/10/2026</v>
      </c>
      <c r="C315" s="10" t="str">
        <f>'Pairings NB'!D1403</f>
        <v>viernes</v>
      </c>
      <c r="D315" s="10" t="str">
        <f>'Pairings NB'!E1403&amp;"/"&amp;'Pairings NB'!E1404</f>
        <v>2028/2029</v>
      </c>
      <c r="E315" s="10" t="str">
        <f>'Pairings NB'!F1403&amp;"-"&amp;'Pairings NB'!G1403&amp;"-"&amp;'Pairings NB'!F1403</f>
        <v>LIM-CUZ-LIM</v>
      </c>
      <c r="F315" s="10" t="str">
        <f>IFERROR(VLOOKUP('Pairings NB'!$M$1403,Instructores!$A:$C,2,FALSE),"")</f>
        <v/>
      </c>
      <c r="G315" s="10">
        <f>'Pairings NB'!$M$1403</f>
        <v>0</v>
      </c>
      <c r="H315" s="10">
        <f>'Pairings NB'!$O$1403</f>
        <v>0</v>
      </c>
      <c r="I315" s="10">
        <f>'Pairings NB'!J1403</f>
        <v>320</v>
      </c>
      <c r="J315" s="10" t="str">
        <f>IFERROR(VLOOKUP('Pairings NB'!$M$1403,Instructores!$A:$C,3,FALSE),"")</f>
        <v/>
      </c>
      <c r="K315" s="10">
        <f>IF('Pairings NB'!J1403=320,4,3)</f>
        <v>4</v>
      </c>
    </row>
    <row r="316" spans="1:11" x14ac:dyDescent="0.25">
      <c r="A316" s="10">
        <f>'Pairings NB'!B1405</f>
        <v>1397</v>
      </c>
      <c r="B316" s="10" t="str">
        <f>'Pairings NB'!C1405</f>
        <v>16/10/2026</v>
      </c>
      <c r="C316" s="10" t="str">
        <f>'Pairings NB'!D1405</f>
        <v>viernes</v>
      </c>
      <c r="D316" s="10" t="str">
        <f>'Pairings NB'!E1405&amp;"/"&amp;'Pairings NB'!E1406</f>
        <v>2310/2311</v>
      </c>
      <c r="E316" s="10" t="str">
        <f>'Pairings NB'!F1405&amp;"-"&amp;'Pairings NB'!G1405&amp;"-"&amp;'Pairings NB'!F1405</f>
        <v>LIM-CIX-LIM</v>
      </c>
      <c r="F316" s="10" t="str">
        <f>IFERROR(VLOOKUP('Pairings NB'!$M$1403,Instructores!$A:$C,2,FALSE),"")</f>
        <v/>
      </c>
      <c r="G316" s="10">
        <f>'Pairings NB'!$M$1403</f>
        <v>0</v>
      </c>
      <c r="H316" s="10">
        <f>'Pairings NB'!$O$1403</f>
        <v>0</v>
      </c>
      <c r="I316" s="10">
        <f>'Pairings NB'!J1405</f>
        <v>320</v>
      </c>
      <c r="J316" s="10" t="str">
        <f>IFERROR(VLOOKUP('Pairings NB'!$M$1403,Instructores!$A:$C,3,FALSE),"")</f>
        <v/>
      </c>
      <c r="K316" s="10">
        <f>IF('Pairings NB'!J1405=320,4,3)</f>
        <v>4</v>
      </c>
    </row>
    <row r="317" spans="1:11" x14ac:dyDescent="0.25">
      <c r="A317" s="10">
        <f>'Pairings NB'!B1410</f>
        <v>1377</v>
      </c>
      <c r="B317" s="10" t="str">
        <f>'Pairings NB'!C1410</f>
        <v>16/10/2026</v>
      </c>
      <c r="C317" s="10" t="str">
        <f>'Pairings NB'!D1410</f>
        <v>viernes</v>
      </c>
      <c r="D317" s="10" t="str">
        <f>'Pairings NB'!E1410&amp;"/"&amp;'Pairings NB'!E1411</f>
        <v>2196/2197</v>
      </c>
      <c r="E317" s="10" t="str">
        <f>'Pairings NB'!F1410&amp;"-"&amp;'Pairings NB'!G1410&amp;"-"&amp;'Pairings NB'!F1410</f>
        <v>LIM-PIU-LIM</v>
      </c>
      <c r="F317" s="10" t="str">
        <f>IFERROR(VLOOKUP('Pairings NB'!$M$1410,Instructores!$A:$C,2,FALSE),"")</f>
        <v/>
      </c>
      <c r="G317" s="10">
        <f>'Pairings NB'!$M$1410</f>
        <v>0</v>
      </c>
      <c r="H317" s="10">
        <f>'Pairings NB'!$O$1410</f>
        <v>0</v>
      </c>
      <c r="I317" s="10">
        <f>'Pairings NB'!J1410</f>
        <v>320</v>
      </c>
      <c r="J317" s="10" t="str">
        <f>IFERROR(VLOOKUP('Pairings NB'!$M$1410,Instructores!$A:$C,3,FALSE),"")</f>
        <v/>
      </c>
      <c r="K317" s="10">
        <f>IF('Pairings NB'!J1410=320,4,3)</f>
        <v>4</v>
      </c>
    </row>
    <row r="318" spans="1:11" x14ac:dyDescent="0.25">
      <c r="A318" s="10">
        <f>'Pairings NB'!B1415</f>
        <v>1379</v>
      </c>
      <c r="B318" s="10" t="str">
        <f>'Pairings NB'!C1415</f>
        <v>16/10/2026</v>
      </c>
      <c r="C318" s="10" t="str">
        <f>'Pairings NB'!D1415</f>
        <v>viernes</v>
      </c>
      <c r="D318" s="10" t="str">
        <f>'Pairings NB'!E1415&amp;"/"&amp;'Pairings NB'!E1416</f>
        <v>2295/2294</v>
      </c>
      <c r="E318" s="10" t="str">
        <f>'Pairings NB'!F1415&amp;"-"&amp;'Pairings NB'!G1415&amp;"-"&amp;'Pairings NB'!F1415</f>
        <v>LIM-CJA-LIM</v>
      </c>
      <c r="F318" s="10" t="str">
        <f>IFERROR(VLOOKUP('Pairings NB'!$M$1415,Instructores!$A:$C,2,FALSE),"")</f>
        <v/>
      </c>
      <c r="G318" s="10">
        <f>'Pairings NB'!$M$1415</f>
        <v>0</v>
      </c>
      <c r="H318" s="10">
        <f>'Pairings NB'!$O$1415</f>
        <v>0</v>
      </c>
      <c r="I318" s="10">
        <f>'Pairings NB'!J1415</f>
        <v>320</v>
      </c>
      <c r="J318" s="10" t="str">
        <f>IFERROR(VLOOKUP('Pairings NB'!$M$1415,Instructores!$A:$C,3,FALSE),"")</f>
        <v/>
      </c>
      <c r="K318" s="10">
        <f>IF('Pairings NB'!J1415=320,4,3)</f>
        <v>4</v>
      </c>
    </row>
    <row r="319" spans="1:11" x14ac:dyDescent="0.25">
      <c r="A319" s="10">
        <f>'Pairings NB'!B1417</f>
        <v>1398</v>
      </c>
      <c r="B319" s="10" t="str">
        <f>'Pairings NB'!C1417</f>
        <v>16/10/2026</v>
      </c>
      <c r="C319" s="10" t="str">
        <f>'Pairings NB'!D1417</f>
        <v>viernes</v>
      </c>
      <c r="D319" s="10" t="str">
        <f>'Pairings NB'!E1417&amp;"/"&amp;'Pairings NB'!E1418</f>
        <v>2091/2092</v>
      </c>
      <c r="E319" s="10" t="str">
        <f>'Pairings NB'!F1417&amp;"-"&amp;'Pairings NB'!G1417&amp;"-"&amp;'Pairings NB'!F1417</f>
        <v>LIM-TPP-LIM</v>
      </c>
      <c r="F319" s="10" t="str">
        <f>IFERROR(VLOOKUP('Pairings NB'!$M$1415,Instructores!$A:$C,2,FALSE),"")</f>
        <v/>
      </c>
      <c r="G319" s="10">
        <f>'Pairings NB'!$M$1415</f>
        <v>0</v>
      </c>
      <c r="H319" s="10">
        <f>'Pairings NB'!$O$1415</f>
        <v>0</v>
      </c>
      <c r="I319" s="10">
        <f>'Pairings NB'!J1417</f>
        <v>320</v>
      </c>
      <c r="J319" s="10" t="str">
        <f>IFERROR(VLOOKUP('Pairings NB'!$M$1415,Instructores!$A:$C,3,FALSE),"")</f>
        <v/>
      </c>
      <c r="K319" s="10">
        <f>IF('Pairings NB'!J1417=320,4,3)</f>
        <v>4</v>
      </c>
    </row>
    <row r="320" spans="1:11" x14ac:dyDescent="0.25">
      <c r="A320" s="10">
        <f>'Pairings NB'!B1422</f>
        <v>1381</v>
      </c>
      <c r="B320" s="10" t="str">
        <f>'Pairings NB'!C1422</f>
        <v>16/10/2026</v>
      </c>
      <c r="C320" s="10" t="str">
        <f>'Pairings NB'!D1422</f>
        <v>viernes</v>
      </c>
      <c r="D320" s="10" t="str">
        <f>'Pairings NB'!E1422&amp;"/"&amp;'Pairings NB'!E1423</f>
        <v>2154/2155</v>
      </c>
      <c r="E320" s="10" t="str">
        <f>'Pairings NB'!F1422&amp;"-"&amp;'Pairings NB'!G1422&amp;"-"&amp;'Pairings NB'!F1422</f>
        <v>LIM-CUZ-LIM</v>
      </c>
      <c r="F320" s="10" t="str">
        <f>IFERROR(VLOOKUP('Pairings NB'!$M$1422,Instructores!$A:$C,2,FALSE),"")</f>
        <v/>
      </c>
      <c r="G320" s="10">
        <f>'Pairings NB'!$M$1422</f>
        <v>0</v>
      </c>
      <c r="H320" s="10">
        <f>'Pairings NB'!$O$1422</f>
        <v>0</v>
      </c>
      <c r="I320" s="10">
        <f>'Pairings NB'!J1422</f>
        <v>320</v>
      </c>
      <c r="J320" s="10" t="str">
        <f>IFERROR(VLOOKUP('Pairings NB'!$M$1422,Instructores!$A:$C,3,FALSE),"")</f>
        <v/>
      </c>
      <c r="K320" s="10">
        <f>IF('Pairings NB'!J1422=320,4,3)</f>
        <v>4</v>
      </c>
    </row>
    <row r="321" spans="1:11" x14ac:dyDescent="0.25">
      <c r="A321" s="10">
        <f>'Pairings NB'!B1427</f>
        <v>1384</v>
      </c>
      <c r="B321" s="10" t="str">
        <f>'Pairings NB'!C1427</f>
        <v>16/10/2026</v>
      </c>
      <c r="C321" s="10" t="str">
        <f>'Pairings NB'!D1427</f>
        <v>viernes</v>
      </c>
      <c r="D321" s="10" t="str">
        <f>'Pairings NB'!E1427&amp;"/"&amp;'Pairings NB'!E1428</f>
        <v>2360/2361</v>
      </c>
      <c r="E321" s="10" t="str">
        <f>'Pairings NB'!F1427&amp;"-"&amp;'Pairings NB'!G1427&amp;"-"&amp;'Pairings NB'!F1427</f>
        <v>LIM-PCL-LIM</v>
      </c>
      <c r="F321" s="10" t="str">
        <f>IFERROR(VLOOKUP('Pairings NB'!$M$1427,Instructores!$A:$C,2,FALSE),"")</f>
        <v/>
      </c>
      <c r="G321" s="10">
        <f>'Pairings NB'!$M$1427</f>
        <v>0</v>
      </c>
      <c r="H321" s="10">
        <f>'Pairings NB'!$O$1427</f>
        <v>0</v>
      </c>
      <c r="I321" s="10">
        <f>'Pairings NB'!J1427</f>
        <v>320</v>
      </c>
      <c r="J321" s="10" t="str">
        <f>IFERROR(VLOOKUP('Pairings NB'!$M$1427,Instructores!$A:$C,3,FALSE),"")</f>
        <v/>
      </c>
      <c r="K321" s="10">
        <f>IF('Pairings NB'!J1427=320,4,3)</f>
        <v>4</v>
      </c>
    </row>
    <row r="322" spans="1:11" x14ac:dyDescent="0.25">
      <c r="A322" s="10">
        <f>'Pairings NB'!B1432</f>
        <v>1385</v>
      </c>
      <c r="B322" s="10" t="str">
        <f>'Pairings NB'!C1432</f>
        <v>16/10/2026</v>
      </c>
      <c r="C322" s="10" t="str">
        <f>'Pairings NB'!D1432</f>
        <v>viernes</v>
      </c>
      <c r="D322" s="10" t="str">
        <f>'Pairings NB'!E1432&amp;"/"&amp;'Pairings NB'!E1433</f>
        <v>2312/2313</v>
      </c>
      <c r="E322" s="10" t="str">
        <f>'Pairings NB'!F1432&amp;"-"&amp;'Pairings NB'!G1432&amp;"-"&amp;'Pairings NB'!F1432</f>
        <v>LIM-CIX-LIM</v>
      </c>
      <c r="F322" s="10" t="str">
        <f>IFERROR(VLOOKUP('Pairings NB'!$M$1432,Instructores!$A:$C,2,FALSE),"")</f>
        <v/>
      </c>
      <c r="G322" s="10">
        <f>'Pairings NB'!$M$1432</f>
        <v>0</v>
      </c>
      <c r="H322" s="10">
        <f>'Pairings NB'!$O$1432</f>
        <v>0</v>
      </c>
      <c r="I322" s="10">
        <f>'Pairings NB'!J1432</f>
        <v>320</v>
      </c>
      <c r="J322" s="10" t="str">
        <f>IFERROR(VLOOKUP('Pairings NB'!$M$1432,Instructores!$A:$C,3,FALSE),"")</f>
        <v/>
      </c>
      <c r="K322" s="10">
        <f>IF('Pairings NB'!J1432=320,4,3)</f>
        <v>4</v>
      </c>
    </row>
    <row r="323" spans="1:11" x14ac:dyDescent="0.25">
      <c r="A323" s="10">
        <f>'Pairings NB'!B1437</f>
        <v>1386</v>
      </c>
      <c r="B323" s="10" t="str">
        <f>'Pairings NB'!C1437</f>
        <v>16/10/2026</v>
      </c>
      <c r="C323" s="10" t="str">
        <f>'Pairings NB'!D1437</f>
        <v>viernes</v>
      </c>
      <c r="D323" s="10" t="str">
        <f>'Pairings NB'!E1437&amp;"/"&amp;'Pairings NB'!E1438</f>
        <v>2312/2313</v>
      </c>
      <c r="E323" s="10" t="str">
        <f>'Pairings NB'!F1437&amp;"-"&amp;'Pairings NB'!G1437&amp;"-"&amp;'Pairings NB'!F1437</f>
        <v>LIM-CIX-LIM</v>
      </c>
      <c r="F323" s="10" t="str">
        <f>IFERROR(VLOOKUP('Pairings NB'!$M$1437,Instructores!$A:$C,2,FALSE),"")</f>
        <v/>
      </c>
      <c r="G323" s="10">
        <f>'Pairings NB'!$M$1437</f>
        <v>0</v>
      </c>
      <c r="H323" s="10">
        <f>'Pairings NB'!$O$1437</f>
        <v>0</v>
      </c>
      <c r="I323" s="10">
        <f>'Pairings NB'!J1437</f>
        <v>320</v>
      </c>
      <c r="J323" s="10" t="str">
        <f>IFERROR(VLOOKUP('Pairings NB'!$M$1437,Instructores!$A:$C,3,FALSE),"")</f>
        <v/>
      </c>
      <c r="K323" s="10">
        <f>IF('Pairings NB'!J1437=320,4,3)</f>
        <v>4</v>
      </c>
    </row>
    <row r="324" spans="1:11" x14ac:dyDescent="0.25">
      <c r="A324" s="10">
        <f>'Pairings NB'!B1442</f>
        <v>1387</v>
      </c>
      <c r="B324" s="10" t="str">
        <f>'Pairings NB'!C1442</f>
        <v>16/10/2026</v>
      </c>
      <c r="C324" s="10" t="str">
        <f>'Pairings NB'!D1442</f>
        <v>viernes</v>
      </c>
      <c r="D324" s="10" t="str">
        <f>'Pairings NB'!E1442&amp;"/"&amp;'Pairings NB'!E1443</f>
        <v>2301/2300</v>
      </c>
      <c r="E324" s="10" t="str">
        <f>'Pairings NB'!F1442&amp;"-"&amp;'Pairings NB'!G1442&amp;"-"&amp;'Pairings NB'!F1442</f>
        <v>LIM-TPP-LIM</v>
      </c>
      <c r="F324" s="10" t="str">
        <f>IFERROR(VLOOKUP('Pairings NB'!$M$1442,Instructores!$A:$C,2,FALSE),"")</f>
        <v/>
      </c>
      <c r="G324" s="10">
        <f>'Pairings NB'!$M$1442</f>
        <v>0</v>
      </c>
      <c r="H324" s="10">
        <f>'Pairings NB'!$O$1442</f>
        <v>0</v>
      </c>
      <c r="I324" s="10">
        <f>'Pairings NB'!J1442</f>
        <v>320</v>
      </c>
      <c r="J324" s="10" t="str">
        <f>IFERROR(VLOOKUP('Pairings NB'!$M$1442,Instructores!$A:$C,3,FALSE),"")</f>
        <v/>
      </c>
      <c r="K324" s="10">
        <f>IF('Pairings NB'!J1442=320,4,3)</f>
        <v>4</v>
      </c>
    </row>
    <row r="325" spans="1:11" x14ac:dyDescent="0.25">
      <c r="A325" s="10">
        <f>'Pairings NB'!B1447</f>
        <v>1391</v>
      </c>
      <c r="B325" s="10" t="str">
        <f>'Pairings NB'!C1447</f>
        <v>16/10/2026</v>
      </c>
      <c r="C325" s="10" t="str">
        <f>'Pairings NB'!D1447</f>
        <v>viernes</v>
      </c>
      <c r="D325" s="10" t="str">
        <f>'Pairings NB'!E1447&amp;"/"&amp;'Pairings NB'!E1448</f>
        <v>2276/2277</v>
      </c>
      <c r="E325" s="10" t="str">
        <f>'Pairings NB'!F1447&amp;"-"&amp;'Pairings NB'!G1447&amp;"-"&amp;'Pairings NB'!F1447</f>
        <v>LIM-CUZ-LIM</v>
      </c>
      <c r="F325" s="10" t="str">
        <f>IFERROR(VLOOKUP('Pairings NB'!$M$1447,Instructores!$A:$C,2,FALSE),"")</f>
        <v/>
      </c>
      <c r="G325" s="10">
        <f>'Pairings NB'!$M$1447</f>
        <v>0</v>
      </c>
      <c r="H325" s="10">
        <f>'Pairings NB'!$O$1447</f>
        <v>0</v>
      </c>
      <c r="I325" s="10">
        <f>'Pairings NB'!J1447</f>
        <v>320</v>
      </c>
      <c r="J325" s="10" t="str">
        <f>IFERROR(VLOOKUP('Pairings NB'!$M$1447,Instructores!$A:$C,3,FALSE),"")</f>
        <v/>
      </c>
      <c r="K325" s="10">
        <f>IF('Pairings NB'!J1447=320,4,3)</f>
        <v>4</v>
      </c>
    </row>
    <row r="326" spans="1:11" x14ac:dyDescent="0.25">
      <c r="A326" s="10">
        <f>'Pairings NB'!B1452</f>
        <v>1392</v>
      </c>
      <c r="B326" s="10" t="str">
        <f>'Pairings NB'!C1452</f>
        <v>16/10/2026</v>
      </c>
      <c r="C326" s="10" t="str">
        <f>'Pairings NB'!D1452</f>
        <v>viernes</v>
      </c>
      <c r="D326" s="10" t="str">
        <f>'Pairings NB'!E1452&amp;"/"&amp;'Pairings NB'!E1453</f>
        <v>2276/2277</v>
      </c>
      <c r="E326" s="10" t="str">
        <f>'Pairings NB'!F1452&amp;"-"&amp;'Pairings NB'!G1452&amp;"-"&amp;'Pairings NB'!F1452</f>
        <v>LIM-CUZ-LIM</v>
      </c>
      <c r="F326" s="10" t="str">
        <f>IFERROR(VLOOKUP('Pairings NB'!$M$1452,Instructores!$A:$C,2,FALSE),"")</f>
        <v/>
      </c>
      <c r="G326" s="10">
        <f>'Pairings NB'!$M$1452</f>
        <v>0</v>
      </c>
      <c r="H326" s="10">
        <f>'Pairings NB'!$O$1452</f>
        <v>0</v>
      </c>
      <c r="I326" s="10">
        <f>'Pairings NB'!J1452</f>
        <v>320</v>
      </c>
      <c r="J326" s="10" t="str">
        <f>IFERROR(VLOOKUP('Pairings NB'!$M$1452,Instructores!$A:$C,3,FALSE),"")</f>
        <v/>
      </c>
      <c r="K326" s="10">
        <f>IF('Pairings NB'!J1452=320,4,3)</f>
        <v>4</v>
      </c>
    </row>
    <row r="327" spans="1:11" x14ac:dyDescent="0.25">
      <c r="A327" s="10">
        <f>'Pairings NB'!B1457</f>
        <v>1395</v>
      </c>
      <c r="B327" s="10" t="str">
        <f>'Pairings NB'!C1457</f>
        <v>16/10/2026</v>
      </c>
      <c r="C327" s="10" t="str">
        <f>'Pairings NB'!D1457</f>
        <v>viernes</v>
      </c>
      <c r="D327" s="10" t="str">
        <f>'Pairings NB'!E1457&amp;"/"&amp;'Pairings NB'!E1458</f>
        <v>2115/2114</v>
      </c>
      <c r="E327" s="10" t="str">
        <f>'Pairings NB'!F1457&amp;"-"&amp;'Pairings NB'!G1457&amp;"-"&amp;'Pairings NB'!F1457</f>
        <v>LIM-AQP-LIM</v>
      </c>
      <c r="F327" s="10" t="str">
        <f>IFERROR(VLOOKUP('Pairings NB'!$M$1457,Instructores!$A:$C,2,FALSE),"")</f>
        <v/>
      </c>
      <c r="G327" s="10">
        <f>'Pairings NB'!$M$1457</f>
        <v>0</v>
      </c>
      <c r="H327" s="10">
        <f>'Pairings NB'!$O$1457</f>
        <v>0</v>
      </c>
      <c r="I327" s="10">
        <f>'Pairings NB'!J1457</f>
        <v>320</v>
      </c>
      <c r="J327" s="10" t="str">
        <f>IFERROR(VLOOKUP('Pairings NB'!$M$1457,Instructores!$A:$C,3,FALSE),"")</f>
        <v/>
      </c>
      <c r="K327" s="10">
        <f>IF('Pairings NB'!J1457=320,4,3)</f>
        <v>4</v>
      </c>
    </row>
    <row r="328" spans="1:11" x14ac:dyDescent="0.25">
      <c r="A328" s="10">
        <f>'Pairings NB'!B1462</f>
        <v>1396</v>
      </c>
      <c r="B328" s="10" t="str">
        <f>'Pairings NB'!C1462</f>
        <v>16/10/2026</v>
      </c>
      <c r="C328" s="10" t="str">
        <f>'Pairings NB'!D1462</f>
        <v>viernes</v>
      </c>
      <c r="D328" s="10" t="str">
        <f>'Pairings NB'!E1462&amp;"/"&amp;'Pairings NB'!E1463</f>
        <v>2556/2557</v>
      </c>
      <c r="E328" s="10" t="str">
        <f>'Pairings NB'!F1462&amp;"-"&amp;'Pairings NB'!G1462&amp;"-"&amp;'Pairings NB'!F1462</f>
        <v>LIM-PIU-LIM</v>
      </c>
      <c r="F328" s="10" t="str">
        <f>IFERROR(VLOOKUP('Pairings NB'!$M$1462,Instructores!$A:$C,2,FALSE),"")</f>
        <v/>
      </c>
      <c r="G328" s="10">
        <f>'Pairings NB'!$M$1462</f>
        <v>0</v>
      </c>
      <c r="H328" s="10">
        <f>'Pairings NB'!$O$1462</f>
        <v>0</v>
      </c>
      <c r="I328" s="10">
        <f>'Pairings NB'!J1462</f>
        <v>320</v>
      </c>
      <c r="J328" s="10" t="str">
        <f>IFERROR(VLOOKUP('Pairings NB'!$M$1462,Instructores!$A:$C,3,FALSE),"")</f>
        <v/>
      </c>
      <c r="K328" s="10">
        <f>IF('Pairings NB'!J1462=320,4,3)</f>
        <v>4</v>
      </c>
    </row>
    <row r="329" spans="1:11" x14ac:dyDescent="0.25">
      <c r="A329" s="10">
        <f>'Pairings NB'!B1467</f>
        <v>1399</v>
      </c>
      <c r="B329" s="10" t="str">
        <f>'Pairings NB'!C1467</f>
        <v>16/10/2026</v>
      </c>
      <c r="C329" s="10" t="str">
        <f>'Pairings NB'!D1467</f>
        <v>viernes</v>
      </c>
      <c r="D329" s="10" t="str">
        <f>'Pairings NB'!E1467&amp;"/"&amp;'Pairings NB'!E1468</f>
        <v>2091/2092</v>
      </c>
      <c r="E329" s="10" t="str">
        <f>'Pairings NB'!F1467&amp;"-"&amp;'Pairings NB'!G1467&amp;"-"&amp;'Pairings NB'!F1467</f>
        <v>LIM-TPP-LIM</v>
      </c>
      <c r="F329" s="10" t="str">
        <f>IFERROR(VLOOKUP('Pairings NB'!$M$1467,Instructores!$A:$C,2,FALSE),"")</f>
        <v/>
      </c>
      <c r="G329" s="10">
        <f>'Pairings NB'!$M$1467</f>
        <v>0</v>
      </c>
      <c r="H329" s="10">
        <f>'Pairings NB'!$O$1467</f>
        <v>0</v>
      </c>
      <c r="I329" s="10">
        <f>'Pairings NB'!J1467</f>
        <v>320</v>
      </c>
      <c r="J329" s="10" t="str">
        <f>IFERROR(VLOOKUP('Pairings NB'!$M$1467,Instructores!$A:$C,3,FALSE),"")</f>
        <v/>
      </c>
      <c r="K329" s="10">
        <f>IF('Pairings NB'!J1467=320,4,3)</f>
        <v>4</v>
      </c>
    </row>
    <row r="330" spans="1:11" x14ac:dyDescent="0.25">
      <c r="A330" s="10">
        <f>'Pairings NB'!B1472</f>
        <v>1446</v>
      </c>
      <c r="B330" s="10" t="str">
        <f>'Pairings NB'!C1472</f>
        <v>17/10/2026</v>
      </c>
      <c r="C330" s="10" t="str">
        <f>'Pairings NB'!D1472</f>
        <v>sábado</v>
      </c>
      <c r="D330" s="10" t="str">
        <f>'Pairings NB'!E1472&amp;"/"&amp;'Pairings NB'!E1473</f>
        <v>2260/2261</v>
      </c>
      <c r="E330" s="10" t="str">
        <f>'Pairings NB'!F1472&amp;"-"&amp;'Pairings NB'!G1472&amp;"-"&amp;'Pairings NB'!F1472</f>
        <v>LIM-PEM-LIM</v>
      </c>
      <c r="F330" s="10" t="str">
        <f>IFERROR(VLOOKUP('Pairings NB'!$M$1472,Instructores!$A:$C,2,FALSE),"")</f>
        <v/>
      </c>
      <c r="G330" s="10">
        <f>'Pairings NB'!$M$1472</f>
        <v>0</v>
      </c>
      <c r="H330" s="10">
        <f>'Pairings NB'!$O$1472</f>
        <v>0</v>
      </c>
      <c r="I330" s="10">
        <f>'Pairings NB'!J1472</f>
        <v>320</v>
      </c>
      <c r="J330" s="10" t="str">
        <f>IFERROR(VLOOKUP('Pairings NB'!$M$1472,Instructores!$A:$C,3,FALSE),"")</f>
        <v/>
      </c>
      <c r="K330" s="10">
        <f>IF('Pairings NB'!J1472=320,4,3)</f>
        <v>4</v>
      </c>
    </row>
    <row r="331" spans="1:11" x14ac:dyDescent="0.25">
      <c r="A331" s="10">
        <f>'Pairings NB'!B1474</f>
        <v>1471</v>
      </c>
      <c r="B331" s="10" t="str">
        <f>'Pairings NB'!C1474</f>
        <v>17/10/2026</v>
      </c>
      <c r="C331" s="10" t="str">
        <f>'Pairings NB'!D1474</f>
        <v>sábado</v>
      </c>
      <c r="D331" s="10" t="str">
        <f>'Pairings NB'!E1474&amp;"/"&amp;'Pairings NB'!E1475</f>
        <v>2297/2296</v>
      </c>
      <c r="E331" s="10" t="str">
        <f>'Pairings NB'!F1474&amp;"-"&amp;'Pairings NB'!G1474&amp;"-"&amp;'Pairings NB'!F1474</f>
        <v>LIM-CJA-LIM</v>
      </c>
      <c r="F331" s="10" t="str">
        <f>IFERROR(VLOOKUP('Pairings NB'!$M$1472,Instructores!$A:$C,2,FALSE),"")</f>
        <v/>
      </c>
      <c r="G331" s="10">
        <f>'Pairings NB'!$M$1472</f>
        <v>0</v>
      </c>
      <c r="H331" s="10">
        <f>'Pairings NB'!$O$1472</f>
        <v>0</v>
      </c>
      <c r="I331" s="10">
        <f>'Pairings NB'!J1474</f>
        <v>320</v>
      </c>
      <c r="J331" s="10" t="str">
        <f>IFERROR(VLOOKUP('Pairings NB'!$M$1472,Instructores!$A:$C,3,FALSE),"")</f>
        <v/>
      </c>
      <c r="K331" s="10">
        <f>IF('Pairings NB'!J1474=320,4,3)</f>
        <v>4</v>
      </c>
    </row>
    <row r="332" spans="1:11" x14ac:dyDescent="0.25">
      <c r="A332" s="10">
        <f>'Pairings NB'!B1479</f>
        <v>1447</v>
      </c>
      <c r="B332" s="10" t="str">
        <f>'Pairings NB'!C1479</f>
        <v>17/10/2026</v>
      </c>
      <c r="C332" s="10" t="str">
        <f>'Pairings NB'!D1479</f>
        <v>sábado</v>
      </c>
      <c r="D332" s="10" t="str">
        <f>'Pairings NB'!E1479&amp;"/"&amp;'Pairings NB'!E1480</f>
        <v>2015/2016</v>
      </c>
      <c r="E332" s="10" t="str">
        <f>'Pairings NB'!F1479&amp;"-"&amp;'Pairings NB'!G1479&amp;"-"&amp;'Pairings NB'!F1479</f>
        <v>LIM-PIU-LIM</v>
      </c>
      <c r="F332" s="10" t="str">
        <f>IFERROR(VLOOKUP('Pairings NB'!$M$1479,Instructores!$A:$C,2,FALSE),"")</f>
        <v/>
      </c>
      <c r="G332" s="10">
        <f>'Pairings NB'!$M$1479</f>
        <v>0</v>
      </c>
      <c r="H332" s="10">
        <f>'Pairings NB'!$O$1479</f>
        <v>0</v>
      </c>
      <c r="I332" s="10">
        <f>'Pairings NB'!J1479</f>
        <v>319</v>
      </c>
      <c r="J332" s="10" t="str">
        <f>IFERROR(VLOOKUP('Pairings NB'!$M$1479,Instructores!$A:$C,3,FALSE),"")</f>
        <v/>
      </c>
      <c r="K332" s="10">
        <f>IF('Pairings NB'!J1479=320,4,3)</f>
        <v>3</v>
      </c>
    </row>
    <row r="333" spans="1:11" x14ac:dyDescent="0.25">
      <c r="A333" s="10">
        <f>'Pairings NB'!B1484</f>
        <v>1448</v>
      </c>
      <c r="B333" s="10" t="str">
        <f>'Pairings NB'!C1484</f>
        <v>17/10/2026</v>
      </c>
      <c r="C333" s="10" t="str">
        <f>'Pairings NB'!D1484</f>
        <v>sábado</v>
      </c>
      <c r="D333" s="10" t="str">
        <f>'Pairings NB'!E1484&amp;"/"&amp;'Pairings NB'!E1485</f>
        <v>2299/2298</v>
      </c>
      <c r="E333" s="10" t="str">
        <f>'Pairings NB'!F1484&amp;"-"&amp;'Pairings NB'!G1484&amp;"-"&amp;'Pairings NB'!F1484</f>
        <v>LIM-CJA-LIM</v>
      </c>
      <c r="F333" s="10" t="str">
        <f>IFERROR(VLOOKUP('Pairings NB'!$M$1484,Instructores!$A:$C,2,FALSE),"")</f>
        <v/>
      </c>
      <c r="G333" s="10">
        <f>'Pairings NB'!$M$1484</f>
        <v>0</v>
      </c>
      <c r="H333" s="10">
        <f>'Pairings NB'!$O$1484</f>
        <v>0</v>
      </c>
      <c r="I333" s="10">
        <f>'Pairings NB'!J1484</f>
        <v>320</v>
      </c>
      <c r="J333" s="10" t="str">
        <f>IFERROR(VLOOKUP('Pairings NB'!$M$1484,Instructores!$A:$C,3,FALSE),"")</f>
        <v/>
      </c>
      <c r="K333" s="10">
        <f>IF('Pairings NB'!J1484=320,4,3)</f>
        <v>4</v>
      </c>
    </row>
    <row r="334" spans="1:11" x14ac:dyDescent="0.25">
      <c r="A334" s="10">
        <f>'Pairings NB'!B1489</f>
        <v>1450</v>
      </c>
      <c r="B334" s="10" t="str">
        <f>'Pairings NB'!C1489</f>
        <v>17/10/2026</v>
      </c>
      <c r="C334" s="10" t="str">
        <f>'Pairings NB'!D1489</f>
        <v>sábado</v>
      </c>
      <c r="D334" s="10" t="str">
        <f>'Pairings NB'!E1489&amp;"/"&amp;'Pairings NB'!E1490</f>
        <v>2061/2062</v>
      </c>
      <c r="E334" s="10" t="str">
        <f>'Pairings NB'!F1489&amp;"-"&amp;'Pairings NB'!G1489&amp;"-"&amp;'Pairings NB'!F1489</f>
        <v>LIM-CUZ-LIM</v>
      </c>
      <c r="F334" s="10" t="str">
        <f>IFERROR(VLOOKUP('Pairings NB'!$M$1489,Instructores!$A:$C,2,FALSE),"")</f>
        <v/>
      </c>
      <c r="G334" s="10">
        <f>'Pairings NB'!$M$1489</f>
        <v>0</v>
      </c>
      <c r="H334" s="10">
        <f>'Pairings NB'!$O$1489</f>
        <v>0</v>
      </c>
      <c r="I334" s="10">
        <f>'Pairings NB'!J1489</f>
        <v>320</v>
      </c>
      <c r="J334" s="10" t="str">
        <f>IFERROR(VLOOKUP('Pairings NB'!$M$1489,Instructores!$A:$C,3,FALSE),"")</f>
        <v/>
      </c>
      <c r="K334" s="10">
        <f>IF('Pairings NB'!J1489=320,4,3)</f>
        <v>4</v>
      </c>
    </row>
    <row r="335" spans="1:11" x14ac:dyDescent="0.25">
      <c r="A335" s="10">
        <f>'Pairings NB'!B1494</f>
        <v>1460</v>
      </c>
      <c r="B335" s="10" t="str">
        <f>'Pairings NB'!C1494</f>
        <v>17/10/2026</v>
      </c>
      <c r="C335" s="10" t="str">
        <f>'Pairings NB'!D1494</f>
        <v>sábado</v>
      </c>
      <c r="D335" s="10" t="str">
        <f>'Pairings NB'!E1494&amp;"/"&amp;'Pairings NB'!E1495</f>
        <v>2028/2029</v>
      </c>
      <c r="E335" s="10" t="str">
        <f>'Pairings NB'!F1494&amp;"-"&amp;'Pairings NB'!G1494&amp;"-"&amp;'Pairings NB'!F1494</f>
        <v>LIM-CUZ-LIM</v>
      </c>
      <c r="F335" s="10" t="str">
        <f>IFERROR(VLOOKUP('Pairings NB'!$M$1494,Instructores!$A:$C,2,FALSE),"")</f>
        <v/>
      </c>
      <c r="G335" s="10">
        <f>'Pairings NB'!$M$1494</f>
        <v>0</v>
      </c>
      <c r="H335" s="10">
        <f>'Pairings NB'!$O$1494</f>
        <v>0</v>
      </c>
      <c r="I335" s="10">
        <f>'Pairings NB'!J1494</f>
        <v>319</v>
      </c>
      <c r="J335" s="10" t="str">
        <f>IFERROR(VLOOKUP('Pairings NB'!$M$1494,Instructores!$A:$C,3,FALSE),"")</f>
        <v/>
      </c>
      <c r="K335" s="10">
        <f>IF('Pairings NB'!J1494=320,4,3)</f>
        <v>3</v>
      </c>
    </row>
    <row r="336" spans="1:11" x14ac:dyDescent="0.25">
      <c r="A336" s="10">
        <f>'Pairings NB'!B1496</f>
        <v>1480</v>
      </c>
      <c r="B336" s="10" t="str">
        <f>'Pairings NB'!C1496</f>
        <v>17/10/2026</v>
      </c>
      <c r="C336" s="10" t="str">
        <f>'Pairings NB'!D1496</f>
        <v>sábado</v>
      </c>
      <c r="D336" s="10" t="str">
        <f>'Pairings NB'!E1496&amp;"/"&amp;'Pairings NB'!E1497</f>
        <v>2310/2311</v>
      </c>
      <c r="E336" s="10" t="str">
        <f>'Pairings NB'!F1496&amp;"-"&amp;'Pairings NB'!G1496&amp;"-"&amp;'Pairings NB'!F1496</f>
        <v>LIM-CIX-LIM</v>
      </c>
      <c r="F336" s="10" t="str">
        <f>IFERROR(VLOOKUP('Pairings NB'!$M$1494,Instructores!$A:$C,2,FALSE),"")</f>
        <v/>
      </c>
      <c r="G336" s="10">
        <f>'Pairings NB'!$M$1494</f>
        <v>0</v>
      </c>
      <c r="H336" s="10">
        <f>'Pairings NB'!$O$1494</f>
        <v>0</v>
      </c>
      <c r="I336" s="10">
        <f>'Pairings NB'!J1496</f>
        <v>319</v>
      </c>
      <c r="J336" s="10" t="str">
        <f>IFERROR(VLOOKUP('Pairings NB'!$M$1494,Instructores!$A:$C,3,FALSE),"")</f>
        <v/>
      </c>
      <c r="K336" s="10">
        <f>IF('Pairings NB'!J1496=320,4,3)</f>
        <v>3</v>
      </c>
    </row>
    <row r="337" spans="1:11" x14ac:dyDescent="0.25">
      <c r="A337" s="10">
        <f>'Pairings NB'!B1501</f>
        <v>1461</v>
      </c>
      <c r="B337" s="10" t="str">
        <f>'Pairings NB'!C1501</f>
        <v>17/10/2026</v>
      </c>
      <c r="C337" s="10" t="str">
        <f>'Pairings NB'!D1501</f>
        <v>sábado</v>
      </c>
      <c r="D337" s="10" t="str">
        <f>'Pairings NB'!E1501&amp;"/"&amp;'Pairings NB'!E1502</f>
        <v>2234/2235</v>
      </c>
      <c r="E337" s="10" t="str">
        <f>'Pairings NB'!F1501&amp;"-"&amp;'Pairings NB'!G1501&amp;"-"&amp;'Pairings NB'!F1501</f>
        <v>LIM-IQT-LIM</v>
      </c>
      <c r="F337" s="10" t="str">
        <f>IFERROR(VLOOKUP('Pairings NB'!$M$1501,Instructores!$A:$C,2,FALSE),"")</f>
        <v/>
      </c>
      <c r="G337" s="10">
        <f>'Pairings NB'!$M$1501</f>
        <v>0</v>
      </c>
      <c r="H337" s="10">
        <f>'Pairings NB'!$O$1501</f>
        <v>0</v>
      </c>
      <c r="I337" s="10">
        <f>'Pairings NB'!J1501</f>
        <v>320</v>
      </c>
      <c r="J337" s="10" t="str">
        <f>IFERROR(VLOOKUP('Pairings NB'!$M$1501,Instructores!$A:$C,3,FALSE),"")</f>
        <v/>
      </c>
      <c r="K337" s="10">
        <f>IF('Pairings NB'!J1501=320,4,3)</f>
        <v>4</v>
      </c>
    </row>
    <row r="338" spans="1:11" x14ac:dyDescent="0.25">
      <c r="A338" s="10">
        <f>'Pairings NB'!B1506</f>
        <v>1463</v>
      </c>
      <c r="B338" s="10" t="str">
        <f>'Pairings NB'!C1506</f>
        <v>17/10/2026</v>
      </c>
      <c r="C338" s="10" t="str">
        <f>'Pairings NB'!D1506</f>
        <v>sábado</v>
      </c>
      <c r="D338" s="10" t="str">
        <f>'Pairings NB'!E1506&amp;"/"&amp;'Pairings NB'!E1507</f>
        <v>2152/2153</v>
      </c>
      <c r="E338" s="10" t="str">
        <f>'Pairings NB'!F1506&amp;"-"&amp;'Pairings NB'!G1506&amp;"-"&amp;'Pairings NB'!F1506</f>
        <v>LIM-CIX-LIM</v>
      </c>
      <c r="F338" s="10" t="str">
        <f>IFERROR(VLOOKUP('Pairings NB'!$M$1506,Instructores!$A:$C,2,FALSE),"")</f>
        <v/>
      </c>
      <c r="G338" s="10">
        <f>'Pairings NB'!$M$1506</f>
        <v>0</v>
      </c>
      <c r="H338" s="10">
        <f>'Pairings NB'!$O$1506</f>
        <v>0</v>
      </c>
      <c r="I338" s="10">
        <f>'Pairings NB'!J1506</f>
        <v>319</v>
      </c>
      <c r="J338" s="10" t="str">
        <f>IFERROR(VLOOKUP('Pairings NB'!$M$1506,Instructores!$A:$C,3,FALSE),"")</f>
        <v/>
      </c>
      <c r="K338" s="10">
        <f>IF('Pairings NB'!J1506=320,4,3)</f>
        <v>3</v>
      </c>
    </row>
    <row r="339" spans="1:11" x14ac:dyDescent="0.25">
      <c r="A339" s="10">
        <f>'Pairings NB'!B1508</f>
        <v>1481</v>
      </c>
      <c r="B339" s="10" t="str">
        <f>'Pairings NB'!C1508</f>
        <v>17/10/2026</v>
      </c>
      <c r="C339" s="10" t="str">
        <f>'Pairings NB'!D1508</f>
        <v>sábado</v>
      </c>
      <c r="D339" s="10" t="str">
        <f>'Pairings NB'!E1508&amp;"/"&amp;'Pairings NB'!E1509</f>
        <v>2091/2092</v>
      </c>
      <c r="E339" s="10" t="str">
        <f>'Pairings NB'!F1508&amp;"-"&amp;'Pairings NB'!G1508&amp;"-"&amp;'Pairings NB'!F1508</f>
        <v>LIM-TPP-LIM</v>
      </c>
      <c r="F339" s="10" t="str">
        <f>IFERROR(VLOOKUP('Pairings NB'!$M$1506,Instructores!$A:$C,2,FALSE),"")</f>
        <v/>
      </c>
      <c r="G339" s="10">
        <f>'Pairings NB'!$M$1506</f>
        <v>0</v>
      </c>
      <c r="H339" s="10">
        <f>'Pairings NB'!$O$1506</f>
        <v>0</v>
      </c>
      <c r="I339" s="10">
        <f>'Pairings NB'!J1508</f>
        <v>320</v>
      </c>
      <c r="J339" s="10" t="str">
        <f>IFERROR(VLOOKUP('Pairings NB'!$M$1506,Instructores!$A:$C,3,FALSE),"")</f>
        <v/>
      </c>
      <c r="K339" s="10">
        <f>IF('Pairings NB'!J1508=320,4,3)</f>
        <v>4</v>
      </c>
    </row>
    <row r="340" spans="1:11" x14ac:dyDescent="0.25">
      <c r="A340" s="10">
        <f>'Pairings NB'!B1513</f>
        <v>1465</v>
      </c>
      <c r="B340" s="10" t="str">
        <f>'Pairings NB'!C1513</f>
        <v>17/10/2026</v>
      </c>
      <c r="C340" s="10" t="str">
        <f>'Pairings NB'!D1513</f>
        <v>sábado</v>
      </c>
      <c r="D340" s="10" t="str">
        <f>'Pairings NB'!E1513&amp;"/"&amp;'Pairings NB'!E1514</f>
        <v>2295/2294</v>
      </c>
      <c r="E340" s="10" t="str">
        <f>'Pairings NB'!F1513&amp;"-"&amp;'Pairings NB'!G1513&amp;"-"&amp;'Pairings NB'!F1513</f>
        <v>LIM-CJA-LIM</v>
      </c>
      <c r="F340" s="10" t="str">
        <f>IFERROR(VLOOKUP('Pairings NB'!$M$1513,Instructores!$A:$C,2,FALSE),"")</f>
        <v/>
      </c>
      <c r="G340" s="10">
        <f>'Pairings NB'!$M$1513</f>
        <v>0</v>
      </c>
      <c r="H340" s="10">
        <f>'Pairings NB'!$O$1513</f>
        <v>0</v>
      </c>
      <c r="I340" s="10">
        <f>'Pairings NB'!J1513</f>
        <v>320</v>
      </c>
      <c r="J340" s="10" t="str">
        <f>IFERROR(VLOOKUP('Pairings NB'!$M$1513,Instructores!$A:$C,3,FALSE),"")</f>
        <v/>
      </c>
      <c r="K340" s="10">
        <f>IF('Pairings NB'!J1513=320,4,3)</f>
        <v>4</v>
      </c>
    </row>
    <row r="341" spans="1:11" x14ac:dyDescent="0.25">
      <c r="A341" s="10">
        <f>'Pairings NB'!B1518</f>
        <v>1467</v>
      </c>
      <c r="B341" s="10" t="str">
        <f>'Pairings NB'!C1518</f>
        <v>17/10/2026</v>
      </c>
      <c r="C341" s="10" t="str">
        <f>'Pairings NB'!D1518</f>
        <v>sábado</v>
      </c>
      <c r="D341" s="10" t="str">
        <f>'Pairings NB'!E1518&amp;"/"&amp;'Pairings NB'!E1519</f>
        <v>2338/2339</v>
      </c>
      <c r="E341" s="10" t="str">
        <f>'Pairings NB'!F1518&amp;"-"&amp;'Pairings NB'!G1518&amp;"-"&amp;'Pairings NB'!F1518</f>
        <v>LIM-PIU-LIM</v>
      </c>
      <c r="F341" s="10" t="str">
        <f>IFERROR(VLOOKUP('Pairings NB'!$M$1518,Instructores!$A:$C,2,FALSE),"")</f>
        <v/>
      </c>
      <c r="G341" s="10">
        <f>'Pairings NB'!$M$1518</f>
        <v>0</v>
      </c>
      <c r="H341" s="10">
        <f>'Pairings NB'!$O$1518</f>
        <v>0</v>
      </c>
      <c r="I341" s="10">
        <f>'Pairings NB'!J1518</f>
        <v>320</v>
      </c>
      <c r="J341" s="10" t="str">
        <f>IFERROR(VLOOKUP('Pairings NB'!$M$1518,Instructores!$A:$C,3,FALSE),"")</f>
        <v/>
      </c>
      <c r="K341" s="10">
        <f>IF('Pairings NB'!J1518=320,4,3)</f>
        <v>4</v>
      </c>
    </row>
    <row r="342" spans="1:11" x14ac:dyDescent="0.25">
      <c r="A342" s="10">
        <f>'Pairings NB'!B1520</f>
        <v>1482</v>
      </c>
      <c r="B342" s="10" t="str">
        <f>'Pairings NB'!C1520</f>
        <v>17/10/2026</v>
      </c>
      <c r="C342" s="10" t="str">
        <f>'Pairings NB'!D1520</f>
        <v>sábado</v>
      </c>
      <c r="D342" s="10" t="str">
        <f>'Pairings NB'!E1520&amp;"/"&amp;'Pairings NB'!E1521</f>
        <v>2048/2070</v>
      </c>
      <c r="E342" s="10" t="str">
        <f>'Pairings NB'!F1520&amp;"-"&amp;'Pairings NB'!G1520&amp;"-"&amp;'Pairings NB'!F1520</f>
        <v>LIM-CUZ-LIM</v>
      </c>
      <c r="F342" s="10" t="str">
        <f>IFERROR(VLOOKUP('Pairings NB'!$M$1518,Instructores!$A:$C,2,FALSE),"")</f>
        <v/>
      </c>
      <c r="G342" s="10">
        <f>'Pairings NB'!$M$1518</f>
        <v>0</v>
      </c>
      <c r="H342" s="10">
        <f>'Pairings NB'!$O$1518</f>
        <v>0</v>
      </c>
      <c r="I342" s="10">
        <f>'Pairings NB'!J1520</f>
        <v>320</v>
      </c>
      <c r="J342" s="10" t="str">
        <f>IFERROR(VLOOKUP('Pairings NB'!$M$1518,Instructores!$A:$C,3,FALSE),"")</f>
        <v/>
      </c>
      <c r="K342" s="10">
        <f>IF('Pairings NB'!J1520=320,4,3)</f>
        <v>4</v>
      </c>
    </row>
    <row r="343" spans="1:11" x14ac:dyDescent="0.25">
      <c r="A343" s="10">
        <f>'Pairings NB'!B1525</f>
        <v>1468</v>
      </c>
      <c r="B343" s="10" t="str">
        <f>'Pairings NB'!C1525</f>
        <v>17/10/2026</v>
      </c>
      <c r="C343" s="10" t="str">
        <f>'Pairings NB'!D1525</f>
        <v>sábado</v>
      </c>
      <c r="D343" s="10" t="str">
        <f>'Pairings NB'!E1525&amp;"/"&amp;'Pairings NB'!E1526</f>
        <v>2338/2339</v>
      </c>
      <c r="E343" s="10" t="str">
        <f>'Pairings NB'!F1525&amp;"-"&amp;'Pairings NB'!G1525&amp;"-"&amp;'Pairings NB'!F1525</f>
        <v>LIM-PIU-LIM</v>
      </c>
      <c r="F343" s="10" t="str">
        <f>IFERROR(VLOOKUP('Pairings NB'!$M$1525,Instructores!$A:$C,2,FALSE),"")</f>
        <v/>
      </c>
      <c r="G343" s="10">
        <f>'Pairings NB'!$M$1525</f>
        <v>0</v>
      </c>
      <c r="H343" s="10">
        <f>'Pairings NB'!$O$1525</f>
        <v>0</v>
      </c>
      <c r="I343" s="10">
        <f>'Pairings NB'!J1525</f>
        <v>320</v>
      </c>
      <c r="J343" s="10" t="str">
        <f>IFERROR(VLOOKUP('Pairings NB'!$M$1525,Instructores!$A:$C,3,FALSE),"")</f>
        <v/>
      </c>
      <c r="K343" s="10">
        <f>IF('Pairings NB'!J1525=320,4,3)</f>
        <v>4</v>
      </c>
    </row>
    <row r="344" spans="1:11" x14ac:dyDescent="0.25">
      <c r="A344" s="10">
        <f>'Pairings NB'!B1530</f>
        <v>1469</v>
      </c>
      <c r="B344" s="10" t="str">
        <f>'Pairings NB'!C1530</f>
        <v>17/10/2026</v>
      </c>
      <c r="C344" s="10" t="str">
        <f>'Pairings NB'!D1530</f>
        <v>sábado</v>
      </c>
      <c r="D344" s="10" t="str">
        <f>'Pairings NB'!E1530&amp;"/"&amp;'Pairings NB'!E1531</f>
        <v>2113/2112</v>
      </c>
      <c r="E344" s="10" t="str">
        <f>'Pairings NB'!F1530&amp;"-"&amp;'Pairings NB'!G1530&amp;"-"&amp;'Pairings NB'!F1530</f>
        <v>LIM-AQP-LIM</v>
      </c>
      <c r="F344" s="10" t="str">
        <f>IFERROR(VLOOKUP('Pairings NB'!$M$1530,Instructores!$A:$C,2,FALSE),"")</f>
        <v/>
      </c>
      <c r="G344" s="10">
        <f>'Pairings NB'!$M$1530</f>
        <v>0</v>
      </c>
      <c r="H344" s="10">
        <f>'Pairings NB'!$O$1530</f>
        <v>0</v>
      </c>
      <c r="I344" s="10">
        <f>'Pairings NB'!J1530</f>
        <v>320</v>
      </c>
      <c r="J344" s="10" t="str">
        <f>IFERROR(VLOOKUP('Pairings NB'!$M$1530,Instructores!$A:$C,3,FALSE),"")</f>
        <v/>
      </c>
      <c r="K344" s="10">
        <f>IF('Pairings NB'!J1530=320,4,3)</f>
        <v>4</v>
      </c>
    </row>
    <row r="345" spans="1:11" x14ac:dyDescent="0.25">
      <c r="A345" s="10">
        <f>'Pairings NB'!B1535</f>
        <v>1472</v>
      </c>
      <c r="B345" s="10" t="str">
        <f>'Pairings NB'!C1535</f>
        <v>17/10/2026</v>
      </c>
      <c r="C345" s="10" t="str">
        <f>'Pairings NB'!D1535</f>
        <v>sábado</v>
      </c>
      <c r="D345" s="10" t="str">
        <f>'Pairings NB'!E1535&amp;"/"&amp;'Pairings NB'!E1536</f>
        <v>2297/2296</v>
      </c>
      <c r="E345" s="10" t="str">
        <f>'Pairings NB'!F1535&amp;"-"&amp;'Pairings NB'!G1535&amp;"-"&amp;'Pairings NB'!F1535</f>
        <v>LIM-CJA-LIM</v>
      </c>
      <c r="F345" s="10" t="str">
        <f>IFERROR(VLOOKUP('Pairings NB'!$M$1535,Instructores!$A:$C,2,FALSE),"")</f>
        <v/>
      </c>
      <c r="G345" s="10">
        <f>'Pairings NB'!$M$1535</f>
        <v>0</v>
      </c>
      <c r="H345" s="10">
        <f>'Pairings NB'!$O$1535</f>
        <v>0</v>
      </c>
      <c r="I345" s="10">
        <f>'Pairings NB'!J1535</f>
        <v>320</v>
      </c>
      <c r="J345" s="10" t="str">
        <f>IFERROR(VLOOKUP('Pairings NB'!$M$1535,Instructores!$A:$C,3,FALSE),"")</f>
        <v/>
      </c>
      <c r="K345" s="10">
        <f>IF('Pairings NB'!J1535=320,4,3)</f>
        <v>4</v>
      </c>
    </row>
    <row r="346" spans="1:11" x14ac:dyDescent="0.25">
      <c r="A346" s="10">
        <f>'Pairings NB'!B1540</f>
        <v>1473</v>
      </c>
      <c r="B346" s="10" t="str">
        <f>'Pairings NB'!C1540</f>
        <v>17/10/2026</v>
      </c>
      <c r="C346" s="10" t="str">
        <f>'Pairings NB'!D1540</f>
        <v>sábado</v>
      </c>
      <c r="D346" s="10" t="str">
        <f>'Pairings NB'!E1540&amp;"/"&amp;'Pairings NB'!E1541</f>
        <v>2360/2361</v>
      </c>
      <c r="E346" s="10" t="str">
        <f>'Pairings NB'!F1540&amp;"-"&amp;'Pairings NB'!G1540&amp;"-"&amp;'Pairings NB'!F1540</f>
        <v>LIM-PCL-LIM</v>
      </c>
      <c r="F346" s="10" t="str">
        <f>IFERROR(VLOOKUP('Pairings NB'!$M$1540,Instructores!$A:$C,2,FALSE),"")</f>
        <v/>
      </c>
      <c r="G346" s="10">
        <f>'Pairings NB'!$M$1540</f>
        <v>0</v>
      </c>
      <c r="H346" s="10">
        <f>'Pairings NB'!$O$1540</f>
        <v>0</v>
      </c>
      <c r="I346" s="10">
        <f>'Pairings NB'!J1540</f>
        <v>319</v>
      </c>
      <c r="J346" s="10" t="str">
        <f>IFERROR(VLOOKUP('Pairings NB'!$M$1540,Instructores!$A:$C,3,FALSE),"")</f>
        <v/>
      </c>
      <c r="K346" s="10">
        <f>IF('Pairings NB'!J1540=320,4,3)</f>
        <v>3</v>
      </c>
    </row>
    <row r="347" spans="1:11" x14ac:dyDescent="0.25">
      <c r="A347" s="10">
        <f>'Pairings NB'!B1545</f>
        <v>1474</v>
      </c>
      <c r="B347" s="10" t="str">
        <f>'Pairings NB'!C1545</f>
        <v>17/10/2026</v>
      </c>
      <c r="C347" s="10" t="str">
        <f>'Pairings NB'!D1545</f>
        <v>sábado</v>
      </c>
      <c r="D347" s="10" t="str">
        <f>'Pairings NB'!E1545&amp;"/"&amp;'Pairings NB'!E1546</f>
        <v>2301/2300</v>
      </c>
      <c r="E347" s="10" t="str">
        <f>'Pairings NB'!F1545&amp;"-"&amp;'Pairings NB'!G1545&amp;"-"&amp;'Pairings NB'!F1545</f>
        <v>LIM-TPP-LIM</v>
      </c>
      <c r="F347" s="10" t="str">
        <f>IFERROR(VLOOKUP('Pairings NB'!$M$1545,Instructores!$A:$C,2,FALSE),"")</f>
        <v/>
      </c>
      <c r="G347" s="10">
        <f>'Pairings NB'!$M$1545</f>
        <v>0</v>
      </c>
      <c r="H347" s="10">
        <f>'Pairings NB'!$O$1545</f>
        <v>0</v>
      </c>
      <c r="I347" s="10">
        <f>'Pairings NB'!J1545</f>
        <v>320</v>
      </c>
      <c r="J347" s="10" t="str">
        <f>IFERROR(VLOOKUP('Pairings NB'!$M$1545,Instructores!$A:$C,3,FALSE),"")</f>
        <v/>
      </c>
      <c r="K347" s="10">
        <f>IF('Pairings NB'!J1545=320,4,3)</f>
        <v>4</v>
      </c>
    </row>
    <row r="348" spans="1:11" x14ac:dyDescent="0.25">
      <c r="A348" s="10">
        <f>'Pairings NB'!B1550</f>
        <v>1478</v>
      </c>
      <c r="B348" s="10" t="str">
        <f>'Pairings NB'!C1550</f>
        <v>17/10/2026</v>
      </c>
      <c r="C348" s="10" t="str">
        <f>'Pairings NB'!D1550</f>
        <v>sábado</v>
      </c>
      <c r="D348" s="10" t="str">
        <f>'Pairings NB'!E1550&amp;"/"&amp;'Pairings NB'!E1551</f>
        <v>2213/2214</v>
      </c>
      <c r="E348" s="10" t="str">
        <f>'Pairings NB'!F1550&amp;"-"&amp;'Pairings NB'!G1550&amp;"-"&amp;'Pairings NB'!F1550</f>
        <v>LIM-CIX-LIM</v>
      </c>
      <c r="F348" s="10" t="str">
        <f>IFERROR(VLOOKUP('Pairings NB'!$M$1550,Instructores!$A:$C,2,FALSE),"")</f>
        <v/>
      </c>
      <c r="G348" s="10">
        <f>'Pairings NB'!$M$1550</f>
        <v>0</v>
      </c>
      <c r="H348" s="10">
        <f>'Pairings NB'!$O$1550</f>
        <v>0</v>
      </c>
      <c r="I348" s="10">
        <f>'Pairings NB'!J1550</f>
        <v>320</v>
      </c>
      <c r="J348" s="10" t="str">
        <f>IFERROR(VLOOKUP('Pairings NB'!$M$1550,Instructores!$A:$C,3,FALSE),"")</f>
        <v/>
      </c>
      <c r="K348" s="10">
        <f>IF('Pairings NB'!J1550=320,4,3)</f>
        <v>4</v>
      </c>
    </row>
    <row r="349" spans="1:11" x14ac:dyDescent="0.25">
      <c r="A349" s="10">
        <f>'Pairings NB'!B1555</f>
        <v>1484</v>
      </c>
      <c r="B349" s="10" t="str">
        <f>'Pairings NB'!C1555</f>
        <v>17/10/2026</v>
      </c>
      <c r="C349" s="10" t="str">
        <f>'Pairings NB'!D1555</f>
        <v>sábado</v>
      </c>
      <c r="D349" s="10" t="str">
        <f>'Pairings NB'!E1555&amp;"/"&amp;'Pairings NB'!E1556</f>
        <v>2200/2201</v>
      </c>
      <c r="E349" s="10" t="str">
        <f>'Pairings NB'!F1555&amp;"-"&amp;'Pairings NB'!G1555&amp;"-"&amp;'Pairings NB'!F1555</f>
        <v>LIM-CUZ-LIM</v>
      </c>
      <c r="F349" s="10" t="str">
        <f>IFERROR(VLOOKUP('Pairings NB'!$M$1555,Instructores!$A:$C,2,FALSE),"")</f>
        <v/>
      </c>
      <c r="G349" s="10">
        <f>'Pairings NB'!$M$1555</f>
        <v>0</v>
      </c>
      <c r="H349" s="10">
        <f>'Pairings NB'!$O$1555</f>
        <v>0</v>
      </c>
      <c r="I349" s="10">
        <f>'Pairings NB'!J1555</f>
        <v>320</v>
      </c>
      <c r="J349" s="10" t="str">
        <f>IFERROR(VLOOKUP('Pairings NB'!$M$1555,Instructores!$A:$C,3,FALSE),"")</f>
        <v/>
      </c>
      <c r="K349" s="10">
        <f>IF('Pairings NB'!J1555=320,4,3)</f>
        <v>4</v>
      </c>
    </row>
    <row r="350" spans="1:11" x14ac:dyDescent="0.25">
      <c r="A350" s="10">
        <f>'Pairings NB'!B1560</f>
        <v>1527</v>
      </c>
      <c r="B350" s="10" t="str">
        <f>'Pairings NB'!C1560</f>
        <v>18/10/2026</v>
      </c>
      <c r="C350" s="10" t="str">
        <f>'Pairings NB'!D1560</f>
        <v>domingo</v>
      </c>
      <c r="D350" s="10" t="str">
        <f>'Pairings NB'!E1560&amp;"/"&amp;'Pairings NB'!E1561</f>
        <v>2123/2124</v>
      </c>
      <c r="E350" s="10" t="str">
        <f>'Pairings NB'!F1560&amp;"-"&amp;'Pairings NB'!G1560&amp;"-"&amp;'Pairings NB'!F1560</f>
        <v>LIM-AQP-LIM</v>
      </c>
      <c r="F350" s="10" t="str">
        <f>IFERROR(VLOOKUP('Pairings NB'!$M$1560,Instructores!$A:$C,2,FALSE),"")</f>
        <v/>
      </c>
      <c r="G350" s="10">
        <f>'Pairings NB'!$M$1560</f>
        <v>0</v>
      </c>
      <c r="H350" s="10">
        <f>'Pairings NB'!$O$1560</f>
        <v>0</v>
      </c>
      <c r="I350" s="10">
        <f>'Pairings NB'!J1560</f>
        <v>320</v>
      </c>
      <c r="J350" s="10" t="str">
        <f>IFERROR(VLOOKUP('Pairings NB'!$M$1560,Instructores!$A:$C,3,FALSE),"")</f>
        <v/>
      </c>
      <c r="K350" s="10">
        <f>IF('Pairings NB'!J1560=320,4,3)</f>
        <v>4</v>
      </c>
    </row>
    <row r="351" spans="1:11" x14ac:dyDescent="0.25">
      <c r="A351" s="10">
        <f>'Pairings NB'!B1562</f>
        <v>1547</v>
      </c>
      <c r="B351" s="10" t="str">
        <f>'Pairings NB'!C1562</f>
        <v>18/10/2026</v>
      </c>
      <c r="C351" s="10" t="str">
        <f>'Pairings NB'!D1562</f>
        <v>domingo</v>
      </c>
      <c r="D351" s="10" t="str">
        <f>'Pairings NB'!E1562&amp;"/"&amp;'Pairings NB'!E1563</f>
        <v>2087/2088</v>
      </c>
      <c r="E351" s="10" t="str">
        <f>'Pairings NB'!F1562&amp;"-"&amp;'Pairings NB'!G1562&amp;"-"&amp;'Pairings NB'!F1562</f>
        <v>LIM-TPP-LIM</v>
      </c>
      <c r="F351" s="10" t="str">
        <f>IFERROR(VLOOKUP('Pairings NB'!$M$1560,Instructores!$A:$C,2,FALSE),"")</f>
        <v/>
      </c>
      <c r="G351" s="10">
        <f>'Pairings NB'!$M$1560</f>
        <v>0</v>
      </c>
      <c r="H351" s="10">
        <f>'Pairings NB'!$O$1560</f>
        <v>0</v>
      </c>
      <c r="I351" s="10">
        <f>'Pairings NB'!J1562</f>
        <v>320</v>
      </c>
      <c r="J351" s="10" t="str">
        <f>IFERROR(VLOOKUP('Pairings NB'!$M$1560,Instructores!$A:$C,3,FALSE),"")</f>
        <v/>
      </c>
      <c r="K351" s="10">
        <f>IF('Pairings NB'!J1562=320,4,3)</f>
        <v>4</v>
      </c>
    </row>
    <row r="352" spans="1:11" x14ac:dyDescent="0.25">
      <c r="A352" s="10">
        <f>'Pairings NB'!B1567</f>
        <v>1533</v>
      </c>
      <c r="B352" s="10" t="str">
        <f>'Pairings NB'!C1567</f>
        <v>18/10/2026</v>
      </c>
      <c r="C352" s="10" t="str">
        <f>'Pairings NB'!D1567</f>
        <v>domingo</v>
      </c>
      <c r="D352" s="10" t="str">
        <f>'Pairings NB'!E1567&amp;"/"&amp;'Pairings NB'!E1568</f>
        <v>2260/2261</v>
      </c>
      <c r="E352" s="10" t="str">
        <f>'Pairings NB'!F1567&amp;"-"&amp;'Pairings NB'!G1567&amp;"-"&amp;'Pairings NB'!F1567</f>
        <v>LIM-PEM-LIM</v>
      </c>
      <c r="F352" s="10" t="str">
        <f>IFERROR(VLOOKUP('Pairings NB'!$M$1567,Instructores!$A:$C,2,FALSE),"")</f>
        <v/>
      </c>
      <c r="G352" s="10">
        <f>'Pairings NB'!$M$1567</f>
        <v>0</v>
      </c>
      <c r="H352" s="10">
        <f>'Pairings NB'!$O$1567</f>
        <v>0</v>
      </c>
      <c r="I352" s="10">
        <f>'Pairings NB'!J1567</f>
        <v>320</v>
      </c>
      <c r="J352" s="10" t="str">
        <f>IFERROR(VLOOKUP('Pairings NB'!$M$1567,Instructores!$A:$C,3,FALSE),"")</f>
        <v/>
      </c>
      <c r="K352" s="10">
        <f>IF('Pairings NB'!J1567=320,4,3)</f>
        <v>4</v>
      </c>
    </row>
    <row r="353" spans="1:11" x14ac:dyDescent="0.25">
      <c r="A353" s="10">
        <f>'Pairings NB'!B1569</f>
        <v>1556</v>
      </c>
      <c r="B353" s="10" t="str">
        <f>'Pairings NB'!C1569</f>
        <v>18/10/2026</v>
      </c>
      <c r="C353" s="10" t="str">
        <f>'Pairings NB'!D1569</f>
        <v>domingo</v>
      </c>
      <c r="D353" s="10" t="str">
        <f>'Pairings NB'!E1569&amp;"/"&amp;'Pairings NB'!E1570</f>
        <v>2297/2296</v>
      </c>
      <c r="E353" s="10" t="str">
        <f>'Pairings NB'!F1569&amp;"-"&amp;'Pairings NB'!G1569&amp;"-"&amp;'Pairings NB'!F1569</f>
        <v>LIM-CJA-LIM</v>
      </c>
      <c r="F353" s="10" t="str">
        <f>IFERROR(VLOOKUP('Pairings NB'!$M$1567,Instructores!$A:$C,2,FALSE),"")</f>
        <v/>
      </c>
      <c r="G353" s="10">
        <f>'Pairings NB'!$M$1567</f>
        <v>0</v>
      </c>
      <c r="H353" s="10">
        <f>'Pairings NB'!$O$1567</f>
        <v>0</v>
      </c>
      <c r="I353" s="10">
        <f>'Pairings NB'!J1569</f>
        <v>319</v>
      </c>
      <c r="J353" s="10" t="str">
        <f>IFERROR(VLOOKUP('Pairings NB'!$M$1567,Instructores!$A:$C,3,FALSE),"")</f>
        <v/>
      </c>
      <c r="K353" s="10">
        <f>IF('Pairings NB'!J1569=320,4,3)</f>
        <v>3</v>
      </c>
    </row>
    <row r="354" spans="1:11" x14ac:dyDescent="0.25">
      <c r="A354" s="10">
        <f>'Pairings NB'!B1574</f>
        <v>1534</v>
      </c>
      <c r="B354" s="10" t="str">
        <f>'Pairings NB'!C1574</f>
        <v>18/10/2026</v>
      </c>
      <c r="C354" s="10" t="str">
        <f>'Pairings NB'!D1574</f>
        <v>domingo</v>
      </c>
      <c r="D354" s="10" t="str">
        <f>'Pairings NB'!E1574&amp;"/"&amp;'Pairings NB'!E1575</f>
        <v>2299/2298</v>
      </c>
      <c r="E354" s="10" t="str">
        <f>'Pairings NB'!F1574&amp;"-"&amp;'Pairings NB'!G1574&amp;"-"&amp;'Pairings NB'!F1574</f>
        <v>LIM-CJA-LIM</v>
      </c>
      <c r="F354" s="10" t="str">
        <f>IFERROR(VLOOKUP('Pairings NB'!$M$1574,Instructores!$A:$C,2,FALSE),"")</f>
        <v/>
      </c>
      <c r="G354" s="10">
        <f>'Pairings NB'!$M$1574</f>
        <v>0</v>
      </c>
      <c r="H354" s="10">
        <f>'Pairings NB'!$O$1574</f>
        <v>0</v>
      </c>
      <c r="I354" s="10">
        <f>'Pairings NB'!J1574</f>
        <v>320</v>
      </c>
      <c r="J354" s="10" t="str">
        <f>IFERROR(VLOOKUP('Pairings NB'!$M$1574,Instructores!$A:$C,3,FALSE),"")</f>
        <v/>
      </c>
      <c r="K354" s="10">
        <f>IF('Pairings NB'!J1574=320,4,3)</f>
        <v>4</v>
      </c>
    </row>
    <row r="355" spans="1:11" x14ac:dyDescent="0.25">
      <c r="A355" s="10">
        <f>'Pairings NB'!B1576</f>
        <v>1563</v>
      </c>
      <c r="B355" s="10" t="str">
        <f>'Pairings NB'!C1576</f>
        <v>18/10/2026</v>
      </c>
      <c r="C355" s="10" t="str">
        <f>'Pairings NB'!D1576</f>
        <v>domingo</v>
      </c>
      <c r="D355" s="10" t="str">
        <f>'Pairings NB'!E1576&amp;"/"&amp;'Pairings NB'!E1577</f>
        <v>2127/2026</v>
      </c>
      <c r="E355" s="10" t="str">
        <f>'Pairings NB'!F1576&amp;"-"&amp;'Pairings NB'!G1576&amp;"-"&amp;'Pairings NB'!F1576</f>
        <v>LIM-CUZ-LIM</v>
      </c>
      <c r="F355" s="10" t="str">
        <f>IFERROR(VLOOKUP('Pairings NB'!$M$1574,Instructores!$A:$C,2,FALSE),"")</f>
        <v/>
      </c>
      <c r="G355" s="10">
        <f>'Pairings NB'!$M$1574</f>
        <v>0</v>
      </c>
      <c r="H355" s="10">
        <f>'Pairings NB'!$O$1574</f>
        <v>0</v>
      </c>
      <c r="I355" s="10">
        <f>'Pairings NB'!J1576</f>
        <v>320</v>
      </c>
      <c r="J355" s="10" t="str">
        <f>IFERROR(VLOOKUP('Pairings NB'!$M$1574,Instructores!$A:$C,3,FALSE),"")</f>
        <v/>
      </c>
      <c r="K355" s="10">
        <f>IF('Pairings NB'!J1576=320,4,3)</f>
        <v>4</v>
      </c>
    </row>
    <row r="356" spans="1:11" x14ac:dyDescent="0.25">
      <c r="A356" s="10">
        <f>'Pairings NB'!B1581</f>
        <v>1535</v>
      </c>
      <c r="B356" s="10" t="str">
        <f>'Pairings NB'!C1581</f>
        <v>18/10/2026</v>
      </c>
      <c r="C356" s="10" t="str">
        <f>'Pairings NB'!D1581</f>
        <v>domingo</v>
      </c>
      <c r="D356" s="10" t="str">
        <f>'Pairings NB'!E1581&amp;"/"&amp;'Pairings NB'!E1582</f>
        <v>2019/2038</v>
      </c>
      <c r="E356" s="10" t="str">
        <f>'Pairings NB'!F1581&amp;"-"&amp;'Pairings NB'!G1581&amp;"-"&amp;'Pairings NB'!F1581</f>
        <v>LIM-IQT-LIM</v>
      </c>
      <c r="F356" s="10" t="str">
        <f>IFERROR(VLOOKUP('Pairings NB'!$M$1581,Instructores!$A:$C,2,FALSE),"")</f>
        <v/>
      </c>
      <c r="G356" s="10">
        <f>'Pairings NB'!$M$1581</f>
        <v>0</v>
      </c>
      <c r="H356" s="10">
        <f>'Pairings NB'!$O$1581</f>
        <v>0</v>
      </c>
      <c r="I356" s="10">
        <f>'Pairings NB'!J1581</f>
        <v>319</v>
      </c>
      <c r="J356" s="10" t="str">
        <f>IFERROR(VLOOKUP('Pairings NB'!$M$1581,Instructores!$A:$C,3,FALSE),"")</f>
        <v/>
      </c>
      <c r="K356" s="10">
        <f>IF('Pairings NB'!J1581=320,4,3)</f>
        <v>3</v>
      </c>
    </row>
    <row r="357" spans="1:11" x14ac:dyDescent="0.25">
      <c r="A357" s="10">
        <f>'Pairings NB'!B1583</f>
        <v>1564</v>
      </c>
      <c r="B357" s="10" t="str">
        <f>'Pairings NB'!C1583</f>
        <v>18/10/2026</v>
      </c>
      <c r="C357" s="10" t="str">
        <f>'Pairings NB'!D1583</f>
        <v>domingo</v>
      </c>
      <c r="D357" s="10" t="str">
        <f>'Pairings NB'!E1583&amp;"/"&amp;'Pairings NB'!E1584</f>
        <v>2115/2114</v>
      </c>
      <c r="E357" s="10" t="str">
        <f>'Pairings NB'!F1583&amp;"-"&amp;'Pairings NB'!G1583&amp;"-"&amp;'Pairings NB'!F1583</f>
        <v>LIM-AQP-LIM</v>
      </c>
      <c r="F357" s="10" t="str">
        <f>IFERROR(VLOOKUP('Pairings NB'!$M$1581,Instructores!$A:$C,2,FALSE),"")</f>
        <v/>
      </c>
      <c r="G357" s="10">
        <f>'Pairings NB'!$M$1581</f>
        <v>0</v>
      </c>
      <c r="H357" s="10">
        <f>'Pairings NB'!$O$1581</f>
        <v>0</v>
      </c>
      <c r="I357" s="10">
        <f>'Pairings NB'!J1583</f>
        <v>320</v>
      </c>
      <c r="J357" s="10" t="str">
        <f>IFERROR(VLOOKUP('Pairings NB'!$M$1581,Instructores!$A:$C,3,FALSE),"")</f>
        <v/>
      </c>
      <c r="K357" s="10">
        <f>IF('Pairings NB'!J1583=320,4,3)</f>
        <v>4</v>
      </c>
    </row>
    <row r="358" spans="1:11" x14ac:dyDescent="0.25">
      <c r="A358" s="10">
        <f>'Pairings NB'!B1588</f>
        <v>1548</v>
      </c>
      <c r="B358" s="10" t="str">
        <f>'Pairings NB'!C1588</f>
        <v>18/10/2026</v>
      </c>
      <c r="C358" s="10" t="str">
        <f>'Pairings NB'!D1588</f>
        <v>domingo</v>
      </c>
      <c r="D358" s="10" t="str">
        <f>'Pairings NB'!E1588&amp;"/"&amp;'Pairings NB'!E1589</f>
        <v>2295/2294</v>
      </c>
      <c r="E358" s="10" t="str">
        <f>'Pairings NB'!F1588&amp;"-"&amp;'Pairings NB'!G1588&amp;"-"&amp;'Pairings NB'!F1588</f>
        <v>LIM-CJA-LIM</v>
      </c>
      <c r="F358" s="10" t="str">
        <f>IFERROR(VLOOKUP('Pairings NB'!$M$1588,Instructores!$A:$C,2,FALSE),"")</f>
        <v/>
      </c>
      <c r="G358" s="10">
        <f>'Pairings NB'!$M$1588</f>
        <v>0</v>
      </c>
      <c r="H358" s="10">
        <f>'Pairings NB'!$O$1588</f>
        <v>0</v>
      </c>
      <c r="I358" s="10">
        <f>'Pairings NB'!J1588</f>
        <v>320</v>
      </c>
      <c r="J358" s="10" t="str">
        <f>IFERROR(VLOOKUP('Pairings NB'!$M$1588,Instructores!$A:$C,3,FALSE),"")</f>
        <v/>
      </c>
      <c r="K358" s="10">
        <f>IF('Pairings NB'!J1588=320,4,3)</f>
        <v>4</v>
      </c>
    </row>
    <row r="359" spans="1:11" x14ac:dyDescent="0.25">
      <c r="A359" s="10">
        <f>'Pairings NB'!B1590</f>
        <v>1566</v>
      </c>
      <c r="B359" s="10" t="str">
        <f>'Pairings NB'!C1590</f>
        <v>18/10/2026</v>
      </c>
      <c r="C359" s="10" t="str">
        <f>'Pairings NB'!D1590</f>
        <v>domingo</v>
      </c>
      <c r="D359" s="10" t="str">
        <f>'Pairings NB'!E1590&amp;"/"&amp;'Pairings NB'!E1591</f>
        <v>2310/2311</v>
      </c>
      <c r="E359" s="10" t="str">
        <f>'Pairings NB'!F1590&amp;"-"&amp;'Pairings NB'!G1590&amp;"-"&amp;'Pairings NB'!F1590</f>
        <v>LIM-CIX-LIM</v>
      </c>
      <c r="F359" s="10" t="str">
        <f>IFERROR(VLOOKUP('Pairings NB'!$M$1588,Instructores!$A:$C,2,FALSE),"")</f>
        <v/>
      </c>
      <c r="G359" s="10">
        <f>'Pairings NB'!$M$1588</f>
        <v>0</v>
      </c>
      <c r="H359" s="10">
        <f>'Pairings NB'!$O$1588</f>
        <v>0</v>
      </c>
      <c r="I359" s="10">
        <f>'Pairings NB'!J1590</f>
        <v>320</v>
      </c>
      <c r="J359" s="10" t="str">
        <f>IFERROR(VLOOKUP('Pairings NB'!$M$1588,Instructores!$A:$C,3,FALSE),"")</f>
        <v/>
      </c>
      <c r="K359" s="10">
        <f>IF('Pairings NB'!J1590=320,4,3)</f>
        <v>4</v>
      </c>
    </row>
    <row r="360" spans="1:11" x14ac:dyDescent="0.25">
      <c r="A360" s="10">
        <f>'Pairings NB'!B1595</f>
        <v>1551</v>
      </c>
      <c r="B360" s="10" t="str">
        <f>'Pairings NB'!C1595</f>
        <v>18/10/2026</v>
      </c>
      <c r="C360" s="10" t="str">
        <f>'Pairings NB'!D1595</f>
        <v>domingo</v>
      </c>
      <c r="D360" s="10" t="str">
        <f>'Pairings NB'!E1595&amp;"/"&amp;'Pairings NB'!E1596</f>
        <v>2154/2155</v>
      </c>
      <c r="E360" s="10" t="str">
        <f>'Pairings NB'!F1595&amp;"-"&amp;'Pairings NB'!G1595&amp;"-"&amp;'Pairings NB'!F1595</f>
        <v>LIM-CUZ-LIM</v>
      </c>
      <c r="F360" s="10" t="str">
        <f>IFERROR(VLOOKUP('Pairings NB'!$M$1595,Instructores!$A:$C,2,FALSE),"")</f>
        <v/>
      </c>
      <c r="G360" s="10">
        <f>'Pairings NB'!$M$1595</f>
        <v>0</v>
      </c>
      <c r="H360" s="10">
        <f>'Pairings NB'!$O$1595</f>
        <v>0</v>
      </c>
      <c r="I360" s="10">
        <f>'Pairings NB'!J1595</f>
        <v>320</v>
      </c>
      <c r="J360" s="10" t="str">
        <f>IFERROR(VLOOKUP('Pairings NB'!$M$1595,Instructores!$A:$C,3,FALSE),"")</f>
        <v/>
      </c>
      <c r="K360" s="10">
        <f>IF('Pairings NB'!J1595=320,4,3)</f>
        <v>4</v>
      </c>
    </row>
    <row r="361" spans="1:11" x14ac:dyDescent="0.25">
      <c r="A361" s="10">
        <f>'Pairings NB'!B1600</f>
        <v>1552</v>
      </c>
      <c r="B361" s="10" t="str">
        <f>'Pairings NB'!C1600</f>
        <v>18/10/2026</v>
      </c>
      <c r="C361" s="10" t="str">
        <f>'Pairings NB'!D1600</f>
        <v>domingo</v>
      </c>
      <c r="D361" s="10" t="str">
        <f>'Pairings NB'!E1600&amp;"/"&amp;'Pairings NB'!E1601</f>
        <v>2338/2339</v>
      </c>
      <c r="E361" s="10" t="str">
        <f>'Pairings NB'!F1600&amp;"-"&amp;'Pairings NB'!G1600&amp;"-"&amp;'Pairings NB'!F1600</f>
        <v>LIM-PIU-LIM</v>
      </c>
      <c r="F361" s="10" t="str">
        <f>IFERROR(VLOOKUP('Pairings NB'!$M$1600,Instructores!$A:$C,2,FALSE),"")</f>
        <v/>
      </c>
      <c r="G361" s="10">
        <f>'Pairings NB'!$M$1600</f>
        <v>0</v>
      </c>
      <c r="H361" s="10">
        <f>'Pairings NB'!$O$1600</f>
        <v>0</v>
      </c>
      <c r="I361" s="10">
        <f>'Pairings NB'!J1600</f>
        <v>320</v>
      </c>
      <c r="J361" s="10" t="str">
        <f>IFERROR(VLOOKUP('Pairings NB'!$M$1600,Instructores!$A:$C,3,FALSE),"")</f>
        <v/>
      </c>
      <c r="K361" s="10">
        <f>IF('Pairings NB'!J1600=320,4,3)</f>
        <v>4</v>
      </c>
    </row>
    <row r="362" spans="1:11" x14ac:dyDescent="0.25">
      <c r="A362" s="10">
        <f>'Pairings NB'!B1605</f>
        <v>1553</v>
      </c>
      <c r="B362" s="10" t="str">
        <f>'Pairings NB'!C1605</f>
        <v>18/10/2026</v>
      </c>
      <c r="C362" s="10" t="str">
        <f>'Pairings NB'!D1605</f>
        <v>domingo</v>
      </c>
      <c r="D362" s="10" t="str">
        <f>'Pairings NB'!E1605&amp;"/"&amp;'Pairings NB'!E1606</f>
        <v>2113/2112</v>
      </c>
      <c r="E362" s="10" t="str">
        <f>'Pairings NB'!F1605&amp;"-"&amp;'Pairings NB'!G1605&amp;"-"&amp;'Pairings NB'!F1605</f>
        <v>LIM-AQP-LIM</v>
      </c>
      <c r="F362" s="10" t="str">
        <f>IFERROR(VLOOKUP('Pairings NB'!$M$1605,Instructores!$A:$C,2,FALSE),"")</f>
        <v/>
      </c>
      <c r="G362" s="10">
        <f>'Pairings NB'!$M$1605</f>
        <v>0</v>
      </c>
      <c r="H362" s="10">
        <f>'Pairings NB'!$O$1605</f>
        <v>0</v>
      </c>
      <c r="I362" s="10">
        <f>'Pairings NB'!J1605</f>
        <v>319</v>
      </c>
      <c r="J362" s="10" t="str">
        <f>IFERROR(VLOOKUP('Pairings NB'!$M$1605,Instructores!$A:$C,3,FALSE),"")</f>
        <v/>
      </c>
      <c r="K362" s="10">
        <f>IF('Pairings NB'!J1605=320,4,3)</f>
        <v>3</v>
      </c>
    </row>
    <row r="363" spans="1:11" x14ac:dyDescent="0.25">
      <c r="A363" s="10">
        <f>'Pairings NB'!B1610</f>
        <v>1557</v>
      </c>
      <c r="B363" s="10" t="str">
        <f>'Pairings NB'!C1610</f>
        <v>18/10/2026</v>
      </c>
      <c r="C363" s="10" t="str">
        <f>'Pairings NB'!D1610</f>
        <v>domingo</v>
      </c>
      <c r="D363" s="10" t="str">
        <f>'Pairings NB'!E1610&amp;"/"&amp;'Pairings NB'!E1611</f>
        <v>2360/2361</v>
      </c>
      <c r="E363" s="10" t="str">
        <f>'Pairings NB'!F1610&amp;"-"&amp;'Pairings NB'!G1610&amp;"-"&amp;'Pairings NB'!F1610</f>
        <v>LIM-PCL-LIM</v>
      </c>
      <c r="F363" s="10" t="str">
        <f>IFERROR(VLOOKUP('Pairings NB'!$M$1610,Instructores!$A:$C,2,FALSE),"")</f>
        <v/>
      </c>
      <c r="G363" s="10">
        <f>'Pairings NB'!$M$1610</f>
        <v>0</v>
      </c>
      <c r="H363" s="10">
        <f>'Pairings NB'!$O$1610</f>
        <v>0</v>
      </c>
      <c r="I363" s="10">
        <f>'Pairings NB'!J1610</f>
        <v>320</v>
      </c>
      <c r="J363" s="10" t="str">
        <f>IFERROR(VLOOKUP('Pairings NB'!$M$1610,Instructores!$A:$C,3,FALSE),"")</f>
        <v/>
      </c>
      <c r="K363" s="10">
        <f>IF('Pairings NB'!J1610=320,4,3)</f>
        <v>4</v>
      </c>
    </row>
    <row r="364" spans="1:11" x14ac:dyDescent="0.25">
      <c r="A364" s="10">
        <f>'Pairings NB'!B1615</f>
        <v>1558</v>
      </c>
      <c r="B364" s="10" t="str">
        <f>'Pairings NB'!C1615</f>
        <v>18/10/2026</v>
      </c>
      <c r="C364" s="10" t="str">
        <f>'Pairings NB'!D1615</f>
        <v>domingo</v>
      </c>
      <c r="D364" s="10" t="str">
        <f>'Pairings NB'!E1615&amp;"/"&amp;'Pairings NB'!E1616</f>
        <v>2360/2361</v>
      </c>
      <c r="E364" s="10" t="str">
        <f>'Pairings NB'!F1615&amp;"-"&amp;'Pairings NB'!G1615&amp;"-"&amp;'Pairings NB'!F1615</f>
        <v>LIM-PCL-LIM</v>
      </c>
      <c r="F364" s="10" t="str">
        <f>IFERROR(VLOOKUP('Pairings NB'!$M$1615,Instructores!$A:$C,2,FALSE),"")</f>
        <v/>
      </c>
      <c r="G364" s="10">
        <f>'Pairings NB'!$M$1615</f>
        <v>0</v>
      </c>
      <c r="H364" s="10">
        <f>'Pairings NB'!$O$1615</f>
        <v>0</v>
      </c>
      <c r="I364" s="10">
        <f>'Pairings NB'!J1615</f>
        <v>320</v>
      </c>
      <c r="J364" s="10" t="str">
        <f>IFERROR(VLOOKUP('Pairings NB'!$M$1615,Instructores!$A:$C,3,FALSE),"")</f>
        <v/>
      </c>
      <c r="K364" s="10">
        <f>IF('Pairings NB'!J1615=320,4,3)</f>
        <v>4</v>
      </c>
    </row>
    <row r="365" spans="1:11" x14ac:dyDescent="0.25">
      <c r="A365" s="10">
        <f>'Pairings NB'!B1620</f>
        <v>1559</v>
      </c>
      <c r="B365" s="10" t="str">
        <f>'Pairings NB'!C1620</f>
        <v>18/10/2026</v>
      </c>
      <c r="C365" s="10" t="str">
        <f>'Pairings NB'!D1620</f>
        <v>domingo</v>
      </c>
      <c r="D365" s="10" t="str">
        <f>'Pairings NB'!E1620&amp;"/"&amp;'Pairings NB'!E1621</f>
        <v>2312/2313</v>
      </c>
      <c r="E365" s="10" t="str">
        <f>'Pairings NB'!F1620&amp;"-"&amp;'Pairings NB'!G1620&amp;"-"&amp;'Pairings NB'!F1620</f>
        <v>LIM-CIX-LIM</v>
      </c>
      <c r="F365" s="10" t="str">
        <f>IFERROR(VLOOKUP('Pairings NB'!$M$1620,Instructores!$A:$C,2,FALSE),"")</f>
        <v/>
      </c>
      <c r="G365" s="10">
        <f>'Pairings NB'!$M$1620</f>
        <v>0</v>
      </c>
      <c r="H365" s="10">
        <f>'Pairings NB'!$O$1620</f>
        <v>0</v>
      </c>
      <c r="I365" s="10">
        <f>'Pairings NB'!J1620</f>
        <v>320</v>
      </c>
      <c r="J365" s="10" t="str">
        <f>IFERROR(VLOOKUP('Pairings NB'!$M$1620,Instructores!$A:$C,3,FALSE),"")</f>
        <v/>
      </c>
      <c r="K365" s="10">
        <f>IF('Pairings NB'!J1620=320,4,3)</f>
        <v>4</v>
      </c>
    </row>
    <row r="366" spans="1:11" x14ac:dyDescent="0.25">
      <c r="A366" s="10">
        <f>'Pairings NB'!B1625</f>
        <v>1560</v>
      </c>
      <c r="B366" s="10" t="str">
        <f>'Pairings NB'!C1625</f>
        <v>18/10/2026</v>
      </c>
      <c r="C366" s="10" t="str">
        <f>'Pairings NB'!D1625</f>
        <v>domingo</v>
      </c>
      <c r="D366" s="10" t="str">
        <f>'Pairings NB'!E1625&amp;"/"&amp;'Pairings NB'!E1626</f>
        <v>2312/2313</v>
      </c>
      <c r="E366" s="10" t="str">
        <f>'Pairings NB'!F1625&amp;"-"&amp;'Pairings NB'!G1625&amp;"-"&amp;'Pairings NB'!F1625</f>
        <v>LIM-CIX-LIM</v>
      </c>
      <c r="F366" s="10" t="str">
        <f>IFERROR(VLOOKUP('Pairings NB'!$M$1625,Instructores!$A:$C,2,FALSE),"")</f>
        <v/>
      </c>
      <c r="G366" s="10">
        <f>'Pairings NB'!$M$1625</f>
        <v>0</v>
      </c>
      <c r="H366" s="10">
        <f>'Pairings NB'!$O$1625</f>
        <v>0</v>
      </c>
      <c r="I366" s="10">
        <f>'Pairings NB'!J1625</f>
        <v>320</v>
      </c>
      <c r="J366" s="10" t="str">
        <f>IFERROR(VLOOKUP('Pairings NB'!$M$1625,Instructores!$A:$C,3,FALSE),"")</f>
        <v/>
      </c>
      <c r="K366" s="10">
        <f>IF('Pairings NB'!J1625=320,4,3)</f>
        <v>4</v>
      </c>
    </row>
    <row r="367" spans="1:11" x14ac:dyDescent="0.25">
      <c r="A367" s="10">
        <f>'Pairings NB'!B1630</f>
        <v>1561</v>
      </c>
      <c r="B367" s="10" t="str">
        <f>'Pairings NB'!C1630</f>
        <v>18/10/2026</v>
      </c>
      <c r="C367" s="10" t="str">
        <f>'Pairings NB'!D1630</f>
        <v>domingo</v>
      </c>
      <c r="D367" s="10" t="str">
        <f>'Pairings NB'!E1630&amp;"/"&amp;'Pairings NB'!E1631</f>
        <v>2301/2300</v>
      </c>
      <c r="E367" s="10" t="str">
        <f>'Pairings NB'!F1630&amp;"-"&amp;'Pairings NB'!G1630&amp;"-"&amp;'Pairings NB'!F1630</f>
        <v>LIM-TPP-LIM</v>
      </c>
      <c r="F367" s="10" t="str">
        <f>IFERROR(VLOOKUP('Pairings NB'!$M$1630,Instructores!$A:$C,2,FALSE),"")</f>
        <v/>
      </c>
      <c r="G367" s="10">
        <f>'Pairings NB'!$M$1630</f>
        <v>0</v>
      </c>
      <c r="H367" s="10">
        <f>'Pairings NB'!$O$1630</f>
        <v>0</v>
      </c>
      <c r="I367" s="10">
        <f>'Pairings NB'!J1630</f>
        <v>320</v>
      </c>
      <c r="J367" s="10" t="str">
        <f>IFERROR(VLOOKUP('Pairings NB'!$M$1630,Instructores!$A:$C,3,FALSE),"")</f>
        <v/>
      </c>
      <c r="K367" s="10">
        <f>IF('Pairings NB'!J1630=320,4,3)</f>
        <v>4</v>
      </c>
    </row>
    <row r="368" spans="1:11" x14ac:dyDescent="0.25">
      <c r="A368" s="10">
        <f>'Pairings NB'!B1635</f>
        <v>1565</v>
      </c>
      <c r="B368" s="10" t="str">
        <f>'Pairings NB'!C1635</f>
        <v>18/10/2026</v>
      </c>
      <c r="C368" s="10" t="str">
        <f>'Pairings NB'!D1635</f>
        <v>domingo</v>
      </c>
      <c r="D368" s="10" t="str">
        <f>'Pairings NB'!E1635&amp;"/"&amp;'Pairings NB'!E1636</f>
        <v>2213/2214</v>
      </c>
      <c r="E368" s="10" t="str">
        <f>'Pairings NB'!F1635&amp;"-"&amp;'Pairings NB'!G1635&amp;"-"&amp;'Pairings NB'!F1635</f>
        <v>LIM-CIX-LIM</v>
      </c>
      <c r="F368" s="10" t="str">
        <f>IFERROR(VLOOKUP('Pairings NB'!$M$1635,Instructores!$A:$C,2,FALSE),"")</f>
        <v/>
      </c>
      <c r="G368" s="10">
        <f>'Pairings NB'!$M$1635</f>
        <v>0</v>
      </c>
      <c r="H368" s="10">
        <f>'Pairings NB'!$O$1635</f>
        <v>0</v>
      </c>
      <c r="I368" s="10">
        <f>'Pairings NB'!J1635</f>
        <v>320</v>
      </c>
      <c r="J368" s="10" t="str">
        <f>IFERROR(VLOOKUP('Pairings NB'!$M$1635,Instructores!$A:$C,3,FALSE),"")</f>
        <v/>
      </c>
      <c r="K368" s="10">
        <f>IF('Pairings NB'!J1635=320,4,3)</f>
        <v>4</v>
      </c>
    </row>
    <row r="369" spans="1:11" x14ac:dyDescent="0.25">
      <c r="A369" s="10">
        <f>'Pairings NB'!B1640</f>
        <v>1568</v>
      </c>
      <c r="B369" s="10" t="str">
        <f>'Pairings NB'!C1640</f>
        <v>18/10/2026</v>
      </c>
      <c r="C369" s="10" t="str">
        <f>'Pairings NB'!D1640</f>
        <v>domingo</v>
      </c>
      <c r="D369" s="10" t="str">
        <f>'Pairings NB'!E1640&amp;"/"&amp;'Pairings NB'!E1641</f>
        <v>2091/2092</v>
      </c>
      <c r="E369" s="10" t="str">
        <f>'Pairings NB'!F1640&amp;"-"&amp;'Pairings NB'!G1640&amp;"-"&amp;'Pairings NB'!F1640</f>
        <v>LIM-TPP-LIM</v>
      </c>
      <c r="F369" s="10" t="str">
        <f>IFERROR(VLOOKUP('Pairings NB'!$M$1640,Instructores!$A:$C,2,FALSE),"")</f>
        <v/>
      </c>
      <c r="G369" s="10">
        <f>'Pairings NB'!$M$1640</f>
        <v>0</v>
      </c>
      <c r="H369" s="10">
        <f>'Pairings NB'!$O$1640</f>
        <v>0</v>
      </c>
      <c r="I369" s="10">
        <f>'Pairings NB'!J1640</f>
        <v>320</v>
      </c>
      <c r="J369" s="10" t="str">
        <f>IFERROR(VLOOKUP('Pairings NB'!$M$1640,Instructores!$A:$C,3,FALSE),"")</f>
        <v/>
      </c>
      <c r="K369" s="10">
        <f>IF('Pairings NB'!J1640=320,4,3)</f>
        <v>4</v>
      </c>
    </row>
    <row r="370" spans="1:11" x14ac:dyDescent="0.25">
      <c r="A370" s="10">
        <f>'Pairings NB'!B1645</f>
        <v>1612</v>
      </c>
      <c r="B370" s="10" t="str">
        <f>'Pairings NB'!C1645</f>
        <v>19/10/2026</v>
      </c>
      <c r="C370" s="10" t="str">
        <f>'Pairings NB'!D1645</f>
        <v>lunes</v>
      </c>
      <c r="D370" s="10" t="str">
        <f>'Pairings NB'!E1645&amp;"/"&amp;'Pairings NB'!E1646</f>
        <v>2019/2038</v>
      </c>
      <c r="E370" s="10" t="str">
        <f>'Pairings NB'!F1645&amp;"-"&amp;'Pairings NB'!G1645&amp;"-"&amp;'Pairings NB'!F1645</f>
        <v>LIM-IQT-LIM</v>
      </c>
      <c r="F370" s="10" t="str">
        <f>IFERROR(VLOOKUP('Pairings NB'!$M$1645,Instructores!$A:$C,2,FALSE),"")</f>
        <v/>
      </c>
      <c r="G370" s="10">
        <f>'Pairings NB'!$M$1645</f>
        <v>0</v>
      </c>
      <c r="H370" s="10">
        <f>'Pairings NB'!$O$1645</f>
        <v>0</v>
      </c>
      <c r="I370" s="10">
        <f>'Pairings NB'!J1645</f>
        <v>320</v>
      </c>
      <c r="J370" s="10" t="str">
        <f>IFERROR(VLOOKUP('Pairings NB'!$M$1645,Instructores!$A:$C,3,FALSE),"")</f>
        <v/>
      </c>
      <c r="K370" s="10">
        <f>IF('Pairings NB'!J1645=320,4,3)</f>
        <v>4</v>
      </c>
    </row>
    <row r="371" spans="1:11" x14ac:dyDescent="0.25">
      <c r="A371" s="10">
        <f>'Pairings NB'!B1650</f>
        <v>1613</v>
      </c>
      <c r="B371" s="10" t="str">
        <f>'Pairings NB'!C1650</f>
        <v>19/10/2026</v>
      </c>
      <c r="C371" s="10" t="str">
        <f>'Pairings NB'!D1650</f>
        <v>lunes</v>
      </c>
      <c r="D371" s="10" t="str">
        <f>'Pairings NB'!E1650&amp;"/"&amp;'Pairings NB'!E1651</f>
        <v>2299/2298</v>
      </c>
      <c r="E371" s="10" t="str">
        <f>'Pairings NB'!F1650&amp;"-"&amp;'Pairings NB'!G1650&amp;"-"&amp;'Pairings NB'!F1650</f>
        <v>LIM-CJA-LIM</v>
      </c>
      <c r="F371" s="10" t="str">
        <f>IFERROR(VLOOKUP('Pairings NB'!$M$1650,Instructores!$A:$C,2,FALSE),"")</f>
        <v/>
      </c>
      <c r="G371" s="10">
        <f>'Pairings NB'!$M$1650</f>
        <v>0</v>
      </c>
      <c r="H371" s="10">
        <f>'Pairings NB'!$O$1650</f>
        <v>0</v>
      </c>
      <c r="I371" s="10">
        <f>'Pairings NB'!J1650</f>
        <v>320</v>
      </c>
      <c r="J371" s="10" t="str">
        <f>IFERROR(VLOOKUP('Pairings NB'!$M$1650,Instructores!$A:$C,3,FALSE),"")</f>
        <v/>
      </c>
      <c r="K371" s="10">
        <f>IF('Pairings NB'!J1650=320,4,3)</f>
        <v>4</v>
      </c>
    </row>
    <row r="372" spans="1:11" x14ac:dyDescent="0.25">
      <c r="A372" s="10">
        <f>'Pairings NB'!B1652</f>
        <v>1643</v>
      </c>
      <c r="B372" s="10" t="str">
        <f>'Pairings NB'!C1652</f>
        <v>19/10/2026</v>
      </c>
      <c r="C372" s="10" t="str">
        <f>'Pairings NB'!D1652</f>
        <v>lunes</v>
      </c>
      <c r="D372" s="10" t="str">
        <f>'Pairings NB'!E1652&amp;"/"&amp;'Pairings NB'!E1653</f>
        <v>2127/2026</v>
      </c>
      <c r="E372" s="10" t="str">
        <f>'Pairings NB'!F1652&amp;"-"&amp;'Pairings NB'!G1652&amp;"-"&amp;'Pairings NB'!F1652</f>
        <v>LIM-CUZ-LIM</v>
      </c>
      <c r="F372" s="10" t="str">
        <f>IFERROR(VLOOKUP('Pairings NB'!$M$1650,Instructores!$A:$C,2,FALSE),"")</f>
        <v/>
      </c>
      <c r="G372" s="10">
        <f>'Pairings NB'!$M$1650</f>
        <v>0</v>
      </c>
      <c r="H372" s="10">
        <f>'Pairings NB'!$O$1650</f>
        <v>0</v>
      </c>
      <c r="I372" s="10">
        <f>'Pairings NB'!J1652</f>
        <v>320</v>
      </c>
      <c r="J372" s="10" t="str">
        <f>IFERROR(VLOOKUP('Pairings NB'!$M$1650,Instructores!$A:$C,3,FALSE),"")</f>
        <v/>
      </c>
      <c r="K372" s="10">
        <f>IF('Pairings NB'!J1652=320,4,3)</f>
        <v>4</v>
      </c>
    </row>
    <row r="373" spans="1:11" x14ac:dyDescent="0.25">
      <c r="A373" s="10">
        <f>'Pairings NB'!B1657</f>
        <v>1617</v>
      </c>
      <c r="B373" s="10" t="str">
        <f>'Pairings NB'!C1657</f>
        <v>19/10/2026</v>
      </c>
      <c r="C373" s="10" t="str">
        <f>'Pairings NB'!D1657</f>
        <v>lunes</v>
      </c>
      <c r="D373" s="10" t="str">
        <f>'Pairings NB'!E1657&amp;"/"&amp;'Pairings NB'!E1658</f>
        <v>2061/2062</v>
      </c>
      <c r="E373" s="10" t="str">
        <f>'Pairings NB'!F1657&amp;"-"&amp;'Pairings NB'!G1657&amp;"-"&amp;'Pairings NB'!F1657</f>
        <v>LIM-CUZ-LIM</v>
      </c>
      <c r="F373" s="10" t="str">
        <f>IFERROR(VLOOKUP('Pairings NB'!$M$1657,Instructores!$A:$C,2,FALSE),"")</f>
        <v/>
      </c>
      <c r="G373" s="10">
        <f>'Pairings NB'!$M$1657</f>
        <v>0</v>
      </c>
      <c r="H373" s="10">
        <f>'Pairings NB'!$O$1657</f>
        <v>0</v>
      </c>
      <c r="I373" s="10">
        <f>'Pairings NB'!J1657</f>
        <v>320</v>
      </c>
      <c r="J373" s="10" t="str">
        <f>IFERROR(VLOOKUP('Pairings NB'!$M$1657,Instructores!$A:$C,3,FALSE),"")</f>
        <v/>
      </c>
      <c r="K373" s="10">
        <f>IF('Pairings NB'!J1657=320,4,3)</f>
        <v>4</v>
      </c>
    </row>
    <row r="374" spans="1:11" x14ac:dyDescent="0.25">
      <c r="A374" s="10">
        <f>'Pairings NB'!B1662</f>
        <v>1615</v>
      </c>
      <c r="B374" s="10" t="str">
        <f>'Pairings NB'!C1662</f>
        <v>19/10/2026</v>
      </c>
      <c r="C374" s="10" t="str">
        <f>'Pairings NB'!D1662</f>
        <v>lunes</v>
      </c>
      <c r="D374" s="10" t="str">
        <f>'Pairings NB'!E1662&amp;"/"&amp;'Pairings NB'!E1663</f>
        <v>2111/2110</v>
      </c>
      <c r="E374" s="10" t="str">
        <f>'Pairings NB'!F1662&amp;"-"&amp;'Pairings NB'!G1662&amp;"-"&amp;'Pairings NB'!F1662</f>
        <v>LIM-AQP-LIM</v>
      </c>
      <c r="F374" s="10" t="str">
        <f>IFERROR(VLOOKUP('Pairings NB'!$M$1662,Instructores!$A:$C,2,FALSE),"")</f>
        <v/>
      </c>
      <c r="G374" s="10">
        <f>'Pairings NB'!$M$1662</f>
        <v>0</v>
      </c>
      <c r="H374" s="10">
        <f>'Pairings NB'!$O$1662</f>
        <v>0</v>
      </c>
      <c r="I374" s="10">
        <f>'Pairings NB'!J1662</f>
        <v>320</v>
      </c>
      <c r="J374" s="10" t="str">
        <f>IFERROR(VLOOKUP('Pairings NB'!$M$1662,Instructores!$A:$C,3,FALSE),"")</f>
        <v/>
      </c>
      <c r="K374" s="10">
        <f>IF('Pairings NB'!J1662=320,4,3)</f>
        <v>4</v>
      </c>
    </row>
    <row r="375" spans="1:11" x14ac:dyDescent="0.25">
      <c r="A375" s="10">
        <f>'Pairings NB'!B1667</f>
        <v>1616</v>
      </c>
      <c r="B375" s="10" t="str">
        <f>'Pairings NB'!C1667</f>
        <v>19/10/2026</v>
      </c>
      <c r="C375" s="10" t="str">
        <f>'Pairings NB'!D1667</f>
        <v>lunes</v>
      </c>
      <c r="D375" s="10" t="str">
        <f>'Pairings NB'!E1667&amp;"/"&amp;'Pairings NB'!E1668</f>
        <v>2316/2317</v>
      </c>
      <c r="E375" s="10" t="str">
        <f>'Pairings NB'!F1667&amp;"-"&amp;'Pairings NB'!G1667&amp;"-"&amp;'Pairings NB'!F1667</f>
        <v>LIM-PIU-LIM</v>
      </c>
      <c r="F375" s="10" t="str">
        <f>IFERROR(VLOOKUP('Pairings NB'!$M$1667,Instructores!$A:$C,2,FALSE),"")</f>
        <v/>
      </c>
      <c r="G375" s="10">
        <f>'Pairings NB'!$M$1667</f>
        <v>0</v>
      </c>
      <c r="H375" s="10">
        <f>'Pairings NB'!$O$1667</f>
        <v>0</v>
      </c>
      <c r="I375" s="10">
        <f>'Pairings NB'!J1667</f>
        <v>320</v>
      </c>
      <c r="J375" s="10" t="str">
        <f>IFERROR(VLOOKUP('Pairings NB'!$M$1667,Instructores!$A:$C,3,FALSE),"")</f>
        <v/>
      </c>
      <c r="K375" s="10">
        <f>IF('Pairings NB'!J1667=320,4,3)</f>
        <v>4</v>
      </c>
    </row>
    <row r="376" spans="1:11" x14ac:dyDescent="0.25">
      <c r="A376" s="10">
        <f>'Pairings NB'!B1672</f>
        <v>1622</v>
      </c>
      <c r="B376" s="10" t="str">
        <f>'Pairings NB'!C1672</f>
        <v>19/10/2026</v>
      </c>
      <c r="C376" s="10" t="str">
        <f>'Pairings NB'!D1672</f>
        <v>lunes</v>
      </c>
      <c r="D376" s="10" t="str">
        <f>'Pairings NB'!E1672&amp;"/"&amp;'Pairings NB'!E1673</f>
        <v>2043/2044</v>
      </c>
      <c r="E376" s="10" t="str">
        <f>'Pairings NB'!F1672&amp;"-"&amp;'Pairings NB'!G1672&amp;"-"&amp;'Pairings NB'!F1672</f>
        <v>LIM-AQP-LIM</v>
      </c>
      <c r="F376" s="10" t="str">
        <f>IFERROR(VLOOKUP('Pairings NB'!$M$1672,Instructores!$A:$C,2,FALSE),"")</f>
        <v/>
      </c>
      <c r="G376" s="10">
        <f>'Pairings NB'!$M$1672</f>
        <v>0</v>
      </c>
      <c r="H376" s="10">
        <f>'Pairings NB'!$O$1672</f>
        <v>0</v>
      </c>
      <c r="I376" s="10">
        <f>'Pairings NB'!J1672</f>
        <v>320</v>
      </c>
      <c r="J376" s="10" t="str">
        <f>IFERROR(VLOOKUP('Pairings NB'!$M$1672,Instructores!$A:$C,3,FALSE),"")</f>
        <v/>
      </c>
      <c r="K376" s="10">
        <f>IF('Pairings NB'!J1672=320,4,3)</f>
        <v>4</v>
      </c>
    </row>
    <row r="377" spans="1:11" x14ac:dyDescent="0.25">
      <c r="A377" s="10">
        <f>'Pairings NB'!B1677</f>
        <v>1628</v>
      </c>
      <c r="B377" s="10" t="str">
        <f>'Pairings NB'!C1677</f>
        <v>19/10/2026</v>
      </c>
      <c r="C377" s="10" t="str">
        <f>'Pairings NB'!D1677</f>
        <v>lunes</v>
      </c>
      <c r="D377" s="10" t="str">
        <f>'Pairings NB'!E1677&amp;"/"&amp;'Pairings NB'!E1678</f>
        <v>2055/2056</v>
      </c>
      <c r="E377" s="10" t="str">
        <f>'Pairings NB'!F1677&amp;"-"&amp;'Pairings NB'!G1677&amp;"-"&amp;'Pairings NB'!F1677</f>
        <v>LIM-AQP-LIM</v>
      </c>
      <c r="F377" s="10" t="str">
        <f>IFERROR(VLOOKUP('Pairings NB'!$M$1677,Instructores!$A:$C,2,FALSE),"")</f>
        <v/>
      </c>
      <c r="G377" s="10">
        <f>'Pairings NB'!$M$1677</f>
        <v>0</v>
      </c>
      <c r="H377" s="10">
        <f>'Pairings NB'!$O$1677</f>
        <v>0</v>
      </c>
      <c r="I377" s="10">
        <f>'Pairings NB'!J1677</f>
        <v>320</v>
      </c>
      <c r="J377" s="10" t="str">
        <f>IFERROR(VLOOKUP('Pairings NB'!$M$1677,Instructores!$A:$C,3,FALSE),"")</f>
        <v/>
      </c>
      <c r="K377" s="10">
        <f>IF('Pairings NB'!J1677=320,4,3)</f>
        <v>4</v>
      </c>
    </row>
    <row r="378" spans="1:11" x14ac:dyDescent="0.25">
      <c r="A378" s="10">
        <f>'Pairings NB'!B1682</f>
        <v>1630</v>
      </c>
      <c r="B378" s="10" t="str">
        <f>'Pairings NB'!C1682</f>
        <v>19/10/2026</v>
      </c>
      <c r="C378" s="10" t="str">
        <f>'Pairings NB'!D1682</f>
        <v>lunes</v>
      </c>
      <c r="D378" s="10" t="str">
        <f>'Pairings NB'!E1682&amp;"/"&amp;'Pairings NB'!E1683</f>
        <v>2087/2088</v>
      </c>
      <c r="E378" s="10" t="str">
        <f>'Pairings NB'!F1682&amp;"-"&amp;'Pairings NB'!G1682&amp;"-"&amp;'Pairings NB'!F1682</f>
        <v>LIM-TPP-LIM</v>
      </c>
      <c r="F378" s="10" t="str">
        <f>IFERROR(VLOOKUP('Pairings NB'!$M$1682,Instructores!$A:$C,2,FALSE),"")</f>
        <v/>
      </c>
      <c r="G378" s="10">
        <f>'Pairings NB'!$M$1682</f>
        <v>0</v>
      </c>
      <c r="H378" s="10">
        <f>'Pairings NB'!$O$1682</f>
        <v>0</v>
      </c>
      <c r="I378" s="10">
        <f>'Pairings NB'!J1682</f>
        <v>320</v>
      </c>
      <c r="J378" s="10" t="str">
        <f>IFERROR(VLOOKUP('Pairings NB'!$M$1682,Instructores!$A:$C,3,FALSE),"")</f>
        <v/>
      </c>
      <c r="K378" s="10">
        <f>IF('Pairings NB'!J1682=320,4,3)</f>
        <v>4</v>
      </c>
    </row>
    <row r="379" spans="1:11" x14ac:dyDescent="0.25">
      <c r="A379" s="10">
        <f>'Pairings NB'!B1684</f>
        <v>1647</v>
      </c>
      <c r="B379" s="10" t="str">
        <f>'Pairings NB'!C1684</f>
        <v>19/10/2026</v>
      </c>
      <c r="C379" s="10" t="str">
        <f>'Pairings NB'!D1684</f>
        <v>lunes</v>
      </c>
      <c r="D379" s="10" t="str">
        <f>'Pairings NB'!E1684&amp;"/"&amp;'Pairings NB'!E1685</f>
        <v>2117/2116</v>
      </c>
      <c r="E379" s="10" t="str">
        <f>'Pairings NB'!F1684&amp;"-"&amp;'Pairings NB'!G1684&amp;"-"&amp;'Pairings NB'!F1684</f>
        <v>LIM-AQP-LIM</v>
      </c>
      <c r="F379" s="10" t="str">
        <f>IFERROR(VLOOKUP('Pairings NB'!$M$1682,Instructores!$A:$C,2,FALSE),"")</f>
        <v/>
      </c>
      <c r="G379" s="10">
        <f>'Pairings NB'!$M$1682</f>
        <v>0</v>
      </c>
      <c r="H379" s="10">
        <f>'Pairings NB'!$O$1682</f>
        <v>0</v>
      </c>
      <c r="I379" s="10">
        <f>'Pairings NB'!J1684</f>
        <v>320</v>
      </c>
      <c r="J379" s="10" t="str">
        <f>IFERROR(VLOOKUP('Pairings NB'!$M$1682,Instructores!$A:$C,3,FALSE),"")</f>
        <v/>
      </c>
      <c r="K379" s="10">
        <f>IF('Pairings NB'!J1684=320,4,3)</f>
        <v>4</v>
      </c>
    </row>
    <row r="380" spans="1:11" x14ac:dyDescent="0.25">
      <c r="A380" s="10">
        <f>'Pairings NB'!B1689</f>
        <v>1631</v>
      </c>
      <c r="B380" s="10" t="str">
        <f>'Pairings NB'!C1689</f>
        <v>19/10/2026</v>
      </c>
      <c r="C380" s="10" t="str">
        <f>'Pairings NB'!D1689</f>
        <v>lunes</v>
      </c>
      <c r="D380" s="10" t="str">
        <f>'Pairings NB'!E1689&amp;"/"&amp;'Pairings NB'!E1690</f>
        <v>2295/2294</v>
      </c>
      <c r="E380" s="10" t="str">
        <f>'Pairings NB'!F1689&amp;"-"&amp;'Pairings NB'!G1689&amp;"-"&amp;'Pairings NB'!F1689</f>
        <v>LIM-CJA-LIM</v>
      </c>
      <c r="F380" s="10" t="str">
        <f>IFERROR(VLOOKUP('Pairings NB'!$M$1689,Instructores!$A:$C,2,FALSE),"")</f>
        <v/>
      </c>
      <c r="G380" s="10">
        <f>'Pairings NB'!$M$1689</f>
        <v>0</v>
      </c>
      <c r="H380" s="10">
        <f>'Pairings NB'!$O$1689</f>
        <v>0</v>
      </c>
      <c r="I380" s="10">
        <f>'Pairings NB'!J1689</f>
        <v>320</v>
      </c>
      <c r="J380" s="10" t="str">
        <f>IFERROR(VLOOKUP('Pairings NB'!$M$1689,Instructores!$A:$C,3,FALSE),"")</f>
        <v/>
      </c>
      <c r="K380" s="10">
        <f>IF('Pairings NB'!J1689=320,4,3)</f>
        <v>4</v>
      </c>
    </row>
    <row r="381" spans="1:11" x14ac:dyDescent="0.25">
      <c r="A381" s="10">
        <f>'Pairings NB'!B1691</f>
        <v>1646</v>
      </c>
      <c r="B381" s="10" t="str">
        <f>'Pairings NB'!C1691</f>
        <v>19/10/2026</v>
      </c>
      <c r="C381" s="10" t="str">
        <f>'Pairings NB'!D1691</f>
        <v>lunes</v>
      </c>
      <c r="D381" s="10" t="str">
        <f>'Pairings NB'!E1691&amp;"/"&amp;'Pairings NB'!E1692</f>
        <v>2310/2311</v>
      </c>
      <c r="E381" s="10" t="str">
        <f>'Pairings NB'!F1691&amp;"-"&amp;'Pairings NB'!G1691&amp;"-"&amp;'Pairings NB'!F1691</f>
        <v>LIM-CIX-LIM</v>
      </c>
      <c r="F381" s="10" t="str">
        <f>IFERROR(VLOOKUP('Pairings NB'!$M$1689,Instructores!$A:$C,2,FALSE),"")</f>
        <v/>
      </c>
      <c r="G381" s="10">
        <f>'Pairings NB'!$M$1689</f>
        <v>0</v>
      </c>
      <c r="H381" s="10">
        <f>'Pairings NB'!$O$1689</f>
        <v>0</v>
      </c>
      <c r="I381" s="10">
        <f>'Pairings NB'!J1691</f>
        <v>320</v>
      </c>
      <c r="J381" s="10" t="str">
        <f>IFERROR(VLOOKUP('Pairings NB'!$M$1689,Instructores!$A:$C,3,FALSE),"")</f>
        <v/>
      </c>
      <c r="K381" s="10">
        <f>IF('Pairings NB'!J1691=320,4,3)</f>
        <v>4</v>
      </c>
    </row>
    <row r="382" spans="1:11" x14ac:dyDescent="0.25">
      <c r="A382" s="10">
        <f>'Pairings NB'!B1696</f>
        <v>1633</v>
      </c>
      <c r="B382" s="10" t="str">
        <f>'Pairings NB'!C1696</f>
        <v>19/10/2026</v>
      </c>
      <c r="C382" s="10" t="str">
        <f>'Pairings NB'!D1696</f>
        <v>lunes</v>
      </c>
      <c r="D382" s="10" t="str">
        <f>'Pairings NB'!E1696&amp;"/"&amp;'Pairings NB'!E1697</f>
        <v>2264/2265</v>
      </c>
      <c r="E382" s="10" t="str">
        <f>'Pairings NB'!F1696&amp;"-"&amp;'Pairings NB'!G1696&amp;"-"&amp;'Pairings NB'!F1696</f>
        <v>LIM-PEM-LIM</v>
      </c>
      <c r="F382" s="10" t="str">
        <f>IFERROR(VLOOKUP('Pairings NB'!$M$1696,Instructores!$A:$C,2,FALSE),"")</f>
        <v/>
      </c>
      <c r="G382" s="10">
        <f>'Pairings NB'!$M$1696</f>
        <v>0</v>
      </c>
      <c r="H382" s="10">
        <f>'Pairings NB'!$O$1696</f>
        <v>0</v>
      </c>
      <c r="I382" s="10">
        <f>'Pairings NB'!J1696</f>
        <v>320</v>
      </c>
      <c r="J382" s="10" t="str">
        <f>IFERROR(VLOOKUP('Pairings NB'!$M$1696,Instructores!$A:$C,3,FALSE),"")</f>
        <v/>
      </c>
      <c r="K382" s="10">
        <f>IF('Pairings NB'!J1696=320,4,3)</f>
        <v>4</v>
      </c>
    </row>
    <row r="383" spans="1:11" x14ac:dyDescent="0.25">
      <c r="A383" s="10">
        <f>'Pairings NB'!B1701</f>
        <v>1634</v>
      </c>
      <c r="B383" s="10" t="str">
        <f>'Pairings NB'!C1701</f>
        <v>19/10/2026</v>
      </c>
      <c r="C383" s="10" t="str">
        <f>'Pairings NB'!D1701</f>
        <v>lunes</v>
      </c>
      <c r="D383" s="10" t="str">
        <f>'Pairings NB'!E1701&amp;"/"&amp;'Pairings NB'!E1702</f>
        <v>2264/2265</v>
      </c>
      <c r="E383" s="10" t="str">
        <f>'Pairings NB'!F1701&amp;"-"&amp;'Pairings NB'!G1701&amp;"-"&amp;'Pairings NB'!F1701</f>
        <v>LIM-PEM-LIM</v>
      </c>
      <c r="F383" s="10" t="str">
        <f>IFERROR(VLOOKUP('Pairings NB'!$M$1701,Instructores!$A:$C,2,FALSE),"")</f>
        <v/>
      </c>
      <c r="G383" s="10">
        <f>'Pairings NB'!$M$1701</f>
        <v>0</v>
      </c>
      <c r="H383" s="10">
        <f>'Pairings NB'!$O$1701</f>
        <v>0</v>
      </c>
      <c r="I383" s="10">
        <f>'Pairings NB'!J1701</f>
        <v>320</v>
      </c>
      <c r="J383" s="10" t="str">
        <f>IFERROR(VLOOKUP('Pairings NB'!$M$1701,Instructores!$A:$C,3,FALSE),"")</f>
        <v/>
      </c>
      <c r="K383" s="10">
        <f>IF('Pairings NB'!J1701=320,4,3)</f>
        <v>4</v>
      </c>
    </row>
    <row r="384" spans="1:11" x14ac:dyDescent="0.25">
      <c r="A384" s="10">
        <f>'Pairings NB'!B1706</f>
        <v>1635</v>
      </c>
      <c r="B384" s="10" t="str">
        <f>'Pairings NB'!C1706</f>
        <v>19/10/2026</v>
      </c>
      <c r="C384" s="10" t="str">
        <f>'Pairings NB'!D1706</f>
        <v>lunes</v>
      </c>
      <c r="D384" s="10" t="str">
        <f>'Pairings NB'!E1706&amp;"/"&amp;'Pairings NB'!E1707</f>
        <v>2338/2339</v>
      </c>
      <c r="E384" s="10" t="str">
        <f>'Pairings NB'!F1706&amp;"-"&amp;'Pairings NB'!G1706&amp;"-"&amp;'Pairings NB'!F1706</f>
        <v>LIM-PIU-LIM</v>
      </c>
      <c r="F384" s="10" t="str">
        <f>IFERROR(VLOOKUP('Pairings NB'!$M$1706,Instructores!$A:$C,2,FALSE),"")</f>
        <v/>
      </c>
      <c r="G384" s="10">
        <f>'Pairings NB'!$M$1706</f>
        <v>0</v>
      </c>
      <c r="H384" s="10">
        <f>'Pairings NB'!$O$1706</f>
        <v>0</v>
      </c>
      <c r="I384" s="10">
        <f>'Pairings NB'!J1706</f>
        <v>319</v>
      </c>
      <c r="J384" s="10" t="str">
        <f>IFERROR(VLOOKUP('Pairings NB'!$M$1706,Instructores!$A:$C,3,FALSE),"")</f>
        <v/>
      </c>
      <c r="K384" s="10">
        <f>IF('Pairings NB'!J1706=320,4,3)</f>
        <v>3</v>
      </c>
    </row>
    <row r="385" spans="1:11" x14ac:dyDescent="0.25">
      <c r="A385" s="10">
        <f>'Pairings NB'!B1711</f>
        <v>1636</v>
      </c>
      <c r="B385" s="10" t="str">
        <f>'Pairings NB'!C1711</f>
        <v>19/10/2026</v>
      </c>
      <c r="C385" s="10" t="str">
        <f>'Pairings NB'!D1711</f>
        <v>lunes</v>
      </c>
      <c r="D385" s="10" t="str">
        <f>'Pairings NB'!E1711&amp;"/"&amp;'Pairings NB'!E1712</f>
        <v>2113/2112</v>
      </c>
      <c r="E385" s="10" t="str">
        <f>'Pairings NB'!F1711&amp;"-"&amp;'Pairings NB'!G1711&amp;"-"&amp;'Pairings NB'!F1711</f>
        <v>LIM-AQP-LIM</v>
      </c>
      <c r="F385" s="10" t="str">
        <f>IFERROR(VLOOKUP('Pairings NB'!$M$1711,Instructores!$A:$C,2,FALSE),"")</f>
        <v/>
      </c>
      <c r="G385" s="10">
        <f>'Pairings NB'!$M$1711</f>
        <v>0</v>
      </c>
      <c r="H385" s="10">
        <f>'Pairings NB'!$O$1711</f>
        <v>0</v>
      </c>
      <c r="I385" s="10">
        <f>'Pairings NB'!J1711</f>
        <v>320</v>
      </c>
      <c r="J385" s="10" t="str">
        <f>IFERROR(VLOOKUP('Pairings NB'!$M$1711,Instructores!$A:$C,3,FALSE),"")</f>
        <v/>
      </c>
      <c r="K385" s="10">
        <f>IF('Pairings NB'!J1711=320,4,3)</f>
        <v>4</v>
      </c>
    </row>
    <row r="386" spans="1:11" x14ac:dyDescent="0.25">
      <c r="A386" s="10">
        <f>'Pairings NB'!B1716</f>
        <v>1638</v>
      </c>
      <c r="B386" s="10" t="str">
        <f>'Pairings NB'!C1716</f>
        <v>19/10/2026</v>
      </c>
      <c r="C386" s="10" t="str">
        <f>'Pairings NB'!D1716</f>
        <v>lunes</v>
      </c>
      <c r="D386" s="10" t="str">
        <f>'Pairings NB'!E1716&amp;"/"&amp;'Pairings NB'!E1717</f>
        <v>2297/2296</v>
      </c>
      <c r="E386" s="10" t="str">
        <f>'Pairings NB'!F1716&amp;"-"&amp;'Pairings NB'!G1716&amp;"-"&amp;'Pairings NB'!F1716</f>
        <v>LIM-CJA-LIM</v>
      </c>
      <c r="F386" s="10" t="str">
        <f>IFERROR(VLOOKUP('Pairings NB'!$M$1716,Instructores!$A:$C,2,FALSE),"")</f>
        <v/>
      </c>
      <c r="G386" s="10">
        <f>'Pairings NB'!$M$1716</f>
        <v>0</v>
      </c>
      <c r="H386" s="10">
        <f>'Pairings NB'!$O$1716</f>
        <v>0</v>
      </c>
      <c r="I386" s="10">
        <f>'Pairings NB'!J1716</f>
        <v>319</v>
      </c>
      <c r="J386" s="10" t="str">
        <f>IFERROR(VLOOKUP('Pairings NB'!$M$1716,Instructores!$A:$C,3,FALSE),"")</f>
        <v/>
      </c>
      <c r="K386" s="10">
        <f>IF('Pairings NB'!J1716=320,4,3)</f>
        <v>3</v>
      </c>
    </row>
    <row r="387" spans="1:11" x14ac:dyDescent="0.25">
      <c r="A387" s="10">
        <f>'Pairings NB'!B1721</f>
        <v>1639</v>
      </c>
      <c r="B387" s="10" t="str">
        <f>'Pairings NB'!C1721</f>
        <v>19/10/2026</v>
      </c>
      <c r="C387" s="10" t="str">
        <f>'Pairings NB'!D1721</f>
        <v>lunes</v>
      </c>
      <c r="D387" s="10" t="str">
        <f>'Pairings NB'!E1721&amp;"/"&amp;'Pairings NB'!E1722</f>
        <v>2360/2361</v>
      </c>
      <c r="E387" s="10" t="str">
        <f>'Pairings NB'!F1721&amp;"-"&amp;'Pairings NB'!G1721&amp;"-"&amp;'Pairings NB'!F1721</f>
        <v>LIM-PCL-LIM</v>
      </c>
      <c r="F387" s="10" t="str">
        <f>IFERROR(VLOOKUP('Pairings NB'!$M$1721,Instructores!$A:$C,2,FALSE),"")</f>
        <v/>
      </c>
      <c r="G387" s="10">
        <f>'Pairings NB'!$M$1721</f>
        <v>0</v>
      </c>
      <c r="H387" s="10">
        <f>'Pairings NB'!$O$1721</f>
        <v>0</v>
      </c>
      <c r="I387" s="10">
        <f>'Pairings NB'!J1721</f>
        <v>320</v>
      </c>
      <c r="J387" s="10" t="str">
        <f>IFERROR(VLOOKUP('Pairings NB'!$M$1721,Instructores!$A:$C,3,FALSE),"")</f>
        <v/>
      </c>
      <c r="K387" s="10">
        <f>IF('Pairings NB'!J1721=320,4,3)</f>
        <v>4</v>
      </c>
    </row>
    <row r="388" spans="1:11" x14ac:dyDescent="0.25">
      <c r="A388" s="10">
        <f>'Pairings NB'!B1726</f>
        <v>1640</v>
      </c>
      <c r="B388" s="10" t="str">
        <f>'Pairings NB'!C1726</f>
        <v>19/10/2026</v>
      </c>
      <c r="C388" s="10" t="str">
        <f>'Pairings NB'!D1726</f>
        <v>lunes</v>
      </c>
      <c r="D388" s="10" t="str">
        <f>'Pairings NB'!E1726&amp;"/"&amp;'Pairings NB'!E1727</f>
        <v>2312/2313</v>
      </c>
      <c r="E388" s="10" t="str">
        <f>'Pairings NB'!F1726&amp;"-"&amp;'Pairings NB'!G1726&amp;"-"&amp;'Pairings NB'!F1726</f>
        <v>LIM-CIX-LIM</v>
      </c>
      <c r="F388" s="10" t="str">
        <f>IFERROR(VLOOKUP('Pairings NB'!$M$1726,Instructores!$A:$C,2,FALSE),"")</f>
        <v/>
      </c>
      <c r="G388" s="10">
        <f>'Pairings NB'!$M$1726</f>
        <v>0</v>
      </c>
      <c r="H388" s="10">
        <f>'Pairings NB'!$O$1726</f>
        <v>0</v>
      </c>
      <c r="I388" s="10">
        <f>'Pairings NB'!J1726</f>
        <v>320</v>
      </c>
      <c r="J388" s="10" t="str">
        <f>IFERROR(VLOOKUP('Pairings NB'!$M$1726,Instructores!$A:$C,3,FALSE),"")</f>
        <v/>
      </c>
      <c r="K388" s="10">
        <f>IF('Pairings NB'!J1726=320,4,3)</f>
        <v>4</v>
      </c>
    </row>
    <row r="389" spans="1:11" x14ac:dyDescent="0.25">
      <c r="A389" s="10">
        <f>'Pairings NB'!B1731</f>
        <v>1641</v>
      </c>
      <c r="B389" s="10" t="str">
        <f>'Pairings NB'!C1731</f>
        <v>19/10/2026</v>
      </c>
      <c r="C389" s="10" t="str">
        <f>'Pairings NB'!D1731</f>
        <v>lunes</v>
      </c>
      <c r="D389" s="10" t="str">
        <f>'Pairings NB'!E1731&amp;"/"&amp;'Pairings NB'!E1732</f>
        <v>2301/2300</v>
      </c>
      <c r="E389" s="10" t="str">
        <f>'Pairings NB'!F1731&amp;"-"&amp;'Pairings NB'!G1731&amp;"-"&amp;'Pairings NB'!F1731</f>
        <v>LIM-TPP-LIM</v>
      </c>
      <c r="F389" s="10" t="str">
        <f>IFERROR(VLOOKUP('Pairings NB'!$M$1731,Instructores!$A:$C,2,FALSE),"")</f>
        <v/>
      </c>
      <c r="G389" s="10">
        <f>'Pairings NB'!$M$1731</f>
        <v>0</v>
      </c>
      <c r="H389" s="10">
        <f>'Pairings NB'!$O$1731</f>
        <v>0</v>
      </c>
      <c r="I389" s="10">
        <f>'Pairings NB'!J1731</f>
        <v>319</v>
      </c>
      <c r="J389" s="10" t="str">
        <f>IFERROR(VLOOKUP('Pairings NB'!$M$1731,Instructores!$A:$C,3,FALSE),"")</f>
        <v/>
      </c>
      <c r="K389" s="10">
        <f>IF('Pairings NB'!J1731=320,4,3)</f>
        <v>3</v>
      </c>
    </row>
    <row r="390" spans="1:11" x14ac:dyDescent="0.25">
      <c r="A390" s="10">
        <f>'Pairings NB'!B1736</f>
        <v>1648</v>
      </c>
      <c r="B390" s="10" t="str">
        <f>'Pairings NB'!C1736</f>
        <v>19/10/2026</v>
      </c>
      <c r="C390" s="10" t="str">
        <f>'Pairings NB'!D1736</f>
        <v>lunes</v>
      </c>
      <c r="D390" s="10" t="str">
        <f>'Pairings NB'!E1736&amp;"/"&amp;'Pairings NB'!E1737</f>
        <v>2200/2201</v>
      </c>
      <c r="E390" s="10" t="str">
        <f>'Pairings NB'!F1736&amp;"-"&amp;'Pairings NB'!G1736&amp;"-"&amp;'Pairings NB'!F1736</f>
        <v>LIM-CUZ-LIM</v>
      </c>
      <c r="F390" s="10" t="str">
        <f>IFERROR(VLOOKUP('Pairings NB'!$M$1736,Instructores!$A:$C,2,FALSE),"")</f>
        <v/>
      </c>
      <c r="G390" s="10">
        <f>'Pairings NB'!$M$1736</f>
        <v>0</v>
      </c>
      <c r="H390" s="10">
        <f>'Pairings NB'!$O$1736</f>
        <v>0</v>
      </c>
      <c r="I390" s="10">
        <f>'Pairings NB'!J1736</f>
        <v>320</v>
      </c>
      <c r="J390" s="10" t="str">
        <f>IFERROR(VLOOKUP('Pairings NB'!$M$1736,Instructores!$A:$C,3,FALSE),"")</f>
        <v/>
      </c>
      <c r="K390" s="10">
        <f>IF('Pairings NB'!J1736=320,4,3)</f>
        <v>4</v>
      </c>
    </row>
    <row r="391" spans="1:11" x14ac:dyDescent="0.25">
      <c r="A391" s="10">
        <f>'Pairings NB'!B1741</f>
        <v>1685</v>
      </c>
      <c r="B391" s="10" t="str">
        <f>'Pairings NB'!C1741</f>
        <v>20/10/2026</v>
      </c>
      <c r="C391" s="10" t="str">
        <f>'Pairings NB'!D1741</f>
        <v>martes</v>
      </c>
      <c r="D391" s="10" t="str">
        <f>'Pairings NB'!E1741&amp;"/"&amp;'Pairings NB'!E1742</f>
        <v>2013/2014</v>
      </c>
      <c r="E391" s="10" t="str">
        <f>'Pairings NB'!F1741&amp;"-"&amp;'Pairings NB'!G1741&amp;"-"&amp;'Pairings NB'!F1741</f>
        <v>LIM-CUZ-LIM</v>
      </c>
      <c r="F391" s="10" t="str">
        <f>IFERROR(VLOOKUP('Pairings NB'!$M$1741,Instructores!$A:$C,2,FALSE),"")</f>
        <v/>
      </c>
      <c r="G391" s="10">
        <f>'Pairings NB'!$M$1741</f>
        <v>0</v>
      </c>
      <c r="H391" s="10">
        <f>'Pairings NB'!$O$1741</f>
        <v>0</v>
      </c>
      <c r="I391" s="10">
        <f>'Pairings NB'!J1741</f>
        <v>319</v>
      </c>
      <c r="J391" s="10" t="str">
        <f>IFERROR(VLOOKUP('Pairings NB'!$M$1741,Instructores!$A:$C,3,FALSE),"")</f>
        <v/>
      </c>
      <c r="K391" s="10">
        <f>IF('Pairings NB'!J1741=320,4,3)</f>
        <v>3</v>
      </c>
    </row>
    <row r="392" spans="1:11" x14ac:dyDescent="0.25">
      <c r="A392" s="10">
        <f>'Pairings NB'!B1743</f>
        <v>1710</v>
      </c>
      <c r="B392" s="10" t="str">
        <f>'Pairings NB'!C1743</f>
        <v>20/10/2026</v>
      </c>
      <c r="C392" s="10" t="str">
        <f>'Pairings NB'!D1743</f>
        <v>martes</v>
      </c>
      <c r="D392" s="10" t="str">
        <f>'Pairings NB'!E1743&amp;"/"&amp;'Pairings NB'!E1744</f>
        <v>2028/2029</v>
      </c>
      <c r="E392" s="10" t="str">
        <f>'Pairings NB'!F1743&amp;"-"&amp;'Pairings NB'!G1743&amp;"-"&amp;'Pairings NB'!F1743</f>
        <v>LIM-CUZ-LIM</v>
      </c>
      <c r="F392" s="10" t="str">
        <f>IFERROR(VLOOKUP('Pairings NB'!$M$1741,Instructores!$A:$C,2,FALSE),"")</f>
        <v/>
      </c>
      <c r="G392" s="10">
        <f>'Pairings NB'!$M$1741</f>
        <v>0</v>
      </c>
      <c r="H392" s="10">
        <f>'Pairings NB'!$O$1741</f>
        <v>0</v>
      </c>
      <c r="I392" s="10">
        <f>'Pairings NB'!J1743</f>
        <v>320</v>
      </c>
      <c r="J392" s="10" t="str">
        <f>IFERROR(VLOOKUP('Pairings NB'!$M$1741,Instructores!$A:$C,3,FALSE),"")</f>
        <v/>
      </c>
      <c r="K392" s="10">
        <f>IF('Pairings NB'!J1743=320,4,3)</f>
        <v>4</v>
      </c>
    </row>
    <row r="393" spans="1:11" x14ac:dyDescent="0.25">
      <c r="A393" s="10">
        <f>'Pairings NB'!B1748</f>
        <v>1688</v>
      </c>
      <c r="B393" s="10" t="str">
        <f>'Pairings NB'!C1748</f>
        <v>20/10/2026</v>
      </c>
      <c r="C393" s="10" t="str">
        <f>'Pairings NB'!D1748</f>
        <v>martes</v>
      </c>
      <c r="D393" s="10" t="str">
        <f>'Pairings NB'!E1748&amp;"/"&amp;'Pairings NB'!E1749</f>
        <v>2007/2008</v>
      </c>
      <c r="E393" s="10" t="str">
        <f>'Pairings NB'!F1748&amp;"-"&amp;'Pairings NB'!G1748&amp;"-"&amp;'Pairings NB'!F1748</f>
        <v>LIM-CUZ-LIM</v>
      </c>
      <c r="F393" s="10" t="str">
        <f>IFERROR(VLOOKUP('Pairings NB'!$M$1748,Instructores!$A:$C,2,FALSE),"")</f>
        <v/>
      </c>
      <c r="G393" s="10">
        <f>'Pairings NB'!$M$1748</f>
        <v>0</v>
      </c>
      <c r="H393" s="10">
        <f>'Pairings NB'!$O$1748</f>
        <v>0</v>
      </c>
      <c r="I393" s="10">
        <f>'Pairings NB'!J1748</f>
        <v>320</v>
      </c>
      <c r="J393" s="10" t="str">
        <f>IFERROR(VLOOKUP('Pairings NB'!$M$1748,Instructores!$A:$C,3,FALSE),"")</f>
        <v/>
      </c>
      <c r="K393" s="10">
        <f>IF('Pairings NB'!J1748=320,4,3)</f>
        <v>4</v>
      </c>
    </row>
    <row r="394" spans="1:11" x14ac:dyDescent="0.25">
      <c r="A394" s="10">
        <f>'Pairings NB'!B1750</f>
        <v>1712</v>
      </c>
      <c r="B394" s="10" t="str">
        <f>'Pairings NB'!C1750</f>
        <v>20/10/2026</v>
      </c>
      <c r="C394" s="10" t="str">
        <f>'Pairings NB'!D1750</f>
        <v>martes</v>
      </c>
      <c r="D394" s="10" t="str">
        <f>'Pairings NB'!E1750&amp;"/"&amp;'Pairings NB'!E1751</f>
        <v>2087/2088</v>
      </c>
      <c r="E394" s="10" t="str">
        <f>'Pairings NB'!F1750&amp;"-"&amp;'Pairings NB'!G1750&amp;"-"&amp;'Pairings NB'!F1750</f>
        <v>LIM-TPP-LIM</v>
      </c>
      <c r="F394" s="10" t="str">
        <f>IFERROR(VLOOKUP('Pairings NB'!$M$1748,Instructores!$A:$C,2,FALSE),"")</f>
        <v/>
      </c>
      <c r="G394" s="10">
        <f>'Pairings NB'!$M$1748</f>
        <v>0</v>
      </c>
      <c r="H394" s="10">
        <f>'Pairings NB'!$O$1748</f>
        <v>0</v>
      </c>
      <c r="I394" s="10">
        <f>'Pairings NB'!J1750</f>
        <v>320</v>
      </c>
      <c r="J394" s="10" t="str">
        <f>IFERROR(VLOOKUP('Pairings NB'!$M$1748,Instructores!$A:$C,3,FALSE),"")</f>
        <v/>
      </c>
      <c r="K394" s="10">
        <f>IF('Pairings NB'!J1750=320,4,3)</f>
        <v>4</v>
      </c>
    </row>
    <row r="395" spans="1:11" x14ac:dyDescent="0.25">
      <c r="A395" s="10">
        <f>'Pairings NB'!B1755</f>
        <v>1694</v>
      </c>
      <c r="B395" s="10" t="str">
        <f>'Pairings NB'!C1755</f>
        <v>20/10/2026</v>
      </c>
      <c r="C395" s="10" t="str">
        <f>'Pairings NB'!D1755</f>
        <v>martes</v>
      </c>
      <c r="D395" s="10" t="str">
        <f>'Pairings NB'!E1755&amp;"/"&amp;'Pairings NB'!E1756</f>
        <v>2350/2351</v>
      </c>
      <c r="E395" s="10" t="str">
        <f>'Pairings NB'!F1755&amp;"-"&amp;'Pairings NB'!G1755&amp;"-"&amp;'Pairings NB'!F1755</f>
        <v>LIM-CJA-LIM</v>
      </c>
      <c r="F395" s="10" t="str">
        <f>IFERROR(VLOOKUP('Pairings NB'!$M$1755,Instructores!$A:$C,2,FALSE),"")</f>
        <v/>
      </c>
      <c r="G395" s="10">
        <f>'Pairings NB'!$M$1755</f>
        <v>0</v>
      </c>
      <c r="H395" s="10">
        <f>'Pairings NB'!$O$1755</f>
        <v>0</v>
      </c>
      <c r="I395" s="10">
        <f>'Pairings NB'!J1755</f>
        <v>320</v>
      </c>
      <c r="J395" s="10" t="str">
        <f>IFERROR(VLOOKUP('Pairings NB'!$M$1755,Instructores!$A:$C,3,FALSE),"")</f>
        <v/>
      </c>
      <c r="K395" s="10">
        <f>IF('Pairings NB'!J1755=320,4,3)</f>
        <v>4</v>
      </c>
    </row>
    <row r="396" spans="1:11" x14ac:dyDescent="0.25">
      <c r="A396" s="10">
        <f>'Pairings NB'!B1757</f>
        <v>1713</v>
      </c>
      <c r="B396" s="10" t="str">
        <f>'Pairings NB'!C1757</f>
        <v>20/10/2026</v>
      </c>
      <c r="C396" s="10" t="str">
        <f>'Pairings NB'!D1757</f>
        <v>martes</v>
      </c>
      <c r="D396" s="10" t="str">
        <f>'Pairings NB'!E1757&amp;"/"&amp;'Pairings NB'!E1758</f>
        <v>2295/2294</v>
      </c>
      <c r="E396" s="10" t="str">
        <f>'Pairings NB'!F1757&amp;"-"&amp;'Pairings NB'!G1757&amp;"-"&amp;'Pairings NB'!F1757</f>
        <v>LIM-CJA-LIM</v>
      </c>
      <c r="F396" s="10" t="str">
        <f>IFERROR(VLOOKUP('Pairings NB'!$M$1755,Instructores!$A:$C,2,FALSE),"")</f>
        <v/>
      </c>
      <c r="G396" s="10">
        <f>'Pairings NB'!$M$1755</f>
        <v>0</v>
      </c>
      <c r="H396" s="10">
        <f>'Pairings NB'!$O$1755</f>
        <v>0</v>
      </c>
      <c r="I396" s="10">
        <f>'Pairings NB'!J1757</f>
        <v>320</v>
      </c>
      <c r="J396" s="10" t="str">
        <f>IFERROR(VLOOKUP('Pairings NB'!$M$1755,Instructores!$A:$C,3,FALSE),"")</f>
        <v/>
      </c>
      <c r="K396" s="10">
        <f>IF('Pairings NB'!J1757=320,4,3)</f>
        <v>4</v>
      </c>
    </row>
    <row r="397" spans="1:11" x14ac:dyDescent="0.25">
      <c r="A397" s="10">
        <f>'Pairings NB'!B1762</f>
        <v>1695</v>
      </c>
      <c r="B397" s="10" t="str">
        <f>'Pairings NB'!C1762</f>
        <v>20/10/2026</v>
      </c>
      <c r="C397" s="10" t="str">
        <f>'Pairings NB'!D1762</f>
        <v>martes</v>
      </c>
      <c r="D397" s="10" t="str">
        <f>'Pairings NB'!E1762&amp;"/"&amp;'Pairings NB'!E1763</f>
        <v>2075/2076</v>
      </c>
      <c r="E397" s="10" t="str">
        <f>'Pairings NB'!F1762&amp;"-"&amp;'Pairings NB'!G1762&amp;"-"&amp;'Pairings NB'!F1762</f>
        <v>LIM-CUZ-LIM</v>
      </c>
      <c r="F397" s="10" t="str">
        <f>IFERROR(VLOOKUP('Pairings NB'!$M$1762,Instructores!$A:$C,2,FALSE),"")</f>
        <v/>
      </c>
      <c r="G397" s="10">
        <f>'Pairings NB'!$M$1762</f>
        <v>0</v>
      </c>
      <c r="H397" s="10">
        <f>'Pairings NB'!$O$1762</f>
        <v>0</v>
      </c>
      <c r="I397" s="10">
        <f>'Pairings NB'!J1762</f>
        <v>319</v>
      </c>
      <c r="J397" s="10" t="str">
        <f>IFERROR(VLOOKUP('Pairings NB'!$M$1762,Instructores!$A:$C,3,FALSE),"")</f>
        <v/>
      </c>
      <c r="K397" s="10">
        <f>IF('Pairings NB'!J1762=320,4,3)</f>
        <v>3</v>
      </c>
    </row>
    <row r="398" spans="1:11" x14ac:dyDescent="0.25">
      <c r="A398" s="10">
        <f>'Pairings NB'!B1764</f>
        <v>1722</v>
      </c>
      <c r="B398" s="10" t="str">
        <f>'Pairings NB'!C1764</f>
        <v>20/10/2026</v>
      </c>
      <c r="C398" s="10" t="str">
        <f>'Pairings NB'!D1764</f>
        <v>martes</v>
      </c>
      <c r="D398" s="10" t="str">
        <f>'Pairings NB'!E1764&amp;"/"&amp;'Pairings NB'!E1765</f>
        <v>2297/2296</v>
      </c>
      <c r="E398" s="10" t="str">
        <f>'Pairings NB'!F1764&amp;"-"&amp;'Pairings NB'!G1764&amp;"-"&amp;'Pairings NB'!F1764</f>
        <v>LIM-CJA-LIM</v>
      </c>
      <c r="F398" s="10" t="str">
        <f>IFERROR(VLOOKUP('Pairings NB'!$M$1762,Instructores!$A:$C,2,FALSE),"")</f>
        <v/>
      </c>
      <c r="G398" s="10">
        <f>'Pairings NB'!$M$1762</f>
        <v>0</v>
      </c>
      <c r="H398" s="10">
        <f>'Pairings NB'!$O$1762</f>
        <v>0</v>
      </c>
      <c r="I398" s="10">
        <f>'Pairings NB'!J1764</f>
        <v>320</v>
      </c>
      <c r="J398" s="10" t="str">
        <f>IFERROR(VLOOKUP('Pairings NB'!$M$1762,Instructores!$A:$C,3,FALSE),"")</f>
        <v/>
      </c>
      <c r="K398" s="10">
        <f>IF('Pairings NB'!J1764=320,4,3)</f>
        <v>4</v>
      </c>
    </row>
    <row r="399" spans="1:11" x14ac:dyDescent="0.25">
      <c r="A399" s="10">
        <f>'Pairings NB'!B1769</f>
        <v>1697</v>
      </c>
      <c r="B399" s="10" t="str">
        <f>'Pairings NB'!C1769</f>
        <v>20/10/2026</v>
      </c>
      <c r="C399" s="10" t="str">
        <f>'Pairings NB'!D1769</f>
        <v>martes</v>
      </c>
      <c r="D399" s="10" t="str">
        <f>'Pairings NB'!E1769&amp;"/"&amp;'Pairings NB'!E1770</f>
        <v>2019/2038</v>
      </c>
      <c r="E399" s="10" t="str">
        <f>'Pairings NB'!F1769&amp;"-"&amp;'Pairings NB'!G1769&amp;"-"&amp;'Pairings NB'!F1769</f>
        <v>LIM-IQT-LIM</v>
      </c>
      <c r="F399" s="10" t="str">
        <f>IFERROR(VLOOKUP('Pairings NB'!$M$1769,Instructores!$A:$C,2,FALSE),"")</f>
        <v/>
      </c>
      <c r="G399" s="10">
        <f>'Pairings NB'!$M$1769</f>
        <v>0</v>
      </c>
      <c r="H399" s="10">
        <f>'Pairings NB'!$O$1769</f>
        <v>0</v>
      </c>
      <c r="I399" s="10">
        <f>'Pairings NB'!J1769</f>
        <v>319</v>
      </c>
      <c r="J399" s="10" t="str">
        <f>IFERROR(VLOOKUP('Pairings NB'!$M$1769,Instructores!$A:$C,3,FALSE),"")</f>
        <v/>
      </c>
      <c r="K399" s="10">
        <f>IF('Pairings NB'!J1769=320,4,3)</f>
        <v>3</v>
      </c>
    </row>
    <row r="400" spans="1:11" x14ac:dyDescent="0.25">
      <c r="A400" s="10">
        <f>'Pairings NB'!B1771</f>
        <v>1732</v>
      </c>
      <c r="B400" s="10" t="str">
        <f>'Pairings NB'!C1771</f>
        <v>20/10/2026</v>
      </c>
      <c r="C400" s="10" t="str">
        <f>'Pairings NB'!D1771</f>
        <v>martes</v>
      </c>
      <c r="D400" s="10" t="str">
        <f>'Pairings NB'!E1771&amp;"/"&amp;'Pairings NB'!E1772</f>
        <v>2115/2114</v>
      </c>
      <c r="E400" s="10" t="str">
        <f>'Pairings NB'!F1771&amp;"-"&amp;'Pairings NB'!G1771&amp;"-"&amp;'Pairings NB'!F1771</f>
        <v>LIM-AQP-LIM</v>
      </c>
      <c r="F400" s="10" t="str">
        <f>IFERROR(VLOOKUP('Pairings NB'!$M$1769,Instructores!$A:$C,2,FALSE),"")</f>
        <v/>
      </c>
      <c r="G400" s="10">
        <f>'Pairings NB'!$M$1769</f>
        <v>0</v>
      </c>
      <c r="H400" s="10">
        <f>'Pairings NB'!$O$1769</f>
        <v>0</v>
      </c>
      <c r="I400" s="10">
        <f>'Pairings NB'!J1771</f>
        <v>320</v>
      </c>
      <c r="J400" s="10" t="str">
        <f>IFERROR(VLOOKUP('Pairings NB'!$M$1769,Instructores!$A:$C,3,FALSE),"")</f>
        <v/>
      </c>
      <c r="K400" s="10">
        <f>IF('Pairings NB'!J1771=320,4,3)</f>
        <v>4</v>
      </c>
    </row>
    <row r="401" spans="1:11" x14ac:dyDescent="0.25">
      <c r="A401" s="10">
        <f>'Pairings NB'!B1776</f>
        <v>1699</v>
      </c>
      <c r="B401" s="10" t="str">
        <f>'Pairings NB'!C1776</f>
        <v>20/10/2026</v>
      </c>
      <c r="C401" s="10" t="str">
        <f>'Pairings NB'!D1776</f>
        <v>martes</v>
      </c>
      <c r="D401" s="10" t="str">
        <f>'Pairings NB'!E1776&amp;"/"&amp;'Pairings NB'!E1777</f>
        <v>2061/2062</v>
      </c>
      <c r="E401" s="10" t="str">
        <f>'Pairings NB'!F1776&amp;"-"&amp;'Pairings NB'!G1776&amp;"-"&amp;'Pairings NB'!F1776</f>
        <v>LIM-CUZ-LIM</v>
      </c>
      <c r="F401" s="10" t="str">
        <f>IFERROR(VLOOKUP('Pairings NB'!$M$1776,Instructores!$A:$C,2,FALSE),"")</f>
        <v/>
      </c>
      <c r="G401" s="10">
        <f>'Pairings NB'!$M$1776</f>
        <v>0</v>
      </c>
      <c r="H401" s="10">
        <f>'Pairings NB'!$O$1776</f>
        <v>0</v>
      </c>
      <c r="I401" s="10">
        <f>'Pairings NB'!J1776</f>
        <v>320</v>
      </c>
      <c r="J401" s="10" t="str">
        <f>IFERROR(VLOOKUP('Pairings NB'!$M$1776,Instructores!$A:$C,3,FALSE),"")</f>
        <v/>
      </c>
      <c r="K401" s="10">
        <f>IF('Pairings NB'!J1776=320,4,3)</f>
        <v>4</v>
      </c>
    </row>
    <row r="402" spans="1:11" x14ac:dyDescent="0.25">
      <c r="A402" s="10">
        <f>'Pairings NB'!B1778</f>
        <v>1730</v>
      </c>
      <c r="B402" s="10" t="str">
        <f>'Pairings NB'!C1778</f>
        <v>20/10/2026</v>
      </c>
      <c r="C402" s="10" t="str">
        <f>'Pairings NB'!D1778</f>
        <v>martes</v>
      </c>
      <c r="D402" s="10" t="str">
        <f>'Pairings NB'!E1778&amp;"/"&amp;'Pairings NB'!E1779</f>
        <v>2276/2277</v>
      </c>
      <c r="E402" s="10" t="str">
        <f>'Pairings NB'!F1778&amp;"-"&amp;'Pairings NB'!G1778&amp;"-"&amp;'Pairings NB'!F1778</f>
        <v>LIM-CUZ-LIM</v>
      </c>
      <c r="F402" s="10" t="str">
        <f>IFERROR(VLOOKUP('Pairings NB'!$M$1776,Instructores!$A:$C,2,FALSE),"")</f>
        <v/>
      </c>
      <c r="G402" s="10">
        <f>'Pairings NB'!$M$1776</f>
        <v>0</v>
      </c>
      <c r="H402" s="10">
        <f>'Pairings NB'!$O$1776</f>
        <v>0</v>
      </c>
      <c r="I402" s="10">
        <f>'Pairings NB'!J1778</f>
        <v>320</v>
      </c>
      <c r="J402" s="10" t="str">
        <f>IFERROR(VLOOKUP('Pairings NB'!$M$1776,Instructores!$A:$C,3,FALSE),"")</f>
        <v/>
      </c>
      <c r="K402" s="10">
        <f>IF('Pairings NB'!J1778=320,4,3)</f>
        <v>4</v>
      </c>
    </row>
    <row r="403" spans="1:11" x14ac:dyDescent="0.25">
      <c r="A403" s="10">
        <f>'Pairings NB'!B1783</f>
        <v>1702</v>
      </c>
      <c r="B403" s="10" t="str">
        <f>'Pairings NB'!C1783</f>
        <v>20/10/2026</v>
      </c>
      <c r="C403" s="10" t="str">
        <f>'Pairings NB'!D1783</f>
        <v>martes</v>
      </c>
      <c r="D403" s="10" t="str">
        <f>'Pairings NB'!E1783&amp;"/"&amp;'Pairings NB'!E1784</f>
        <v>2023/2024</v>
      </c>
      <c r="E403" s="10" t="str">
        <f>'Pairings NB'!F1783&amp;"-"&amp;'Pairings NB'!G1783&amp;"-"&amp;'Pairings NB'!F1783</f>
        <v>LIM-PEM-LIM</v>
      </c>
      <c r="F403" s="10" t="str">
        <f>IFERROR(VLOOKUP('Pairings NB'!$M$1783,Instructores!$A:$C,2,FALSE),"")</f>
        <v/>
      </c>
      <c r="G403" s="10">
        <f>'Pairings NB'!$M$1783</f>
        <v>0</v>
      </c>
      <c r="H403" s="10">
        <f>'Pairings NB'!$O$1783</f>
        <v>0</v>
      </c>
      <c r="I403" s="10">
        <f>'Pairings NB'!J1783</f>
        <v>320</v>
      </c>
      <c r="J403" s="10" t="str">
        <f>IFERROR(VLOOKUP('Pairings NB'!$M$1783,Instructores!$A:$C,3,FALSE),"")</f>
        <v/>
      </c>
      <c r="K403" s="10">
        <f>IF('Pairings NB'!J1783=320,4,3)</f>
        <v>4</v>
      </c>
    </row>
    <row r="404" spans="1:11" x14ac:dyDescent="0.25">
      <c r="A404" s="10">
        <f>'Pairings NB'!B1785</f>
        <v>1733</v>
      </c>
      <c r="B404" s="10" t="str">
        <f>'Pairings NB'!C1785</f>
        <v>20/10/2026</v>
      </c>
      <c r="C404" s="10" t="str">
        <f>'Pairings NB'!D1785</f>
        <v>martes</v>
      </c>
      <c r="D404" s="10" t="str">
        <f>'Pairings NB'!E1785&amp;"/"&amp;'Pairings NB'!E1786</f>
        <v>2115/2114</v>
      </c>
      <c r="E404" s="10" t="str">
        <f>'Pairings NB'!F1785&amp;"-"&amp;'Pairings NB'!G1785&amp;"-"&amp;'Pairings NB'!F1785</f>
        <v>LIM-AQP-LIM</v>
      </c>
      <c r="F404" s="10" t="str">
        <f>IFERROR(VLOOKUP('Pairings NB'!$M$1783,Instructores!$A:$C,2,FALSE),"")</f>
        <v/>
      </c>
      <c r="G404" s="10">
        <f>'Pairings NB'!$M$1783</f>
        <v>0</v>
      </c>
      <c r="H404" s="10">
        <f>'Pairings NB'!$O$1783</f>
        <v>0</v>
      </c>
      <c r="I404" s="10">
        <f>'Pairings NB'!J1785</f>
        <v>320</v>
      </c>
      <c r="J404" s="10" t="str">
        <f>IFERROR(VLOOKUP('Pairings NB'!$M$1783,Instructores!$A:$C,3,FALSE),"")</f>
        <v/>
      </c>
      <c r="K404" s="10">
        <f>IF('Pairings NB'!J1785=320,4,3)</f>
        <v>4</v>
      </c>
    </row>
    <row r="405" spans="1:11" x14ac:dyDescent="0.25">
      <c r="A405" s="10">
        <f>'Pairings NB'!B1790</f>
        <v>1705</v>
      </c>
      <c r="B405" s="10" t="str">
        <f>'Pairings NB'!C1790</f>
        <v>20/10/2026</v>
      </c>
      <c r="C405" s="10" t="str">
        <f>'Pairings NB'!D1790</f>
        <v>martes</v>
      </c>
      <c r="D405" s="10" t="str">
        <f>'Pairings NB'!E1790&amp;"/"&amp;'Pairings NB'!E1791</f>
        <v>2043/2044</v>
      </c>
      <c r="E405" s="10" t="str">
        <f>'Pairings NB'!F1790&amp;"-"&amp;'Pairings NB'!G1790&amp;"-"&amp;'Pairings NB'!F1790</f>
        <v>LIM-AQP-LIM</v>
      </c>
      <c r="F405" s="10" t="str">
        <f>IFERROR(VLOOKUP('Pairings NB'!$M$1790,Instructores!$A:$C,2,FALSE),"")</f>
        <v/>
      </c>
      <c r="G405" s="10">
        <f>'Pairings NB'!$M$1790</f>
        <v>0</v>
      </c>
      <c r="H405" s="10">
        <f>'Pairings NB'!$O$1790</f>
        <v>0</v>
      </c>
      <c r="I405" s="10">
        <f>'Pairings NB'!J1790</f>
        <v>320</v>
      </c>
      <c r="J405" s="10" t="str">
        <f>IFERROR(VLOOKUP('Pairings NB'!$M$1790,Instructores!$A:$C,3,FALSE),"")</f>
        <v/>
      </c>
      <c r="K405" s="10">
        <f>IF('Pairings NB'!J1790=320,4,3)</f>
        <v>4</v>
      </c>
    </row>
    <row r="406" spans="1:11" x14ac:dyDescent="0.25">
      <c r="A406" s="10">
        <f>'Pairings NB'!B1795</f>
        <v>1706</v>
      </c>
      <c r="B406" s="10" t="str">
        <f>'Pairings NB'!C1795</f>
        <v>20/10/2026</v>
      </c>
      <c r="C406" s="10" t="str">
        <f>'Pairings NB'!D1795</f>
        <v>martes</v>
      </c>
      <c r="D406" s="10" t="str">
        <f>'Pairings NB'!E1795&amp;"/"&amp;'Pairings NB'!E1796</f>
        <v>2308/2309</v>
      </c>
      <c r="E406" s="10" t="str">
        <f>'Pairings NB'!F1795&amp;"-"&amp;'Pairings NB'!G1795&amp;"-"&amp;'Pairings NB'!F1795</f>
        <v>LIM-PIU-LIM</v>
      </c>
      <c r="F406" s="10" t="str">
        <f>IFERROR(VLOOKUP('Pairings NB'!$M$1795,Instructores!$A:$C,2,FALSE),"")</f>
        <v/>
      </c>
      <c r="G406" s="10">
        <f>'Pairings NB'!$M$1795</f>
        <v>0</v>
      </c>
      <c r="H406" s="10">
        <f>'Pairings NB'!$O$1795</f>
        <v>0</v>
      </c>
      <c r="I406" s="10">
        <f>'Pairings NB'!J1795</f>
        <v>320</v>
      </c>
      <c r="J406" s="10" t="str">
        <f>IFERROR(VLOOKUP('Pairings NB'!$M$1795,Instructores!$A:$C,3,FALSE),"")</f>
        <v/>
      </c>
      <c r="K406" s="10">
        <f>IF('Pairings NB'!J1795=320,4,3)</f>
        <v>4</v>
      </c>
    </row>
    <row r="407" spans="1:11" x14ac:dyDescent="0.25">
      <c r="A407" s="10">
        <f>'Pairings NB'!B1800</f>
        <v>1715</v>
      </c>
      <c r="B407" s="10" t="str">
        <f>'Pairings NB'!C1800</f>
        <v>20/10/2026</v>
      </c>
      <c r="C407" s="10" t="str">
        <f>'Pairings NB'!D1800</f>
        <v>martes</v>
      </c>
      <c r="D407" s="10" t="str">
        <f>'Pairings NB'!E1800&amp;"/"&amp;'Pairings NB'!E1801</f>
        <v>2154/2155</v>
      </c>
      <c r="E407" s="10" t="str">
        <f>'Pairings NB'!F1800&amp;"-"&amp;'Pairings NB'!G1800&amp;"-"&amp;'Pairings NB'!F1800</f>
        <v>LIM-CUZ-LIM</v>
      </c>
      <c r="F407" s="10" t="str">
        <f>IFERROR(VLOOKUP('Pairings NB'!$M$1800,Instructores!$A:$C,2,FALSE),"")</f>
        <v/>
      </c>
      <c r="G407" s="10">
        <f>'Pairings NB'!$M$1800</f>
        <v>0</v>
      </c>
      <c r="H407" s="10">
        <f>'Pairings NB'!$O$1800</f>
        <v>0</v>
      </c>
      <c r="I407" s="10">
        <f>'Pairings NB'!J1800</f>
        <v>319</v>
      </c>
      <c r="J407" s="10" t="str">
        <f>IFERROR(VLOOKUP('Pairings NB'!$M$1800,Instructores!$A:$C,3,FALSE),"")</f>
        <v/>
      </c>
      <c r="K407" s="10">
        <f>IF('Pairings NB'!J1800=320,4,3)</f>
        <v>3</v>
      </c>
    </row>
    <row r="408" spans="1:11" x14ac:dyDescent="0.25">
      <c r="A408" s="10">
        <f>'Pairings NB'!B1805</f>
        <v>1716</v>
      </c>
      <c r="B408" s="10" t="str">
        <f>'Pairings NB'!C1805</f>
        <v>20/10/2026</v>
      </c>
      <c r="C408" s="10" t="str">
        <f>'Pairings NB'!D1805</f>
        <v>martes</v>
      </c>
      <c r="D408" s="10" t="str">
        <f>'Pairings NB'!E1805&amp;"/"&amp;'Pairings NB'!E1806</f>
        <v>2264/2265</v>
      </c>
      <c r="E408" s="10" t="str">
        <f>'Pairings NB'!F1805&amp;"-"&amp;'Pairings NB'!G1805&amp;"-"&amp;'Pairings NB'!F1805</f>
        <v>LIM-PEM-LIM</v>
      </c>
      <c r="F408" s="10" t="str">
        <f>IFERROR(VLOOKUP('Pairings NB'!$M$1805,Instructores!$A:$C,2,FALSE),"")</f>
        <v/>
      </c>
      <c r="G408" s="10">
        <f>'Pairings NB'!$M$1805</f>
        <v>0</v>
      </c>
      <c r="H408" s="10">
        <f>'Pairings NB'!$O$1805</f>
        <v>0</v>
      </c>
      <c r="I408" s="10">
        <f>'Pairings NB'!J1805</f>
        <v>320</v>
      </c>
      <c r="J408" s="10" t="str">
        <f>IFERROR(VLOOKUP('Pairings NB'!$M$1805,Instructores!$A:$C,3,FALSE),"")</f>
        <v/>
      </c>
      <c r="K408" s="10">
        <f>IF('Pairings NB'!J1805=320,4,3)</f>
        <v>4</v>
      </c>
    </row>
    <row r="409" spans="1:11" x14ac:dyDescent="0.25">
      <c r="A409" s="10">
        <f>'Pairings NB'!B1810</f>
        <v>1717</v>
      </c>
      <c r="B409" s="10" t="str">
        <f>'Pairings NB'!C1810</f>
        <v>20/10/2026</v>
      </c>
      <c r="C409" s="10" t="str">
        <f>'Pairings NB'!D1810</f>
        <v>martes</v>
      </c>
      <c r="D409" s="10" t="str">
        <f>'Pairings NB'!E1810&amp;"/"&amp;'Pairings NB'!E1811</f>
        <v>2264/2265</v>
      </c>
      <c r="E409" s="10" t="str">
        <f>'Pairings NB'!F1810&amp;"-"&amp;'Pairings NB'!G1810&amp;"-"&amp;'Pairings NB'!F1810</f>
        <v>LIM-PEM-LIM</v>
      </c>
      <c r="F409" s="10" t="str">
        <f>IFERROR(VLOOKUP('Pairings NB'!$M$1810,Instructores!$A:$C,2,FALSE),"")</f>
        <v/>
      </c>
      <c r="G409" s="10">
        <f>'Pairings NB'!$M$1810</f>
        <v>0</v>
      </c>
      <c r="H409" s="10">
        <f>'Pairings NB'!$O$1810</f>
        <v>0</v>
      </c>
      <c r="I409" s="10">
        <f>'Pairings NB'!J1810</f>
        <v>320</v>
      </c>
      <c r="J409" s="10" t="str">
        <f>IFERROR(VLOOKUP('Pairings NB'!$M$1810,Instructores!$A:$C,3,FALSE),"")</f>
        <v/>
      </c>
      <c r="K409" s="10">
        <f>IF('Pairings NB'!J1810=320,4,3)</f>
        <v>4</v>
      </c>
    </row>
    <row r="410" spans="1:11" x14ac:dyDescent="0.25">
      <c r="A410" s="10">
        <f>'Pairings NB'!B1815</f>
        <v>1718</v>
      </c>
      <c r="B410" s="10" t="str">
        <f>'Pairings NB'!C1815</f>
        <v>20/10/2026</v>
      </c>
      <c r="C410" s="10" t="str">
        <f>'Pairings NB'!D1815</f>
        <v>martes</v>
      </c>
      <c r="D410" s="10" t="str">
        <f>'Pairings NB'!E1815&amp;"/"&amp;'Pairings NB'!E1816</f>
        <v>2338/2339</v>
      </c>
      <c r="E410" s="10" t="str">
        <f>'Pairings NB'!F1815&amp;"-"&amp;'Pairings NB'!G1815&amp;"-"&amp;'Pairings NB'!F1815</f>
        <v>LIM-PIU-LIM</v>
      </c>
      <c r="F410" s="10" t="str">
        <f>IFERROR(VLOOKUP('Pairings NB'!$M$1815,Instructores!$A:$C,2,FALSE),"")</f>
        <v/>
      </c>
      <c r="G410" s="10">
        <f>'Pairings NB'!$M$1815</f>
        <v>0</v>
      </c>
      <c r="H410" s="10">
        <f>'Pairings NB'!$O$1815</f>
        <v>0</v>
      </c>
      <c r="I410" s="10">
        <f>'Pairings NB'!J1815</f>
        <v>319</v>
      </c>
      <c r="J410" s="10" t="str">
        <f>IFERROR(VLOOKUP('Pairings NB'!$M$1815,Instructores!$A:$C,3,FALSE),"")</f>
        <v/>
      </c>
      <c r="K410" s="10">
        <f>IF('Pairings NB'!J1815=320,4,3)</f>
        <v>3</v>
      </c>
    </row>
    <row r="411" spans="1:11" x14ac:dyDescent="0.25">
      <c r="A411" s="10">
        <f>'Pairings NB'!B1820</f>
        <v>1719</v>
      </c>
      <c r="B411" s="10" t="str">
        <f>'Pairings NB'!C1820</f>
        <v>20/10/2026</v>
      </c>
      <c r="C411" s="10" t="str">
        <f>'Pairings NB'!D1820</f>
        <v>martes</v>
      </c>
      <c r="D411" s="10" t="str">
        <f>'Pairings NB'!E1820&amp;"/"&amp;'Pairings NB'!E1821</f>
        <v>2113/2112</v>
      </c>
      <c r="E411" s="10" t="str">
        <f>'Pairings NB'!F1820&amp;"-"&amp;'Pairings NB'!G1820&amp;"-"&amp;'Pairings NB'!F1820</f>
        <v>LIM-AQP-LIM</v>
      </c>
      <c r="F411" s="10" t="str">
        <f>IFERROR(VLOOKUP('Pairings NB'!$M$1820,Instructores!$A:$C,2,FALSE),"")</f>
        <v/>
      </c>
      <c r="G411" s="10">
        <f>'Pairings NB'!$M$1820</f>
        <v>0</v>
      </c>
      <c r="H411" s="10">
        <f>'Pairings NB'!$O$1820</f>
        <v>0</v>
      </c>
      <c r="I411" s="10">
        <f>'Pairings NB'!J1820</f>
        <v>320</v>
      </c>
      <c r="J411" s="10" t="str">
        <f>IFERROR(VLOOKUP('Pairings NB'!$M$1820,Instructores!$A:$C,3,FALSE),"")</f>
        <v/>
      </c>
      <c r="K411" s="10">
        <f>IF('Pairings NB'!J1820=320,4,3)</f>
        <v>4</v>
      </c>
    </row>
    <row r="412" spans="1:11" x14ac:dyDescent="0.25">
      <c r="A412" s="10">
        <f>'Pairings NB'!B1825</f>
        <v>1720</v>
      </c>
      <c r="B412" s="10" t="str">
        <f>'Pairings NB'!C1825</f>
        <v>20/10/2026</v>
      </c>
      <c r="C412" s="10" t="str">
        <f>'Pairings NB'!D1825</f>
        <v>martes</v>
      </c>
      <c r="D412" s="10" t="str">
        <f>'Pairings NB'!E1825&amp;"/"&amp;'Pairings NB'!E1826</f>
        <v>2113/2112</v>
      </c>
      <c r="E412" s="10" t="str">
        <f>'Pairings NB'!F1825&amp;"-"&amp;'Pairings NB'!G1825&amp;"-"&amp;'Pairings NB'!F1825</f>
        <v>LIM-AQP-LIM</v>
      </c>
      <c r="F412" s="10" t="str">
        <f>IFERROR(VLOOKUP('Pairings NB'!$M$1825,Instructores!$A:$C,2,FALSE),"")</f>
        <v/>
      </c>
      <c r="G412" s="10">
        <f>'Pairings NB'!$M$1825</f>
        <v>0</v>
      </c>
      <c r="H412" s="10">
        <f>'Pairings NB'!$O$1825</f>
        <v>0</v>
      </c>
      <c r="I412" s="10">
        <f>'Pairings NB'!J1825</f>
        <v>320</v>
      </c>
      <c r="J412" s="10" t="str">
        <f>IFERROR(VLOOKUP('Pairings NB'!$M$1825,Instructores!$A:$C,3,FALSE),"")</f>
        <v/>
      </c>
      <c r="K412" s="10">
        <f>IF('Pairings NB'!J1825=320,4,3)</f>
        <v>4</v>
      </c>
    </row>
    <row r="413" spans="1:11" x14ac:dyDescent="0.25">
      <c r="A413" s="10">
        <f>'Pairings NB'!B1830</f>
        <v>1723</v>
      </c>
      <c r="B413" s="10" t="str">
        <f>'Pairings NB'!C1830</f>
        <v>20/10/2026</v>
      </c>
      <c r="C413" s="10" t="str">
        <f>'Pairings NB'!D1830</f>
        <v>martes</v>
      </c>
      <c r="D413" s="10" t="str">
        <f>'Pairings NB'!E1830&amp;"/"&amp;'Pairings NB'!E1831</f>
        <v>2360/2361</v>
      </c>
      <c r="E413" s="10" t="str">
        <f>'Pairings NB'!F1830&amp;"-"&amp;'Pairings NB'!G1830&amp;"-"&amp;'Pairings NB'!F1830</f>
        <v>LIM-PCL-LIM</v>
      </c>
      <c r="F413" s="10" t="str">
        <f>IFERROR(VLOOKUP('Pairings NB'!$M$1830,Instructores!$A:$C,2,FALSE),"")</f>
        <v/>
      </c>
      <c r="G413" s="10">
        <f>'Pairings NB'!$M$1830</f>
        <v>0</v>
      </c>
      <c r="H413" s="10">
        <f>'Pairings NB'!$O$1830</f>
        <v>0</v>
      </c>
      <c r="I413" s="10">
        <f>'Pairings NB'!J1830</f>
        <v>320</v>
      </c>
      <c r="J413" s="10" t="str">
        <f>IFERROR(VLOOKUP('Pairings NB'!$M$1830,Instructores!$A:$C,3,FALSE),"")</f>
        <v/>
      </c>
      <c r="K413" s="10">
        <f>IF('Pairings NB'!J1830=320,4,3)</f>
        <v>4</v>
      </c>
    </row>
    <row r="414" spans="1:11" x14ac:dyDescent="0.25">
      <c r="A414" s="10">
        <f>'Pairings NB'!B1835</f>
        <v>1724</v>
      </c>
      <c r="B414" s="10" t="str">
        <f>'Pairings NB'!C1835</f>
        <v>20/10/2026</v>
      </c>
      <c r="C414" s="10" t="str">
        <f>'Pairings NB'!D1835</f>
        <v>martes</v>
      </c>
      <c r="D414" s="10" t="str">
        <f>'Pairings NB'!E1835&amp;"/"&amp;'Pairings NB'!E1836</f>
        <v>2312/2313</v>
      </c>
      <c r="E414" s="10" t="str">
        <f>'Pairings NB'!F1835&amp;"-"&amp;'Pairings NB'!G1835&amp;"-"&amp;'Pairings NB'!F1835</f>
        <v>LIM-CIX-LIM</v>
      </c>
      <c r="F414" s="10" t="str">
        <f>IFERROR(VLOOKUP('Pairings NB'!$M$1835,Instructores!$A:$C,2,FALSE),"")</f>
        <v/>
      </c>
      <c r="G414" s="10">
        <f>'Pairings NB'!$M$1835</f>
        <v>0</v>
      </c>
      <c r="H414" s="10">
        <f>'Pairings NB'!$O$1835</f>
        <v>0</v>
      </c>
      <c r="I414" s="10">
        <f>'Pairings NB'!J1835</f>
        <v>320</v>
      </c>
      <c r="J414" s="10" t="str">
        <f>IFERROR(VLOOKUP('Pairings NB'!$M$1835,Instructores!$A:$C,3,FALSE),"")</f>
        <v/>
      </c>
      <c r="K414" s="10">
        <f>IF('Pairings NB'!J1835=320,4,3)</f>
        <v>4</v>
      </c>
    </row>
    <row r="415" spans="1:11" x14ac:dyDescent="0.25">
      <c r="A415" s="10">
        <f>'Pairings NB'!B1840</f>
        <v>1725</v>
      </c>
      <c r="B415" s="10" t="str">
        <f>'Pairings NB'!C1840</f>
        <v>20/10/2026</v>
      </c>
      <c r="C415" s="10" t="str">
        <f>'Pairings NB'!D1840</f>
        <v>martes</v>
      </c>
      <c r="D415" s="10" t="str">
        <f>'Pairings NB'!E1840&amp;"/"&amp;'Pairings NB'!E1841</f>
        <v>2312/2313</v>
      </c>
      <c r="E415" s="10" t="str">
        <f>'Pairings NB'!F1840&amp;"-"&amp;'Pairings NB'!G1840&amp;"-"&amp;'Pairings NB'!F1840</f>
        <v>LIM-CIX-LIM</v>
      </c>
      <c r="F415" s="10" t="str">
        <f>IFERROR(VLOOKUP('Pairings NB'!$M$1840,Instructores!$A:$C,2,FALSE),"")</f>
        <v/>
      </c>
      <c r="G415" s="10">
        <f>'Pairings NB'!$M$1840</f>
        <v>0</v>
      </c>
      <c r="H415" s="10">
        <f>'Pairings NB'!$O$1840</f>
        <v>0</v>
      </c>
      <c r="I415" s="10">
        <f>'Pairings NB'!J1840</f>
        <v>320</v>
      </c>
      <c r="J415" s="10" t="str">
        <f>IFERROR(VLOOKUP('Pairings NB'!$M$1840,Instructores!$A:$C,3,FALSE),"")</f>
        <v/>
      </c>
      <c r="K415" s="10">
        <f>IF('Pairings NB'!J1840=320,4,3)</f>
        <v>4</v>
      </c>
    </row>
    <row r="416" spans="1:11" x14ac:dyDescent="0.25">
      <c r="A416" s="10">
        <f>'Pairings NB'!B1845</f>
        <v>1726</v>
      </c>
      <c r="B416" s="10" t="str">
        <f>'Pairings NB'!C1845</f>
        <v>20/10/2026</v>
      </c>
      <c r="C416" s="10" t="str">
        <f>'Pairings NB'!D1845</f>
        <v>martes</v>
      </c>
      <c r="D416" s="10" t="str">
        <f>'Pairings NB'!E1845&amp;"/"&amp;'Pairings NB'!E1846</f>
        <v>2301/2300</v>
      </c>
      <c r="E416" s="10" t="str">
        <f>'Pairings NB'!F1845&amp;"-"&amp;'Pairings NB'!G1845&amp;"-"&amp;'Pairings NB'!F1845</f>
        <v>LIM-TPP-LIM</v>
      </c>
      <c r="F416" s="10" t="str">
        <f>IFERROR(VLOOKUP('Pairings NB'!$M$1845,Instructores!$A:$C,2,FALSE),"")</f>
        <v/>
      </c>
      <c r="G416" s="10">
        <f>'Pairings NB'!$M$1845</f>
        <v>0</v>
      </c>
      <c r="H416" s="10">
        <f>'Pairings NB'!$O$1845</f>
        <v>0</v>
      </c>
      <c r="I416" s="10">
        <f>'Pairings NB'!J1845</f>
        <v>320</v>
      </c>
      <c r="J416" s="10" t="str">
        <f>IFERROR(VLOOKUP('Pairings NB'!$M$1845,Instructores!$A:$C,3,FALSE),"")</f>
        <v/>
      </c>
      <c r="K416" s="10">
        <f>IF('Pairings NB'!J1845=320,4,3)</f>
        <v>4</v>
      </c>
    </row>
    <row r="417" spans="1:11" x14ac:dyDescent="0.25">
      <c r="A417" s="10">
        <f>'Pairings NB'!B1850</f>
        <v>1731</v>
      </c>
      <c r="B417" s="10" t="str">
        <f>'Pairings NB'!C1850</f>
        <v>20/10/2026</v>
      </c>
      <c r="C417" s="10" t="str">
        <f>'Pairings NB'!D1850</f>
        <v>martes</v>
      </c>
      <c r="D417" s="10" t="str">
        <f>'Pairings NB'!E1850&amp;"/"&amp;'Pairings NB'!E1851</f>
        <v>2276/2277</v>
      </c>
      <c r="E417" s="10" t="str">
        <f>'Pairings NB'!F1850&amp;"-"&amp;'Pairings NB'!G1850&amp;"-"&amp;'Pairings NB'!F1850</f>
        <v>LIM-CUZ-LIM</v>
      </c>
      <c r="F417" s="10" t="str">
        <f>IFERROR(VLOOKUP('Pairings NB'!$M$1850,Instructores!$A:$C,2,FALSE),"")</f>
        <v/>
      </c>
      <c r="G417" s="10">
        <f>'Pairings NB'!$M$1850</f>
        <v>0</v>
      </c>
      <c r="H417" s="10">
        <f>'Pairings NB'!$O$1850</f>
        <v>0</v>
      </c>
      <c r="I417" s="10">
        <f>'Pairings NB'!J1850</f>
        <v>320</v>
      </c>
      <c r="J417" s="10" t="str">
        <f>IFERROR(VLOOKUP('Pairings NB'!$M$1850,Instructores!$A:$C,3,FALSE),"")</f>
        <v/>
      </c>
      <c r="K417" s="10">
        <f>IF('Pairings NB'!J1850=320,4,3)</f>
        <v>4</v>
      </c>
    </row>
    <row r="418" spans="1:11" x14ac:dyDescent="0.25">
      <c r="A418" s="10">
        <f>'Pairings NB'!B1855</f>
        <v>1734</v>
      </c>
      <c r="B418" s="10" t="str">
        <f>'Pairings NB'!C1855</f>
        <v>20/10/2026</v>
      </c>
      <c r="C418" s="10" t="str">
        <f>'Pairings NB'!D1855</f>
        <v>martes</v>
      </c>
      <c r="D418" s="10" t="str">
        <f>'Pairings NB'!E1855&amp;"/"&amp;'Pairings NB'!E1856</f>
        <v>2310/2311</v>
      </c>
      <c r="E418" s="10" t="str">
        <f>'Pairings NB'!F1855&amp;"-"&amp;'Pairings NB'!G1855&amp;"-"&amp;'Pairings NB'!F1855</f>
        <v>LIM-CIX-LIM</v>
      </c>
      <c r="F418" s="10" t="str">
        <f>IFERROR(VLOOKUP('Pairings NB'!$M$1855,Instructores!$A:$C,2,FALSE),"")</f>
        <v/>
      </c>
      <c r="G418" s="10">
        <f>'Pairings NB'!$M$1855</f>
        <v>0</v>
      </c>
      <c r="H418" s="10">
        <f>'Pairings NB'!$O$1855</f>
        <v>0</v>
      </c>
      <c r="I418" s="10">
        <f>'Pairings NB'!J1855</f>
        <v>320</v>
      </c>
      <c r="J418" s="10" t="str">
        <f>IFERROR(VLOOKUP('Pairings NB'!$M$1855,Instructores!$A:$C,3,FALSE),"")</f>
        <v/>
      </c>
      <c r="K418" s="10">
        <f>IF('Pairings NB'!J1855=320,4,3)</f>
        <v>4</v>
      </c>
    </row>
    <row r="419" spans="1:11" x14ac:dyDescent="0.25">
      <c r="A419" s="10">
        <f>'Pairings NB'!B1860</f>
        <v>1776</v>
      </c>
      <c r="B419" s="10" t="str">
        <f>'Pairings NB'!C1860</f>
        <v>21/10/2026</v>
      </c>
      <c r="C419" s="10" t="str">
        <f>'Pairings NB'!D1860</f>
        <v>miércoles</v>
      </c>
      <c r="D419" s="10" t="str">
        <f>'Pairings NB'!E1860&amp;"/"&amp;'Pairings NB'!E1861</f>
        <v>2007/2008</v>
      </c>
      <c r="E419" s="10" t="str">
        <f>'Pairings NB'!F1860&amp;"-"&amp;'Pairings NB'!G1860&amp;"-"&amp;'Pairings NB'!F1860</f>
        <v>LIM-CUZ-LIM</v>
      </c>
      <c r="F419" s="10" t="str">
        <f>IFERROR(VLOOKUP('Pairings NB'!$M$1860,Instructores!$A:$C,2,FALSE),"")</f>
        <v/>
      </c>
      <c r="G419" s="10">
        <f>'Pairings NB'!$M$1860</f>
        <v>0</v>
      </c>
      <c r="H419" s="10">
        <f>'Pairings NB'!$O$1860</f>
        <v>0</v>
      </c>
      <c r="I419" s="10">
        <f>'Pairings NB'!J1860</f>
        <v>320</v>
      </c>
      <c r="J419" s="10" t="str">
        <f>IFERROR(VLOOKUP('Pairings NB'!$M$1860,Instructores!$A:$C,3,FALSE),"")</f>
        <v/>
      </c>
      <c r="K419" s="10">
        <f>IF('Pairings NB'!J1860=320,4,3)</f>
        <v>4</v>
      </c>
    </row>
    <row r="420" spans="1:11" x14ac:dyDescent="0.25">
      <c r="A420" s="10">
        <f>'Pairings NB'!B1862</f>
        <v>1793</v>
      </c>
      <c r="B420" s="10" t="str">
        <f>'Pairings NB'!C1862</f>
        <v>21/10/2026</v>
      </c>
      <c r="C420" s="10" t="str">
        <f>'Pairings NB'!D1862</f>
        <v>miércoles</v>
      </c>
      <c r="D420" s="10" t="str">
        <f>'Pairings NB'!E1862&amp;"/"&amp;'Pairings NB'!E1863</f>
        <v>2196/2197</v>
      </c>
      <c r="E420" s="10" t="str">
        <f>'Pairings NB'!F1862&amp;"-"&amp;'Pairings NB'!G1862&amp;"-"&amp;'Pairings NB'!F1862</f>
        <v>LIM-PIU-LIM</v>
      </c>
      <c r="F420" s="10" t="str">
        <f>IFERROR(VLOOKUP('Pairings NB'!$M$1860,Instructores!$A:$C,2,FALSE),"")</f>
        <v/>
      </c>
      <c r="G420" s="10">
        <f>'Pairings NB'!$M$1860</f>
        <v>0</v>
      </c>
      <c r="H420" s="10">
        <f>'Pairings NB'!$O$1860</f>
        <v>0</v>
      </c>
      <c r="I420" s="10">
        <f>'Pairings NB'!J1862</f>
        <v>320</v>
      </c>
      <c r="J420" s="10" t="str">
        <f>IFERROR(VLOOKUP('Pairings NB'!$M$1860,Instructores!$A:$C,3,FALSE),"")</f>
        <v/>
      </c>
      <c r="K420" s="10">
        <f>IF('Pairings NB'!J1862=320,4,3)</f>
        <v>4</v>
      </c>
    </row>
    <row r="421" spans="1:11" x14ac:dyDescent="0.25">
      <c r="A421" s="10">
        <f>'Pairings NB'!B1867</f>
        <v>1780</v>
      </c>
      <c r="B421" s="10" t="str">
        <f>'Pairings NB'!C1867</f>
        <v>21/10/2026</v>
      </c>
      <c r="C421" s="10" t="str">
        <f>'Pairings NB'!D1867</f>
        <v>miércoles</v>
      </c>
      <c r="D421" s="10" t="str">
        <f>'Pairings NB'!E1867&amp;"/"&amp;'Pairings NB'!E1868</f>
        <v>2299/2298</v>
      </c>
      <c r="E421" s="10" t="str">
        <f>'Pairings NB'!F1867&amp;"-"&amp;'Pairings NB'!G1867&amp;"-"&amp;'Pairings NB'!F1867</f>
        <v>LIM-CJA-LIM</v>
      </c>
      <c r="F421" s="10" t="str">
        <f>IFERROR(VLOOKUP('Pairings NB'!$M$1867,Instructores!$A:$C,2,FALSE),"")</f>
        <v/>
      </c>
      <c r="G421" s="10">
        <f>'Pairings NB'!$M$1867</f>
        <v>0</v>
      </c>
      <c r="H421" s="10">
        <f>'Pairings NB'!$O$1867</f>
        <v>0</v>
      </c>
      <c r="I421" s="10">
        <f>'Pairings NB'!J1867</f>
        <v>319</v>
      </c>
      <c r="J421" s="10" t="str">
        <f>IFERROR(VLOOKUP('Pairings NB'!$M$1867,Instructores!$A:$C,3,FALSE),"")</f>
        <v/>
      </c>
      <c r="K421" s="10">
        <f>IF('Pairings NB'!J1867=320,4,3)</f>
        <v>3</v>
      </c>
    </row>
    <row r="422" spans="1:11" x14ac:dyDescent="0.25">
      <c r="A422" s="10">
        <f>'Pairings NB'!B1869</f>
        <v>1808</v>
      </c>
      <c r="B422" s="10" t="str">
        <f>'Pairings NB'!C1869</f>
        <v>21/10/2026</v>
      </c>
      <c r="C422" s="10" t="str">
        <f>'Pairings NB'!D1869</f>
        <v>miércoles</v>
      </c>
      <c r="D422" s="10" t="str">
        <f>'Pairings NB'!E1869&amp;"/"&amp;'Pairings NB'!E1870</f>
        <v>2127/2026</v>
      </c>
      <c r="E422" s="10" t="str">
        <f>'Pairings NB'!F1869&amp;"-"&amp;'Pairings NB'!G1869&amp;"-"&amp;'Pairings NB'!F1869</f>
        <v>LIM-CUZ-LIM</v>
      </c>
      <c r="F422" s="10" t="str">
        <f>IFERROR(VLOOKUP('Pairings NB'!$M$1867,Instructores!$A:$C,2,FALSE),"")</f>
        <v/>
      </c>
      <c r="G422" s="10">
        <f>'Pairings NB'!$M$1867</f>
        <v>0</v>
      </c>
      <c r="H422" s="10">
        <f>'Pairings NB'!$O$1867</f>
        <v>0</v>
      </c>
      <c r="I422" s="10">
        <f>'Pairings NB'!J1869</f>
        <v>320</v>
      </c>
      <c r="J422" s="10" t="str">
        <f>IFERROR(VLOOKUP('Pairings NB'!$M$1867,Instructores!$A:$C,3,FALSE),"")</f>
        <v/>
      </c>
      <c r="K422" s="10">
        <f>IF('Pairings NB'!J1869=320,4,3)</f>
        <v>4</v>
      </c>
    </row>
    <row r="423" spans="1:11" x14ac:dyDescent="0.25">
      <c r="A423" s="10">
        <f>'Pairings NB'!B1874</f>
        <v>1781</v>
      </c>
      <c r="B423" s="10" t="str">
        <f>'Pairings NB'!C1874</f>
        <v>21/10/2026</v>
      </c>
      <c r="C423" s="10" t="str">
        <f>'Pairings NB'!D1874</f>
        <v>miércoles</v>
      </c>
      <c r="D423" s="10" t="str">
        <f>'Pairings NB'!E1874&amp;"/"&amp;'Pairings NB'!E1875</f>
        <v>2019/2038</v>
      </c>
      <c r="E423" s="10" t="str">
        <f>'Pairings NB'!F1874&amp;"-"&amp;'Pairings NB'!G1874&amp;"-"&amp;'Pairings NB'!F1874</f>
        <v>LIM-IQT-LIM</v>
      </c>
      <c r="F423" s="10" t="str">
        <f>IFERROR(VLOOKUP('Pairings NB'!$M$1874,Instructores!$A:$C,2,FALSE),"")</f>
        <v/>
      </c>
      <c r="G423" s="10">
        <f>'Pairings NB'!$M$1874</f>
        <v>0</v>
      </c>
      <c r="H423" s="10">
        <f>'Pairings NB'!$O$1874</f>
        <v>0</v>
      </c>
      <c r="I423" s="10">
        <f>'Pairings NB'!J1874</f>
        <v>320</v>
      </c>
      <c r="J423" s="10" t="str">
        <f>IFERROR(VLOOKUP('Pairings NB'!$M$1874,Instructores!$A:$C,3,FALSE),"")</f>
        <v/>
      </c>
      <c r="K423" s="10">
        <f>IF('Pairings NB'!J1874=320,4,3)</f>
        <v>4</v>
      </c>
    </row>
    <row r="424" spans="1:11" x14ac:dyDescent="0.25">
      <c r="A424" s="10">
        <f>'Pairings NB'!B1876</f>
        <v>1812</v>
      </c>
      <c r="B424" s="10" t="str">
        <f>'Pairings NB'!C1876</f>
        <v>21/10/2026</v>
      </c>
      <c r="C424" s="10" t="str">
        <f>'Pairings NB'!D1876</f>
        <v>miércoles</v>
      </c>
      <c r="D424" s="10" t="str">
        <f>'Pairings NB'!E1876&amp;"/"&amp;'Pairings NB'!E1877</f>
        <v>2304/2305</v>
      </c>
      <c r="E424" s="10" t="str">
        <f>'Pairings NB'!F1876&amp;"-"&amp;'Pairings NB'!G1876&amp;"-"&amp;'Pairings NB'!F1876</f>
        <v>LIM-PIU-LIM</v>
      </c>
      <c r="F424" s="10" t="str">
        <f>IFERROR(VLOOKUP('Pairings NB'!$M$1874,Instructores!$A:$C,2,FALSE),"")</f>
        <v/>
      </c>
      <c r="G424" s="10">
        <f>'Pairings NB'!$M$1874</f>
        <v>0</v>
      </c>
      <c r="H424" s="10">
        <f>'Pairings NB'!$O$1874</f>
        <v>0</v>
      </c>
      <c r="I424" s="10">
        <f>'Pairings NB'!J1876</f>
        <v>319</v>
      </c>
      <c r="J424" s="10" t="str">
        <f>IFERROR(VLOOKUP('Pairings NB'!$M$1874,Instructores!$A:$C,3,FALSE),"")</f>
        <v/>
      </c>
      <c r="K424" s="10">
        <f>IF('Pairings NB'!J1876=320,4,3)</f>
        <v>3</v>
      </c>
    </row>
    <row r="425" spans="1:11" x14ac:dyDescent="0.25">
      <c r="A425" s="10">
        <f>'Pairings NB'!B1881</f>
        <v>1783</v>
      </c>
      <c r="B425" s="10" t="str">
        <f>'Pairings NB'!C1881</f>
        <v>21/10/2026</v>
      </c>
      <c r="C425" s="10" t="str">
        <f>'Pairings NB'!D1881</f>
        <v>miércoles</v>
      </c>
      <c r="D425" s="10" t="str">
        <f>'Pairings NB'!E1881&amp;"/"&amp;'Pairings NB'!E1882</f>
        <v>2061/2062</v>
      </c>
      <c r="E425" s="10" t="str">
        <f>'Pairings NB'!F1881&amp;"-"&amp;'Pairings NB'!G1881&amp;"-"&amp;'Pairings NB'!F1881</f>
        <v>LIM-CUZ-LIM</v>
      </c>
      <c r="F425" s="10" t="str">
        <f>IFERROR(VLOOKUP('Pairings NB'!$M$1881,Instructores!$A:$C,2,FALSE),"")</f>
        <v/>
      </c>
      <c r="G425" s="10">
        <f>'Pairings NB'!$M$1881</f>
        <v>0</v>
      </c>
      <c r="H425" s="10">
        <f>'Pairings NB'!$O$1881</f>
        <v>0</v>
      </c>
      <c r="I425" s="10">
        <f>'Pairings NB'!J1881</f>
        <v>320</v>
      </c>
      <c r="J425" s="10" t="str">
        <f>IFERROR(VLOOKUP('Pairings NB'!$M$1881,Instructores!$A:$C,3,FALSE),"")</f>
        <v/>
      </c>
      <c r="K425" s="10">
        <f>IF('Pairings NB'!J1881=320,4,3)</f>
        <v>4</v>
      </c>
    </row>
    <row r="426" spans="1:11" x14ac:dyDescent="0.25">
      <c r="A426" s="10">
        <f>'Pairings NB'!B1883</f>
        <v>1810</v>
      </c>
      <c r="B426" s="10" t="str">
        <f>'Pairings NB'!C1883</f>
        <v>21/10/2026</v>
      </c>
      <c r="C426" s="10" t="str">
        <f>'Pairings NB'!D1883</f>
        <v>miércoles</v>
      </c>
      <c r="D426" s="10" t="str">
        <f>'Pairings NB'!E1883&amp;"/"&amp;'Pairings NB'!E1884</f>
        <v>2127/2026</v>
      </c>
      <c r="E426" s="10" t="str">
        <f>'Pairings NB'!F1883&amp;"-"&amp;'Pairings NB'!G1883&amp;"-"&amp;'Pairings NB'!F1883</f>
        <v>LIM-CUZ-LIM</v>
      </c>
      <c r="F426" s="10" t="str">
        <f>IFERROR(VLOOKUP('Pairings NB'!$M$1881,Instructores!$A:$C,2,FALSE),"")</f>
        <v/>
      </c>
      <c r="G426" s="10">
        <f>'Pairings NB'!$M$1881</f>
        <v>0</v>
      </c>
      <c r="H426" s="10">
        <f>'Pairings NB'!$O$1881</f>
        <v>0</v>
      </c>
      <c r="I426" s="10">
        <f>'Pairings NB'!J1883</f>
        <v>320</v>
      </c>
      <c r="J426" s="10" t="str">
        <f>IFERROR(VLOOKUP('Pairings NB'!$M$1881,Instructores!$A:$C,3,FALSE),"")</f>
        <v/>
      </c>
      <c r="K426" s="10">
        <f>IF('Pairings NB'!J1883=320,4,3)</f>
        <v>4</v>
      </c>
    </row>
    <row r="427" spans="1:11" x14ac:dyDescent="0.25">
      <c r="A427" s="10">
        <f>'Pairings NB'!B1888</f>
        <v>1794</v>
      </c>
      <c r="B427" s="10" t="str">
        <f>'Pairings NB'!C1888</f>
        <v>21/10/2026</v>
      </c>
      <c r="C427" s="10" t="str">
        <f>'Pairings NB'!D1888</f>
        <v>miércoles</v>
      </c>
      <c r="D427" s="10" t="str">
        <f>'Pairings NB'!E1888&amp;"/"&amp;'Pairings NB'!E1889</f>
        <v>2232/2233</v>
      </c>
      <c r="E427" s="10" t="str">
        <f>'Pairings NB'!F1888&amp;"-"&amp;'Pairings NB'!G1888&amp;"-"&amp;'Pairings NB'!F1888</f>
        <v>LIM-CUZ-LIM</v>
      </c>
      <c r="F427" s="10" t="str">
        <f>IFERROR(VLOOKUP('Pairings NB'!$M$1888,Instructores!$A:$C,2,FALSE),"")</f>
        <v/>
      </c>
      <c r="G427" s="10">
        <f>'Pairings NB'!$M$1888</f>
        <v>0</v>
      </c>
      <c r="H427" s="10">
        <f>'Pairings NB'!$O$1888</f>
        <v>0</v>
      </c>
      <c r="I427" s="10">
        <f>'Pairings NB'!J1888</f>
        <v>320</v>
      </c>
      <c r="J427" s="10" t="str">
        <f>IFERROR(VLOOKUP('Pairings NB'!$M$1888,Instructores!$A:$C,3,FALSE),"")</f>
        <v/>
      </c>
      <c r="K427" s="10">
        <f>IF('Pairings NB'!J1888=320,4,3)</f>
        <v>4</v>
      </c>
    </row>
    <row r="428" spans="1:11" x14ac:dyDescent="0.25">
      <c r="A428" s="10">
        <f>'Pairings NB'!B1893</f>
        <v>1795</v>
      </c>
      <c r="B428" s="10" t="str">
        <f>'Pairings NB'!C1893</f>
        <v>21/10/2026</v>
      </c>
      <c r="C428" s="10" t="str">
        <f>'Pairings NB'!D1893</f>
        <v>miércoles</v>
      </c>
      <c r="D428" s="10" t="str">
        <f>'Pairings NB'!E1893&amp;"/"&amp;'Pairings NB'!E1894</f>
        <v>2087/2088</v>
      </c>
      <c r="E428" s="10" t="str">
        <f>'Pairings NB'!F1893&amp;"-"&amp;'Pairings NB'!G1893&amp;"-"&amp;'Pairings NB'!F1893</f>
        <v>LIM-TPP-LIM</v>
      </c>
      <c r="F428" s="10" t="str">
        <f>IFERROR(VLOOKUP('Pairings NB'!$M$1893,Instructores!$A:$C,2,FALSE),"")</f>
        <v/>
      </c>
      <c r="G428" s="10">
        <f>'Pairings NB'!$M$1893</f>
        <v>0</v>
      </c>
      <c r="H428" s="10">
        <f>'Pairings NB'!$O$1893</f>
        <v>0</v>
      </c>
      <c r="I428" s="10">
        <f>'Pairings NB'!J1893</f>
        <v>320</v>
      </c>
      <c r="J428" s="10" t="str">
        <f>IFERROR(VLOOKUP('Pairings NB'!$M$1893,Instructores!$A:$C,3,FALSE),"")</f>
        <v/>
      </c>
      <c r="K428" s="10">
        <f>IF('Pairings NB'!J1893=320,4,3)</f>
        <v>4</v>
      </c>
    </row>
    <row r="429" spans="1:11" x14ac:dyDescent="0.25">
      <c r="A429" s="10">
        <f>'Pairings NB'!B1898</f>
        <v>1796</v>
      </c>
      <c r="B429" s="10" t="str">
        <f>'Pairings NB'!C1898</f>
        <v>21/10/2026</v>
      </c>
      <c r="C429" s="10" t="str">
        <f>'Pairings NB'!D1898</f>
        <v>miércoles</v>
      </c>
      <c r="D429" s="10" t="str">
        <f>'Pairings NB'!E1898&amp;"/"&amp;'Pairings NB'!E1899</f>
        <v>2295/2294</v>
      </c>
      <c r="E429" s="10" t="str">
        <f>'Pairings NB'!F1898&amp;"-"&amp;'Pairings NB'!G1898&amp;"-"&amp;'Pairings NB'!F1898</f>
        <v>LIM-CJA-LIM</v>
      </c>
      <c r="F429" s="10" t="str">
        <f>IFERROR(VLOOKUP('Pairings NB'!$M$1898,Instructores!$A:$C,2,FALSE),"")</f>
        <v/>
      </c>
      <c r="G429" s="10">
        <f>'Pairings NB'!$M$1898</f>
        <v>0</v>
      </c>
      <c r="H429" s="10">
        <f>'Pairings NB'!$O$1898</f>
        <v>0</v>
      </c>
      <c r="I429" s="10">
        <f>'Pairings NB'!J1898</f>
        <v>320</v>
      </c>
      <c r="J429" s="10" t="str">
        <f>IFERROR(VLOOKUP('Pairings NB'!$M$1898,Instructores!$A:$C,3,FALSE),"")</f>
        <v/>
      </c>
      <c r="K429" s="10">
        <f>IF('Pairings NB'!J1898=320,4,3)</f>
        <v>4</v>
      </c>
    </row>
    <row r="430" spans="1:11" x14ac:dyDescent="0.25">
      <c r="A430" s="10">
        <f>'Pairings NB'!B1903</f>
        <v>1798</v>
      </c>
      <c r="B430" s="10" t="str">
        <f>'Pairings NB'!C1903</f>
        <v>21/10/2026</v>
      </c>
      <c r="C430" s="10" t="str">
        <f>'Pairings NB'!D1903</f>
        <v>miércoles</v>
      </c>
      <c r="D430" s="10" t="str">
        <f>'Pairings NB'!E1903&amp;"/"&amp;'Pairings NB'!E1904</f>
        <v>2154/2155</v>
      </c>
      <c r="E430" s="10" t="str">
        <f>'Pairings NB'!F1903&amp;"-"&amp;'Pairings NB'!G1903&amp;"-"&amp;'Pairings NB'!F1903</f>
        <v>LIM-CUZ-LIM</v>
      </c>
      <c r="F430" s="10" t="str">
        <f>IFERROR(VLOOKUP('Pairings NB'!$M$1903,Instructores!$A:$C,2,FALSE),"")</f>
        <v/>
      </c>
      <c r="G430" s="10">
        <f>'Pairings NB'!$M$1903</f>
        <v>0</v>
      </c>
      <c r="H430" s="10">
        <f>'Pairings NB'!$O$1903</f>
        <v>0</v>
      </c>
      <c r="I430" s="10">
        <f>'Pairings NB'!J1903</f>
        <v>320</v>
      </c>
      <c r="J430" s="10" t="str">
        <f>IFERROR(VLOOKUP('Pairings NB'!$M$1903,Instructores!$A:$C,3,FALSE),"")</f>
        <v/>
      </c>
      <c r="K430" s="10">
        <f>IF('Pairings NB'!J1903=320,4,3)</f>
        <v>4</v>
      </c>
    </row>
    <row r="431" spans="1:11" x14ac:dyDescent="0.25">
      <c r="A431" s="10">
        <f>'Pairings NB'!B1908</f>
        <v>1799</v>
      </c>
      <c r="B431" s="10" t="str">
        <f>'Pairings NB'!C1908</f>
        <v>21/10/2026</v>
      </c>
      <c r="C431" s="10" t="str">
        <f>'Pairings NB'!D1908</f>
        <v>miércoles</v>
      </c>
      <c r="D431" s="10" t="str">
        <f>'Pairings NB'!E1908&amp;"/"&amp;'Pairings NB'!E1909</f>
        <v>2264/2265</v>
      </c>
      <c r="E431" s="10" t="str">
        <f>'Pairings NB'!F1908&amp;"-"&amp;'Pairings NB'!G1908&amp;"-"&amp;'Pairings NB'!F1908</f>
        <v>LIM-PEM-LIM</v>
      </c>
      <c r="F431" s="10" t="str">
        <f>IFERROR(VLOOKUP('Pairings NB'!$M$1908,Instructores!$A:$C,2,FALSE),"")</f>
        <v/>
      </c>
      <c r="G431" s="10">
        <f>'Pairings NB'!$M$1908</f>
        <v>0</v>
      </c>
      <c r="H431" s="10">
        <f>'Pairings NB'!$O$1908</f>
        <v>0</v>
      </c>
      <c r="I431" s="10">
        <f>'Pairings NB'!J1908</f>
        <v>319</v>
      </c>
      <c r="J431" s="10" t="str">
        <f>IFERROR(VLOOKUP('Pairings NB'!$M$1908,Instructores!$A:$C,3,FALSE),"")</f>
        <v/>
      </c>
      <c r="K431" s="10">
        <f>IF('Pairings NB'!J1908=320,4,3)</f>
        <v>3</v>
      </c>
    </row>
    <row r="432" spans="1:11" x14ac:dyDescent="0.25">
      <c r="A432" s="10">
        <f>'Pairings NB'!B1913</f>
        <v>1800</v>
      </c>
      <c r="B432" s="10" t="str">
        <f>'Pairings NB'!C1913</f>
        <v>21/10/2026</v>
      </c>
      <c r="C432" s="10" t="str">
        <f>'Pairings NB'!D1913</f>
        <v>miércoles</v>
      </c>
      <c r="D432" s="10" t="str">
        <f>'Pairings NB'!E1913&amp;"/"&amp;'Pairings NB'!E1914</f>
        <v>2338/2339</v>
      </c>
      <c r="E432" s="10" t="str">
        <f>'Pairings NB'!F1913&amp;"-"&amp;'Pairings NB'!G1913&amp;"-"&amp;'Pairings NB'!F1913</f>
        <v>LIM-PIU-LIM</v>
      </c>
      <c r="F432" s="10" t="str">
        <f>IFERROR(VLOOKUP('Pairings NB'!$M$1913,Instructores!$A:$C,2,FALSE),"")</f>
        <v/>
      </c>
      <c r="G432" s="10">
        <f>'Pairings NB'!$M$1913</f>
        <v>0</v>
      </c>
      <c r="H432" s="10">
        <f>'Pairings NB'!$O$1913</f>
        <v>0</v>
      </c>
      <c r="I432" s="10">
        <f>'Pairings NB'!J1913</f>
        <v>320</v>
      </c>
      <c r="J432" s="10" t="str">
        <f>IFERROR(VLOOKUP('Pairings NB'!$M$1913,Instructores!$A:$C,3,FALSE),"")</f>
        <v/>
      </c>
      <c r="K432" s="10">
        <f>IF('Pairings NB'!J1913=320,4,3)</f>
        <v>4</v>
      </c>
    </row>
    <row r="433" spans="1:11" x14ac:dyDescent="0.25">
      <c r="A433" s="10">
        <f>'Pairings NB'!B1918</f>
        <v>1801</v>
      </c>
      <c r="B433" s="10" t="str">
        <f>'Pairings NB'!C1918</f>
        <v>21/10/2026</v>
      </c>
      <c r="C433" s="10" t="str">
        <f>'Pairings NB'!D1918</f>
        <v>miércoles</v>
      </c>
      <c r="D433" s="10" t="str">
        <f>'Pairings NB'!E1918&amp;"/"&amp;'Pairings NB'!E1919</f>
        <v>2113/2112</v>
      </c>
      <c r="E433" s="10" t="str">
        <f>'Pairings NB'!F1918&amp;"-"&amp;'Pairings NB'!G1918&amp;"-"&amp;'Pairings NB'!F1918</f>
        <v>LIM-AQP-LIM</v>
      </c>
      <c r="F433" s="10" t="str">
        <f>IFERROR(VLOOKUP('Pairings NB'!$M$1918,Instructores!$A:$C,2,FALSE),"")</f>
        <v/>
      </c>
      <c r="G433" s="10">
        <f>'Pairings NB'!$M$1918</f>
        <v>0</v>
      </c>
      <c r="H433" s="10">
        <f>'Pairings NB'!$O$1918</f>
        <v>0</v>
      </c>
      <c r="I433" s="10">
        <f>'Pairings NB'!J1918</f>
        <v>320</v>
      </c>
      <c r="J433" s="10" t="str">
        <f>IFERROR(VLOOKUP('Pairings NB'!$M$1918,Instructores!$A:$C,3,FALSE),"")</f>
        <v/>
      </c>
      <c r="K433" s="10">
        <f>IF('Pairings NB'!J1918=320,4,3)</f>
        <v>4</v>
      </c>
    </row>
    <row r="434" spans="1:11" x14ac:dyDescent="0.25">
      <c r="A434" s="10">
        <f>'Pairings NB'!B1923</f>
        <v>1802</v>
      </c>
      <c r="B434" s="10" t="str">
        <f>'Pairings NB'!C1923</f>
        <v>21/10/2026</v>
      </c>
      <c r="C434" s="10" t="str">
        <f>'Pairings NB'!D1923</f>
        <v>miércoles</v>
      </c>
      <c r="D434" s="10" t="str">
        <f>'Pairings NB'!E1923&amp;"/"&amp;'Pairings NB'!E1924</f>
        <v>2113/2112</v>
      </c>
      <c r="E434" s="10" t="str">
        <f>'Pairings NB'!F1923&amp;"-"&amp;'Pairings NB'!G1923&amp;"-"&amp;'Pairings NB'!F1923</f>
        <v>LIM-AQP-LIM</v>
      </c>
      <c r="F434" s="10" t="str">
        <f>IFERROR(VLOOKUP('Pairings NB'!$M$1923,Instructores!$A:$C,2,FALSE),"")</f>
        <v/>
      </c>
      <c r="G434" s="10">
        <f>'Pairings NB'!$M$1923</f>
        <v>0</v>
      </c>
      <c r="H434" s="10">
        <f>'Pairings NB'!$O$1923</f>
        <v>0</v>
      </c>
      <c r="I434" s="10">
        <f>'Pairings NB'!J1923</f>
        <v>320</v>
      </c>
      <c r="J434" s="10" t="str">
        <f>IFERROR(VLOOKUP('Pairings NB'!$M$1923,Instructores!$A:$C,3,FALSE),"")</f>
        <v/>
      </c>
      <c r="K434" s="10">
        <f>IF('Pairings NB'!J1923=320,4,3)</f>
        <v>4</v>
      </c>
    </row>
    <row r="435" spans="1:11" x14ac:dyDescent="0.25">
      <c r="A435" s="10">
        <f>'Pairings NB'!B1928</f>
        <v>1804</v>
      </c>
      <c r="B435" s="10" t="str">
        <f>'Pairings NB'!C1928</f>
        <v>21/10/2026</v>
      </c>
      <c r="C435" s="10" t="str">
        <f>'Pairings NB'!D1928</f>
        <v>miércoles</v>
      </c>
      <c r="D435" s="10" t="str">
        <f>'Pairings NB'!E1928&amp;"/"&amp;'Pairings NB'!E1929</f>
        <v>2297/2296</v>
      </c>
      <c r="E435" s="10" t="str">
        <f>'Pairings NB'!F1928&amp;"-"&amp;'Pairings NB'!G1928&amp;"-"&amp;'Pairings NB'!F1928</f>
        <v>LIM-CJA-LIM</v>
      </c>
      <c r="F435" s="10" t="str">
        <f>IFERROR(VLOOKUP('Pairings NB'!$M$1928,Instructores!$A:$C,2,FALSE),"")</f>
        <v/>
      </c>
      <c r="G435" s="10">
        <f>'Pairings NB'!$M$1928</f>
        <v>0</v>
      </c>
      <c r="H435" s="10">
        <f>'Pairings NB'!$O$1928</f>
        <v>0</v>
      </c>
      <c r="I435" s="10">
        <f>'Pairings NB'!J1928</f>
        <v>320</v>
      </c>
      <c r="J435" s="10" t="str">
        <f>IFERROR(VLOOKUP('Pairings NB'!$M$1928,Instructores!$A:$C,3,FALSE),"")</f>
        <v/>
      </c>
      <c r="K435" s="10">
        <f>IF('Pairings NB'!J1928=320,4,3)</f>
        <v>4</v>
      </c>
    </row>
    <row r="436" spans="1:11" x14ac:dyDescent="0.25">
      <c r="A436" s="10">
        <f>'Pairings NB'!B1933</f>
        <v>1805</v>
      </c>
      <c r="B436" s="10" t="str">
        <f>'Pairings NB'!C1933</f>
        <v>21/10/2026</v>
      </c>
      <c r="C436" s="10" t="str">
        <f>'Pairings NB'!D1933</f>
        <v>miércoles</v>
      </c>
      <c r="D436" s="10" t="str">
        <f>'Pairings NB'!E1933&amp;"/"&amp;'Pairings NB'!E1934</f>
        <v>2360/2361</v>
      </c>
      <c r="E436" s="10" t="str">
        <f>'Pairings NB'!F1933&amp;"-"&amp;'Pairings NB'!G1933&amp;"-"&amp;'Pairings NB'!F1933</f>
        <v>LIM-PCL-LIM</v>
      </c>
      <c r="F436" s="10" t="str">
        <f>IFERROR(VLOOKUP('Pairings NB'!$M$1933,Instructores!$A:$C,2,FALSE),"")</f>
        <v/>
      </c>
      <c r="G436" s="10">
        <f>'Pairings NB'!$M$1933</f>
        <v>0</v>
      </c>
      <c r="H436" s="10">
        <f>'Pairings NB'!$O$1933</f>
        <v>0</v>
      </c>
      <c r="I436" s="10">
        <f>'Pairings NB'!J1933</f>
        <v>319</v>
      </c>
      <c r="J436" s="10" t="str">
        <f>IFERROR(VLOOKUP('Pairings NB'!$M$1933,Instructores!$A:$C,3,FALSE),"")</f>
        <v/>
      </c>
      <c r="K436" s="10">
        <f>IF('Pairings NB'!J1933=320,4,3)</f>
        <v>3</v>
      </c>
    </row>
    <row r="437" spans="1:11" x14ac:dyDescent="0.25">
      <c r="A437" s="10">
        <f>'Pairings NB'!B1938</f>
        <v>1806</v>
      </c>
      <c r="B437" s="10" t="str">
        <f>'Pairings NB'!C1938</f>
        <v>21/10/2026</v>
      </c>
      <c r="C437" s="10" t="str">
        <f>'Pairings NB'!D1938</f>
        <v>miércoles</v>
      </c>
      <c r="D437" s="10" t="str">
        <f>'Pairings NB'!E1938&amp;"/"&amp;'Pairings NB'!E1939</f>
        <v>2301/2300</v>
      </c>
      <c r="E437" s="10" t="str">
        <f>'Pairings NB'!F1938&amp;"-"&amp;'Pairings NB'!G1938&amp;"-"&amp;'Pairings NB'!F1938</f>
        <v>LIM-TPP-LIM</v>
      </c>
      <c r="F437" s="10" t="str">
        <f>IFERROR(VLOOKUP('Pairings NB'!$M$1938,Instructores!$A:$C,2,FALSE),"")</f>
        <v/>
      </c>
      <c r="G437" s="10">
        <f>'Pairings NB'!$M$1938</f>
        <v>0</v>
      </c>
      <c r="H437" s="10">
        <f>'Pairings NB'!$O$1938</f>
        <v>0</v>
      </c>
      <c r="I437" s="10">
        <f>'Pairings NB'!J1938</f>
        <v>320</v>
      </c>
      <c r="J437" s="10" t="str">
        <f>IFERROR(VLOOKUP('Pairings NB'!$M$1938,Instructores!$A:$C,3,FALSE),"")</f>
        <v/>
      </c>
      <c r="K437" s="10">
        <f>IF('Pairings NB'!J1938=320,4,3)</f>
        <v>4</v>
      </c>
    </row>
    <row r="438" spans="1:11" x14ac:dyDescent="0.25">
      <c r="A438" s="10">
        <f>'Pairings NB'!B1943</f>
        <v>1811</v>
      </c>
      <c r="B438" s="10" t="str">
        <f>'Pairings NB'!C1943</f>
        <v>21/10/2026</v>
      </c>
      <c r="C438" s="10" t="str">
        <f>'Pairings NB'!D1943</f>
        <v>miércoles</v>
      </c>
      <c r="D438" s="10" t="str">
        <f>'Pairings NB'!E1943&amp;"/"&amp;'Pairings NB'!E1944</f>
        <v>2276/2277</v>
      </c>
      <c r="E438" s="10" t="str">
        <f>'Pairings NB'!F1943&amp;"-"&amp;'Pairings NB'!G1943&amp;"-"&amp;'Pairings NB'!F1943</f>
        <v>LIM-CUZ-LIM</v>
      </c>
      <c r="F438" s="10" t="str">
        <f>IFERROR(VLOOKUP('Pairings NB'!$M$1943,Instructores!$A:$C,2,FALSE),"")</f>
        <v/>
      </c>
      <c r="G438" s="10">
        <f>'Pairings NB'!$M$1943</f>
        <v>0</v>
      </c>
      <c r="H438" s="10">
        <f>'Pairings NB'!$O$1943</f>
        <v>0</v>
      </c>
      <c r="I438" s="10">
        <f>'Pairings NB'!J1943</f>
        <v>320</v>
      </c>
      <c r="J438" s="10" t="str">
        <f>IFERROR(VLOOKUP('Pairings NB'!$M$1943,Instructores!$A:$C,3,FALSE),"")</f>
        <v/>
      </c>
      <c r="K438" s="10">
        <f>IF('Pairings NB'!J1943=320,4,3)</f>
        <v>4</v>
      </c>
    </row>
    <row r="439" spans="1:11" x14ac:dyDescent="0.25">
      <c r="A439" s="10">
        <f>'Pairings NB'!B1948</f>
        <v>1860</v>
      </c>
      <c r="B439" s="10" t="str">
        <f>'Pairings NB'!C1948</f>
        <v>22/10/2026</v>
      </c>
      <c r="C439" s="10" t="str">
        <f>'Pairings NB'!D1948</f>
        <v>jueves</v>
      </c>
      <c r="D439" s="10" t="str">
        <f>'Pairings NB'!E1948&amp;"/"&amp;'Pairings NB'!E1949</f>
        <v>2260/2261</v>
      </c>
      <c r="E439" s="10" t="str">
        <f>'Pairings NB'!F1948&amp;"-"&amp;'Pairings NB'!G1948&amp;"-"&amp;'Pairings NB'!F1948</f>
        <v>LIM-PEM-LIM</v>
      </c>
      <c r="F439" s="10" t="str">
        <f>IFERROR(VLOOKUP('Pairings NB'!$M$1948,Instructores!$A:$C,2,FALSE),"")</f>
        <v/>
      </c>
      <c r="G439" s="10">
        <f>'Pairings NB'!$M$1948</f>
        <v>0</v>
      </c>
      <c r="H439" s="10">
        <f>'Pairings NB'!$O$1948</f>
        <v>0</v>
      </c>
      <c r="I439" s="10">
        <f>'Pairings NB'!J1948</f>
        <v>320</v>
      </c>
      <c r="J439" s="10" t="str">
        <f>IFERROR(VLOOKUP('Pairings NB'!$M$1948,Instructores!$A:$C,3,FALSE),"")</f>
        <v/>
      </c>
      <c r="K439" s="10">
        <f>IF('Pairings NB'!J1948=320,4,3)</f>
        <v>4</v>
      </c>
    </row>
    <row r="440" spans="1:11" x14ac:dyDescent="0.25">
      <c r="A440" s="10">
        <f>'Pairings NB'!B1950</f>
        <v>1890</v>
      </c>
      <c r="B440" s="10" t="str">
        <f>'Pairings NB'!C1950</f>
        <v>22/10/2026</v>
      </c>
      <c r="C440" s="10" t="str">
        <f>'Pairings NB'!D1950</f>
        <v>jueves</v>
      </c>
      <c r="D440" s="10" t="str">
        <f>'Pairings NB'!E1950&amp;"/"&amp;'Pairings NB'!E1951</f>
        <v>2297/2296</v>
      </c>
      <c r="E440" s="10" t="str">
        <f>'Pairings NB'!F1950&amp;"-"&amp;'Pairings NB'!G1950&amp;"-"&amp;'Pairings NB'!F1950</f>
        <v>LIM-CJA-LIM</v>
      </c>
      <c r="F440" s="10" t="str">
        <f>IFERROR(VLOOKUP('Pairings NB'!$M$1948,Instructores!$A:$C,2,FALSE),"")</f>
        <v/>
      </c>
      <c r="G440" s="10">
        <f>'Pairings NB'!$M$1948</f>
        <v>0</v>
      </c>
      <c r="H440" s="10">
        <f>'Pairings NB'!$O$1948</f>
        <v>0</v>
      </c>
      <c r="I440" s="10">
        <f>'Pairings NB'!J1950</f>
        <v>320</v>
      </c>
      <c r="J440" s="10" t="str">
        <f>IFERROR(VLOOKUP('Pairings NB'!$M$1948,Instructores!$A:$C,3,FALSE),"")</f>
        <v/>
      </c>
      <c r="K440" s="10">
        <f>IF('Pairings NB'!J1950=320,4,3)</f>
        <v>4</v>
      </c>
    </row>
    <row r="441" spans="1:11" x14ac:dyDescent="0.25">
      <c r="A441" s="10">
        <f>'Pairings NB'!B1955</f>
        <v>1862</v>
      </c>
      <c r="B441" s="10" t="str">
        <f>'Pairings NB'!C1955</f>
        <v>22/10/2026</v>
      </c>
      <c r="C441" s="10" t="str">
        <f>'Pairings NB'!D1955</f>
        <v>jueves</v>
      </c>
      <c r="D441" s="10" t="str">
        <f>'Pairings NB'!E1955&amp;"/"&amp;'Pairings NB'!E1956</f>
        <v>2019/2038</v>
      </c>
      <c r="E441" s="10" t="str">
        <f>'Pairings NB'!F1955&amp;"-"&amp;'Pairings NB'!G1955&amp;"-"&amp;'Pairings NB'!F1955</f>
        <v>LIM-IQT-LIM</v>
      </c>
      <c r="F441" s="10" t="str">
        <f>IFERROR(VLOOKUP('Pairings NB'!$M$1955,Instructores!$A:$C,2,FALSE),"")</f>
        <v/>
      </c>
      <c r="G441" s="10">
        <f>'Pairings NB'!$M$1955</f>
        <v>0</v>
      </c>
      <c r="H441" s="10">
        <f>'Pairings NB'!$O$1955</f>
        <v>0</v>
      </c>
      <c r="I441" s="10">
        <f>'Pairings NB'!J1955</f>
        <v>320</v>
      </c>
      <c r="J441" s="10" t="str">
        <f>IFERROR(VLOOKUP('Pairings NB'!$M$1955,Instructores!$A:$C,3,FALSE),"")</f>
        <v/>
      </c>
      <c r="K441" s="10">
        <f>IF('Pairings NB'!J1955=320,4,3)</f>
        <v>4</v>
      </c>
    </row>
    <row r="442" spans="1:11" x14ac:dyDescent="0.25">
      <c r="A442" s="10">
        <f>'Pairings NB'!B1957</f>
        <v>1898</v>
      </c>
      <c r="B442" s="10" t="str">
        <f>'Pairings NB'!C1957</f>
        <v>22/10/2026</v>
      </c>
      <c r="C442" s="10" t="str">
        <f>'Pairings NB'!D1957</f>
        <v>jueves</v>
      </c>
      <c r="D442" s="10" t="str">
        <f>'Pairings NB'!E1957&amp;"/"&amp;'Pairings NB'!E1958</f>
        <v>2115/2114</v>
      </c>
      <c r="E442" s="10" t="str">
        <f>'Pairings NB'!F1957&amp;"-"&amp;'Pairings NB'!G1957&amp;"-"&amp;'Pairings NB'!F1957</f>
        <v>LIM-AQP-LIM</v>
      </c>
      <c r="F442" s="10" t="str">
        <f>IFERROR(VLOOKUP('Pairings NB'!$M$1955,Instructores!$A:$C,2,FALSE),"")</f>
        <v/>
      </c>
      <c r="G442" s="10">
        <f>'Pairings NB'!$M$1955</f>
        <v>0</v>
      </c>
      <c r="H442" s="10">
        <f>'Pairings NB'!$O$1955</f>
        <v>0</v>
      </c>
      <c r="I442" s="10">
        <f>'Pairings NB'!J1957</f>
        <v>320</v>
      </c>
      <c r="J442" s="10" t="str">
        <f>IFERROR(VLOOKUP('Pairings NB'!$M$1955,Instructores!$A:$C,3,FALSE),"")</f>
        <v/>
      </c>
      <c r="K442" s="10">
        <f>IF('Pairings NB'!J1957=320,4,3)</f>
        <v>4</v>
      </c>
    </row>
    <row r="443" spans="1:11" x14ac:dyDescent="0.25">
      <c r="A443" s="10">
        <f>'Pairings NB'!B1962</f>
        <v>1863</v>
      </c>
      <c r="B443" s="10" t="str">
        <f>'Pairings NB'!C1962</f>
        <v>22/10/2026</v>
      </c>
      <c r="C443" s="10" t="str">
        <f>'Pairings NB'!D1962</f>
        <v>jueves</v>
      </c>
      <c r="D443" s="10" t="str">
        <f>'Pairings NB'!E1962&amp;"/"&amp;'Pairings NB'!E1963</f>
        <v>2299/2298</v>
      </c>
      <c r="E443" s="10" t="str">
        <f>'Pairings NB'!F1962&amp;"-"&amp;'Pairings NB'!G1962&amp;"-"&amp;'Pairings NB'!F1962</f>
        <v>LIM-CJA-LIM</v>
      </c>
      <c r="F443" s="10" t="str">
        <f>IFERROR(VLOOKUP('Pairings NB'!$M$1962,Instructores!$A:$C,2,FALSE),"")</f>
        <v/>
      </c>
      <c r="G443" s="10">
        <f>'Pairings NB'!$M$1962</f>
        <v>0</v>
      </c>
      <c r="H443" s="10">
        <f>'Pairings NB'!$O$1962</f>
        <v>0</v>
      </c>
      <c r="I443" s="10">
        <f>'Pairings NB'!J1962</f>
        <v>320</v>
      </c>
      <c r="J443" s="10" t="str">
        <f>IFERROR(VLOOKUP('Pairings NB'!$M$1962,Instructores!$A:$C,3,FALSE),"")</f>
        <v/>
      </c>
      <c r="K443" s="10">
        <f>IF('Pairings NB'!J1962=320,4,3)</f>
        <v>4</v>
      </c>
    </row>
    <row r="444" spans="1:11" x14ac:dyDescent="0.25">
      <c r="A444" s="10">
        <f>'Pairings NB'!B1967</f>
        <v>1865</v>
      </c>
      <c r="B444" s="10" t="str">
        <f>'Pairings NB'!C1967</f>
        <v>22/10/2026</v>
      </c>
      <c r="C444" s="10" t="str">
        <f>'Pairings NB'!D1967</f>
        <v>jueves</v>
      </c>
      <c r="D444" s="10" t="str">
        <f>'Pairings NB'!E1967&amp;"/"&amp;'Pairings NB'!E1968</f>
        <v>2061/2062</v>
      </c>
      <c r="E444" s="10" t="str">
        <f>'Pairings NB'!F1967&amp;"-"&amp;'Pairings NB'!G1967&amp;"-"&amp;'Pairings NB'!F1967</f>
        <v>LIM-CUZ-LIM</v>
      </c>
      <c r="F444" s="10" t="str">
        <f>IFERROR(VLOOKUP('Pairings NB'!$M$1967,Instructores!$A:$C,2,FALSE),"")</f>
        <v/>
      </c>
      <c r="G444" s="10">
        <f>'Pairings NB'!$M$1967</f>
        <v>0</v>
      </c>
      <c r="H444" s="10">
        <f>'Pairings NB'!$O$1967</f>
        <v>0</v>
      </c>
      <c r="I444" s="10">
        <f>'Pairings NB'!J1967</f>
        <v>320</v>
      </c>
      <c r="J444" s="10" t="str">
        <f>IFERROR(VLOOKUP('Pairings NB'!$M$1967,Instructores!$A:$C,3,FALSE),"")</f>
        <v/>
      </c>
      <c r="K444" s="10">
        <f>IF('Pairings NB'!J1967=320,4,3)</f>
        <v>4</v>
      </c>
    </row>
    <row r="445" spans="1:11" x14ac:dyDescent="0.25">
      <c r="A445" s="10">
        <f>'Pairings NB'!B1972</f>
        <v>1870</v>
      </c>
      <c r="B445" s="10" t="str">
        <f>'Pairings NB'!C1972</f>
        <v>22/10/2026</v>
      </c>
      <c r="C445" s="10" t="str">
        <f>'Pairings NB'!D1972</f>
        <v>jueves</v>
      </c>
      <c r="D445" s="10" t="str">
        <f>'Pairings NB'!E1972&amp;"/"&amp;'Pairings NB'!E1973</f>
        <v>2120/2121</v>
      </c>
      <c r="E445" s="10" t="str">
        <f>'Pairings NB'!F1972&amp;"-"&amp;'Pairings NB'!G1972&amp;"-"&amp;'Pairings NB'!F1972</f>
        <v>LIM-CUZ-LIM</v>
      </c>
      <c r="F445" s="10" t="str">
        <f>IFERROR(VLOOKUP('Pairings NB'!$M$1972,Instructores!$A:$C,2,FALSE),"")</f>
        <v/>
      </c>
      <c r="G445" s="10">
        <f>'Pairings NB'!$M$1972</f>
        <v>0</v>
      </c>
      <c r="H445" s="10">
        <f>'Pairings NB'!$O$1972</f>
        <v>0</v>
      </c>
      <c r="I445" s="10">
        <f>'Pairings NB'!J1972</f>
        <v>320</v>
      </c>
      <c r="J445" s="10" t="str">
        <f>IFERROR(VLOOKUP('Pairings NB'!$M$1972,Instructores!$A:$C,3,FALSE),"")</f>
        <v/>
      </c>
      <c r="K445" s="10">
        <f>IF('Pairings NB'!J1972=320,4,3)</f>
        <v>4</v>
      </c>
    </row>
    <row r="446" spans="1:11" x14ac:dyDescent="0.25">
      <c r="A446" s="10">
        <f>'Pairings NB'!B1977</f>
        <v>1872</v>
      </c>
      <c r="B446" s="10" t="str">
        <f>'Pairings NB'!C1977</f>
        <v>22/10/2026</v>
      </c>
      <c r="C446" s="10" t="str">
        <f>'Pairings NB'!D1977</f>
        <v>jueves</v>
      </c>
      <c r="D446" s="10" t="str">
        <f>'Pairings NB'!E1977&amp;"/"&amp;'Pairings NB'!E1978</f>
        <v>2308/2309</v>
      </c>
      <c r="E446" s="10" t="str">
        <f>'Pairings NB'!F1977&amp;"-"&amp;'Pairings NB'!G1977&amp;"-"&amp;'Pairings NB'!F1977</f>
        <v>LIM-PIU-LIM</v>
      </c>
      <c r="F446" s="10" t="str">
        <f>IFERROR(VLOOKUP('Pairings NB'!$M$1977,Instructores!$A:$C,2,FALSE),"")</f>
        <v/>
      </c>
      <c r="G446" s="10">
        <f>'Pairings NB'!$M$1977</f>
        <v>0</v>
      </c>
      <c r="H446" s="10">
        <f>'Pairings NB'!$O$1977</f>
        <v>0</v>
      </c>
      <c r="I446" s="10">
        <f>'Pairings NB'!J1977</f>
        <v>320</v>
      </c>
      <c r="J446" s="10" t="str">
        <f>IFERROR(VLOOKUP('Pairings NB'!$M$1977,Instructores!$A:$C,3,FALSE),"")</f>
        <v/>
      </c>
      <c r="K446" s="10">
        <f>IF('Pairings NB'!J1977=320,4,3)</f>
        <v>4</v>
      </c>
    </row>
    <row r="447" spans="1:11" x14ac:dyDescent="0.25">
      <c r="A447" s="10">
        <f>'Pairings NB'!B1982</f>
        <v>1878</v>
      </c>
      <c r="B447" s="10" t="str">
        <f>'Pairings NB'!C1982</f>
        <v>22/10/2026</v>
      </c>
      <c r="C447" s="10" t="str">
        <f>'Pairings NB'!D1982</f>
        <v>jueves</v>
      </c>
      <c r="D447" s="10" t="str">
        <f>'Pairings NB'!E1982&amp;"/"&amp;'Pairings NB'!E1983</f>
        <v>2152/2153</v>
      </c>
      <c r="E447" s="10" t="str">
        <f>'Pairings NB'!F1982&amp;"-"&amp;'Pairings NB'!G1982&amp;"-"&amp;'Pairings NB'!F1982</f>
        <v>LIM-CIX-LIM</v>
      </c>
      <c r="F447" s="10" t="str">
        <f>IFERROR(VLOOKUP('Pairings NB'!$M$1982,Instructores!$A:$C,2,FALSE),"")</f>
        <v/>
      </c>
      <c r="G447" s="10">
        <f>'Pairings NB'!$M$1982</f>
        <v>0</v>
      </c>
      <c r="H447" s="10">
        <f>'Pairings NB'!$O$1982</f>
        <v>0</v>
      </c>
      <c r="I447" s="10">
        <f>'Pairings NB'!J1982</f>
        <v>320</v>
      </c>
      <c r="J447" s="10" t="str">
        <f>IFERROR(VLOOKUP('Pairings NB'!$M$1982,Instructores!$A:$C,3,FALSE),"")</f>
        <v/>
      </c>
      <c r="K447" s="10">
        <f>IF('Pairings NB'!J1982=320,4,3)</f>
        <v>4</v>
      </c>
    </row>
    <row r="448" spans="1:11" x14ac:dyDescent="0.25">
      <c r="A448" s="10">
        <f>'Pairings NB'!B1984</f>
        <v>1900</v>
      </c>
      <c r="B448" s="10" t="str">
        <f>'Pairings NB'!C1984</f>
        <v>22/10/2026</v>
      </c>
      <c r="C448" s="10" t="str">
        <f>'Pairings NB'!D1984</f>
        <v>jueves</v>
      </c>
      <c r="D448" s="10" t="str">
        <f>'Pairings NB'!E1984&amp;"/"&amp;'Pairings NB'!E1985</f>
        <v>2117/2116</v>
      </c>
      <c r="E448" s="10" t="str">
        <f>'Pairings NB'!F1984&amp;"-"&amp;'Pairings NB'!G1984&amp;"-"&amp;'Pairings NB'!F1984</f>
        <v>LIM-AQP-LIM</v>
      </c>
      <c r="F448" s="10" t="str">
        <f>IFERROR(VLOOKUP('Pairings NB'!$M$1982,Instructores!$A:$C,2,FALSE),"")</f>
        <v/>
      </c>
      <c r="G448" s="10">
        <f>'Pairings NB'!$M$1982</f>
        <v>0</v>
      </c>
      <c r="H448" s="10">
        <f>'Pairings NB'!$O$1982</f>
        <v>0</v>
      </c>
      <c r="I448" s="10">
        <f>'Pairings NB'!J1984</f>
        <v>320</v>
      </c>
      <c r="J448" s="10" t="str">
        <f>IFERROR(VLOOKUP('Pairings NB'!$M$1982,Instructores!$A:$C,3,FALSE),"")</f>
        <v/>
      </c>
      <c r="K448" s="10">
        <f>IF('Pairings NB'!J1984=320,4,3)</f>
        <v>4</v>
      </c>
    </row>
    <row r="449" spans="1:11" x14ac:dyDescent="0.25">
      <c r="A449" s="10">
        <f>'Pairings NB'!B1989</f>
        <v>1879</v>
      </c>
      <c r="B449" s="10" t="str">
        <f>'Pairings NB'!C1989</f>
        <v>22/10/2026</v>
      </c>
      <c r="C449" s="10" t="str">
        <f>'Pairings NB'!D1989</f>
        <v>jueves</v>
      </c>
      <c r="D449" s="10" t="str">
        <f>'Pairings NB'!E1989&amp;"/"&amp;'Pairings NB'!E1990</f>
        <v>2055/2056</v>
      </c>
      <c r="E449" s="10" t="str">
        <f>'Pairings NB'!F1989&amp;"-"&amp;'Pairings NB'!G1989&amp;"-"&amp;'Pairings NB'!F1989</f>
        <v>LIM-AQP-LIM</v>
      </c>
      <c r="F449" s="10" t="str">
        <f>IFERROR(VLOOKUP('Pairings NB'!$M$1989,Instructores!$A:$C,2,FALSE),"")</f>
        <v/>
      </c>
      <c r="G449" s="10">
        <f>'Pairings NB'!$M$1989</f>
        <v>0</v>
      </c>
      <c r="H449" s="10">
        <f>'Pairings NB'!$O$1989</f>
        <v>0</v>
      </c>
      <c r="I449" s="10">
        <f>'Pairings NB'!J1989</f>
        <v>320</v>
      </c>
      <c r="J449" s="10" t="str">
        <f>IFERROR(VLOOKUP('Pairings NB'!$M$1989,Instructores!$A:$C,3,FALSE),"")</f>
        <v/>
      </c>
      <c r="K449" s="10">
        <f>IF('Pairings NB'!J1989=320,4,3)</f>
        <v>4</v>
      </c>
    </row>
    <row r="450" spans="1:11" x14ac:dyDescent="0.25">
      <c r="A450" s="10">
        <f>'Pairings NB'!B1994</f>
        <v>1880</v>
      </c>
      <c r="B450" s="10" t="str">
        <f>'Pairings NB'!C1994</f>
        <v>22/10/2026</v>
      </c>
      <c r="C450" s="10" t="str">
        <f>'Pairings NB'!D1994</f>
        <v>jueves</v>
      </c>
      <c r="D450" s="10" t="str">
        <f>'Pairings NB'!E1994&amp;"/"&amp;'Pairings NB'!E1995</f>
        <v>2055/2056</v>
      </c>
      <c r="E450" s="10" t="str">
        <f>'Pairings NB'!F1994&amp;"-"&amp;'Pairings NB'!G1994&amp;"-"&amp;'Pairings NB'!F1994</f>
        <v>LIM-AQP-LIM</v>
      </c>
      <c r="F450" s="10" t="str">
        <f>IFERROR(VLOOKUP('Pairings NB'!$M$1994,Instructores!$A:$C,2,FALSE),"")</f>
        <v/>
      </c>
      <c r="G450" s="10">
        <f>'Pairings NB'!$M$1994</f>
        <v>0</v>
      </c>
      <c r="H450" s="10">
        <f>'Pairings NB'!$O$1994</f>
        <v>0</v>
      </c>
      <c r="I450" s="10">
        <f>'Pairings NB'!J1994</f>
        <v>320</v>
      </c>
      <c r="J450" s="10" t="str">
        <f>IFERROR(VLOOKUP('Pairings NB'!$M$1994,Instructores!$A:$C,3,FALSE),"")</f>
        <v/>
      </c>
      <c r="K450" s="10">
        <f>IF('Pairings NB'!J1994=320,4,3)</f>
        <v>4</v>
      </c>
    </row>
    <row r="451" spans="1:11" x14ac:dyDescent="0.25">
      <c r="A451" s="10">
        <f>'Pairings NB'!B1999</f>
        <v>1882</v>
      </c>
      <c r="B451" s="10" t="str">
        <f>'Pairings NB'!C1999</f>
        <v>22/10/2026</v>
      </c>
      <c r="C451" s="10" t="str">
        <f>'Pairings NB'!D1999</f>
        <v>jueves</v>
      </c>
      <c r="D451" s="10" t="str">
        <f>'Pairings NB'!E1999&amp;"/"&amp;'Pairings NB'!E2000</f>
        <v>2087/2088</v>
      </c>
      <c r="E451" s="10" t="str">
        <f>'Pairings NB'!F1999&amp;"-"&amp;'Pairings NB'!G1999&amp;"-"&amp;'Pairings NB'!F1999</f>
        <v>LIM-TPP-LIM</v>
      </c>
      <c r="F451" s="10" t="str">
        <f>IFERROR(VLOOKUP('Pairings NB'!$M$1999,Instructores!$A:$C,2,FALSE),"")</f>
        <v/>
      </c>
      <c r="G451" s="10">
        <f>'Pairings NB'!$M$1999</f>
        <v>0</v>
      </c>
      <c r="H451" s="10">
        <f>'Pairings NB'!$O$1999</f>
        <v>0</v>
      </c>
      <c r="I451" s="10">
        <f>'Pairings NB'!J1999</f>
        <v>320</v>
      </c>
      <c r="J451" s="10" t="str">
        <f>IFERROR(VLOOKUP('Pairings NB'!$M$1999,Instructores!$A:$C,3,FALSE),"")</f>
        <v/>
      </c>
      <c r="K451" s="10">
        <f>IF('Pairings NB'!J1999=320,4,3)</f>
        <v>4</v>
      </c>
    </row>
    <row r="452" spans="1:11" x14ac:dyDescent="0.25">
      <c r="A452" s="10">
        <f>'Pairings NB'!B2004</f>
        <v>1885</v>
      </c>
      <c r="B452" s="10" t="str">
        <f>'Pairings NB'!C2004</f>
        <v>22/10/2026</v>
      </c>
      <c r="C452" s="10" t="str">
        <f>'Pairings NB'!D2004</f>
        <v>jueves</v>
      </c>
      <c r="D452" s="10" t="str">
        <f>'Pairings NB'!E2004&amp;"/"&amp;'Pairings NB'!E2005</f>
        <v>2154/2155</v>
      </c>
      <c r="E452" s="10" t="str">
        <f>'Pairings NB'!F2004&amp;"-"&amp;'Pairings NB'!G2004&amp;"-"&amp;'Pairings NB'!F2004</f>
        <v>LIM-CUZ-LIM</v>
      </c>
      <c r="F452" s="10" t="str">
        <f>IFERROR(VLOOKUP('Pairings NB'!$M$2004,Instructores!$A:$C,2,FALSE),"")</f>
        <v/>
      </c>
      <c r="G452" s="10">
        <f>'Pairings NB'!$M$2004</f>
        <v>0</v>
      </c>
      <c r="H452" s="10">
        <f>'Pairings NB'!$O$2004</f>
        <v>0</v>
      </c>
      <c r="I452" s="10">
        <f>'Pairings NB'!J2004</f>
        <v>320</v>
      </c>
      <c r="J452" s="10" t="str">
        <f>IFERROR(VLOOKUP('Pairings NB'!$M$2004,Instructores!$A:$C,3,FALSE),"")</f>
        <v/>
      </c>
      <c r="K452" s="10">
        <f>IF('Pairings NB'!J2004=320,4,3)</f>
        <v>4</v>
      </c>
    </row>
    <row r="453" spans="1:11" x14ac:dyDescent="0.25">
      <c r="A453" s="10">
        <f>'Pairings NB'!B2009</f>
        <v>1886</v>
      </c>
      <c r="B453" s="10" t="str">
        <f>'Pairings NB'!C2009</f>
        <v>22/10/2026</v>
      </c>
      <c r="C453" s="10" t="str">
        <f>'Pairings NB'!D2009</f>
        <v>jueves</v>
      </c>
      <c r="D453" s="10" t="str">
        <f>'Pairings NB'!E2009&amp;"/"&amp;'Pairings NB'!E2010</f>
        <v>2264/2265</v>
      </c>
      <c r="E453" s="10" t="str">
        <f>'Pairings NB'!F2009&amp;"-"&amp;'Pairings NB'!G2009&amp;"-"&amp;'Pairings NB'!F2009</f>
        <v>LIM-PEM-LIM</v>
      </c>
      <c r="F453" s="10" t="str">
        <f>IFERROR(VLOOKUP('Pairings NB'!$M$2009,Instructores!$A:$C,2,FALSE),"")</f>
        <v/>
      </c>
      <c r="G453" s="10">
        <f>'Pairings NB'!$M$2009</f>
        <v>0</v>
      </c>
      <c r="H453" s="10">
        <f>'Pairings NB'!$O$2009</f>
        <v>0</v>
      </c>
      <c r="I453" s="10">
        <f>'Pairings NB'!J2009</f>
        <v>320</v>
      </c>
      <c r="J453" s="10" t="str">
        <f>IFERROR(VLOOKUP('Pairings NB'!$M$2009,Instructores!$A:$C,3,FALSE),"")</f>
        <v/>
      </c>
      <c r="K453" s="10">
        <f>IF('Pairings NB'!J2009=320,4,3)</f>
        <v>4</v>
      </c>
    </row>
    <row r="454" spans="1:11" x14ac:dyDescent="0.25">
      <c r="A454" s="10">
        <f>'Pairings NB'!B2014</f>
        <v>1887</v>
      </c>
      <c r="B454" s="10" t="str">
        <f>'Pairings NB'!C2014</f>
        <v>22/10/2026</v>
      </c>
      <c r="C454" s="10" t="str">
        <f>'Pairings NB'!D2014</f>
        <v>jueves</v>
      </c>
      <c r="D454" s="10" t="str">
        <f>'Pairings NB'!E2014&amp;"/"&amp;'Pairings NB'!E2015</f>
        <v>2264/2265</v>
      </c>
      <c r="E454" s="10" t="str">
        <f>'Pairings NB'!F2014&amp;"-"&amp;'Pairings NB'!G2014&amp;"-"&amp;'Pairings NB'!F2014</f>
        <v>LIM-PEM-LIM</v>
      </c>
      <c r="F454" s="10" t="str">
        <f>IFERROR(VLOOKUP('Pairings NB'!$M$2014,Instructores!$A:$C,2,FALSE),"")</f>
        <v/>
      </c>
      <c r="G454" s="10">
        <f>'Pairings NB'!$M$2014</f>
        <v>0</v>
      </c>
      <c r="H454" s="10">
        <f>'Pairings NB'!$O$2014</f>
        <v>0</v>
      </c>
      <c r="I454" s="10">
        <f>'Pairings NB'!J2014</f>
        <v>320</v>
      </c>
      <c r="J454" s="10" t="str">
        <f>IFERROR(VLOOKUP('Pairings NB'!$M$2014,Instructores!$A:$C,3,FALSE),"")</f>
        <v/>
      </c>
      <c r="K454" s="10">
        <f>IF('Pairings NB'!J2014=320,4,3)</f>
        <v>4</v>
      </c>
    </row>
    <row r="455" spans="1:11" x14ac:dyDescent="0.25">
      <c r="A455" s="10">
        <f>'Pairings NB'!B2019</f>
        <v>1888</v>
      </c>
      <c r="B455" s="10" t="str">
        <f>'Pairings NB'!C2019</f>
        <v>22/10/2026</v>
      </c>
      <c r="C455" s="10" t="str">
        <f>'Pairings NB'!D2019</f>
        <v>jueves</v>
      </c>
      <c r="D455" s="10" t="str">
        <f>'Pairings NB'!E2019&amp;"/"&amp;'Pairings NB'!E2020</f>
        <v>2113/2112</v>
      </c>
      <c r="E455" s="10" t="str">
        <f>'Pairings NB'!F2019&amp;"-"&amp;'Pairings NB'!G2019&amp;"-"&amp;'Pairings NB'!F2019</f>
        <v>LIM-AQP-LIM</v>
      </c>
      <c r="F455" s="10" t="str">
        <f>IFERROR(VLOOKUP('Pairings NB'!$M$2019,Instructores!$A:$C,2,FALSE),"")</f>
        <v/>
      </c>
      <c r="G455" s="10">
        <f>'Pairings NB'!$M$2019</f>
        <v>0</v>
      </c>
      <c r="H455" s="10">
        <f>'Pairings NB'!$O$2019</f>
        <v>0</v>
      </c>
      <c r="I455" s="10">
        <f>'Pairings NB'!J2019</f>
        <v>320</v>
      </c>
      <c r="J455" s="10" t="str">
        <f>IFERROR(VLOOKUP('Pairings NB'!$M$2019,Instructores!$A:$C,3,FALSE),"")</f>
        <v/>
      </c>
      <c r="K455" s="10">
        <f>IF('Pairings NB'!J2019=320,4,3)</f>
        <v>4</v>
      </c>
    </row>
    <row r="456" spans="1:11" x14ac:dyDescent="0.25">
      <c r="A456" s="10">
        <f>'Pairings NB'!B2024</f>
        <v>1891</v>
      </c>
      <c r="B456" s="10" t="str">
        <f>'Pairings NB'!C2024</f>
        <v>22/10/2026</v>
      </c>
      <c r="C456" s="10" t="str">
        <f>'Pairings NB'!D2024</f>
        <v>jueves</v>
      </c>
      <c r="D456" s="10" t="str">
        <f>'Pairings NB'!E2024&amp;"/"&amp;'Pairings NB'!E2025</f>
        <v>2297/2296</v>
      </c>
      <c r="E456" s="10" t="str">
        <f>'Pairings NB'!F2024&amp;"-"&amp;'Pairings NB'!G2024&amp;"-"&amp;'Pairings NB'!F2024</f>
        <v>LIM-CJA-LIM</v>
      </c>
      <c r="F456" s="10" t="str">
        <f>IFERROR(VLOOKUP('Pairings NB'!$M$2024,Instructores!$A:$C,2,FALSE),"")</f>
        <v/>
      </c>
      <c r="G456" s="10">
        <f>'Pairings NB'!$M$2024</f>
        <v>0</v>
      </c>
      <c r="H456" s="10">
        <f>'Pairings NB'!$O$2024</f>
        <v>0</v>
      </c>
      <c r="I456" s="10">
        <f>'Pairings NB'!J2024</f>
        <v>320</v>
      </c>
      <c r="J456" s="10" t="str">
        <f>IFERROR(VLOOKUP('Pairings NB'!$M$2024,Instructores!$A:$C,3,FALSE),"")</f>
        <v/>
      </c>
      <c r="K456" s="10">
        <f>IF('Pairings NB'!J2024=320,4,3)</f>
        <v>4</v>
      </c>
    </row>
    <row r="457" spans="1:11" x14ac:dyDescent="0.25">
      <c r="A457" s="10">
        <f>'Pairings NB'!B2029</f>
        <v>1892</v>
      </c>
      <c r="B457" s="10" t="str">
        <f>'Pairings NB'!C2029</f>
        <v>22/10/2026</v>
      </c>
      <c r="C457" s="10" t="str">
        <f>'Pairings NB'!D2029</f>
        <v>jueves</v>
      </c>
      <c r="D457" s="10" t="str">
        <f>'Pairings NB'!E2029&amp;"/"&amp;'Pairings NB'!E2030</f>
        <v>2360/2361</v>
      </c>
      <c r="E457" s="10" t="str">
        <f>'Pairings NB'!F2029&amp;"-"&amp;'Pairings NB'!G2029&amp;"-"&amp;'Pairings NB'!F2029</f>
        <v>LIM-PCL-LIM</v>
      </c>
      <c r="F457" s="10" t="str">
        <f>IFERROR(VLOOKUP('Pairings NB'!$M$2029,Instructores!$A:$C,2,FALSE),"")</f>
        <v/>
      </c>
      <c r="G457" s="10">
        <f>'Pairings NB'!$M$2029</f>
        <v>0</v>
      </c>
      <c r="H457" s="10">
        <f>'Pairings NB'!$O$2029</f>
        <v>0</v>
      </c>
      <c r="I457" s="10">
        <f>'Pairings NB'!J2029</f>
        <v>319</v>
      </c>
      <c r="J457" s="10" t="str">
        <f>IFERROR(VLOOKUP('Pairings NB'!$M$2029,Instructores!$A:$C,3,FALSE),"")</f>
        <v/>
      </c>
      <c r="K457" s="10">
        <f>IF('Pairings NB'!J2029=320,4,3)</f>
        <v>3</v>
      </c>
    </row>
    <row r="458" spans="1:11" x14ac:dyDescent="0.25">
      <c r="A458" s="10">
        <f>'Pairings NB'!B2034</f>
        <v>1893</v>
      </c>
      <c r="B458" s="10" t="str">
        <f>'Pairings NB'!C2034</f>
        <v>22/10/2026</v>
      </c>
      <c r="C458" s="10" t="str">
        <f>'Pairings NB'!D2034</f>
        <v>jueves</v>
      </c>
      <c r="D458" s="10" t="str">
        <f>'Pairings NB'!E2034&amp;"/"&amp;'Pairings NB'!E2035</f>
        <v>2312/2313</v>
      </c>
      <c r="E458" s="10" t="str">
        <f>'Pairings NB'!F2034&amp;"-"&amp;'Pairings NB'!G2034&amp;"-"&amp;'Pairings NB'!F2034</f>
        <v>LIM-CIX-LIM</v>
      </c>
      <c r="F458" s="10" t="str">
        <f>IFERROR(VLOOKUP('Pairings NB'!$M$2034,Instructores!$A:$C,2,FALSE),"")</f>
        <v/>
      </c>
      <c r="G458" s="10">
        <f>'Pairings NB'!$M$2034</f>
        <v>0</v>
      </c>
      <c r="H458" s="10">
        <f>'Pairings NB'!$O$2034</f>
        <v>0</v>
      </c>
      <c r="I458" s="10">
        <f>'Pairings NB'!J2034</f>
        <v>320</v>
      </c>
      <c r="J458" s="10" t="str">
        <f>IFERROR(VLOOKUP('Pairings NB'!$M$2034,Instructores!$A:$C,3,FALSE),"")</f>
        <v/>
      </c>
      <c r="K458" s="10">
        <f>IF('Pairings NB'!J2034=320,4,3)</f>
        <v>4</v>
      </c>
    </row>
    <row r="459" spans="1:11" x14ac:dyDescent="0.25">
      <c r="A459" s="10">
        <f>'Pairings NB'!B2039</f>
        <v>1899</v>
      </c>
      <c r="B459" s="10" t="str">
        <f>'Pairings NB'!C2039</f>
        <v>22/10/2026</v>
      </c>
      <c r="C459" s="10" t="str">
        <f>'Pairings NB'!D2039</f>
        <v>jueves</v>
      </c>
      <c r="D459" s="10" t="str">
        <f>'Pairings NB'!E2039&amp;"/"&amp;'Pairings NB'!E2040</f>
        <v>2115/2114</v>
      </c>
      <c r="E459" s="10" t="str">
        <f>'Pairings NB'!F2039&amp;"-"&amp;'Pairings NB'!G2039&amp;"-"&amp;'Pairings NB'!F2039</f>
        <v>LIM-AQP-LIM</v>
      </c>
      <c r="F459" s="10" t="str">
        <f>IFERROR(VLOOKUP('Pairings NB'!$M$2039,Instructores!$A:$C,2,FALSE),"")</f>
        <v/>
      </c>
      <c r="G459" s="10">
        <f>'Pairings NB'!$M$2039</f>
        <v>0</v>
      </c>
      <c r="H459" s="10">
        <f>'Pairings NB'!$O$2039</f>
        <v>0</v>
      </c>
      <c r="I459" s="10">
        <f>'Pairings NB'!J2039</f>
        <v>320</v>
      </c>
      <c r="J459" s="10" t="str">
        <f>IFERROR(VLOOKUP('Pairings NB'!$M$2039,Instructores!$A:$C,3,FALSE),"")</f>
        <v/>
      </c>
      <c r="K459" s="10">
        <f>IF('Pairings NB'!J2039=320,4,3)</f>
        <v>4</v>
      </c>
    </row>
    <row r="460" spans="1:11" x14ac:dyDescent="0.25">
      <c r="A460" s="10">
        <f>'Pairings NB'!B2044</f>
        <v>1941</v>
      </c>
      <c r="B460" s="10" t="str">
        <f>'Pairings NB'!C2044</f>
        <v>23/10/2026</v>
      </c>
      <c r="C460" s="10" t="str">
        <f>'Pairings NB'!D2044</f>
        <v>viernes</v>
      </c>
      <c r="D460" s="10" t="str">
        <f>'Pairings NB'!E2044&amp;"/"&amp;'Pairings NB'!E2045</f>
        <v>2007/2008</v>
      </c>
      <c r="E460" s="10" t="str">
        <f>'Pairings NB'!F2044&amp;"-"&amp;'Pairings NB'!G2044&amp;"-"&amp;'Pairings NB'!F2044</f>
        <v>LIM-CUZ-LIM</v>
      </c>
      <c r="F460" s="10" t="str">
        <f>IFERROR(VLOOKUP('Pairings NB'!$M$2044,Instructores!$A:$C,2,FALSE),"")</f>
        <v/>
      </c>
      <c r="G460" s="10">
        <f>'Pairings NB'!$M$2044</f>
        <v>0</v>
      </c>
      <c r="H460" s="10">
        <f>'Pairings NB'!$O$2044</f>
        <v>0</v>
      </c>
      <c r="I460" s="10">
        <f>'Pairings NB'!J2044</f>
        <v>320</v>
      </c>
      <c r="J460" s="10" t="str">
        <f>IFERROR(VLOOKUP('Pairings NB'!$M$2044,Instructores!$A:$C,3,FALSE),"")</f>
        <v/>
      </c>
      <c r="K460" s="10">
        <f>IF('Pairings NB'!J2044=320,4,3)</f>
        <v>4</v>
      </c>
    </row>
    <row r="461" spans="1:11" x14ac:dyDescent="0.25">
      <c r="A461" s="10">
        <f>'Pairings NB'!B2046</f>
        <v>1968</v>
      </c>
      <c r="B461" s="10" t="str">
        <f>'Pairings NB'!C2046</f>
        <v>23/10/2026</v>
      </c>
      <c r="C461" s="10" t="str">
        <f>'Pairings NB'!D2046</f>
        <v>viernes</v>
      </c>
      <c r="D461" s="10" t="str">
        <f>'Pairings NB'!E2046&amp;"/"&amp;'Pairings NB'!E2047</f>
        <v>2087/2088</v>
      </c>
      <c r="E461" s="10" t="str">
        <f>'Pairings NB'!F2046&amp;"-"&amp;'Pairings NB'!G2046&amp;"-"&amp;'Pairings NB'!F2046</f>
        <v>LIM-TPP-LIM</v>
      </c>
      <c r="F461" s="10" t="str">
        <f>IFERROR(VLOOKUP('Pairings NB'!$M$2044,Instructores!$A:$C,2,FALSE),"")</f>
        <v/>
      </c>
      <c r="G461" s="10">
        <f>'Pairings NB'!$M$2044</f>
        <v>0</v>
      </c>
      <c r="H461" s="10">
        <f>'Pairings NB'!$O$2044</f>
        <v>0</v>
      </c>
      <c r="I461" s="10">
        <f>'Pairings NB'!J2046</f>
        <v>320</v>
      </c>
      <c r="J461" s="10" t="str">
        <f>IFERROR(VLOOKUP('Pairings NB'!$M$2044,Instructores!$A:$C,3,FALSE),"")</f>
        <v/>
      </c>
      <c r="K461" s="10">
        <f>IF('Pairings NB'!J2046=320,4,3)</f>
        <v>4</v>
      </c>
    </row>
    <row r="462" spans="1:11" x14ac:dyDescent="0.25">
      <c r="A462" s="10">
        <f>'Pairings NB'!B2051</f>
        <v>1946</v>
      </c>
      <c r="B462" s="10" t="str">
        <f>'Pairings NB'!C2051</f>
        <v>23/10/2026</v>
      </c>
      <c r="C462" s="10" t="str">
        <f>'Pairings NB'!D2051</f>
        <v>viernes</v>
      </c>
      <c r="D462" s="10" t="str">
        <f>'Pairings NB'!E2051&amp;"/"&amp;'Pairings NB'!E2052</f>
        <v>2077/2078</v>
      </c>
      <c r="E462" s="10" t="str">
        <f>'Pairings NB'!F2051&amp;"-"&amp;'Pairings NB'!G2051&amp;"-"&amp;'Pairings NB'!F2051</f>
        <v>LIM-CUZ-LIM</v>
      </c>
      <c r="F462" s="10" t="str">
        <f>IFERROR(VLOOKUP('Pairings NB'!$M$2051,Instructores!$A:$C,2,FALSE),"")</f>
        <v/>
      </c>
      <c r="G462" s="10">
        <f>'Pairings NB'!$M$2051</f>
        <v>0</v>
      </c>
      <c r="H462" s="10">
        <f>'Pairings NB'!$O$2051</f>
        <v>0</v>
      </c>
      <c r="I462" s="10">
        <f>'Pairings NB'!J2051</f>
        <v>319</v>
      </c>
      <c r="J462" s="10" t="str">
        <f>IFERROR(VLOOKUP('Pairings NB'!$M$2051,Instructores!$A:$C,3,FALSE),"")</f>
        <v/>
      </c>
      <c r="K462" s="10">
        <f>IF('Pairings NB'!J2051=320,4,3)</f>
        <v>3</v>
      </c>
    </row>
    <row r="463" spans="1:11" x14ac:dyDescent="0.25">
      <c r="A463" s="10">
        <f>'Pairings NB'!B2053</f>
        <v>1986</v>
      </c>
      <c r="B463" s="10" t="str">
        <f>'Pairings NB'!C2053</f>
        <v>23/10/2026</v>
      </c>
      <c r="C463" s="10" t="str">
        <f>'Pairings NB'!D2053</f>
        <v>viernes</v>
      </c>
      <c r="D463" s="10" t="str">
        <f>'Pairings NB'!E2053&amp;"/"&amp;'Pairings NB'!E2054</f>
        <v>2213/2214</v>
      </c>
      <c r="E463" s="10" t="str">
        <f>'Pairings NB'!F2053&amp;"-"&amp;'Pairings NB'!G2053&amp;"-"&amp;'Pairings NB'!F2053</f>
        <v>LIM-CIX-LIM</v>
      </c>
      <c r="F463" s="10" t="str">
        <f>IFERROR(VLOOKUP('Pairings NB'!$M$2051,Instructores!$A:$C,2,FALSE),"")</f>
        <v/>
      </c>
      <c r="G463" s="10">
        <f>'Pairings NB'!$M$2051</f>
        <v>0</v>
      </c>
      <c r="H463" s="10">
        <f>'Pairings NB'!$O$2051</f>
        <v>0</v>
      </c>
      <c r="I463" s="10">
        <f>'Pairings NB'!J2053</f>
        <v>320</v>
      </c>
      <c r="J463" s="10" t="str">
        <f>IFERROR(VLOOKUP('Pairings NB'!$M$2051,Instructores!$A:$C,3,FALSE),"")</f>
        <v/>
      </c>
      <c r="K463" s="10">
        <f>IF('Pairings NB'!J2053=320,4,3)</f>
        <v>4</v>
      </c>
    </row>
    <row r="464" spans="1:11" x14ac:dyDescent="0.25">
      <c r="A464" s="10">
        <f>'Pairings NB'!B2058</f>
        <v>1949</v>
      </c>
      <c r="B464" s="10" t="str">
        <f>'Pairings NB'!C2058</f>
        <v>23/10/2026</v>
      </c>
      <c r="C464" s="10" t="str">
        <f>'Pairings NB'!D2058</f>
        <v>viernes</v>
      </c>
      <c r="D464" s="10" t="str">
        <f>'Pairings NB'!E2058&amp;"/"&amp;'Pairings NB'!E2059</f>
        <v>2299/2298</v>
      </c>
      <c r="E464" s="10" t="str">
        <f>'Pairings NB'!F2058&amp;"-"&amp;'Pairings NB'!G2058&amp;"-"&amp;'Pairings NB'!F2058</f>
        <v>LIM-CJA-LIM</v>
      </c>
      <c r="F464" s="10" t="str">
        <f>IFERROR(VLOOKUP('Pairings NB'!$M$2058,Instructores!$A:$C,2,FALSE),"")</f>
        <v/>
      </c>
      <c r="G464" s="10">
        <f>'Pairings NB'!$M$2058</f>
        <v>0</v>
      </c>
      <c r="H464" s="10">
        <f>'Pairings NB'!$O$2058</f>
        <v>0</v>
      </c>
      <c r="I464" s="10">
        <f>'Pairings NB'!J2058</f>
        <v>320</v>
      </c>
      <c r="J464" s="10" t="str">
        <f>IFERROR(VLOOKUP('Pairings NB'!$M$2058,Instructores!$A:$C,3,FALSE),"")</f>
        <v/>
      </c>
      <c r="K464" s="10">
        <f>IF('Pairings NB'!J2058=320,4,3)</f>
        <v>4</v>
      </c>
    </row>
    <row r="465" spans="1:11" x14ac:dyDescent="0.25">
      <c r="A465" s="10">
        <f>'Pairings NB'!B2060</f>
        <v>1981</v>
      </c>
      <c r="B465" s="10" t="str">
        <f>'Pairings NB'!C2060</f>
        <v>23/10/2026</v>
      </c>
      <c r="C465" s="10" t="str">
        <f>'Pairings NB'!D2060</f>
        <v>viernes</v>
      </c>
      <c r="D465" s="10" t="str">
        <f>'Pairings NB'!E2060&amp;"/"&amp;'Pairings NB'!E2061</f>
        <v>2127/2026</v>
      </c>
      <c r="E465" s="10" t="str">
        <f>'Pairings NB'!F2060&amp;"-"&amp;'Pairings NB'!G2060&amp;"-"&amp;'Pairings NB'!F2060</f>
        <v>LIM-CUZ-LIM</v>
      </c>
      <c r="F465" s="10" t="str">
        <f>IFERROR(VLOOKUP('Pairings NB'!$M$2058,Instructores!$A:$C,2,FALSE),"")</f>
        <v/>
      </c>
      <c r="G465" s="10">
        <f>'Pairings NB'!$M$2058</f>
        <v>0</v>
      </c>
      <c r="H465" s="10">
        <f>'Pairings NB'!$O$2058</f>
        <v>0</v>
      </c>
      <c r="I465" s="10">
        <f>'Pairings NB'!J2060</f>
        <v>320</v>
      </c>
      <c r="J465" s="10" t="str">
        <f>IFERROR(VLOOKUP('Pairings NB'!$M$2058,Instructores!$A:$C,3,FALSE),"")</f>
        <v/>
      </c>
      <c r="K465" s="10">
        <f>IF('Pairings NB'!J2060=320,4,3)</f>
        <v>4</v>
      </c>
    </row>
    <row r="466" spans="1:11" x14ac:dyDescent="0.25">
      <c r="A466" s="10">
        <f>'Pairings NB'!B2065</f>
        <v>1950</v>
      </c>
      <c r="B466" s="10" t="str">
        <f>'Pairings NB'!C2065</f>
        <v>23/10/2026</v>
      </c>
      <c r="C466" s="10" t="str">
        <f>'Pairings NB'!D2065</f>
        <v>viernes</v>
      </c>
      <c r="D466" s="10" t="str">
        <f>'Pairings NB'!E2065&amp;"/"&amp;'Pairings NB'!E2066</f>
        <v>2019/2038</v>
      </c>
      <c r="E466" s="10" t="str">
        <f>'Pairings NB'!F2065&amp;"-"&amp;'Pairings NB'!G2065&amp;"-"&amp;'Pairings NB'!F2065</f>
        <v>LIM-IQT-LIM</v>
      </c>
      <c r="F466" s="10" t="str">
        <f>IFERROR(VLOOKUP('Pairings NB'!$M$2065,Instructores!$A:$C,2,FALSE),"")</f>
        <v/>
      </c>
      <c r="G466" s="10">
        <f>'Pairings NB'!$M$2065</f>
        <v>0</v>
      </c>
      <c r="H466" s="10">
        <f>'Pairings NB'!$O$2065</f>
        <v>0</v>
      </c>
      <c r="I466" s="10">
        <f>'Pairings NB'!J2065</f>
        <v>320</v>
      </c>
      <c r="J466" s="10" t="str">
        <f>IFERROR(VLOOKUP('Pairings NB'!$M$2065,Instructores!$A:$C,3,FALSE),"")</f>
        <v/>
      </c>
      <c r="K466" s="10">
        <f>IF('Pairings NB'!J2065=320,4,3)</f>
        <v>4</v>
      </c>
    </row>
    <row r="467" spans="1:11" x14ac:dyDescent="0.25">
      <c r="A467" s="10">
        <f>'Pairings NB'!B2070</f>
        <v>1952</v>
      </c>
      <c r="B467" s="10" t="str">
        <f>'Pairings NB'!C2070</f>
        <v>23/10/2026</v>
      </c>
      <c r="C467" s="10" t="str">
        <f>'Pairings NB'!D2070</f>
        <v>viernes</v>
      </c>
      <c r="D467" s="10" t="str">
        <f>'Pairings NB'!E2070&amp;"/"&amp;'Pairings NB'!E2071</f>
        <v>2111/2110</v>
      </c>
      <c r="E467" s="10" t="str">
        <f>'Pairings NB'!F2070&amp;"-"&amp;'Pairings NB'!G2070&amp;"-"&amp;'Pairings NB'!F2070</f>
        <v>LIM-AQP-LIM</v>
      </c>
      <c r="F467" s="10" t="str">
        <f>IFERROR(VLOOKUP('Pairings NB'!$M$2070,Instructores!$A:$C,2,FALSE),"")</f>
        <v/>
      </c>
      <c r="G467" s="10">
        <f>'Pairings NB'!$M$2070</f>
        <v>0</v>
      </c>
      <c r="H467" s="10">
        <f>'Pairings NB'!$O$2070</f>
        <v>0</v>
      </c>
      <c r="I467" s="10">
        <f>'Pairings NB'!J2070</f>
        <v>319</v>
      </c>
      <c r="J467" s="10" t="str">
        <f>IFERROR(VLOOKUP('Pairings NB'!$M$2070,Instructores!$A:$C,3,FALSE),"")</f>
        <v/>
      </c>
      <c r="K467" s="10">
        <f>IF('Pairings NB'!J2070=320,4,3)</f>
        <v>3</v>
      </c>
    </row>
    <row r="468" spans="1:11" x14ac:dyDescent="0.25">
      <c r="A468" s="10">
        <f>'Pairings NB'!B2075</f>
        <v>1954</v>
      </c>
      <c r="B468" s="10" t="str">
        <f>'Pairings NB'!C2075</f>
        <v>23/10/2026</v>
      </c>
      <c r="C468" s="10" t="str">
        <f>'Pairings NB'!D2075</f>
        <v>viernes</v>
      </c>
      <c r="D468" s="10" t="str">
        <f>'Pairings NB'!E2075&amp;"/"&amp;'Pairings NB'!E2076</f>
        <v>2356/2357</v>
      </c>
      <c r="E468" s="10" t="str">
        <f>'Pairings NB'!F2075&amp;"-"&amp;'Pairings NB'!G2075&amp;"-"&amp;'Pairings NB'!F2075</f>
        <v>LIM-CUZ-LIM</v>
      </c>
      <c r="F468" s="10" t="str">
        <f>IFERROR(VLOOKUP('Pairings NB'!$M$2075,Instructores!$A:$C,2,FALSE),"")</f>
        <v/>
      </c>
      <c r="G468" s="10">
        <f>'Pairings NB'!$M$2075</f>
        <v>0</v>
      </c>
      <c r="H468" s="10">
        <f>'Pairings NB'!$O$2075</f>
        <v>0</v>
      </c>
      <c r="I468" s="10">
        <f>'Pairings NB'!J2075</f>
        <v>319</v>
      </c>
      <c r="J468" s="10" t="str">
        <f>IFERROR(VLOOKUP('Pairings NB'!$M$2075,Instructores!$A:$C,3,FALSE),"")</f>
        <v/>
      </c>
      <c r="K468" s="10">
        <f>IF('Pairings NB'!J2075=320,4,3)</f>
        <v>3</v>
      </c>
    </row>
    <row r="469" spans="1:11" x14ac:dyDescent="0.25">
      <c r="A469" s="10">
        <f>'Pairings NB'!B2080</f>
        <v>1958</v>
      </c>
      <c r="B469" s="10" t="str">
        <f>'Pairings NB'!C2080</f>
        <v>23/10/2026</v>
      </c>
      <c r="C469" s="10" t="str">
        <f>'Pairings NB'!D2080</f>
        <v>viernes</v>
      </c>
      <c r="D469" s="10" t="str">
        <f>'Pairings NB'!E2080&amp;"/"&amp;'Pairings NB'!E2081</f>
        <v>2120/2121</v>
      </c>
      <c r="E469" s="10" t="str">
        <f>'Pairings NB'!F2080&amp;"-"&amp;'Pairings NB'!G2080&amp;"-"&amp;'Pairings NB'!F2080</f>
        <v>LIM-CUZ-LIM</v>
      </c>
      <c r="F469" s="10" t="str">
        <f>IFERROR(VLOOKUP('Pairings NB'!$M$2080,Instructores!$A:$C,2,FALSE),"")</f>
        <v/>
      </c>
      <c r="G469" s="10">
        <f>'Pairings NB'!$M$2080</f>
        <v>0</v>
      </c>
      <c r="H469" s="10">
        <f>'Pairings NB'!$O$2080</f>
        <v>0</v>
      </c>
      <c r="I469" s="10">
        <f>'Pairings NB'!J2080</f>
        <v>320</v>
      </c>
      <c r="J469" s="10" t="str">
        <f>IFERROR(VLOOKUP('Pairings NB'!$M$2080,Instructores!$A:$C,3,FALSE),"")</f>
        <v/>
      </c>
      <c r="K469" s="10">
        <f>IF('Pairings NB'!J2080=320,4,3)</f>
        <v>4</v>
      </c>
    </row>
    <row r="470" spans="1:11" x14ac:dyDescent="0.25">
      <c r="A470" s="10">
        <f>'Pairings NB'!B2085</f>
        <v>1961</v>
      </c>
      <c r="B470" s="10" t="str">
        <f>'Pairings NB'!C2085</f>
        <v>23/10/2026</v>
      </c>
      <c r="C470" s="10" t="str">
        <f>'Pairings NB'!D2085</f>
        <v>viernes</v>
      </c>
      <c r="D470" s="10" t="str">
        <f>'Pairings NB'!E2085&amp;"/"&amp;'Pairings NB'!E2086</f>
        <v>2043/2044</v>
      </c>
      <c r="E470" s="10" t="str">
        <f>'Pairings NB'!F2085&amp;"-"&amp;'Pairings NB'!G2085&amp;"-"&amp;'Pairings NB'!F2085</f>
        <v>LIM-AQP-LIM</v>
      </c>
      <c r="F470" s="10" t="str">
        <f>IFERROR(VLOOKUP('Pairings NB'!$M$2085,Instructores!$A:$C,2,FALSE),"")</f>
        <v/>
      </c>
      <c r="G470" s="10">
        <f>'Pairings NB'!$M$2085</f>
        <v>0</v>
      </c>
      <c r="H470" s="10">
        <f>'Pairings NB'!$O$2085</f>
        <v>0</v>
      </c>
      <c r="I470" s="10">
        <f>'Pairings NB'!J2085</f>
        <v>320</v>
      </c>
      <c r="J470" s="10" t="str">
        <f>IFERROR(VLOOKUP('Pairings NB'!$M$2085,Instructores!$A:$C,3,FALSE),"")</f>
        <v/>
      </c>
      <c r="K470" s="10">
        <f>IF('Pairings NB'!J2085=320,4,3)</f>
        <v>4</v>
      </c>
    </row>
    <row r="471" spans="1:11" x14ac:dyDescent="0.25">
      <c r="A471" s="10">
        <f>'Pairings NB'!B2087</f>
        <v>1988</v>
      </c>
      <c r="B471" s="10" t="str">
        <f>'Pairings NB'!C2087</f>
        <v>23/10/2026</v>
      </c>
      <c r="C471" s="10" t="str">
        <f>'Pairings NB'!D2087</f>
        <v>viernes</v>
      </c>
      <c r="D471" s="10" t="str">
        <f>'Pairings NB'!E2087&amp;"/"&amp;'Pairings NB'!E2088</f>
        <v>2236/2237</v>
      </c>
      <c r="E471" s="10" t="str">
        <f>'Pairings NB'!F2087&amp;"-"&amp;'Pairings NB'!G2087&amp;"-"&amp;'Pairings NB'!F2087</f>
        <v>LIM-PIU-LIM</v>
      </c>
      <c r="F471" s="10" t="str">
        <f>IFERROR(VLOOKUP('Pairings NB'!$M$2085,Instructores!$A:$C,2,FALSE),"")</f>
        <v/>
      </c>
      <c r="G471" s="10">
        <f>'Pairings NB'!$M$2085</f>
        <v>0</v>
      </c>
      <c r="H471" s="10">
        <f>'Pairings NB'!$O$2085</f>
        <v>0</v>
      </c>
      <c r="I471" s="10">
        <f>'Pairings NB'!J2087</f>
        <v>320</v>
      </c>
      <c r="J471" s="10" t="str">
        <f>IFERROR(VLOOKUP('Pairings NB'!$M$2085,Instructores!$A:$C,3,FALSE),"")</f>
        <v/>
      </c>
      <c r="K471" s="10">
        <f>IF('Pairings NB'!J2087=320,4,3)</f>
        <v>4</v>
      </c>
    </row>
    <row r="472" spans="1:11" x14ac:dyDescent="0.25">
      <c r="A472" s="10">
        <f>'Pairings NB'!B2092</f>
        <v>1969</v>
      </c>
      <c r="B472" s="10" t="str">
        <f>'Pairings NB'!C2092</f>
        <v>23/10/2026</v>
      </c>
      <c r="C472" s="10" t="str">
        <f>'Pairings NB'!D2092</f>
        <v>viernes</v>
      </c>
      <c r="D472" s="10" t="str">
        <f>'Pairings NB'!E2092&amp;"/"&amp;'Pairings NB'!E2093</f>
        <v>2087/2088</v>
      </c>
      <c r="E472" s="10" t="str">
        <f>'Pairings NB'!F2092&amp;"-"&amp;'Pairings NB'!G2092&amp;"-"&amp;'Pairings NB'!F2092</f>
        <v>LIM-TPP-LIM</v>
      </c>
      <c r="F472" s="10" t="str">
        <f>IFERROR(VLOOKUP('Pairings NB'!$M$2092,Instructores!$A:$C,2,FALSE),"")</f>
        <v/>
      </c>
      <c r="G472" s="10">
        <f>'Pairings NB'!$M$2092</f>
        <v>0</v>
      </c>
      <c r="H472" s="10">
        <f>'Pairings NB'!$O$2092</f>
        <v>0</v>
      </c>
      <c r="I472" s="10">
        <f>'Pairings NB'!J2092</f>
        <v>320</v>
      </c>
      <c r="J472" s="10" t="str">
        <f>IFERROR(VLOOKUP('Pairings NB'!$M$2092,Instructores!$A:$C,3,FALSE),"")</f>
        <v/>
      </c>
      <c r="K472" s="10">
        <f>IF('Pairings NB'!J2092=320,4,3)</f>
        <v>4</v>
      </c>
    </row>
    <row r="473" spans="1:11" x14ac:dyDescent="0.25">
      <c r="A473" s="10">
        <f>'Pairings NB'!B2094</f>
        <v>1989</v>
      </c>
      <c r="B473" s="10" t="str">
        <f>'Pairings NB'!C2094</f>
        <v>23/10/2026</v>
      </c>
      <c r="C473" s="10" t="str">
        <f>'Pairings NB'!D2094</f>
        <v>viernes</v>
      </c>
      <c r="D473" s="10" t="str">
        <f>'Pairings NB'!E2094&amp;"/"&amp;'Pairings NB'!E2095</f>
        <v>2091/2092</v>
      </c>
      <c r="E473" s="10" t="str">
        <f>'Pairings NB'!F2094&amp;"-"&amp;'Pairings NB'!G2094&amp;"-"&amp;'Pairings NB'!F2094</f>
        <v>LIM-TPP-LIM</v>
      </c>
      <c r="F473" s="10" t="str">
        <f>IFERROR(VLOOKUP('Pairings NB'!$M$2092,Instructores!$A:$C,2,FALSE),"")</f>
        <v/>
      </c>
      <c r="G473" s="10">
        <f>'Pairings NB'!$M$2092</f>
        <v>0</v>
      </c>
      <c r="H473" s="10">
        <f>'Pairings NB'!$O$2092</f>
        <v>0</v>
      </c>
      <c r="I473" s="10">
        <f>'Pairings NB'!J2094</f>
        <v>320</v>
      </c>
      <c r="J473" s="10" t="str">
        <f>IFERROR(VLOOKUP('Pairings NB'!$M$2092,Instructores!$A:$C,3,FALSE),"")</f>
        <v/>
      </c>
      <c r="K473" s="10">
        <f>IF('Pairings NB'!J2094=320,4,3)</f>
        <v>4</v>
      </c>
    </row>
    <row r="474" spans="1:11" x14ac:dyDescent="0.25">
      <c r="A474" s="10">
        <f>'Pairings NB'!B2099</f>
        <v>1971</v>
      </c>
      <c r="B474" s="10" t="str">
        <f>'Pairings NB'!C2099</f>
        <v>23/10/2026</v>
      </c>
      <c r="C474" s="10" t="str">
        <f>'Pairings NB'!D2099</f>
        <v>viernes</v>
      </c>
      <c r="D474" s="10" t="str">
        <f>'Pairings NB'!E2099&amp;"/"&amp;'Pairings NB'!E2100</f>
        <v>2338/2339</v>
      </c>
      <c r="E474" s="10" t="str">
        <f>'Pairings NB'!F2099&amp;"-"&amp;'Pairings NB'!G2099&amp;"-"&amp;'Pairings NB'!F2099</f>
        <v>LIM-PIU-LIM</v>
      </c>
      <c r="F474" s="10" t="str">
        <f>IFERROR(VLOOKUP('Pairings NB'!$M$2099,Instructores!$A:$C,2,FALSE),"")</f>
        <v/>
      </c>
      <c r="G474" s="10">
        <f>'Pairings NB'!$M$2099</f>
        <v>0</v>
      </c>
      <c r="H474" s="10">
        <f>'Pairings NB'!$O$2099</f>
        <v>0</v>
      </c>
      <c r="I474" s="10">
        <f>'Pairings NB'!J2099</f>
        <v>320</v>
      </c>
      <c r="J474" s="10" t="str">
        <f>IFERROR(VLOOKUP('Pairings NB'!$M$2099,Instructores!$A:$C,3,FALSE),"")</f>
        <v/>
      </c>
      <c r="K474" s="10">
        <f>IF('Pairings NB'!J2099=320,4,3)</f>
        <v>4</v>
      </c>
    </row>
    <row r="475" spans="1:11" x14ac:dyDescent="0.25">
      <c r="A475" s="10">
        <f>'Pairings NB'!B2104</f>
        <v>1973</v>
      </c>
      <c r="B475" s="10" t="str">
        <f>'Pairings NB'!C2104</f>
        <v>23/10/2026</v>
      </c>
      <c r="C475" s="10" t="str">
        <f>'Pairings NB'!D2104</f>
        <v>viernes</v>
      </c>
      <c r="D475" s="10" t="str">
        <f>'Pairings NB'!E2104&amp;"/"&amp;'Pairings NB'!E2105</f>
        <v>2297/2296</v>
      </c>
      <c r="E475" s="10" t="str">
        <f>'Pairings NB'!F2104&amp;"-"&amp;'Pairings NB'!G2104&amp;"-"&amp;'Pairings NB'!F2104</f>
        <v>LIM-CJA-LIM</v>
      </c>
      <c r="F475" s="10" t="str">
        <f>IFERROR(VLOOKUP('Pairings NB'!$M$2104,Instructores!$A:$C,2,FALSE),"")</f>
        <v/>
      </c>
      <c r="G475" s="10">
        <f>'Pairings NB'!$M$2104</f>
        <v>0</v>
      </c>
      <c r="H475" s="10">
        <f>'Pairings NB'!$O$2104</f>
        <v>0</v>
      </c>
      <c r="I475" s="10">
        <f>'Pairings NB'!J2104</f>
        <v>320</v>
      </c>
      <c r="J475" s="10" t="str">
        <f>IFERROR(VLOOKUP('Pairings NB'!$M$2104,Instructores!$A:$C,3,FALSE),"")</f>
        <v/>
      </c>
      <c r="K475" s="10">
        <f>IF('Pairings NB'!J2104=320,4,3)</f>
        <v>4</v>
      </c>
    </row>
    <row r="476" spans="1:11" x14ac:dyDescent="0.25">
      <c r="A476" s="10">
        <f>'Pairings NB'!B2109</f>
        <v>1974</v>
      </c>
      <c r="B476" s="10" t="str">
        <f>'Pairings NB'!C2109</f>
        <v>23/10/2026</v>
      </c>
      <c r="C476" s="10" t="str">
        <f>'Pairings NB'!D2109</f>
        <v>viernes</v>
      </c>
      <c r="D476" s="10" t="str">
        <f>'Pairings NB'!E2109&amp;"/"&amp;'Pairings NB'!E2110</f>
        <v>2297/2296</v>
      </c>
      <c r="E476" s="10" t="str">
        <f>'Pairings NB'!F2109&amp;"-"&amp;'Pairings NB'!G2109&amp;"-"&amp;'Pairings NB'!F2109</f>
        <v>LIM-CJA-LIM</v>
      </c>
      <c r="F476" s="10" t="str">
        <f>IFERROR(VLOOKUP('Pairings NB'!$M$2109,Instructores!$A:$C,2,FALSE),"")</f>
        <v/>
      </c>
      <c r="G476" s="10">
        <f>'Pairings NB'!$M$2109</f>
        <v>0</v>
      </c>
      <c r="H476" s="10">
        <f>'Pairings NB'!$O$2109</f>
        <v>0</v>
      </c>
      <c r="I476" s="10">
        <f>'Pairings NB'!J2109</f>
        <v>320</v>
      </c>
      <c r="J476" s="10" t="str">
        <f>IFERROR(VLOOKUP('Pairings NB'!$M$2109,Instructores!$A:$C,3,FALSE),"")</f>
        <v/>
      </c>
      <c r="K476" s="10">
        <f>IF('Pairings NB'!J2109=320,4,3)</f>
        <v>4</v>
      </c>
    </row>
    <row r="477" spans="1:11" x14ac:dyDescent="0.25">
      <c r="A477" s="10">
        <f>'Pairings NB'!B2114</f>
        <v>1975</v>
      </c>
      <c r="B477" s="10" t="str">
        <f>'Pairings NB'!C2114</f>
        <v>23/10/2026</v>
      </c>
      <c r="C477" s="10" t="str">
        <f>'Pairings NB'!D2114</f>
        <v>viernes</v>
      </c>
      <c r="D477" s="10" t="str">
        <f>'Pairings NB'!E2114&amp;"/"&amp;'Pairings NB'!E2115</f>
        <v>2360/2361</v>
      </c>
      <c r="E477" s="10" t="str">
        <f>'Pairings NB'!F2114&amp;"-"&amp;'Pairings NB'!G2114&amp;"-"&amp;'Pairings NB'!F2114</f>
        <v>LIM-PCL-LIM</v>
      </c>
      <c r="F477" s="10" t="str">
        <f>IFERROR(VLOOKUP('Pairings NB'!$M$2114,Instructores!$A:$C,2,FALSE),"")</f>
        <v/>
      </c>
      <c r="G477" s="10">
        <f>'Pairings NB'!$M$2114</f>
        <v>0</v>
      </c>
      <c r="H477" s="10">
        <f>'Pairings NB'!$O$2114</f>
        <v>0</v>
      </c>
      <c r="I477" s="10">
        <f>'Pairings NB'!J2114</f>
        <v>320</v>
      </c>
      <c r="J477" s="10" t="str">
        <f>IFERROR(VLOOKUP('Pairings NB'!$M$2114,Instructores!$A:$C,3,FALSE),"")</f>
        <v/>
      </c>
      <c r="K477" s="10">
        <f>IF('Pairings NB'!J2114=320,4,3)</f>
        <v>4</v>
      </c>
    </row>
    <row r="478" spans="1:11" x14ac:dyDescent="0.25">
      <c r="A478" s="10">
        <f>'Pairings NB'!B2119</f>
        <v>1976</v>
      </c>
      <c r="B478" s="10" t="str">
        <f>'Pairings NB'!C2119</f>
        <v>23/10/2026</v>
      </c>
      <c r="C478" s="10" t="str">
        <f>'Pairings NB'!D2119</f>
        <v>viernes</v>
      </c>
      <c r="D478" s="10" t="str">
        <f>'Pairings NB'!E2119&amp;"/"&amp;'Pairings NB'!E2120</f>
        <v>2312/2313</v>
      </c>
      <c r="E478" s="10" t="str">
        <f>'Pairings NB'!F2119&amp;"-"&amp;'Pairings NB'!G2119&amp;"-"&amp;'Pairings NB'!F2119</f>
        <v>LIM-CIX-LIM</v>
      </c>
      <c r="F478" s="10" t="str">
        <f>IFERROR(VLOOKUP('Pairings NB'!$M$2119,Instructores!$A:$C,2,FALSE),"")</f>
        <v/>
      </c>
      <c r="G478" s="10">
        <f>'Pairings NB'!$M$2119</f>
        <v>0</v>
      </c>
      <c r="H478" s="10">
        <f>'Pairings NB'!$O$2119</f>
        <v>0</v>
      </c>
      <c r="I478" s="10">
        <f>'Pairings NB'!J2119</f>
        <v>319</v>
      </c>
      <c r="J478" s="10" t="str">
        <f>IFERROR(VLOOKUP('Pairings NB'!$M$2119,Instructores!$A:$C,3,FALSE),"")</f>
        <v/>
      </c>
      <c r="K478" s="10">
        <f>IF('Pairings NB'!J2119=320,4,3)</f>
        <v>3</v>
      </c>
    </row>
    <row r="479" spans="1:11" x14ac:dyDescent="0.25">
      <c r="A479" s="10">
        <f>'Pairings NB'!B2124</f>
        <v>1977</v>
      </c>
      <c r="B479" s="10" t="str">
        <f>'Pairings NB'!C2124</f>
        <v>23/10/2026</v>
      </c>
      <c r="C479" s="10" t="str">
        <f>'Pairings NB'!D2124</f>
        <v>viernes</v>
      </c>
      <c r="D479" s="10" t="str">
        <f>'Pairings NB'!E2124&amp;"/"&amp;'Pairings NB'!E2125</f>
        <v>2301/2300</v>
      </c>
      <c r="E479" s="10" t="str">
        <f>'Pairings NB'!F2124&amp;"-"&amp;'Pairings NB'!G2124&amp;"-"&amp;'Pairings NB'!F2124</f>
        <v>LIM-TPP-LIM</v>
      </c>
      <c r="F479" s="10" t="str">
        <f>IFERROR(VLOOKUP('Pairings NB'!$M$2124,Instructores!$A:$C,2,FALSE),"")</f>
        <v/>
      </c>
      <c r="G479" s="10">
        <f>'Pairings NB'!$M$2124</f>
        <v>0</v>
      </c>
      <c r="H479" s="10">
        <f>'Pairings NB'!$O$2124</f>
        <v>0</v>
      </c>
      <c r="I479" s="10">
        <f>'Pairings NB'!J2124</f>
        <v>320</v>
      </c>
      <c r="J479" s="10" t="str">
        <f>IFERROR(VLOOKUP('Pairings NB'!$M$2124,Instructores!$A:$C,3,FALSE),"")</f>
        <v/>
      </c>
      <c r="K479" s="10">
        <f>IF('Pairings NB'!J2124=320,4,3)</f>
        <v>4</v>
      </c>
    </row>
    <row r="480" spans="1:11" x14ac:dyDescent="0.25">
      <c r="A480" s="10">
        <f>'Pairings NB'!B2129</f>
        <v>1982</v>
      </c>
      <c r="B480" s="10" t="str">
        <f>'Pairings NB'!C2129</f>
        <v>23/10/2026</v>
      </c>
      <c r="C480" s="10" t="str">
        <f>'Pairings NB'!D2129</f>
        <v>viernes</v>
      </c>
      <c r="D480" s="10" t="str">
        <f>'Pairings NB'!E2129&amp;"/"&amp;'Pairings NB'!E2130</f>
        <v>2127/2026</v>
      </c>
      <c r="E480" s="10" t="str">
        <f>'Pairings NB'!F2129&amp;"-"&amp;'Pairings NB'!G2129&amp;"-"&amp;'Pairings NB'!F2129</f>
        <v>LIM-CUZ-LIM</v>
      </c>
      <c r="F480" s="10" t="str">
        <f>IFERROR(VLOOKUP('Pairings NB'!$M$2129,Instructores!$A:$C,2,FALSE),"")</f>
        <v/>
      </c>
      <c r="G480" s="10">
        <f>'Pairings NB'!$M$2129</f>
        <v>0</v>
      </c>
      <c r="H480" s="10">
        <f>'Pairings NB'!$O$2129</f>
        <v>0</v>
      </c>
      <c r="I480" s="10">
        <f>'Pairings NB'!J2129</f>
        <v>320</v>
      </c>
      <c r="J480" s="10" t="str">
        <f>IFERROR(VLOOKUP('Pairings NB'!$M$2129,Instructores!$A:$C,3,FALSE),"")</f>
        <v/>
      </c>
      <c r="K480" s="10">
        <f>IF('Pairings NB'!J2129=320,4,3)</f>
        <v>4</v>
      </c>
    </row>
    <row r="481" spans="1:11" x14ac:dyDescent="0.25">
      <c r="A481" s="10">
        <f>'Pairings NB'!B2134</f>
        <v>1983</v>
      </c>
      <c r="B481" s="10" t="str">
        <f>'Pairings NB'!C2134</f>
        <v>23/10/2026</v>
      </c>
      <c r="C481" s="10" t="str">
        <f>'Pairings NB'!D2134</f>
        <v>viernes</v>
      </c>
      <c r="D481" s="10" t="str">
        <f>'Pairings NB'!E2134&amp;"/"&amp;'Pairings NB'!E2135</f>
        <v>2276/2277</v>
      </c>
      <c r="E481" s="10" t="str">
        <f>'Pairings NB'!F2134&amp;"-"&amp;'Pairings NB'!G2134&amp;"-"&amp;'Pairings NB'!F2134</f>
        <v>LIM-CUZ-LIM</v>
      </c>
      <c r="F481" s="10" t="str">
        <f>IFERROR(VLOOKUP('Pairings NB'!$M$2134,Instructores!$A:$C,2,FALSE),"")</f>
        <v/>
      </c>
      <c r="G481" s="10">
        <f>'Pairings NB'!$M$2134</f>
        <v>0</v>
      </c>
      <c r="H481" s="10">
        <f>'Pairings NB'!$O$2134</f>
        <v>0</v>
      </c>
      <c r="I481" s="10">
        <f>'Pairings NB'!J2134</f>
        <v>320</v>
      </c>
      <c r="J481" s="10" t="str">
        <f>IFERROR(VLOOKUP('Pairings NB'!$M$2134,Instructores!$A:$C,3,FALSE),"")</f>
        <v/>
      </c>
      <c r="K481" s="10">
        <f>IF('Pairings NB'!J2134=320,4,3)</f>
        <v>4</v>
      </c>
    </row>
    <row r="482" spans="1:11" x14ac:dyDescent="0.25">
      <c r="A482" s="10">
        <f>'Pairings NB'!B2139</f>
        <v>1984</v>
      </c>
      <c r="B482" s="10" t="str">
        <f>'Pairings NB'!C2139</f>
        <v>23/10/2026</v>
      </c>
      <c r="C482" s="10" t="str">
        <f>'Pairings NB'!D2139</f>
        <v>viernes</v>
      </c>
      <c r="D482" s="10" t="str">
        <f>'Pairings NB'!E2139&amp;"/"&amp;'Pairings NB'!E2140</f>
        <v>2276/2277</v>
      </c>
      <c r="E482" s="10" t="str">
        <f>'Pairings NB'!F2139&amp;"-"&amp;'Pairings NB'!G2139&amp;"-"&amp;'Pairings NB'!F2139</f>
        <v>LIM-CUZ-LIM</v>
      </c>
      <c r="F482" s="10" t="str">
        <f>IFERROR(VLOOKUP('Pairings NB'!$M$2139,Instructores!$A:$C,2,FALSE),"")</f>
        <v/>
      </c>
      <c r="G482" s="10">
        <f>'Pairings NB'!$M$2139</f>
        <v>0</v>
      </c>
      <c r="H482" s="10">
        <f>'Pairings NB'!$O$2139</f>
        <v>0</v>
      </c>
      <c r="I482" s="10">
        <f>'Pairings NB'!J2139</f>
        <v>320</v>
      </c>
      <c r="J482" s="10" t="str">
        <f>IFERROR(VLOOKUP('Pairings NB'!$M$2139,Instructores!$A:$C,3,FALSE),"")</f>
        <v/>
      </c>
      <c r="K482" s="10">
        <f>IF('Pairings NB'!J2139=320,4,3)</f>
        <v>4</v>
      </c>
    </row>
    <row r="483" spans="1:11" x14ac:dyDescent="0.25">
      <c r="A483" s="10">
        <f>'Pairings NB'!B2144</f>
        <v>2024</v>
      </c>
      <c r="B483" s="10" t="str">
        <f>'Pairings NB'!C2144</f>
        <v>24/10/2026</v>
      </c>
      <c r="C483" s="10" t="str">
        <f>'Pairings NB'!D2144</f>
        <v>sábado</v>
      </c>
      <c r="D483" s="10" t="str">
        <f>'Pairings NB'!E2144&amp;"/"&amp;'Pairings NB'!E2145</f>
        <v>2013/2014</v>
      </c>
      <c r="E483" s="10" t="str">
        <f>'Pairings NB'!F2144&amp;"-"&amp;'Pairings NB'!G2144&amp;"-"&amp;'Pairings NB'!F2144</f>
        <v>LIM-CUZ-LIM</v>
      </c>
      <c r="F483" s="10" t="str">
        <f>IFERROR(VLOOKUP('Pairings NB'!$M$2144,Instructores!$A:$C,2,FALSE),"")</f>
        <v/>
      </c>
      <c r="G483" s="10">
        <f>'Pairings NB'!$M$2144</f>
        <v>0</v>
      </c>
      <c r="H483" s="10">
        <f>'Pairings NB'!$O$2144</f>
        <v>0</v>
      </c>
      <c r="I483" s="10">
        <f>'Pairings NB'!J2144</f>
        <v>320</v>
      </c>
      <c r="J483" s="10" t="str">
        <f>IFERROR(VLOOKUP('Pairings NB'!$M$2144,Instructores!$A:$C,3,FALSE),"")</f>
        <v/>
      </c>
      <c r="K483" s="10">
        <f>IF('Pairings NB'!J2144=320,4,3)</f>
        <v>4</v>
      </c>
    </row>
    <row r="484" spans="1:11" x14ac:dyDescent="0.25">
      <c r="A484" s="10">
        <f>'Pairings NB'!B2146</f>
        <v>2052</v>
      </c>
      <c r="B484" s="10" t="str">
        <f>'Pairings NB'!C2146</f>
        <v>24/10/2026</v>
      </c>
      <c r="C484" s="10" t="str">
        <f>'Pairings NB'!D2146</f>
        <v>sábado</v>
      </c>
      <c r="D484" s="10" t="str">
        <f>'Pairings NB'!E2146&amp;"/"&amp;'Pairings NB'!E2147</f>
        <v>2028/2029</v>
      </c>
      <c r="E484" s="10" t="str">
        <f>'Pairings NB'!F2146&amp;"-"&amp;'Pairings NB'!G2146&amp;"-"&amp;'Pairings NB'!F2146</f>
        <v>LIM-CUZ-LIM</v>
      </c>
      <c r="F484" s="10" t="str">
        <f>IFERROR(VLOOKUP('Pairings NB'!$M$2144,Instructores!$A:$C,2,FALSE),"")</f>
        <v/>
      </c>
      <c r="G484" s="10">
        <f>'Pairings NB'!$M$2144</f>
        <v>0</v>
      </c>
      <c r="H484" s="10">
        <f>'Pairings NB'!$O$2144</f>
        <v>0</v>
      </c>
      <c r="I484" s="10">
        <f>'Pairings NB'!J2146</f>
        <v>320</v>
      </c>
      <c r="J484" s="10" t="str">
        <f>IFERROR(VLOOKUP('Pairings NB'!$M$2144,Instructores!$A:$C,3,FALSE),"")</f>
        <v/>
      </c>
      <c r="K484" s="10">
        <f>IF('Pairings NB'!J2146=320,4,3)</f>
        <v>4</v>
      </c>
    </row>
    <row r="485" spans="1:11" x14ac:dyDescent="0.25">
      <c r="A485" s="10">
        <f>'Pairings NB'!B2151</f>
        <v>2033</v>
      </c>
      <c r="B485" s="10" t="str">
        <f>'Pairings NB'!C2151</f>
        <v>24/10/2026</v>
      </c>
      <c r="C485" s="10" t="str">
        <f>'Pairings NB'!D2151</f>
        <v>sábado</v>
      </c>
      <c r="D485" s="10" t="str">
        <f>'Pairings NB'!E2151&amp;"/"&amp;'Pairings NB'!E2152</f>
        <v>2077/2078</v>
      </c>
      <c r="E485" s="10" t="str">
        <f>'Pairings NB'!F2151&amp;"-"&amp;'Pairings NB'!G2151&amp;"-"&amp;'Pairings NB'!F2151</f>
        <v>LIM-CUZ-LIM</v>
      </c>
      <c r="F485" s="10" t="str">
        <f>IFERROR(VLOOKUP('Pairings NB'!$M$2151,Instructores!$A:$C,2,FALSE),"")</f>
        <v/>
      </c>
      <c r="G485" s="10">
        <f>'Pairings NB'!$M$2151</f>
        <v>0</v>
      </c>
      <c r="H485" s="10">
        <f>'Pairings NB'!$O$2151</f>
        <v>0</v>
      </c>
      <c r="I485" s="10">
        <f>'Pairings NB'!J2151</f>
        <v>319</v>
      </c>
      <c r="J485" s="10" t="str">
        <f>IFERROR(VLOOKUP('Pairings NB'!$M$2151,Instructores!$A:$C,3,FALSE),"")</f>
        <v/>
      </c>
      <c r="K485" s="10">
        <f>IF('Pairings NB'!J2151=320,4,3)</f>
        <v>3</v>
      </c>
    </row>
    <row r="486" spans="1:11" x14ac:dyDescent="0.25">
      <c r="A486" s="10">
        <f>'Pairings NB'!B2156</f>
        <v>2034</v>
      </c>
      <c r="B486" s="10" t="str">
        <f>'Pairings NB'!C2156</f>
        <v>24/10/2026</v>
      </c>
      <c r="C486" s="10" t="str">
        <f>'Pairings NB'!D2156</f>
        <v>sábado</v>
      </c>
      <c r="D486" s="10" t="str">
        <f>'Pairings NB'!E2156&amp;"/"&amp;'Pairings NB'!E2157</f>
        <v>2260/2261</v>
      </c>
      <c r="E486" s="10" t="str">
        <f>'Pairings NB'!F2156&amp;"-"&amp;'Pairings NB'!G2156&amp;"-"&amp;'Pairings NB'!F2156</f>
        <v>LIM-PEM-LIM</v>
      </c>
      <c r="F486" s="10" t="str">
        <f>IFERROR(VLOOKUP('Pairings NB'!$M$2156,Instructores!$A:$C,2,FALSE),"")</f>
        <v/>
      </c>
      <c r="G486" s="10">
        <f>'Pairings NB'!$M$2156</f>
        <v>0</v>
      </c>
      <c r="H486" s="10">
        <f>'Pairings NB'!$O$2156</f>
        <v>0</v>
      </c>
      <c r="I486" s="10">
        <f>'Pairings NB'!J2156</f>
        <v>320</v>
      </c>
      <c r="J486" s="10" t="str">
        <f>IFERROR(VLOOKUP('Pairings NB'!$M$2156,Instructores!$A:$C,3,FALSE),"")</f>
        <v/>
      </c>
      <c r="K486" s="10">
        <f>IF('Pairings NB'!J2156=320,4,3)</f>
        <v>4</v>
      </c>
    </row>
    <row r="487" spans="1:11" x14ac:dyDescent="0.25">
      <c r="A487" s="10">
        <f>'Pairings NB'!B2158</f>
        <v>2063</v>
      </c>
      <c r="B487" s="10" t="str">
        <f>'Pairings NB'!C2158</f>
        <v>24/10/2026</v>
      </c>
      <c r="C487" s="10" t="str">
        <f>'Pairings NB'!D2158</f>
        <v>sábado</v>
      </c>
      <c r="D487" s="10" t="str">
        <f>'Pairings NB'!E2158&amp;"/"&amp;'Pairings NB'!E2159</f>
        <v>2297/2296</v>
      </c>
      <c r="E487" s="10" t="str">
        <f>'Pairings NB'!F2158&amp;"-"&amp;'Pairings NB'!G2158&amp;"-"&amp;'Pairings NB'!F2158</f>
        <v>LIM-CJA-LIM</v>
      </c>
      <c r="F487" s="10" t="str">
        <f>IFERROR(VLOOKUP('Pairings NB'!$M$2156,Instructores!$A:$C,2,FALSE),"")</f>
        <v/>
      </c>
      <c r="G487" s="10">
        <f>'Pairings NB'!$M$2156</f>
        <v>0</v>
      </c>
      <c r="H487" s="10">
        <f>'Pairings NB'!$O$2156</f>
        <v>0</v>
      </c>
      <c r="I487" s="10">
        <f>'Pairings NB'!J2158</f>
        <v>320</v>
      </c>
      <c r="J487" s="10" t="str">
        <f>IFERROR(VLOOKUP('Pairings NB'!$M$2156,Instructores!$A:$C,3,FALSE),"")</f>
        <v/>
      </c>
      <c r="K487" s="10">
        <f>IF('Pairings NB'!J2158=320,4,3)</f>
        <v>4</v>
      </c>
    </row>
    <row r="488" spans="1:11" x14ac:dyDescent="0.25">
      <c r="A488" s="10">
        <f>'Pairings NB'!B2163</f>
        <v>2035</v>
      </c>
      <c r="B488" s="10" t="str">
        <f>'Pairings NB'!C2163</f>
        <v>24/10/2026</v>
      </c>
      <c r="C488" s="10" t="str">
        <f>'Pairings NB'!D2163</f>
        <v>sábado</v>
      </c>
      <c r="D488" s="10" t="str">
        <f>'Pairings NB'!E2163&amp;"/"&amp;'Pairings NB'!E2164</f>
        <v>2015/2016</v>
      </c>
      <c r="E488" s="10" t="str">
        <f>'Pairings NB'!F2163&amp;"-"&amp;'Pairings NB'!G2163&amp;"-"&amp;'Pairings NB'!F2163</f>
        <v>LIM-PIU-LIM</v>
      </c>
      <c r="F488" s="10" t="str">
        <f>IFERROR(VLOOKUP('Pairings NB'!$M$2163,Instructores!$A:$C,2,FALSE),"")</f>
        <v/>
      </c>
      <c r="G488" s="10">
        <f>'Pairings NB'!$M$2163</f>
        <v>0</v>
      </c>
      <c r="H488" s="10">
        <f>'Pairings NB'!$O$2163</f>
        <v>0</v>
      </c>
      <c r="I488" s="10">
        <f>'Pairings NB'!J2163</f>
        <v>320</v>
      </c>
      <c r="J488" s="10" t="str">
        <f>IFERROR(VLOOKUP('Pairings NB'!$M$2163,Instructores!$A:$C,3,FALSE),"")</f>
        <v/>
      </c>
      <c r="K488" s="10">
        <f>IF('Pairings NB'!J2163=320,4,3)</f>
        <v>4</v>
      </c>
    </row>
    <row r="489" spans="1:11" x14ac:dyDescent="0.25">
      <c r="A489" s="10">
        <f>'Pairings NB'!B2168</f>
        <v>2036</v>
      </c>
      <c r="B489" s="10" t="str">
        <f>'Pairings NB'!C2168</f>
        <v>24/10/2026</v>
      </c>
      <c r="C489" s="10" t="str">
        <f>'Pairings NB'!D2168</f>
        <v>sábado</v>
      </c>
      <c r="D489" s="10" t="str">
        <f>'Pairings NB'!E2168&amp;"/"&amp;'Pairings NB'!E2169</f>
        <v>2299/2298</v>
      </c>
      <c r="E489" s="10" t="str">
        <f>'Pairings NB'!F2168&amp;"-"&amp;'Pairings NB'!G2168&amp;"-"&amp;'Pairings NB'!F2168</f>
        <v>LIM-CJA-LIM</v>
      </c>
      <c r="F489" s="10" t="str">
        <f>IFERROR(VLOOKUP('Pairings NB'!$M$2168,Instructores!$A:$C,2,FALSE),"")</f>
        <v/>
      </c>
      <c r="G489" s="10">
        <f>'Pairings NB'!$M$2168</f>
        <v>0</v>
      </c>
      <c r="H489" s="10">
        <f>'Pairings NB'!$O$2168</f>
        <v>0</v>
      </c>
      <c r="I489" s="10">
        <f>'Pairings NB'!J2168</f>
        <v>320</v>
      </c>
      <c r="J489" s="10" t="str">
        <f>IFERROR(VLOOKUP('Pairings NB'!$M$2168,Instructores!$A:$C,3,FALSE),"")</f>
        <v/>
      </c>
      <c r="K489" s="10">
        <f>IF('Pairings NB'!J2168=320,4,3)</f>
        <v>4</v>
      </c>
    </row>
    <row r="490" spans="1:11" x14ac:dyDescent="0.25">
      <c r="A490" s="10">
        <f>'Pairings NB'!B2173</f>
        <v>2038</v>
      </c>
      <c r="B490" s="10" t="str">
        <f>'Pairings NB'!C2173</f>
        <v>24/10/2026</v>
      </c>
      <c r="C490" s="10" t="str">
        <f>'Pairings NB'!D2173</f>
        <v>sábado</v>
      </c>
      <c r="D490" s="10" t="str">
        <f>'Pairings NB'!E2173&amp;"/"&amp;'Pairings NB'!E2174</f>
        <v>2061/2062</v>
      </c>
      <c r="E490" s="10" t="str">
        <f>'Pairings NB'!F2173&amp;"-"&amp;'Pairings NB'!G2173&amp;"-"&amp;'Pairings NB'!F2173</f>
        <v>LIM-CUZ-LIM</v>
      </c>
      <c r="F490" s="10" t="str">
        <f>IFERROR(VLOOKUP('Pairings NB'!$M$2173,Instructores!$A:$C,2,FALSE),"")</f>
        <v/>
      </c>
      <c r="G490" s="10">
        <f>'Pairings NB'!$M$2173</f>
        <v>0</v>
      </c>
      <c r="H490" s="10">
        <f>'Pairings NB'!$O$2173</f>
        <v>0</v>
      </c>
      <c r="I490" s="10">
        <f>'Pairings NB'!J2173</f>
        <v>320</v>
      </c>
      <c r="J490" s="10" t="str">
        <f>IFERROR(VLOOKUP('Pairings NB'!$M$2173,Instructores!$A:$C,3,FALSE),"")</f>
        <v/>
      </c>
      <c r="K490" s="10">
        <f>IF('Pairings NB'!J2173=320,4,3)</f>
        <v>4</v>
      </c>
    </row>
    <row r="491" spans="1:11" x14ac:dyDescent="0.25">
      <c r="A491" s="10">
        <f>'Pairings NB'!B2175</f>
        <v>2069</v>
      </c>
      <c r="B491" s="10" t="str">
        <f>'Pairings NB'!C2175</f>
        <v>24/10/2026</v>
      </c>
      <c r="C491" s="10" t="str">
        <f>'Pairings NB'!D2175</f>
        <v>sábado</v>
      </c>
      <c r="D491" s="10" t="str">
        <f>'Pairings NB'!E2175&amp;"/"&amp;'Pairings NB'!E2176</f>
        <v>2276/2277</v>
      </c>
      <c r="E491" s="10" t="str">
        <f>'Pairings NB'!F2175&amp;"-"&amp;'Pairings NB'!G2175&amp;"-"&amp;'Pairings NB'!F2175</f>
        <v>LIM-CUZ-LIM</v>
      </c>
      <c r="F491" s="10" t="str">
        <f>IFERROR(VLOOKUP('Pairings NB'!$M$2173,Instructores!$A:$C,2,FALSE),"")</f>
        <v/>
      </c>
      <c r="G491" s="10">
        <f>'Pairings NB'!$M$2173</f>
        <v>0</v>
      </c>
      <c r="H491" s="10">
        <f>'Pairings NB'!$O$2173</f>
        <v>0</v>
      </c>
      <c r="I491" s="10">
        <f>'Pairings NB'!J2175</f>
        <v>320</v>
      </c>
      <c r="J491" s="10" t="str">
        <f>IFERROR(VLOOKUP('Pairings NB'!$M$2173,Instructores!$A:$C,3,FALSE),"")</f>
        <v/>
      </c>
      <c r="K491" s="10">
        <f>IF('Pairings NB'!J2175=320,4,3)</f>
        <v>4</v>
      </c>
    </row>
    <row r="492" spans="1:11" x14ac:dyDescent="0.25">
      <c r="A492" s="10">
        <f>'Pairings NB'!B2180</f>
        <v>2043</v>
      </c>
      <c r="B492" s="10" t="str">
        <f>'Pairings NB'!C2180</f>
        <v>24/10/2026</v>
      </c>
      <c r="C492" s="10" t="str">
        <f>'Pairings NB'!D2180</f>
        <v>sábado</v>
      </c>
      <c r="D492" s="10" t="str">
        <f>'Pairings NB'!E2180&amp;"/"&amp;'Pairings NB'!E2181</f>
        <v>2023/2024</v>
      </c>
      <c r="E492" s="10" t="str">
        <f>'Pairings NB'!F2180&amp;"-"&amp;'Pairings NB'!G2180&amp;"-"&amp;'Pairings NB'!F2180</f>
        <v>LIM-PEM-LIM</v>
      </c>
      <c r="F492" s="10" t="str">
        <f>IFERROR(VLOOKUP('Pairings NB'!$M$2180,Instructores!$A:$C,2,FALSE),"")</f>
        <v/>
      </c>
      <c r="G492" s="10">
        <f>'Pairings NB'!$M$2180</f>
        <v>0</v>
      </c>
      <c r="H492" s="10">
        <f>'Pairings NB'!$O$2180</f>
        <v>0</v>
      </c>
      <c r="I492" s="10">
        <f>'Pairings NB'!J2180</f>
        <v>320</v>
      </c>
      <c r="J492" s="10" t="str">
        <f>IFERROR(VLOOKUP('Pairings NB'!$M$2180,Instructores!$A:$C,3,FALSE),"")</f>
        <v/>
      </c>
      <c r="K492" s="10">
        <f>IF('Pairings NB'!J2180=320,4,3)</f>
        <v>4</v>
      </c>
    </row>
    <row r="493" spans="1:11" x14ac:dyDescent="0.25">
      <c r="A493" s="10">
        <f>'Pairings NB'!B2185</f>
        <v>2046</v>
      </c>
      <c r="B493" s="10" t="str">
        <f>'Pairings NB'!C2185</f>
        <v>24/10/2026</v>
      </c>
      <c r="C493" s="10" t="str">
        <f>'Pairings NB'!D2185</f>
        <v>sábado</v>
      </c>
      <c r="D493" s="10" t="str">
        <f>'Pairings NB'!E2185&amp;"/"&amp;'Pairings NB'!E2186</f>
        <v>2043/2044</v>
      </c>
      <c r="E493" s="10" t="str">
        <f>'Pairings NB'!F2185&amp;"-"&amp;'Pairings NB'!G2185&amp;"-"&amp;'Pairings NB'!F2185</f>
        <v>LIM-AQP-LIM</v>
      </c>
      <c r="F493" s="10" t="str">
        <f>IFERROR(VLOOKUP('Pairings NB'!$M$2185,Instructores!$A:$C,2,FALSE),"")</f>
        <v/>
      </c>
      <c r="G493" s="10">
        <f>'Pairings NB'!$M$2185</f>
        <v>0</v>
      </c>
      <c r="H493" s="10">
        <f>'Pairings NB'!$O$2185</f>
        <v>0</v>
      </c>
      <c r="I493" s="10">
        <f>'Pairings NB'!J2185</f>
        <v>320</v>
      </c>
      <c r="J493" s="10" t="str">
        <f>IFERROR(VLOOKUP('Pairings NB'!$M$2185,Instructores!$A:$C,3,FALSE),"")</f>
        <v/>
      </c>
      <c r="K493" s="10">
        <f>IF('Pairings NB'!J2185=320,4,3)</f>
        <v>4</v>
      </c>
    </row>
    <row r="494" spans="1:11" x14ac:dyDescent="0.25">
      <c r="A494" s="10">
        <f>'Pairings NB'!B2190</f>
        <v>2047</v>
      </c>
      <c r="B494" s="10" t="str">
        <f>'Pairings NB'!C2190</f>
        <v>24/10/2026</v>
      </c>
      <c r="C494" s="10" t="str">
        <f>'Pairings NB'!D2190</f>
        <v>sábado</v>
      </c>
      <c r="D494" s="10" t="str">
        <f>'Pairings NB'!E2190&amp;"/"&amp;'Pairings NB'!E2191</f>
        <v>2308/2309</v>
      </c>
      <c r="E494" s="10" t="str">
        <f>'Pairings NB'!F2190&amp;"-"&amp;'Pairings NB'!G2190&amp;"-"&amp;'Pairings NB'!F2190</f>
        <v>LIM-PIU-LIM</v>
      </c>
      <c r="F494" s="10" t="str">
        <f>IFERROR(VLOOKUP('Pairings NB'!$M$2190,Instructores!$A:$C,2,FALSE),"")</f>
        <v/>
      </c>
      <c r="G494" s="10">
        <f>'Pairings NB'!$M$2190</f>
        <v>0</v>
      </c>
      <c r="H494" s="10">
        <f>'Pairings NB'!$O$2190</f>
        <v>0</v>
      </c>
      <c r="I494" s="10">
        <f>'Pairings NB'!J2190</f>
        <v>320</v>
      </c>
      <c r="J494" s="10" t="str">
        <f>IFERROR(VLOOKUP('Pairings NB'!$M$2190,Instructores!$A:$C,3,FALSE),"")</f>
        <v/>
      </c>
      <c r="K494" s="10">
        <f>IF('Pairings NB'!J2190=320,4,3)</f>
        <v>4</v>
      </c>
    </row>
    <row r="495" spans="1:11" x14ac:dyDescent="0.25">
      <c r="A495" s="10">
        <f>'Pairings NB'!B2195</f>
        <v>2056</v>
      </c>
      <c r="B495" s="10" t="str">
        <f>'Pairings NB'!C2195</f>
        <v>24/10/2026</v>
      </c>
      <c r="C495" s="10" t="str">
        <f>'Pairings NB'!D2195</f>
        <v>sábado</v>
      </c>
      <c r="D495" s="10" t="str">
        <f>'Pairings NB'!E2195&amp;"/"&amp;'Pairings NB'!E2196</f>
        <v>2087/2088</v>
      </c>
      <c r="E495" s="10" t="str">
        <f>'Pairings NB'!F2195&amp;"-"&amp;'Pairings NB'!G2195&amp;"-"&amp;'Pairings NB'!F2195</f>
        <v>LIM-TPP-LIM</v>
      </c>
      <c r="F495" s="10" t="str">
        <f>IFERROR(VLOOKUP('Pairings NB'!$M$2195,Instructores!$A:$C,2,FALSE),"")</f>
        <v/>
      </c>
      <c r="G495" s="10">
        <f>'Pairings NB'!$M$2195</f>
        <v>0</v>
      </c>
      <c r="H495" s="10">
        <f>'Pairings NB'!$O$2195</f>
        <v>0</v>
      </c>
      <c r="I495" s="10">
        <f>'Pairings NB'!J2195</f>
        <v>320</v>
      </c>
      <c r="J495" s="10" t="str">
        <f>IFERROR(VLOOKUP('Pairings NB'!$M$2195,Instructores!$A:$C,3,FALSE),"")</f>
        <v/>
      </c>
      <c r="K495" s="10">
        <f>IF('Pairings NB'!J2195=320,4,3)</f>
        <v>4</v>
      </c>
    </row>
    <row r="496" spans="1:11" x14ac:dyDescent="0.25">
      <c r="A496" s="10">
        <f>'Pairings NB'!B2197</f>
        <v>2070</v>
      </c>
      <c r="B496" s="10" t="str">
        <f>'Pairings NB'!C2197</f>
        <v>24/10/2026</v>
      </c>
      <c r="C496" s="10" t="str">
        <f>'Pairings NB'!D2197</f>
        <v>sábado</v>
      </c>
      <c r="D496" s="10" t="str">
        <f>'Pairings NB'!E2197&amp;"/"&amp;'Pairings NB'!E2198</f>
        <v>2117/2116</v>
      </c>
      <c r="E496" s="10" t="str">
        <f>'Pairings NB'!F2197&amp;"-"&amp;'Pairings NB'!G2197&amp;"-"&amp;'Pairings NB'!F2197</f>
        <v>LIM-AQP-LIM</v>
      </c>
      <c r="F496" s="10" t="str">
        <f>IFERROR(VLOOKUP('Pairings NB'!$M$2195,Instructores!$A:$C,2,FALSE),"")</f>
        <v/>
      </c>
      <c r="G496" s="10">
        <f>'Pairings NB'!$M$2195</f>
        <v>0</v>
      </c>
      <c r="H496" s="10">
        <f>'Pairings NB'!$O$2195</f>
        <v>0</v>
      </c>
      <c r="I496" s="10">
        <f>'Pairings NB'!J2197</f>
        <v>320</v>
      </c>
      <c r="J496" s="10" t="str">
        <f>IFERROR(VLOOKUP('Pairings NB'!$M$2195,Instructores!$A:$C,3,FALSE),"")</f>
        <v/>
      </c>
      <c r="K496" s="10">
        <f>IF('Pairings NB'!J2197=320,4,3)</f>
        <v>4</v>
      </c>
    </row>
    <row r="497" spans="1:11" x14ac:dyDescent="0.25">
      <c r="A497" s="10">
        <f>'Pairings NB'!B2202</f>
        <v>2057</v>
      </c>
      <c r="B497" s="10" t="str">
        <f>'Pairings NB'!C2202</f>
        <v>24/10/2026</v>
      </c>
      <c r="C497" s="10" t="str">
        <f>'Pairings NB'!D2202</f>
        <v>sábado</v>
      </c>
      <c r="D497" s="10" t="str">
        <f>'Pairings NB'!E2202&amp;"/"&amp;'Pairings NB'!E2203</f>
        <v>2295/2294</v>
      </c>
      <c r="E497" s="10" t="str">
        <f>'Pairings NB'!F2202&amp;"-"&amp;'Pairings NB'!G2202&amp;"-"&amp;'Pairings NB'!F2202</f>
        <v>LIM-CJA-LIM</v>
      </c>
      <c r="F497" s="10" t="str">
        <f>IFERROR(VLOOKUP('Pairings NB'!$M$2202,Instructores!$A:$C,2,FALSE),"")</f>
        <v/>
      </c>
      <c r="G497" s="10">
        <f>'Pairings NB'!$M$2202</f>
        <v>0</v>
      </c>
      <c r="H497" s="10">
        <f>'Pairings NB'!$O$2202</f>
        <v>0</v>
      </c>
      <c r="I497" s="10">
        <f>'Pairings NB'!J2202</f>
        <v>320</v>
      </c>
      <c r="J497" s="10" t="str">
        <f>IFERROR(VLOOKUP('Pairings NB'!$M$2202,Instructores!$A:$C,3,FALSE),"")</f>
        <v/>
      </c>
      <c r="K497" s="10">
        <f>IF('Pairings NB'!J2202=320,4,3)</f>
        <v>4</v>
      </c>
    </row>
    <row r="498" spans="1:11" x14ac:dyDescent="0.25">
      <c r="A498" s="10">
        <f>'Pairings NB'!B2207</f>
        <v>2058</v>
      </c>
      <c r="B498" s="10" t="str">
        <f>'Pairings NB'!C2207</f>
        <v>24/10/2026</v>
      </c>
      <c r="C498" s="10" t="str">
        <f>'Pairings NB'!D2207</f>
        <v>sábado</v>
      </c>
      <c r="D498" s="10" t="str">
        <f>'Pairings NB'!E2207&amp;"/"&amp;'Pairings NB'!E2208</f>
        <v>2295/2294</v>
      </c>
      <c r="E498" s="10" t="str">
        <f>'Pairings NB'!F2207&amp;"-"&amp;'Pairings NB'!G2207&amp;"-"&amp;'Pairings NB'!F2207</f>
        <v>LIM-CJA-LIM</v>
      </c>
      <c r="F498" s="10" t="str">
        <f>IFERROR(VLOOKUP('Pairings NB'!$M$2207,Instructores!$A:$C,2,FALSE),"")</f>
        <v/>
      </c>
      <c r="G498" s="10">
        <f>'Pairings NB'!$M$2207</f>
        <v>0</v>
      </c>
      <c r="H498" s="10">
        <f>'Pairings NB'!$O$2207</f>
        <v>0</v>
      </c>
      <c r="I498" s="10">
        <f>'Pairings NB'!J2207</f>
        <v>320</v>
      </c>
      <c r="J498" s="10" t="str">
        <f>IFERROR(VLOOKUP('Pairings NB'!$M$2207,Instructores!$A:$C,3,FALSE),"")</f>
        <v/>
      </c>
      <c r="K498" s="10">
        <f>IF('Pairings NB'!J2207=320,4,3)</f>
        <v>4</v>
      </c>
    </row>
    <row r="499" spans="1:11" x14ac:dyDescent="0.25">
      <c r="A499" s="10">
        <f>'Pairings NB'!B2212</f>
        <v>2060</v>
      </c>
      <c r="B499" s="10" t="str">
        <f>'Pairings NB'!C2212</f>
        <v>24/10/2026</v>
      </c>
      <c r="C499" s="10" t="str">
        <f>'Pairings NB'!D2212</f>
        <v>sábado</v>
      </c>
      <c r="D499" s="10" t="str">
        <f>'Pairings NB'!E2212&amp;"/"&amp;'Pairings NB'!E2213</f>
        <v>2264/2265</v>
      </c>
      <c r="E499" s="10" t="str">
        <f>'Pairings NB'!F2212&amp;"-"&amp;'Pairings NB'!G2212&amp;"-"&amp;'Pairings NB'!F2212</f>
        <v>LIM-PEM-LIM</v>
      </c>
      <c r="F499" s="10" t="str">
        <f>IFERROR(VLOOKUP('Pairings NB'!$M$2212,Instructores!$A:$C,2,FALSE),"")</f>
        <v/>
      </c>
      <c r="G499" s="10">
        <f>'Pairings NB'!$M$2212</f>
        <v>0</v>
      </c>
      <c r="H499" s="10">
        <f>'Pairings NB'!$O$2212</f>
        <v>0</v>
      </c>
      <c r="I499" s="10">
        <f>'Pairings NB'!J2212</f>
        <v>319</v>
      </c>
      <c r="J499" s="10" t="str">
        <f>IFERROR(VLOOKUP('Pairings NB'!$M$2212,Instructores!$A:$C,3,FALSE),"")</f>
        <v/>
      </c>
      <c r="K499" s="10">
        <f>IF('Pairings NB'!J2212=320,4,3)</f>
        <v>3</v>
      </c>
    </row>
    <row r="500" spans="1:11" x14ac:dyDescent="0.25">
      <c r="A500" s="10">
        <f>'Pairings NB'!B2217</f>
        <v>2061</v>
      </c>
      <c r="B500" s="10" t="str">
        <f>'Pairings NB'!C2217</f>
        <v>24/10/2026</v>
      </c>
      <c r="C500" s="10" t="str">
        <f>'Pairings NB'!D2217</f>
        <v>sábado</v>
      </c>
      <c r="D500" s="10" t="str">
        <f>'Pairings NB'!E2217&amp;"/"&amp;'Pairings NB'!E2218</f>
        <v>2338/2339</v>
      </c>
      <c r="E500" s="10" t="str">
        <f>'Pairings NB'!F2217&amp;"-"&amp;'Pairings NB'!G2217&amp;"-"&amp;'Pairings NB'!F2217</f>
        <v>LIM-PIU-LIM</v>
      </c>
      <c r="F500" s="10" t="str">
        <f>IFERROR(VLOOKUP('Pairings NB'!$M$2217,Instructores!$A:$C,2,FALSE),"")</f>
        <v/>
      </c>
      <c r="G500" s="10">
        <f>'Pairings NB'!$M$2217</f>
        <v>0</v>
      </c>
      <c r="H500" s="10">
        <f>'Pairings NB'!$O$2217</f>
        <v>0</v>
      </c>
      <c r="I500" s="10">
        <f>'Pairings NB'!J2217</f>
        <v>320</v>
      </c>
      <c r="J500" s="10" t="str">
        <f>IFERROR(VLOOKUP('Pairings NB'!$M$2217,Instructores!$A:$C,3,FALSE),"")</f>
        <v/>
      </c>
      <c r="K500" s="10">
        <f>IF('Pairings NB'!J2217=320,4,3)</f>
        <v>4</v>
      </c>
    </row>
    <row r="501" spans="1:11" x14ac:dyDescent="0.25">
      <c r="A501" s="10">
        <f>'Pairings NB'!B2222</f>
        <v>2064</v>
      </c>
      <c r="B501" s="10" t="str">
        <f>'Pairings NB'!C2222</f>
        <v>24/10/2026</v>
      </c>
      <c r="C501" s="10" t="str">
        <f>'Pairings NB'!D2222</f>
        <v>sábado</v>
      </c>
      <c r="D501" s="10" t="str">
        <f>'Pairings NB'!E2222&amp;"/"&amp;'Pairings NB'!E2223</f>
        <v>2360/2361</v>
      </c>
      <c r="E501" s="10" t="str">
        <f>'Pairings NB'!F2222&amp;"-"&amp;'Pairings NB'!G2222&amp;"-"&amp;'Pairings NB'!F2222</f>
        <v>LIM-PCL-LIM</v>
      </c>
      <c r="F501" s="10" t="str">
        <f>IFERROR(VLOOKUP('Pairings NB'!$M$2222,Instructores!$A:$C,2,FALSE),"")</f>
        <v/>
      </c>
      <c r="G501" s="10">
        <f>'Pairings NB'!$M$2222</f>
        <v>0</v>
      </c>
      <c r="H501" s="10">
        <f>'Pairings NB'!$O$2222</f>
        <v>0</v>
      </c>
      <c r="I501" s="10">
        <f>'Pairings NB'!J2222</f>
        <v>319</v>
      </c>
      <c r="J501" s="10" t="str">
        <f>IFERROR(VLOOKUP('Pairings NB'!$M$2222,Instructores!$A:$C,3,FALSE),"")</f>
        <v/>
      </c>
      <c r="K501" s="10">
        <f>IF('Pairings NB'!J2222=320,4,3)</f>
        <v>3</v>
      </c>
    </row>
    <row r="502" spans="1:11" x14ac:dyDescent="0.25">
      <c r="A502" s="10">
        <f>'Pairings NB'!B2227</f>
        <v>2065</v>
      </c>
      <c r="B502" s="10" t="str">
        <f>'Pairings NB'!C2227</f>
        <v>24/10/2026</v>
      </c>
      <c r="C502" s="10" t="str">
        <f>'Pairings NB'!D2227</f>
        <v>sábado</v>
      </c>
      <c r="D502" s="10" t="str">
        <f>'Pairings NB'!E2227&amp;"/"&amp;'Pairings NB'!E2228</f>
        <v>2312/2313</v>
      </c>
      <c r="E502" s="10" t="str">
        <f>'Pairings NB'!F2227&amp;"-"&amp;'Pairings NB'!G2227&amp;"-"&amp;'Pairings NB'!F2227</f>
        <v>LIM-CIX-LIM</v>
      </c>
      <c r="F502" s="10" t="str">
        <f>IFERROR(VLOOKUP('Pairings NB'!$M$2227,Instructores!$A:$C,2,FALSE),"")</f>
        <v/>
      </c>
      <c r="G502" s="10">
        <f>'Pairings NB'!$M$2227</f>
        <v>0</v>
      </c>
      <c r="H502" s="10">
        <f>'Pairings NB'!$O$2227</f>
        <v>0</v>
      </c>
      <c r="I502" s="10">
        <f>'Pairings NB'!J2227</f>
        <v>320</v>
      </c>
      <c r="J502" s="10" t="str">
        <f>IFERROR(VLOOKUP('Pairings NB'!$M$2227,Instructores!$A:$C,3,FALSE),"")</f>
        <v/>
      </c>
      <c r="K502" s="10">
        <f>IF('Pairings NB'!J2227=320,4,3)</f>
        <v>4</v>
      </c>
    </row>
    <row r="503" spans="1:11" x14ac:dyDescent="0.25">
      <c r="A503" s="10">
        <f>'Pairings NB'!B2232</f>
        <v>2066</v>
      </c>
      <c r="B503" s="10" t="str">
        <f>'Pairings NB'!C2232</f>
        <v>24/10/2026</v>
      </c>
      <c r="C503" s="10" t="str">
        <f>'Pairings NB'!D2232</f>
        <v>sábado</v>
      </c>
      <c r="D503" s="10" t="str">
        <f>'Pairings NB'!E2232&amp;"/"&amp;'Pairings NB'!E2233</f>
        <v>2301/2300</v>
      </c>
      <c r="E503" s="10" t="str">
        <f>'Pairings NB'!F2232&amp;"-"&amp;'Pairings NB'!G2232&amp;"-"&amp;'Pairings NB'!F2232</f>
        <v>LIM-TPP-LIM</v>
      </c>
      <c r="F503" s="10" t="str">
        <f>IFERROR(VLOOKUP('Pairings NB'!$M$2232,Instructores!$A:$C,2,FALSE),"")</f>
        <v/>
      </c>
      <c r="G503" s="10">
        <f>'Pairings NB'!$M$2232</f>
        <v>0</v>
      </c>
      <c r="H503" s="10">
        <f>'Pairings NB'!$O$2232</f>
        <v>0</v>
      </c>
      <c r="I503" s="10">
        <f>'Pairings NB'!J2232</f>
        <v>320</v>
      </c>
      <c r="J503" s="10" t="str">
        <f>IFERROR(VLOOKUP('Pairings NB'!$M$2232,Instructores!$A:$C,3,FALSE),"")</f>
        <v/>
      </c>
      <c r="K503" s="10">
        <f>IF('Pairings NB'!J2232=320,4,3)</f>
        <v>4</v>
      </c>
    </row>
    <row r="504" spans="1:11" x14ac:dyDescent="0.25">
      <c r="A504" s="10">
        <f>'Pairings NB'!B2237</f>
        <v>2067</v>
      </c>
      <c r="B504" s="10" t="str">
        <f>'Pairings NB'!C2237</f>
        <v>24/10/2026</v>
      </c>
      <c r="C504" s="10" t="str">
        <f>'Pairings NB'!D2237</f>
        <v>sábado</v>
      </c>
      <c r="D504" s="10" t="str">
        <f>'Pairings NB'!E2237&amp;"/"&amp;'Pairings NB'!E2238</f>
        <v>2301/2300</v>
      </c>
      <c r="E504" s="10" t="str">
        <f>'Pairings NB'!F2237&amp;"-"&amp;'Pairings NB'!G2237&amp;"-"&amp;'Pairings NB'!F2237</f>
        <v>LIM-TPP-LIM</v>
      </c>
      <c r="F504" s="10" t="str">
        <f>IFERROR(VLOOKUP('Pairings NB'!$M$2237,Instructores!$A:$C,2,FALSE),"")</f>
        <v/>
      </c>
      <c r="G504" s="10">
        <f>'Pairings NB'!$M$2237</f>
        <v>0</v>
      </c>
      <c r="H504" s="10">
        <f>'Pairings NB'!$O$2237</f>
        <v>0</v>
      </c>
      <c r="I504" s="10">
        <f>'Pairings NB'!J2237</f>
        <v>320</v>
      </c>
      <c r="J504" s="10" t="str">
        <f>IFERROR(VLOOKUP('Pairings NB'!$M$2237,Instructores!$A:$C,3,FALSE),"")</f>
        <v/>
      </c>
      <c r="K504" s="10">
        <f>IF('Pairings NB'!J2237=320,4,3)</f>
        <v>4</v>
      </c>
    </row>
    <row r="505" spans="1:11" x14ac:dyDescent="0.25">
      <c r="A505" s="10">
        <f>'Pairings NB'!B2242</f>
        <v>2071</v>
      </c>
      <c r="B505" s="10" t="str">
        <f>'Pairings NB'!C2242</f>
        <v>24/10/2026</v>
      </c>
      <c r="C505" s="10" t="str">
        <f>'Pairings NB'!D2242</f>
        <v>sábado</v>
      </c>
      <c r="D505" s="10" t="str">
        <f>'Pairings NB'!E2242&amp;"/"&amp;'Pairings NB'!E2243</f>
        <v>2326/2012</v>
      </c>
      <c r="E505" s="10" t="str">
        <f>'Pairings NB'!F2242&amp;"-"&amp;'Pairings NB'!G2242&amp;"-"&amp;'Pairings NB'!F2242</f>
        <v>LIM-AQP-LIM</v>
      </c>
      <c r="F505" s="10" t="str">
        <f>IFERROR(VLOOKUP('Pairings NB'!$M$2242,Instructores!$A:$C,2,FALSE),"")</f>
        <v/>
      </c>
      <c r="G505" s="10">
        <f>'Pairings NB'!$M$2242</f>
        <v>0</v>
      </c>
      <c r="H505" s="10">
        <f>'Pairings NB'!$O$2242</f>
        <v>0</v>
      </c>
      <c r="I505" s="10">
        <f>'Pairings NB'!J2242</f>
        <v>319</v>
      </c>
      <c r="J505" s="10" t="str">
        <f>IFERROR(VLOOKUP('Pairings NB'!$M$2242,Instructores!$A:$C,3,FALSE),"")</f>
        <v/>
      </c>
      <c r="K505" s="10">
        <f>IF('Pairings NB'!J2242=320,4,3)</f>
        <v>3</v>
      </c>
    </row>
    <row r="506" spans="1:11" x14ac:dyDescent="0.25">
      <c r="A506" s="10">
        <f>'Pairings NB'!B2247</f>
        <v>2074</v>
      </c>
      <c r="B506" s="10" t="str">
        <f>'Pairings NB'!C2247</f>
        <v>24/10/2026</v>
      </c>
      <c r="C506" s="10" t="str">
        <f>'Pairings NB'!D2247</f>
        <v>sábado</v>
      </c>
      <c r="D506" s="10" t="str">
        <f>'Pairings NB'!E2247&amp;"/"&amp;'Pairings NB'!E2248</f>
        <v>2164/2165</v>
      </c>
      <c r="E506" s="10" t="str">
        <f>'Pairings NB'!F2247&amp;"-"&amp;'Pairings NB'!G2247&amp;"-"&amp;'Pairings NB'!F2247</f>
        <v>LIM-IQT-LIM</v>
      </c>
      <c r="F506" s="10" t="str">
        <f>IFERROR(VLOOKUP('Pairings NB'!$M$2247,Instructores!$A:$C,2,FALSE),"")</f>
        <v/>
      </c>
      <c r="G506" s="10">
        <f>'Pairings NB'!$M$2247</f>
        <v>0</v>
      </c>
      <c r="H506" s="10">
        <f>'Pairings NB'!$O$2247</f>
        <v>0</v>
      </c>
      <c r="I506" s="10">
        <f>'Pairings NB'!J2247</f>
        <v>320</v>
      </c>
      <c r="J506" s="10" t="str">
        <f>IFERROR(VLOOKUP('Pairings NB'!$M$2247,Instructores!$A:$C,3,FALSE),"")</f>
        <v/>
      </c>
      <c r="K506" s="10">
        <f>IF('Pairings NB'!J2247=320,4,3)</f>
        <v>4</v>
      </c>
    </row>
    <row r="507" spans="1:11" x14ac:dyDescent="0.25">
      <c r="A507" s="10">
        <f>'Pairings NB'!B2252</f>
        <v>2114</v>
      </c>
      <c r="B507" s="10" t="str">
        <f>'Pairings NB'!C2252</f>
        <v>25/10/2026</v>
      </c>
      <c r="C507" s="10" t="str">
        <f>'Pairings NB'!D2252</f>
        <v>domingo</v>
      </c>
      <c r="D507" s="10" t="str">
        <f>'Pairings NB'!E2252&amp;"/"&amp;'Pairings NB'!E2253</f>
        <v>2007/2008</v>
      </c>
      <c r="E507" s="10" t="str">
        <f>'Pairings NB'!F2252&amp;"-"&amp;'Pairings NB'!G2252&amp;"-"&amp;'Pairings NB'!F2252</f>
        <v>LIM-CUZ-LIM</v>
      </c>
      <c r="F507" s="10" t="str">
        <f>IFERROR(VLOOKUP('Pairings NB'!$M$2252,Instructores!$A:$C,2,FALSE),"")</f>
        <v/>
      </c>
      <c r="G507" s="10">
        <f>'Pairings NB'!$M$2252</f>
        <v>0</v>
      </c>
      <c r="H507" s="10">
        <f>'Pairings NB'!$O$2252</f>
        <v>0</v>
      </c>
      <c r="I507" s="10">
        <f>'Pairings NB'!J2252</f>
        <v>320</v>
      </c>
      <c r="J507" s="10" t="str">
        <f>IFERROR(VLOOKUP('Pairings NB'!$M$2252,Instructores!$A:$C,3,FALSE),"")</f>
        <v/>
      </c>
      <c r="K507" s="10">
        <f>IF('Pairings NB'!J2252=320,4,3)</f>
        <v>4</v>
      </c>
    </row>
    <row r="508" spans="1:11" x14ac:dyDescent="0.25">
      <c r="A508" s="10">
        <f>'Pairings NB'!B2254</f>
        <v>2142</v>
      </c>
      <c r="B508" s="10" t="str">
        <f>'Pairings NB'!C2254</f>
        <v>25/10/2026</v>
      </c>
      <c r="C508" s="10" t="str">
        <f>'Pairings NB'!D2254</f>
        <v>domingo</v>
      </c>
      <c r="D508" s="10" t="str">
        <f>'Pairings NB'!E2254&amp;"/"&amp;'Pairings NB'!E2255</f>
        <v>2087/2088</v>
      </c>
      <c r="E508" s="10" t="str">
        <f>'Pairings NB'!F2254&amp;"-"&amp;'Pairings NB'!G2254&amp;"-"&amp;'Pairings NB'!F2254</f>
        <v>LIM-TPP-LIM</v>
      </c>
      <c r="F508" s="10" t="str">
        <f>IFERROR(VLOOKUP('Pairings NB'!$M$2252,Instructores!$A:$C,2,FALSE),"")</f>
        <v/>
      </c>
      <c r="G508" s="10">
        <f>'Pairings NB'!$M$2252</f>
        <v>0</v>
      </c>
      <c r="H508" s="10">
        <f>'Pairings NB'!$O$2252</f>
        <v>0</v>
      </c>
      <c r="I508" s="10">
        <f>'Pairings NB'!J2254</f>
        <v>319</v>
      </c>
      <c r="J508" s="10" t="str">
        <f>IFERROR(VLOOKUP('Pairings NB'!$M$2252,Instructores!$A:$C,3,FALSE),"")</f>
        <v/>
      </c>
      <c r="K508" s="10">
        <f>IF('Pairings NB'!J2254=320,4,3)</f>
        <v>3</v>
      </c>
    </row>
    <row r="509" spans="1:11" x14ac:dyDescent="0.25">
      <c r="A509" s="10">
        <f>'Pairings NB'!B2259</f>
        <v>2115</v>
      </c>
      <c r="B509" s="10" t="str">
        <f>'Pairings NB'!C2259</f>
        <v>25/10/2026</v>
      </c>
      <c r="C509" s="10" t="str">
        <f>'Pairings NB'!D2259</f>
        <v>domingo</v>
      </c>
      <c r="D509" s="10" t="str">
        <f>'Pairings NB'!E2259&amp;"/"&amp;'Pairings NB'!E2260</f>
        <v>2306/2307</v>
      </c>
      <c r="E509" s="10" t="str">
        <f>'Pairings NB'!F2259&amp;"-"&amp;'Pairings NB'!G2259&amp;"-"&amp;'Pairings NB'!F2259</f>
        <v>LIM-PIU-LIM</v>
      </c>
      <c r="F509" s="10" t="str">
        <f>IFERROR(VLOOKUP('Pairings NB'!$M$2259,Instructores!$A:$C,2,FALSE),"")</f>
        <v/>
      </c>
      <c r="G509" s="10">
        <f>'Pairings NB'!$M$2259</f>
        <v>0</v>
      </c>
      <c r="H509" s="10">
        <f>'Pairings NB'!$O$2259</f>
        <v>0</v>
      </c>
      <c r="I509" s="10">
        <f>'Pairings NB'!J2259</f>
        <v>320</v>
      </c>
      <c r="J509" s="10" t="str">
        <f>IFERROR(VLOOKUP('Pairings NB'!$M$2259,Instructores!$A:$C,3,FALSE),"")</f>
        <v/>
      </c>
      <c r="K509" s="10">
        <f>IF('Pairings NB'!J2259=320,4,3)</f>
        <v>4</v>
      </c>
    </row>
    <row r="510" spans="1:11" x14ac:dyDescent="0.25">
      <c r="A510" s="10">
        <f>'Pairings NB'!B2264</f>
        <v>2121</v>
      </c>
      <c r="B510" s="10" t="str">
        <f>'Pairings NB'!C2264</f>
        <v>25/10/2026</v>
      </c>
      <c r="C510" s="10" t="str">
        <f>'Pairings NB'!D2264</f>
        <v>domingo</v>
      </c>
      <c r="D510" s="10" t="str">
        <f>'Pairings NB'!E2264&amp;"/"&amp;'Pairings NB'!E2265</f>
        <v>2260/2261</v>
      </c>
      <c r="E510" s="10" t="str">
        <f>'Pairings NB'!F2264&amp;"-"&amp;'Pairings NB'!G2264&amp;"-"&amp;'Pairings NB'!F2264</f>
        <v>LIM-PEM-LIM</v>
      </c>
      <c r="F510" s="10" t="str">
        <f>IFERROR(VLOOKUP('Pairings NB'!$M$2264,Instructores!$A:$C,2,FALSE),"")</f>
        <v/>
      </c>
      <c r="G510" s="10">
        <f>'Pairings NB'!$M$2264</f>
        <v>0</v>
      </c>
      <c r="H510" s="10">
        <f>'Pairings NB'!$O$2264</f>
        <v>0</v>
      </c>
      <c r="I510" s="10">
        <f>'Pairings NB'!J2264</f>
        <v>320</v>
      </c>
      <c r="J510" s="10" t="str">
        <f>IFERROR(VLOOKUP('Pairings NB'!$M$2264,Instructores!$A:$C,3,FALSE),"")</f>
        <v/>
      </c>
      <c r="K510" s="10">
        <f>IF('Pairings NB'!J2264=320,4,3)</f>
        <v>4</v>
      </c>
    </row>
    <row r="511" spans="1:11" x14ac:dyDescent="0.25">
      <c r="A511" s="10">
        <f>'Pairings NB'!B2266</f>
        <v>2148</v>
      </c>
      <c r="B511" s="10" t="str">
        <f>'Pairings NB'!C2266</f>
        <v>25/10/2026</v>
      </c>
      <c r="C511" s="10" t="str">
        <f>'Pairings NB'!D2266</f>
        <v>domingo</v>
      </c>
      <c r="D511" s="10" t="str">
        <f>'Pairings NB'!E2266&amp;"/"&amp;'Pairings NB'!E2267</f>
        <v>2297/2296</v>
      </c>
      <c r="E511" s="10" t="str">
        <f>'Pairings NB'!F2266&amp;"-"&amp;'Pairings NB'!G2266&amp;"-"&amp;'Pairings NB'!F2266</f>
        <v>LIM-CJA-LIM</v>
      </c>
      <c r="F511" s="10" t="str">
        <f>IFERROR(VLOOKUP('Pairings NB'!$M$2264,Instructores!$A:$C,2,FALSE),"")</f>
        <v/>
      </c>
      <c r="G511" s="10">
        <f>'Pairings NB'!$M$2264</f>
        <v>0</v>
      </c>
      <c r="H511" s="10">
        <f>'Pairings NB'!$O$2264</f>
        <v>0</v>
      </c>
      <c r="I511" s="10">
        <f>'Pairings NB'!J2266</f>
        <v>319</v>
      </c>
      <c r="J511" s="10" t="str">
        <f>IFERROR(VLOOKUP('Pairings NB'!$M$2264,Instructores!$A:$C,3,FALSE),"")</f>
        <v/>
      </c>
      <c r="K511" s="10">
        <f>IF('Pairings NB'!J2266=320,4,3)</f>
        <v>3</v>
      </c>
    </row>
    <row r="512" spans="1:11" x14ac:dyDescent="0.25">
      <c r="A512" s="10">
        <f>'Pairings NB'!B2271</f>
        <v>2125</v>
      </c>
      <c r="B512" s="10" t="str">
        <f>'Pairings NB'!C2271</f>
        <v>25/10/2026</v>
      </c>
      <c r="C512" s="10" t="str">
        <f>'Pairings NB'!D2271</f>
        <v>domingo</v>
      </c>
      <c r="D512" s="10" t="str">
        <f>'Pairings NB'!E2271&amp;"/"&amp;'Pairings NB'!E2272</f>
        <v>2316/2317</v>
      </c>
      <c r="E512" s="10" t="str">
        <f>'Pairings NB'!F2271&amp;"-"&amp;'Pairings NB'!G2271&amp;"-"&amp;'Pairings NB'!F2271</f>
        <v>LIM-PIU-LIM</v>
      </c>
      <c r="F512" s="10" t="str">
        <f>IFERROR(VLOOKUP('Pairings NB'!$M$2271,Instructores!$A:$C,2,FALSE),"")</f>
        <v/>
      </c>
      <c r="G512" s="10">
        <f>'Pairings NB'!$M$2271</f>
        <v>0</v>
      </c>
      <c r="H512" s="10">
        <f>'Pairings NB'!$O$2271</f>
        <v>0</v>
      </c>
      <c r="I512" s="10">
        <f>'Pairings NB'!J2271</f>
        <v>320</v>
      </c>
      <c r="J512" s="10" t="str">
        <f>IFERROR(VLOOKUP('Pairings NB'!$M$2271,Instructores!$A:$C,3,FALSE),"")</f>
        <v/>
      </c>
      <c r="K512" s="10">
        <f>IF('Pairings NB'!J2271=320,4,3)</f>
        <v>4</v>
      </c>
    </row>
    <row r="513" spans="1:11" x14ac:dyDescent="0.25">
      <c r="A513" s="10">
        <f>'Pairings NB'!B2276</f>
        <v>2126</v>
      </c>
      <c r="B513" s="10" t="str">
        <f>'Pairings NB'!C2276</f>
        <v>25/10/2026</v>
      </c>
      <c r="C513" s="10" t="str">
        <f>'Pairings NB'!D2276</f>
        <v>domingo</v>
      </c>
      <c r="D513" s="10" t="str">
        <f>'Pairings NB'!E2276&amp;"/"&amp;'Pairings NB'!E2277</f>
        <v>2061/2062</v>
      </c>
      <c r="E513" s="10" t="str">
        <f>'Pairings NB'!F2276&amp;"-"&amp;'Pairings NB'!G2276&amp;"-"&amp;'Pairings NB'!F2276</f>
        <v>LIM-CUZ-LIM</v>
      </c>
      <c r="F513" s="10" t="str">
        <f>IFERROR(VLOOKUP('Pairings NB'!$M$2276,Instructores!$A:$C,2,FALSE),"")</f>
        <v/>
      </c>
      <c r="G513" s="10">
        <f>'Pairings NB'!$M$2276</f>
        <v>0</v>
      </c>
      <c r="H513" s="10">
        <f>'Pairings NB'!$O$2276</f>
        <v>0</v>
      </c>
      <c r="I513" s="10">
        <f>'Pairings NB'!J2276</f>
        <v>320</v>
      </c>
      <c r="J513" s="10" t="str">
        <f>IFERROR(VLOOKUP('Pairings NB'!$M$2276,Instructores!$A:$C,3,FALSE),"")</f>
        <v/>
      </c>
      <c r="K513" s="10">
        <f>IF('Pairings NB'!J2276=320,4,3)</f>
        <v>4</v>
      </c>
    </row>
    <row r="514" spans="1:11" x14ac:dyDescent="0.25">
      <c r="A514" s="10">
        <f>'Pairings NB'!B2281</f>
        <v>2129</v>
      </c>
      <c r="B514" s="10" t="str">
        <f>'Pairings NB'!C2281</f>
        <v>25/10/2026</v>
      </c>
      <c r="C514" s="10" t="str">
        <f>'Pairings NB'!D2281</f>
        <v>domingo</v>
      </c>
      <c r="D514" s="10" t="str">
        <f>'Pairings NB'!E2281&amp;"/"&amp;'Pairings NB'!E2282</f>
        <v>2023/2024</v>
      </c>
      <c r="E514" s="10" t="str">
        <f>'Pairings NB'!F2281&amp;"-"&amp;'Pairings NB'!G2281&amp;"-"&amp;'Pairings NB'!F2281</f>
        <v>LIM-PEM-LIM</v>
      </c>
      <c r="F514" s="10" t="str">
        <f>IFERROR(VLOOKUP('Pairings NB'!$M$2281,Instructores!$A:$C,2,FALSE),"")</f>
        <v/>
      </c>
      <c r="G514" s="10">
        <f>'Pairings NB'!$M$2281</f>
        <v>0</v>
      </c>
      <c r="H514" s="10">
        <f>'Pairings NB'!$O$2281</f>
        <v>0</v>
      </c>
      <c r="I514" s="10">
        <f>'Pairings NB'!J2281</f>
        <v>319</v>
      </c>
      <c r="J514" s="10" t="str">
        <f>IFERROR(VLOOKUP('Pairings NB'!$M$2281,Instructores!$A:$C,3,FALSE),"")</f>
        <v/>
      </c>
      <c r="K514" s="10">
        <f>IF('Pairings NB'!J2281=320,4,3)</f>
        <v>3</v>
      </c>
    </row>
    <row r="515" spans="1:11" x14ac:dyDescent="0.25">
      <c r="A515" s="10">
        <f>'Pairings NB'!B2283</f>
        <v>2157</v>
      </c>
      <c r="B515" s="10" t="str">
        <f>'Pairings NB'!C2283</f>
        <v>25/10/2026</v>
      </c>
      <c r="C515" s="10" t="str">
        <f>'Pairings NB'!D2283</f>
        <v>domingo</v>
      </c>
      <c r="D515" s="10" t="str">
        <f>'Pairings NB'!E2283&amp;"/"&amp;'Pairings NB'!E2284</f>
        <v>2213/2214</v>
      </c>
      <c r="E515" s="10" t="str">
        <f>'Pairings NB'!F2283&amp;"-"&amp;'Pairings NB'!G2283&amp;"-"&amp;'Pairings NB'!F2283</f>
        <v>LIM-CIX-LIM</v>
      </c>
      <c r="F515" s="10" t="str">
        <f>IFERROR(VLOOKUP('Pairings NB'!$M$2281,Instructores!$A:$C,2,FALSE),"")</f>
        <v/>
      </c>
      <c r="G515" s="10">
        <f>'Pairings NB'!$M$2281</f>
        <v>0</v>
      </c>
      <c r="H515" s="10">
        <f>'Pairings NB'!$O$2281</f>
        <v>0</v>
      </c>
      <c r="I515" s="10">
        <f>'Pairings NB'!J2283</f>
        <v>320</v>
      </c>
      <c r="J515" s="10" t="str">
        <f>IFERROR(VLOOKUP('Pairings NB'!$M$2281,Instructores!$A:$C,3,FALSE),"")</f>
        <v/>
      </c>
      <c r="K515" s="10">
        <f>IF('Pairings NB'!J2283=320,4,3)</f>
        <v>4</v>
      </c>
    </row>
    <row r="516" spans="1:11" x14ac:dyDescent="0.25">
      <c r="A516" s="10">
        <f>'Pairings NB'!B2288</f>
        <v>2132</v>
      </c>
      <c r="B516" s="10" t="str">
        <f>'Pairings NB'!C2288</f>
        <v>25/10/2026</v>
      </c>
      <c r="C516" s="10" t="str">
        <f>'Pairings NB'!D2288</f>
        <v>domingo</v>
      </c>
      <c r="D516" s="10" t="str">
        <f>'Pairings NB'!E2288&amp;"/"&amp;'Pairings NB'!E2289</f>
        <v>2120/2121</v>
      </c>
      <c r="E516" s="10" t="str">
        <f>'Pairings NB'!F2288&amp;"-"&amp;'Pairings NB'!G2288&amp;"-"&amp;'Pairings NB'!F2288</f>
        <v>LIM-CUZ-LIM</v>
      </c>
      <c r="F516" s="10" t="str">
        <f>IFERROR(VLOOKUP('Pairings NB'!$M$2288,Instructores!$A:$C,2,FALSE),"")</f>
        <v/>
      </c>
      <c r="G516" s="10">
        <f>'Pairings NB'!$M$2288</f>
        <v>0</v>
      </c>
      <c r="H516" s="10">
        <f>'Pairings NB'!$O$2288</f>
        <v>0</v>
      </c>
      <c r="I516" s="10">
        <f>'Pairings NB'!J2288</f>
        <v>320</v>
      </c>
      <c r="J516" s="10" t="str">
        <f>IFERROR(VLOOKUP('Pairings NB'!$M$2288,Instructores!$A:$C,3,FALSE),"")</f>
        <v/>
      </c>
      <c r="K516" s="10">
        <f>IF('Pairings NB'!J2288=320,4,3)</f>
        <v>4</v>
      </c>
    </row>
    <row r="517" spans="1:11" x14ac:dyDescent="0.25">
      <c r="A517" s="10">
        <f>'Pairings NB'!B2293</f>
        <v>2135</v>
      </c>
      <c r="B517" s="10" t="str">
        <f>'Pairings NB'!C2293</f>
        <v>25/10/2026</v>
      </c>
      <c r="C517" s="10" t="str">
        <f>'Pairings NB'!D2293</f>
        <v>domingo</v>
      </c>
      <c r="D517" s="10" t="str">
        <f>'Pairings NB'!E2293&amp;"/"&amp;'Pairings NB'!E2294</f>
        <v>2120/2121</v>
      </c>
      <c r="E517" s="10" t="str">
        <f>'Pairings NB'!F2293&amp;"-"&amp;'Pairings NB'!G2293&amp;"-"&amp;'Pairings NB'!F2293</f>
        <v>LIM-CUZ-LIM</v>
      </c>
      <c r="F517" s="10" t="str">
        <f>IFERROR(VLOOKUP('Pairings NB'!$M$2293,Instructores!$A:$C,2,FALSE),"")</f>
        <v/>
      </c>
      <c r="G517" s="10">
        <f>'Pairings NB'!$M$2293</f>
        <v>0</v>
      </c>
      <c r="H517" s="10">
        <f>'Pairings NB'!$O$2293</f>
        <v>0</v>
      </c>
      <c r="I517" s="10">
        <f>'Pairings NB'!J2293</f>
        <v>320</v>
      </c>
      <c r="J517" s="10" t="str">
        <f>IFERROR(VLOOKUP('Pairings NB'!$M$2293,Instructores!$A:$C,3,FALSE),"")</f>
        <v/>
      </c>
      <c r="K517" s="10">
        <f>IF('Pairings NB'!J2293=320,4,3)</f>
        <v>4</v>
      </c>
    </row>
    <row r="518" spans="1:11" x14ac:dyDescent="0.25">
      <c r="A518" s="10">
        <f>'Pairings NB'!B2298</f>
        <v>2140</v>
      </c>
      <c r="B518" s="10" t="str">
        <f>'Pairings NB'!C2298</f>
        <v>25/10/2026</v>
      </c>
      <c r="C518" s="10" t="str">
        <f>'Pairings NB'!D2298</f>
        <v>domingo</v>
      </c>
      <c r="D518" s="10" t="str">
        <f>'Pairings NB'!E2298&amp;"/"&amp;'Pairings NB'!E2299</f>
        <v>2028/2029</v>
      </c>
      <c r="E518" s="10" t="str">
        <f>'Pairings NB'!F2298&amp;"-"&amp;'Pairings NB'!G2298&amp;"-"&amp;'Pairings NB'!F2298</f>
        <v>LIM-CUZ-LIM</v>
      </c>
      <c r="F518" s="10" t="str">
        <f>IFERROR(VLOOKUP('Pairings NB'!$M$2298,Instructores!$A:$C,2,FALSE),"")</f>
        <v/>
      </c>
      <c r="G518" s="10">
        <f>'Pairings NB'!$M$2298</f>
        <v>0</v>
      </c>
      <c r="H518" s="10">
        <f>'Pairings NB'!$O$2298</f>
        <v>0</v>
      </c>
      <c r="I518" s="10">
        <f>'Pairings NB'!J2298</f>
        <v>319</v>
      </c>
      <c r="J518" s="10" t="str">
        <f>IFERROR(VLOOKUP('Pairings NB'!$M$2298,Instructores!$A:$C,3,FALSE),"")</f>
        <v/>
      </c>
      <c r="K518" s="10">
        <f>IF('Pairings NB'!J2298=320,4,3)</f>
        <v>3</v>
      </c>
    </row>
    <row r="519" spans="1:11" x14ac:dyDescent="0.25">
      <c r="A519" s="10">
        <f>'Pairings NB'!B2303</f>
        <v>2143</v>
      </c>
      <c r="B519" s="10" t="str">
        <f>'Pairings NB'!C2303</f>
        <v>25/10/2026</v>
      </c>
      <c r="C519" s="10" t="str">
        <f>'Pairings NB'!D2303</f>
        <v>domingo</v>
      </c>
      <c r="D519" s="10" t="str">
        <f>'Pairings NB'!E2303&amp;"/"&amp;'Pairings NB'!E2304</f>
        <v>2295/2294</v>
      </c>
      <c r="E519" s="10" t="str">
        <f>'Pairings NB'!F2303&amp;"-"&amp;'Pairings NB'!G2303&amp;"-"&amp;'Pairings NB'!F2303</f>
        <v>LIM-CJA-LIM</v>
      </c>
      <c r="F519" s="10" t="str">
        <f>IFERROR(VLOOKUP('Pairings NB'!$M$2303,Instructores!$A:$C,2,FALSE),"")</f>
        <v/>
      </c>
      <c r="G519" s="10">
        <f>'Pairings NB'!$M$2303</f>
        <v>0</v>
      </c>
      <c r="H519" s="10">
        <f>'Pairings NB'!$O$2303</f>
        <v>0</v>
      </c>
      <c r="I519" s="10">
        <f>'Pairings NB'!J2303</f>
        <v>320</v>
      </c>
      <c r="J519" s="10" t="str">
        <f>IFERROR(VLOOKUP('Pairings NB'!$M$2303,Instructores!$A:$C,3,FALSE),"")</f>
        <v/>
      </c>
      <c r="K519" s="10">
        <f>IF('Pairings NB'!J2303=320,4,3)</f>
        <v>4</v>
      </c>
    </row>
    <row r="520" spans="1:11" x14ac:dyDescent="0.25">
      <c r="A520" s="10">
        <f>'Pairings NB'!B2308</f>
        <v>2145</v>
      </c>
      <c r="B520" s="10" t="str">
        <f>'Pairings NB'!C2308</f>
        <v>25/10/2026</v>
      </c>
      <c r="C520" s="10" t="str">
        <f>'Pairings NB'!D2308</f>
        <v>domingo</v>
      </c>
      <c r="D520" s="10" t="str">
        <f>'Pairings NB'!E2308&amp;"/"&amp;'Pairings NB'!E2309</f>
        <v>2338/2339</v>
      </c>
      <c r="E520" s="10" t="str">
        <f>'Pairings NB'!F2308&amp;"-"&amp;'Pairings NB'!G2308&amp;"-"&amp;'Pairings NB'!F2308</f>
        <v>LIM-PIU-LIM</v>
      </c>
      <c r="F520" s="10" t="str">
        <f>IFERROR(VLOOKUP('Pairings NB'!$M$2308,Instructores!$A:$C,2,FALSE),"")</f>
        <v/>
      </c>
      <c r="G520" s="10">
        <f>'Pairings NB'!$M$2308</f>
        <v>0</v>
      </c>
      <c r="H520" s="10">
        <f>'Pairings NB'!$O$2308</f>
        <v>0</v>
      </c>
      <c r="I520" s="10">
        <f>'Pairings NB'!J2308</f>
        <v>319</v>
      </c>
      <c r="J520" s="10" t="str">
        <f>IFERROR(VLOOKUP('Pairings NB'!$M$2308,Instructores!$A:$C,3,FALSE),"")</f>
        <v/>
      </c>
      <c r="K520" s="10">
        <f>IF('Pairings NB'!J2308=320,4,3)</f>
        <v>3</v>
      </c>
    </row>
    <row r="521" spans="1:11" x14ac:dyDescent="0.25">
      <c r="A521" s="10">
        <f>'Pairings NB'!B2310</f>
        <v>2162</v>
      </c>
      <c r="B521" s="10" t="str">
        <f>'Pairings NB'!C2310</f>
        <v>25/10/2026</v>
      </c>
      <c r="C521" s="10" t="str">
        <f>'Pairings NB'!D2310</f>
        <v>domingo</v>
      </c>
      <c r="D521" s="10" t="str">
        <f>'Pairings NB'!E2310&amp;"/"&amp;'Pairings NB'!E2311</f>
        <v>2069/2070</v>
      </c>
      <c r="E521" s="10" t="str">
        <f>'Pairings NB'!F2310&amp;"-"&amp;'Pairings NB'!G2310&amp;"-"&amp;'Pairings NB'!F2310</f>
        <v>LIM-CUZ-LIM</v>
      </c>
      <c r="F521" s="10" t="str">
        <f>IFERROR(VLOOKUP('Pairings NB'!$M$2308,Instructores!$A:$C,2,FALSE),"")</f>
        <v/>
      </c>
      <c r="G521" s="10">
        <f>'Pairings NB'!$M$2308</f>
        <v>0</v>
      </c>
      <c r="H521" s="10">
        <f>'Pairings NB'!$O$2308</f>
        <v>0</v>
      </c>
      <c r="I521" s="10">
        <f>'Pairings NB'!J2310</f>
        <v>319</v>
      </c>
      <c r="J521" s="10" t="str">
        <f>IFERROR(VLOOKUP('Pairings NB'!$M$2308,Instructores!$A:$C,3,FALSE),"")</f>
        <v/>
      </c>
      <c r="K521" s="10">
        <f>IF('Pairings NB'!J2310=320,4,3)</f>
        <v>3</v>
      </c>
    </row>
    <row r="522" spans="1:11" x14ac:dyDescent="0.25">
      <c r="A522" s="10">
        <f>'Pairings NB'!B2315</f>
        <v>2146</v>
      </c>
      <c r="B522" s="10" t="str">
        <f>'Pairings NB'!C2315</f>
        <v>25/10/2026</v>
      </c>
      <c r="C522" s="10" t="str">
        <f>'Pairings NB'!D2315</f>
        <v>domingo</v>
      </c>
      <c r="D522" s="10" t="str">
        <f>'Pairings NB'!E2315&amp;"/"&amp;'Pairings NB'!E2316</f>
        <v>2264/2265</v>
      </c>
      <c r="E522" s="10" t="str">
        <f>'Pairings NB'!F2315&amp;"-"&amp;'Pairings NB'!G2315&amp;"-"&amp;'Pairings NB'!F2315</f>
        <v>LIM-PEM-LIM</v>
      </c>
      <c r="F522" s="10" t="str">
        <f>IFERROR(VLOOKUP('Pairings NB'!$M$2315,Instructores!$A:$C,2,FALSE),"")</f>
        <v/>
      </c>
      <c r="G522" s="10">
        <f>'Pairings NB'!$M$2315</f>
        <v>0</v>
      </c>
      <c r="H522" s="10">
        <f>'Pairings NB'!$O$2315</f>
        <v>0</v>
      </c>
      <c r="I522" s="10">
        <f>'Pairings NB'!J2315</f>
        <v>320</v>
      </c>
      <c r="J522" s="10" t="str">
        <f>IFERROR(VLOOKUP('Pairings NB'!$M$2315,Instructores!$A:$C,3,FALSE),"")</f>
        <v/>
      </c>
      <c r="K522" s="10">
        <f>IF('Pairings NB'!J2315=320,4,3)</f>
        <v>4</v>
      </c>
    </row>
    <row r="523" spans="1:11" x14ac:dyDescent="0.25">
      <c r="A523" s="10">
        <f>'Pairings NB'!B2320</f>
        <v>2147</v>
      </c>
      <c r="B523" s="10" t="str">
        <f>'Pairings NB'!C2320</f>
        <v>25/10/2026</v>
      </c>
      <c r="C523" s="10" t="str">
        <f>'Pairings NB'!D2320</f>
        <v>domingo</v>
      </c>
      <c r="D523" s="10" t="str">
        <f>'Pairings NB'!E2320&amp;"/"&amp;'Pairings NB'!E2321</f>
        <v>2113/2112</v>
      </c>
      <c r="E523" s="10" t="str">
        <f>'Pairings NB'!F2320&amp;"-"&amp;'Pairings NB'!G2320&amp;"-"&amp;'Pairings NB'!F2320</f>
        <v>LIM-AQP-LIM</v>
      </c>
      <c r="F523" s="10" t="str">
        <f>IFERROR(VLOOKUP('Pairings NB'!$M$2320,Instructores!$A:$C,2,FALSE),"")</f>
        <v/>
      </c>
      <c r="G523" s="10">
        <f>'Pairings NB'!$M$2320</f>
        <v>0</v>
      </c>
      <c r="H523" s="10">
        <f>'Pairings NB'!$O$2320</f>
        <v>0</v>
      </c>
      <c r="I523" s="10">
        <f>'Pairings NB'!J2320</f>
        <v>319</v>
      </c>
      <c r="J523" s="10" t="str">
        <f>IFERROR(VLOOKUP('Pairings NB'!$M$2320,Instructores!$A:$C,3,FALSE),"")</f>
        <v/>
      </c>
      <c r="K523" s="10">
        <f>IF('Pairings NB'!J2320=320,4,3)</f>
        <v>3</v>
      </c>
    </row>
    <row r="524" spans="1:11" x14ac:dyDescent="0.25">
      <c r="A524" s="10">
        <f>'Pairings NB'!B2325</f>
        <v>2151</v>
      </c>
      <c r="B524" s="10" t="str">
        <f>'Pairings NB'!C2325</f>
        <v>25/10/2026</v>
      </c>
      <c r="C524" s="10" t="str">
        <f>'Pairings NB'!D2325</f>
        <v>domingo</v>
      </c>
      <c r="D524" s="10" t="str">
        <f>'Pairings NB'!E2325&amp;"/"&amp;'Pairings NB'!E2326</f>
        <v>2360/2361</v>
      </c>
      <c r="E524" s="10" t="str">
        <f>'Pairings NB'!F2325&amp;"-"&amp;'Pairings NB'!G2325&amp;"-"&amp;'Pairings NB'!F2325</f>
        <v>LIM-PCL-LIM</v>
      </c>
      <c r="F524" s="10" t="str">
        <f>IFERROR(VLOOKUP('Pairings NB'!$M$2325,Instructores!$A:$C,2,FALSE),"")</f>
        <v/>
      </c>
      <c r="G524" s="10">
        <f>'Pairings NB'!$M$2325</f>
        <v>0</v>
      </c>
      <c r="H524" s="10">
        <f>'Pairings NB'!$O$2325</f>
        <v>0</v>
      </c>
      <c r="I524" s="10">
        <f>'Pairings NB'!J2325</f>
        <v>320</v>
      </c>
      <c r="J524" s="10" t="str">
        <f>IFERROR(VLOOKUP('Pairings NB'!$M$2325,Instructores!$A:$C,3,FALSE),"")</f>
        <v/>
      </c>
      <c r="K524" s="10">
        <f>IF('Pairings NB'!J2325=320,4,3)</f>
        <v>4</v>
      </c>
    </row>
    <row r="525" spans="1:11" x14ac:dyDescent="0.25">
      <c r="A525" s="10">
        <f>'Pairings NB'!B2330</f>
        <v>2152</v>
      </c>
      <c r="B525" s="10" t="str">
        <f>'Pairings NB'!C2330</f>
        <v>25/10/2026</v>
      </c>
      <c r="C525" s="10" t="str">
        <f>'Pairings NB'!D2330</f>
        <v>domingo</v>
      </c>
      <c r="D525" s="10" t="str">
        <f>'Pairings NB'!E2330&amp;"/"&amp;'Pairings NB'!E2331</f>
        <v>2360/2361</v>
      </c>
      <c r="E525" s="10" t="str">
        <f>'Pairings NB'!F2330&amp;"-"&amp;'Pairings NB'!G2330&amp;"-"&amp;'Pairings NB'!F2330</f>
        <v>LIM-PCL-LIM</v>
      </c>
      <c r="F525" s="10" t="str">
        <f>IFERROR(VLOOKUP('Pairings NB'!$M$2330,Instructores!$A:$C,2,FALSE),"")</f>
        <v/>
      </c>
      <c r="G525" s="10">
        <f>'Pairings NB'!$M$2330</f>
        <v>0</v>
      </c>
      <c r="H525" s="10">
        <f>'Pairings NB'!$O$2330</f>
        <v>0</v>
      </c>
      <c r="I525" s="10">
        <f>'Pairings NB'!J2330</f>
        <v>320</v>
      </c>
      <c r="J525" s="10" t="str">
        <f>IFERROR(VLOOKUP('Pairings NB'!$M$2330,Instructores!$A:$C,3,FALSE),"")</f>
        <v/>
      </c>
      <c r="K525" s="10">
        <f>IF('Pairings NB'!J2330=320,4,3)</f>
        <v>4</v>
      </c>
    </row>
    <row r="526" spans="1:11" x14ac:dyDescent="0.25">
      <c r="A526" s="10">
        <f>'Pairings NB'!B2335</f>
        <v>2153</v>
      </c>
      <c r="B526" s="10" t="str">
        <f>'Pairings NB'!C2335</f>
        <v>25/10/2026</v>
      </c>
      <c r="C526" s="10" t="str">
        <f>'Pairings NB'!D2335</f>
        <v>domingo</v>
      </c>
      <c r="D526" s="10" t="str">
        <f>'Pairings NB'!E2335&amp;"/"&amp;'Pairings NB'!E2336</f>
        <v>2312/2313</v>
      </c>
      <c r="E526" s="10" t="str">
        <f>'Pairings NB'!F2335&amp;"-"&amp;'Pairings NB'!G2335&amp;"-"&amp;'Pairings NB'!F2335</f>
        <v>LIM-CIX-LIM</v>
      </c>
      <c r="F526" s="10" t="str">
        <f>IFERROR(VLOOKUP('Pairings NB'!$M$2335,Instructores!$A:$C,2,FALSE),"")</f>
        <v/>
      </c>
      <c r="G526" s="10">
        <f>'Pairings NB'!$M$2335</f>
        <v>0</v>
      </c>
      <c r="H526" s="10">
        <f>'Pairings NB'!$O$2335</f>
        <v>0</v>
      </c>
      <c r="I526" s="10">
        <f>'Pairings NB'!J2335</f>
        <v>320</v>
      </c>
      <c r="J526" s="10" t="str">
        <f>IFERROR(VLOOKUP('Pairings NB'!$M$2335,Instructores!$A:$C,3,FALSE),"")</f>
        <v/>
      </c>
      <c r="K526" s="10">
        <f>IF('Pairings NB'!J2335=320,4,3)</f>
        <v>4</v>
      </c>
    </row>
    <row r="527" spans="1:11" x14ac:dyDescent="0.25">
      <c r="A527" s="10">
        <f>'Pairings NB'!B2340</f>
        <v>2155</v>
      </c>
      <c r="B527" s="10" t="str">
        <f>'Pairings NB'!C2340</f>
        <v>25/10/2026</v>
      </c>
      <c r="C527" s="10" t="str">
        <f>'Pairings NB'!D2340</f>
        <v>domingo</v>
      </c>
      <c r="D527" s="10" t="str">
        <f>'Pairings NB'!E2340&amp;"/"&amp;'Pairings NB'!E2341</f>
        <v>2301/2300</v>
      </c>
      <c r="E527" s="10" t="str">
        <f>'Pairings NB'!F2340&amp;"-"&amp;'Pairings NB'!G2340&amp;"-"&amp;'Pairings NB'!F2340</f>
        <v>LIM-TPP-LIM</v>
      </c>
      <c r="F527" s="10" t="str">
        <f>IFERROR(VLOOKUP('Pairings NB'!$M$2340,Instructores!$A:$C,2,FALSE),"")</f>
        <v/>
      </c>
      <c r="G527" s="10">
        <f>'Pairings NB'!$M$2340</f>
        <v>0</v>
      </c>
      <c r="H527" s="10">
        <f>'Pairings NB'!$O$2340</f>
        <v>0</v>
      </c>
      <c r="I527" s="10">
        <f>'Pairings NB'!J2340</f>
        <v>320</v>
      </c>
      <c r="J527" s="10" t="str">
        <f>IFERROR(VLOOKUP('Pairings NB'!$M$2340,Instructores!$A:$C,3,FALSE),"")</f>
        <v/>
      </c>
      <c r="K527" s="10">
        <f>IF('Pairings NB'!J2340=320,4,3)</f>
        <v>4</v>
      </c>
    </row>
    <row r="528" spans="1:11" x14ac:dyDescent="0.25">
      <c r="A528" s="10">
        <f>'Pairings NB'!B2345</f>
        <v>2156</v>
      </c>
      <c r="B528" s="10" t="str">
        <f>'Pairings NB'!C2345</f>
        <v>25/10/2026</v>
      </c>
      <c r="C528" s="10" t="str">
        <f>'Pairings NB'!D2345</f>
        <v>domingo</v>
      </c>
      <c r="D528" s="10" t="str">
        <f>'Pairings NB'!E2345&amp;"/"&amp;'Pairings NB'!E2346</f>
        <v>2301/2300</v>
      </c>
      <c r="E528" s="10" t="str">
        <f>'Pairings NB'!F2345&amp;"-"&amp;'Pairings NB'!G2345&amp;"-"&amp;'Pairings NB'!F2345</f>
        <v>LIM-TPP-LIM</v>
      </c>
      <c r="F528" s="10" t="str">
        <f>IFERROR(VLOOKUP('Pairings NB'!$M$2345,Instructores!$A:$C,2,FALSE),"")</f>
        <v/>
      </c>
      <c r="G528" s="10">
        <f>'Pairings NB'!$M$2345</f>
        <v>0</v>
      </c>
      <c r="H528" s="10">
        <f>'Pairings NB'!$O$2345</f>
        <v>0</v>
      </c>
      <c r="I528" s="10">
        <f>'Pairings NB'!J2345</f>
        <v>320</v>
      </c>
      <c r="J528" s="10" t="str">
        <f>IFERROR(VLOOKUP('Pairings NB'!$M$2345,Instructores!$A:$C,3,FALSE),"")</f>
        <v/>
      </c>
      <c r="K528" s="10">
        <f>IF('Pairings NB'!J2345=320,4,3)</f>
        <v>4</v>
      </c>
    </row>
    <row r="529" spans="1:11" x14ac:dyDescent="0.25">
      <c r="A529" s="10">
        <f>'Pairings NB'!B2350</f>
        <v>2158</v>
      </c>
      <c r="B529" s="10" t="str">
        <f>'Pairings NB'!C2350</f>
        <v>25/10/2026</v>
      </c>
      <c r="C529" s="10" t="str">
        <f>'Pairings NB'!D2350</f>
        <v>domingo</v>
      </c>
      <c r="D529" s="10" t="str">
        <f>'Pairings NB'!E2350&amp;"/"&amp;'Pairings NB'!E2351</f>
        <v>2213/2214</v>
      </c>
      <c r="E529" s="10" t="str">
        <f>'Pairings NB'!F2350&amp;"-"&amp;'Pairings NB'!G2350&amp;"-"&amp;'Pairings NB'!F2350</f>
        <v>LIM-CIX-LIM</v>
      </c>
      <c r="F529" s="10" t="str">
        <f>IFERROR(VLOOKUP('Pairings NB'!$M$2350,Instructores!$A:$C,2,FALSE),"")</f>
        <v/>
      </c>
      <c r="G529" s="10">
        <f>'Pairings NB'!$M$2350</f>
        <v>0</v>
      </c>
      <c r="H529" s="10">
        <f>'Pairings NB'!$O$2350</f>
        <v>0</v>
      </c>
      <c r="I529" s="10">
        <f>'Pairings NB'!J2350</f>
        <v>320</v>
      </c>
      <c r="J529" s="10" t="str">
        <f>IFERROR(VLOOKUP('Pairings NB'!$M$2350,Instructores!$A:$C,3,FALSE),"")</f>
        <v/>
      </c>
      <c r="K529" s="10">
        <f>IF('Pairings NB'!J2350=320,4,3)</f>
        <v>4</v>
      </c>
    </row>
    <row r="530" spans="1:11" x14ac:dyDescent="0.25">
      <c r="A530" s="10">
        <f>'Pairings NB'!B2355</f>
        <v>2159</v>
      </c>
      <c r="B530" s="10" t="str">
        <f>'Pairings NB'!C2355</f>
        <v>25/10/2026</v>
      </c>
      <c r="C530" s="10" t="str">
        <f>'Pairings NB'!D2355</f>
        <v>domingo</v>
      </c>
      <c r="D530" s="10" t="str">
        <f>'Pairings NB'!E2355&amp;"/"&amp;'Pairings NB'!E2356</f>
        <v>2236/2237</v>
      </c>
      <c r="E530" s="10" t="str">
        <f>'Pairings NB'!F2355&amp;"-"&amp;'Pairings NB'!G2355&amp;"-"&amp;'Pairings NB'!F2355</f>
        <v>LIM-PIU-LIM</v>
      </c>
      <c r="F530" s="10" t="str">
        <f>IFERROR(VLOOKUP('Pairings NB'!$M$2355,Instructores!$A:$C,2,FALSE),"")</f>
        <v/>
      </c>
      <c r="G530" s="10">
        <f>'Pairings NB'!$M$2355</f>
        <v>0</v>
      </c>
      <c r="H530" s="10">
        <f>'Pairings NB'!$O$2355</f>
        <v>0</v>
      </c>
      <c r="I530" s="10">
        <f>'Pairings NB'!J2355</f>
        <v>319</v>
      </c>
      <c r="J530" s="10" t="str">
        <f>IFERROR(VLOOKUP('Pairings NB'!$M$2355,Instructores!$A:$C,3,FALSE),"")</f>
        <v/>
      </c>
      <c r="K530" s="10">
        <f>IF('Pairings NB'!J2355=320,4,3)</f>
        <v>3</v>
      </c>
    </row>
    <row r="531" spans="1:11" x14ac:dyDescent="0.25">
      <c r="A531" s="10">
        <f>'Pairings NB'!B2360</f>
        <v>2160</v>
      </c>
      <c r="B531" s="10" t="str">
        <f>'Pairings NB'!C2360</f>
        <v>25/10/2026</v>
      </c>
      <c r="C531" s="10" t="str">
        <f>'Pairings NB'!D2360</f>
        <v>domingo</v>
      </c>
      <c r="D531" s="10" t="str">
        <f>'Pairings NB'!E2360&amp;"/"&amp;'Pairings NB'!E2361</f>
        <v>2326/2012</v>
      </c>
      <c r="E531" s="10" t="str">
        <f>'Pairings NB'!F2360&amp;"-"&amp;'Pairings NB'!G2360&amp;"-"&amp;'Pairings NB'!F2360</f>
        <v>LIM-AQP-LIM</v>
      </c>
      <c r="F531" s="10" t="str">
        <f>IFERROR(VLOOKUP('Pairings NB'!$M$2360,Instructores!$A:$C,2,FALSE),"")</f>
        <v/>
      </c>
      <c r="G531" s="10">
        <f>'Pairings NB'!$M$2360</f>
        <v>0</v>
      </c>
      <c r="H531" s="10">
        <f>'Pairings NB'!$O$2360</f>
        <v>0</v>
      </c>
      <c r="I531" s="10">
        <f>'Pairings NB'!J2360</f>
        <v>320</v>
      </c>
      <c r="J531" s="10" t="str">
        <f>IFERROR(VLOOKUP('Pairings NB'!$M$2360,Instructores!$A:$C,3,FALSE),"")</f>
        <v/>
      </c>
      <c r="K531" s="10">
        <f>IF('Pairings NB'!J2360=320,4,3)</f>
        <v>4</v>
      </c>
    </row>
    <row r="532" spans="1:11" x14ac:dyDescent="0.25">
      <c r="A532" s="10">
        <f>'Pairings NB'!B2365</f>
        <v>2218</v>
      </c>
      <c r="B532" s="10" t="str">
        <f>'Pairings NB'!C2365</f>
        <v>26/10/2026</v>
      </c>
      <c r="C532" s="10" t="str">
        <f>'Pairings NB'!D2365</f>
        <v>lunes</v>
      </c>
      <c r="D532" s="10" t="str">
        <f>'Pairings NB'!E2365&amp;"/"&amp;'Pairings NB'!E2366</f>
        <v>2299/2298</v>
      </c>
      <c r="E532" s="10" t="str">
        <f>'Pairings NB'!F2365&amp;"-"&amp;'Pairings NB'!G2365&amp;"-"&amp;'Pairings NB'!F2365</f>
        <v>LIM-CJA-LIM</v>
      </c>
      <c r="F532" s="10" t="str">
        <f>IFERROR(VLOOKUP('Pairings NB'!$M$2365,Instructores!$A:$C,2,FALSE),"")</f>
        <v/>
      </c>
      <c r="G532" s="10">
        <f>'Pairings NB'!$M$2365</f>
        <v>0</v>
      </c>
      <c r="H532" s="10">
        <f>'Pairings NB'!$O$2365</f>
        <v>0</v>
      </c>
      <c r="I532" s="10">
        <f>'Pairings NB'!J2365</f>
        <v>320</v>
      </c>
      <c r="J532" s="10" t="str">
        <f>IFERROR(VLOOKUP('Pairings NB'!$M$2365,Instructores!$A:$C,3,FALSE),"")</f>
        <v/>
      </c>
      <c r="K532" s="10">
        <f>IF('Pairings NB'!J2365=320,4,3)</f>
        <v>4</v>
      </c>
    </row>
    <row r="533" spans="1:11" x14ac:dyDescent="0.25">
      <c r="A533" s="10">
        <f>'Pairings NB'!B2367</f>
        <v>2243</v>
      </c>
      <c r="B533" s="10" t="str">
        <f>'Pairings NB'!C2367</f>
        <v>26/10/2026</v>
      </c>
      <c r="C533" s="10" t="str">
        <f>'Pairings NB'!D2367</f>
        <v>lunes</v>
      </c>
      <c r="D533" s="10" t="str">
        <f>'Pairings NB'!E2367&amp;"/"&amp;'Pairings NB'!E2368</f>
        <v>2301/2300</v>
      </c>
      <c r="E533" s="10" t="str">
        <f>'Pairings NB'!F2367&amp;"-"&amp;'Pairings NB'!G2367&amp;"-"&amp;'Pairings NB'!F2367</f>
        <v>LIM-TPP-LIM</v>
      </c>
      <c r="F533" s="10" t="str">
        <f>IFERROR(VLOOKUP('Pairings NB'!$M$2365,Instructores!$A:$C,2,FALSE),"")</f>
        <v/>
      </c>
      <c r="G533" s="10">
        <f>'Pairings NB'!$M$2365</f>
        <v>0</v>
      </c>
      <c r="H533" s="10">
        <f>'Pairings NB'!$O$2365</f>
        <v>0</v>
      </c>
      <c r="I533" s="10">
        <f>'Pairings NB'!J2367</f>
        <v>320</v>
      </c>
      <c r="J533" s="10" t="str">
        <f>IFERROR(VLOOKUP('Pairings NB'!$M$2365,Instructores!$A:$C,3,FALSE),"")</f>
        <v/>
      </c>
      <c r="K533" s="10">
        <f>IF('Pairings NB'!J2367=320,4,3)</f>
        <v>4</v>
      </c>
    </row>
    <row r="534" spans="1:11" x14ac:dyDescent="0.25">
      <c r="A534" s="10">
        <f>'Pairings NB'!B2372</f>
        <v>2219</v>
      </c>
      <c r="B534" s="10" t="str">
        <f>'Pairings NB'!C2372</f>
        <v>26/10/2026</v>
      </c>
      <c r="C534" s="10" t="str">
        <f>'Pairings NB'!D2372</f>
        <v>lunes</v>
      </c>
      <c r="D534" s="10" t="str">
        <f>'Pairings NB'!E2372&amp;"/"&amp;'Pairings NB'!E2373</f>
        <v>2111/2110</v>
      </c>
      <c r="E534" s="10" t="str">
        <f>'Pairings NB'!F2372&amp;"-"&amp;'Pairings NB'!G2372&amp;"-"&amp;'Pairings NB'!F2372</f>
        <v>LIM-AQP-LIM</v>
      </c>
      <c r="F534" s="10" t="str">
        <f>IFERROR(VLOOKUP('Pairings NB'!$M$2372,Instructores!$A:$C,2,FALSE),"")</f>
        <v/>
      </c>
      <c r="G534" s="10">
        <f>'Pairings NB'!$M$2372</f>
        <v>0</v>
      </c>
      <c r="H534" s="10">
        <f>'Pairings NB'!$O$2372</f>
        <v>0</v>
      </c>
      <c r="I534" s="10">
        <f>'Pairings NB'!J2372</f>
        <v>319</v>
      </c>
      <c r="J534" s="10" t="str">
        <f>IFERROR(VLOOKUP('Pairings NB'!$M$2372,Instructores!$A:$C,3,FALSE),"")</f>
        <v/>
      </c>
      <c r="K534" s="10">
        <f>IF('Pairings NB'!J2372=320,4,3)</f>
        <v>3</v>
      </c>
    </row>
    <row r="535" spans="1:11" x14ac:dyDescent="0.25">
      <c r="A535" s="10">
        <f>'Pairings NB'!B2377</f>
        <v>2221</v>
      </c>
      <c r="B535" s="10" t="str">
        <f>'Pairings NB'!C2377</f>
        <v>26/10/2026</v>
      </c>
      <c r="C535" s="10" t="str">
        <f>'Pairings NB'!D2377</f>
        <v>lunes</v>
      </c>
      <c r="D535" s="10" t="str">
        <f>'Pairings NB'!E2377&amp;"/"&amp;'Pairings NB'!E2378</f>
        <v>2030/2031</v>
      </c>
      <c r="E535" s="10" t="str">
        <f>'Pairings NB'!F2377&amp;"-"&amp;'Pairings NB'!G2377&amp;"-"&amp;'Pairings NB'!F2377</f>
        <v>LIM-PCL-LIM</v>
      </c>
      <c r="F535" s="10" t="str">
        <f>IFERROR(VLOOKUP('Pairings NB'!$M$2377,Instructores!$A:$C,2,FALSE),"")</f>
        <v/>
      </c>
      <c r="G535" s="10">
        <f>'Pairings NB'!$M$2377</f>
        <v>0</v>
      </c>
      <c r="H535" s="10">
        <f>'Pairings NB'!$O$2377</f>
        <v>0</v>
      </c>
      <c r="I535" s="10">
        <f>'Pairings NB'!J2377</f>
        <v>320</v>
      </c>
      <c r="J535" s="10" t="str">
        <f>IFERROR(VLOOKUP('Pairings NB'!$M$2377,Instructores!$A:$C,3,FALSE),"")</f>
        <v/>
      </c>
      <c r="K535" s="10">
        <f>IF('Pairings NB'!J2377=320,4,3)</f>
        <v>4</v>
      </c>
    </row>
    <row r="536" spans="1:11" x14ac:dyDescent="0.25">
      <c r="A536" s="10">
        <f>'Pairings NB'!B2382</f>
        <v>2223</v>
      </c>
      <c r="B536" s="10" t="str">
        <f>'Pairings NB'!C2382</f>
        <v>26/10/2026</v>
      </c>
      <c r="C536" s="10" t="str">
        <f>'Pairings NB'!D2382</f>
        <v>lunes</v>
      </c>
      <c r="D536" s="10" t="str">
        <f>'Pairings NB'!E2382&amp;"/"&amp;'Pairings NB'!E2383</f>
        <v>2356/2357</v>
      </c>
      <c r="E536" s="10" t="str">
        <f>'Pairings NB'!F2382&amp;"-"&amp;'Pairings NB'!G2382&amp;"-"&amp;'Pairings NB'!F2382</f>
        <v>LIM-CUZ-LIM</v>
      </c>
      <c r="F536" s="10" t="str">
        <f>IFERROR(VLOOKUP('Pairings NB'!$M$2382,Instructores!$A:$C,2,FALSE),"")</f>
        <v/>
      </c>
      <c r="G536" s="10">
        <f>'Pairings NB'!$M$2382</f>
        <v>0</v>
      </c>
      <c r="H536" s="10">
        <f>'Pairings NB'!$O$2382</f>
        <v>0</v>
      </c>
      <c r="I536" s="10">
        <f>'Pairings NB'!J2382</f>
        <v>320</v>
      </c>
      <c r="J536" s="10" t="str">
        <f>IFERROR(VLOOKUP('Pairings NB'!$M$2382,Instructores!$A:$C,3,FALSE),"")</f>
        <v/>
      </c>
      <c r="K536" s="10">
        <f>IF('Pairings NB'!J2382=320,4,3)</f>
        <v>4</v>
      </c>
    </row>
    <row r="537" spans="1:11" x14ac:dyDescent="0.25">
      <c r="A537" s="10">
        <f>'Pairings NB'!B2384</f>
        <v>2246</v>
      </c>
      <c r="B537" s="10" t="str">
        <f>'Pairings NB'!C2384</f>
        <v>26/10/2026</v>
      </c>
      <c r="C537" s="10" t="str">
        <f>'Pairings NB'!D2384</f>
        <v>lunes</v>
      </c>
      <c r="D537" s="10" t="str">
        <f>'Pairings NB'!E2384&amp;"/"&amp;'Pairings NB'!E2385</f>
        <v>2304/2305</v>
      </c>
      <c r="E537" s="10" t="str">
        <f>'Pairings NB'!F2384&amp;"-"&amp;'Pairings NB'!G2384&amp;"-"&amp;'Pairings NB'!F2384</f>
        <v>LIM-PIU-LIM</v>
      </c>
      <c r="F537" s="10" t="str">
        <f>IFERROR(VLOOKUP('Pairings NB'!$M$2382,Instructores!$A:$C,2,FALSE),"")</f>
        <v/>
      </c>
      <c r="G537" s="10">
        <f>'Pairings NB'!$M$2382</f>
        <v>0</v>
      </c>
      <c r="H537" s="10">
        <f>'Pairings NB'!$O$2382</f>
        <v>0</v>
      </c>
      <c r="I537" s="10">
        <f>'Pairings NB'!J2384</f>
        <v>319</v>
      </c>
      <c r="J537" s="10" t="str">
        <f>IFERROR(VLOOKUP('Pairings NB'!$M$2382,Instructores!$A:$C,3,FALSE),"")</f>
        <v/>
      </c>
      <c r="K537" s="10">
        <f>IF('Pairings NB'!J2384=320,4,3)</f>
        <v>3</v>
      </c>
    </row>
    <row r="538" spans="1:11" x14ac:dyDescent="0.25">
      <c r="A538" s="10">
        <f>'Pairings NB'!B2389</f>
        <v>2233</v>
      </c>
      <c r="B538" s="10" t="str">
        <f>'Pairings NB'!C2389</f>
        <v>26/10/2026</v>
      </c>
      <c r="C538" s="10" t="str">
        <f>'Pairings NB'!D2389</f>
        <v>lunes</v>
      </c>
      <c r="D538" s="10" t="str">
        <f>'Pairings NB'!E2389&amp;"/"&amp;'Pairings NB'!E2390</f>
        <v>2087/2088</v>
      </c>
      <c r="E538" s="10" t="str">
        <f>'Pairings NB'!F2389&amp;"-"&amp;'Pairings NB'!G2389&amp;"-"&amp;'Pairings NB'!F2389</f>
        <v>LIM-TPP-LIM</v>
      </c>
      <c r="F538" s="10" t="str">
        <f>IFERROR(VLOOKUP('Pairings NB'!$M$2389,Instructores!$A:$C,2,FALSE),"")</f>
        <v/>
      </c>
      <c r="G538" s="10">
        <f>'Pairings NB'!$M$2389</f>
        <v>0</v>
      </c>
      <c r="H538" s="10">
        <f>'Pairings NB'!$O$2389</f>
        <v>0</v>
      </c>
      <c r="I538" s="10">
        <f>'Pairings NB'!J2389</f>
        <v>320</v>
      </c>
      <c r="J538" s="10" t="str">
        <f>IFERROR(VLOOKUP('Pairings NB'!$M$2389,Instructores!$A:$C,3,FALSE),"")</f>
        <v/>
      </c>
      <c r="K538" s="10">
        <f>IF('Pairings NB'!J2389=320,4,3)</f>
        <v>4</v>
      </c>
    </row>
    <row r="539" spans="1:11" x14ac:dyDescent="0.25">
      <c r="A539" s="10">
        <f>'Pairings NB'!B2394</f>
        <v>2234</v>
      </c>
      <c r="B539" s="10" t="str">
        <f>'Pairings NB'!C2394</f>
        <v>26/10/2026</v>
      </c>
      <c r="C539" s="10" t="str">
        <f>'Pairings NB'!D2394</f>
        <v>lunes</v>
      </c>
      <c r="D539" s="10" t="str">
        <f>'Pairings NB'!E2394&amp;"/"&amp;'Pairings NB'!E2395</f>
        <v>2295/2294</v>
      </c>
      <c r="E539" s="10" t="str">
        <f>'Pairings NB'!F2394&amp;"-"&amp;'Pairings NB'!G2394&amp;"-"&amp;'Pairings NB'!F2394</f>
        <v>LIM-CJA-LIM</v>
      </c>
      <c r="F539" s="10" t="str">
        <f>IFERROR(VLOOKUP('Pairings NB'!$M$2394,Instructores!$A:$C,2,FALSE),"")</f>
        <v/>
      </c>
      <c r="G539" s="10">
        <f>'Pairings NB'!$M$2394</f>
        <v>0</v>
      </c>
      <c r="H539" s="10">
        <f>'Pairings NB'!$O$2394</f>
        <v>0</v>
      </c>
      <c r="I539" s="10">
        <f>'Pairings NB'!J2394</f>
        <v>320</v>
      </c>
      <c r="J539" s="10" t="str">
        <f>IFERROR(VLOOKUP('Pairings NB'!$M$2394,Instructores!$A:$C,3,FALSE),"")</f>
        <v/>
      </c>
      <c r="K539" s="10">
        <f>IF('Pairings NB'!J2394=320,4,3)</f>
        <v>4</v>
      </c>
    </row>
    <row r="540" spans="1:11" x14ac:dyDescent="0.25">
      <c r="A540" s="10">
        <f>'Pairings NB'!B2399</f>
        <v>2235</v>
      </c>
      <c r="B540" s="10" t="str">
        <f>'Pairings NB'!C2399</f>
        <v>26/10/2026</v>
      </c>
      <c r="C540" s="10" t="str">
        <f>'Pairings NB'!D2399</f>
        <v>lunes</v>
      </c>
      <c r="D540" s="10" t="str">
        <f>'Pairings NB'!E2399&amp;"/"&amp;'Pairings NB'!E2400</f>
        <v>2232/2233</v>
      </c>
      <c r="E540" s="10" t="str">
        <f>'Pairings NB'!F2399&amp;"-"&amp;'Pairings NB'!G2399&amp;"-"&amp;'Pairings NB'!F2399</f>
        <v>LIM-CUZ-LIM</v>
      </c>
      <c r="F540" s="10" t="str">
        <f>IFERROR(VLOOKUP('Pairings NB'!$M$2399,Instructores!$A:$C,2,FALSE),"")</f>
        <v/>
      </c>
      <c r="G540" s="10">
        <f>'Pairings NB'!$M$2399</f>
        <v>0</v>
      </c>
      <c r="H540" s="10">
        <f>'Pairings NB'!$O$2399</f>
        <v>0</v>
      </c>
      <c r="I540" s="10">
        <f>'Pairings NB'!J2399</f>
        <v>320</v>
      </c>
      <c r="J540" s="10" t="str">
        <f>IFERROR(VLOOKUP('Pairings NB'!$M$2399,Instructores!$A:$C,3,FALSE),"")</f>
        <v/>
      </c>
      <c r="K540" s="10">
        <f>IF('Pairings NB'!J2399=320,4,3)</f>
        <v>4</v>
      </c>
    </row>
    <row r="541" spans="1:11" x14ac:dyDescent="0.25">
      <c r="A541" s="10">
        <f>'Pairings NB'!B2404</f>
        <v>2236</v>
      </c>
      <c r="B541" s="10" t="str">
        <f>'Pairings NB'!C2404</f>
        <v>26/10/2026</v>
      </c>
      <c r="C541" s="10" t="str">
        <f>'Pairings NB'!D2404</f>
        <v>lunes</v>
      </c>
      <c r="D541" s="10" t="str">
        <f>'Pairings NB'!E2404&amp;"/"&amp;'Pairings NB'!E2405</f>
        <v>2338/2339</v>
      </c>
      <c r="E541" s="10" t="str">
        <f>'Pairings NB'!F2404&amp;"-"&amp;'Pairings NB'!G2404&amp;"-"&amp;'Pairings NB'!F2404</f>
        <v>LIM-PIU-LIM</v>
      </c>
      <c r="F541" s="10" t="str">
        <f>IFERROR(VLOOKUP('Pairings NB'!$M$2404,Instructores!$A:$C,2,FALSE),"")</f>
        <v/>
      </c>
      <c r="G541" s="10">
        <f>'Pairings NB'!$M$2404</f>
        <v>0</v>
      </c>
      <c r="H541" s="10">
        <f>'Pairings NB'!$O$2404</f>
        <v>0</v>
      </c>
      <c r="I541" s="10">
        <f>'Pairings NB'!J2404</f>
        <v>319</v>
      </c>
      <c r="J541" s="10" t="str">
        <f>IFERROR(VLOOKUP('Pairings NB'!$M$2404,Instructores!$A:$C,3,FALSE),"")</f>
        <v/>
      </c>
      <c r="K541" s="10">
        <f>IF('Pairings NB'!J2404=320,4,3)</f>
        <v>3</v>
      </c>
    </row>
    <row r="542" spans="1:11" x14ac:dyDescent="0.25">
      <c r="A542" s="10">
        <f>'Pairings NB'!B2409</f>
        <v>2237</v>
      </c>
      <c r="B542" s="10" t="str">
        <f>'Pairings NB'!C2409</f>
        <v>26/10/2026</v>
      </c>
      <c r="C542" s="10" t="str">
        <f>'Pairings NB'!D2409</f>
        <v>lunes</v>
      </c>
      <c r="D542" s="10" t="str">
        <f>'Pairings NB'!E2409&amp;"/"&amp;'Pairings NB'!E2410</f>
        <v>2264/2265</v>
      </c>
      <c r="E542" s="10" t="str">
        <f>'Pairings NB'!F2409&amp;"-"&amp;'Pairings NB'!G2409&amp;"-"&amp;'Pairings NB'!F2409</f>
        <v>LIM-PEM-LIM</v>
      </c>
      <c r="F542" s="10" t="str">
        <f>IFERROR(VLOOKUP('Pairings NB'!$M$2409,Instructores!$A:$C,2,FALSE),"")</f>
        <v/>
      </c>
      <c r="G542" s="10">
        <f>'Pairings NB'!$M$2409</f>
        <v>0</v>
      </c>
      <c r="H542" s="10">
        <f>'Pairings NB'!$O$2409</f>
        <v>0</v>
      </c>
      <c r="I542" s="10">
        <f>'Pairings NB'!J2409</f>
        <v>319</v>
      </c>
      <c r="J542" s="10" t="str">
        <f>IFERROR(VLOOKUP('Pairings NB'!$M$2409,Instructores!$A:$C,3,FALSE),"")</f>
        <v/>
      </c>
      <c r="K542" s="10">
        <f>IF('Pairings NB'!J2409=320,4,3)</f>
        <v>3</v>
      </c>
    </row>
    <row r="543" spans="1:11" x14ac:dyDescent="0.25">
      <c r="A543" s="10">
        <f>'Pairings NB'!B2414</f>
        <v>2238</v>
      </c>
      <c r="B543" s="10" t="str">
        <f>'Pairings NB'!C2414</f>
        <v>26/10/2026</v>
      </c>
      <c r="C543" s="10" t="str">
        <f>'Pairings NB'!D2414</f>
        <v>lunes</v>
      </c>
      <c r="D543" s="10" t="str">
        <f>'Pairings NB'!E2414&amp;"/"&amp;'Pairings NB'!E2415</f>
        <v>2297/2296</v>
      </c>
      <c r="E543" s="10" t="str">
        <f>'Pairings NB'!F2414&amp;"-"&amp;'Pairings NB'!G2414&amp;"-"&amp;'Pairings NB'!F2414</f>
        <v>LIM-CJA-LIM</v>
      </c>
      <c r="F543" s="10" t="str">
        <f>IFERROR(VLOOKUP('Pairings NB'!$M$2414,Instructores!$A:$C,2,FALSE),"")</f>
        <v/>
      </c>
      <c r="G543" s="10">
        <f>'Pairings NB'!$M$2414</f>
        <v>0</v>
      </c>
      <c r="H543" s="10">
        <f>'Pairings NB'!$O$2414</f>
        <v>0</v>
      </c>
      <c r="I543" s="10">
        <f>'Pairings NB'!J2414</f>
        <v>319</v>
      </c>
      <c r="J543" s="10" t="str">
        <f>IFERROR(VLOOKUP('Pairings NB'!$M$2414,Instructores!$A:$C,3,FALSE),"")</f>
        <v/>
      </c>
      <c r="K543" s="10">
        <f>IF('Pairings NB'!J2414=320,4,3)</f>
        <v>3</v>
      </c>
    </row>
    <row r="544" spans="1:11" x14ac:dyDescent="0.25">
      <c r="A544" s="10">
        <f>'Pairings NB'!B2419</f>
        <v>2240</v>
      </c>
      <c r="B544" s="10" t="str">
        <f>'Pairings NB'!C2419</f>
        <v>26/10/2026</v>
      </c>
      <c r="C544" s="10" t="str">
        <f>'Pairings NB'!D2419</f>
        <v>lunes</v>
      </c>
      <c r="D544" s="10" t="str">
        <f>'Pairings NB'!E2419&amp;"/"&amp;'Pairings NB'!E2420</f>
        <v>2360/2361</v>
      </c>
      <c r="E544" s="10" t="str">
        <f>'Pairings NB'!F2419&amp;"-"&amp;'Pairings NB'!G2419&amp;"-"&amp;'Pairings NB'!F2419</f>
        <v>LIM-PCL-LIM</v>
      </c>
      <c r="F544" s="10" t="str">
        <f>IFERROR(VLOOKUP('Pairings NB'!$M$2419,Instructores!$A:$C,2,FALSE),"")</f>
        <v/>
      </c>
      <c r="G544" s="10">
        <f>'Pairings NB'!$M$2419</f>
        <v>0</v>
      </c>
      <c r="H544" s="10">
        <f>'Pairings NB'!$O$2419</f>
        <v>0</v>
      </c>
      <c r="I544" s="10">
        <f>'Pairings NB'!J2419</f>
        <v>320</v>
      </c>
      <c r="J544" s="10" t="str">
        <f>IFERROR(VLOOKUP('Pairings NB'!$M$2419,Instructores!$A:$C,3,FALSE),"")</f>
        <v/>
      </c>
      <c r="K544" s="10">
        <f>IF('Pairings NB'!J2419=320,4,3)</f>
        <v>4</v>
      </c>
    </row>
    <row r="545" spans="1:11" x14ac:dyDescent="0.25">
      <c r="A545" s="10">
        <f>'Pairings NB'!B2424</f>
        <v>2241</v>
      </c>
      <c r="B545" s="10" t="str">
        <f>'Pairings NB'!C2424</f>
        <v>26/10/2026</v>
      </c>
      <c r="C545" s="10" t="str">
        <f>'Pairings NB'!D2424</f>
        <v>lunes</v>
      </c>
      <c r="D545" s="10" t="str">
        <f>'Pairings NB'!E2424&amp;"/"&amp;'Pairings NB'!E2425</f>
        <v>2360/2361</v>
      </c>
      <c r="E545" s="10" t="str">
        <f>'Pairings NB'!F2424&amp;"-"&amp;'Pairings NB'!G2424&amp;"-"&amp;'Pairings NB'!F2424</f>
        <v>LIM-PCL-LIM</v>
      </c>
      <c r="F545" s="10" t="str">
        <f>IFERROR(VLOOKUP('Pairings NB'!$M$2424,Instructores!$A:$C,2,FALSE),"")</f>
        <v/>
      </c>
      <c r="G545" s="10">
        <f>'Pairings NB'!$M$2424</f>
        <v>0</v>
      </c>
      <c r="H545" s="10">
        <f>'Pairings NB'!$O$2424</f>
        <v>0</v>
      </c>
      <c r="I545" s="10">
        <f>'Pairings NB'!J2424</f>
        <v>320</v>
      </c>
      <c r="J545" s="10" t="str">
        <f>IFERROR(VLOOKUP('Pairings NB'!$M$2424,Instructores!$A:$C,3,FALSE),"")</f>
        <v/>
      </c>
      <c r="K545" s="10">
        <f>IF('Pairings NB'!J2424=320,4,3)</f>
        <v>4</v>
      </c>
    </row>
    <row r="546" spans="1:11" x14ac:dyDescent="0.25">
      <c r="A546" s="10">
        <f>'Pairings NB'!B2429</f>
        <v>2244</v>
      </c>
      <c r="B546" s="10" t="str">
        <f>'Pairings NB'!C2429</f>
        <v>26/10/2026</v>
      </c>
      <c r="C546" s="10" t="str">
        <f>'Pairings NB'!D2429</f>
        <v>lunes</v>
      </c>
      <c r="D546" s="10" t="str">
        <f>'Pairings NB'!E2429&amp;"/"&amp;'Pairings NB'!E2430</f>
        <v>2301/2300</v>
      </c>
      <c r="E546" s="10" t="str">
        <f>'Pairings NB'!F2429&amp;"-"&amp;'Pairings NB'!G2429&amp;"-"&amp;'Pairings NB'!F2429</f>
        <v>LIM-TPP-LIM</v>
      </c>
      <c r="F546" s="10" t="str">
        <f>IFERROR(VLOOKUP('Pairings NB'!$M$2429,Instructores!$A:$C,2,FALSE),"")</f>
        <v/>
      </c>
      <c r="G546" s="10">
        <f>'Pairings NB'!$M$2429</f>
        <v>0</v>
      </c>
      <c r="H546" s="10">
        <f>'Pairings NB'!$O$2429</f>
        <v>0</v>
      </c>
      <c r="I546" s="10">
        <f>'Pairings NB'!J2429</f>
        <v>320</v>
      </c>
      <c r="J546" s="10" t="str">
        <f>IFERROR(VLOOKUP('Pairings NB'!$M$2429,Instructores!$A:$C,3,FALSE),"")</f>
        <v/>
      </c>
      <c r="K546" s="10">
        <f>IF('Pairings NB'!J2429=320,4,3)</f>
        <v>4</v>
      </c>
    </row>
    <row r="547" spans="1:11" x14ac:dyDescent="0.25">
      <c r="A547" s="10">
        <f>'Pairings NB'!B2434</f>
        <v>2245</v>
      </c>
      <c r="B547" s="10" t="str">
        <f>'Pairings NB'!C2434</f>
        <v>26/10/2026</v>
      </c>
      <c r="C547" s="10" t="str">
        <f>'Pairings NB'!D2434</f>
        <v>lunes</v>
      </c>
      <c r="D547" s="10" t="str">
        <f>'Pairings NB'!E2434&amp;"/"&amp;'Pairings NB'!E2435</f>
        <v>2276/2277</v>
      </c>
      <c r="E547" s="10" t="str">
        <f>'Pairings NB'!F2434&amp;"-"&amp;'Pairings NB'!G2434&amp;"-"&amp;'Pairings NB'!F2434</f>
        <v>LIM-CUZ-LIM</v>
      </c>
      <c r="F547" s="10" t="str">
        <f>IFERROR(VLOOKUP('Pairings NB'!$M$2434,Instructores!$A:$C,2,FALSE),"")</f>
        <v/>
      </c>
      <c r="G547" s="10">
        <f>'Pairings NB'!$M$2434</f>
        <v>0</v>
      </c>
      <c r="H547" s="10">
        <f>'Pairings NB'!$O$2434</f>
        <v>0</v>
      </c>
      <c r="I547" s="10">
        <f>'Pairings NB'!J2434</f>
        <v>320</v>
      </c>
      <c r="J547" s="10" t="str">
        <f>IFERROR(VLOOKUP('Pairings NB'!$M$2434,Instructores!$A:$C,3,FALSE),"")</f>
        <v/>
      </c>
      <c r="K547" s="10">
        <f>IF('Pairings NB'!J2434=320,4,3)</f>
        <v>4</v>
      </c>
    </row>
    <row r="548" spans="1:11" x14ac:dyDescent="0.25">
      <c r="A548" s="10">
        <f>'Pairings NB'!B2439</f>
        <v>2247</v>
      </c>
      <c r="B548" s="10" t="str">
        <f>'Pairings NB'!C2439</f>
        <v>26/10/2026</v>
      </c>
      <c r="C548" s="10" t="str">
        <f>'Pairings NB'!D2439</f>
        <v>lunes</v>
      </c>
      <c r="D548" s="10" t="str">
        <f>'Pairings NB'!E2439&amp;"/"&amp;'Pairings NB'!E2440</f>
        <v>2236/2237</v>
      </c>
      <c r="E548" s="10" t="str">
        <f>'Pairings NB'!F2439&amp;"-"&amp;'Pairings NB'!G2439&amp;"-"&amp;'Pairings NB'!F2439</f>
        <v>LIM-PIU-LIM</v>
      </c>
      <c r="F548" s="10" t="str">
        <f>IFERROR(VLOOKUP('Pairings NB'!$M$2439,Instructores!$A:$C,2,FALSE),"")</f>
        <v/>
      </c>
      <c r="G548" s="10">
        <f>'Pairings NB'!$M$2439</f>
        <v>0</v>
      </c>
      <c r="H548" s="10">
        <f>'Pairings NB'!$O$2439</f>
        <v>0</v>
      </c>
      <c r="I548" s="10">
        <f>'Pairings NB'!J2439</f>
        <v>320</v>
      </c>
      <c r="J548" s="10" t="str">
        <f>IFERROR(VLOOKUP('Pairings NB'!$M$2439,Instructores!$A:$C,3,FALSE),"")</f>
        <v/>
      </c>
      <c r="K548" s="10">
        <f>IF('Pairings NB'!J2439=320,4,3)</f>
        <v>4</v>
      </c>
    </row>
    <row r="549" spans="1:11" x14ac:dyDescent="0.25">
      <c r="A549" s="10">
        <f>'Pairings NB'!B2444</f>
        <v>2284</v>
      </c>
      <c r="B549" s="10" t="str">
        <f>'Pairings NB'!C2444</f>
        <v>27/10/2026</v>
      </c>
      <c r="C549" s="10" t="str">
        <f>'Pairings NB'!D2444</f>
        <v>martes</v>
      </c>
      <c r="D549" s="10" t="str">
        <f>'Pairings NB'!E2444&amp;"/"&amp;'Pairings NB'!E2445</f>
        <v>2007/2008</v>
      </c>
      <c r="E549" s="10" t="str">
        <f>'Pairings NB'!F2444&amp;"-"&amp;'Pairings NB'!G2444&amp;"-"&amp;'Pairings NB'!F2444</f>
        <v>LIM-CUZ-LIM</v>
      </c>
      <c r="F549" s="10" t="str">
        <f>IFERROR(VLOOKUP('Pairings NB'!$M$2444,Instructores!$A:$C,2,FALSE),"")</f>
        <v/>
      </c>
      <c r="G549" s="10">
        <f>'Pairings NB'!$M$2444</f>
        <v>0</v>
      </c>
      <c r="H549" s="10">
        <f>'Pairings NB'!$O$2444</f>
        <v>0</v>
      </c>
      <c r="I549" s="10">
        <f>'Pairings NB'!J2444</f>
        <v>320</v>
      </c>
      <c r="J549" s="10" t="str">
        <f>IFERROR(VLOOKUP('Pairings NB'!$M$2444,Instructores!$A:$C,3,FALSE),"")</f>
        <v/>
      </c>
      <c r="K549" s="10">
        <f>IF('Pairings NB'!J2444=320,4,3)</f>
        <v>4</v>
      </c>
    </row>
    <row r="550" spans="1:11" x14ac:dyDescent="0.25">
      <c r="A550" s="10">
        <f>'Pairings NB'!B2446</f>
        <v>2308</v>
      </c>
      <c r="B550" s="10" t="str">
        <f>'Pairings NB'!C2446</f>
        <v>27/10/2026</v>
      </c>
      <c r="C550" s="10" t="str">
        <f>'Pairings NB'!D2446</f>
        <v>martes</v>
      </c>
      <c r="D550" s="10" t="str">
        <f>'Pairings NB'!E2446&amp;"/"&amp;'Pairings NB'!E2447</f>
        <v>2087/2088</v>
      </c>
      <c r="E550" s="10" t="str">
        <f>'Pairings NB'!F2446&amp;"-"&amp;'Pairings NB'!G2446&amp;"-"&amp;'Pairings NB'!F2446</f>
        <v>LIM-TPP-LIM</v>
      </c>
      <c r="F550" s="10" t="str">
        <f>IFERROR(VLOOKUP('Pairings NB'!$M$2444,Instructores!$A:$C,2,FALSE),"")</f>
        <v/>
      </c>
      <c r="G550" s="10">
        <f>'Pairings NB'!$M$2444</f>
        <v>0</v>
      </c>
      <c r="H550" s="10">
        <f>'Pairings NB'!$O$2444</f>
        <v>0</v>
      </c>
      <c r="I550" s="10">
        <f>'Pairings NB'!J2446</f>
        <v>319</v>
      </c>
      <c r="J550" s="10" t="str">
        <f>IFERROR(VLOOKUP('Pairings NB'!$M$2444,Instructores!$A:$C,3,FALSE),"")</f>
        <v/>
      </c>
      <c r="K550" s="10">
        <f>IF('Pairings NB'!J2446=320,4,3)</f>
        <v>3</v>
      </c>
    </row>
    <row r="551" spans="1:11" x14ac:dyDescent="0.25">
      <c r="A551" s="10">
        <f>'Pairings NB'!B2451</f>
        <v>2285</v>
      </c>
      <c r="B551" s="10" t="str">
        <f>'Pairings NB'!C2451</f>
        <v>27/10/2026</v>
      </c>
      <c r="C551" s="10" t="str">
        <f>'Pairings NB'!D2451</f>
        <v>martes</v>
      </c>
      <c r="D551" s="10" t="str">
        <f>'Pairings NB'!E2451&amp;"/"&amp;'Pairings NB'!E2452</f>
        <v>2007/2008</v>
      </c>
      <c r="E551" s="10" t="str">
        <f>'Pairings NB'!F2451&amp;"-"&amp;'Pairings NB'!G2451&amp;"-"&amp;'Pairings NB'!F2451</f>
        <v>LIM-CUZ-LIM</v>
      </c>
      <c r="F551" s="10" t="str">
        <f>IFERROR(VLOOKUP('Pairings NB'!$M$2451,Instructores!$A:$C,2,FALSE),"")</f>
        <v/>
      </c>
      <c r="G551" s="10">
        <f>'Pairings NB'!$M$2451</f>
        <v>0</v>
      </c>
      <c r="H551" s="10">
        <f>'Pairings NB'!$O$2451</f>
        <v>0</v>
      </c>
      <c r="I551" s="10">
        <f>'Pairings NB'!J2451</f>
        <v>320</v>
      </c>
      <c r="J551" s="10" t="str">
        <f>IFERROR(VLOOKUP('Pairings NB'!$M$2451,Instructores!$A:$C,3,FALSE),"")</f>
        <v/>
      </c>
      <c r="K551" s="10">
        <f>IF('Pairings NB'!J2451=320,4,3)</f>
        <v>4</v>
      </c>
    </row>
    <row r="552" spans="1:11" x14ac:dyDescent="0.25">
      <c r="A552" s="10">
        <f>'Pairings NB'!B2453</f>
        <v>2309</v>
      </c>
      <c r="B552" s="10" t="str">
        <f>'Pairings NB'!C2453</f>
        <v>27/10/2026</v>
      </c>
      <c r="C552" s="10" t="str">
        <f>'Pairings NB'!D2453</f>
        <v>martes</v>
      </c>
      <c r="D552" s="10" t="str">
        <f>'Pairings NB'!E2453&amp;"/"&amp;'Pairings NB'!E2454</f>
        <v>2232/2233</v>
      </c>
      <c r="E552" s="10" t="str">
        <f>'Pairings NB'!F2453&amp;"-"&amp;'Pairings NB'!G2453&amp;"-"&amp;'Pairings NB'!F2453</f>
        <v>LIM-CUZ-LIM</v>
      </c>
      <c r="F552" s="10" t="str">
        <f>IFERROR(VLOOKUP('Pairings NB'!$M$2451,Instructores!$A:$C,2,FALSE),"")</f>
        <v/>
      </c>
      <c r="G552" s="10">
        <f>'Pairings NB'!$M$2451</f>
        <v>0</v>
      </c>
      <c r="H552" s="10">
        <f>'Pairings NB'!$O$2451</f>
        <v>0</v>
      </c>
      <c r="I552" s="10">
        <f>'Pairings NB'!J2453</f>
        <v>320</v>
      </c>
      <c r="J552" s="10" t="str">
        <f>IFERROR(VLOOKUP('Pairings NB'!$M$2451,Instructores!$A:$C,3,FALSE),"")</f>
        <v/>
      </c>
      <c r="K552" s="10">
        <f>IF('Pairings NB'!J2453=320,4,3)</f>
        <v>4</v>
      </c>
    </row>
    <row r="553" spans="1:11" x14ac:dyDescent="0.25">
      <c r="A553" s="10">
        <f>'Pairings NB'!B2458</f>
        <v>2293</v>
      </c>
      <c r="B553" s="10" t="str">
        <f>'Pairings NB'!C2458</f>
        <v>27/10/2026</v>
      </c>
      <c r="C553" s="10" t="str">
        <f>'Pairings NB'!D2458</f>
        <v>martes</v>
      </c>
      <c r="D553" s="10" t="str">
        <f>'Pairings NB'!E2458&amp;"/"&amp;'Pairings NB'!E2459</f>
        <v>2111/2110</v>
      </c>
      <c r="E553" s="10" t="str">
        <f>'Pairings NB'!F2458&amp;"-"&amp;'Pairings NB'!G2458&amp;"-"&amp;'Pairings NB'!F2458</f>
        <v>LIM-AQP-LIM</v>
      </c>
      <c r="F553" s="10" t="str">
        <f>IFERROR(VLOOKUP('Pairings NB'!$M$2458,Instructores!$A:$C,2,FALSE),"")</f>
        <v/>
      </c>
      <c r="G553" s="10">
        <f>'Pairings NB'!$M$2458</f>
        <v>0</v>
      </c>
      <c r="H553" s="10">
        <f>'Pairings NB'!$O$2458</f>
        <v>0</v>
      </c>
      <c r="I553" s="10">
        <f>'Pairings NB'!J2458</f>
        <v>320</v>
      </c>
      <c r="J553" s="10" t="str">
        <f>IFERROR(VLOOKUP('Pairings NB'!$M$2458,Instructores!$A:$C,3,FALSE),"")</f>
        <v/>
      </c>
      <c r="K553" s="10">
        <f>IF('Pairings NB'!J2458=320,4,3)</f>
        <v>4</v>
      </c>
    </row>
    <row r="554" spans="1:11" x14ac:dyDescent="0.25">
      <c r="A554" s="10">
        <f>'Pairings NB'!B2460</f>
        <v>2324</v>
      </c>
      <c r="B554" s="10" t="str">
        <f>'Pairings NB'!C2460</f>
        <v>27/10/2026</v>
      </c>
      <c r="C554" s="10" t="str">
        <f>'Pairings NB'!D2460</f>
        <v>martes</v>
      </c>
      <c r="D554" s="10" t="str">
        <f>'Pairings NB'!E2460&amp;"/"&amp;'Pairings NB'!E2461</f>
        <v>2276/2277</v>
      </c>
      <c r="E554" s="10" t="str">
        <f>'Pairings NB'!F2460&amp;"-"&amp;'Pairings NB'!G2460&amp;"-"&amp;'Pairings NB'!F2460</f>
        <v>LIM-CUZ-LIM</v>
      </c>
      <c r="F554" s="10" t="str">
        <f>IFERROR(VLOOKUP('Pairings NB'!$M$2458,Instructores!$A:$C,2,FALSE),"")</f>
        <v/>
      </c>
      <c r="G554" s="10">
        <f>'Pairings NB'!$M$2458</f>
        <v>0</v>
      </c>
      <c r="H554" s="10">
        <f>'Pairings NB'!$O$2458</f>
        <v>0</v>
      </c>
      <c r="I554" s="10">
        <f>'Pairings NB'!J2460</f>
        <v>320</v>
      </c>
      <c r="J554" s="10" t="str">
        <f>IFERROR(VLOOKUP('Pairings NB'!$M$2458,Instructores!$A:$C,3,FALSE),"")</f>
        <v/>
      </c>
      <c r="K554" s="10">
        <f>IF('Pairings NB'!J2460=320,4,3)</f>
        <v>4</v>
      </c>
    </row>
    <row r="555" spans="1:11" x14ac:dyDescent="0.25">
      <c r="A555" s="10">
        <f>'Pairings NB'!B2465</f>
        <v>2295</v>
      </c>
      <c r="B555" s="10" t="str">
        <f>'Pairings NB'!C2465</f>
        <v>27/10/2026</v>
      </c>
      <c r="C555" s="10" t="str">
        <f>'Pairings NB'!D2465</f>
        <v>martes</v>
      </c>
      <c r="D555" s="10" t="str">
        <f>'Pairings NB'!E2465&amp;"/"&amp;'Pairings NB'!E2466</f>
        <v>2023/2024</v>
      </c>
      <c r="E555" s="10" t="str">
        <f>'Pairings NB'!F2465&amp;"-"&amp;'Pairings NB'!G2465&amp;"-"&amp;'Pairings NB'!F2465</f>
        <v>LIM-PEM-LIM</v>
      </c>
      <c r="F555" s="10" t="str">
        <f>IFERROR(VLOOKUP('Pairings NB'!$M$2465,Instructores!$A:$C,2,FALSE),"")</f>
        <v/>
      </c>
      <c r="G555" s="10">
        <f>'Pairings NB'!$M$2465</f>
        <v>0</v>
      </c>
      <c r="H555" s="10">
        <f>'Pairings NB'!$O$2465</f>
        <v>0</v>
      </c>
      <c r="I555" s="10">
        <f>'Pairings NB'!J2465</f>
        <v>320</v>
      </c>
      <c r="J555" s="10" t="str">
        <f>IFERROR(VLOOKUP('Pairings NB'!$M$2465,Instructores!$A:$C,3,FALSE),"")</f>
        <v/>
      </c>
      <c r="K555" s="10">
        <f>IF('Pairings NB'!J2465=320,4,3)</f>
        <v>4</v>
      </c>
    </row>
    <row r="556" spans="1:11" x14ac:dyDescent="0.25">
      <c r="A556" s="10">
        <f>'Pairings NB'!B2470</f>
        <v>2304</v>
      </c>
      <c r="B556" s="10" t="str">
        <f>'Pairings NB'!C2470</f>
        <v>27/10/2026</v>
      </c>
      <c r="C556" s="10" t="str">
        <f>'Pairings NB'!D2470</f>
        <v>martes</v>
      </c>
      <c r="D556" s="10" t="str">
        <f>'Pairings NB'!E2470&amp;"/"&amp;'Pairings NB'!E2471</f>
        <v>2028/2029</v>
      </c>
      <c r="E556" s="10" t="str">
        <f>'Pairings NB'!F2470&amp;"-"&amp;'Pairings NB'!G2470&amp;"-"&amp;'Pairings NB'!F2470</f>
        <v>LIM-CUZ-LIM</v>
      </c>
      <c r="F556" s="10" t="str">
        <f>IFERROR(VLOOKUP('Pairings NB'!$M$2470,Instructores!$A:$C,2,FALSE),"")</f>
        <v/>
      </c>
      <c r="G556" s="10">
        <f>'Pairings NB'!$M$2470</f>
        <v>0</v>
      </c>
      <c r="H556" s="10">
        <f>'Pairings NB'!$O$2470</f>
        <v>0</v>
      </c>
      <c r="I556" s="10">
        <f>'Pairings NB'!J2470</f>
        <v>320</v>
      </c>
      <c r="J556" s="10" t="str">
        <f>IFERROR(VLOOKUP('Pairings NB'!$M$2470,Instructores!$A:$C,3,FALSE),"")</f>
        <v/>
      </c>
      <c r="K556" s="10">
        <f>IF('Pairings NB'!J2470=320,4,3)</f>
        <v>4</v>
      </c>
    </row>
    <row r="557" spans="1:11" x14ac:dyDescent="0.25">
      <c r="A557" s="10">
        <f>'Pairings NB'!B2475</f>
        <v>2305</v>
      </c>
      <c r="B557" s="10" t="str">
        <f>'Pairings NB'!C2475</f>
        <v>27/10/2026</v>
      </c>
      <c r="C557" s="10" t="str">
        <f>'Pairings NB'!D2475</f>
        <v>martes</v>
      </c>
      <c r="D557" s="10" t="str">
        <f>'Pairings NB'!E2475&amp;"/"&amp;'Pairings NB'!E2476</f>
        <v>2234/2235</v>
      </c>
      <c r="E557" s="10" t="str">
        <f>'Pairings NB'!F2475&amp;"-"&amp;'Pairings NB'!G2475&amp;"-"&amp;'Pairings NB'!F2475</f>
        <v>LIM-IQT-LIM</v>
      </c>
      <c r="F557" s="10" t="str">
        <f>IFERROR(VLOOKUP('Pairings NB'!$M$2475,Instructores!$A:$C,2,FALSE),"")</f>
        <v/>
      </c>
      <c r="G557" s="10">
        <f>'Pairings NB'!$M$2475</f>
        <v>0</v>
      </c>
      <c r="H557" s="10">
        <f>'Pairings NB'!$O$2475</f>
        <v>0</v>
      </c>
      <c r="I557" s="10">
        <f>'Pairings NB'!J2475</f>
        <v>320</v>
      </c>
      <c r="J557" s="10" t="str">
        <f>IFERROR(VLOOKUP('Pairings NB'!$M$2475,Instructores!$A:$C,3,FALSE),"")</f>
        <v/>
      </c>
      <c r="K557" s="10">
        <f>IF('Pairings NB'!J2475=320,4,3)</f>
        <v>4</v>
      </c>
    </row>
    <row r="558" spans="1:11" x14ac:dyDescent="0.25">
      <c r="A558" s="10">
        <f>'Pairings NB'!B2480</f>
        <v>2311</v>
      </c>
      <c r="B558" s="10" t="str">
        <f>'Pairings NB'!C2480</f>
        <v>27/10/2026</v>
      </c>
      <c r="C558" s="10" t="str">
        <f>'Pairings NB'!D2480</f>
        <v>martes</v>
      </c>
      <c r="D558" s="10" t="str">
        <f>'Pairings NB'!E2480&amp;"/"&amp;'Pairings NB'!E2481</f>
        <v>2338/2339</v>
      </c>
      <c r="E558" s="10" t="str">
        <f>'Pairings NB'!F2480&amp;"-"&amp;'Pairings NB'!G2480&amp;"-"&amp;'Pairings NB'!F2480</f>
        <v>LIM-PIU-LIM</v>
      </c>
      <c r="F558" s="10" t="str">
        <f>IFERROR(VLOOKUP('Pairings NB'!$M$2480,Instructores!$A:$C,2,FALSE),"")</f>
        <v/>
      </c>
      <c r="G558" s="10">
        <f>'Pairings NB'!$M$2480</f>
        <v>0</v>
      </c>
      <c r="H558" s="10">
        <f>'Pairings NB'!$O$2480</f>
        <v>0</v>
      </c>
      <c r="I558" s="10">
        <f>'Pairings NB'!J2480</f>
        <v>320</v>
      </c>
      <c r="J558" s="10" t="str">
        <f>IFERROR(VLOOKUP('Pairings NB'!$M$2480,Instructores!$A:$C,3,FALSE),"")</f>
        <v/>
      </c>
      <c r="K558" s="10">
        <f>IF('Pairings NB'!J2480=320,4,3)</f>
        <v>4</v>
      </c>
    </row>
    <row r="559" spans="1:11" x14ac:dyDescent="0.25">
      <c r="A559" s="10">
        <f>'Pairings NB'!B2482</f>
        <v>2326</v>
      </c>
      <c r="B559" s="10" t="str">
        <f>'Pairings NB'!C2482</f>
        <v>27/10/2026</v>
      </c>
      <c r="C559" s="10" t="str">
        <f>'Pairings NB'!D2482</f>
        <v>martes</v>
      </c>
      <c r="D559" s="10" t="str">
        <f>'Pairings NB'!E2482&amp;"/"&amp;'Pairings NB'!E2483</f>
        <v>2278/2279</v>
      </c>
      <c r="E559" s="10" t="str">
        <f>'Pairings NB'!F2482&amp;"-"&amp;'Pairings NB'!G2482&amp;"-"&amp;'Pairings NB'!F2482</f>
        <v>LIM-CIX-LIM</v>
      </c>
      <c r="F559" s="10" t="str">
        <f>IFERROR(VLOOKUP('Pairings NB'!$M$2480,Instructores!$A:$C,2,FALSE),"")</f>
        <v/>
      </c>
      <c r="G559" s="10">
        <f>'Pairings NB'!$M$2480</f>
        <v>0</v>
      </c>
      <c r="H559" s="10">
        <f>'Pairings NB'!$O$2480</f>
        <v>0</v>
      </c>
      <c r="I559" s="10">
        <f>'Pairings NB'!J2482</f>
        <v>320</v>
      </c>
      <c r="J559" s="10" t="str">
        <f>IFERROR(VLOOKUP('Pairings NB'!$M$2480,Instructores!$A:$C,3,FALSE),"")</f>
        <v/>
      </c>
      <c r="K559" s="10">
        <f>IF('Pairings NB'!J2482=320,4,3)</f>
        <v>4</v>
      </c>
    </row>
    <row r="560" spans="1:11" x14ac:dyDescent="0.25">
      <c r="A560" s="10">
        <f>'Pairings NB'!B2487</f>
        <v>2312</v>
      </c>
      <c r="B560" s="10" t="str">
        <f>'Pairings NB'!C2487</f>
        <v>27/10/2026</v>
      </c>
      <c r="C560" s="10" t="str">
        <f>'Pairings NB'!D2487</f>
        <v>martes</v>
      </c>
      <c r="D560" s="10" t="str">
        <f>'Pairings NB'!E2487&amp;"/"&amp;'Pairings NB'!E2488</f>
        <v>2113/2112</v>
      </c>
      <c r="E560" s="10" t="str">
        <f>'Pairings NB'!F2487&amp;"-"&amp;'Pairings NB'!G2487&amp;"-"&amp;'Pairings NB'!F2487</f>
        <v>LIM-AQP-LIM</v>
      </c>
      <c r="F560" s="10" t="str">
        <f>IFERROR(VLOOKUP('Pairings NB'!$M$2487,Instructores!$A:$C,2,FALSE),"")</f>
        <v/>
      </c>
      <c r="G560" s="10">
        <f>'Pairings NB'!$M$2487</f>
        <v>0</v>
      </c>
      <c r="H560" s="10">
        <f>'Pairings NB'!$O$2487</f>
        <v>0</v>
      </c>
      <c r="I560" s="10">
        <f>'Pairings NB'!J2487</f>
        <v>320</v>
      </c>
      <c r="J560" s="10" t="str">
        <f>IFERROR(VLOOKUP('Pairings NB'!$M$2487,Instructores!$A:$C,3,FALSE),"")</f>
        <v/>
      </c>
      <c r="K560" s="10">
        <f>IF('Pairings NB'!J2487=320,4,3)</f>
        <v>4</v>
      </c>
    </row>
    <row r="561" spans="1:11" x14ac:dyDescent="0.25">
      <c r="A561" s="10">
        <f>'Pairings NB'!B2492</f>
        <v>2313</v>
      </c>
      <c r="B561" s="10" t="str">
        <f>'Pairings NB'!C2492</f>
        <v>27/10/2026</v>
      </c>
      <c r="C561" s="10" t="str">
        <f>'Pairings NB'!D2492</f>
        <v>martes</v>
      </c>
      <c r="D561" s="10" t="str">
        <f>'Pairings NB'!E2492&amp;"/"&amp;'Pairings NB'!E2493</f>
        <v>2113/2112</v>
      </c>
      <c r="E561" s="10" t="str">
        <f>'Pairings NB'!F2492&amp;"-"&amp;'Pairings NB'!G2492&amp;"-"&amp;'Pairings NB'!F2492</f>
        <v>LIM-AQP-LIM</v>
      </c>
      <c r="F561" s="10" t="str">
        <f>IFERROR(VLOOKUP('Pairings NB'!$M$2492,Instructores!$A:$C,2,FALSE),"")</f>
        <v/>
      </c>
      <c r="G561" s="10">
        <f>'Pairings NB'!$M$2492</f>
        <v>0</v>
      </c>
      <c r="H561" s="10">
        <f>'Pairings NB'!$O$2492</f>
        <v>0</v>
      </c>
      <c r="I561" s="10">
        <f>'Pairings NB'!J2492</f>
        <v>320</v>
      </c>
      <c r="J561" s="10" t="str">
        <f>IFERROR(VLOOKUP('Pairings NB'!$M$2492,Instructores!$A:$C,3,FALSE),"")</f>
        <v/>
      </c>
      <c r="K561" s="10">
        <f>IF('Pairings NB'!J2492=320,4,3)</f>
        <v>4</v>
      </c>
    </row>
    <row r="562" spans="1:11" x14ac:dyDescent="0.25">
      <c r="A562" s="10">
        <f>'Pairings NB'!B2497</f>
        <v>2314</v>
      </c>
      <c r="B562" s="10" t="str">
        <f>'Pairings NB'!C2497</f>
        <v>27/10/2026</v>
      </c>
      <c r="C562" s="10" t="str">
        <f>'Pairings NB'!D2497</f>
        <v>martes</v>
      </c>
      <c r="D562" s="10" t="str">
        <f>'Pairings NB'!E2497&amp;"/"&amp;'Pairings NB'!E2498</f>
        <v>2297/2296</v>
      </c>
      <c r="E562" s="10" t="str">
        <f>'Pairings NB'!F2497&amp;"-"&amp;'Pairings NB'!G2497&amp;"-"&amp;'Pairings NB'!F2497</f>
        <v>LIM-CJA-LIM</v>
      </c>
      <c r="F562" s="10" t="str">
        <f>IFERROR(VLOOKUP('Pairings NB'!$M$2497,Instructores!$A:$C,2,FALSE),"")</f>
        <v/>
      </c>
      <c r="G562" s="10">
        <f>'Pairings NB'!$M$2497</f>
        <v>0</v>
      </c>
      <c r="H562" s="10">
        <f>'Pairings NB'!$O$2497</f>
        <v>0</v>
      </c>
      <c r="I562" s="10">
        <f>'Pairings NB'!J2497</f>
        <v>320</v>
      </c>
      <c r="J562" s="10" t="str">
        <f>IFERROR(VLOOKUP('Pairings NB'!$M$2497,Instructores!$A:$C,3,FALSE),"")</f>
        <v/>
      </c>
      <c r="K562" s="10">
        <f>IF('Pairings NB'!J2497=320,4,3)</f>
        <v>4</v>
      </c>
    </row>
    <row r="563" spans="1:11" x14ac:dyDescent="0.25">
      <c r="A563" s="10">
        <f>'Pairings NB'!B2502</f>
        <v>2317</v>
      </c>
      <c r="B563" s="10" t="str">
        <f>'Pairings NB'!C2502</f>
        <v>27/10/2026</v>
      </c>
      <c r="C563" s="10" t="str">
        <f>'Pairings NB'!D2502</f>
        <v>martes</v>
      </c>
      <c r="D563" s="10" t="str">
        <f>'Pairings NB'!E2502&amp;"/"&amp;'Pairings NB'!E2503</f>
        <v>2312/2313</v>
      </c>
      <c r="E563" s="10" t="str">
        <f>'Pairings NB'!F2502&amp;"-"&amp;'Pairings NB'!G2502&amp;"-"&amp;'Pairings NB'!F2502</f>
        <v>LIM-CIX-LIM</v>
      </c>
      <c r="F563" s="10" t="str">
        <f>IFERROR(VLOOKUP('Pairings NB'!$M$2502,Instructores!$A:$C,2,FALSE),"")</f>
        <v/>
      </c>
      <c r="G563" s="10">
        <f>'Pairings NB'!$M$2502</f>
        <v>0</v>
      </c>
      <c r="H563" s="10">
        <f>'Pairings NB'!$O$2502</f>
        <v>0</v>
      </c>
      <c r="I563" s="10">
        <f>'Pairings NB'!J2502</f>
        <v>319</v>
      </c>
      <c r="J563" s="10" t="str">
        <f>IFERROR(VLOOKUP('Pairings NB'!$M$2502,Instructores!$A:$C,3,FALSE),"")</f>
        <v/>
      </c>
      <c r="K563" s="10">
        <f>IF('Pairings NB'!J2502=320,4,3)</f>
        <v>3</v>
      </c>
    </row>
    <row r="564" spans="1:11" x14ac:dyDescent="0.25">
      <c r="A564" s="10">
        <f>'Pairings NB'!B2507</f>
        <v>2318</v>
      </c>
      <c r="B564" s="10" t="str">
        <f>'Pairings NB'!C2507</f>
        <v>27/10/2026</v>
      </c>
      <c r="C564" s="10" t="str">
        <f>'Pairings NB'!D2507</f>
        <v>martes</v>
      </c>
      <c r="D564" s="10" t="str">
        <f>'Pairings NB'!E2507&amp;"/"&amp;'Pairings NB'!E2508</f>
        <v>2360/2361</v>
      </c>
      <c r="E564" s="10" t="str">
        <f>'Pairings NB'!F2507&amp;"-"&amp;'Pairings NB'!G2507&amp;"-"&amp;'Pairings NB'!F2507</f>
        <v>LIM-PCL-LIM</v>
      </c>
      <c r="F564" s="10" t="str">
        <f>IFERROR(VLOOKUP('Pairings NB'!$M$2507,Instructores!$A:$C,2,FALSE),"")</f>
        <v/>
      </c>
      <c r="G564" s="10">
        <f>'Pairings NB'!$M$2507</f>
        <v>0</v>
      </c>
      <c r="H564" s="10">
        <f>'Pairings NB'!$O$2507</f>
        <v>0</v>
      </c>
      <c r="I564" s="10">
        <f>'Pairings NB'!J2507</f>
        <v>319</v>
      </c>
      <c r="J564" s="10" t="str">
        <f>IFERROR(VLOOKUP('Pairings NB'!$M$2507,Instructores!$A:$C,3,FALSE),"")</f>
        <v/>
      </c>
      <c r="K564" s="10">
        <f>IF('Pairings NB'!J2507=320,4,3)</f>
        <v>3</v>
      </c>
    </row>
    <row r="565" spans="1:11" x14ac:dyDescent="0.25">
      <c r="A565" s="10">
        <f>'Pairings NB'!B2512</f>
        <v>2319</v>
      </c>
      <c r="B565" s="10" t="str">
        <f>'Pairings NB'!C2512</f>
        <v>27/10/2026</v>
      </c>
      <c r="C565" s="10" t="str">
        <f>'Pairings NB'!D2512</f>
        <v>martes</v>
      </c>
      <c r="D565" s="10" t="str">
        <f>'Pairings NB'!E2512&amp;"/"&amp;'Pairings NB'!E2513</f>
        <v>2301/2300</v>
      </c>
      <c r="E565" s="10" t="str">
        <f>'Pairings NB'!F2512&amp;"-"&amp;'Pairings NB'!G2512&amp;"-"&amp;'Pairings NB'!F2512</f>
        <v>LIM-TPP-LIM</v>
      </c>
      <c r="F565" s="10" t="str">
        <f>IFERROR(VLOOKUP('Pairings NB'!$M$2512,Instructores!$A:$C,2,FALSE),"")</f>
        <v/>
      </c>
      <c r="G565" s="10">
        <f>'Pairings NB'!$M$2512</f>
        <v>0</v>
      </c>
      <c r="H565" s="10">
        <f>'Pairings NB'!$O$2512</f>
        <v>0</v>
      </c>
      <c r="I565" s="10">
        <f>'Pairings NB'!J2512</f>
        <v>320</v>
      </c>
      <c r="J565" s="10" t="str">
        <f>IFERROR(VLOOKUP('Pairings NB'!$M$2512,Instructores!$A:$C,3,FALSE),"")</f>
        <v/>
      </c>
      <c r="K565" s="10">
        <f>IF('Pairings NB'!J2512=320,4,3)</f>
        <v>4</v>
      </c>
    </row>
    <row r="566" spans="1:11" x14ac:dyDescent="0.25">
      <c r="A566" s="10">
        <f>'Pairings NB'!B2517</f>
        <v>2320</v>
      </c>
      <c r="B566" s="10" t="str">
        <f>'Pairings NB'!C2517</f>
        <v>27/10/2026</v>
      </c>
      <c r="C566" s="10" t="str">
        <f>'Pairings NB'!D2517</f>
        <v>martes</v>
      </c>
      <c r="D566" s="10" t="str">
        <f>'Pairings NB'!E2517&amp;"/"&amp;'Pairings NB'!E2518</f>
        <v>2301/2300</v>
      </c>
      <c r="E566" s="10" t="str">
        <f>'Pairings NB'!F2517&amp;"-"&amp;'Pairings NB'!G2517&amp;"-"&amp;'Pairings NB'!F2517</f>
        <v>LIM-TPP-LIM</v>
      </c>
      <c r="F566" s="10" t="str">
        <f>IFERROR(VLOOKUP('Pairings NB'!$M$2517,Instructores!$A:$C,2,FALSE),"")</f>
        <v/>
      </c>
      <c r="G566" s="10">
        <f>'Pairings NB'!$M$2517</f>
        <v>0</v>
      </c>
      <c r="H566" s="10">
        <f>'Pairings NB'!$O$2517</f>
        <v>0</v>
      </c>
      <c r="I566" s="10">
        <f>'Pairings NB'!J2517</f>
        <v>320</v>
      </c>
      <c r="J566" s="10" t="str">
        <f>IFERROR(VLOOKUP('Pairings NB'!$M$2517,Instructores!$A:$C,3,FALSE),"")</f>
        <v/>
      </c>
      <c r="K566" s="10">
        <f>IF('Pairings NB'!J2517=320,4,3)</f>
        <v>4</v>
      </c>
    </row>
    <row r="567" spans="1:11" x14ac:dyDescent="0.25">
      <c r="A567" s="10">
        <f>'Pairings NB'!B2522</f>
        <v>2325</v>
      </c>
      <c r="B567" s="10" t="str">
        <f>'Pairings NB'!C2522</f>
        <v>27/10/2026</v>
      </c>
      <c r="C567" s="10" t="str">
        <f>'Pairings NB'!D2522</f>
        <v>martes</v>
      </c>
      <c r="D567" s="10" t="str">
        <f>'Pairings NB'!E2522&amp;"/"&amp;'Pairings NB'!E2523</f>
        <v>2115/2114</v>
      </c>
      <c r="E567" s="10" t="str">
        <f>'Pairings NB'!F2522&amp;"-"&amp;'Pairings NB'!G2522&amp;"-"&amp;'Pairings NB'!F2522</f>
        <v>LIM-AQP-LIM</v>
      </c>
      <c r="F567" s="10" t="str">
        <f>IFERROR(VLOOKUP('Pairings NB'!$M$2522,Instructores!$A:$C,2,FALSE),"")</f>
        <v/>
      </c>
      <c r="G567" s="10">
        <f>'Pairings NB'!$M$2522</f>
        <v>0</v>
      </c>
      <c r="H567" s="10">
        <f>'Pairings NB'!$O$2522</f>
        <v>0</v>
      </c>
      <c r="I567" s="10">
        <f>'Pairings NB'!J2522</f>
        <v>320</v>
      </c>
      <c r="J567" s="10" t="str">
        <f>IFERROR(VLOOKUP('Pairings NB'!$M$2522,Instructores!$A:$C,3,FALSE),"")</f>
        <v/>
      </c>
      <c r="K567" s="10">
        <f>IF('Pairings NB'!J2522=320,4,3)</f>
        <v>4</v>
      </c>
    </row>
    <row r="568" spans="1:11" x14ac:dyDescent="0.25">
      <c r="A568" s="10">
        <f>'Pairings NB'!B2527</f>
        <v>2377</v>
      </c>
      <c r="B568" s="10" t="str">
        <f>'Pairings NB'!C2527</f>
        <v>28/10/2026</v>
      </c>
      <c r="C568" s="10" t="str">
        <f>'Pairings NB'!D2527</f>
        <v>miércoles</v>
      </c>
      <c r="D568" s="10" t="str">
        <f>'Pairings NB'!E2527&amp;"/"&amp;'Pairings NB'!E2528</f>
        <v>2015/2016</v>
      </c>
      <c r="E568" s="10" t="str">
        <f>'Pairings NB'!F2527&amp;"-"&amp;'Pairings NB'!G2527&amp;"-"&amp;'Pairings NB'!F2527</f>
        <v>LIM-PIU-LIM</v>
      </c>
      <c r="F568" s="10" t="str">
        <f>IFERROR(VLOOKUP('Pairings NB'!$M$2527,Instructores!$A:$C,2,FALSE),"")</f>
        <v/>
      </c>
      <c r="G568" s="10">
        <f>'Pairings NB'!$M$2527</f>
        <v>0</v>
      </c>
      <c r="H568" s="10">
        <f>'Pairings NB'!$O$2527</f>
        <v>0</v>
      </c>
      <c r="I568" s="10">
        <f>'Pairings NB'!J2527</f>
        <v>319</v>
      </c>
      <c r="J568" s="10" t="str">
        <f>IFERROR(VLOOKUP('Pairings NB'!$M$2527,Instructores!$A:$C,3,FALSE),"")</f>
        <v/>
      </c>
      <c r="K568" s="10">
        <f>IF('Pairings NB'!J2527=320,4,3)</f>
        <v>3</v>
      </c>
    </row>
    <row r="569" spans="1:11" x14ac:dyDescent="0.25">
      <c r="A569" s="10">
        <f>'Pairings NB'!B2532</f>
        <v>2379</v>
      </c>
      <c r="B569" s="10" t="str">
        <f>'Pairings NB'!C2532</f>
        <v>28/10/2026</v>
      </c>
      <c r="C569" s="10" t="str">
        <f>'Pairings NB'!D2532</f>
        <v>miércoles</v>
      </c>
      <c r="D569" s="10" t="str">
        <f>'Pairings NB'!E2532&amp;"/"&amp;'Pairings NB'!E2533</f>
        <v>2316/2317</v>
      </c>
      <c r="E569" s="10" t="str">
        <f>'Pairings NB'!F2532&amp;"-"&amp;'Pairings NB'!G2532&amp;"-"&amp;'Pairings NB'!F2532</f>
        <v>LIM-PIU-LIM</v>
      </c>
      <c r="F569" s="10" t="str">
        <f>IFERROR(VLOOKUP('Pairings NB'!$M$2532,Instructores!$A:$C,2,FALSE),"")</f>
        <v/>
      </c>
      <c r="G569" s="10">
        <f>'Pairings NB'!$M$2532</f>
        <v>0</v>
      </c>
      <c r="H569" s="10">
        <f>'Pairings NB'!$O$2532</f>
        <v>0</v>
      </c>
      <c r="I569" s="10">
        <f>'Pairings NB'!J2532</f>
        <v>320</v>
      </c>
      <c r="J569" s="10" t="str">
        <f>IFERROR(VLOOKUP('Pairings NB'!$M$2532,Instructores!$A:$C,3,FALSE),"")</f>
        <v/>
      </c>
      <c r="K569" s="10">
        <f>IF('Pairings NB'!J2532=320,4,3)</f>
        <v>4</v>
      </c>
    </row>
    <row r="570" spans="1:11" x14ac:dyDescent="0.25">
      <c r="A570" s="10">
        <f>'Pairings NB'!B2534</f>
        <v>2410</v>
      </c>
      <c r="B570" s="10" t="str">
        <f>'Pairings NB'!C2534</f>
        <v>28/10/2026</v>
      </c>
      <c r="C570" s="10" t="str">
        <f>'Pairings NB'!D2534</f>
        <v>miércoles</v>
      </c>
      <c r="D570" s="10" t="str">
        <f>'Pairings NB'!E2534&amp;"/"&amp;'Pairings NB'!E2535</f>
        <v>2276/2277</v>
      </c>
      <c r="E570" s="10" t="str">
        <f>'Pairings NB'!F2534&amp;"-"&amp;'Pairings NB'!G2534&amp;"-"&amp;'Pairings NB'!F2534</f>
        <v>LIM-CUZ-LIM</v>
      </c>
      <c r="F570" s="10" t="str">
        <f>IFERROR(VLOOKUP('Pairings NB'!$M$2532,Instructores!$A:$C,2,FALSE),"")</f>
        <v/>
      </c>
      <c r="G570" s="10">
        <f>'Pairings NB'!$M$2532</f>
        <v>0</v>
      </c>
      <c r="H570" s="10">
        <f>'Pairings NB'!$O$2532</f>
        <v>0</v>
      </c>
      <c r="I570" s="10">
        <f>'Pairings NB'!J2534</f>
        <v>320</v>
      </c>
      <c r="J570" s="10" t="str">
        <f>IFERROR(VLOOKUP('Pairings NB'!$M$2532,Instructores!$A:$C,3,FALSE),"")</f>
        <v/>
      </c>
      <c r="K570" s="10">
        <f>IF('Pairings NB'!J2534=320,4,3)</f>
        <v>4</v>
      </c>
    </row>
    <row r="571" spans="1:11" x14ac:dyDescent="0.25">
      <c r="A571" s="10">
        <f>'Pairings NB'!B2539</f>
        <v>2380</v>
      </c>
      <c r="B571" s="10" t="str">
        <f>'Pairings NB'!C2539</f>
        <v>28/10/2026</v>
      </c>
      <c r="C571" s="10" t="str">
        <f>'Pairings NB'!D2539</f>
        <v>miércoles</v>
      </c>
      <c r="D571" s="10" t="str">
        <f>'Pairings NB'!E2539&amp;"/"&amp;'Pairings NB'!E2540</f>
        <v>2061/2062</v>
      </c>
      <c r="E571" s="10" t="str">
        <f>'Pairings NB'!F2539&amp;"-"&amp;'Pairings NB'!G2539&amp;"-"&amp;'Pairings NB'!F2539</f>
        <v>LIM-CUZ-LIM</v>
      </c>
      <c r="F571" s="10" t="str">
        <f>IFERROR(VLOOKUP('Pairings NB'!$M$2539,Instructores!$A:$C,2,FALSE),"")</f>
        <v/>
      </c>
      <c r="G571" s="10">
        <f>'Pairings NB'!$M$2539</f>
        <v>0</v>
      </c>
      <c r="H571" s="10">
        <f>'Pairings NB'!$O$2539</f>
        <v>0</v>
      </c>
      <c r="I571" s="10">
        <f>'Pairings NB'!J2539</f>
        <v>320</v>
      </c>
      <c r="J571" s="10" t="str">
        <f>IFERROR(VLOOKUP('Pairings NB'!$M$2539,Instructores!$A:$C,3,FALSE),"")</f>
        <v/>
      </c>
      <c r="K571" s="10">
        <f>IF('Pairings NB'!J2539=320,4,3)</f>
        <v>4</v>
      </c>
    </row>
    <row r="572" spans="1:11" x14ac:dyDescent="0.25">
      <c r="A572" s="10">
        <f>'Pairings NB'!B2541</f>
        <v>2411</v>
      </c>
      <c r="B572" s="10" t="str">
        <f>'Pairings NB'!C2541</f>
        <v>28/10/2026</v>
      </c>
      <c r="C572" s="10" t="str">
        <f>'Pairings NB'!D2541</f>
        <v>miércoles</v>
      </c>
      <c r="D572" s="10" t="str">
        <f>'Pairings NB'!E2541&amp;"/"&amp;'Pairings NB'!E2542</f>
        <v>2276/2277</v>
      </c>
      <c r="E572" s="10" t="str">
        <f>'Pairings NB'!F2541&amp;"-"&amp;'Pairings NB'!G2541&amp;"-"&amp;'Pairings NB'!F2541</f>
        <v>LIM-CUZ-LIM</v>
      </c>
      <c r="F572" s="10" t="str">
        <f>IFERROR(VLOOKUP('Pairings NB'!$M$2539,Instructores!$A:$C,2,FALSE),"")</f>
        <v/>
      </c>
      <c r="G572" s="10">
        <f>'Pairings NB'!$M$2539</f>
        <v>0</v>
      </c>
      <c r="H572" s="10">
        <f>'Pairings NB'!$O$2539</f>
        <v>0</v>
      </c>
      <c r="I572" s="10">
        <f>'Pairings NB'!J2541</f>
        <v>320</v>
      </c>
      <c r="J572" s="10" t="str">
        <f>IFERROR(VLOOKUP('Pairings NB'!$M$2539,Instructores!$A:$C,3,FALSE),"")</f>
        <v/>
      </c>
      <c r="K572" s="10">
        <f>IF('Pairings NB'!J2541=320,4,3)</f>
        <v>4</v>
      </c>
    </row>
    <row r="573" spans="1:11" x14ac:dyDescent="0.25">
      <c r="A573" s="10">
        <f>'Pairings NB'!B2546</f>
        <v>2381</v>
      </c>
      <c r="B573" s="10" t="str">
        <f>'Pairings NB'!C2546</f>
        <v>28/10/2026</v>
      </c>
      <c r="C573" s="10" t="str">
        <f>'Pairings NB'!D2546</f>
        <v>miércoles</v>
      </c>
      <c r="D573" s="10" t="str">
        <f>'Pairings NB'!E2546&amp;"/"&amp;'Pairings NB'!E2547</f>
        <v>2111/2110</v>
      </c>
      <c r="E573" s="10" t="str">
        <f>'Pairings NB'!F2546&amp;"-"&amp;'Pairings NB'!G2546&amp;"-"&amp;'Pairings NB'!F2546</f>
        <v>LIM-AQP-LIM</v>
      </c>
      <c r="F573" s="10" t="str">
        <f>IFERROR(VLOOKUP('Pairings NB'!$M$2546,Instructores!$A:$C,2,FALSE),"")</f>
        <v/>
      </c>
      <c r="G573" s="10">
        <f>'Pairings NB'!$M$2546</f>
        <v>0</v>
      </c>
      <c r="H573" s="10">
        <f>'Pairings NB'!$O$2546</f>
        <v>0</v>
      </c>
      <c r="I573" s="10">
        <f>'Pairings NB'!J2546</f>
        <v>320</v>
      </c>
      <c r="J573" s="10" t="str">
        <f>IFERROR(VLOOKUP('Pairings NB'!$M$2546,Instructores!$A:$C,3,FALSE),"")</f>
        <v/>
      </c>
      <c r="K573" s="10">
        <f>IF('Pairings NB'!J2546=320,4,3)</f>
        <v>4</v>
      </c>
    </row>
    <row r="574" spans="1:11" x14ac:dyDescent="0.25">
      <c r="A574" s="10">
        <f>'Pairings NB'!B2551</f>
        <v>2391</v>
      </c>
      <c r="B574" s="10" t="str">
        <f>'Pairings NB'!C2551</f>
        <v>28/10/2026</v>
      </c>
      <c r="C574" s="10" t="str">
        <f>'Pairings NB'!D2551</f>
        <v>miércoles</v>
      </c>
      <c r="D574" s="10" t="str">
        <f>'Pairings NB'!E2551&amp;"/"&amp;'Pairings NB'!E2552</f>
        <v>2028/2029</v>
      </c>
      <c r="E574" s="10" t="str">
        <f>'Pairings NB'!F2551&amp;"-"&amp;'Pairings NB'!G2551&amp;"-"&amp;'Pairings NB'!F2551</f>
        <v>LIM-CUZ-LIM</v>
      </c>
      <c r="F574" s="10" t="str">
        <f>IFERROR(VLOOKUP('Pairings NB'!$M$2551,Instructores!$A:$C,2,FALSE),"")</f>
        <v/>
      </c>
      <c r="G574" s="10">
        <f>'Pairings NB'!$M$2551</f>
        <v>0</v>
      </c>
      <c r="H574" s="10">
        <f>'Pairings NB'!$O$2551</f>
        <v>0</v>
      </c>
      <c r="I574" s="10">
        <f>'Pairings NB'!J2551</f>
        <v>320</v>
      </c>
      <c r="J574" s="10" t="str">
        <f>IFERROR(VLOOKUP('Pairings NB'!$M$2551,Instructores!$A:$C,3,FALSE),"")</f>
        <v/>
      </c>
      <c r="K574" s="10">
        <f>IF('Pairings NB'!J2551=320,4,3)</f>
        <v>4</v>
      </c>
    </row>
    <row r="575" spans="1:11" x14ac:dyDescent="0.25">
      <c r="A575" s="10">
        <f>'Pairings NB'!B2556</f>
        <v>2392</v>
      </c>
      <c r="B575" s="10" t="str">
        <f>'Pairings NB'!C2556</f>
        <v>28/10/2026</v>
      </c>
      <c r="C575" s="10" t="str">
        <f>'Pairings NB'!D2556</f>
        <v>miércoles</v>
      </c>
      <c r="D575" s="10" t="str">
        <f>'Pairings NB'!E2556&amp;"/"&amp;'Pairings NB'!E2557</f>
        <v>2234/2235</v>
      </c>
      <c r="E575" s="10" t="str">
        <f>'Pairings NB'!F2556&amp;"-"&amp;'Pairings NB'!G2556&amp;"-"&amp;'Pairings NB'!F2556</f>
        <v>LIM-IQT-LIM</v>
      </c>
      <c r="F575" s="10" t="str">
        <f>IFERROR(VLOOKUP('Pairings NB'!$M$2556,Instructores!$A:$C,2,FALSE),"")</f>
        <v/>
      </c>
      <c r="G575" s="10">
        <f>'Pairings NB'!$M$2556</f>
        <v>0</v>
      </c>
      <c r="H575" s="10">
        <f>'Pairings NB'!$O$2556</f>
        <v>0</v>
      </c>
      <c r="I575" s="10">
        <f>'Pairings NB'!J2556</f>
        <v>320</v>
      </c>
      <c r="J575" s="10" t="str">
        <f>IFERROR(VLOOKUP('Pairings NB'!$M$2556,Instructores!$A:$C,3,FALSE),"")</f>
        <v/>
      </c>
      <c r="K575" s="10">
        <f>IF('Pairings NB'!J2556=320,4,3)</f>
        <v>4</v>
      </c>
    </row>
    <row r="576" spans="1:11" x14ac:dyDescent="0.25">
      <c r="A576" s="10">
        <f>'Pairings NB'!B2561</f>
        <v>2395</v>
      </c>
      <c r="B576" s="10" t="str">
        <f>'Pairings NB'!C2561</f>
        <v>28/10/2026</v>
      </c>
      <c r="C576" s="10" t="str">
        <f>'Pairings NB'!D2561</f>
        <v>miércoles</v>
      </c>
      <c r="D576" s="10" t="str">
        <f>'Pairings NB'!E2561&amp;"/"&amp;'Pairings NB'!E2562</f>
        <v>2295/2294</v>
      </c>
      <c r="E576" s="10" t="str">
        <f>'Pairings NB'!F2561&amp;"-"&amp;'Pairings NB'!G2561&amp;"-"&amp;'Pairings NB'!F2561</f>
        <v>LIM-CJA-LIM</v>
      </c>
      <c r="F576" s="10" t="str">
        <f>IFERROR(VLOOKUP('Pairings NB'!$M$2561,Instructores!$A:$C,2,FALSE),"")</f>
        <v/>
      </c>
      <c r="G576" s="10">
        <f>'Pairings NB'!$M$2561</f>
        <v>0</v>
      </c>
      <c r="H576" s="10">
        <f>'Pairings NB'!$O$2561</f>
        <v>0</v>
      </c>
      <c r="I576" s="10">
        <f>'Pairings NB'!J2561</f>
        <v>320</v>
      </c>
      <c r="J576" s="10" t="str">
        <f>IFERROR(VLOOKUP('Pairings NB'!$M$2561,Instructores!$A:$C,3,FALSE),"")</f>
        <v/>
      </c>
      <c r="K576" s="10">
        <f>IF('Pairings NB'!J2561=320,4,3)</f>
        <v>4</v>
      </c>
    </row>
    <row r="577" spans="1:11" x14ac:dyDescent="0.25">
      <c r="A577" s="10">
        <f>'Pairings NB'!B2566</f>
        <v>2396</v>
      </c>
      <c r="B577" s="10" t="str">
        <f>'Pairings NB'!C2566</f>
        <v>28/10/2026</v>
      </c>
      <c r="C577" s="10" t="str">
        <f>'Pairings NB'!D2566</f>
        <v>miércoles</v>
      </c>
      <c r="D577" s="10" t="str">
        <f>'Pairings NB'!E2566&amp;"/"&amp;'Pairings NB'!E2567</f>
        <v>2232/2233</v>
      </c>
      <c r="E577" s="10" t="str">
        <f>'Pairings NB'!F2566&amp;"-"&amp;'Pairings NB'!G2566&amp;"-"&amp;'Pairings NB'!F2566</f>
        <v>LIM-CUZ-LIM</v>
      </c>
      <c r="F577" s="10" t="str">
        <f>IFERROR(VLOOKUP('Pairings NB'!$M$2566,Instructores!$A:$C,2,FALSE),"")</f>
        <v/>
      </c>
      <c r="G577" s="10">
        <f>'Pairings NB'!$M$2566</f>
        <v>0</v>
      </c>
      <c r="H577" s="10">
        <f>'Pairings NB'!$O$2566</f>
        <v>0</v>
      </c>
      <c r="I577" s="10">
        <f>'Pairings NB'!J2566</f>
        <v>320</v>
      </c>
      <c r="J577" s="10" t="str">
        <f>IFERROR(VLOOKUP('Pairings NB'!$M$2566,Instructores!$A:$C,3,FALSE),"")</f>
        <v/>
      </c>
      <c r="K577" s="10">
        <f>IF('Pairings NB'!J2566=320,4,3)</f>
        <v>4</v>
      </c>
    </row>
    <row r="578" spans="1:11" x14ac:dyDescent="0.25">
      <c r="A578" s="10">
        <f>'Pairings NB'!B2571</f>
        <v>2398</v>
      </c>
      <c r="B578" s="10" t="str">
        <f>'Pairings NB'!C2571</f>
        <v>28/10/2026</v>
      </c>
      <c r="C578" s="10" t="str">
        <f>'Pairings NB'!D2571</f>
        <v>miércoles</v>
      </c>
      <c r="D578" s="10" t="str">
        <f>'Pairings NB'!E2571&amp;"/"&amp;'Pairings NB'!E2572</f>
        <v>2338/2339</v>
      </c>
      <c r="E578" s="10" t="str">
        <f>'Pairings NB'!F2571&amp;"-"&amp;'Pairings NB'!G2571&amp;"-"&amp;'Pairings NB'!F2571</f>
        <v>LIM-PIU-LIM</v>
      </c>
      <c r="F578" s="10" t="str">
        <f>IFERROR(VLOOKUP('Pairings NB'!$M$2571,Instructores!$A:$C,2,FALSE),"")</f>
        <v/>
      </c>
      <c r="G578" s="10">
        <f>'Pairings NB'!$M$2571</f>
        <v>0</v>
      </c>
      <c r="H578" s="10">
        <f>'Pairings NB'!$O$2571</f>
        <v>0</v>
      </c>
      <c r="I578" s="10">
        <f>'Pairings NB'!J2571</f>
        <v>320</v>
      </c>
      <c r="J578" s="10" t="str">
        <f>IFERROR(VLOOKUP('Pairings NB'!$M$2571,Instructores!$A:$C,3,FALSE),"")</f>
        <v/>
      </c>
      <c r="K578" s="10">
        <f>IF('Pairings NB'!J2571=320,4,3)</f>
        <v>4</v>
      </c>
    </row>
    <row r="579" spans="1:11" x14ac:dyDescent="0.25">
      <c r="A579" s="10">
        <f>'Pairings NB'!B2576</f>
        <v>2399</v>
      </c>
      <c r="B579" s="10" t="str">
        <f>'Pairings NB'!C2576</f>
        <v>28/10/2026</v>
      </c>
      <c r="C579" s="10" t="str">
        <f>'Pairings NB'!D2576</f>
        <v>miércoles</v>
      </c>
      <c r="D579" s="10" t="str">
        <f>'Pairings NB'!E2576&amp;"/"&amp;'Pairings NB'!E2577</f>
        <v>2338/2339</v>
      </c>
      <c r="E579" s="10" t="str">
        <f>'Pairings NB'!F2576&amp;"-"&amp;'Pairings NB'!G2576&amp;"-"&amp;'Pairings NB'!F2576</f>
        <v>LIM-PIU-LIM</v>
      </c>
      <c r="F579" s="10" t="str">
        <f>IFERROR(VLOOKUP('Pairings NB'!$M$2576,Instructores!$A:$C,2,FALSE),"")</f>
        <v/>
      </c>
      <c r="G579" s="10">
        <f>'Pairings NB'!$M$2576</f>
        <v>0</v>
      </c>
      <c r="H579" s="10">
        <f>'Pairings NB'!$O$2576</f>
        <v>0</v>
      </c>
      <c r="I579" s="10">
        <f>'Pairings NB'!J2576</f>
        <v>320</v>
      </c>
      <c r="J579" s="10" t="str">
        <f>IFERROR(VLOOKUP('Pairings NB'!$M$2576,Instructores!$A:$C,3,FALSE),"")</f>
        <v/>
      </c>
      <c r="K579" s="10">
        <f>IF('Pairings NB'!J2576=320,4,3)</f>
        <v>4</v>
      </c>
    </row>
    <row r="580" spans="1:11" x14ac:dyDescent="0.25">
      <c r="A580" s="10">
        <f>'Pairings NB'!B2581</f>
        <v>2400</v>
      </c>
      <c r="B580" s="10" t="str">
        <f>'Pairings NB'!C2581</f>
        <v>28/10/2026</v>
      </c>
      <c r="C580" s="10" t="str">
        <f>'Pairings NB'!D2581</f>
        <v>miércoles</v>
      </c>
      <c r="D580" s="10" t="str">
        <f>'Pairings NB'!E2581&amp;"/"&amp;'Pairings NB'!E2582</f>
        <v>2264/2265</v>
      </c>
      <c r="E580" s="10" t="str">
        <f>'Pairings NB'!F2581&amp;"-"&amp;'Pairings NB'!G2581&amp;"-"&amp;'Pairings NB'!F2581</f>
        <v>LIM-PEM-LIM</v>
      </c>
      <c r="F580" s="10" t="str">
        <f>IFERROR(VLOOKUP('Pairings NB'!$M$2581,Instructores!$A:$C,2,FALSE),"")</f>
        <v/>
      </c>
      <c r="G580" s="10">
        <f>'Pairings NB'!$M$2581</f>
        <v>0</v>
      </c>
      <c r="H580" s="10">
        <f>'Pairings NB'!$O$2581</f>
        <v>0</v>
      </c>
      <c r="I580" s="10">
        <f>'Pairings NB'!J2581</f>
        <v>320</v>
      </c>
      <c r="J580" s="10" t="str">
        <f>IFERROR(VLOOKUP('Pairings NB'!$M$2581,Instructores!$A:$C,3,FALSE),"")</f>
        <v/>
      </c>
      <c r="K580" s="10">
        <f>IF('Pairings NB'!J2581=320,4,3)</f>
        <v>4</v>
      </c>
    </row>
    <row r="581" spans="1:11" x14ac:dyDescent="0.25">
      <c r="A581" s="10">
        <f>'Pairings NB'!B2586</f>
        <v>2401</v>
      </c>
      <c r="B581" s="10" t="str">
        <f>'Pairings NB'!C2586</f>
        <v>28/10/2026</v>
      </c>
      <c r="C581" s="10" t="str">
        <f>'Pairings NB'!D2586</f>
        <v>miércoles</v>
      </c>
      <c r="D581" s="10" t="str">
        <f>'Pairings NB'!E2586&amp;"/"&amp;'Pairings NB'!E2587</f>
        <v>2264/2265</v>
      </c>
      <c r="E581" s="10" t="str">
        <f>'Pairings NB'!F2586&amp;"-"&amp;'Pairings NB'!G2586&amp;"-"&amp;'Pairings NB'!F2586</f>
        <v>LIM-PEM-LIM</v>
      </c>
      <c r="F581" s="10" t="str">
        <f>IFERROR(VLOOKUP('Pairings NB'!$M$2586,Instructores!$A:$C,2,FALSE),"")</f>
        <v/>
      </c>
      <c r="G581" s="10">
        <f>'Pairings NB'!$M$2586</f>
        <v>0</v>
      </c>
      <c r="H581" s="10">
        <f>'Pairings NB'!$O$2586</f>
        <v>0</v>
      </c>
      <c r="I581" s="10">
        <f>'Pairings NB'!J2586</f>
        <v>320</v>
      </c>
      <c r="J581" s="10" t="str">
        <f>IFERROR(VLOOKUP('Pairings NB'!$M$2586,Instructores!$A:$C,3,FALSE),"")</f>
        <v/>
      </c>
      <c r="K581" s="10">
        <f>IF('Pairings NB'!J2586=320,4,3)</f>
        <v>4</v>
      </c>
    </row>
    <row r="582" spans="1:11" x14ac:dyDescent="0.25">
      <c r="A582" s="10">
        <f>'Pairings NB'!B2591</f>
        <v>2402</v>
      </c>
      <c r="B582" s="10" t="str">
        <f>'Pairings NB'!C2591</f>
        <v>28/10/2026</v>
      </c>
      <c r="C582" s="10" t="str">
        <f>'Pairings NB'!D2591</f>
        <v>miércoles</v>
      </c>
      <c r="D582" s="10" t="str">
        <f>'Pairings NB'!E2591&amp;"/"&amp;'Pairings NB'!E2592</f>
        <v>2113/2112</v>
      </c>
      <c r="E582" s="10" t="str">
        <f>'Pairings NB'!F2591&amp;"-"&amp;'Pairings NB'!G2591&amp;"-"&amp;'Pairings NB'!F2591</f>
        <v>LIM-AQP-LIM</v>
      </c>
      <c r="F582" s="10" t="str">
        <f>IFERROR(VLOOKUP('Pairings NB'!$M$2591,Instructores!$A:$C,2,FALSE),"")</f>
        <v/>
      </c>
      <c r="G582" s="10">
        <f>'Pairings NB'!$M$2591</f>
        <v>0</v>
      </c>
      <c r="H582" s="10">
        <f>'Pairings NB'!$O$2591</f>
        <v>0</v>
      </c>
      <c r="I582" s="10">
        <f>'Pairings NB'!J2591</f>
        <v>319</v>
      </c>
      <c r="J582" s="10" t="str">
        <f>IFERROR(VLOOKUP('Pairings NB'!$M$2591,Instructores!$A:$C,3,FALSE),"")</f>
        <v/>
      </c>
      <c r="K582" s="10">
        <f>IF('Pairings NB'!J2591=320,4,3)</f>
        <v>3</v>
      </c>
    </row>
    <row r="583" spans="1:11" x14ac:dyDescent="0.25">
      <c r="A583" s="10">
        <f>'Pairings NB'!B2596</f>
        <v>2403</v>
      </c>
      <c r="B583" s="10" t="str">
        <f>'Pairings NB'!C2596</f>
        <v>28/10/2026</v>
      </c>
      <c r="C583" s="10" t="str">
        <f>'Pairings NB'!D2596</f>
        <v>miércoles</v>
      </c>
      <c r="D583" s="10" t="str">
        <f>'Pairings NB'!E2596&amp;"/"&amp;'Pairings NB'!E2597</f>
        <v>2297/2296</v>
      </c>
      <c r="E583" s="10" t="str">
        <f>'Pairings NB'!F2596&amp;"-"&amp;'Pairings NB'!G2596&amp;"-"&amp;'Pairings NB'!F2596</f>
        <v>LIM-CJA-LIM</v>
      </c>
      <c r="F583" s="10" t="str">
        <f>IFERROR(VLOOKUP('Pairings NB'!$M$2596,Instructores!$A:$C,2,FALSE),"")</f>
        <v/>
      </c>
      <c r="G583" s="10">
        <f>'Pairings NB'!$M$2596</f>
        <v>0</v>
      </c>
      <c r="H583" s="10">
        <f>'Pairings NB'!$O$2596</f>
        <v>0</v>
      </c>
      <c r="I583" s="10">
        <f>'Pairings NB'!J2596</f>
        <v>319</v>
      </c>
      <c r="J583" s="10" t="str">
        <f>IFERROR(VLOOKUP('Pairings NB'!$M$2596,Instructores!$A:$C,3,FALSE),"")</f>
        <v/>
      </c>
      <c r="K583" s="10">
        <f>IF('Pairings NB'!J2596=320,4,3)</f>
        <v>3</v>
      </c>
    </row>
    <row r="584" spans="1:11" x14ac:dyDescent="0.25">
      <c r="A584" s="10">
        <f>'Pairings NB'!B2601</f>
        <v>2405</v>
      </c>
      <c r="B584" s="10" t="str">
        <f>'Pairings NB'!C2601</f>
        <v>28/10/2026</v>
      </c>
      <c r="C584" s="10" t="str">
        <f>'Pairings NB'!D2601</f>
        <v>miércoles</v>
      </c>
      <c r="D584" s="10" t="str">
        <f>'Pairings NB'!E2601&amp;"/"&amp;'Pairings NB'!E2602</f>
        <v>2360/2361</v>
      </c>
      <c r="E584" s="10" t="str">
        <f>'Pairings NB'!F2601&amp;"-"&amp;'Pairings NB'!G2601&amp;"-"&amp;'Pairings NB'!F2601</f>
        <v>LIM-PCL-LIM</v>
      </c>
      <c r="F584" s="10" t="str">
        <f>IFERROR(VLOOKUP('Pairings NB'!$M$2601,Instructores!$A:$C,2,FALSE),"")</f>
        <v/>
      </c>
      <c r="G584" s="10">
        <f>'Pairings NB'!$M$2601</f>
        <v>0</v>
      </c>
      <c r="H584" s="10">
        <f>'Pairings NB'!$O$2601</f>
        <v>0</v>
      </c>
      <c r="I584" s="10">
        <f>'Pairings NB'!J2601</f>
        <v>319</v>
      </c>
      <c r="J584" s="10" t="str">
        <f>IFERROR(VLOOKUP('Pairings NB'!$M$2601,Instructores!$A:$C,3,FALSE),"")</f>
        <v/>
      </c>
      <c r="K584" s="10">
        <f>IF('Pairings NB'!J2601=320,4,3)</f>
        <v>3</v>
      </c>
    </row>
    <row r="585" spans="1:11" x14ac:dyDescent="0.25">
      <c r="A585" s="10">
        <f>'Pairings NB'!B2606</f>
        <v>2406</v>
      </c>
      <c r="B585" s="10" t="str">
        <f>'Pairings NB'!C2606</f>
        <v>28/10/2026</v>
      </c>
      <c r="C585" s="10" t="str">
        <f>'Pairings NB'!D2606</f>
        <v>miércoles</v>
      </c>
      <c r="D585" s="10" t="str">
        <f>'Pairings NB'!E2606&amp;"/"&amp;'Pairings NB'!E2607</f>
        <v>2312/2313</v>
      </c>
      <c r="E585" s="10" t="str">
        <f>'Pairings NB'!F2606&amp;"-"&amp;'Pairings NB'!G2606&amp;"-"&amp;'Pairings NB'!F2606</f>
        <v>LIM-CIX-LIM</v>
      </c>
      <c r="F585" s="10" t="str">
        <f>IFERROR(VLOOKUP('Pairings NB'!$M$2606,Instructores!$A:$C,2,FALSE),"")</f>
        <v/>
      </c>
      <c r="G585" s="10">
        <f>'Pairings NB'!$M$2606</f>
        <v>0</v>
      </c>
      <c r="H585" s="10">
        <f>'Pairings NB'!$O$2606</f>
        <v>0</v>
      </c>
      <c r="I585" s="10">
        <f>'Pairings NB'!J2606</f>
        <v>319</v>
      </c>
      <c r="J585" s="10" t="str">
        <f>IFERROR(VLOOKUP('Pairings NB'!$M$2606,Instructores!$A:$C,3,FALSE),"")</f>
        <v/>
      </c>
      <c r="K585" s="10">
        <f>IF('Pairings NB'!J2606=320,4,3)</f>
        <v>3</v>
      </c>
    </row>
    <row r="586" spans="1:11" x14ac:dyDescent="0.25">
      <c r="A586" s="10">
        <f>'Pairings NB'!B2611</f>
        <v>2448</v>
      </c>
      <c r="B586" s="10" t="str">
        <f>'Pairings NB'!C2611</f>
        <v>29/10/2026</v>
      </c>
      <c r="C586" s="10" t="str">
        <f>'Pairings NB'!D2611</f>
        <v>jueves</v>
      </c>
      <c r="D586" s="10" t="str">
        <f>'Pairings NB'!E2611&amp;"/"&amp;'Pairings NB'!E2612</f>
        <v>2007/2008</v>
      </c>
      <c r="E586" s="10" t="str">
        <f>'Pairings NB'!F2611&amp;"-"&amp;'Pairings NB'!G2611&amp;"-"&amp;'Pairings NB'!F2611</f>
        <v>LIM-CUZ-LIM</v>
      </c>
      <c r="F586" s="10" t="str">
        <f>IFERROR(VLOOKUP('Pairings NB'!$M$2611,Instructores!$A:$C,2,FALSE),"")</f>
        <v/>
      </c>
      <c r="G586" s="10">
        <f>'Pairings NB'!$M$2611</f>
        <v>0</v>
      </c>
      <c r="H586" s="10">
        <f>'Pairings NB'!$O$2611</f>
        <v>0</v>
      </c>
      <c r="I586" s="10">
        <f>'Pairings NB'!J2611</f>
        <v>320</v>
      </c>
      <c r="J586" s="10" t="str">
        <f>IFERROR(VLOOKUP('Pairings NB'!$M$2611,Instructores!$A:$C,3,FALSE),"")</f>
        <v/>
      </c>
      <c r="K586" s="10">
        <f>IF('Pairings NB'!J2611=320,4,3)</f>
        <v>4</v>
      </c>
    </row>
    <row r="587" spans="1:11" x14ac:dyDescent="0.25">
      <c r="A587" s="10">
        <f>'Pairings NB'!B2613</f>
        <v>2474</v>
      </c>
      <c r="B587" s="10" t="str">
        <f>'Pairings NB'!C2613</f>
        <v>29/10/2026</v>
      </c>
      <c r="C587" s="10" t="str">
        <f>'Pairings NB'!D2613</f>
        <v>jueves</v>
      </c>
      <c r="D587" s="10" t="str">
        <f>'Pairings NB'!E2613&amp;"/"&amp;'Pairings NB'!E2614</f>
        <v>2087/2088</v>
      </c>
      <c r="E587" s="10" t="str">
        <f>'Pairings NB'!F2613&amp;"-"&amp;'Pairings NB'!G2613&amp;"-"&amp;'Pairings NB'!F2613</f>
        <v>LIM-TPP-LIM</v>
      </c>
      <c r="F587" s="10" t="str">
        <f>IFERROR(VLOOKUP('Pairings NB'!$M$2611,Instructores!$A:$C,2,FALSE),"")</f>
        <v/>
      </c>
      <c r="G587" s="10">
        <f>'Pairings NB'!$M$2611</f>
        <v>0</v>
      </c>
      <c r="H587" s="10">
        <f>'Pairings NB'!$O$2611</f>
        <v>0</v>
      </c>
      <c r="I587" s="10">
        <f>'Pairings NB'!J2613</f>
        <v>320</v>
      </c>
      <c r="J587" s="10" t="str">
        <f>IFERROR(VLOOKUP('Pairings NB'!$M$2611,Instructores!$A:$C,3,FALSE),"")</f>
        <v/>
      </c>
      <c r="K587" s="10">
        <f>IF('Pairings NB'!J2613=320,4,3)</f>
        <v>4</v>
      </c>
    </row>
    <row r="588" spans="1:11" x14ac:dyDescent="0.25">
      <c r="A588" s="10">
        <f>'Pairings NB'!B2618</f>
        <v>2449</v>
      </c>
      <c r="B588" s="10" t="str">
        <f>'Pairings NB'!C2618</f>
        <v>29/10/2026</v>
      </c>
      <c r="C588" s="10" t="str">
        <f>'Pairings NB'!D2618</f>
        <v>jueves</v>
      </c>
      <c r="D588" s="10" t="str">
        <f>'Pairings NB'!E2618&amp;"/"&amp;'Pairings NB'!E2619</f>
        <v>2306/2307</v>
      </c>
      <c r="E588" s="10" t="str">
        <f>'Pairings NB'!F2618&amp;"-"&amp;'Pairings NB'!G2618&amp;"-"&amp;'Pairings NB'!F2618</f>
        <v>LIM-PIU-LIM</v>
      </c>
      <c r="F588" s="10" t="str">
        <f>IFERROR(VLOOKUP('Pairings NB'!$M$2618,Instructores!$A:$C,2,FALSE),"")</f>
        <v/>
      </c>
      <c r="G588" s="10">
        <f>'Pairings NB'!$M$2618</f>
        <v>0</v>
      </c>
      <c r="H588" s="10">
        <f>'Pairings NB'!$O$2618</f>
        <v>0</v>
      </c>
      <c r="I588" s="10">
        <f>'Pairings NB'!J2618</f>
        <v>320</v>
      </c>
      <c r="J588" s="10" t="str">
        <f>IFERROR(VLOOKUP('Pairings NB'!$M$2618,Instructores!$A:$C,3,FALSE),"")</f>
        <v/>
      </c>
      <c r="K588" s="10">
        <f>IF('Pairings NB'!J2618=320,4,3)</f>
        <v>4</v>
      </c>
    </row>
    <row r="589" spans="1:11" x14ac:dyDescent="0.25">
      <c r="A589" s="10">
        <f>'Pairings NB'!B2623</f>
        <v>2458</v>
      </c>
      <c r="B589" s="10" t="str">
        <f>'Pairings NB'!C2623</f>
        <v>29/10/2026</v>
      </c>
      <c r="C589" s="10" t="str">
        <f>'Pairings NB'!D2623</f>
        <v>jueves</v>
      </c>
      <c r="D589" s="10" t="str">
        <f>'Pairings NB'!E2623&amp;"/"&amp;'Pairings NB'!E2624</f>
        <v>2061/2062</v>
      </c>
      <c r="E589" s="10" t="str">
        <f>'Pairings NB'!F2623&amp;"-"&amp;'Pairings NB'!G2623&amp;"-"&amp;'Pairings NB'!F2623</f>
        <v>LIM-CUZ-LIM</v>
      </c>
      <c r="F589" s="10" t="str">
        <f>IFERROR(VLOOKUP('Pairings NB'!$M$2623,Instructores!$A:$C,2,FALSE),"")</f>
        <v/>
      </c>
      <c r="G589" s="10">
        <f>'Pairings NB'!$M$2623</f>
        <v>0</v>
      </c>
      <c r="H589" s="10">
        <f>'Pairings NB'!$O$2623</f>
        <v>0</v>
      </c>
      <c r="I589" s="10">
        <f>'Pairings NB'!J2623</f>
        <v>320</v>
      </c>
      <c r="J589" s="10" t="str">
        <f>IFERROR(VLOOKUP('Pairings NB'!$M$2623,Instructores!$A:$C,3,FALSE),"")</f>
        <v/>
      </c>
      <c r="K589" s="10">
        <f>IF('Pairings NB'!J2623=320,4,3)</f>
        <v>4</v>
      </c>
    </row>
    <row r="590" spans="1:11" x14ac:dyDescent="0.25">
      <c r="A590" s="10">
        <f>'Pairings NB'!B2625</f>
        <v>2490</v>
      </c>
      <c r="B590" s="10" t="str">
        <f>'Pairings NB'!C2625</f>
        <v>29/10/2026</v>
      </c>
      <c r="C590" s="10" t="str">
        <f>'Pairings NB'!D2625</f>
        <v>jueves</v>
      </c>
      <c r="D590" s="10" t="str">
        <f>'Pairings NB'!E2625&amp;"/"&amp;'Pairings NB'!E2626</f>
        <v>2276/2277</v>
      </c>
      <c r="E590" s="10" t="str">
        <f>'Pairings NB'!F2625&amp;"-"&amp;'Pairings NB'!G2625&amp;"-"&amp;'Pairings NB'!F2625</f>
        <v>LIM-CUZ-LIM</v>
      </c>
      <c r="F590" s="10" t="str">
        <f>IFERROR(VLOOKUP('Pairings NB'!$M$2623,Instructores!$A:$C,2,FALSE),"")</f>
        <v/>
      </c>
      <c r="G590" s="10">
        <f>'Pairings NB'!$M$2623</f>
        <v>0</v>
      </c>
      <c r="H590" s="10">
        <f>'Pairings NB'!$O$2623</f>
        <v>0</v>
      </c>
      <c r="I590" s="10">
        <f>'Pairings NB'!J2625</f>
        <v>320</v>
      </c>
      <c r="J590" s="10" t="str">
        <f>IFERROR(VLOOKUP('Pairings NB'!$M$2623,Instructores!$A:$C,3,FALSE),"")</f>
        <v/>
      </c>
      <c r="K590" s="10">
        <f>IF('Pairings NB'!J2625=320,4,3)</f>
        <v>4</v>
      </c>
    </row>
    <row r="591" spans="1:11" x14ac:dyDescent="0.25">
      <c r="A591" s="10">
        <f>'Pairings NB'!B2630</f>
        <v>2459</v>
      </c>
      <c r="B591" s="10" t="str">
        <f>'Pairings NB'!C2630</f>
        <v>29/10/2026</v>
      </c>
      <c r="C591" s="10" t="str">
        <f>'Pairings NB'!D2630</f>
        <v>jueves</v>
      </c>
      <c r="D591" s="10" t="str">
        <f>'Pairings NB'!E2630&amp;"/"&amp;'Pairings NB'!E2631</f>
        <v>2111/2110</v>
      </c>
      <c r="E591" s="10" t="str">
        <f>'Pairings NB'!F2630&amp;"-"&amp;'Pairings NB'!G2630&amp;"-"&amp;'Pairings NB'!F2630</f>
        <v>LIM-AQP-LIM</v>
      </c>
      <c r="F591" s="10" t="str">
        <f>IFERROR(VLOOKUP('Pairings NB'!$M$2630,Instructores!$A:$C,2,FALSE),"")</f>
        <v/>
      </c>
      <c r="G591" s="10">
        <f>'Pairings NB'!$M$2630</f>
        <v>0</v>
      </c>
      <c r="H591" s="10">
        <f>'Pairings NB'!$O$2630</f>
        <v>0</v>
      </c>
      <c r="I591" s="10">
        <f>'Pairings NB'!J2630</f>
        <v>319</v>
      </c>
      <c r="J591" s="10" t="str">
        <f>IFERROR(VLOOKUP('Pairings NB'!$M$2630,Instructores!$A:$C,3,FALSE),"")</f>
        <v/>
      </c>
      <c r="K591" s="10">
        <f>IF('Pairings NB'!J2630=320,4,3)</f>
        <v>3</v>
      </c>
    </row>
    <row r="592" spans="1:11" x14ac:dyDescent="0.25">
      <c r="A592" s="10">
        <f>'Pairings NB'!B2632</f>
        <v>2491</v>
      </c>
      <c r="B592" s="10" t="str">
        <f>'Pairings NB'!C2632</f>
        <v>29/10/2026</v>
      </c>
      <c r="C592" s="10" t="str">
        <f>'Pairings NB'!D2632</f>
        <v>jueves</v>
      </c>
      <c r="D592" s="10" t="str">
        <f>'Pairings NB'!E2632&amp;"/"&amp;'Pairings NB'!E2633</f>
        <v>2276/2277</v>
      </c>
      <c r="E592" s="10" t="str">
        <f>'Pairings NB'!F2632&amp;"-"&amp;'Pairings NB'!G2632&amp;"-"&amp;'Pairings NB'!F2632</f>
        <v>LIM-CUZ-LIM</v>
      </c>
      <c r="F592" s="10" t="str">
        <f>IFERROR(VLOOKUP('Pairings NB'!$M$2630,Instructores!$A:$C,2,FALSE),"")</f>
        <v/>
      </c>
      <c r="G592" s="10">
        <f>'Pairings NB'!$M$2630</f>
        <v>0</v>
      </c>
      <c r="H592" s="10">
        <f>'Pairings NB'!$O$2630</f>
        <v>0</v>
      </c>
      <c r="I592" s="10">
        <f>'Pairings NB'!J2632</f>
        <v>320</v>
      </c>
      <c r="J592" s="10" t="str">
        <f>IFERROR(VLOOKUP('Pairings NB'!$M$2630,Instructores!$A:$C,3,FALSE),"")</f>
        <v/>
      </c>
      <c r="K592" s="10">
        <f>IF('Pairings NB'!J2632=320,4,3)</f>
        <v>4</v>
      </c>
    </row>
    <row r="593" spans="1:11" x14ac:dyDescent="0.25">
      <c r="A593" s="10">
        <f>'Pairings NB'!B2637</f>
        <v>2471</v>
      </c>
      <c r="B593" s="10" t="str">
        <f>'Pairings NB'!C2637</f>
        <v>29/10/2026</v>
      </c>
      <c r="C593" s="10" t="str">
        <f>'Pairings NB'!D2637</f>
        <v>jueves</v>
      </c>
      <c r="D593" s="10" t="str">
        <f>'Pairings NB'!E2637&amp;"/"&amp;'Pairings NB'!E2638</f>
        <v>2028/2029</v>
      </c>
      <c r="E593" s="10" t="str">
        <f>'Pairings NB'!F2637&amp;"-"&amp;'Pairings NB'!G2637&amp;"-"&amp;'Pairings NB'!F2637</f>
        <v>LIM-CUZ-LIM</v>
      </c>
      <c r="F593" s="10" t="str">
        <f>IFERROR(VLOOKUP('Pairings NB'!$M$2637,Instructores!$A:$C,2,FALSE),"")</f>
        <v/>
      </c>
      <c r="G593" s="10">
        <f>'Pairings NB'!$M$2637</f>
        <v>0</v>
      </c>
      <c r="H593" s="10">
        <f>'Pairings NB'!$O$2637</f>
        <v>0</v>
      </c>
      <c r="I593" s="10">
        <f>'Pairings NB'!J2637</f>
        <v>320</v>
      </c>
      <c r="J593" s="10" t="str">
        <f>IFERROR(VLOOKUP('Pairings NB'!$M$2637,Instructores!$A:$C,3,FALSE),"")</f>
        <v/>
      </c>
      <c r="K593" s="10">
        <f>IF('Pairings NB'!J2637=320,4,3)</f>
        <v>4</v>
      </c>
    </row>
    <row r="594" spans="1:11" x14ac:dyDescent="0.25">
      <c r="A594" s="10">
        <f>'Pairings NB'!B2642</f>
        <v>2475</v>
      </c>
      <c r="B594" s="10" t="str">
        <f>'Pairings NB'!C2642</f>
        <v>29/10/2026</v>
      </c>
      <c r="C594" s="10" t="str">
        <f>'Pairings NB'!D2642</f>
        <v>jueves</v>
      </c>
      <c r="D594" s="10" t="str">
        <f>'Pairings NB'!E2642&amp;"/"&amp;'Pairings NB'!E2643</f>
        <v>2232/2233</v>
      </c>
      <c r="E594" s="10" t="str">
        <f>'Pairings NB'!F2642&amp;"-"&amp;'Pairings NB'!G2642&amp;"-"&amp;'Pairings NB'!F2642</f>
        <v>LIM-CUZ-LIM</v>
      </c>
      <c r="F594" s="10" t="str">
        <f>IFERROR(VLOOKUP('Pairings NB'!$M$2642,Instructores!$A:$C,2,FALSE),"")</f>
        <v/>
      </c>
      <c r="G594" s="10">
        <f>'Pairings NB'!$M$2642</f>
        <v>0</v>
      </c>
      <c r="H594" s="10">
        <f>'Pairings NB'!$O$2642</f>
        <v>0</v>
      </c>
      <c r="I594" s="10">
        <f>'Pairings NB'!J2642</f>
        <v>320</v>
      </c>
      <c r="J594" s="10" t="str">
        <f>IFERROR(VLOOKUP('Pairings NB'!$M$2642,Instructores!$A:$C,3,FALSE),"")</f>
        <v/>
      </c>
      <c r="K594" s="10">
        <f>IF('Pairings NB'!J2642=320,4,3)</f>
        <v>4</v>
      </c>
    </row>
    <row r="595" spans="1:11" x14ac:dyDescent="0.25">
      <c r="A595" s="10">
        <f>'Pairings NB'!B2647</f>
        <v>2476</v>
      </c>
      <c r="B595" s="10" t="str">
        <f>'Pairings NB'!C2647</f>
        <v>29/10/2026</v>
      </c>
      <c r="C595" s="10" t="str">
        <f>'Pairings NB'!D2647</f>
        <v>jueves</v>
      </c>
      <c r="D595" s="10" t="str">
        <f>'Pairings NB'!E2647&amp;"/"&amp;'Pairings NB'!E2648</f>
        <v>2295/2294</v>
      </c>
      <c r="E595" s="10" t="str">
        <f>'Pairings NB'!F2647&amp;"-"&amp;'Pairings NB'!G2647&amp;"-"&amp;'Pairings NB'!F2647</f>
        <v>LIM-CJA-LIM</v>
      </c>
      <c r="F595" s="10" t="str">
        <f>IFERROR(VLOOKUP('Pairings NB'!$M$2647,Instructores!$A:$C,2,FALSE),"")</f>
        <v/>
      </c>
      <c r="G595" s="10">
        <f>'Pairings NB'!$M$2647</f>
        <v>0</v>
      </c>
      <c r="H595" s="10">
        <f>'Pairings NB'!$O$2647</f>
        <v>0</v>
      </c>
      <c r="I595" s="10">
        <f>'Pairings NB'!J2647</f>
        <v>320</v>
      </c>
      <c r="J595" s="10" t="str">
        <f>IFERROR(VLOOKUP('Pairings NB'!$M$2647,Instructores!$A:$C,3,FALSE),"")</f>
        <v/>
      </c>
      <c r="K595" s="10">
        <f>IF('Pairings NB'!J2647=320,4,3)</f>
        <v>4</v>
      </c>
    </row>
    <row r="596" spans="1:11" x14ac:dyDescent="0.25">
      <c r="A596" s="10">
        <f>'Pairings NB'!B2649</f>
        <v>2493</v>
      </c>
      <c r="B596" s="10" t="str">
        <f>'Pairings NB'!C2649</f>
        <v>29/10/2026</v>
      </c>
      <c r="C596" s="10" t="str">
        <f>'Pairings NB'!D2649</f>
        <v>jueves</v>
      </c>
      <c r="D596" s="10" t="str">
        <f>'Pairings NB'!E2649&amp;"/"&amp;'Pairings NB'!E2650</f>
        <v>2117/2116</v>
      </c>
      <c r="E596" s="10" t="str">
        <f>'Pairings NB'!F2649&amp;"-"&amp;'Pairings NB'!G2649&amp;"-"&amp;'Pairings NB'!F2649</f>
        <v>LIM-AQP-LIM</v>
      </c>
      <c r="F596" s="10" t="str">
        <f>IFERROR(VLOOKUP('Pairings NB'!$M$2647,Instructores!$A:$C,2,FALSE),"")</f>
        <v/>
      </c>
      <c r="G596" s="10">
        <f>'Pairings NB'!$M$2647</f>
        <v>0</v>
      </c>
      <c r="H596" s="10">
        <f>'Pairings NB'!$O$2647</f>
        <v>0</v>
      </c>
      <c r="I596" s="10">
        <f>'Pairings NB'!J2649</f>
        <v>319</v>
      </c>
      <c r="J596" s="10" t="str">
        <f>IFERROR(VLOOKUP('Pairings NB'!$M$2647,Instructores!$A:$C,3,FALSE),"")</f>
        <v/>
      </c>
      <c r="K596" s="10">
        <f>IF('Pairings NB'!J2649=320,4,3)</f>
        <v>3</v>
      </c>
    </row>
    <row r="597" spans="1:11" x14ac:dyDescent="0.25">
      <c r="A597" s="10">
        <f>'Pairings NB'!B2654</f>
        <v>2478</v>
      </c>
      <c r="B597" s="10" t="str">
        <f>'Pairings NB'!C2654</f>
        <v>29/10/2026</v>
      </c>
      <c r="C597" s="10" t="str">
        <f>'Pairings NB'!D2654</f>
        <v>jueves</v>
      </c>
      <c r="D597" s="10" t="str">
        <f>'Pairings NB'!E2654&amp;"/"&amp;'Pairings NB'!E2655</f>
        <v>2338/2339</v>
      </c>
      <c r="E597" s="10" t="str">
        <f>'Pairings NB'!F2654&amp;"-"&amp;'Pairings NB'!G2654&amp;"-"&amp;'Pairings NB'!F2654</f>
        <v>LIM-PIU-LIM</v>
      </c>
      <c r="F597" s="10" t="str">
        <f>IFERROR(VLOOKUP('Pairings NB'!$M$2654,Instructores!$A:$C,2,FALSE),"")</f>
        <v/>
      </c>
      <c r="G597" s="10">
        <f>'Pairings NB'!$M$2654</f>
        <v>0</v>
      </c>
      <c r="H597" s="10">
        <f>'Pairings NB'!$O$2654</f>
        <v>0</v>
      </c>
      <c r="I597" s="10">
        <f>'Pairings NB'!J2654</f>
        <v>320</v>
      </c>
      <c r="J597" s="10" t="str">
        <f>IFERROR(VLOOKUP('Pairings NB'!$M$2654,Instructores!$A:$C,3,FALSE),"")</f>
        <v/>
      </c>
      <c r="K597" s="10">
        <f>IF('Pairings NB'!J2654=320,4,3)</f>
        <v>4</v>
      </c>
    </row>
    <row r="598" spans="1:11" x14ac:dyDescent="0.25">
      <c r="A598" s="10">
        <f>'Pairings NB'!B2659</f>
        <v>2479</v>
      </c>
      <c r="B598" s="10" t="str">
        <f>'Pairings NB'!C2659</f>
        <v>29/10/2026</v>
      </c>
      <c r="C598" s="10" t="str">
        <f>'Pairings NB'!D2659</f>
        <v>jueves</v>
      </c>
      <c r="D598" s="10" t="str">
        <f>'Pairings NB'!E2659&amp;"/"&amp;'Pairings NB'!E2660</f>
        <v>2264/2265</v>
      </c>
      <c r="E598" s="10" t="str">
        <f>'Pairings NB'!F2659&amp;"-"&amp;'Pairings NB'!G2659&amp;"-"&amp;'Pairings NB'!F2659</f>
        <v>LIM-PEM-LIM</v>
      </c>
      <c r="F598" s="10" t="str">
        <f>IFERROR(VLOOKUP('Pairings NB'!$M$2659,Instructores!$A:$C,2,FALSE),"")</f>
        <v/>
      </c>
      <c r="G598" s="10">
        <f>'Pairings NB'!$M$2659</f>
        <v>0</v>
      </c>
      <c r="H598" s="10">
        <f>'Pairings NB'!$O$2659</f>
        <v>0</v>
      </c>
      <c r="I598" s="10">
        <f>'Pairings NB'!J2659</f>
        <v>320</v>
      </c>
      <c r="J598" s="10" t="str">
        <f>IFERROR(VLOOKUP('Pairings NB'!$M$2659,Instructores!$A:$C,3,FALSE),"")</f>
        <v/>
      </c>
      <c r="K598" s="10">
        <f>IF('Pairings NB'!J2659=320,4,3)</f>
        <v>4</v>
      </c>
    </row>
    <row r="599" spans="1:11" x14ac:dyDescent="0.25">
      <c r="A599" s="10">
        <f>'Pairings NB'!B2664</f>
        <v>2480</v>
      </c>
      <c r="B599" s="10" t="str">
        <f>'Pairings NB'!C2664</f>
        <v>29/10/2026</v>
      </c>
      <c r="C599" s="10" t="str">
        <f>'Pairings NB'!D2664</f>
        <v>jueves</v>
      </c>
      <c r="D599" s="10" t="str">
        <f>'Pairings NB'!E2664&amp;"/"&amp;'Pairings NB'!E2665</f>
        <v>2113/2112</v>
      </c>
      <c r="E599" s="10" t="str">
        <f>'Pairings NB'!F2664&amp;"-"&amp;'Pairings NB'!G2664&amp;"-"&amp;'Pairings NB'!F2664</f>
        <v>LIM-AQP-LIM</v>
      </c>
      <c r="F599" s="10" t="str">
        <f>IFERROR(VLOOKUP('Pairings NB'!$M$2664,Instructores!$A:$C,2,FALSE),"")</f>
        <v/>
      </c>
      <c r="G599" s="10">
        <f>'Pairings NB'!$M$2664</f>
        <v>0</v>
      </c>
      <c r="H599" s="10">
        <f>'Pairings NB'!$O$2664</f>
        <v>0</v>
      </c>
      <c r="I599" s="10">
        <f>'Pairings NB'!J2664</f>
        <v>320</v>
      </c>
      <c r="J599" s="10" t="str">
        <f>IFERROR(VLOOKUP('Pairings NB'!$M$2664,Instructores!$A:$C,3,FALSE),"")</f>
        <v/>
      </c>
      <c r="K599" s="10">
        <f>IF('Pairings NB'!J2664=320,4,3)</f>
        <v>4</v>
      </c>
    </row>
    <row r="600" spans="1:11" x14ac:dyDescent="0.25">
      <c r="A600" s="10">
        <f>'Pairings NB'!B2669</f>
        <v>2481</v>
      </c>
      <c r="B600" s="10" t="str">
        <f>'Pairings NB'!C2669</f>
        <v>29/10/2026</v>
      </c>
      <c r="C600" s="10" t="str">
        <f>'Pairings NB'!D2669</f>
        <v>jueves</v>
      </c>
      <c r="D600" s="10" t="str">
        <f>'Pairings NB'!E2669&amp;"/"&amp;'Pairings NB'!E2670</f>
        <v>2297/2296</v>
      </c>
      <c r="E600" s="10" t="str">
        <f>'Pairings NB'!F2669&amp;"-"&amp;'Pairings NB'!G2669&amp;"-"&amp;'Pairings NB'!F2669</f>
        <v>LIM-CJA-LIM</v>
      </c>
      <c r="F600" s="10" t="str">
        <f>IFERROR(VLOOKUP('Pairings NB'!$M$2669,Instructores!$A:$C,2,FALSE),"")</f>
        <v/>
      </c>
      <c r="G600" s="10">
        <f>'Pairings NB'!$M$2669</f>
        <v>0</v>
      </c>
      <c r="H600" s="10">
        <f>'Pairings NB'!$O$2669</f>
        <v>0</v>
      </c>
      <c r="I600" s="10">
        <f>'Pairings NB'!J2669</f>
        <v>320</v>
      </c>
      <c r="J600" s="10" t="str">
        <f>IFERROR(VLOOKUP('Pairings NB'!$M$2669,Instructores!$A:$C,3,FALSE),"")</f>
        <v/>
      </c>
      <c r="K600" s="10">
        <f>IF('Pairings NB'!J2669=320,4,3)</f>
        <v>4</v>
      </c>
    </row>
    <row r="601" spans="1:11" x14ac:dyDescent="0.25">
      <c r="A601" s="10">
        <f>'Pairings NB'!B2674</f>
        <v>2484</v>
      </c>
      <c r="B601" s="10" t="str">
        <f>'Pairings NB'!C2674</f>
        <v>29/10/2026</v>
      </c>
      <c r="C601" s="10" t="str">
        <f>'Pairings NB'!D2674</f>
        <v>jueves</v>
      </c>
      <c r="D601" s="10" t="str">
        <f>'Pairings NB'!E2674&amp;"/"&amp;'Pairings NB'!E2675</f>
        <v>2312/2313</v>
      </c>
      <c r="E601" s="10" t="str">
        <f>'Pairings NB'!F2674&amp;"-"&amp;'Pairings NB'!G2674&amp;"-"&amp;'Pairings NB'!F2674</f>
        <v>LIM-CIX-LIM</v>
      </c>
      <c r="F601" s="10" t="str">
        <f>IFERROR(VLOOKUP('Pairings NB'!$M$2674,Instructores!$A:$C,2,FALSE),"")</f>
        <v/>
      </c>
      <c r="G601" s="10">
        <f>'Pairings NB'!$M$2674</f>
        <v>0</v>
      </c>
      <c r="H601" s="10">
        <f>'Pairings NB'!$O$2674</f>
        <v>0</v>
      </c>
      <c r="I601" s="10">
        <f>'Pairings NB'!J2674</f>
        <v>320</v>
      </c>
      <c r="J601" s="10" t="str">
        <f>IFERROR(VLOOKUP('Pairings NB'!$M$2674,Instructores!$A:$C,3,FALSE),"")</f>
        <v/>
      </c>
      <c r="K601" s="10">
        <f>IF('Pairings NB'!J2674=320,4,3)</f>
        <v>4</v>
      </c>
    </row>
    <row r="602" spans="1:11" x14ac:dyDescent="0.25">
      <c r="A602" s="10">
        <f>'Pairings NB'!B2679</f>
        <v>2485</v>
      </c>
      <c r="B602" s="10" t="str">
        <f>'Pairings NB'!C2679</f>
        <v>29/10/2026</v>
      </c>
      <c r="C602" s="10" t="str">
        <f>'Pairings NB'!D2679</f>
        <v>jueves</v>
      </c>
      <c r="D602" s="10" t="str">
        <f>'Pairings NB'!E2679&amp;"/"&amp;'Pairings NB'!E2680</f>
        <v>2360/2361</v>
      </c>
      <c r="E602" s="10" t="str">
        <f>'Pairings NB'!F2679&amp;"-"&amp;'Pairings NB'!G2679&amp;"-"&amp;'Pairings NB'!F2679</f>
        <v>LIM-PCL-LIM</v>
      </c>
      <c r="F602" s="10" t="str">
        <f>IFERROR(VLOOKUP('Pairings NB'!$M$2679,Instructores!$A:$C,2,FALSE),"")</f>
        <v/>
      </c>
      <c r="G602" s="10">
        <f>'Pairings NB'!$M$2679</f>
        <v>0</v>
      </c>
      <c r="H602" s="10">
        <f>'Pairings NB'!$O$2679</f>
        <v>0</v>
      </c>
      <c r="I602" s="10">
        <f>'Pairings NB'!J2679</f>
        <v>319</v>
      </c>
      <c r="J602" s="10" t="str">
        <f>IFERROR(VLOOKUP('Pairings NB'!$M$2679,Instructores!$A:$C,3,FALSE),"")</f>
        <v/>
      </c>
      <c r="K602" s="10">
        <f>IF('Pairings NB'!J2679=320,4,3)</f>
        <v>3</v>
      </c>
    </row>
    <row r="603" spans="1:11" x14ac:dyDescent="0.25">
      <c r="A603" s="10">
        <f>'Pairings NB'!B2684</f>
        <v>2486</v>
      </c>
      <c r="B603" s="10" t="str">
        <f>'Pairings NB'!C2684</f>
        <v>29/10/2026</v>
      </c>
      <c r="C603" s="10" t="str">
        <f>'Pairings NB'!D2684</f>
        <v>jueves</v>
      </c>
      <c r="D603" s="10" t="str">
        <f>'Pairings NB'!E2684&amp;"/"&amp;'Pairings NB'!E2685</f>
        <v>2312/2313</v>
      </c>
      <c r="E603" s="10" t="str">
        <f>'Pairings NB'!F2684&amp;"-"&amp;'Pairings NB'!G2684&amp;"-"&amp;'Pairings NB'!F2684</f>
        <v>LIM-CIX-LIM</v>
      </c>
      <c r="F603" s="10" t="str">
        <f>IFERROR(VLOOKUP('Pairings NB'!$M$2684,Instructores!$A:$C,2,FALSE),"")</f>
        <v/>
      </c>
      <c r="G603" s="10">
        <f>'Pairings NB'!$M$2684</f>
        <v>0</v>
      </c>
      <c r="H603" s="10">
        <f>'Pairings NB'!$O$2684</f>
        <v>0</v>
      </c>
      <c r="I603" s="10">
        <f>'Pairings NB'!J2684</f>
        <v>320</v>
      </c>
      <c r="J603" s="10" t="str">
        <f>IFERROR(VLOOKUP('Pairings NB'!$M$2684,Instructores!$A:$C,3,FALSE),"")</f>
        <v/>
      </c>
      <c r="K603" s="10">
        <f>IF('Pairings NB'!J2684=320,4,3)</f>
        <v>4</v>
      </c>
    </row>
    <row r="604" spans="1:11" x14ac:dyDescent="0.25">
      <c r="A604" s="10">
        <f>'Pairings NB'!B2689</f>
        <v>2488</v>
      </c>
      <c r="B604" s="10" t="str">
        <f>'Pairings NB'!C2689</f>
        <v>29/10/2026</v>
      </c>
      <c r="C604" s="10" t="str">
        <f>'Pairings NB'!D2689</f>
        <v>jueves</v>
      </c>
      <c r="D604" s="10" t="str">
        <f>'Pairings NB'!E2689&amp;"/"&amp;'Pairings NB'!E2690</f>
        <v>2301/2300</v>
      </c>
      <c r="E604" s="10" t="str">
        <f>'Pairings NB'!F2689&amp;"-"&amp;'Pairings NB'!G2689&amp;"-"&amp;'Pairings NB'!F2689</f>
        <v>LIM-TPP-LIM</v>
      </c>
      <c r="F604" s="10" t="str">
        <f>IFERROR(VLOOKUP('Pairings NB'!$M$2689,Instructores!$A:$C,2,FALSE),"")</f>
        <v/>
      </c>
      <c r="G604" s="10">
        <f>'Pairings NB'!$M$2689</f>
        <v>0</v>
      </c>
      <c r="H604" s="10">
        <f>'Pairings NB'!$O$2689</f>
        <v>0</v>
      </c>
      <c r="I604" s="10">
        <f>'Pairings NB'!J2689</f>
        <v>320</v>
      </c>
      <c r="J604" s="10" t="str">
        <f>IFERROR(VLOOKUP('Pairings NB'!$M$2689,Instructores!$A:$C,3,FALSE),"")</f>
        <v/>
      </c>
      <c r="K604" s="10">
        <f>IF('Pairings NB'!J2689=320,4,3)</f>
        <v>4</v>
      </c>
    </row>
    <row r="605" spans="1:11" x14ac:dyDescent="0.25">
      <c r="A605" s="10">
        <f>'Pairings NB'!B2691</f>
        <v>2494</v>
      </c>
      <c r="B605" s="10" t="str">
        <f>'Pairings NB'!C2691</f>
        <v>29/10/2026</v>
      </c>
      <c r="C605" s="10" t="str">
        <f>'Pairings NB'!D2691</f>
        <v>jueves</v>
      </c>
      <c r="D605" s="10" t="str">
        <f>'Pairings NB'!E2691&amp;"/"&amp;'Pairings NB'!E2692</f>
        <v>2035/2036</v>
      </c>
      <c r="E605" s="10" t="str">
        <f>'Pairings NB'!F2691&amp;"-"&amp;'Pairings NB'!G2691&amp;"-"&amp;'Pairings NB'!F2691</f>
        <v>LIM-CUZ-LIM</v>
      </c>
      <c r="F605" s="10" t="str">
        <f>IFERROR(VLOOKUP('Pairings NB'!$M$2689,Instructores!$A:$C,2,FALSE),"")</f>
        <v/>
      </c>
      <c r="G605" s="10">
        <f>'Pairings NB'!$M$2689</f>
        <v>0</v>
      </c>
      <c r="H605" s="10">
        <f>'Pairings NB'!$O$2689</f>
        <v>0</v>
      </c>
      <c r="I605" s="10">
        <f>'Pairings NB'!J2691</f>
        <v>320</v>
      </c>
      <c r="J605" s="10" t="str">
        <f>IFERROR(VLOOKUP('Pairings NB'!$M$2689,Instructores!$A:$C,3,FALSE),"")</f>
        <v/>
      </c>
      <c r="K605" s="10">
        <f>IF('Pairings NB'!J2691=320,4,3)</f>
        <v>4</v>
      </c>
    </row>
    <row r="606" spans="1:11" x14ac:dyDescent="0.25">
      <c r="A606" s="10">
        <f>'Pairings NB'!B2696</f>
        <v>2489</v>
      </c>
      <c r="B606" s="10" t="str">
        <f>'Pairings NB'!C2696</f>
        <v>29/10/2026</v>
      </c>
      <c r="C606" s="10" t="str">
        <f>'Pairings NB'!D2696</f>
        <v>jueves</v>
      </c>
      <c r="D606" s="10" t="str">
        <f>'Pairings NB'!E2696&amp;"/"&amp;'Pairings NB'!E2697</f>
        <v>2301/2300</v>
      </c>
      <c r="E606" s="10" t="str">
        <f>'Pairings NB'!F2696&amp;"-"&amp;'Pairings NB'!G2696&amp;"-"&amp;'Pairings NB'!F2696</f>
        <v>LIM-TPP-LIM</v>
      </c>
      <c r="F606" s="10" t="str">
        <f>IFERROR(VLOOKUP('Pairings NB'!$M$2696,Instructores!$A:$C,2,FALSE),"")</f>
        <v/>
      </c>
      <c r="G606" s="10">
        <f>'Pairings NB'!$M$2696</f>
        <v>0</v>
      </c>
      <c r="H606" s="10">
        <f>'Pairings NB'!$O$2696</f>
        <v>0</v>
      </c>
      <c r="I606" s="10">
        <f>'Pairings NB'!J2696</f>
        <v>320</v>
      </c>
      <c r="J606" s="10" t="str">
        <f>IFERROR(VLOOKUP('Pairings NB'!$M$2696,Instructores!$A:$C,3,FALSE),"")</f>
        <v/>
      </c>
      <c r="K606" s="10">
        <f>IF('Pairings NB'!J2696=320,4,3)</f>
        <v>4</v>
      </c>
    </row>
    <row r="607" spans="1:11" x14ac:dyDescent="0.25">
      <c r="A607" s="10">
        <f>'Pairings NB'!B2701</f>
        <v>2492</v>
      </c>
      <c r="B607" s="10" t="str">
        <f>'Pairings NB'!C2701</f>
        <v>29/10/2026</v>
      </c>
      <c r="C607" s="10" t="str">
        <f>'Pairings NB'!D2701</f>
        <v>jueves</v>
      </c>
      <c r="D607" s="10" t="str">
        <f>'Pairings NB'!E2701&amp;"/"&amp;'Pairings NB'!E2702</f>
        <v>2115/2114</v>
      </c>
      <c r="E607" s="10" t="str">
        <f>'Pairings NB'!F2701&amp;"-"&amp;'Pairings NB'!G2701&amp;"-"&amp;'Pairings NB'!F2701</f>
        <v>LIM-AQP-LIM</v>
      </c>
      <c r="F607" s="10" t="str">
        <f>IFERROR(VLOOKUP('Pairings NB'!$M$2701,Instructores!$A:$C,2,FALSE),"")</f>
        <v/>
      </c>
      <c r="G607" s="10">
        <f>'Pairings NB'!$M$2701</f>
        <v>0</v>
      </c>
      <c r="H607" s="10">
        <f>'Pairings NB'!$O$2701</f>
        <v>0</v>
      </c>
      <c r="I607" s="10">
        <f>'Pairings NB'!J2701</f>
        <v>320</v>
      </c>
      <c r="J607" s="10" t="str">
        <f>IFERROR(VLOOKUP('Pairings NB'!$M$2701,Instructores!$A:$C,3,FALSE),"")</f>
        <v/>
      </c>
      <c r="K607" s="10">
        <f>IF('Pairings NB'!J2701=320,4,3)</f>
        <v>4</v>
      </c>
    </row>
    <row r="608" spans="1:11" x14ac:dyDescent="0.25">
      <c r="A608" s="10">
        <f>'Pairings NB'!B2706</f>
        <v>2538</v>
      </c>
      <c r="B608" s="10" t="str">
        <f>'Pairings NB'!C2706</f>
        <v>30/10/2026</v>
      </c>
      <c r="C608" s="10" t="str">
        <f>'Pairings NB'!D2706</f>
        <v>viernes</v>
      </c>
      <c r="D608" s="10" t="str">
        <f>'Pairings NB'!E2706&amp;"/"&amp;'Pairings NB'!E2707</f>
        <v>2306/2307</v>
      </c>
      <c r="E608" s="10" t="str">
        <f>'Pairings NB'!F2706&amp;"-"&amp;'Pairings NB'!G2706&amp;"-"&amp;'Pairings NB'!F2706</f>
        <v>LIM-PIU-LIM</v>
      </c>
      <c r="F608" s="10" t="str">
        <f>IFERROR(VLOOKUP('Pairings NB'!$M$2706,Instructores!$A:$C,2,FALSE),"")</f>
        <v/>
      </c>
      <c r="G608" s="10">
        <f>'Pairings NB'!$M$2706</f>
        <v>0</v>
      </c>
      <c r="H608" s="10">
        <f>'Pairings NB'!$O$2706</f>
        <v>0</v>
      </c>
      <c r="I608" s="10">
        <f>'Pairings NB'!J2706</f>
        <v>320</v>
      </c>
      <c r="J608" s="10" t="str">
        <f>IFERROR(VLOOKUP('Pairings NB'!$M$2706,Instructores!$A:$C,3,FALSE),"")</f>
        <v/>
      </c>
      <c r="K608" s="10">
        <f>IF('Pairings NB'!J2706=320,4,3)</f>
        <v>4</v>
      </c>
    </row>
    <row r="609" spans="1:11" x14ac:dyDescent="0.25">
      <c r="A609" s="10">
        <f>'Pairings NB'!B2711</f>
        <v>2544</v>
      </c>
      <c r="B609" s="10" t="str">
        <f>'Pairings NB'!C2711</f>
        <v>30/10/2026</v>
      </c>
      <c r="C609" s="10" t="str">
        <f>'Pairings NB'!D2711</f>
        <v>viernes</v>
      </c>
      <c r="D609" s="10" t="str">
        <f>'Pairings NB'!E2711&amp;"/"&amp;'Pairings NB'!E2712</f>
        <v>2260/2261</v>
      </c>
      <c r="E609" s="10" t="str">
        <f>'Pairings NB'!F2711&amp;"-"&amp;'Pairings NB'!G2711&amp;"-"&amp;'Pairings NB'!F2711</f>
        <v>LIM-PEM-LIM</v>
      </c>
      <c r="F609" s="10" t="str">
        <f>IFERROR(VLOOKUP('Pairings NB'!$M$2711,Instructores!$A:$C,2,FALSE),"")</f>
        <v/>
      </c>
      <c r="G609" s="10">
        <f>'Pairings NB'!$M$2711</f>
        <v>0</v>
      </c>
      <c r="H609" s="10">
        <f>'Pairings NB'!$O$2711</f>
        <v>0</v>
      </c>
      <c r="I609" s="10">
        <f>'Pairings NB'!J2711</f>
        <v>320</v>
      </c>
      <c r="J609" s="10" t="str">
        <f>IFERROR(VLOOKUP('Pairings NB'!$M$2711,Instructores!$A:$C,3,FALSE),"")</f>
        <v/>
      </c>
      <c r="K609" s="10">
        <f>IF('Pairings NB'!J2711=320,4,3)</f>
        <v>4</v>
      </c>
    </row>
    <row r="610" spans="1:11" x14ac:dyDescent="0.25">
      <c r="A610" s="10">
        <f>'Pairings NB'!B2713</f>
        <v>2567</v>
      </c>
      <c r="B610" s="10" t="str">
        <f>'Pairings NB'!C2713</f>
        <v>30/10/2026</v>
      </c>
      <c r="C610" s="10" t="str">
        <f>'Pairings NB'!D2713</f>
        <v>viernes</v>
      </c>
      <c r="D610" s="10" t="str">
        <f>'Pairings NB'!E2713&amp;"/"&amp;'Pairings NB'!E2714</f>
        <v>2297/2296</v>
      </c>
      <c r="E610" s="10" t="str">
        <f>'Pairings NB'!F2713&amp;"-"&amp;'Pairings NB'!G2713&amp;"-"&amp;'Pairings NB'!F2713</f>
        <v>LIM-CJA-LIM</v>
      </c>
      <c r="F610" s="10" t="str">
        <f>IFERROR(VLOOKUP('Pairings NB'!$M$2711,Instructores!$A:$C,2,FALSE),"")</f>
        <v/>
      </c>
      <c r="G610" s="10">
        <f>'Pairings NB'!$M$2711</f>
        <v>0</v>
      </c>
      <c r="H610" s="10">
        <f>'Pairings NB'!$O$2711</f>
        <v>0</v>
      </c>
      <c r="I610" s="10">
        <f>'Pairings NB'!J2713</f>
        <v>319</v>
      </c>
      <c r="J610" s="10" t="str">
        <f>IFERROR(VLOOKUP('Pairings NB'!$M$2711,Instructores!$A:$C,3,FALSE),"")</f>
        <v/>
      </c>
      <c r="K610" s="10">
        <f>IF('Pairings NB'!J2713=320,4,3)</f>
        <v>3</v>
      </c>
    </row>
    <row r="611" spans="1:11" x14ac:dyDescent="0.25">
      <c r="A611" s="10">
        <f>'Pairings NB'!B2718</f>
        <v>2546</v>
      </c>
      <c r="B611" s="10" t="str">
        <f>'Pairings NB'!C2718</f>
        <v>30/10/2026</v>
      </c>
      <c r="C611" s="10" t="str">
        <f>'Pairings NB'!D2718</f>
        <v>viernes</v>
      </c>
      <c r="D611" s="10" t="str">
        <f>'Pairings NB'!E2718&amp;"/"&amp;'Pairings NB'!E2719</f>
        <v>2015/2016</v>
      </c>
      <c r="E611" s="10" t="str">
        <f>'Pairings NB'!F2718&amp;"-"&amp;'Pairings NB'!G2718&amp;"-"&amp;'Pairings NB'!F2718</f>
        <v>LIM-PIU-LIM</v>
      </c>
      <c r="F611" s="10" t="str">
        <f>IFERROR(VLOOKUP('Pairings NB'!$M$2718,Instructores!$A:$C,2,FALSE),"")</f>
        <v/>
      </c>
      <c r="G611" s="10">
        <f>'Pairings NB'!$M$2718</f>
        <v>0</v>
      </c>
      <c r="H611" s="10">
        <f>'Pairings NB'!$O$2718</f>
        <v>0</v>
      </c>
      <c r="I611" s="10">
        <f>'Pairings NB'!J2718</f>
        <v>320</v>
      </c>
      <c r="J611" s="10" t="str">
        <f>IFERROR(VLOOKUP('Pairings NB'!$M$2718,Instructores!$A:$C,3,FALSE),"")</f>
        <v/>
      </c>
      <c r="K611" s="10">
        <f>IF('Pairings NB'!J2718=320,4,3)</f>
        <v>4</v>
      </c>
    </row>
    <row r="612" spans="1:11" x14ac:dyDescent="0.25">
      <c r="A612" s="10">
        <f>'Pairings NB'!B2720</f>
        <v>2573</v>
      </c>
      <c r="B612" s="10" t="str">
        <f>'Pairings NB'!C2720</f>
        <v>30/10/2026</v>
      </c>
      <c r="C612" s="10" t="str">
        <f>'Pairings NB'!D2720</f>
        <v>viernes</v>
      </c>
      <c r="D612" s="10" t="str">
        <f>'Pairings NB'!E2720&amp;"/"&amp;'Pairings NB'!E2721</f>
        <v>2301/2300</v>
      </c>
      <c r="E612" s="10" t="str">
        <f>'Pairings NB'!F2720&amp;"-"&amp;'Pairings NB'!G2720&amp;"-"&amp;'Pairings NB'!F2720</f>
        <v>LIM-TPP-LIM</v>
      </c>
      <c r="F612" s="10" t="str">
        <f>IFERROR(VLOOKUP('Pairings NB'!$M$2718,Instructores!$A:$C,2,FALSE),"")</f>
        <v/>
      </c>
      <c r="G612" s="10">
        <f>'Pairings NB'!$M$2718</f>
        <v>0</v>
      </c>
      <c r="H612" s="10">
        <f>'Pairings NB'!$O$2718</f>
        <v>0</v>
      </c>
      <c r="I612" s="10">
        <f>'Pairings NB'!J2720</f>
        <v>320</v>
      </c>
      <c r="J612" s="10" t="str">
        <f>IFERROR(VLOOKUP('Pairings NB'!$M$2718,Instructores!$A:$C,3,FALSE),"")</f>
        <v/>
      </c>
      <c r="K612" s="10">
        <f>IF('Pairings NB'!J2720=320,4,3)</f>
        <v>4</v>
      </c>
    </row>
    <row r="613" spans="1:11" x14ac:dyDescent="0.25">
      <c r="A613" s="10">
        <f>'Pairings NB'!B2725</f>
        <v>2549</v>
      </c>
      <c r="B613" s="10" t="str">
        <f>'Pairings NB'!C2725</f>
        <v>30/10/2026</v>
      </c>
      <c r="C613" s="10" t="str">
        <f>'Pairings NB'!D2725</f>
        <v>viernes</v>
      </c>
      <c r="D613" s="10" t="str">
        <f>'Pairings NB'!E2725&amp;"/"&amp;'Pairings NB'!E2726</f>
        <v>2316/2317</v>
      </c>
      <c r="E613" s="10" t="str">
        <f>'Pairings NB'!F2725&amp;"-"&amp;'Pairings NB'!G2725&amp;"-"&amp;'Pairings NB'!F2725</f>
        <v>LIM-PIU-LIM</v>
      </c>
      <c r="F613" s="10" t="str">
        <f>IFERROR(VLOOKUP('Pairings NB'!$M$2725,Instructores!$A:$C,2,FALSE),"")</f>
        <v/>
      </c>
      <c r="G613" s="10">
        <f>'Pairings NB'!$M$2725</f>
        <v>0</v>
      </c>
      <c r="H613" s="10">
        <f>'Pairings NB'!$O$2725</f>
        <v>0</v>
      </c>
      <c r="I613" s="10">
        <f>'Pairings NB'!J2725</f>
        <v>320</v>
      </c>
      <c r="J613" s="10" t="str">
        <f>IFERROR(VLOOKUP('Pairings NB'!$M$2725,Instructores!$A:$C,3,FALSE),"")</f>
        <v/>
      </c>
      <c r="K613" s="10">
        <f>IF('Pairings NB'!J2725=320,4,3)</f>
        <v>4</v>
      </c>
    </row>
    <row r="614" spans="1:11" x14ac:dyDescent="0.25">
      <c r="A614" s="10">
        <f>'Pairings NB'!B2730</f>
        <v>2550</v>
      </c>
      <c r="B614" s="10" t="str">
        <f>'Pairings NB'!C2730</f>
        <v>30/10/2026</v>
      </c>
      <c r="C614" s="10" t="str">
        <f>'Pairings NB'!D2730</f>
        <v>viernes</v>
      </c>
      <c r="D614" s="10" t="str">
        <f>'Pairings NB'!E2730&amp;"/"&amp;'Pairings NB'!E2731</f>
        <v>2061/2062</v>
      </c>
      <c r="E614" s="10" t="str">
        <f>'Pairings NB'!F2730&amp;"-"&amp;'Pairings NB'!G2730&amp;"-"&amp;'Pairings NB'!F2730</f>
        <v>LIM-CUZ-LIM</v>
      </c>
      <c r="F614" s="10" t="str">
        <f>IFERROR(VLOOKUP('Pairings NB'!$M$2730,Instructores!$A:$C,2,FALSE),"")</f>
        <v/>
      </c>
      <c r="G614" s="10">
        <f>'Pairings NB'!$M$2730</f>
        <v>0</v>
      </c>
      <c r="H614" s="10">
        <f>'Pairings NB'!$O$2730</f>
        <v>0</v>
      </c>
      <c r="I614" s="10">
        <f>'Pairings NB'!J2730</f>
        <v>320</v>
      </c>
      <c r="J614" s="10" t="str">
        <f>IFERROR(VLOOKUP('Pairings NB'!$M$2730,Instructores!$A:$C,3,FALSE),"")</f>
        <v/>
      </c>
      <c r="K614" s="10">
        <f>IF('Pairings NB'!J2730=320,4,3)</f>
        <v>4</v>
      </c>
    </row>
    <row r="615" spans="1:11" x14ac:dyDescent="0.25">
      <c r="A615" s="10">
        <f>'Pairings NB'!B2735</f>
        <v>2551</v>
      </c>
      <c r="B615" s="10" t="str">
        <f>'Pairings NB'!C2735</f>
        <v>30/10/2026</v>
      </c>
      <c r="C615" s="10" t="str">
        <f>'Pairings NB'!D2735</f>
        <v>viernes</v>
      </c>
      <c r="D615" s="10" t="str">
        <f>'Pairings NB'!E2735&amp;"/"&amp;'Pairings NB'!E2736</f>
        <v>2111/2110</v>
      </c>
      <c r="E615" s="10" t="str">
        <f>'Pairings NB'!F2735&amp;"-"&amp;'Pairings NB'!G2735&amp;"-"&amp;'Pairings NB'!F2735</f>
        <v>LIM-AQP-LIM</v>
      </c>
      <c r="F615" s="10" t="str">
        <f>IFERROR(VLOOKUP('Pairings NB'!$M$2735,Instructores!$A:$C,2,FALSE),"")</f>
        <v/>
      </c>
      <c r="G615" s="10">
        <f>'Pairings NB'!$M$2735</f>
        <v>0</v>
      </c>
      <c r="H615" s="10">
        <f>'Pairings NB'!$O$2735</f>
        <v>0</v>
      </c>
      <c r="I615" s="10">
        <f>'Pairings NB'!J2735</f>
        <v>319</v>
      </c>
      <c r="J615" s="10" t="str">
        <f>IFERROR(VLOOKUP('Pairings NB'!$M$2735,Instructores!$A:$C,3,FALSE),"")</f>
        <v/>
      </c>
      <c r="K615" s="10">
        <f>IF('Pairings NB'!J2735=320,4,3)</f>
        <v>3</v>
      </c>
    </row>
    <row r="616" spans="1:11" x14ac:dyDescent="0.25">
      <c r="A616" s="10">
        <f>'Pairings NB'!B2740</f>
        <v>2556</v>
      </c>
      <c r="B616" s="10" t="str">
        <f>'Pairings NB'!C2740</f>
        <v>30/10/2026</v>
      </c>
      <c r="C616" s="10" t="str">
        <f>'Pairings NB'!D2740</f>
        <v>viernes</v>
      </c>
      <c r="D616" s="10" t="str">
        <f>'Pairings NB'!E2740&amp;"/"&amp;'Pairings NB'!E2741</f>
        <v>2120/2121</v>
      </c>
      <c r="E616" s="10" t="str">
        <f>'Pairings NB'!F2740&amp;"-"&amp;'Pairings NB'!G2740&amp;"-"&amp;'Pairings NB'!F2740</f>
        <v>LIM-CUZ-LIM</v>
      </c>
      <c r="F616" s="10" t="str">
        <f>IFERROR(VLOOKUP('Pairings NB'!$M$2740,Instructores!$A:$C,2,FALSE),"")</f>
        <v/>
      </c>
      <c r="G616" s="10">
        <f>'Pairings NB'!$M$2740</f>
        <v>0</v>
      </c>
      <c r="H616" s="10">
        <f>'Pairings NB'!$O$2740</f>
        <v>0</v>
      </c>
      <c r="I616" s="10">
        <f>'Pairings NB'!J2740</f>
        <v>320</v>
      </c>
      <c r="J616" s="10" t="str">
        <f>IFERROR(VLOOKUP('Pairings NB'!$M$2740,Instructores!$A:$C,3,FALSE),"")</f>
        <v/>
      </c>
      <c r="K616" s="10">
        <f>IF('Pairings NB'!J2740=320,4,3)</f>
        <v>4</v>
      </c>
    </row>
    <row r="617" spans="1:11" x14ac:dyDescent="0.25">
      <c r="A617" s="10">
        <f>'Pairings NB'!B2745</f>
        <v>2564</v>
      </c>
      <c r="B617" s="10" t="str">
        <f>'Pairings NB'!C2745</f>
        <v>30/10/2026</v>
      </c>
      <c r="C617" s="10" t="str">
        <f>'Pairings NB'!D2745</f>
        <v>viernes</v>
      </c>
      <c r="D617" s="10" t="str">
        <f>'Pairings NB'!E2745&amp;"/"&amp;'Pairings NB'!E2746</f>
        <v>2295/2294</v>
      </c>
      <c r="E617" s="10" t="str">
        <f>'Pairings NB'!F2745&amp;"-"&amp;'Pairings NB'!G2745&amp;"-"&amp;'Pairings NB'!F2745</f>
        <v>LIM-CJA-LIM</v>
      </c>
      <c r="F617" s="10" t="str">
        <f>IFERROR(VLOOKUP('Pairings NB'!$M$2745,Instructores!$A:$C,2,FALSE),"")</f>
        <v/>
      </c>
      <c r="G617" s="10">
        <f>'Pairings NB'!$M$2745</f>
        <v>0</v>
      </c>
      <c r="H617" s="10">
        <f>'Pairings NB'!$O$2745</f>
        <v>0</v>
      </c>
      <c r="I617" s="10">
        <f>'Pairings NB'!J2745</f>
        <v>320</v>
      </c>
      <c r="J617" s="10" t="str">
        <f>IFERROR(VLOOKUP('Pairings NB'!$M$2745,Instructores!$A:$C,3,FALSE),"")</f>
        <v/>
      </c>
      <c r="K617" s="10">
        <f>IF('Pairings NB'!J2745=320,4,3)</f>
        <v>4</v>
      </c>
    </row>
    <row r="618" spans="1:11" x14ac:dyDescent="0.25">
      <c r="A618" s="10">
        <f>'Pairings NB'!B2750</f>
        <v>2566</v>
      </c>
      <c r="B618" s="10" t="str">
        <f>'Pairings NB'!C2750</f>
        <v>30/10/2026</v>
      </c>
      <c r="C618" s="10" t="str">
        <f>'Pairings NB'!D2750</f>
        <v>viernes</v>
      </c>
      <c r="D618" s="10" t="str">
        <f>'Pairings NB'!E2750&amp;"/"&amp;'Pairings NB'!E2751</f>
        <v>2113/2112</v>
      </c>
      <c r="E618" s="10" t="str">
        <f>'Pairings NB'!F2750&amp;"-"&amp;'Pairings NB'!G2750&amp;"-"&amp;'Pairings NB'!F2750</f>
        <v>LIM-AQP-LIM</v>
      </c>
      <c r="F618" s="10" t="str">
        <f>IFERROR(VLOOKUP('Pairings NB'!$M$2750,Instructores!$A:$C,2,FALSE),"")</f>
        <v/>
      </c>
      <c r="G618" s="10">
        <f>'Pairings NB'!$M$2750</f>
        <v>0</v>
      </c>
      <c r="H618" s="10">
        <f>'Pairings NB'!$O$2750</f>
        <v>0</v>
      </c>
      <c r="I618" s="10">
        <f>'Pairings NB'!J2750</f>
        <v>320</v>
      </c>
      <c r="J618" s="10" t="str">
        <f>IFERROR(VLOOKUP('Pairings NB'!$M$2750,Instructores!$A:$C,3,FALSE),"")</f>
        <v/>
      </c>
      <c r="K618" s="10">
        <f>IF('Pairings NB'!J2750=320,4,3)</f>
        <v>4</v>
      </c>
    </row>
    <row r="619" spans="1:11" x14ac:dyDescent="0.25">
      <c r="A619" s="10">
        <f>'Pairings NB'!B2755</f>
        <v>2569</v>
      </c>
      <c r="B619" s="10" t="str">
        <f>'Pairings NB'!C2755</f>
        <v>30/10/2026</v>
      </c>
      <c r="C619" s="10" t="str">
        <f>'Pairings NB'!D2755</f>
        <v>viernes</v>
      </c>
      <c r="D619" s="10" t="str">
        <f>'Pairings NB'!E2755&amp;"/"&amp;'Pairings NB'!E2756</f>
        <v>2312/2313</v>
      </c>
      <c r="E619" s="10" t="str">
        <f>'Pairings NB'!F2755&amp;"-"&amp;'Pairings NB'!G2755&amp;"-"&amp;'Pairings NB'!F2755</f>
        <v>LIM-CIX-LIM</v>
      </c>
      <c r="F619" s="10" t="str">
        <f>IFERROR(VLOOKUP('Pairings NB'!$M$2755,Instructores!$A:$C,2,FALSE),"")</f>
        <v/>
      </c>
      <c r="G619" s="10">
        <f>'Pairings NB'!$M$2755</f>
        <v>0</v>
      </c>
      <c r="H619" s="10">
        <f>'Pairings NB'!$O$2755</f>
        <v>0</v>
      </c>
      <c r="I619" s="10">
        <f>'Pairings NB'!J2755</f>
        <v>320</v>
      </c>
      <c r="J619" s="10" t="str">
        <f>IFERROR(VLOOKUP('Pairings NB'!$M$2755,Instructores!$A:$C,3,FALSE),"")</f>
        <v/>
      </c>
      <c r="K619" s="10">
        <f>IF('Pairings NB'!J2755=320,4,3)</f>
        <v>4</v>
      </c>
    </row>
    <row r="620" spans="1:11" x14ac:dyDescent="0.25">
      <c r="A620" s="10">
        <f>'Pairings NB'!B2760</f>
        <v>2570</v>
      </c>
      <c r="B620" s="10" t="str">
        <f>'Pairings NB'!C2760</f>
        <v>30/10/2026</v>
      </c>
      <c r="C620" s="10" t="str">
        <f>'Pairings NB'!D2760</f>
        <v>viernes</v>
      </c>
      <c r="D620" s="10" t="str">
        <f>'Pairings NB'!E2760&amp;"/"&amp;'Pairings NB'!E2761</f>
        <v>2360/2361</v>
      </c>
      <c r="E620" s="10" t="str">
        <f>'Pairings NB'!F2760&amp;"-"&amp;'Pairings NB'!G2760&amp;"-"&amp;'Pairings NB'!F2760</f>
        <v>LIM-PCL-LIM</v>
      </c>
      <c r="F620" s="10" t="str">
        <f>IFERROR(VLOOKUP('Pairings NB'!$M$2760,Instructores!$A:$C,2,FALSE),"")</f>
        <v/>
      </c>
      <c r="G620" s="10">
        <f>'Pairings NB'!$M$2760</f>
        <v>0</v>
      </c>
      <c r="H620" s="10">
        <f>'Pairings NB'!$O$2760</f>
        <v>0</v>
      </c>
      <c r="I620" s="10">
        <f>'Pairings NB'!J2760</f>
        <v>320</v>
      </c>
      <c r="J620" s="10" t="str">
        <f>IFERROR(VLOOKUP('Pairings NB'!$M$2760,Instructores!$A:$C,3,FALSE),"")</f>
        <v/>
      </c>
      <c r="K620" s="10">
        <f>IF('Pairings NB'!J2760=320,4,3)</f>
        <v>4</v>
      </c>
    </row>
    <row r="621" spans="1:11" x14ac:dyDescent="0.25">
      <c r="A621" s="10">
        <f>'Pairings NB'!B2765</f>
        <v>2571</v>
      </c>
      <c r="B621" s="10" t="str">
        <f>'Pairings NB'!C2765</f>
        <v>30/10/2026</v>
      </c>
      <c r="C621" s="10" t="str">
        <f>'Pairings NB'!D2765</f>
        <v>viernes</v>
      </c>
      <c r="D621" s="10" t="str">
        <f>'Pairings NB'!E2765&amp;"/"&amp;'Pairings NB'!E2766</f>
        <v>2360/2361</v>
      </c>
      <c r="E621" s="10" t="str">
        <f>'Pairings NB'!F2765&amp;"-"&amp;'Pairings NB'!G2765&amp;"-"&amp;'Pairings NB'!F2765</f>
        <v>LIM-PCL-LIM</v>
      </c>
      <c r="F621" s="10" t="str">
        <f>IFERROR(VLOOKUP('Pairings NB'!$M$2765,Instructores!$A:$C,2,FALSE),"")</f>
        <v/>
      </c>
      <c r="G621" s="10">
        <f>'Pairings NB'!$M$2765</f>
        <v>0</v>
      </c>
      <c r="H621" s="10">
        <f>'Pairings NB'!$O$2765</f>
        <v>0</v>
      </c>
      <c r="I621" s="10">
        <f>'Pairings NB'!J2765</f>
        <v>320</v>
      </c>
      <c r="J621" s="10" t="str">
        <f>IFERROR(VLOOKUP('Pairings NB'!$M$2765,Instructores!$A:$C,3,FALSE),"")</f>
        <v/>
      </c>
      <c r="K621" s="10">
        <f>IF('Pairings NB'!J2765=320,4,3)</f>
        <v>4</v>
      </c>
    </row>
    <row r="622" spans="1:11" x14ac:dyDescent="0.25">
      <c r="A622" s="10">
        <f>'Pairings NB'!B2770</f>
        <v>2574</v>
      </c>
      <c r="B622" s="10" t="str">
        <f>'Pairings NB'!C2770</f>
        <v>30/10/2026</v>
      </c>
      <c r="C622" s="10" t="str">
        <f>'Pairings NB'!D2770</f>
        <v>viernes</v>
      </c>
      <c r="D622" s="10" t="str">
        <f>'Pairings NB'!E2770&amp;"/"&amp;'Pairings NB'!E2771</f>
        <v>2301/2300</v>
      </c>
      <c r="E622" s="10" t="str">
        <f>'Pairings NB'!F2770&amp;"-"&amp;'Pairings NB'!G2770&amp;"-"&amp;'Pairings NB'!F2770</f>
        <v>LIM-TPP-LIM</v>
      </c>
      <c r="F622" s="10" t="str">
        <f>IFERROR(VLOOKUP('Pairings NB'!$M$2770,Instructores!$A:$C,2,FALSE),"")</f>
        <v/>
      </c>
      <c r="G622" s="10">
        <f>'Pairings NB'!$M$2770</f>
        <v>0</v>
      </c>
      <c r="H622" s="10">
        <f>'Pairings NB'!$O$2770</f>
        <v>0</v>
      </c>
      <c r="I622" s="10">
        <f>'Pairings NB'!J2770</f>
        <v>320</v>
      </c>
      <c r="J622" s="10" t="str">
        <f>IFERROR(VLOOKUP('Pairings NB'!$M$2770,Instructores!$A:$C,3,FALSE),"")</f>
        <v/>
      </c>
      <c r="K622" s="10">
        <f>IF('Pairings NB'!J2770=320,4,3)</f>
        <v>4</v>
      </c>
    </row>
    <row r="623" spans="1:11" x14ac:dyDescent="0.25">
      <c r="A623" s="10">
        <f>'Pairings NB'!B2775</f>
        <v>2576</v>
      </c>
      <c r="B623" s="10" t="str">
        <f>'Pairings NB'!C2775</f>
        <v>30/10/2026</v>
      </c>
      <c r="C623" s="10" t="str">
        <f>'Pairings NB'!D2775</f>
        <v>viernes</v>
      </c>
      <c r="D623" s="10" t="str">
        <f>'Pairings NB'!E2775&amp;"/"&amp;'Pairings NB'!E2776</f>
        <v>2304/2305</v>
      </c>
      <c r="E623" s="10" t="str">
        <f>'Pairings NB'!F2775&amp;"-"&amp;'Pairings NB'!G2775&amp;"-"&amp;'Pairings NB'!F2775</f>
        <v>LIM-PIU-LIM</v>
      </c>
      <c r="F623" s="10" t="str">
        <f>IFERROR(VLOOKUP('Pairings NB'!$M$2775,Instructores!$A:$C,2,FALSE),"")</f>
        <v/>
      </c>
      <c r="G623" s="10">
        <f>'Pairings NB'!$M$2775</f>
        <v>0</v>
      </c>
      <c r="H623" s="10">
        <f>'Pairings NB'!$O$2775</f>
        <v>0</v>
      </c>
      <c r="I623" s="10">
        <f>'Pairings NB'!J2775</f>
        <v>320</v>
      </c>
      <c r="J623" s="10" t="str">
        <f>IFERROR(VLOOKUP('Pairings NB'!$M$2775,Instructores!$A:$C,3,FALSE),"")</f>
        <v/>
      </c>
      <c r="K623" s="10">
        <f>IF('Pairings NB'!J2775=320,4,3)</f>
        <v>4</v>
      </c>
    </row>
    <row r="624" spans="1:11" x14ac:dyDescent="0.25">
      <c r="A624" s="10">
        <f>'Pairings NB'!B2780</f>
        <v>2577</v>
      </c>
      <c r="B624" s="10" t="str">
        <f>'Pairings NB'!C2780</f>
        <v>30/10/2026</v>
      </c>
      <c r="C624" s="10" t="str">
        <f>'Pairings NB'!D2780</f>
        <v>viernes</v>
      </c>
      <c r="D624" s="10" t="str">
        <f>'Pairings NB'!E2780&amp;"/"&amp;'Pairings NB'!E2781</f>
        <v>2310/2311</v>
      </c>
      <c r="E624" s="10" t="str">
        <f>'Pairings NB'!F2780&amp;"-"&amp;'Pairings NB'!G2780&amp;"-"&amp;'Pairings NB'!F2780</f>
        <v>LIM-CIX-LIM</v>
      </c>
      <c r="F624" s="10" t="str">
        <f>IFERROR(VLOOKUP('Pairings NB'!$M$2780,Instructores!$A:$C,2,FALSE),"")</f>
        <v/>
      </c>
      <c r="G624" s="10">
        <f>'Pairings NB'!$M$2780</f>
        <v>0</v>
      </c>
      <c r="H624" s="10">
        <f>'Pairings NB'!$O$2780</f>
        <v>0</v>
      </c>
      <c r="I624" s="10">
        <f>'Pairings NB'!J2780</f>
        <v>319</v>
      </c>
      <c r="J624" s="10" t="str">
        <f>IFERROR(VLOOKUP('Pairings NB'!$M$2780,Instructores!$A:$C,3,FALSE),"")</f>
        <v/>
      </c>
      <c r="K624" s="10">
        <f>IF('Pairings NB'!J2780=320,4,3)</f>
        <v>3</v>
      </c>
    </row>
    <row r="625" spans="1:11" x14ac:dyDescent="0.25">
      <c r="A625" s="10">
        <f>'Pairings NB'!B2785</f>
        <v>2579</v>
      </c>
      <c r="B625" s="10" t="str">
        <f>'Pairings NB'!C2785</f>
        <v>30/10/2026</v>
      </c>
      <c r="C625" s="10" t="str">
        <f>'Pairings NB'!D2785</f>
        <v>viernes</v>
      </c>
      <c r="D625" s="10" t="str">
        <f>'Pairings NB'!E2785&amp;"/"&amp;'Pairings NB'!E2786</f>
        <v>2326/2012</v>
      </c>
      <c r="E625" s="10" t="str">
        <f>'Pairings NB'!F2785&amp;"-"&amp;'Pairings NB'!G2785&amp;"-"&amp;'Pairings NB'!F2785</f>
        <v>LIM-AQP-LIM</v>
      </c>
      <c r="F625" s="10" t="str">
        <f>IFERROR(VLOOKUP('Pairings NB'!$M$2785,Instructores!$A:$C,2,FALSE),"")</f>
        <v/>
      </c>
      <c r="G625" s="10">
        <f>'Pairings NB'!$M$2785</f>
        <v>0</v>
      </c>
      <c r="H625" s="10">
        <f>'Pairings NB'!$O$2785</f>
        <v>0</v>
      </c>
      <c r="I625" s="10">
        <f>'Pairings NB'!J2785</f>
        <v>320</v>
      </c>
      <c r="J625" s="10" t="str">
        <f>IFERROR(VLOOKUP('Pairings NB'!$M$2785,Instructores!$A:$C,3,FALSE),"")</f>
        <v/>
      </c>
      <c r="K625" s="10">
        <f>IF('Pairings NB'!J2785=320,4,3)</f>
        <v>4</v>
      </c>
    </row>
    <row r="626" spans="1:11" x14ac:dyDescent="0.25">
      <c r="A626" s="10">
        <f>'Pairings NB'!B2790</f>
        <v>2634</v>
      </c>
      <c r="B626" s="10" t="str">
        <f>'Pairings NB'!C2790</f>
        <v>31/10/2026</v>
      </c>
      <c r="C626" s="10" t="str">
        <f>'Pairings NB'!D2790</f>
        <v>sábado</v>
      </c>
      <c r="D626" s="10" t="str">
        <f>'Pairings NB'!E2790&amp;"/"&amp;'Pairings NB'!E2791</f>
        <v>2123/2124</v>
      </c>
      <c r="E626" s="10" t="str">
        <f>'Pairings NB'!F2790&amp;"-"&amp;'Pairings NB'!G2790&amp;"-"&amp;'Pairings NB'!F2790</f>
        <v>LIM-AQP-LIM</v>
      </c>
      <c r="F626" s="10" t="str">
        <f>IFERROR(VLOOKUP('Pairings NB'!$M$2790,Instructores!$A:$C,2,FALSE),"")</f>
        <v/>
      </c>
      <c r="G626" s="10">
        <f>'Pairings NB'!$M$2790</f>
        <v>0</v>
      </c>
      <c r="H626" s="10">
        <f>'Pairings NB'!$O$2790</f>
        <v>0</v>
      </c>
      <c r="I626" s="10">
        <f>'Pairings NB'!J2790</f>
        <v>320</v>
      </c>
      <c r="J626" s="10" t="str">
        <f>IFERROR(VLOOKUP('Pairings NB'!$M$2790,Instructores!$A:$C,3,FALSE),"")</f>
        <v/>
      </c>
      <c r="K626" s="10">
        <f>IF('Pairings NB'!J2790=320,4,3)</f>
        <v>4</v>
      </c>
    </row>
    <row r="627" spans="1:11" x14ac:dyDescent="0.25">
      <c r="A627" s="10">
        <f>'Pairings NB'!B2792</f>
        <v>2659</v>
      </c>
      <c r="B627" s="10" t="str">
        <f>'Pairings NB'!C2792</f>
        <v>31/10/2026</v>
      </c>
      <c r="C627" s="10" t="str">
        <f>'Pairings NB'!D2792</f>
        <v>sábado</v>
      </c>
      <c r="D627" s="10" t="str">
        <f>'Pairings NB'!E2792&amp;"/"&amp;'Pairings NB'!E2793</f>
        <v>2087/2088</v>
      </c>
      <c r="E627" s="10" t="str">
        <f>'Pairings NB'!F2792&amp;"-"&amp;'Pairings NB'!G2792&amp;"-"&amp;'Pairings NB'!F2792</f>
        <v>LIM-TPP-LIM</v>
      </c>
      <c r="F627" s="10" t="str">
        <f>IFERROR(VLOOKUP('Pairings NB'!$M$2790,Instructores!$A:$C,2,FALSE),"")</f>
        <v/>
      </c>
      <c r="G627" s="10">
        <f>'Pairings NB'!$M$2790</f>
        <v>0</v>
      </c>
      <c r="H627" s="10">
        <f>'Pairings NB'!$O$2790</f>
        <v>0</v>
      </c>
      <c r="I627" s="10">
        <f>'Pairings NB'!J2792</f>
        <v>320</v>
      </c>
      <c r="J627" s="10" t="str">
        <f>IFERROR(VLOOKUP('Pairings NB'!$M$2790,Instructores!$A:$C,3,FALSE),"")</f>
        <v/>
      </c>
      <c r="K627" s="10">
        <f>IF('Pairings NB'!J2792=320,4,3)</f>
        <v>4</v>
      </c>
    </row>
    <row r="628" spans="1:11" x14ac:dyDescent="0.25">
      <c r="A628" s="10">
        <f>'Pairings NB'!B2797</f>
        <v>2639</v>
      </c>
      <c r="B628" s="10" t="str">
        <f>'Pairings NB'!C2797</f>
        <v>31/10/2026</v>
      </c>
      <c r="C628" s="10" t="str">
        <f>'Pairings NB'!D2797</f>
        <v>sábado</v>
      </c>
      <c r="D628" s="10" t="str">
        <f>'Pairings NB'!E2797&amp;"/"&amp;'Pairings NB'!E2798</f>
        <v>2015/2016</v>
      </c>
      <c r="E628" s="10" t="str">
        <f>'Pairings NB'!F2797&amp;"-"&amp;'Pairings NB'!G2797&amp;"-"&amp;'Pairings NB'!F2797</f>
        <v>LIM-PIU-LIM</v>
      </c>
      <c r="F628" s="10" t="str">
        <f>IFERROR(VLOOKUP('Pairings NB'!$M$2797,Instructores!$A:$C,2,FALSE),"")</f>
        <v/>
      </c>
      <c r="G628" s="10">
        <f>'Pairings NB'!$M$2797</f>
        <v>0</v>
      </c>
      <c r="H628" s="10">
        <f>'Pairings NB'!$O$2797</f>
        <v>0</v>
      </c>
      <c r="I628" s="10">
        <f>'Pairings NB'!J2797</f>
        <v>320</v>
      </c>
      <c r="J628" s="10" t="str">
        <f>IFERROR(VLOOKUP('Pairings NB'!$M$2797,Instructores!$A:$C,3,FALSE),"")</f>
        <v/>
      </c>
      <c r="K628" s="10">
        <f>IF('Pairings NB'!J2797=320,4,3)</f>
        <v>4</v>
      </c>
    </row>
    <row r="629" spans="1:11" x14ac:dyDescent="0.25">
      <c r="A629" s="10">
        <f>'Pairings NB'!B2799</f>
        <v>2673</v>
      </c>
      <c r="B629" s="10" t="str">
        <f>'Pairings NB'!C2799</f>
        <v>31/10/2026</v>
      </c>
      <c r="C629" s="10" t="str">
        <f>'Pairings NB'!D2799</f>
        <v>sábado</v>
      </c>
      <c r="D629" s="10" t="str">
        <f>'Pairings NB'!E2799&amp;"/"&amp;'Pairings NB'!E2800</f>
        <v>2301/2300</v>
      </c>
      <c r="E629" s="10" t="str">
        <f>'Pairings NB'!F2799&amp;"-"&amp;'Pairings NB'!G2799&amp;"-"&amp;'Pairings NB'!F2799</f>
        <v>LIM-TPP-LIM</v>
      </c>
      <c r="F629" s="10" t="str">
        <f>IFERROR(VLOOKUP('Pairings NB'!$M$2797,Instructores!$A:$C,2,FALSE),"")</f>
        <v/>
      </c>
      <c r="G629" s="10">
        <f>'Pairings NB'!$M$2797</f>
        <v>0</v>
      </c>
      <c r="H629" s="10">
        <f>'Pairings NB'!$O$2797</f>
        <v>0</v>
      </c>
      <c r="I629" s="10">
        <f>'Pairings NB'!J2799</f>
        <v>320</v>
      </c>
      <c r="J629" s="10" t="str">
        <f>IFERROR(VLOOKUP('Pairings NB'!$M$2797,Instructores!$A:$C,3,FALSE),"")</f>
        <v/>
      </c>
      <c r="K629" s="10">
        <f>IF('Pairings NB'!J2799=320,4,3)</f>
        <v>4</v>
      </c>
    </row>
    <row r="630" spans="1:11" x14ac:dyDescent="0.25">
      <c r="A630" s="10">
        <f>'Pairings NB'!B2804</f>
        <v>2643</v>
      </c>
      <c r="B630" s="10" t="str">
        <f>'Pairings NB'!C2804</f>
        <v>31/10/2026</v>
      </c>
      <c r="C630" s="10" t="str">
        <f>'Pairings NB'!D2804</f>
        <v>sábado</v>
      </c>
      <c r="D630" s="10" t="str">
        <f>'Pairings NB'!E2804&amp;"/"&amp;'Pairings NB'!E2805</f>
        <v>2111/2110</v>
      </c>
      <c r="E630" s="10" t="str">
        <f>'Pairings NB'!F2804&amp;"-"&amp;'Pairings NB'!G2804&amp;"-"&amp;'Pairings NB'!F2804</f>
        <v>LIM-AQP-LIM</v>
      </c>
      <c r="F630" s="10" t="str">
        <f>IFERROR(VLOOKUP('Pairings NB'!$M$2804,Instructores!$A:$C,2,FALSE),"")</f>
        <v/>
      </c>
      <c r="G630" s="10">
        <f>'Pairings NB'!$M$2804</f>
        <v>0</v>
      </c>
      <c r="H630" s="10">
        <f>'Pairings NB'!$O$2804</f>
        <v>0</v>
      </c>
      <c r="I630" s="10">
        <f>'Pairings NB'!J2804</f>
        <v>320</v>
      </c>
      <c r="J630" s="10" t="str">
        <f>IFERROR(VLOOKUP('Pairings NB'!$M$2804,Instructores!$A:$C,3,FALSE),"")</f>
        <v/>
      </c>
      <c r="K630" s="10">
        <f>IF('Pairings NB'!J2804=320,4,3)</f>
        <v>4</v>
      </c>
    </row>
    <row r="631" spans="1:11" x14ac:dyDescent="0.25">
      <c r="A631" s="10">
        <f>'Pairings NB'!B2809</f>
        <v>2647</v>
      </c>
      <c r="B631" s="10" t="str">
        <f>'Pairings NB'!C2809</f>
        <v>31/10/2026</v>
      </c>
      <c r="C631" s="10" t="str">
        <f>'Pairings NB'!D2809</f>
        <v>sábado</v>
      </c>
      <c r="D631" s="10" t="str">
        <f>'Pairings NB'!E2809&amp;"/"&amp;'Pairings NB'!E2810</f>
        <v>2023/2024</v>
      </c>
      <c r="E631" s="10" t="str">
        <f>'Pairings NB'!F2809&amp;"-"&amp;'Pairings NB'!G2809&amp;"-"&amp;'Pairings NB'!F2809</f>
        <v>LIM-PEM-LIM</v>
      </c>
      <c r="F631" s="10" t="str">
        <f>IFERROR(VLOOKUP('Pairings NB'!$M$2809,Instructores!$A:$C,2,FALSE),"")</f>
        <v/>
      </c>
      <c r="G631" s="10">
        <f>'Pairings NB'!$M$2809</f>
        <v>0</v>
      </c>
      <c r="H631" s="10">
        <f>'Pairings NB'!$O$2809</f>
        <v>0</v>
      </c>
      <c r="I631" s="10">
        <f>'Pairings NB'!J2809</f>
        <v>320</v>
      </c>
      <c r="J631" s="10" t="str">
        <f>IFERROR(VLOOKUP('Pairings NB'!$M$2809,Instructores!$A:$C,3,FALSE),"")</f>
        <v/>
      </c>
      <c r="K631" s="10">
        <f>IF('Pairings NB'!J2809=320,4,3)</f>
        <v>4</v>
      </c>
    </row>
    <row r="632" spans="1:11" x14ac:dyDescent="0.25">
      <c r="A632" s="10">
        <f>'Pairings NB'!B2814</f>
        <v>2648</v>
      </c>
      <c r="B632" s="10" t="str">
        <f>'Pairings NB'!C2814</f>
        <v>31/10/2026</v>
      </c>
      <c r="C632" s="10" t="str">
        <f>'Pairings NB'!D2814</f>
        <v>sábado</v>
      </c>
      <c r="D632" s="10" t="str">
        <f>'Pairings NB'!E2814&amp;"/"&amp;'Pairings NB'!E2815</f>
        <v>2356/2357</v>
      </c>
      <c r="E632" s="10" t="str">
        <f>'Pairings NB'!F2814&amp;"-"&amp;'Pairings NB'!G2814&amp;"-"&amp;'Pairings NB'!F2814</f>
        <v>LIM-CUZ-LIM</v>
      </c>
      <c r="F632" s="10" t="str">
        <f>IFERROR(VLOOKUP('Pairings NB'!$M$2814,Instructores!$A:$C,2,FALSE),"")</f>
        <v/>
      </c>
      <c r="G632" s="10">
        <f>'Pairings NB'!$M$2814</f>
        <v>0</v>
      </c>
      <c r="H632" s="10">
        <f>'Pairings NB'!$O$2814</f>
        <v>0</v>
      </c>
      <c r="I632" s="10">
        <f>'Pairings NB'!J2814</f>
        <v>319</v>
      </c>
      <c r="J632" s="10" t="str">
        <f>IFERROR(VLOOKUP('Pairings NB'!$M$2814,Instructores!$A:$C,3,FALSE),"")</f>
        <v/>
      </c>
      <c r="K632" s="10">
        <f>IF('Pairings NB'!J2814=320,4,3)</f>
        <v>3</v>
      </c>
    </row>
    <row r="633" spans="1:11" x14ac:dyDescent="0.25">
      <c r="A633" s="10">
        <f>'Pairings NB'!B2819</f>
        <v>2651</v>
      </c>
      <c r="B633" s="10" t="str">
        <f>'Pairings NB'!C2819</f>
        <v>31/10/2026</v>
      </c>
      <c r="C633" s="10" t="str">
        <f>'Pairings NB'!D2819</f>
        <v>sábado</v>
      </c>
      <c r="D633" s="10" t="str">
        <f>'Pairings NB'!E2819&amp;"/"&amp;'Pairings NB'!E2820</f>
        <v>2120/2121</v>
      </c>
      <c r="E633" s="10" t="str">
        <f>'Pairings NB'!F2819&amp;"-"&amp;'Pairings NB'!G2819&amp;"-"&amp;'Pairings NB'!F2819</f>
        <v>LIM-CUZ-LIM</v>
      </c>
      <c r="F633" s="10" t="str">
        <f>IFERROR(VLOOKUP('Pairings NB'!$M$2819,Instructores!$A:$C,2,FALSE),"")</f>
        <v/>
      </c>
      <c r="G633" s="10">
        <f>'Pairings NB'!$M$2819</f>
        <v>0</v>
      </c>
      <c r="H633" s="10">
        <f>'Pairings NB'!$O$2819</f>
        <v>0</v>
      </c>
      <c r="I633" s="10">
        <f>'Pairings NB'!J2819</f>
        <v>320</v>
      </c>
      <c r="J633" s="10" t="str">
        <f>IFERROR(VLOOKUP('Pairings NB'!$M$2819,Instructores!$A:$C,3,FALSE),"")</f>
        <v/>
      </c>
      <c r="K633" s="10">
        <f>IF('Pairings NB'!J2819=320,4,3)</f>
        <v>4</v>
      </c>
    </row>
    <row r="634" spans="1:11" x14ac:dyDescent="0.25">
      <c r="A634" s="10">
        <f>'Pairings NB'!B2824</f>
        <v>2656</v>
      </c>
      <c r="B634" s="10" t="str">
        <f>'Pairings NB'!C2824</f>
        <v>31/10/2026</v>
      </c>
      <c r="C634" s="10" t="str">
        <f>'Pairings NB'!D2824</f>
        <v>sábado</v>
      </c>
      <c r="D634" s="10" t="str">
        <f>'Pairings NB'!E2824&amp;"/"&amp;'Pairings NB'!E2825</f>
        <v>2043/2044</v>
      </c>
      <c r="E634" s="10" t="str">
        <f>'Pairings NB'!F2824&amp;"-"&amp;'Pairings NB'!G2824&amp;"-"&amp;'Pairings NB'!F2824</f>
        <v>LIM-AQP-LIM</v>
      </c>
      <c r="F634" s="10" t="str">
        <f>IFERROR(VLOOKUP('Pairings NB'!$M$2824,Instructores!$A:$C,2,FALSE),"")</f>
        <v/>
      </c>
      <c r="G634" s="10">
        <f>'Pairings NB'!$M$2824</f>
        <v>0</v>
      </c>
      <c r="H634" s="10">
        <f>'Pairings NB'!$O$2824</f>
        <v>0</v>
      </c>
      <c r="I634" s="10">
        <f>'Pairings NB'!J2824</f>
        <v>320</v>
      </c>
      <c r="J634" s="10" t="str">
        <f>IFERROR(VLOOKUP('Pairings NB'!$M$2824,Instructores!$A:$C,3,FALSE),"")</f>
        <v/>
      </c>
      <c r="K634" s="10">
        <f>IF('Pairings NB'!J2824=320,4,3)</f>
        <v>4</v>
      </c>
    </row>
    <row r="635" spans="1:11" x14ac:dyDescent="0.25">
      <c r="A635" s="10">
        <f>'Pairings NB'!B2826</f>
        <v>2675</v>
      </c>
      <c r="B635" s="10" t="str">
        <f>'Pairings NB'!C2826</f>
        <v>31/10/2026</v>
      </c>
      <c r="C635" s="10" t="str">
        <f>'Pairings NB'!D2826</f>
        <v>sábado</v>
      </c>
      <c r="D635" s="10" t="str">
        <f>'Pairings NB'!E2826&amp;"/"&amp;'Pairings NB'!E2827</f>
        <v>2236/2237</v>
      </c>
      <c r="E635" s="10" t="str">
        <f>'Pairings NB'!F2826&amp;"-"&amp;'Pairings NB'!G2826&amp;"-"&amp;'Pairings NB'!F2826</f>
        <v>LIM-PIU-LIM</v>
      </c>
      <c r="F635" s="10" t="str">
        <f>IFERROR(VLOOKUP('Pairings NB'!$M$2824,Instructores!$A:$C,2,FALSE),"")</f>
        <v/>
      </c>
      <c r="G635" s="10">
        <f>'Pairings NB'!$M$2824</f>
        <v>0</v>
      </c>
      <c r="H635" s="10">
        <f>'Pairings NB'!$O$2824</f>
        <v>0</v>
      </c>
      <c r="I635" s="10">
        <f>'Pairings NB'!J2826</f>
        <v>320</v>
      </c>
      <c r="J635" s="10" t="str">
        <f>IFERROR(VLOOKUP('Pairings NB'!$M$2824,Instructores!$A:$C,3,FALSE),"")</f>
        <v/>
      </c>
      <c r="K635" s="10">
        <f>IF('Pairings NB'!J2826=320,4,3)</f>
        <v>4</v>
      </c>
    </row>
    <row r="636" spans="1:11" x14ac:dyDescent="0.25">
      <c r="A636" s="10">
        <f>'Pairings NB'!B2831</f>
        <v>2660</v>
      </c>
      <c r="B636" s="10" t="str">
        <f>'Pairings NB'!C2831</f>
        <v>31/10/2026</v>
      </c>
      <c r="C636" s="10" t="str">
        <f>'Pairings NB'!D2831</f>
        <v>sábado</v>
      </c>
      <c r="D636" s="10" t="str">
        <f>'Pairings NB'!E2831&amp;"/"&amp;'Pairings NB'!E2832</f>
        <v>2087/2088</v>
      </c>
      <c r="E636" s="10" t="str">
        <f>'Pairings NB'!F2831&amp;"-"&amp;'Pairings NB'!G2831&amp;"-"&amp;'Pairings NB'!F2831</f>
        <v>LIM-TPP-LIM</v>
      </c>
      <c r="F636" s="10" t="str">
        <f>IFERROR(VLOOKUP('Pairings NB'!$M$2831,Instructores!$A:$C,2,FALSE),"")</f>
        <v/>
      </c>
      <c r="G636" s="10">
        <f>'Pairings NB'!$M$2831</f>
        <v>0</v>
      </c>
      <c r="H636" s="10">
        <f>'Pairings NB'!$O$2831</f>
        <v>0</v>
      </c>
      <c r="I636" s="10">
        <f>'Pairings NB'!J2831</f>
        <v>320</v>
      </c>
      <c r="J636" s="10" t="str">
        <f>IFERROR(VLOOKUP('Pairings NB'!$M$2831,Instructores!$A:$C,3,FALSE),"")</f>
        <v/>
      </c>
      <c r="K636" s="10">
        <f>IF('Pairings NB'!J2831=320,4,3)</f>
        <v>4</v>
      </c>
    </row>
    <row r="637" spans="1:11" x14ac:dyDescent="0.25">
      <c r="A637" s="10">
        <f>'Pairings NB'!B2833</f>
        <v>2676</v>
      </c>
      <c r="B637" s="10" t="str">
        <f>'Pairings NB'!C2833</f>
        <v>31/10/2026</v>
      </c>
      <c r="C637" s="10" t="str">
        <f>'Pairings NB'!D2833</f>
        <v>sábado</v>
      </c>
      <c r="D637" s="10" t="str">
        <f>'Pairings NB'!E2833&amp;"/"&amp;'Pairings NB'!E2834</f>
        <v>2091/2092</v>
      </c>
      <c r="E637" s="10" t="str">
        <f>'Pairings NB'!F2833&amp;"-"&amp;'Pairings NB'!G2833&amp;"-"&amp;'Pairings NB'!F2833</f>
        <v>LIM-TPP-LIM</v>
      </c>
      <c r="F637" s="10" t="str">
        <f>IFERROR(VLOOKUP('Pairings NB'!$M$2831,Instructores!$A:$C,2,FALSE),"")</f>
        <v/>
      </c>
      <c r="G637" s="10">
        <f>'Pairings NB'!$M$2831</f>
        <v>0</v>
      </c>
      <c r="H637" s="10">
        <f>'Pairings NB'!$O$2831</f>
        <v>0</v>
      </c>
      <c r="I637" s="10">
        <f>'Pairings NB'!J2833</f>
        <v>320</v>
      </c>
      <c r="J637" s="10" t="str">
        <f>IFERROR(VLOOKUP('Pairings NB'!$M$2831,Instructores!$A:$C,3,FALSE),"")</f>
        <v/>
      </c>
      <c r="K637" s="10">
        <f>IF('Pairings NB'!J2833=320,4,3)</f>
        <v>4</v>
      </c>
    </row>
    <row r="638" spans="1:11" x14ac:dyDescent="0.25">
      <c r="A638" s="10">
        <f>'Pairings NB'!B2838</f>
        <v>2661</v>
      </c>
      <c r="B638" s="10" t="str">
        <f>'Pairings NB'!C2838</f>
        <v>31/10/2026</v>
      </c>
      <c r="C638" s="10" t="str">
        <f>'Pairings NB'!D2838</f>
        <v>sábado</v>
      </c>
      <c r="D638" s="10" t="str">
        <f>'Pairings NB'!E2838&amp;"/"&amp;'Pairings NB'!E2839</f>
        <v>2295/2294</v>
      </c>
      <c r="E638" s="10" t="str">
        <f>'Pairings NB'!F2838&amp;"-"&amp;'Pairings NB'!G2838&amp;"-"&amp;'Pairings NB'!F2838</f>
        <v>LIM-CJA-LIM</v>
      </c>
      <c r="F638" s="10" t="str">
        <f>IFERROR(VLOOKUP('Pairings NB'!$M$2838,Instructores!$A:$C,2,FALSE),"")</f>
        <v/>
      </c>
      <c r="G638" s="10">
        <f>'Pairings NB'!$M$2838</f>
        <v>0</v>
      </c>
      <c r="H638" s="10">
        <f>'Pairings NB'!$O$2838</f>
        <v>0</v>
      </c>
      <c r="I638" s="10">
        <f>'Pairings NB'!J2838</f>
        <v>320</v>
      </c>
      <c r="J638" s="10" t="str">
        <f>IFERROR(VLOOKUP('Pairings NB'!$M$2838,Instructores!$A:$C,3,FALSE),"")</f>
        <v/>
      </c>
      <c r="K638" s="10">
        <f>IF('Pairings NB'!J2838=320,4,3)</f>
        <v>4</v>
      </c>
    </row>
    <row r="639" spans="1:11" x14ac:dyDescent="0.25">
      <c r="A639" s="10">
        <f>'Pairings NB'!B2843</f>
        <v>2662</v>
      </c>
      <c r="B639" s="10" t="str">
        <f>'Pairings NB'!C2843</f>
        <v>31/10/2026</v>
      </c>
      <c r="C639" s="10" t="str">
        <f>'Pairings NB'!D2843</f>
        <v>sábado</v>
      </c>
      <c r="D639" s="10" t="str">
        <f>'Pairings NB'!E2843&amp;"/"&amp;'Pairings NB'!E2844</f>
        <v>2232/2233</v>
      </c>
      <c r="E639" s="10" t="str">
        <f>'Pairings NB'!F2843&amp;"-"&amp;'Pairings NB'!G2843&amp;"-"&amp;'Pairings NB'!F2843</f>
        <v>LIM-CUZ-LIM</v>
      </c>
      <c r="F639" s="10" t="str">
        <f>IFERROR(VLOOKUP('Pairings NB'!$M$2843,Instructores!$A:$C,2,FALSE),"")</f>
        <v/>
      </c>
      <c r="G639" s="10">
        <f>'Pairings NB'!$M$2843</f>
        <v>0</v>
      </c>
      <c r="H639" s="10">
        <f>'Pairings NB'!$O$2843</f>
        <v>0</v>
      </c>
      <c r="I639" s="10">
        <f>'Pairings NB'!J2843</f>
        <v>320</v>
      </c>
      <c r="J639" s="10" t="str">
        <f>IFERROR(VLOOKUP('Pairings NB'!$M$2843,Instructores!$A:$C,3,FALSE),"")</f>
        <v/>
      </c>
      <c r="K639" s="10">
        <f>IF('Pairings NB'!J2843=320,4,3)</f>
        <v>4</v>
      </c>
    </row>
    <row r="640" spans="1:11" x14ac:dyDescent="0.25">
      <c r="A640" s="10">
        <f>'Pairings NB'!B2845</f>
        <v>2677</v>
      </c>
      <c r="B640" s="10" t="str">
        <f>'Pairings NB'!C2845</f>
        <v>31/10/2026</v>
      </c>
      <c r="C640" s="10" t="str">
        <f>'Pairings NB'!D2845</f>
        <v>sábado</v>
      </c>
      <c r="D640" s="10" t="str">
        <f>'Pairings NB'!E2845&amp;"/"&amp;'Pairings NB'!E2846</f>
        <v>2326/2012</v>
      </c>
      <c r="E640" s="10" t="str">
        <f>'Pairings NB'!F2845&amp;"-"&amp;'Pairings NB'!G2845&amp;"-"&amp;'Pairings NB'!F2845</f>
        <v>LIM-AQP-LIM</v>
      </c>
      <c r="F640" s="10" t="str">
        <f>IFERROR(VLOOKUP('Pairings NB'!$M$2843,Instructores!$A:$C,2,FALSE),"")</f>
        <v/>
      </c>
      <c r="G640" s="10">
        <f>'Pairings NB'!$M$2843</f>
        <v>0</v>
      </c>
      <c r="H640" s="10">
        <f>'Pairings NB'!$O$2843</f>
        <v>0</v>
      </c>
      <c r="I640" s="10">
        <f>'Pairings NB'!J2845</f>
        <v>320</v>
      </c>
      <c r="J640" s="10" t="str">
        <f>IFERROR(VLOOKUP('Pairings NB'!$M$2843,Instructores!$A:$C,3,FALSE),"")</f>
        <v/>
      </c>
      <c r="K640" s="10">
        <f>IF('Pairings NB'!J2845=320,4,3)</f>
        <v>4</v>
      </c>
    </row>
    <row r="641" spans="1:11" x14ac:dyDescent="0.25">
      <c r="A641" s="10">
        <f>'Pairings NB'!B2850</f>
        <v>2664</v>
      </c>
      <c r="B641" s="10" t="str">
        <f>'Pairings NB'!C2850</f>
        <v>31/10/2026</v>
      </c>
      <c r="C641" s="10" t="str">
        <f>'Pairings NB'!D2850</f>
        <v>sábado</v>
      </c>
      <c r="D641" s="10" t="str">
        <f>'Pairings NB'!E2850&amp;"/"&amp;'Pairings NB'!E2851</f>
        <v>2338/2339</v>
      </c>
      <c r="E641" s="10" t="str">
        <f>'Pairings NB'!F2850&amp;"-"&amp;'Pairings NB'!G2850&amp;"-"&amp;'Pairings NB'!F2850</f>
        <v>LIM-PIU-LIM</v>
      </c>
      <c r="F641" s="10" t="str">
        <f>IFERROR(VLOOKUP('Pairings NB'!$M$2850,Instructores!$A:$C,2,FALSE),"")</f>
        <v/>
      </c>
      <c r="G641" s="10">
        <f>'Pairings NB'!$M$2850</f>
        <v>0</v>
      </c>
      <c r="H641" s="10">
        <f>'Pairings NB'!$O$2850</f>
        <v>0</v>
      </c>
      <c r="I641" s="10">
        <f>'Pairings NB'!J2850</f>
        <v>320</v>
      </c>
      <c r="J641" s="10" t="str">
        <f>IFERROR(VLOOKUP('Pairings NB'!$M$2850,Instructores!$A:$C,3,FALSE),"")</f>
        <v/>
      </c>
      <c r="K641" s="10">
        <f>IF('Pairings NB'!J2850=320,4,3)</f>
        <v>4</v>
      </c>
    </row>
    <row r="642" spans="1:11" x14ac:dyDescent="0.25">
      <c r="A642" s="10">
        <f>'Pairings NB'!B2855</f>
        <v>2665</v>
      </c>
      <c r="B642" s="10" t="str">
        <f>'Pairings NB'!C2855</f>
        <v>31/10/2026</v>
      </c>
      <c r="C642" s="10" t="str">
        <f>'Pairings NB'!D2855</f>
        <v>sábado</v>
      </c>
      <c r="D642" s="10" t="str">
        <f>'Pairings NB'!E2855&amp;"/"&amp;'Pairings NB'!E2856</f>
        <v>2264/2265</v>
      </c>
      <c r="E642" s="10" t="str">
        <f>'Pairings NB'!F2855&amp;"-"&amp;'Pairings NB'!G2855&amp;"-"&amp;'Pairings NB'!F2855</f>
        <v>LIM-PEM-LIM</v>
      </c>
      <c r="F642" s="10" t="str">
        <f>IFERROR(VLOOKUP('Pairings NB'!$M$2855,Instructores!$A:$C,2,FALSE),"")</f>
        <v/>
      </c>
      <c r="G642" s="10">
        <f>'Pairings NB'!$M$2855</f>
        <v>0</v>
      </c>
      <c r="H642" s="10">
        <f>'Pairings NB'!$O$2855</f>
        <v>0</v>
      </c>
      <c r="I642" s="10">
        <f>'Pairings NB'!J2855</f>
        <v>319</v>
      </c>
      <c r="J642" s="10" t="str">
        <f>IFERROR(VLOOKUP('Pairings NB'!$M$2855,Instructores!$A:$C,3,FALSE),"")</f>
        <v/>
      </c>
      <c r="K642" s="10">
        <f>IF('Pairings NB'!J2855=320,4,3)</f>
        <v>3</v>
      </c>
    </row>
    <row r="643" spans="1:11" x14ac:dyDescent="0.25">
      <c r="A643" s="10">
        <f>'Pairings NB'!B2860</f>
        <v>2666</v>
      </c>
      <c r="B643" s="10" t="str">
        <f>'Pairings NB'!C2860</f>
        <v>31/10/2026</v>
      </c>
      <c r="C643" s="10" t="str">
        <f>'Pairings NB'!D2860</f>
        <v>sábado</v>
      </c>
      <c r="D643" s="10" t="str">
        <f>'Pairings NB'!E2860&amp;"/"&amp;'Pairings NB'!E2861</f>
        <v>2297/2296</v>
      </c>
      <c r="E643" s="10" t="str">
        <f>'Pairings NB'!F2860&amp;"-"&amp;'Pairings NB'!G2860&amp;"-"&amp;'Pairings NB'!F2860</f>
        <v>LIM-CJA-LIM</v>
      </c>
      <c r="F643" s="10" t="str">
        <f>IFERROR(VLOOKUP('Pairings NB'!$M$2860,Instructores!$A:$C,2,FALSE),"")</f>
        <v/>
      </c>
      <c r="G643" s="10">
        <f>'Pairings NB'!$M$2860</f>
        <v>0</v>
      </c>
      <c r="H643" s="10">
        <f>'Pairings NB'!$O$2860</f>
        <v>0</v>
      </c>
      <c r="I643" s="10">
        <f>'Pairings NB'!J2860</f>
        <v>320</v>
      </c>
      <c r="J643" s="10" t="str">
        <f>IFERROR(VLOOKUP('Pairings NB'!$M$2860,Instructores!$A:$C,3,FALSE),"")</f>
        <v/>
      </c>
      <c r="K643" s="10">
        <f>IF('Pairings NB'!J2860=320,4,3)</f>
        <v>4</v>
      </c>
    </row>
    <row r="644" spans="1:11" x14ac:dyDescent="0.25">
      <c r="A644" s="10">
        <f>'Pairings NB'!B2865</f>
        <v>2667</v>
      </c>
      <c r="B644" s="10" t="str">
        <f>'Pairings NB'!C2865</f>
        <v>31/10/2026</v>
      </c>
      <c r="C644" s="10" t="str">
        <f>'Pairings NB'!D2865</f>
        <v>sábado</v>
      </c>
      <c r="D644" s="10" t="str">
        <f>'Pairings NB'!E2865&amp;"/"&amp;'Pairings NB'!E2866</f>
        <v>2297/2296</v>
      </c>
      <c r="E644" s="10" t="str">
        <f>'Pairings NB'!F2865&amp;"-"&amp;'Pairings NB'!G2865&amp;"-"&amp;'Pairings NB'!F2865</f>
        <v>LIM-CJA-LIM</v>
      </c>
      <c r="F644" s="10" t="str">
        <f>IFERROR(VLOOKUP('Pairings NB'!$M$2865,Instructores!$A:$C,2,FALSE),"")</f>
        <v/>
      </c>
      <c r="G644" s="10">
        <f>'Pairings NB'!$M$2865</f>
        <v>0</v>
      </c>
      <c r="H644" s="10">
        <f>'Pairings NB'!$O$2865</f>
        <v>0</v>
      </c>
      <c r="I644" s="10">
        <f>'Pairings NB'!J2865</f>
        <v>320</v>
      </c>
      <c r="J644" s="10" t="str">
        <f>IFERROR(VLOOKUP('Pairings NB'!$M$2865,Instructores!$A:$C,3,FALSE),"")</f>
        <v/>
      </c>
      <c r="K644" s="10">
        <f>IF('Pairings NB'!J2865=320,4,3)</f>
        <v>4</v>
      </c>
    </row>
    <row r="645" spans="1:11" x14ac:dyDescent="0.25">
      <c r="A645" s="10">
        <f>'Pairings NB'!B2870</f>
        <v>2669</v>
      </c>
      <c r="B645" s="10" t="str">
        <f>'Pairings NB'!C2870</f>
        <v>31/10/2026</v>
      </c>
      <c r="C645" s="10" t="str">
        <f>'Pairings NB'!D2870</f>
        <v>sábado</v>
      </c>
      <c r="D645" s="10" t="str">
        <f>'Pairings NB'!E2870&amp;"/"&amp;'Pairings NB'!E2871</f>
        <v>2312/2313</v>
      </c>
      <c r="E645" s="10" t="str">
        <f>'Pairings NB'!F2870&amp;"-"&amp;'Pairings NB'!G2870&amp;"-"&amp;'Pairings NB'!F2870</f>
        <v>LIM-CIX-LIM</v>
      </c>
      <c r="F645" s="10" t="str">
        <f>IFERROR(VLOOKUP('Pairings NB'!$M$2870,Instructores!$A:$C,2,FALSE),"")</f>
        <v/>
      </c>
      <c r="G645" s="10">
        <f>'Pairings NB'!$M$2870</f>
        <v>0</v>
      </c>
      <c r="H645" s="10">
        <f>'Pairings NB'!$O$2870</f>
        <v>0</v>
      </c>
      <c r="I645" s="10">
        <f>'Pairings NB'!J2870</f>
        <v>319</v>
      </c>
      <c r="J645" s="10" t="str">
        <f>IFERROR(VLOOKUP('Pairings NB'!$M$2870,Instructores!$A:$C,3,FALSE),"")</f>
        <v/>
      </c>
      <c r="K645" s="10">
        <f>IF('Pairings NB'!J2870=320,4,3)</f>
        <v>3</v>
      </c>
    </row>
    <row r="646" spans="1:11" x14ac:dyDescent="0.25">
      <c r="A646" s="10">
        <f>'Pairings NB'!B2875</f>
        <v>2670</v>
      </c>
      <c r="B646" s="10" t="str">
        <f>'Pairings NB'!C2875</f>
        <v>31/10/2026</v>
      </c>
      <c r="C646" s="10" t="str">
        <f>'Pairings NB'!D2875</f>
        <v>sábado</v>
      </c>
      <c r="D646" s="10" t="str">
        <f>'Pairings NB'!E2875&amp;"/"&amp;'Pairings NB'!E2876</f>
        <v>2360/2361</v>
      </c>
      <c r="E646" s="10" t="str">
        <f>'Pairings NB'!F2875&amp;"-"&amp;'Pairings NB'!G2875&amp;"-"&amp;'Pairings NB'!F2875</f>
        <v>LIM-PCL-LIM</v>
      </c>
      <c r="F646" s="10" t="str">
        <f>IFERROR(VLOOKUP('Pairings NB'!$M$2875,Instructores!$A:$C,2,FALSE),"")</f>
        <v/>
      </c>
      <c r="G646" s="10">
        <f>'Pairings NB'!$M$2875</f>
        <v>0</v>
      </c>
      <c r="H646" s="10">
        <f>'Pairings NB'!$O$2875</f>
        <v>0</v>
      </c>
      <c r="I646" s="10">
        <f>'Pairings NB'!J2875</f>
        <v>320</v>
      </c>
      <c r="J646" s="10" t="str">
        <f>IFERROR(VLOOKUP('Pairings NB'!$M$2875,Instructores!$A:$C,3,FALSE),"")</f>
        <v/>
      </c>
      <c r="K646" s="10">
        <f>IF('Pairings NB'!J2875=320,4,3)</f>
        <v>4</v>
      </c>
    </row>
    <row r="647" spans="1:11" x14ac:dyDescent="0.25">
      <c r="A647" s="10">
        <f>'Pairings NB'!B2880</f>
        <v>2671</v>
      </c>
      <c r="B647" s="10" t="str">
        <f>'Pairings NB'!C2880</f>
        <v>31/10/2026</v>
      </c>
      <c r="C647" s="10" t="str">
        <f>'Pairings NB'!D2880</f>
        <v>sábado</v>
      </c>
      <c r="D647" s="10" t="str">
        <f>'Pairings NB'!E2880&amp;"/"&amp;'Pairings NB'!E2881</f>
        <v>2360/2361</v>
      </c>
      <c r="E647" s="10" t="str">
        <f>'Pairings NB'!F2880&amp;"-"&amp;'Pairings NB'!G2880&amp;"-"&amp;'Pairings NB'!F2880</f>
        <v>LIM-PCL-LIM</v>
      </c>
      <c r="F647" s="10" t="str">
        <f>IFERROR(VLOOKUP('Pairings NB'!$M$2880,Instructores!$A:$C,2,FALSE),"")</f>
        <v/>
      </c>
      <c r="G647" s="10">
        <f>'Pairings NB'!$M$2880</f>
        <v>0</v>
      </c>
      <c r="H647" s="10">
        <f>'Pairings NB'!$O$2880</f>
        <v>0</v>
      </c>
      <c r="I647" s="10">
        <f>'Pairings NB'!J2880</f>
        <v>320</v>
      </c>
      <c r="J647" s="10" t="str">
        <f>IFERROR(VLOOKUP('Pairings NB'!$M$2880,Instructores!$A:$C,3,FALSE),"")</f>
        <v/>
      </c>
      <c r="K647" s="10">
        <f>IF('Pairings NB'!J2880=320,4,3)</f>
        <v>4</v>
      </c>
    </row>
  </sheetData>
  <autoFilter ref="A1:K647" xr:uid="{00000000-0009-0000-0000-000002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Pairings NB</vt:lpstr>
      <vt:lpstr>Instructores</vt:lpstr>
      <vt:lpstr>Resumen 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David Celadita Gaspar</cp:lastModifiedBy>
  <dcterms:created xsi:type="dcterms:W3CDTF">2026-09-08T04:02:36Z</dcterms:created>
  <dcterms:modified xsi:type="dcterms:W3CDTF">2026-09-08T04:12:50Z</dcterms:modified>
</cp:coreProperties>
</file>