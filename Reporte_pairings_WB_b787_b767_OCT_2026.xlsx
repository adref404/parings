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4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generar_reporte_pairings.py</author>
  </authors>
  <commentList>
    <comment ref="Q4" authorId="0" shapeId="0">
      <text>
        <t>Tipo de actividad (escribir a mano, ej. LCK B767, Reentrenamiento B767, CHEQUEO BI ANUAL INST B767, etc.)</t>
      </text>
    </comment>
    <comment ref="O5" authorId="0" shapeId="0">
      <text>
        <t>Escribir aquí el nombre del instructor</t>
      </text>
    </comment>
    <comment ref="Q11" authorId="0" shapeId="0">
      <text>
        <t>Tipo de actividad (escribir a mano, ej. LCK B767, Reentrenamiento B767, CHEQUEO BI ANUAL INST B767, etc.)</t>
      </text>
    </comment>
    <comment ref="O12" authorId="0" shapeId="0">
      <text>
        <t>Escribir aquí el nombre del instructor</t>
      </text>
    </comment>
    <comment ref="Q18" authorId="0" shapeId="0">
      <text>
        <t>Tipo de actividad (escribir a mano, ej. LCK B767, Reentrenamiento B767, CHEQUEO BI ANUAL INST B767, etc.)</t>
      </text>
    </comment>
    <comment ref="O19" authorId="0" shapeId="0">
      <text>
        <t>Escribir aquí el nombre del instructor</t>
      </text>
    </comment>
    <comment ref="Q25" authorId="0" shapeId="0">
      <text>
        <t>Tipo de actividad (escribir a mano, ej. LCK B767, Reentrenamiento B767, CHEQUEO BI ANUAL INST B767, etc.)</t>
      </text>
    </comment>
    <comment ref="O26" authorId="0" shapeId="0">
      <text>
        <t>Escribir aquí el nombre del instructor</t>
      </text>
    </comment>
    <comment ref="Q32" authorId="0" shapeId="0">
      <text>
        <t>Tipo de actividad (escribir a mano, ej. LCK B767, Reentrenamiento B767, CHEQUEO BI ANUAL INST B767, etc.)</t>
      </text>
    </comment>
    <comment ref="O33" authorId="0" shapeId="0">
      <text>
        <t>Escribir aquí el nombre del instructor</t>
      </text>
    </comment>
    <comment ref="Q39" authorId="0" shapeId="0">
      <text>
        <t>Tipo de actividad (escribir a mano, ej. LCK B767, Reentrenamiento B767, CHEQUEO BI ANUAL INST B767, etc.)</t>
      </text>
    </comment>
    <comment ref="O40" authorId="0" shapeId="0">
      <text>
        <t>Escribir aquí el nombre del instructor</t>
      </text>
    </comment>
    <comment ref="Q46" authorId="0" shapeId="0">
      <text>
        <t>Tipo de actividad (escribir a mano, ej. LCK B767, Reentrenamiento B767, CHEQUEO BI ANUAL INST B767, etc.)</t>
      </text>
    </comment>
    <comment ref="O47" authorId="0" shapeId="0">
      <text>
        <t>Escribir aquí el nombre del instructor</t>
      </text>
    </comment>
    <comment ref="Q53" authorId="0" shapeId="0">
      <text>
        <t>Tipo de actividad (escribir a mano, ej. LCK B767, Reentrenamiento B767, CHEQUEO BI ANUAL INST B767, etc.)</t>
      </text>
    </comment>
    <comment ref="O54" authorId="0" shapeId="0">
      <text>
        <t>Escribir aquí el nombre del instructor</t>
      </text>
    </comment>
    <comment ref="Q60" authorId="0" shapeId="0">
      <text>
        <t>Tipo de actividad (escribir a mano, ej. LCK B767, Reentrenamiento B767, CHEQUEO BI ANUAL INST B767, etc.)</t>
      </text>
    </comment>
    <comment ref="O61" authorId="0" shapeId="0">
      <text>
        <t>Escribir aquí el nombre del instructor</t>
      </text>
    </comment>
    <comment ref="Q67" authorId="0" shapeId="0">
      <text>
        <t>Tipo de actividad (escribir a mano, ej. LCK B767, Reentrenamiento B767, CHEQUEO BI ANUAL INST B767, etc.)</t>
      </text>
    </comment>
    <comment ref="O68" authorId="0" shapeId="0">
      <text>
        <t>Escribir aquí el nombre del instructor</t>
      </text>
    </comment>
    <comment ref="Q74" authorId="0" shapeId="0">
      <text>
        <t>Tipo de actividad (escribir a mano, ej. LCK B767, Reentrenamiento B767, CHEQUEO BI ANUAL INST B767, etc.)</t>
      </text>
    </comment>
    <comment ref="O75" authorId="0" shapeId="0">
      <text>
        <t>Escribir aquí el nombre del instructor</t>
      </text>
    </comment>
    <comment ref="Q81" authorId="0" shapeId="0">
      <text>
        <t>Tipo de actividad (escribir a mano, ej. LCK B767, Reentrenamiento B767, CHEQUEO BI ANUAL INST B767, etc.)</t>
      </text>
    </comment>
    <comment ref="O82" authorId="0" shapeId="0">
      <text>
        <t>Escribir aquí el nombre del instructor</t>
      </text>
    </comment>
    <comment ref="Q88" authorId="0" shapeId="0">
      <text>
        <t>Tipo de actividad (escribir a mano, ej. LCK B767, Reentrenamiento B767, CHEQUEO BI ANUAL INST B767, etc.)</t>
      </text>
    </comment>
    <comment ref="O89" authorId="0" shapeId="0">
      <text>
        <t>Escribir aquí el nombre del instructor</t>
      </text>
    </comment>
    <comment ref="Q95" authorId="0" shapeId="0">
      <text>
        <t>Tipo de actividad (escribir a mano, ej. LCK B767, Reentrenamiento B767, CHEQUEO BI ANUAL INST B767, etc.)</t>
      </text>
    </comment>
    <comment ref="O96" authorId="0" shapeId="0">
      <text>
        <t>Escribir aquí el nombre del instructor</t>
      </text>
    </comment>
    <comment ref="Q102" authorId="0" shapeId="0">
      <text>
        <t>Tipo de actividad (escribir a mano, ej. LCK B767, Reentrenamiento B767, CHEQUEO BI ANUAL INST B767, etc.)</t>
      </text>
    </comment>
    <comment ref="O103" authorId="0" shapeId="0">
      <text>
        <t>Escribir aquí el nombre del instructor</t>
      </text>
    </comment>
    <comment ref="Q109" authorId="0" shapeId="0">
      <text>
        <t>Tipo de actividad (escribir a mano, ej. LCK B767, Reentrenamiento B767, CHEQUEO BI ANUAL INST B767, etc.)</t>
      </text>
    </comment>
    <comment ref="O110" authorId="0" shapeId="0">
      <text>
        <t>Escribir aquí el nombre del instructor</t>
      </text>
    </comment>
    <comment ref="Q116" authorId="0" shapeId="0">
      <text>
        <t>Tipo de actividad (escribir a mano, ej. LCK B767, Reentrenamiento B767, CHEQUEO BI ANUAL INST B767, etc.)</t>
      </text>
    </comment>
    <comment ref="O117" authorId="0" shapeId="0">
      <text>
        <t>Escribir aquí el nombre del instructor</t>
      </text>
    </comment>
    <comment ref="Q123" authorId="0" shapeId="0">
      <text>
        <t>Tipo de actividad (escribir a mano, ej. LCK B767, Reentrenamiento B767, CHEQUEO BI ANUAL INST B767, etc.)</t>
      </text>
    </comment>
    <comment ref="O124" authorId="0" shapeId="0">
      <text>
        <t>Escribir aquí el nombre del instructor</t>
      </text>
    </comment>
    <comment ref="Q130" authorId="0" shapeId="0">
      <text>
        <t>Tipo de actividad (escribir a mano, ej. LCK B767, Reentrenamiento B767, CHEQUEO BI ANUAL INST B767, etc.)</t>
      </text>
    </comment>
    <comment ref="O131" authorId="0" shapeId="0">
      <text>
        <t>Escribir aquí el nombre del instructor</t>
      </text>
    </comment>
    <comment ref="Q137" authorId="0" shapeId="0">
      <text>
        <t>Tipo de actividad (escribir a mano, ej. LCK B767, Reentrenamiento B767, CHEQUEO BI ANUAL INST B767, etc.)</t>
      </text>
    </comment>
    <comment ref="O138" authorId="0" shapeId="0">
      <text>
        <t>Escribir aquí el nombre del instructor</t>
      </text>
    </comment>
    <comment ref="Q144" authorId="0" shapeId="0">
      <text>
        <t>Tipo de actividad (escribir a mano, ej. LCK B767, Reentrenamiento B767, CHEQUEO BI ANUAL INST B767, etc.)</t>
      </text>
    </comment>
    <comment ref="O145" authorId="0" shapeId="0">
      <text>
        <t>Escribir aquí el nombre del instructor</t>
      </text>
    </comment>
    <comment ref="Q151" authorId="0" shapeId="0">
      <text>
        <t>Tipo de actividad (escribir a mano, ej. LCK B767, Reentrenamiento B767, CHEQUEO BI ANUAL INST B767, etc.)</t>
      </text>
    </comment>
    <comment ref="O152" authorId="0" shapeId="0">
      <text>
        <t>Escribir aquí el nombre del instructor</t>
      </text>
    </comment>
    <comment ref="Q158" authorId="0" shapeId="0">
      <text>
        <t>Tipo de actividad (escribir a mano, ej. LCK B767, Reentrenamiento B767, CHEQUEO BI ANUAL INST B767, etc.)</t>
      </text>
    </comment>
    <comment ref="O159" authorId="0" shapeId="0">
      <text>
        <t>Escribir aquí el nombre del instructor</t>
      </text>
    </comment>
    <comment ref="Q165" authorId="0" shapeId="0">
      <text>
        <t>Tipo de actividad (escribir a mano, ej. LCK B767, Reentrenamiento B767, CHEQUEO BI ANUAL INST B767, etc.)</t>
      </text>
    </comment>
    <comment ref="O166" authorId="0" shapeId="0">
      <text>
        <t>Escribir aquí el nombre del instructor</t>
      </text>
    </comment>
    <comment ref="Q172" authorId="0" shapeId="0">
      <text>
        <t>Tipo de actividad (escribir a mano, ej. LCK B767, Reentrenamiento B767, CHEQUEO BI ANUAL INST B767, etc.)</t>
      </text>
    </comment>
    <comment ref="O173" authorId="0" shapeId="0">
      <text>
        <t>Escribir aquí el nombre del instructor</t>
      </text>
    </comment>
    <comment ref="Q179" authorId="0" shapeId="0">
      <text>
        <t>Tipo de actividad (escribir a mano, ej. LCK B767, Reentrenamiento B767, CHEQUEO BI ANUAL INST B767, etc.)</t>
      </text>
    </comment>
    <comment ref="O180" authorId="0" shapeId="0">
      <text>
        <t>Escribir aquí el nombre del instructor</t>
      </text>
    </comment>
    <comment ref="Q186" authorId="0" shapeId="0">
      <text>
        <t>Tipo de actividad (escribir a mano, ej. LCK B767, Reentrenamiento B767, CHEQUEO BI ANUAL INST B767, etc.)</t>
      </text>
    </comment>
    <comment ref="O187" authorId="0" shapeId="0">
      <text>
        <t>Escribir aquí el nombre del instructor</t>
      </text>
    </comment>
    <comment ref="Q193" authorId="0" shapeId="0">
      <text>
        <t>Tipo de actividad (escribir a mano, ej. LCK B767, Reentrenamiento B767, CHEQUEO BI ANUAL INST B767, etc.)</t>
      </text>
    </comment>
    <comment ref="O194" authorId="0" shapeId="0">
      <text>
        <t>Escribir aquí el nombre del instructor</t>
      </text>
    </comment>
    <comment ref="Q200" authorId="0" shapeId="0">
      <text>
        <t>Tipo de actividad (escribir a mano, ej. LCK B767, Reentrenamiento B767, CHEQUEO BI ANUAL INST B767, etc.)</t>
      </text>
    </comment>
    <comment ref="O201" authorId="0" shapeId="0">
      <text>
        <t>Escribir aquí el nombre del instructor</t>
      </text>
    </comment>
    <comment ref="Q207" authorId="0" shapeId="0">
      <text>
        <t>Tipo de actividad (escribir a mano, ej. LCK B767, Reentrenamiento B767, CHEQUEO BI ANUAL INST B767, etc.)</t>
      </text>
    </comment>
    <comment ref="O208" authorId="0" shapeId="0">
      <text>
        <t>Escribir aquí el nombre del instructor</t>
      </text>
    </comment>
    <comment ref="Q214" authorId="0" shapeId="0">
      <text>
        <t>Tipo de actividad (escribir a mano, ej. LCK B767, Reentrenamiento B767, CHEQUEO BI ANUAL INST B767, etc.)</t>
      </text>
    </comment>
    <comment ref="O215" authorId="0" shapeId="0">
      <text>
        <t>Escribir aquí el nombre del instructor</t>
      </text>
    </comment>
    <comment ref="Q221" authorId="0" shapeId="0">
      <text>
        <t>Tipo de actividad (escribir a mano, ej. LCK B767, Reentrenamiento B767, CHEQUEO BI ANUAL INST B767, etc.)</t>
      </text>
    </comment>
    <comment ref="O222" authorId="0" shapeId="0">
      <text>
        <t>Escribir aquí el nombre del instructor</t>
      </text>
    </comment>
    <comment ref="Q228" authorId="0" shapeId="0">
      <text>
        <t>Tipo de actividad (escribir a mano, ej. LCK B767, Reentrenamiento B767, CHEQUEO BI ANUAL INST B767, etc.)</t>
      </text>
    </comment>
    <comment ref="O229" authorId="0" shapeId="0">
      <text>
        <t>Escribir aquí el nombre del instructor</t>
      </text>
    </comment>
    <comment ref="Q235" authorId="0" shapeId="0">
      <text>
        <t>Tipo de actividad (escribir a mano, ej. LCK B767, Reentrenamiento B767, CHEQUEO BI ANUAL INST B767, etc.)</t>
      </text>
    </comment>
    <comment ref="O236" authorId="0" shapeId="0">
      <text>
        <t>Escribir aquí el nombre del instructor</t>
      </text>
    </comment>
    <comment ref="Q242" authorId="0" shapeId="0">
      <text>
        <t>Tipo de actividad (escribir a mano, ej. LCK B767, Reentrenamiento B767, CHEQUEO BI ANUAL INST B767, etc.)</t>
      </text>
    </comment>
    <comment ref="O243" authorId="0" shapeId="0">
      <text>
        <t>Escribir aquí el nombre del instructor</t>
      </text>
    </comment>
    <comment ref="Q249" authorId="0" shapeId="0">
      <text>
        <t>Tipo de actividad (escribir a mano, ej. LCK B767, Reentrenamiento B767, CHEQUEO BI ANUAL INST B767, etc.)</t>
      </text>
    </comment>
    <comment ref="O250" authorId="0" shapeId="0">
      <text>
        <t>Escribir aquí el nombre del instructor</t>
      </text>
    </comment>
    <comment ref="Q256" authorId="0" shapeId="0">
      <text>
        <t>Tipo de actividad (escribir a mano, ej. LCK B767, Reentrenamiento B767, CHEQUEO BI ANUAL INST B767, etc.)</t>
      </text>
    </comment>
    <comment ref="O257" authorId="0" shapeId="0">
      <text>
        <t>Escribir aquí el nombre del instructor</t>
      </text>
    </comment>
    <comment ref="Q263" authorId="0" shapeId="0">
      <text>
        <t>Tipo de actividad (escribir a mano, ej. LCK B767, Reentrenamiento B767, CHEQUEO BI ANUAL INST B767, etc.)</t>
      </text>
    </comment>
    <comment ref="O264" authorId="0" shapeId="0">
      <text>
        <t>Escribir aquí el nombre del instructor</t>
      </text>
    </comment>
    <comment ref="Q270" authorId="0" shapeId="0">
      <text>
        <t>Tipo de actividad (escribir a mano, ej. LCK B767, Reentrenamiento B767, CHEQUEO BI ANUAL INST B767, etc.)</t>
      </text>
    </comment>
    <comment ref="O271" authorId="0" shapeId="0">
      <text>
        <t>Escribir aquí el nombre del instructor</t>
      </text>
    </comment>
    <comment ref="Q277" authorId="0" shapeId="0">
      <text>
        <t>Tipo de actividad (escribir a mano, ej. LCK B767, Reentrenamiento B767, CHEQUEO BI ANUAL INST B767, etc.)</t>
      </text>
    </comment>
    <comment ref="O278" authorId="0" shapeId="0">
      <text>
        <t>Escribir aquí el nombre del instructor</t>
      </text>
    </comment>
    <comment ref="Q284" authorId="0" shapeId="0">
      <text>
        <t>Tipo de actividad (escribir a mano, ej. LCK B767, Reentrenamiento B767, CHEQUEO BI ANUAL INST B767, etc.)</t>
      </text>
    </comment>
    <comment ref="O285" authorId="0" shapeId="0">
      <text>
        <t>Escribir aquí el nombre del instructor</t>
      </text>
    </comment>
    <comment ref="Q291" authorId="0" shapeId="0">
      <text>
        <t>Tipo de actividad (escribir a mano, ej. LCK B767, Reentrenamiento B767, CHEQUEO BI ANUAL INST B767, etc.)</t>
      </text>
    </comment>
    <comment ref="O292" authorId="0" shapeId="0">
      <text>
        <t>Escribir aquí el nombre del instructor</t>
      </text>
    </comment>
    <comment ref="Q298" authorId="0" shapeId="0">
      <text>
        <t>Tipo de actividad (escribir a mano, ej. LCK B767, Reentrenamiento B767, CHEQUEO BI ANUAL INST B767, etc.)</t>
      </text>
    </comment>
    <comment ref="O299" authorId="0" shapeId="0">
      <text>
        <t>Escribir aquí el nombre del instructor</t>
      </text>
    </comment>
    <comment ref="Q305" authorId="0" shapeId="0">
      <text>
        <t>Tipo de actividad (escribir a mano, ej. LCK B767, Reentrenamiento B767, CHEQUEO BI ANUAL INST B767, etc.)</t>
      </text>
    </comment>
    <comment ref="O306" authorId="0" shapeId="0">
      <text>
        <t>Escribir aquí el nombre del instructor</t>
      </text>
    </comment>
    <comment ref="Q312" authorId="0" shapeId="0">
      <text>
        <t>Tipo de actividad (escribir a mano, ej. LCK B767, Reentrenamiento B767, CHEQUEO BI ANUAL INST B767, etc.)</t>
      </text>
    </comment>
    <comment ref="O313" authorId="0" shapeId="0">
      <text>
        <t>Escribir aquí el nombre del instructor</t>
      </text>
    </comment>
    <comment ref="Q319" authorId="0" shapeId="0">
      <text>
        <t>Tipo de actividad (escribir a mano, ej. LCK B767, Reentrenamiento B767, CHEQUEO BI ANUAL INST B767, etc.)</t>
      </text>
    </comment>
    <comment ref="O320" authorId="0" shapeId="0">
      <text>
        <t>Escribir aquí el nombre del instructor</t>
      </text>
    </comment>
    <comment ref="Q326" authorId="0" shapeId="0">
      <text>
        <t>Tipo de actividad (escribir a mano, ej. LCK B767, Reentrenamiento B767, CHEQUEO BI ANUAL INST B767, etc.)</t>
      </text>
    </comment>
    <comment ref="O327" authorId="0" shapeId="0">
      <text>
        <t>Escribir aquí el nombre del instructor</t>
      </text>
    </comment>
    <comment ref="Q333" authorId="0" shapeId="0">
      <text>
        <t>Tipo de actividad (escribir a mano, ej. LCK B767, Reentrenamiento B767, CHEQUEO BI ANUAL INST B767, etc.)</t>
      </text>
    </comment>
    <comment ref="O334" authorId="0" shapeId="0">
      <text>
        <t>Escribir aquí el nombre del instructor</t>
      </text>
    </comment>
    <comment ref="Q340" authorId="0" shapeId="0">
      <text>
        <t>Tipo de actividad (escribir a mano, ej. LCK B767, Reentrenamiento B767, CHEQUEO BI ANUAL INST B767, etc.)</t>
      </text>
    </comment>
    <comment ref="O341" authorId="0" shapeId="0">
      <text>
        <t>Escribir aquí el nombre del instructor</t>
      </text>
    </comment>
    <comment ref="Q347" authorId="0" shapeId="0">
      <text>
        <t>Tipo de actividad (escribir a mano, ej. LCK B767, Reentrenamiento B767, CHEQUEO BI ANUAL INST B767, etc.)</t>
      </text>
    </comment>
    <comment ref="O348" authorId="0" shapeId="0">
      <text>
        <t>Escribir aquí el nombre del instructor</t>
      </text>
    </comment>
    <comment ref="Q354" authorId="0" shapeId="0">
      <text>
        <t>Tipo de actividad (escribir a mano, ej. LCK B767, Reentrenamiento B767, CHEQUEO BI ANUAL INST B767, etc.)</t>
      </text>
    </comment>
    <comment ref="O355" authorId="0" shapeId="0">
      <text>
        <t>Escribir aquí el nombre del instructor</t>
      </text>
    </comment>
    <comment ref="Q361" authorId="0" shapeId="0">
      <text>
        <t>Tipo de actividad (escribir a mano, ej. LCK B767, Reentrenamiento B767, CHEQUEO BI ANUAL INST B767, etc.)</t>
      </text>
    </comment>
    <comment ref="O362" authorId="0" shapeId="0">
      <text>
        <t>Escribir aquí el nombre del instructor</t>
      </text>
    </comment>
    <comment ref="Q368" authorId="0" shapeId="0">
      <text>
        <t>Tipo de actividad (escribir a mano, ej. LCK B767, Reentrenamiento B767, CHEQUEO BI ANUAL INST B767, etc.)</t>
      </text>
    </comment>
    <comment ref="O369" authorId="0" shapeId="0">
      <text>
        <t>Escribir aquí el nombre del instructor</t>
      </text>
    </comment>
    <comment ref="Q375" authorId="0" shapeId="0">
      <text>
        <t>Tipo de actividad (escribir a mano, ej. LCK B767, Reentrenamiento B767, CHEQUEO BI ANUAL INST B767, etc.)</t>
      </text>
    </comment>
    <comment ref="O376" authorId="0" shapeId="0">
      <text>
        <t>Escribir aquí el nombre del instructor</t>
      </text>
    </comment>
    <comment ref="Q382" authorId="0" shapeId="0">
      <text>
        <t>Tipo de actividad (escribir a mano, ej. LCK B767, Reentrenamiento B767, CHEQUEO BI ANUAL INST B767, etc.)</t>
      </text>
    </comment>
    <comment ref="O383" authorId="0" shapeId="0">
      <text>
        <t>Escribir aquí el nombre del instructor</t>
      </text>
    </comment>
    <comment ref="Q389" authorId="0" shapeId="0">
      <text>
        <t>Tipo de actividad (escribir a mano, ej. LCK B767, Reentrenamiento B767, CHEQUEO BI ANUAL INST B767, etc.)</t>
      </text>
    </comment>
    <comment ref="O390" authorId="0" shapeId="0">
      <text>
        <t>Escribir aquí el nombre del instructor</t>
      </text>
    </comment>
    <comment ref="Q396" authorId="0" shapeId="0">
      <text>
        <t>Tipo de actividad (escribir a mano, ej. LCK B767, Reentrenamiento B767, CHEQUEO BI ANUAL INST B767, etc.)</t>
      </text>
    </comment>
    <comment ref="O397" authorId="0" shapeId="0">
      <text>
        <t>Escribir aquí el nombre del instructor</t>
      </text>
    </comment>
    <comment ref="Q403" authorId="0" shapeId="0">
      <text>
        <t>Tipo de actividad (escribir a mano, ej. LCK B767, Reentrenamiento B767, CHEQUEO BI ANUAL INST B767, etc.)</t>
      </text>
    </comment>
    <comment ref="O404" authorId="0" shapeId="0">
      <text>
        <t>Escribir aquí el nombre del instructor</t>
      </text>
    </comment>
    <comment ref="Q410" authorId="0" shapeId="0">
      <text>
        <t>Tipo de actividad (escribir a mano, ej. LCK B767, Reentrenamiento B767, CHEQUEO BI ANUAL INST B767, etc.)</t>
      </text>
    </comment>
    <comment ref="O411" authorId="0" shapeId="0">
      <text>
        <t>Escribir aquí el nombre del instructor</t>
      </text>
    </comment>
    <comment ref="Q417" authorId="0" shapeId="0">
      <text>
        <t>Tipo de actividad (escribir a mano, ej. LCK B767, Reentrenamiento B767, CHEQUEO BI ANUAL INST B767, etc.)</t>
      </text>
    </comment>
    <comment ref="O418" authorId="0" shapeId="0">
      <text>
        <t>Escribir aquí el nombre del instructor</t>
      </text>
    </comment>
    <comment ref="Q424" authorId="0" shapeId="0">
      <text>
        <t>Tipo de actividad (escribir a mano, ej. LCK B767, Reentrenamiento B767, CHEQUEO BI ANUAL INST B767, etc.)</t>
      </text>
    </comment>
    <comment ref="O425" authorId="0" shapeId="0">
      <text>
        <t>Escribir aquí el nombre del instructor</t>
      </text>
    </comment>
    <comment ref="Q431" authorId="0" shapeId="0">
      <text>
        <t>Tipo de actividad (escribir a mano, ej. LCK B767, Reentrenamiento B767, CHEQUEO BI ANUAL INST B767, etc.)</t>
      </text>
    </comment>
    <comment ref="O432" authorId="0" shapeId="0">
      <text>
        <t>Escribir aquí el nombre del instructor</t>
      </text>
    </comment>
    <comment ref="Q438" authorId="0" shapeId="0">
      <text>
        <t>Tipo de actividad (escribir a mano, ej. LCK B767, Reentrenamiento B767, CHEQUEO BI ANUAL INST B767, etc.)</t>
      </text>
    </comment>
    <comment ref="O439" authorId="0" shapeId="0">
      <text>
        <t>Escribir aquí el nombre del instructor</t>
      </text>
    </comment>
    <comment ref="Q445" authorId="0" shapeId="0">
      <text>
        <t>Tipo de actividad (escribir a mano, ej. LCK B767, Reentrenamiento B767, CHEQUEO BI ANUAL INST B767, etc.)</t>
      </text>
    </comment>
    <comment ref="O446" authorId="0" shapeId="0">
      <text>
        <t>Escribir aquí el nombre del instructor</t>
      </text>
    </comment>
    <comment ref="Q452" authorId="0" shapeId="0">
      <text>
        <t>Tipo de actividad (escribir a mano, ej. LCK B767, Reentrenamiento B767, CHEQUEO BI ANUAL INST B767, etc.)</t>
      </text>
    </comment>
    <comment ref="O453" authorId="0" shapeId="0">
      <text>
        <t>Escribir aquí el nombre del instructor</t>
      </text>
    </comment>
    <comment ref="Q459" authorId="0" shapeId="0">
      <text>
        <t>Tipo de actividad (escribir a mano, ej. LCK B767, Reentrenamiento B767, CHEQUEO BI ANUAL INST B767, etc.)</t>
      </text>
    </comment>
    <comment ref="O460" authorId="0" shapeId="0">
      <text>
        <t>Escribir aquí el nombre del instructor</t>
      </text>
    </comment>
    <comment ref="Q466" authorId="0" shapeId="0">
      <text>
        <t>Tipo de actividad (escribir a mano, ej. LCK B767, Reentrenamiento B767, CHEQUEO BI ANUAL INST B767, etc.)</t>
      </text>
    </comment>
    <comment ref="O467" authorId="0" shapeId="0">
      <text>
        <t>Escribir aquí el nombre del instructor</t>
      </text>
    </comment>
    <comment ref="Q473" authorId="0" shapeId="0">
      <text>
        <t>Tipo de actividad (escribir a mano, ej. LCK B767, Reentrenamiento B767, CHEQUEO BI ANUAL INST B767, etc.)</t>
      </text>
    </comment>
    <comment ref="O474" authorId="0" shapeId="0">
      <text>
        <t>Escribir aquí el nombre del instructor</t>
      </text>
    </comment>
    <comment ref="Q480" authorId="0" shapeId="0">
      <text>
        <t>Tipo de actividad (escribir a mano, ej. LCK B767, Reentrenamiento B767, CHEQUEO BI ANUAL INST B767, etc.)</t>
      </text>
    </comment>
    <comment ref="O481" authorId="0" shapeId="0">
      <text>
        <t>Escribir aquí el nombre del instructor</t>
      </text>
    </comment>
    <comment ref="Q487" authorId="0" shapeId="0">
      <text>
        <t>Tipo de actividad (escribir a mano, ej. LCK B767, Reentrenamiento B767, CHEQUEO BI ANUAL INST B767, etc.)</t>
      </text>
    </comment>
    <comment ref="O488" authorId="0" shapeId="0">
      <text>
        <t>Escribir aquí el nombre del instructor</t>
      </text>
    </comment>
    <comment ref="Q494" authorId="0" shapeId="0">
      <text>
        <t>Tipo de actividad (escribir a mano, ej. LCK B767, Reentrenamiento B767, CHEQUEO BI ANUAL INST B767, etc.)</t>
      </text>
    </comment>
    <comment ref="O495" authorId="0" shapeId="0">
      <text>
        <t>Escribir aquí el nombre del instructor</t>
      </text>
    </comment>
    <comment ref="Q501" authorId="0" shapeId="0">
      <text>
        <t>Tipo de actividad (escribir a mano, ej. LCK B767, Reentrenamiento B767, CHEQUEO BI ANUAL INST B767, etc.)</t>
      </text>
    </comment>
    <comment ref="O502" authorId="0" shapeId="0">
      <text>
        <t>Escribir aquí el nombre del instructor</t>
      </text>
    </comment>
    <comment ref="Q508" authorId="0" shapeId="0">
      <text>
        <t>Tipo de actividad (escribir a mano, ej. LCK B767, Reentrenamiento B767, CHEQUEO BI ANUAL INST B767, etc.)</t>
      </text>
    </comment>
    <comment ref="O509" authorId="0" shapeId="0">
      <text>
        <t>Escribir aquí el nombre del instructor</t>
      </text>
    </comment>
    <comment ref="Q515" authorId="0" shapeId="0">
      <text>
        <t>Tipo de actividad (escribir a mano, ej. LCK B767, Reentrenamiento B767, CHEQUEO BI ANUAL INST B767, etc.)</t>
      </text>
    </comment>
    <comment ref="O516" authorId="0" shapeId="0">
      <text>
        <t>Escribir aquí el nombre del instructor</t>
      </text>
    </comment>
    <comment ref="Q522" authorId="0" shapeId="0">
      <text>
        <t>Tipo de actividad (escribir a mano, ej. LCK B767, Reentrenamiento B767, CHEQUEO BI ANUAL INST B767, etc.)</t>
      </text>
    </comment>
    <comment ref="O523" authorId="0" shapeId="0">
      <text>
        <t>Escribir aquí el nombre del instructor</t>
      </text>
    </comment>
    <comment ref="Q529" authorId="0" shapeId="0">
      <text>
        <t>Tipo de actividad (escribir a mano, ej. LCK B767, Reentrenamiento B767, CHEQUEO BI ANUAL INST B767, etc.)</t>
      </text>
    </comment>
    <comment ref="O530" authorId="0" shapeId="0">
      <text>
        <t>Escribir aquí el nombre del instructor</t>
      </text>
    </comment>
    <comment ref="Q536" authorId="0" shapeId="0">
      <text>
        <t>Tipo de actividad (escribir a mano, ej. LCK B767, Reentrenamiento B767, CHEQUEO BI ANUAL INST B767, etc.)</t>
      </text>
    </comment>
    <comment ref="O537" authorId="0" shapeId="0">
      <text>
        <t>Escribir aquí el nombre del instructor</t>
      </text>
    </comment>
    <comment ref="Q543" authorId="0" shapeId="0">
      <text>
        <t>Tipo de actividad (escribir a mano, ej. LCK B767, Reentrenamiento B767, CHEQUEO BI ANUAL INST B767, etc.)</t>
      </text>
    </comment>
    <comment ref="O544" authorId="0" shapeId="0">
      <text>
        <t>Escribir aquí el nombre del instructor</t>
      </text>
    </comment>
    <comment ref="Q550" authorId="0" shapeId="0">
      <text>
        <t>Tipo de actividad (escribir a mano, ej. LCK B767, Reentrenamiento B767, CHEQUEO BI ANUAL INST B767, etc.)</t>
      </text>
    </comment>
    <comment ref="O551" authorId="0" shapeId="0">
      <text>
        <t>Escribir aquí el nombre del instructor</t>
      </text>
    </comment>
    <comment ref="Q557" authorId="0" shapeId="0">
      <text>
        <t>Tipo de actividad (escribir a mano, ej. LCK B767, Reentrenamiento B767, CHEQUEO BI ANUAL INST B767, etc.)</t>
      </text>
    </comment>
    <comment ref="O558" authorId="0" shapeId="0">
      <text>
        <t>Escribir aquí el nombre del instructor</t>
      </text>
    </comment>
    <comment ref="Q564" authorId="0" shapeId="0">
      <text>
        <t>Tipo de actividad (escribir a mano, ej. LCK B767, Reentrenamiento B767, CHEQUEO BI ANUAL INST B767, etc.)</t>
      </text>
    </comment>
    <comment ref="O565" authorId="0" shapeId="0">
      <text>
        <t>Escribir aquí el nombre del instructor</t>
      </text>
    </comment>
    <comment ref="Q571" authorId="0" shapeId="0">
      <text>
        <t>Tipo de actividad (escribir a mano, ej. LCK B767, Reentrenamiento B767, CHEQUEO BI ANUAL INST B767, etc.)</t>
      </text>
    </comment>
    <comment ref="O572" authorId="0" shapeId="0">
      <text>
        <t>Escribir aquí el nombre del instructor</t>
      </text>
    </comment>
    <comment ref="Q578" authorId="0" shapeId="0">
      <text>
        <t>Tipo de actividad (escribir a mano, ej. LCK B767, Reentrenamiento B767, CHEQUEO BI ANUAL INST B767, etc.)</t>
      </text>
    </comment>
    <comment ref="O579" authorId="0" shapeId="0">
      <text>
        <t>Escribir aquí el nombre del instructor</t>
      </text>
    </comment>
    <comment ref="Q585" authorId="0" shapeId="0">
      <text>
        <t>Tipo de actividad (escribir a mano, ej. LCK B767, Reentrenamiento B767, CHEQUEO BI ANUAL INST B767, etc.)</t>
      </text>
    </comment>
    <comment ref="O586" authorId="0" shapeId="0">
      <text>
        <t>Escribir aquí el nombre del instructor</t>
      </text>
    </comment>
    <comment ref="Q592" authorId="0" shapeId="0">
      <text>
        <t>Tipo de actividad (escribir a mano, ej. LCK B767, Reentrenamiento B767, CHEQUEO BI ANUAL INST B767, etc.)</t>
      </text>
    </comment>
    <comment ref="O593" authorId="0" shapeId="0">
      <text>
        <t>Escribir aquí el nombre del instructor</t>
      </text>
    </comment>
    <comment ref="Q599" authorId="0" shapeId="0">
      <text>
        <t>Tipo de actividad (escribir a mano, ej. LCK B767, Reentrenamiento B767, CHEQUEO BI ANUAL INST B767, etc.)</t>
      </text>
    </comment>
    <comment ref="O600" authorId="0" shapeId="0">
      <text>
        <t>Escribir aquí el nombre del instructor</t>
      </text>
    </comment>
    <comment ref="Q606" authorId="0" shapeId="0">
      <text>
        <t>Tipo de actividad (escribir a mano, ej. LCK B767, Reentrenamiento B767, CHEQUEO BI ANUAL INST B767, etc.)</t>
      </text>
    </comment>
    <comment ref="O607" authorId="0" shapeId="0">
      <text>
        <t>Escribir aquí el nombre del instructor</t>
      </text>
    </comment>
    <comment ref="Q613" authorId="0" shapeId="0">
      <text>
        <t>Tipo de actividad (escribir a mano, ej. LCK B767, Reentrenamiento B767, CHEQUEO BI ANUAL INST B767, etc.)</t>
      </text>
    </comment>
    <comment ref="O614" authorId="0" shapeId="0">
      <text>
        <t>Escribir aquí el nombre del instructor</t>
      </text>
    </comment>
    <comment ref="Q620" authorId="0" shapeId="0">
      <text>
        <t>Tipo de actividad (escribir a mano, ej. LCK B767, Reentrenamiento B767, CHEQUEO BI ANUAL INST B767, etc.)</t>
      </text>
    </comment>
    <comment ref="O621" authorId="0" shapeId="0">
      <text>
        <t>Escribir aquí el nombre del instructor</t>
      </text>
    </comment>
    <comment ref="Q627" authorId="0" shapeId="0">
      <text>
        <t>Tipo de actividad (escribir a mano, ej. LCK B767, Reentrenamiento B767, CHEQUEO BI ANUAL INST B767, etc.)</t>
      </text>
    </comment>
    <comment ref="O628" authorId="0" shapeId="0">
      <text>
        <t>Escribir aquí el nombre del instructor</t>
      </text>
    </comment>
    <comment ref="Q634" authorId="0" shapeId="0">
      <text>
        <t>Tipo de actividad (escribir a mano, ej. LCK B767, Reentrenamiento B767, CHEQUEO BI ANUAL INST B767, etc.)</t>
      </text>
    </comment>
    <comment ref="O635" authorId="0" shapeId="0">
      <text>
        <t>Escribir aquí el nombre del instructor</t>
      </text>
    </comment>
    <comment ref="Q641" authorId="0" shapeId="0">
      <text>
        <t>Tipo de actividad (escribir a mano, ej. LCK B767, Reentrenamiento B767, CHEQUEO BI ANUAL INST B767, etc.)</t>
      </text>
    </comment>
    <comment ref="O642" authorId="0" shapeId="0">
      <text>
        <t>Escribir aquí el nombre del instructor</t>
      </text>
    </comment>
    <comment ref="Q648" authorId="0" shapeId="0">
      <text>
        <t>Tipo de actividad (escribir a mano, ej. LCK B767, Reentrenamiento B767, CHEQUEO BI ANUAL INST B767, etc.)</t>
      </text>
    </comment>
    <comment ref="O649" authorId="0" shapeId="0">
      <text>
        <t>Escribir aquí el nombre del instructor</t>
      </text>
    </comment>
    <comment ref="Q655" authorId="0" shapeId="0">
      <text>
        <t>Tipo de actividad (escribir a mano, ej. LCK B767, Reentrenamiento B767, CHEQUEO BI ANUAL INST B767, etc.)</t>
      </text>
    </comment>
    <comment ref="O656" authorId="0" shapeId="0">
      <text>
        <t>Escribir aquí el nombre del instructor</t>
      </text>
    </comment>
    <comment ref="Q662" authorId="0" shapeId="0">
      <text>
        <t>Tipo de actividad (escribir a mano, ej. LCK B767, Reentrenamiento B767, CHEQUEO BI ANUAL INST B767, etc.)</t>
      </text>
    </comment>
    <comment ref="O663" authorId="0" shapeId="0">
      <text>
        <t>Escribir aquí el nombre del instructor</t>
      </text>
    </comment>
    <comment ref="Q669" authorId="0" shapeId="0">
      <text>
        <t>Tipo de actividad (escribir a mano, ej. LCK B767, Reentrenamiento B767, CHEQUEO BI ANUAL INST B767, etc.)</t>
      </text>
    </comment>
    <comment ref="O670" authorId="0" shapeId="0">
      <text>
        <t>Escribir aquí el nombre del instructor</t>
      </text>
    </comment>
    <comment ref="Q676" authorId="0" shapeId="0">
      <text>
        <t>Tipo de actividad (escribir a mano, ej. LCK B767, Reentrenamiento B767, CHEQUEO BI ANUAL INST B767, etc.)</t>
      </text>
    </comment>
    <comment ref="O677" authorId="0" shapeId="0">
      <text>
        <t>Escribir aquí el nombre del instructor</t>
      </text>
    </comment>
    <comment ref="Q683" authorId="0" shapeId="0">
      <text>
        <t>Tipo de actividad (escribir a mano, ej. LCK B767, Reentrenamiento B767, CHEQUEO BI ANUAL INST B767, etc.)</t>
      </text>
    </comment>
    <comment ref="O684" authorId="0" shapeId="0">
      <text>
        <t>Escribir aquí el nombre del instructor</t>
      </text>
    </comment>
    <comment ref="Q690" authorId="0" shapeId="0">
      <text>
        <t>Tipo de actividad (escribir a mano, ej. LCK B767, Reentrenamiento B767, CHEQUEO BI ANUAL INST B767, etc.)</t>
      </text>
    </comment>
    <comment ref="O691" authorId="0" shapeId="0">
      <text>
        <t>Escribir aquí el nombre del instructor</t>
      </text>
    </comment>
    <comment ref="Q697" authorId="0" shapeId="0">
      <text>
        <t>Tipo de actividad (escribir a mano, ej. LCK B767, Reentrenamiento B767, CHEQUEO BI ANUAL INST B767, etc.)</t>
      </text>
    </comment>
    <comment ref="O698" authorId="0" shapeId="0">
      <text>
        <t>Escribir aquí el nombre del instructor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70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6" customWidth="1" min="11" max="11"/>
    <col width="9" customWidth="1" min="12" max="12"/>
    <col width="9" customWidth="1" min="13" max="13"/>
    <col width="10" customWidth="1" min="14" max="14"/>
    <col width="18" customWidth="1" min="15" max="15"/>
    <col width="3" customWidth="1" min="16" max="16"/>
    <col width="30" customWidth="1" min="17" max="17"/>
    <col width="10" customWidth="1" min="18" max="18"/>
    <col width="12" customWidth="1" min="19" max="19"/>
    <col width="10" customWidth="1" min="20" max="20"/>
    <col width="12" customWidth="1" min="21" max="21"/>
    <col width="16" customWidth="1" min="22" max="22"/>
    <col width="20" customWidth="1" min="23" max="23"/>
    <col width="26" customWidth="1" min="24" max="24"/>
    <col width="12" customWidth="1" min="25" max="25"/>
    <col width="12" customWidth="1" min="26" max="26"/>
  </cols>
  <sheetData>
    <row r="1">
      <c r="B1" s="1" t="inlineStr">
        <is>
          <t>Comenzar asignando vuelos los Jueves y Viernes (porque el SAB es DO)</t>
        </is>
      </c>
    </row>
    <row r="2">
      <c r="B2" s="1" t="inlineStr">
        <is>
          <t>LCK de ida (porque va OP) y de retorno DGAC o RECA</t>
        </is>
      </c>
    </row>
    <row r="3">
      <c r="R3" s="2" t="inlineStr">
        <is>
          <t>Pairing ID</t>
        </is>
      </c>
      <c r="S3" s="2" t="inlineStr">
        <is>
          <t>Fecha</t>
        </is>
      </c>
      <c r="T3" s="2" t="inlineStr">
        <is>
          <t>Día Sem</t>
        </is>
      </c>
      <c r="U3" s="2" t="inlineStr">
        <is>
          <t>Vuelo</t>
        </is>
      </c>
      <c r="V3" s="2" t="inlineStr">
        <is>
          <t>Ruta</t>
        </is>
      </c>
      <c r="W3" s="2" t="inlineStr">
        <is>
          <t>Instructor</t>
        </is>
      </c>
      <c r="X3" s="2" t="inlineStr">
        <is>
          <t>Actividad</t>
        </is>
      </c>
      <c r="Y3" s="2" t="inlineStr">
        <is>
          <t>Inicio</t>
        </is>
      </c>
      <c r="Z3" s="2" t="inlineStr">
        <is>
          <t>Fin</t>
        </is>
      </c>
    </row>
    <row r="4">
      <c r="Q4" s="3" t="n"/>
    </row>
    <row r="5">
      <c r="B5" s="4" t="inlineStr">
        <is>
          <t>Pairing ID</t>
        </is>
      </c>
      <c r="C5" s="4" t="inlineStr">
        <is>
          <t>FECHA REAL</t>
        </is>
      </c>
      <c r="D5" s="5" t="inlineStr">
        <is>
          <t>MES</t>
        </is>
      </c>
      <c r="E5" s="4" t="inlineStr">
        <is>
          <t>Day of Week</t>
        </is>
      </c>
      <c r="F5" s="4" t="inlineStr">
        <is>
          <t>Flight No</t>
        </is>
      </c>
      <c r="G5" s="4" t="inlineStr">
        <is>
          <t>Dep Stn</t>
        </is>
      </c>
      <c r="H5" s="4" t="inlineStr">
        <is>
          <t>Arr Stn</t>
        </is>
      </c>
      <c r="I5" s="4" t="inlineStr">
        <is>
          <t>STD</t>
        </is>
      </c>
      <c r="J5" s="4" t="inlineStr">
        <is>
          <t>STA</t>
        </is>
      </c>
      <c r="K5" s="4" t="inlineStr">
        <is>
          <t>DAY</t>
        </is>
      </c>
      <c r="L5" s="4" t="inlineStr">
        <is>
          <t>AC Type</t>
        </is>
      </c>
      <c r="M5" s="4" t="inlineStr">
        <is>
          <t>HBT</t>
        </is>
      </c>
      <c r="N5" s="6" t="inlineStr">
        <is>
          <t>DIA_DUTY</t>
        </is>
      </c>
      <c r="O5" s="3" t="n"/>
      <c r="Q5">
        <f>"- "&amp;G6&amp;"-"&amp;H6</f>
        <v/>
      </c>
      <c r="R5" s="7">
        <f>B6</f>
        <v/>
      </c>
      <c r="S5" s="7">
        <f>C6</f>
        <v/>
      </c>
      <c r="T5" s="7">
        <f>E6</f>
        <v/>
      </c>
      <c r="U5" s="7">
        <f>F6&amp;"/"&amp;F7</f>
        <v/>
      </c>
      <c r="V5" s="7">
        <f>G6&amp;"-"&amp;H6&amp;"-"&amp;G6</f>
        <v/>
      </c>
      <c r="W5" s="7">
        <f>IF(O5="","",O5)</f>
        <v/>
      </c>
      <c r="X5" s="7">
        <f>IF(Q4="","",Q4)</f>
        <v/>
      </c>
      <c r="Y5" s="7">
        <f>C6</f>
        <v/>
      </c>
      <c r="Z5" s="7">
        <f>C7</f>
        <v/>
      </c>
    </row>
    <row r="6">
      <c r="B6" s="7" t="n">
        <v>101</v>
      </c>
      <c r="C6" s="7" t="inlineStr">
        <is>
          <t>12/10/2026</t>
        </is>
      </c>
      <c r="D6" s="7" t="inlineStr">
        <is>
          <t>Oct-2026</t>
        </is>
      </c>
      <c r="E6" s="7" t="inlineStr">
        <is>
          <t>lunes</t>
        </is>
      </c>
      <c r="F6" s="7" t="n">
        <v>2694</v>
      </c>
      <c r="G6" s="7" t="inlineStr">
        <is>
          <t>LIM</t>
        </is>
      </c>
      <c r="H6" s="7" t="inlineStr">
        <is>
          <t>MIA</t>
        </is>
      </c>
      <c r="I6" s="7" t="inlineStr">
        <is>
          <t>13:30:00</t>
        </is>
      </c>
      <c r="J6" s="7" t="inlineStr">
        <is>
          <t>19:25:00</t>
        </is>
      </c>
      <c r="K6" s="7" t="inlineStr">
        <is>
          <t>NO</t>
        </is>
      </c>
      <c r="L6" s="7" t="n">
        <v>763</v>
      </c>
      <c r="M6" s="7" t="inlineStr">
        <is>
          <t>05:55:00</t>
        </is>
      </c>
      <c r="N6" s="7" t="n">
        <v>1</v>
      </c>
      <c r="Q6">
        <f>"- LA "&amp;F6&amp;" ("&amp;LEFT(I6,5)&amp;"-"&amp;LEFT(J6,5)&amp;" hrs)"</f>
        <v/>
      </c>
    </row>
    <row r="7">
      <c r="B7" s="7" t="n">
        <v>101</v>
      </c>
      <c r="C7" s="7" t="inlineStr">
        <is>
          <t>14/10/2026</t>
        </is>
      </c>
      <c r="D7" s="7" t="inlineStr">
        <is>
          <t>Oct-2026</t>
        </is>
      </c>
      <c r="E7" s="7" t="inlineStr">
        <is>
          <t>miércoles</t>
        </is>
      </c>
      <c r="F7" s="7" t="n">
        <v>2699</v>
      </c>
      <c r="G7" s="7" t="inlineStr">
        <is>
          <t>MIA</t>
        </is>
      </c>
      <c r="H7" s="7" t="inlineStr">
        <is>
          <t>LIM</t>
        </is>
      </c>
      <c r="I7" s="7" t="inlineStr">
        <is>
          <t>23:15:00</t>
        </is>
      </c>
      <c r="J7" s="7" t="inlineStr">
        <is>
          <t>05:00:00</t>
        </is>
      </c>
      <c r="K7" s="7" t="inlineStr">
        <is>
          <t>NO</t>
        </is>
      </c>
      <c r="L7" s="7" t="n">
        <v>763</v>
      </c>
      <c r="M7" s="7" t="inlineStr">
        <is>
          <t>05:45:00</t>
        </is>
      </c>
      <c r="N7" s="7" t="n">
        <v>2</v>
      </c>
      <c r="O7">
        <f>IF(O5="","",O5)</f>
        <v/>
      </c>
      <c r="Q7">
        <f>IF(Q4="","",Q4)</f>
        <v/>
      </c>
    </row>
    <row r="8">
      <c r="Q8">
        <f>"- "&amp;G7&amp;"-"&amp;H7</f>
        <v/>
      </c>
    </row>
    <row r="9">
      <c r="Q9">
        <f>"- LA "&amp;F7&amp;" ("&amp;LEFT(I7,5)&amp;"-"&amp;LEFT(J7,5)&amp;" hrs)"</f>
        <v/>
      </c>
    </row>
    <row r="11">
      <c r="Q11" s="3" t="n"/>
    </row>
    <row r="12">
      <c r="B12" s="4" t="inlineStr">
        <is>
          <t>Pairing ID</t>
        </is>
      </c>
      <c r="C12" s="4" t="inlineStr">
        <is>
          <t>FECHA REAL</t>
        </is>
      </c>
      <c r="D12" s="5" t="inlineStr">
        <is>
          <t>MES</t>
        </is>
      </c>
      <c r="E12" s="4" t="inlineStr">
        <is>
          <t>Day of Week</t>
        </is>
      </c>
      <c r="F12" s="4" t="inlineStr">
        <is>
          <t>Flight No</t>
        </is>
      </c>
      <c r="G12" s="4" t="inlineStr">
        <is>
          <t>Dep Stn</t>
        </is>
      </c>
      <c r="H12" s="4" t="inlineStr">
        <is>
          <t>Arr Stn</t>
        </is>
      </c>
      <c r="I12" s="4" t="inlineStr">
        <is>
          <t>STD</t>
        </is>
      </c>
      <c r="J12" s="4" t="inlineStr">
        <is>
          <t>STA</t>
        </is>
      </c>
      <c r="K12" s="4" t="inlineStr">
        <is>
          <t>DAY</t>
        </is>
      </c>
      <c r="L12" s="4" t="inlineStr">
        <is>
          <t>AC Type</t>
        </is>
      </c>
      <c r="M12" s="4" t="inlineStr">
        <is>
          <t>HBT</t>
        </is>
      </c>
      <c r="N12" s="6" t="inlineStr">
        <is>
          <t>DIA_DUTY</t>
        </is>
      </c>
      <c r="O12" s="3" t="n"/>
      <c r="Q12">
        <f>"- "&amp;G13&amp;"-"&amp;H13</f>
        <v/>
      </c>
      <c r="R12" s="7">
        <f>B13</f>
        <v/>
      </c>
      <c r="S12" s="7">
        <f>C13</f>
        <v/>
      </c>
      <c r="T12" s="7">
        <f>E13</f>
        <v/>
      </c>
      <c r="U12" s="7">
        <f>F13&amp;"/"&amp;F14</f>
        <v/>
      </c>
      <c r="V12" s="7">
        <f>G13&amp;"-"&amp;H13&amp;"-"&amp;G13</f>
        <v/>
      </c>
      <c r="W12" s="7">
        <f>IF(O12="","",O12)</f>
        <v/>
      </c>
      <c r="X12" s="7">
        <f>IF(Q11="","",Q11)</f>
        <v/>
      </c>
      <c r="Y12" s="7">
        <f>C13</f>
        <v/>
      </c>
      <c r="Z12" s="7">
        <f>C14</f>
        <v/>
      </c>
    </row>
    <row r="13">
      <c r="B13" s="7" t="n">
        <v>103</v>
      </c>
      <c r="C13" s="7" t="inlineStr">
        <is>
          <t>13/10/2026</t>
        </is>
      </c>
      <c r="D13" s="7" t="inlineStr">
        <is>
          <t>Oct-2026</t>
        </is>
      </c>
      <c r="E13" s="7" t="inlineStr">
        <is>
          <t>martes</t>
        </is>
      </c>
      <c r="F13" s="7" t="n">
        <v>2480</v>
      </c>
      <c r="G13" s="7" t="inlineStr">
        <is>
          <t>LIM</t>
        </is>
      </c>
      <c r="H13" s="7" t="inlineStr">
        <is>
          <t>MIA</t>
        </is>
      </c>
      <c r="I13" s="7" t="inlineStr">
        <is>
          <t>00:15:00</t>
        </is>
      </c>
      <c r="J13" s="7" t="inlineStr">
        <is>
          <t>06:10:00</t>
        </is>
      </c>
      <c r="K13" s="7" t="inlineStr">
        <is>
          <t>NO</t>
        </is>
      </c>
      <c r="L13" s="7" t="n">
        <v>763</v>
      </c>
      <c r="M13" s="7" t="inlineStr">
        <is>
          <t>05:55:00</t>
        </is>
      </c>
      <c r="N13" s="7" t="n">
        <v>2</v>
      </c>
      <c r="Q13">
        <f>"- LA "&amp;F13&amp;" ("&amp;LEFT(I13,5)&amp;"-"&amp;LEFT(J13,5)&amp;" hrs)"</f>
        <v/>
      </c>
    </row>
    <row r="14">
      <c r="B14" s="7" t="n">
        <v>103</v>
      </c>
      <c r="C14" s="7" t="inlineStr">
        <is>
          <t>14/10/2026</t>
        </is>
      </c>
      <c r="D14" s="7" t="inlineStr">
        <is>
          <t>Oct-2026</t>
        </is>
      </c>
      <c r="E14" s="7" t="inlineStr">
        <is>
          <t>miércoles</t>
        </is>
      </c>
      <c r="F14" s="7" t="n">
        <v>2481</v>
      </c>
      <c r="G14" s="7" t="inlineStr">
        <is>
          <t>MIA</t>
        </is>
      </c>
      <c r="H14" s="7" t="inlineStr">
        <is>
          <t>LIM</t>
        </is>
      </c>
      <c r="I14" s="7" t="inlineStr">
        <is>
          <t>15:55:00</t>
        </is>
      </c>
      <c r="J14" s="7" t="inlineStr">
        <is>
          <t>21:40:00</t>
        </is>
      </c>
      <c r="K14" s="7" t="inlineStr">
        <is>
          <t>NO</t>
        </is>
      </c>
      <c r="L14" s="7" t="n">
        <v>763</v>
      </c>
      <c r="M14" s="7" t="inlineStr">
        <is>
          <t>05:45:00</t>
        </is>
      </c>
      <c r="N14" s="7" t="n">
        <v>3</v>
      </c>
      <c r="O14">
        <f>IF(O12="","",O12)</f>
        <v/>
      </c>
      <c r="Q14">
        <f>IF(Q11="","",Q11)</f>
        <v/>
      </c>
    </row>
    <row r="15">
      <c r="Q15">
        <f>"- "&amp;G14&amp;"-"&amp;H14</f>
        <v/>
      </c>
    </row>
    <row r="16">
      <c r="Q16">
        <f>"- LA "&amp;F14&amp;" ("&amp;LEFT(I14,5)&amp;"-"&amp;LEFT(J14,5)&amp;" hrs)"</f>
        <v/>
      </c>
    </row>
    <row r="18">
      <c r="Q18" s="3" t="n"/>
    </row>
    <row r="19">
      <c r="B19" s="4" t="inlineStr">
        <is>
          <t>Pairing ID</t>
        </is>
      </c>
      <c r="C19" s="4" t="inlineStr">
        <is>
          <t>FECHA REAL</t>
        </is>
      </c>
      <c r="D19" s="5" t="inlineStr">
        <is>
          <t>MES</t>
        </is>
      </c>
      <c r="E19" s="4" t="inlineStr">
        <is>
          <t>Day of Week</t>
        </is>
      </c>
      <c r="F19" s="4" t="inlineStr">
        <is>
          <t>Flight No</t>
        </is>
      </c>
      <c r="G19" s="4" t="inlineStr">
        <is>
          <t>Dep Stn</t>
        </is>
      </c>
      <c r="H19" s="4" t="inlineStr">
        <is>
          <t>Arr Stn</t>
        </is>
      </c>
      <c r="I19" s="4" t="inlineStr">
        <is>
          <t>STD</t>
        </is>
      </c>
      <c r="J19" s="4" t="inlineStr">
        <is>
          <t>STA</t>
        </is>
      </c>
      <c r="K19" s="4" t="inlineStr">
        <is>
          <t>DAY</t>
        </is>
      </c>
      <c r="L19" s="4" t="inlineStr">
        <is>
          <t>AC Type</t>
        </is>
      </c>
      <c r="M19" s="4" t="inlineStr">
        <is>
          <t>HBT</t>
        </is>
      </c>
      <c r="N19" s="6" t="inlineStr">
        <is>
          <t>DIA_DUTY</t>
        </is>
      </c>
      <c r="O19" s="3" t="n"/>
      <c r="Q19">
        <f>"- "&amp;G20&amp;"-"&amp;H20</f>
        <v/>
      </c>
      <c r="R19" s="7">
        <f>B20</f>
        <v/>
      </c>
      <c r="S19" s="7">
        <f>C20</f>
        <v/>
      </c>
      <c r="T19" s="7">
        <f>E20</f>
        <v/>
      </c>
      <c r="U19" s="7">
        <f>F20&amp;"/"&amp;F21</f>
        <v/>
      </c>
      <c r="V19" s="7">
        <f>G20&amp;"-"&amp;H20&amp;"-"&amp;G20</f>
        <v/>
      </c>
      <c r="W19" s="7">
        <f>IF(O19="","",O19)</f>
        <v/>
      </c>
      <c r="X19" s="7">
        <f>IF(Q18="","",Q18)</f>
        <v/>
      </c>
      <c r="Y19" s="7">
        <f>C20</f>
        <v/>
      </c>
      <c r="Z19" s="7">
        <f>C21</f>
        <v/>
      </c>
    </row>
    <row r="20">
      <c r="B20" s="7" t="n">
        <v>107</v>
      </c>
      <c r="C20" s="7" t="inlineStr">
        <is>
          <t>09/10/2026</t>
        </is>
      </c>
      <c r="D20" s="7" t="inlineStr">
        <is>
          <t>Oct-2026</t>
        </is>
      </c>
      <c r="E20" s="7" t="inlineStr">
        <is>
          <t>viernes</t>
        </is>
      </c>
      <c r="F20" s="7" t="n">
        <v>2697</v>
      </c>
      <c r="G20" s="7" t="inlineStr">
        <is>
          <t>LIM</t>
        </is>
      </c>
      <c r="H20" s="7" t="inlineStr">
        <is>
          <t>SCL</t>
        </is>
      </c>
      <c r="I20" s="7" t="inlineStr">
        <is>
          <t>09:35:00</t>
        </is>
      </c>
      <c r="J20" s="7" t="inlineStr">
        <is>
          <t>13:00:00</t>
        </is>
      </c>
      <c r="K20" s="7" t="inlineStr">
        <is>
          <t>NO</t>
        </is>
      </c>
      <c r="L20" s="7" t="n">
        <v>788</v>
      </c>
      <c r="M20" s="7" t="inlineStr">
        <is>
          <t>03:25:00</t>
        </is>
      </c>
      <c r="N20" s="7" t="n">
        <v>1</v>
      </c>
      <c r="Q20">
        <f>"- LA "&amp;F20&amp;" ("&amp;LEFT(I20,5)&amp;"-"&amp;LEFT(J20,5)&amp;" hrs)"</f>
        <v/>
      </c>
    </row>
    <row r="21">
      <c r="B21" s="7" t="n">
        <v>107</v>
      </c>
      <c r="C21" s="7" t="inlineStr">
        <is>
          <t>09/10/2026</t>
        </is>
      </c>
      <c r="D21" s="7" t="inlineStr">
        <is>
          <t>Oct-2026</t>
        </is>
      </c>
      <c r="E21" s="7" t="inlineStr">
        <is>
          <t>viernes</t>
        </is>
      </c>
      <c r="F21" s="7" t="n">
        <v>2696</v>
      </c>
      <c r="G21" s="7" t="inlineStr">
        <is>
          <t>SCL</t>
        </is>
      </c>
      <c r="H21" s="7" t="inlineStr">
        <is>
          <t>LIM</t>
        </is>
      </c>
      <c r="I21" s="7" t="inlineStr">
        <is>
          <t>15:55:00</t>
        </is>
      </c>
      <c r="J21" s="7" t="inlineStr">
        <is>
          <t>19:40:00</t>
        </is>
      </c>
      <c r="K21" s="7" t="inlineStr">
        <is>
          <t>NO</t>
        </is>
      </c>
      <c r="L21" s="7" t="n">
        <v>788</v>
      </c>
      <c r="M21" s="7" t="inlineStr">
        <is>
          <t>03:45:00</t>
        </is>
      </c>
      <c r="N21" s="7" t="n">
        <v>1</v>
      </c>
      <c r="O21">
        <f>IF(O19="","",O19)</f>
        <v/>
      </c>
      <c r="Q21">
        <f>IF(Q18="","",Q18)</f>
        <v/>
      </c>
    </row>
    <row r="22">
      <c r="Q22">
        <f>"- "&amp;G21&amp;"-"&amp;H21</f>
        <v/>
      </c>
    </row>
    <row r="23">
      <c r="Q23">
        <f>"- LA "&amp;F21&amp;" ("&amp;LEFT(I21,5)&amp;"-"&amp;LEFT(J21,5)&amp;" hrs)"</f>
        <v/>
      </c>
    </row>
    <row r="25">
      <c r="Q25" s="3" t="n"/>
    </row>
    <row r="26">
      <c r="B26" s="4" t="inlineStr">
        <is>
          <t>Pairing ID</t>
        </is>
      </c>
      <c r="C26" s="4" t="inlineStr">
        <is>
          <t>FECHA REAL</t>
        </is>
      </c>
      <c r="D26" s="5" t="inlineStr">
        <is>
          <t>MES</t>
        </is>
      </c>
      <c r="E26" s="4" t="inlineStr">
        <is>
          <t>Day of Week</t>
        </is>
      </c>
      <c r="F26" s="4" t="inlineStr">
        <is>
          <t>Flight No</t>
        </is>
      </c>
      <c r="G26" s="4" t="inlineStr">
        <is>
          <t>Dep Stn</t>
        </is>
      </c>
      <c r="H26" s="4" t="inlineStr">
        <is>
          <t>Arr Stn</t>
        </is>
      </c>
      <c r="I26" s="4" t="inlineStr">
        <is>
          <t>STD</t>
        </is>
      </c>
      <c r="J26" s="4" t="inlineStr">
        <is>
          <t>STA</t>
        </is>
      </c>
      <c r="K26" s="4" t="inlineStr">
        <is>
          <t>DAY</t>
        </is>
      </c>
      <c r="L26" s="4" t="inlineStr">
        <is>
          <t>AC Type</t>
        </is>
      </c>
      <c r="M26" s="4" t="inlineStr">
        <is>
          <t>HBT</t>
        </is>
      </c>
      <c r="N26" s="6" t="inlineStr">
        <is>
          <t>DIA_DUTY</t>
        </is>
      </c>
      <c r="O26" s="3" t="n"/>
      <c r="Q26">
        <f>"- "&amp;G27&amp;"-"&amp;H27</f>
        <v/>
      </c>
      <c r="R26" s="7">
        <f>B27</f>
        <v/>
      </c>
      <c r="S26" s="7">
        <f>C27</f>
        <v/>
      </c>
      <c r="T26" s="7">
        <f>E27</f>
        <v/>
      </c>
      <c r="U26" s="7">
        <f>F27&amp;"/"&amp;F28</f>
        <v/>
      </c>
      <c r="V26" s="7">
        <f>G27&amp;"-"&amp;H27&amp;"-"&amp;G27</f>
        <v/>
      </c>
      <c r="W26" s="7">
        <f>IF(O26="","",O26)</f>
        <v/>
      </c>
      <c r="X26" s="7">
        <f>IF(Q25="","",Q25)</f>
        <v/>
      </c>
      <c r="Y26" s="7">
        <f>C27</f>
        <v/>
      </c>
      <c r="Z26" s="7">
        <f>C28</f>
        <v/>
      </c>
    </row>
    <row r="27">
      <c r="B27" s="7" t="n">
        <v>108</v>
      </c>
      <c r="C27" s="7" t="inlineStr">
        <is>
          <t>09/10/2026</t>
        </is>
      </c>
      <c r="D27" s="7" t="inlineStr">
        <is>
          <t>Oct-2026</t>
        </is>
      </c>
      <c r="E27" s="7" t="inlineStr">
        <is>
          <t>viernes</t>
        </is>
      </c>
      <c r="F27" s="7" t="n">
        <v>2413</v>
      </c>
      <c r="G27" s="7" t="inlineStr">
        <is>
          <t>LIM</t>
        </is>
      </c>
      <c r="H27" s="7" t="inlineStr">
        <is>
          <t>SCL</t>
        </is>
      </c>
      <c r="I27" s="7" t="inlineStr">
        <is>
          <t>12:05:00</t>
        </is>
      </c>
      <c r="J27" s="7" t="inlineStr">
        <is>
          <t>15:45:00</t>
        </is>
      </c>
      <c r="K27" s="7" t="inlineStr">
        <is>
          <t>NO</t>
        </is>
      </c>
      <c r="L27" s="7" t="n">
        <v>763</v>
      </c>
      <c r="M27" s="7" t="inlineStr">
        <is>
          <t>03:40:00</t>
        </is>
      </c>
      <c r="N27" s="7" t="n">
        <v>1</v>
      </c>
      <c r="Q27">
        <f>"- LA "&amp;F27&amp;" ("&amp;LEFT(I27,5)&amp;"-"&amp;LEFT(J27,5)&amp;" hrs)"</f>
        <v/>
      </c>
    </row>
    <row r="28">
      <c r="B28" s="7" t="n">
        <v>108</v>
      </c>
      <c r="C28" s="7" t="inlineStr">
        <is>
          <t>09/10/2026</t>
        </is>
      </c>
      <c r="D28" s="7" t="inlineStr">
        <is>
          <t>Oct-2026</t>
        </is>
      </c>
      <c r="E28" s="7" t="inlineStr">
        <is>
          <t>viernes</t>
        </is>
      </c>
      <c r="F28" s="7" t="n">
        <v>2412</v>
      </c>
      <c r="G28" s="7" t="inlineStr">
        <is>
          <t>SCL</t>
        </is>
      </c>
      <c r="H28" s="7" t="inlineStr">
        <is>
          <t>LIM</t>
        </is>
      </c>
      <c r="I28" s="7" t="inlineStr">
        <is>
          <t>17:10:00</t>
        </is>
      </c>
      <c r="J28" s="7" t="inlineStr">
        <is>
          <t>21:00:00</t>
        </is>
      </c>
      <c r="K28" s="7" t="inlineStr">
        <is>
          <t>NO</t>
        </is>
      </c>
      <c r="L28" s="7" t="n">
        <v>763</v>
      </c>
      <c r="M28" s="7" t="inlineStr">
        <is>
          <t>03:50:00</t>
        </is>
      </c>
      <c r="N28" s="7" t="n">
        <v>1</v>
      </c>
      <c r="O28">
        <f>IF(O26="","",O26)</f>
        <v/>
      </c>
      <c r="Q28">
        <f>IF(Q25="","",Q25)</f>
        <v/>
      </c>
    </row>
    <row r="29">
      <c r="Q29">
        <f>"- "&amp;G28&amp;"-"&amp;H28</f>
        <v/>
      </c>
    </row>
    <row r="30">
      <c r="Q30">
        <f>"- LA "&amp;F28&amp;" ("&amp;LEFT(I28,5)&amp;"-"&amp;LEFT(J28,5)&amp;" hrs)"</f>
        <v/>
      </c>
    </row>
    <row r="32">
      <c r="Q32" s="3" t="n"/>
    </row>
    <row r="33">
      <c r="B33" s="4" t="inlineStr">
        <is>
          <t>Pairing ID</t>
        </is>
      </c>
      <c r="C33" s="4" t="inlineStr">
        <is>
          <t>FECHA REAL</t>
        </is>
      </c>
      <c r="D33" s="5" t="inlineStr">
        <is>
          <t>MES</t>
        </is>
      </c>
      <c r="E33" s="4" t="inlineStr">
        <is>
          <t>Day of Week</t>
        </is>
      </c>
      <c r="F33" s="4" t="inlineStr">
        <is>
          <t>Flight No</t>
        </is>
      </c>
      <c r="G33" s="4" t="inlineStr">
        <is>
          <t>Dep Stn</t>
        </is>
      </c>
      <c r="H33" s="4" t="inlineStr">
        <is>
          <t>Arr Stn</t>
        </is>
      </c>
      <c r="I33" s="4" t="inlineStr">
        <is>
          <t>STD</t>
        </is>
      </c>
      <c r="J33" s="4" t="inlineStr">
        <is>
          <t>STA</t>
        </is>
      </c>
      <c r="K33" s="4" t="inlineStr">
        <is>
          <t>DAY</t>
        </is>
      </c>
      <c r="L33" s="4" t="inlineStr">
        <is>
          <t>AC Type</t>
        </is>
      </c>
      <c r="M33" s="4" t="inlineStr">
        <is>
          <t>HBT</t>
        </is>
      </c>
      <c r="N33" s="6" t="inlineStr">
        <is>
          <t>DIA_DUTY</t>
        </is>
      </c>
      <c r="O33" s="3" t="n"/>
      <c r="Q33">
        <f>"- "&amp;G34&amp;"-"&amp;H34</f>
        <v/>
      </c>
      <c r="R33" s="7">
        <f>B34</f>
        <v/>
      </c>
      <c r="S33" s="7">
        <f>C34</f>
        <v/>
      </c>
      <c r="T33" s="7">
        <f>E34</f>
        <v/>
      </c>
      <c r="U33" s="7">
        <f>F34&amp;"/"&amp;F35</f>
        <v/>
      </c>
      <c r="V33" s="7">
        <f>G34&amp;"-"&amp;H34&amp;"-"&amp;G34</f>
        <v/>
      </c>
      <c r="W33" s="7">
        <f>IF(O33="","",O33)</f>
        <v/>
      </c>
      <c r="X33" s="7">
        <f>IF(Q32="","",Q32)</f>
        <v/>
      </c>
      <c r="Y33" s="7">
        <f>C34</f>
        <v/>
      </c>
      <c r="Z33" s="7">
        <f>C35</f>
        <v/>
      </c>
    </row>
    <row r="34">
      <c r="B34" s="7" t="n">
        <v>111</v>
      </c>
      <c r="C34" s="7" t="inlineStr">
        <is>
          <t>14/10/2026</t>
        </is>
      </c>
      <c r="D34" s="7" t="inlineStr">
        <is>
          <t>Oct-2026</t>
        </is>
      </c>
      <c r="E34" s="7" t="inlineStr">
        <is>
          <t>miércoles</t>
        </is>
      </c>
      <c r="F34" s="7" t="n">
        <v>2480</v>
      </c>
      <c r="G34" s="7" t="inlineStr">
        <is>
          <t>LIM</t>
        </is>
      </c>
      <c r="H34" s="7" t="inlineStr">
        <is>
          <t>MIA</t>
        </is>
      </c>
      <c r="I34" s="7" t="inlineStr">
        <is>
          <t>00:15:00</t>
        </is>
      </c>
      <c r="J34" s="7" t="inlineStr">
        <is>
          <t>06:10:00</t>
        </is>
      </c>
      <c r="K34" s="7" t="inlineStr">
        <is>
          <t>NO</t>
        </is>
      </c>
      <c r="L34" s="7" t="n">
        <v>763</v>
      </c>
      <c r="M34" s="7" t="inlineStr">
        <is>
          <t>05:55:00</t>
        </is>
      </c>
      <c r="N34" s="7" t="n">
        <v>2</v>
      </c>
      <c r="Q34">
        <f>"- LA "&amp;F34&amp;" ("&amp;LEFT(I34,5)&amp;"-"&amp;LEFT(J34,5)&amp;" hrs)"</f>
        <v/>
      </c>
    </row>
    <row r="35">
      <c r="B35" s="7" t="n">
        <v>111</v>
      </c>
      <c r="C35" s="7" t="inlineStr">
        <is>
          <t>16/10/2026</t>
        </is>
      </c>
      <c r="D35" s="7" t="inlineStr">
        <is>
          <t>Oct-2026</t>
        </is>
      </c>
      <c r="E35" s="7" t="inlineStr">
        <is>
          <t>viernes</t>
        </is>
      </c>
      <c r="F35" s="7" t="n">
        <v>2699</v>
      </c>
      <c r="G35" s="7" t="inlineStr">
        <is>
          <t>MIA</t>
        </is>
      </c>
      <c r="H35" s="7" t="inlineStr">
        <is>
          <t>LIM</t>
        </is>
      </c>
      <c r="I35" s="7" t="inlineStr">
        <is>
          <t>23:15:00</t>
        </is>
      </c>
      <c r="J35" s="7" t="inlineStr">
        <is>
          <t>05:00:00</t>
        </is>
      </c>
      <c r="K35" s="7" t="inlineStr">
        <is>
          <t>NO</t>
        </is>
      </c>
      <c r="L35" s="7" t="n">
        <v>763</v>
      </c>
      <c r="M35" s="7" t="inlineStr">
        <is>
          <t>05:45:00</t>
        </is>
      </c>
      <c r="N35" s="7" t="n">
        <v>3</v>
      </c>
      <c r="O35">
        <f>IF(O33="","",O33)</f>
        <v/>
      </c>
      <c r="Q35">
        <f>IF(Q32="","",Q32)</f>
        <v/>
      </c>
    </row>
    <row r="36">
      <c r="Q36">
        <f>"- "&amp;G35&amp;"-"&amp;H35</f>
        <v/>
      </c>
    </row>
    <row r="37">
      <c r="Q37">
        <f>"- LA "&amp;F35&amp;" ("&amp;LEFT(I35,5)&amp;"-"&amp;LEFT(J35,5)&amp;" hrs)"</f>
        <v/>
      </c>
    </row>
    <row r="39">
      <c r="Q39" s="3" t="n"/>
    </row>
    <row r="40">
      <c r="B40" s="4" t="inlineStr">
        <is>
          <t>Pairing ID</t>
        </is>
      </c>
      <c r="C40" s="4" t="inlineStr">
        <is>
          <t>FECHA REAL</t>
        </is>
      </c>
      <c r="D40" s="5" t="inlineStr">
        <is>
          <t>MES</t>
        </is>
      </c>
      <c r="E40" s="4" t="inlineStr">
        <is>
          <t>Day of Week</t>
        </is>
      </c>
      <c r="F40" s="4" t="inlineStr">
        <is>
          <t>Flight No</t>
        </is>
      </c>
      <c r="G40" s="4" t="inlineStr">
        <is>
          <t>Dep Stn</t>
        </is>
      </c>
      <c r="H40" s="4" t="inlineStr">
        <is>
          <t>Arr Stn</t>
        </is>
      </c>
      <c r="I40" s="4" t="inlineStr">
        <is>
          <t>STD</t>
        </is>
      </c>
      <c r="J40" s="4" t="inlineStr">
        <is>
          <t>STA</t>
        </is>
      </c>
      <c r="K40" s="4" t="inlineStr">
        <is>
          <t>DAY</t>
        </is>
      </c>
      <c r="L40" s="4" t="inlineStr">
        <is>
          <t>AC Type</t>
        </is>
      </c>
      <c r="M40" s="4" t="inlineStr">
        <is>
          <t>HBT</t>
        </is>
      </c>
      <c r="N40" s="6" t="inlineStr">
        <is>
          <t>DIA_DUTY</t>
        </is>
      </c>
      <c r="O40" s="3" t="n"/>
      <c r="Q40">
        <f>"- "&amp;G41&amp;"-"&amp;H41</f>
        <v/>
      </c>
      <c r="R40" s="7">
        <f>B41</f>
        <v/>
      </c>
      <c r="S40" s="7">
        <f>C41</f>
        <v/>
      </c>
      <c r="T40" s="7">
        <f>E41</f>
        <v/>
      </c>
      <c r="U40" s="7">
        <f>F41&amp;"/"&amp;F42</f>
        <v/>
      </c>
      <c r="V40" s="7">
        <f>G41&amp;"-"&amp;H41&amp;"-"&amp;G41</f>
        <v/>
      </c>
      <c r="W40" s="7">
        <f>IF(O40="","",O40)</f>
        <v/>
      </c>
      <c r="X40" s="7">
        <f>IF(Q39="","",Q39)</f>
        <v/>
      </c>
      <c r="Y40" s="7">
        <f>C41</f>
        <v/>
      </c>
      <c r="Z40" s="7">
        <f>C42</f>
        <v/>
      </c>
    </row>
    <row r="41">
      <c r="B41" s="7" t="n">
        <v>117</v>
      </c>
      <c r="C41" s="7" t="inlineStr">
        <is>
          <t>15/10/2026</t>
        </is>
      </c>
      <c r="D41" s="7" t="inlineStr">
        <is>
          <t>Oct-2026</t>
        </is>
      </c>
      <c r="E41" s="7" t="inlineStr">
        <is>
          <t>jueves</t>
        </is>
      </c>
      <c r="F41" s="7" t="n">
        <v>2480</v>
      </c>
      <c r="G41" s="7" t="inlineStr">
        <is>
          <t>LIM</t>
        </is>
      </c>
      <c r="H41" s="7" t="inlineStr">
        <is>
          <t>MIA</t>
        </is>
      </c>
      <c r="I41" s="7" t="inlineStr">
        <is>
          <t>00:15:00</t>
        </is>
      </c>
      <c r="J41" s="7" t="inlineStr">
        <is>
          <t>06:10:00</t>
        </is>
      </c>
      <c r="K41" s="7" t="inlineStr">
        <is>
          <t>NO</t>
        </is>
      </c>
      <c r="L41" s="7" t="n">
        <v>763</v>
      </c>
      <c r="M41" s="7" t="inlineStr">
        <is>
          <t>05:55:00</t>
        </is>
      </c>
      <c r="N41" s="7" t="n">
        <v>2</v>
      </c>
      <c r="Q41">
        <f>"- LA "&amp;F41&amp;" ("&amp;LEFT(I41,5)&amp;"-"&amp;LEFT(J41,5)&amp;" hrs)"</f>
        <v/>
      </c>
    </row>
    <row r="42">
      <c r="B42" s="7" t="n">
        <v>117</v>
      </c>
      <c r="C42" s="7" t="inlineStr">
        <is>
          <t>16/10/2026</t>
        </is>
      </c>
      <c r="D42" s="7" t="inlineStr">
        <is>
          <t>Oct-2026</t>
        </is>
      </c>
      <c r="E42" s="7" t="inlineStr">
        <is>
          <t>viernes</t>
        </is>
      </c>
      <c r="F42" s="7" t="n">
        <v>2481</v>
      </c>
      <c r="G42" s="7" t="inlineStr">
        <is>
          <t>MIA</t>
        </is>
      </c>
      <c r="H42" s="7" t="inlineStr">
        <is>
          <t>LIM</t>
        </is>
      </c>
      <c r="I42" s="7" t="inlineStr">
        <is>
          <t>15:55:00</t>
        </is>
      </c>
      <c r="J42" s="7" t="inlineStr">
        <is>
          <t>21:40:00</t>
        </is>
      </c>
      <c r="K42" s="7" t="inlineStr">
        <is>
          <t>NO</t>
        </is>
      </c>
      <c r="L42" s="7" t="n">
        <v>763</v>
      </c>
      <c r="M42" s="7" t="inlineStr">
        <is>
          <t>05:45:00</t>
        </is>
      </c>
      <c r="N42" s="7" t="n">
        <v>3</v>
      </c>
      <c r="O42">
        <f>IF(O40="","",O40)</f>
        <v/>
      </c>
      <c r="Q42">
        <f>IF(Q39="","",Q39)</f>
        <v/>
      </c>
    </row>
    <row r="43">
      <c r="Q43">
        <f>"- "&amp;G42&amp;"-"&amp;H42</f>
        <v/>
      </c>
    </row>
    <row r="44">
      <c r="Q44">
        <f>"- LA "&amp;F42&amp;" ("&amp;LEFT(I42,5)&amp;"-"&amp;LEFT(J42,5)&amp;" hrs)"</f>
        <v/>
      </c>
    </row>
    <row r="46">
      <c r="Q46" s="3" t="n"/>
    </row>
    <row r="47">
      <c r="B47" s="4" t="inlineStr">
        <is>
          <t>Pairing ID</t>
        </is>
      </c>
      <c r="C47" s="4" t="inlineStr">
        <is>
          <t>FECHA REAL</t>
        </is>
      </c>
      <c r="D47" s="5" t="inlineStr">
        <is>
          <t>MES</t>
        </is>
      </c>
      <c r="E47" s="4" t="inlineStr">
        <is>
          <t>Day of Week</t>
        </is>
      </c>
      <c r="F47" s="4" t="inlineStr">
        <is>
          <t>Flight No</t>
        </is>
      </c>
      <c r="G47" s="4" t="inlineStr">
        <is>
          <t>Dep Stn</t>
        </is>
      </c>
      <c r="H47" s="4" t="inlineStr">
        <is>
          <t>Arr Stn</t>
        </is>
      </c>
      <c r="I47" s="4" t="inlineStr">
        <is>
          <t>STD</t>
        </is>
      </c>
      <c r="J47" s="4" t="inlineStr">
        <is>
          <t>STA</t>
        </is>
      </c>
      <c r="K47" s="4" t="inlineStr">
        <is>
          <t>DAY</t>
        </is>
      </c>
      <c r="L47" s="4" t="inlineStr">
        <is>
          <t>AC Type</t>
        </is>
      </c>
      <c r="M47" s="4" t="inlineStr">
        <is>
          <t>HBT</t>
        </is>
      </c>
      <c r="N47" s="6" t="inlineStr">
        <is>
          <t>DIA_DUTY</t>
        </is>
      </c>
      <c r="O47" s="3" t="n"/>
      <c r="Q47">
        <f>"- "&amp;G48&amp;"-"&amp;H48</f>
        <v/>
      </c>
      <c r="R47" s="7">
        <f>B48</f>
        <v/>
      </c>
      <c r="S47" s="7">
        <f>C48</f>
        <v/>
      </c>
      <c r="T47" s="7">
        <f>E48</f>
        <v/>
      </c>
      <c r="U47" s="7">
        <f>F48&amp;"/"&amp;F49</f>
        <v/>
      </c>
      <c r="V47" s="7">
        <f>G48&amp;"-"&amp;H48&amp;"-"&amp;G48</f>
        <v/>
      </c>
      <c r="W47" s="7">
        <f>IF(O47="","",O47)</f>
        <v/>
      </c>
      <c r="X47" s="7">
        <f>IF(Q46="","",Q46)</f>
        <v/>
      </c>
      <c r="Y47" s="7">
        <f>C48</f>
        <v/>
      </c>
      <c r="Z47" s="7">
        <f>C49</f>
        <v/>
      </c>
    </row>
    <row r="48">
      <c r="B48" s="7" t="n">
        <v>121</v>
      </c>
      <c r="C48" s="7" t="inlineStr">
        <is>
          <t>15/10/2026</t>
        </is>
      </c>
      <c r="D48" s="7" t="inlineStr">
        <is>
          <t>Oct-2026</t>
        </is>
      </c>
      <c r="E48" s="7" t="inlineStr">
        <is>
          <t>jueves</t>
        </is>
      </c>
      <c r="F48" s="7" t="n">
        <v>2413</v>
      </c>
      <c r="G48" s="7" t="inlineStr">
        <is>
          <t>LIM</t>
        </is>
      </c>
      <c r="H48" s="7" t="inlineStr">
        <is>
          <t>SCL</t>
        </is>
      </c>
      <c r="I48" s="7" t="inlineStr">
        <is>
          <t>12:05:00</t>
        </is>
      </c>
      <c r="J48" s="7" t="inlineStr">
        <is>
          <t>15:45:00</t>
        </is>
      </c>
      <c r="K48" s="7" t="inlineStr">
        <is>
          <t>NO</t>
        </is>
      </c>
      <c r="L48" s="7" t="n">
        <v>763</v>
      </c>
      <c r="M48" s="7" t="inlineStr">
        <is>
          <t>03:40:00</t>
        </is>
      </c>
      <c r="N48" s="7" t="n">
        <v>1</v>
      </c>
      <c r="Q48">
        <f>"- LA "&amp;F48&amp;" ("&amp;LEFT(I48,5)&amp;"-"&amp;LEFT(J48,5)&amp;" hrs)"</f>
        <v/>
      </c>
    </row>
    <row r="49">
      <c r="B49" s="7" t="n">
        <v>121</v>
      </c>
      <c r="C49" s="7" t="inlineStr">
        <is>
          <t>15/10/2026</t>
        </is>
      </c>
      <c r="D49" s="7" t="inlineStr">
        <is>
          <t>Oct-2026</t>
        </is>
      </c>
      <c r="E49" s="7" t="inlineStr">
        <is>
          <t>jueves</t>
        </is>
      </c>
      <c r="F49" s="7" t="n">
        <v>2412</v>
      </c>
      <c r="G49" s="7" t="inlineStr">
        <is>
          <t>SCL</t>
        </is>
      </c>
      <c r="H49" s="7" t="inlineStr">
        <is>
          <t>LIM</t>
        </is>
      </c>
      <c r="I49" s="7" t="inlineStr">
        <is>
          <t>17:10:00</t>
        </is>
      </c>
      <c r="J49" s="7" t="inlineStr">
        <is>
          <t>21:00:00</t>
        </is>
      </c>
      <c r="K49" s="7" t="inlineStr">
        <is>
          <t>NO</t>
        </is>
      </c>
      <c r="L49" s="7" t="n">
        <v>763</v>
      </c>
      <c r="M49" s="7" t="inlineStr">
        <is>
          <t>03:50:00</t>
        </is>
      </c>
      <c r="N49" s="7" t="n">
        <v>1</v>
      </c>
      <c r="O49">
        <f>IF(O47="","",O47)</f>
        <v/>
      </c>
      <c r="Q49">
        <f>IF(Q46="","",Q46)</f>
        <v/>
      </c>
    </row>
    <row r="50">
      <c r="Q50">
        <f>"- "&amp;G49&amp;"-"&amp;H49</f>
        <v/>
      </c>
    </row>
    <row r="51">
      <c r="Q51">
        <f>"- LA "&amp;F49&amp;" ("&amp;LEFT(I49,5)&amp;"-"&amp;LEFT(J49,5)&amp;" hrs)"</f>
        <v/>
      </c>
    </row>
    <row r="53">
      <c r="Q53" s="3" t="n"/>
    </row>
    <row r="54">
      <c r="B54" s="4" t="inlineStr">
        <is>
          <t>Pairing ID</t>
        </is>
      </c>
      <c r="C54" s="4" t="inlineStr">
        <is>
          <t>FECHA REAL</t>
        </is>
      </c>
      <c r="D54" s="5" t="inlineStr">
        <is>
          <t>MES</t>
        </is>
      </c>
      <c r="E54" s="4" t="inlineStr">
        <is>
          <t>Day of Week</t>
        </is>
      </c>
      <c r="F54" s="4" t="inlineStr">
        <is>
          <t>Flight No</t>
        </is>
      </c>
      <c r="G54" s="4" t="inlineStr">
        <is>
          <t>Dep Stn</t>
        </is>
      </c>
      <c r="H54" s="4" t="inlineStr">
        <is>
          <t>Arr Stn</t>
        </is>
      </c>
      <c r="I54" s="4" t="inlineStr">
        <is>
          <t>STD</t>
        </is>
      </c>
      <c r="J54" s="4" t="inlineStr">
        <is>
          <t>STA</t>
        </is>
      </c>
      <c r="K54" s="4" t="inlineStr">
        <is>
          <t>DAY</t>
        </is>
      </c>
      <c r="L54" s="4" t="inlineStr">
        <is>
          <t>AC Type</t>
        </is>
      </c>
      <c r="M54" s="4" t="inlineStr">
        <is>
          <t>HBT</t>
        </is>
      </c>
      <c r="N54" s="6" t="inlineStr">
        <is>
          <t>DIA_DUTY</t>
        </is>
      </c>
      <c r="O54" s="3" t="n"/>
      <c r="Q54">
        <f>"- "&amp;G55&amp;"-"&amp;H55</f>
        <v/>
      </c>
      <c r="R54" s="7">
        <f>B55</f>
        <v/>
      </c>
      <c r="S54" s="7">
        <f>C55</f>
        <v/>
      </c>
      <c r="T54" s="7">
        <f>E55</f>
        <v/>
      </c>
      <c r="U54" s="7">
        <f>F55&amp;"/"&amp;F56</f>
        <v/>
      </c>
      <c r="V54" s="7">
        <f>G55&amp;"-"&amp;H55&amp;"-"&amp;G55</f>
        <v/>
      </c>
      <c r="W54" s="7">
        <f>IF(O54="","",O54)</f>
        <v/>
      </c>
      <c r="X54" s="7">
        <f>IF(Q53="","",Q53)</f>
        <v/>
      </c>
      <c r="Y54" s="7">
        <f>C55</f>
        <v/>
      </c>
      <c r="Z54" s="7">
        <f>C56</f>
        <v/>
      </c>
    </row>
    <row r="55">
      <c r="B55" s="7" t="n">
        <v>128</v>
      </c>
      <c r="C55" s="7" t="inlineStr">
        <is>
          <t>16/10/2026</t>
        </is>
      </c>
      <c r="D55" s="7" t="inlineStr">
        <is>
          <t>Oct-2026</t>
        </is>
      </c>
      <c r="E55" s="7" t="inlineStr">
        <is>
          <t>viernes</t>
        </is>
      </c>
      <c r="F55" s="7" t="n">
        <v>2413</v>
      </c>
      <c r="G55" s="7" t="inlineStr">
        <is>
          <t>LIM</t>
        </is>
      </c>
      <c r="H55" s="7" t="inlineStr">
        <is>
          <t>SCL</t>
        </is>
      </c>
      <c r="I55" s="7" t="inlineStr">
        <is>
          <t>12:05:00</t>
        </is>
      </c>
      <c r="J55" s="7" t="inlineStr">
        <is>
          <t>15:45:00</t>
        </is>
      </c>
      <c r="K55" s="7" t="inlineStr">
        <is>
          <t>NO</t>
        </is>
      </c>
      <c r="L55" s="7" t="n">
        <v>763</v>
      </c>
      <c r="M55" s="7" t="inlineStr">
        <is>
          <t>03:40:00</t>
        </is>
      </c>
      <c r="N55" s="7" t="n">
        <v>1</v>
      </c>
      <c r="Q55">
        <f>"- LA "&amp;F55&amp;" ("&amp;LEFT(I55,5)&amp;"-"&amp;LEFT(J55,5)&amp;" hrs)"</f>
        <v/>
      </c>
    </row>
    <row r="56">
      <c r="B56" s="7" t="n">
        <v>128</v>
      </c>
      <c r="C56" s="7" t="inlineStr">
        <is>
          <t>16/10/2026</t>
        </is>
      </c>
      <c r="D56" s="7" t="inlineStr">
        <is>
          <t>Oct-2026</t>
        </is>
      </c>
      <c r="E56" s="7" t="inlineStr">
        <is>
          <t>viernes</t>
        </is>
      </c>
      <c r="F56" s="7" t="n">
        <v>2412</v>
      </c>
      <c r="G56" s="7" t="inlineStr">
        <is>
          <t>SCL</t>
        </is>
      </c>
      <c r="H56" s="7" t="inlineStr">
        <is>
          <t>LIM</t>
        </is>
      </c>
      <c r="I56" s="7" t="inlineStr">
        <is>
          <t>17:10:00</t>
        </is>
      </c>
      <c r="J56" s="7" t="inlineStr">
        <is>
          <t>21:00:00</t>
        </is>
      </c>
      <c r="K56" s="7" t="inlineStr">
        <is>
          <t>NO</t>
        </is>
      </c>
      <c r="L56" s="7" t="n">
        <v>763</v>
      </c>
      <c r="M56" s="7" t="inlineStr">
        <is>
          <t>03:50:00</t>
        </is>
      </c>
      <c r="N56" s="7" t="n">
        <v>1</v>
      </c>
      <c r="O56">
        <f>IF(O54="","",O54)</f>
        <v/>
      </c>
      <c r="Q56">
        <f>IF(Q53="","",Q53)</f>
        <v/>
      </c>
    </row>
    <row r="57">
      <c r="Q57">
        <f>"- "&amp;G56&amp;"-"&amp;H56</f>
        <v/>
      </c>
    </row>
    <row r="58">
      <c r="Q58">
        <f>"- LA "&amp;F56&amp;" ("&amp;LEFT(I56,5)&amp;"-"&amp;LEFT(J56,5)&amp;" hrs)"</f>
        <v/>
      </c>
    </row>
    <row r="60">
      <c r="Q60" s="3" t="n"/>
    </row>
    <row r="61">
      <c r="B61" s="4" t="inlineStr">
        <is>
          <t>Pairing ID</t>
        </is>
      </c>
      <c r="C61" s="4" t="inlineStr">
        <is>
          <t>FECHA REAL</t>
        </is>
      </c>
      <c r="D61" s="5" t="inlineStr">
        <is>
          <t>MES</t>
        </is>
      </c>
      <c r="E61" s="4" t="inlineStr">
        <is>
          <t>Day of Week</t>
        </is>
      </c>
      <c r="F61" s="4" t="inlineStr">
        <is>
          <t>Flight No</t>
        </is>
      </c>
      <c r="G61" s="4" t="inlineStr">
        <is>
          <t>Dep Stn</t>
        </is>
      </c>
      <c r="H61" s="4" t="inlineStr">
        <is>
          <t>Arr Stn</t>
        </is>
      </c>
      <c r="I61" s="4" t="inlineStr">
        <is>
          <t>STD</t>
        </is>
      </c>
      <c r="J61" s="4" t="inlineStr">
        <is>
          <t>STA</t>
        </is>
      </c>
      <c r="K61" s="4" t="inlineStr">
        <is>
          <t>DAY</t>
        </is>
      </c>
      <c r="L61" s="4" t="inlineStr">
        <is>
          <t>AC Type</t>
        </is>
      </c>
      <c r="M61" s="4" t="inlineStr">
        <is>
          <t>HBT</t>
        </is>
      </c>
      <c r="N61" s="6" t="inlineStr">
        <is>
          <t>DIA_DUTY</t>
        </is>
      </c>
      <c r="O61" s="3" t="n"/>
      <c r="Q61">
        <f>"- "&amp;G62&amp;"-"&amp;H62</f>
        <v/>
      </c>
      <c r="R61" s="7">
        <f>B62</f>
        <v/>
      </c>
      <c r="S61" s="7">
        <f>C62</f>
        <v/>
      </c>
      <c r="T61" s="7">
        <f>E62</f>
        <v/>
      </c>
      <c r="U61" s="7">
        <f>F62&amp;"/"&amp;F63</f>
        <v/>
      </c>
      <c r="V61" s="7">
        <f>G62&amp;"-"&amp;H62&amp;"-"&amp;G62</f>
        <v/>
      </c>
      <c r="W61" s="7">
        <f>IF(O61="","",O61)</f>
        <v/>
      </c>
      <c r="X61" s="7">
        <f>IF(Q60="","",Q60)</f>
        <v/>
      </c>
      <c r="Y61" s="7">
        <f>C62</f>
        <v/>
      </c>
      <c r="Z61" s="7">
        <f>C63</f>
        <v/>
      </c>
    </row>
    <row r="62">
      <c r="B62" s="7" t="n">
        <v>12</v>
      </c>
      <c r="C62" s="7" t="inlineStr">
        <is>
          <t>05/10/2026</t>
        </is>
      </c>
      <c r="D62" s="7" t="inlineStr">
        <is>
          <t>Oct-2026</t>
        </is>
      </c>
      <c r="E62" s="7" t="inlineStr">
        <is>
          <t>lunes</t>
        </is>
      </c>
      <c r="F62" s="7" t="n">
        <v>2697</v>
      </c>
      <c r="G62" s="7" t="inlineStr">
        <is>
          <t>LIM</t>
        </is>
      </c>
      <c r="H62" s="7" t="inlineStr">
        <is>
          <t>SCL</t>
        </is>
      </c>
      <c r="I62" s="7" t="inlineStr">
        <is>
          <t>09:35:00</t>
        </is>
      </c>
      <c r="J62" s="7" t="inlineStr">
        <is>
          <t>13:00:00</t>
        </is>
      </c>
      <c r="K62" s="7" t="inlineStr">
        <is>
          <t>NO</t>
        </is>
      </c>
      <c r="L62" s="7" t="n">
        <v>789</v>
      </c>
      <c r="M62" s="7" t="inlineStr">
        <is>
          <t>03:25:00</t>
        </is>
      </c>
      <c r="N62" s="7" t="n">
        <v>1</v>
      </c>
      <c r="Q62">
        <f>"- LA "&amp;F62&amp;" ("&amp;LEFT(I62,5)&amp;"-"&amp;LEFT(J62,5)&amp;" hrs)"</f>
        <v/>
      </c>
    </row>
    <row r="63">
      <c r="B63" s="7" t="n">
        <v>12</v>
      </c>
      <c r="C63" s="7" t="inlineStr">
        <is>
          <t>05/10/2026</t>
        </is>
      </c>
      <c r="D63" s="7" t="inlineStr">
        <is>
          <t>Oct-2026</t>
        </is>
      </c>
      <c r="E63" s="7" t="inlineStr">
        <is>
          <t>lunes</t>
        </is>
      </c>
      <c r="F63" s="7" t="n">
        <v>2696</v>
      </c>
      <c r="G63" s="7" t="inlineStr">
        <is>
          <t>SCL</t>
        </is>
      </c>
      <c r="H63" s="7" t="inlineStr">
        <is>
          <t>LIM</t>
        </is>
      </c>
      <c r="I63" s="7" t="inlineStr">
        <is>
          <t>15:55:00</t>
        </is>
      </c>
      <c r="J63" s="7" t="inlineStr">
        <is>
          <t>19:40:00</t>
        </is>
      </c>
      <c r="K63" s="7" t="inlineStr">
        <is>
          <t>NO</t>
        </is>
      </c>
      <c r="L63" s="7" t="n">
        <v>789</v>
      </c>
      <c r="M63" s="7" t="inlineStr">
        <is>
          <t>03:45:00</t>
        </is>
      </c>
      <c r="N63" s="7" t="n">
        <v>1</v>
      </c>
      <c r="O63">
        <f>IF(O61="","",O61)</f>
        <v/>
      </c>
      <c r="Q63">
        <f>IF(Q60="","",Q60)</f>
        <v/>
      </c>
    </row>
    <row r="64">
      <c r="Q64">
        <f>"- "&amp;G63&amp;"-"&amp;H63</f>
        <v/>
      </c>
    </row>
    <row r="65">
      <c r="Q65">
        <f>"- LA "&amp;F63&amp;" ("&amp;LEFT(I63,5)&amp;"-"&amp;LEFT(J63,5)&amp;" hrs)"</f>
        <v/>
      </c>
    </row>
    <row r="67">
      <c r="Q67" s="3" t="n"/>
    </row>
    <row r="68">
      <c r="B68" s="4" t="inlineStr">
        <is>
          <t>Pairing ID</t>
        </is>
      </c>
      <c r="C68" s="4" t="inlineStr">
        <is>
          <t>FECHA REAL</t>
        </is>
      </c>
      <c r="D68" s="5" t="inlineStr">
        <is>
          <t>MES</t>
        </is>
      </c>
      <c r="E68" s="4" t="inlineStr">
        <is>
          <t>Day of Week</t>
        </is>
      </c>
      <c r="F68" s="4" t="inlineStr">
        <is>
          <t>Flight No</t>
        </is>
      </c>
      <c r="G68" s="4" t="inlineStr">
        <is>
          <t>Dep Stn</t>
        </is>
      </c>
      <c r="H68" s="4" t="inlineStr">
        <is>
          <t>Arr Stn</t>
        </is>
      </c>
      <c r="I68" s="4" t="inlineStr">
        <is>
          <t>STD</t>
        </is>
      </c>
      <c r="J68" s="4" t="inlineStr">
        <is>
          <t>STA</t>
        </is>
      </c>
      <c r="K68" s="4" t="inlineStr">
        <is>
          <t>DAY</t>
        </is>
      </c>
      <c r="L68" s="4" t="inlineStr">
        <is>
          <t>AC Type</t>
        </is>
      </c>
      <c r="M68" s="4" t="inlineStr">
        <is>
          <t>HBT</t>
        </is>
      </c>
      <c r="N68" s="6" t="inlineStr">
        <is>
          <t>DIA_DUTY</t>
        </is>
      </c>
      <c r="O68" s="3" t="n"/>
      <c r="Q68">
        <f>"- "&amp;G69&amp;"-"&amp;H69</f>
        <v/>
      </c>
      <c r="R68" s="7">
        <f>B69</f>
        <v/>
      </c>
      <c r="S68" s="7">
        <f>C69</f>
        <v/>
      </c>
      <c r="T68" s="7">
        <f>E69</f>
        <v/>
      </c>
      <c r="U68" s="7">
        <f>F69&amp;"/"&amp;F70</f>
        <v/>
      </c>
      <c r="V68" s="7">
        <f>G69&amp;"-"&amp;H69&amp;"-"&amp;G69</f>
        <v/>
      </c>
      <c r="W68" s="7">
        <f>IF(O68="","",O68)</f>
        <v/>
      </c>
      <c r="X68" s="7">
        <f>IF(Q67="","",Q67)</f>
        <v/>
      </c>
      <c r="Y68" s="7">
        <f>C69</f>
        <v/>
      </c>
      <c r="Z68" s="7">
        <f>C70</f>
        <v/>
      </c>
    </row>
    <row r="69">
      <c r="B69" s="7" t="n">
        <v>138</v>
      </c>
      <c r="C69" s="7" t="inlineStr">
        <is>
          <t>12/10/2026</t>
        </is>
      </c>
      <c r="D69" s="7" t="inlineStr">
        <is>
          <t>Oct-2026</t>
        </is>
      </c>
      <c r="E69" s="7" t="inlineStr">
        <is>
          <t>lunes</t>
        </is>
      </c>
      <c r="F69" s="7" t="n">
        <v>2698</v>
      </c>
      <c r="G69" s="7" t="inlineStr">
        <is>
          <t>LIM</t>
        </is>
      </c>
      <c r="H69" s="7" t="inlineStr">
        <is>
          <t>MIA</t>
        </is>
      </c>
      <c r="I69" s="7" t="inlineStr">
        <is>
          <t>08:15:00</t>
        </is>
      </c>
      <c r="J69" s="7" t="inlineStr">
        <is>
          <t>14:10:00</t>
        </is>
      </c>
      <c r="K69" s="7" t="inlineStr">
        <is>
          <t>NO</t>
        </is>
      </c>
      <c r="L69" s="7" t="n">
        <v>763</v>
      </c>
      <c r="M69" s="7" t="inlineStr">
        <is>
          <t>05:55:00</t>
        </is>
      </c>
      <c r="N69" s="7" t="n">
        <v>1</v>
      </c>
      <c r="Q69">
        <f>"- LA "&amp;F69&amp;" ("&amp;LEFT(I69,5)&amp;"-"&amp;LEFT(J69,5)&amp;" hrs)"</f>
        <v/>
      </c>
    </row>
    <row r="70">
      <c r="B70" s="7" t="n">
        <v>138</v>
      </c>
      <c r="C70" s="7" t="inlineStr">
        <is>
          <t>13/10/2026</t>
        </is>
      </c>
      <c r="D70" s="7" t="inlineStr">
        <is>
          <t>Oct-2026</t>
        </is>
      </c>
      <c r="E70" s="7" t="inlineStr">
        <is>
          <t>martes</t>
        </is>
      </c>
      <c r="F70" s="7" t="n">
        <v>2695</v>
      </c>
      <c r="G70" s="7" t="inlineStr">
        <is>
          <t>MIA</t>
        </is>
      </c>
      <c r="H70" s="7" t="inlineStr">
        <is>
          <t>LIM</t>
        </is>
      </c>
      <c r="I70" s="7" t="inlineStr">
        <is>
          <t>16:10:00</t>
        </is>
      </c>
      <c r="J70" s="7" t="inlineStr">
        <is>
          <t>22:00:00</t>
        </is>
      </c>
      <c r="K70" s="7" t="inlineStr">
        <is>
          <t>NO</t>
        </is>
      </c>
      <c r="L70" s="7" t="n">
        <v>763</v>
      </c>
      <c r="M70" s="7" t="inlineStr">
        <is>
          <t>05:50:00</t>
        </is>
      </c>
      <c r="N70" s="7" t="n">
        <v>2</v>
      </c>
      <c r="O70">
        <f>IF(O68="","",O68)</f>
        <v/>
      </c>
      <c r="Q70">
        <f>IF(Q67="","",Q67)</f>
        <v/>
      </c>
    </row>
    <row r="71">
      <c r="Q71">
        <f>"- "&amp;G70&amp;"-"&amp;H70</f>
        <v/>
      </c>
    </row>
    <row r="72">
      <c r="Q72">
        <f>"- LA "&amp;F70&amp;" ("&amp;LEFT(I70,5)&amp;"-"&amp;LEFT(J70,5)&amp;" hrs)"</f>
        <v/>
      </c>
    </row>
    <row r="74">
      <c r="Q74" s="3" t="n"/>
    </row>
    <row r="75">
      <c r="B75" s="4" t="inlineStr">
        <is>
          <t>Pairing ID</t>
        </is>
      </c>
      <c r="C75" s="4" t="inlineStr">
        <is>
          <t>FECHA REAL</t>
        </is>
      </c>
      <c r="D75" s="5" t="inlineStr">
        <is>
          <t>MES</t>
        </is>
      </c>
      <c r="E75" s="4" t="inlineStr">
        <is>
          <t>Day of Week</t>
        </is>
      </c>
      <c r="F75" s="4" t="inlineStr">
        <is>
          <t>Flight No</t>
        </is>
      </c>
      <c r="G75" s="4" t="inlineStr">
        <is>
          <t>Dep Stn</t>
        </is>
      </c>
      <c r="H75" s="4" t="inlineStr">
        <is>
          <t>Arr Stn</t>
        </is>
      </c>
      <c r="I75" s="4" t="inlineStr">
        <is>
          <t>STD</t>
        </is>
      </c>
      <c r="J75" s="4" t="inlineStr">
        <is>
          <t>STA</t>
        </is>
      </c>
      <c r="K75" s="4" t="inlineStr">
        <is>
          <t>DAY</t>
        </is>
      </c>
      <c r="L75" s="4" t="inlineStr">
        <is>
          <t>AC Type</t>
        </is>
      </c>
      <c r="M75" s="4" t="inlineStr">
        <is>
          <t>HBT</t>
        </is>
      </c>
      <c r="N75" s="6" t="inlineStr">
        <is>
          <t>DIA_DUTY</t>
        </is>
      </c>
      <c r="O75" s="3" t="n"/>
      <c r="Q75">
        <f>"- "&amp;G76&amp;"-"&amp;H76</f>
        <v/>
      </c>
      <c r="R75" s="7">
        <f>B76</f>
        <v/>
      </c>
      <c r="S75" s="7">
        <f>C76</f>
        <v/>
      </c>
      <c r="T75" s="7">
        <f>E76</f>
        <v/>
      </c>
      <c r="U75" s="7">
        <f>F76&amp;"/"&amp;F77</f>
        <v/>
      </c>
      <c r="V75" s="7">
        <f>G76&amp;"-"&amp;H76&amp;"-"&amp;G76</f>
        <v/>
      </c>
      <c r="W75" s="7">
        <f>IF(O75="","",O75)</f>
        <v/>
      </c>
      <c r="X75" s="7">
        <f>IF(Q74="","",Q74)</f>
        <v/>
      </c>
      <c r="Y75" s="7">
        <f>C76</f>
        <v/>
      </c>
      <c r="Z75" s="7">
        <f>C77</f>
        <v/>
      </c>
    </row>
    <row r="76">
      <c r="B76" s="7" t="n">
        <v>139</v>
      </c>
      <c r="C76" s="7" t="inlineStr">
        <is>
          <t>12/10/2026</t>
        </is>
      </c>
      <c r="D76" s="7" t="inlineStr">
        <is>
          <t>Oct-2026</t>
        </is>
      </c>
      <c r="E76" s="7" t="inlineStr">
        <is>
          <t>lunes</t>
        </is>
      </c>
      <c r="F76" s="7" t="n">
        <v>2697</v>
      </c>
      <c r="G76" s="7" t="inlineStr">
        <is>
          <t>LIM</t>
        </is>
      </c>
      <c r="H76" s="7" t="inlineStr">
        <is>
          <t>SCL</t>
        </is>
      </c>
      <c r="I76" s="7" t="inlineStr">
        <is>
          <t>09:35:00</t>
        </is>
      </c>
      <c r="J76" s="7" t="inlineStr">
        <is>
          <t>13:00:00</t>
        </is>
      </c>
      <c r="K76" s="7" t="inlineStr">
        <is>
          <t>NO</t>
        </is>
      </c>
      <c r="L76" s="7" t="n">
        <v>789</v>
      </c>
      <c r="M76" s="7" t="inlineStr">
        <is>
          <t>03:25:00</t>
        </is>
      </c>
      <c r="N76" s="7" t="n">
        <v>1</v>
      </c>
      <c r="Q76">
        <f>"- LA "&amp;F76&amp;" ("&amp;LEFT(I76,5)&amp;"-"&amp;LEFT(J76,5)&amp;" hrs)"</f>
        <v/>
      </c>
    </row>
    <row r="77">
      <c r="B77" s="7" t="n">
        <v>139</v>
      </c>
      <c r="C77" s="7" t="inlineStr">
        <is>
          <t>12/10/2026</t>
        </is>
      </c>
      <c r="D77" s="7" t="inlineStr">
        <is>
          <t>Oct-2026</t>
        </is>
      </c>
      <c r="E77" s="7" t="inlineStr">
        <is>
          <t>lunes</t>
        </is>
      </c>
      <c r="F77" s="7" t="n">
        <v>2696</v>
      </c>
      <c r="G77" s="7" t="inlineStr">
        <is>
          <t>SCL</t>
        </is>
      </c>
      <c r="H77" s="7" t="inlineStr">
        <is>
          <t>LIM</t>
        </is>
      </c>
      <c r="I77" s="7" t="inlineStr">
        <is>
          <t>15:55:00</t>
        </is>
      </c>
      <c r="J77" s="7" t="inlineStr">
        <is>
          <t>19:40:00</t>
        </is>
      </c>
      <c r="K77" s="7" t="inlineStr">
        <is>
          <t>NO</t>
        </is>
      </c>
      <c r="L77" s="7" t="n">
        <v>789</v>
      </c>
      <c r="M77" s="7" t="inlineStr">
        <is>
          <t>03:45:00</t>
        </is>
      </c>
      <c r="N77" s="7" t="n">
        <v>1</v>
      </c>
      <c r="O77">
        <f>IF(O75="","",O75)</f>
        <v/>
      </c>
      <c r="Q77">
        <f>IF(Q74="","",Q74)</f>
        <v/>
      </c>
    </row>
    <row r="78">
      <c r="Q78">
        <f>"- "&amp;G77&amp;"-"&amp;H77</f>
        <v/>
      </c>
    </row>
    <row r="79">
      <c r="Q79">
        <f>"- LA "&amp;F77&amp;" ("&amp;LEFT(I77,5)&amp;"-"&amp;LEFT(J77,5)&amp;" hrs)"</f>
        <v/>
      </c>
    </row>
    <row r="81">
      <c r="Q81" s="3" t="n"/>
    </row>
    <row r="82">
      <c r="B82" s="4" t="inlineStr">
        <is>
          <t>Pairing ID</t>
        </is>
      </c>
      <c r="C82" s="4" t="inlineStr">
        <is>
          <t>FECHA REAL</t>
        </is>
      </c>
      <c r="D82" s="5" t="inlineStr">
        <is>
          <t>MES</t>
        </is>
      </c>
      <c r="E82" s="4" t="inlineStr">
        <is>
          <t>Day of Week</t>
        </is>
      </c>
      <c r="F82" s="4" t="inlineStr">
        <is>
          <t>Flight No</t>
        </is>
      </c>
      <c r="G82" s="4" t="inlineStr">
        <is>
          <t>Dep Stn</t>
        </is>
      </c>
      <c r="H82" s="4" t="inlineStr">
        <is>
          <t>Arr Stn</t>
        </is>
      </c>
      <c r="I82" s="4" t="inlineStr">
        <is>
          <t>STD</t>
        </is>
      </c>
      <c r="J82" s="4" t="inlineStr">
        <is>
          <t>STA</t>
        </is>
      </c>
      <c r="K82" s="4" t="inlineStr">
        <is>
          <t>DAY</t>
        </is>
      </c>
      <c r="L82" s="4" t="inlineStr">
        <is>
          <t>AC Type</t>
        </is>
      </c>
      <c r="M82" s="4" t="inlineStr">
        <is>
          <t>HBT</t>
        </is>
      </c>
      <c r="N82" s="6" t="inlineStr">
        <is>
          <t>DIA_DUTY</t>
        </is>
      </c>
      <c r="O82" s="3" t="n"/>
      <c r="Q82">
        <f>"- "&amp;G83&amp;"-"&amp;H83</f>
        <v/>
      </c>
      <c r="R82" s="7">
        <f>B83</f>
        <v/>
      </c>
      <c r="S82" s="7">
        <f>C83</f>
        <v/>
      </c>
      <c r="T82" s="7">
        <f>E83</f>
        <v/>
      </c>
      <c r="U82" s="7">
        <f>F83&amp;"/"&amp;F84</f>
        <v/>
      </c>
      <c r="V82" s="7">
        <f>G83&amp;"-"&amp;H83&amp;"-"&amp;G83</f>
        <v/>
      </c>
      <c r="W82" s="7">
        <f>IF(O82="","",O82)</f>
        <v/>
      </c>
      <c r="X82" s="7">
        <f>IF(Q81="","",Q81)</f>
        <v/>
      </c>
      <c r="Y82" s="7">
        <f>C83</f>
        <v/>
      </c>
      <c r="Z82" s="7">
        <f>C84</f>
        <v/>
      </c>
    </row>
    <row r="83">
      <c r="B83" s="7" t="n">
        <v>141</v>
      </c>
      <c r="C83" s="7" t="inlineStr">
        <is>
          <t>12/10/2026</t>
        </is>
      </c>
      <c r="D83" s="7" t="inlineStr">
        <is>
          <t>Oct-2026</t>
        </is>
      </c>
      <c r="E83" s="7" t="inlineStr">
        <is>
          <t>lunes</t>
        </is>
      </c>
      <c r="F83" s="7" t="n">
        <v>2694</v>
      </c>
      <c r="G83" s="7" t="inlineStr">
        <is>
          <t>LIM</t>
        </is>
      </c>
      <c r="H83" s="7" t="inlineStr">
        <is>
          <t>MIA</t>
        </is>
      </c>
      <c r="I83" s="7" t="inlineStr">
        <is>
          <t>13:30:00</t>
        </is>
      </c>
      <c r="J83" s="7" t="inlineStr">
        <is>
          <t>19:25:00</t>
        </is>
      </c>
      <c r="K83" s="7" t="inlineStr">
        <is>
          <t>NO</t>
        </is>
      </c>
      <c r="L83" s="7" t="n">
        <v>763</v>
      </c>
      <c r="M83" s="7" t="inlineStr">
        <is>
          <t>05:55:00</t>
        </is>
      </c>
      <c r="N83" s="7" t="n">
        <v>1</v>
      </c>
      <c r="Q83">
        <f>"- LA "&amp;F83&amp;" ("&amp;LEFT(I83,5)&amp;"-"&amp;LEFT(J83,5)&amp;" hrs)"</f>
        <v/>
      </c>
    </row>
    <row r="84">
      <c r="B84" s="7" t="n">
        <v>141</v>
      </c>
      <c r="C84" s="7" t="inlineStr">
        <is>
          <t>14/10/2026</t>
        </is>
      </c>
      <c r="D84" s="7" t="inlineStr">
        <is>
          <t>Oct-2026</t>
        </is>
      </c>
      <c r="E84" s="7" t="inlineStr">
        <is>
          <t>miércoles</t>
        </is>
      </c>
      <c r="F84" s="7" t="n">
        <v>2699</v>
      </c>
      <c r="G84" s="7" t="inlineStr">
        <is>
          <t>MIA</t>
        </is>
      </c>
      <c r="H84" s="7" t="inlineStr">
        <is>
          <t>LIM</t>
        </is>
      </c>
      <c r="I84" s="7" t="inlineStr">
        <is>
          <t>23:15:00</t>
        </is>
      </c>
      <c r="J84" s="7" t="inlineStr">
        <is>
          <t>05:00:00</t>
        </is>
      </c>
      <c r="K84" s="7" t="inlineStr">
        <is>
          <t>NO</t>
        </is>
      </c>
      <c r="L84" s="7" t="n">
        <v>763</v>
      </c>
      <c r="M84" s="7" t="inlineStr">
        <is>
          <t>05:45:00</t>
        </is>
      </c>
      <c r="N84" s="7" t="n">
        <v>2</v>
      </c>
      <c r="O84">
        <f>IF(O82="","",O82)</f>
        <v/>
      </c>
      <c r="Q84">
        <f>IF(Q81="","",Q81)</f>
        <v/>
      </c>
    </row>
    <row r="85">
      <c r="Q85">
        <f>"- "&amp;G84&amp;"-"&amp;H84</f>
        <v/>
      </c>
    </row>
    <row r="86">
      <c r="Q86">
        <f>"- LA "&amp;F84&amp;" ("&amp;LEFT(I84,5)&amp;"-"&amp;LEFT(J84,5)&amp;" hrs)"</f>
        <v/>
      </c>
    </row>
    <row r="88">
      <c r="Q88" s="3" t="n"/>
    </row>
    <row r="89">
      <c r="B89" s="4" t="inlineStr">
        <is>
          <t>Pairing ID</t>
        </is>
      </c>
      <c r="C89" s="4" t="inlineStr">
        <is>
          <t>FECHA REAL</t>
        </is>
      </c>
      <c r="D89" s="5" t="inlineStr">
        <is>
          <t>MES</t>
        </is>
      </c>
      <c r="E89" s="4" t="inlineStr">
        <is>
          <t>Day of Week</t>
        </is>
      </c>
      <c r="F89" s="4" t="inlineStr">
        <is>
          <t>Flight No</t>
        </is>
      </c>
      <c r="G89" s="4" t="inlineStr">
        <is>
          <t>Dep Stn</t>
        </is>
      </c>
      <c r="H89" s="4" t="inlineStr">
        <is>
          <t>Arr Stn</t>
        </is>
      </c>
      <c r="I89" s="4" t="inlineStr">
        <is>
          <t>STD</t>
        </is>
      </c>
      <c r="J89" s="4" t="inlineStr">
        <is>
          <t>STA</t>
        </is>
      </c>
      <c r="K89" s="4" t="inlineStr">
        <is>
          <t>DAY</t>
        </is>
      </c>
      <c r="L89" s="4" t="inlineStr">
        <is>
          <t>AC Type</t>
        </is>
      </c>
      <c r="M89" s="4" t="inlineStr">
        <is>
          <t>HBT</t>
        </is>
      </c>
      <c r="N89" s="6" t="inlineStr">
        <is>
          <t>DIA_DUTY</t>
        </is>
      </c>
      <c r="O89" s="3" t="n"/>
      <c r="Q89">
        <f>"- "&amp;G90&amp;"-"&amp;H90</f>
        <v/>
      </c>
      <c r="R89" s="7">
        <f>B90</f>
        <v/>
      </c>
      <c r="S89" s="7">
        <f>C90</f>
        <v/>
      </c>
      <c r="T89" s="7">
        <f>E90</f>
        <v/>
      </c>
      <c r="U89" s="7">
        <f>F90&amp;"/"&amp;F91</f>
        <v/>
      </c>
      <c r="V89" s="7">
        <f>G90&amp;"-"&amp;H90&amp;"-"&amp;G90</f>
        <v/>
      </c>
      <c r="W89" s="7">
        <f>IF(O89="","",O89)</f>
        <v/>
      </c>
      <c r="X89" s="7">
        <f>IF(Q88="","",Q88)</f>
        <v/>
      </c>
      <c r="Y89" s="7">
        <f>C90</f>
        <v/>
      </c>
      <c r="Z89" s="7">
        <f>C91</f>
        <v/>
      </c>
    </row>
    <row r="90">
      <c r="B90" s="7" t="n">
        <v>144</v>
      </c>
      <c r="C90" s="7" t="inlineStr">
        <is>
          <t>13/10/2026</t>
        </is>
      </c>
      <c r="D90" s="7" t="inlineStr">
        <is>
          <t>Oct-2026</t>
        </is>
      </c>
      <c r="E90" s="7" t="inlineStr">
        <is>
          <t>martes</t>
        </is>
      </c>
      <c r="F90" s="7" t="n">
        <v>2480</v>
      </c>
      <c r="G90" s="7" t="inlineStr">
        <is>
          <t>LIM</t>
        </is>
      </c>
      <c r="H90" s="7" t="inlineStr">
        <is>
          <t>MIA</t>
        </is>
      </c>
      <c r="I90" s="7" t="inlineStr">
        <is>
          <t>00:15:00</t>
        </is>
      </c>
      <c r="J90" s="7" t="inlineStr">
        <is>
          <t>06:10:00</t>
        </is>
      </c>
      <c r="K90" s="7" t="inlineStr">
        <is>
          <t>NO</t>
        </is>
      </c>
      <c r="L90" s="7" t="n">
        <v>763</v>
      </c>
      <c r="M90" s="7" t="inlineStr">
        <is>
          <t>05:55:00</t>
        </is>
      </c>
      <c r="N90" s="7" t="n">
        <v>2</v>
      </c>
      <c r="Q90">
        <f>"- LA "&amp;F90&amp;" ("&amp;LEFT(I90,5)&amp;"-"&amp;LEFT(J90,5)&amp;" hrs)"</f>
        <v/>
      </c>
    </row>
    <row r="91">
      <c r="B91" s="7" t="n">
        <v>144</v>
      </c>
      <c r="C91" s="7" t="inlineStr">
        <is>
          <t>14/10/2026</t>
        </is>
      </c>
      <c r="D91" s="7" t="inlineStr">
        <is>
          <t>Oct-2026</t>
        </is>
      </c>
      <c r="E91" s="7" t="inlineStr">
        <is>
          <t>miércoles</t>
        </is>
      </c>
      <c r="F91" s="7" t="n">
        <v>2481</v>
      </c>
      <c r="G91" s="7" t="inlineStr">
        <is>
          <t>MIA</t>
        </is>
      </c>
      <c r="H91" s="7" t="inlineStr">
        <is>
          <t>LIM</t>
        </is>
      </c>
      <c r="I91" s="7" t="inlineStr">
        <is>
          <t>15:55:00</t>
        </is>
      </c>
      <c r="J91" s="7" t="inlineStr">
        <is>
          <t>21:40:00</t>
        </is>
      </c>
      <c r="K91" s="7" t="inlineStr">
        <is>
          <t>NO</t>
        </is>
      </c>
      <c r="L91" s="7" t="n">
        <v>763</v>
      </c>
      <c r="M91" s="7" t="inlineStr">
        <is>
          <t>05:45:00</t>
        </is>
      </c>
      <c r="N91" s="7" t="n">
        <v>3</v>
      </c>
      <c r="O91">
        <f>IF(O89="","",O89)</f>
        <v/>
      </c>
      <c r="Q91">
        <f>IF(Q88="","",Q88)</f>
        <v/>
      </c>
    </row>
    <row r="92">
      <c r="Q92">
        <f>"- "&amp;G91&amp;"-"&amp;H91</f>
        <v/>
      </c>
    </row>
    <row r="93">
      <c r="Q93">
        <f>"- LA "&amp;F91&amp;" ("&amp;LEFT(I91,5)&amp;"-"&amp;LEFT(J91,5)&amp;" hrs)"</f>
        <v/>
      </c>
    </row>
    <row r="95">
      <c r="Q95" s="3" t="n"/>
    </row>
    <row r="96">
      <c r="B96" s="4" t="inlineStr">
        <is>
          <t>Pairing ID</t>
        </is>
      </c>
      <c r="C96" s="4" t="inlineStr">
        <is>
          <t>FECHA REAL</t>
        </is>
      </c>
      <c r="D96" s="5" t="inlineStr">
        <is>
          <t>MES</t>
        </is>
      </c>
      <c r="E96" s="4" t="inlineStr">
        <is>
          <t>Day of Week</t>
        </is>
      </c>
      <c r="F96" s="4" t="inlineStr">
        <is>
          <t>Flight No</t>
        </is>
      </c>
      <c r="G96" s="4" t="inlineStr">
        <is>
          <t>Dep Stn</t>
        </is>
      </c>
      <c r="H96" s="4" t="inlineStr">
        <is>
          <t>Arr Stn</t>
        </is>
      </c>
      <c r="I96" s="4" t="inlineStr">
        <is>
          <t>STD</t>
        </is>
      </c>
      <c r="J96" s="4" t="inlineStr">
        <is>
          <t>STA</t>
        </is>
      </c>
      <c r="K96" s="4" t="inlineStr">
        <is>
          <t>DAY</t>
        </is>
      </c>
      <c r="L96" s="4" t="inlineStr">
        <is>
          <t>AC Type</t>
        </is>
      </c>
      <c r="M96" s="4" t="inlineStr">
        <is>
          <t>HBT</t>
        </is>
      </c>
      <c r="N96" s="6" t="inlineStr">
        <is>
          <t>DIA_DUTY</t>
        </is>
      </c>
      <c r="O96" s="3" t="n"/>
      <c r="Q96">
        <f>"- "&amp;G97&amp;"-"&amp;H97</f>
        <v/>
      </c>
      <c r="R96" s="7">
        <f>B97</f>
        <v/>
      </c>
      <c r="S96" s="7">
        <f>C97</f>
        <v/>
      </c>
      <c r="T96" s="7">
        <f>E97</f>
        <v/>
      </c>
      <c r="U96" s="7">
        <f>F97&amp;"/"&amp;F98</f>
        <v/>
      </c>
      <c r="V96" s="7">
        <f>G97&amp;"-"&amp;H97&amp;"-"&amp;G97</f>
        <v/>
      </c>
      <c r="W96" s="7">
        <f>IF(O96="","",O96)</f>
        <v/>
      </c>
      <c r="X96" s="7">
        <f>IF(Q95="","",Q95)</f>
        <v/>
      </c>
      <c r="Y96" s="7">
        <f>C97</f>
        <v/>
      </c>
      <c r="Z96" s="7">
        <f>C98</f>
        <v/>
      </c>
    </row>
    <row r="97">
      <c r="B97" s="7" t="n">
        <v>148</v>
      </c>
      <c r="C97" s="7" t="inlineStr">
        <is>
          <t>13/10/2026</t>
        </is>
      </c>
      <c r="D97" s="7" t="inlineStr">
        <is>
          <t>Oct-2026</t>
        </is>
      </c>
      <c r="E97" s="7" t="inlineStr">
        <is>
          <t>martes</t>
        </is>
      </c>
      <c r="F97" s="7" t="n">
        <v>2697</v>
      </c>
      <c r="G97" s="7" t="inlineStr">
        <is>
          <t>LIM</t>
        </is>
      </c>
      <c r="H97" s="7" t="inlineStr">
        <is>
          <t>SCL</t>
        </is>
      </c>
      <c r="I97" s="7" t="inlineStr">
        <is>
          <t>09:35:00</t>
        </is>
      </c>
      <c r="J97" s="7" t="inlineStr">
        <is>
          <t>13:00:00</t>
        </is>
      </c>
      <c r="K97" s="7" t="inlineStr">
        <is>
          <t>NO</t>
        </is>
      </c>
      <c r="L97" s="7" t="n">
        <v>789</v>
      </c>
      <c r="M97" s="7" t="inlineStr">
        <is>
          <t>03:25:00</t>
        </is>
      </c>
      <c r="N97" s="7" t="n">
        <v>1</v>
      </c>
      <c r="Q97">
        <f>"- LA "&amp;F97&amp;" ("&amp;LEFT(I97,5)&amp;"-"&amp;LEFT(J97,5)&amp;" hrs)"</f>
        <v/>
      </c>
    </row>
    <row r="98">
      <c r="B98" s="7" t="n">
        <v>148</v>
      </c>
      <c r="C98" s="7" t="inlineStr">
        <is>
          <t>13/10/2026</t>
        </is>
      </c>
      <c r="D98" s="7" t="inlineStr">
        <is>
          <t>Oct-2026</t>
        </is>
      </c>
      <c r="E98" s="7" t="inlineStr">
        <is>
          <t>martes</t>
        </is>
      </c>
      <c r="F98" s="7" t="n">
        <v>2696</v>
      </c>
      <c r="G98" s="7" t="inlineStr">
        <is>
          <t>SCL</t>
        </is>
      </c>
      <c r="H98" s="7" t="inlineStr">
        <is>
          <t>LIM</t>
        </is>
      </c>
      <c r="I98" s="7" t="inlineStr">
        <is>
          <t>15:55:00</t>
        </is>
      </c>
      <c r="J98" s="7" t="inlineStr">
        <is>
          <t>19:40:00</t>
        </is>
      </c>
      <c r="K98" s="7" t="inlineStr">
        <is>
          <t>NO</t>
        </is>
      </c>
      <c r="L98" s="7" t="n">
        <v>789</v>
      </c>
      <c r="M98" s="7" t="inlineStr">
        <is>
          <t>03:45:00</t>
        </is>
      </c>
      <c r="N98" s="7" t="n">
        <v>1</v>
      </c>
      <c r="O98">
        <f>IF(O96="","",O96)</f>
        <v/>
      </c>
      <c r="Q98">
        <f>IF(Q95="","",Q95)</f>
        <v/>
      </c>
    </row>
    <row r="99">
      <c r="Q99">
        <f>"- "&amp;G98&amp;"-"&amp;H98</f>
        <v/>
      </c>
    </row>
    <row r="100">
      <c r="Q100">
        <f>"- LA "&amp;F98&amp;" ("&amp;LEFT(I98,5)&amp;"-"&amp;LEFT(J98,5)&amp;" hrs)"</f>
        <v/>
      </c>
    </row>
    <row r="102">
      <c r="Q102" s="3" t="n"/>
    </row>
    <row r="103">
      <c r="B103" s="4" t="inlineStr">
        <is>
          <t>Pairing ID</t>
        </is>
      </c>
      <c r="C103" s="4" t="inlineStr">
        <is>
          <t>FECHA REAL</t>
        </is>
      </c>
      <c r="D103" s="5" t="inlineStr">
        <is>
          <t>MES</t>
        </is>
      </c>
      <c r="E103" s="4" t="inlineStr">
        <is>
          <t>Day of Week</t>
        </is>
      </c>
      <c r="F103" s="4" t="inlineStr">
        <is>
          <t>Flight No</t>
        </is>
      </c>
      <c r="G103" s="4" t="inlineStr">
        <is>
          <t>Dep Stn</t>
        </is>
      </c>
      <c r="H103" s="4" t="inlineStr">
        <is>
          <t>Arr Stn</t>
        </is>
      </c>
      <c r="I103" s="4" t="inlineStr">
        <is>
          <t>STD</t>
        </is>
      </c>
      <c r="J103" s="4" t="inlineStr">
        <is>
          <t>STA</t>
        </is>
      </c>
      <c r="K103" s="4" t="inlineStr">
        <is>
          <t>DAY</t>
        </is>
      </c>
      <c r="L103" s="4" t="inlineStr">
        <is>
          <t>AC Type</t>
        </is>
      </c>
      <c r="M103" s="4" t="inlineStr">
        <is>
          <t>HBT</t>
        </is>
      </c>
      <c r="N103" s="6" t="inlineStr">
        <is>
          <t>DIA_DUTY</t>
        </is>
      </c>
      <c r="O103" s="3" t="n"/>
      <c r="Q103">
        <f>"- "&amp;G104&amp;"-"&amp;H104</f>
        <v/>
      </c>
      <c r="R103" s="7">
        <f>B104</f>
        <v/>
      </c>
      <c r="S103" s="7">
        <f>C104</f>
        <v/>
      </c>
      <c r="T103" s="7">
        <f>E104</f>
        <v/>
      </c>
      <c r="U103" s="7">
        <f>F104&amp;"/"&amp;F105</f>
        <v/>
      </c>
      <c r="V103" s="7">
        <f>G104&amp;"-"&amp;H104&amp;"-"&amp;G104</f>
        <v/>
      </c>
      <c r="W103" s="7">
        <f>IF(O103="","",O103)</f>
        <v/>
      </c>
      <c r="X103" s="7">
        <f>IF(Q102="","",Q102)</f>
        <v/>
      </c>
      <c r="Y103" s="7">
        <f>C104</f>
        <v/>
      </c>
      <c r="Z103" s="7">
        <f>C105</f>
        <v/>
      </c>
    </row>
    <row r="104">
      <c r="B104" s="7" t="n">
        <v>149</v>
      </c>
      <c r="C104" s="7" t="inlineStr">
        <is>
          <t>19/10/2026</t>
        </is>
      </c>
      <c r="D104" s="7" t="inlineStr">
        <is>
          <t>Oct-2026</t>
        </is>
      </c>
      <c r="E104" s="7" t="inlineStr">
        <is>
          <t>lunes</t>
        </is>
      </c>
      <c r="F104" s="7" t="n">
        <v>2698</v>
      </c>
      <c r="G104" s="7" t="inlineStr">
        <is>
          <t>LIM</t>
        </is>
      </c>
      <c r="H104" s="7" t="inlineStr">
        <is>
          <t>MIA</t>
        </is>
      </c>
      <c r="I104" s="7" t="inlineStr">
        <is>
          <t>08:15:00</t>
        </is>
      </c>
      <c r="J104" s="7" t="inlineStr">
        <is>
          <t>14:10:00</t>
        </is>
      </c>
      <c r="K104" s="7" t="inlineStr">
        <is>
          <t>NO</t>
        </is>
      </c>
      <c r="L104" s="7" t="n">
        <v>763</v>
      </c>
      <c r="M104" s="7" t="inlineStr">
        <is>
          <t>05:55:00</t>
        </is>
      </c>
      <c r="N104" s="7" t="n">
        <v>1</v>
      </c>
      <c r="Q104">
        <f>"- LA "&amp;F104&amp;" ("&amp;LEFT(I104,5)&amp;"-"&amp;LEFT(J104,5)&amp;" hrs)"</f>
        <v/>
      </c>
    </row>
    <row r="105">
      <c r="B105" s="7" t="n">
        <v>149</v>
      </c>
      <c r="C105" s="7" t="inlineStr">
        <is>
          <t>21/10/2026</t>
        </is>
      </c>
      <c r="D105" s="7" t="inlineStr">
        <is>
          <t>Oct-2026</t>
        </is>
      </c>
      <c r="E105" s="7" t="inlineStr">
        <is>
          <t>miércoles</t>
        </is>
      </c>
      <c r="F105" s="7" t="n">
        <v>2699</v>
      </c>
      <c r="G105" s="7" t="inlineStr">
        <is>
          <t>MIA</t>
        </is>
      </c>
      <c r="H105" s="7" t="inlineStr">
        <is>
          <t>LIM</t>
        </is>
      </c>
      <c r="I105" s="7" t="inlineStr">
        <is>
          <t>23:15:00</t>
        </is>
      </c>
      <c r="J105" s="7" t="inlineStr">
        <is>
          <t>05:00:00</t>
        </is>
      </c>
      <c r="K105" s="7" t="inlineStr">
        <is>
          <t>NO</t>
        </is>
      </c>
      <c r="L105" s="7" t="n">
        <v>763</v>
      </c>
      <c r="M105" s="7" t="inlineStr">
        <is>
          <t>05:45:00</t>
        </is>
      </c>
      <c r="N105" s="7" t="n">
        <v>2</v>
      </c>
      <c r="O105">
        <f>IF(O103="","",O103)</f>
        <v/>
      </c>
      <c r="Q105">
        <f>IF(Q102="","",Q102)</f>
        <v/>
      </c>
    </row>
    <row r="106">
      <c r="Q106">
        <f>"- "&amp;G105&amp;"-"&amp;H105</f>
        <v/>
      </c>
    </row>
    <row r="107">
      <c r="Q107">
        <f>"- LA "&amp;F105&amp;" ("&amp;LEFT(I105,5)&amp;"-"&amp;LEFT(J105,5)&amp;" hrs)"</f>
        <v/>
      </c>
    </row>
    <row r="109">
      <c r="Q109" s="3" t="n"/>
    </row>
    <row r="110">
      <c r="B110" s="4" t="inlineStr">
        <is>
          <t>Pairing ID</t>
        </is>
      </c>
      <c r="C110" s="4" t="inlineStr">
        <is>
          <t>FECHA REAL</t>
        </is>
      </c>
      <c r="D110" s="5" t="inlineStr">
        <is>
          <t>MES</t>
        </is>
      </c>
      <c r="E110" s="4" t="inlineStr">
        <is>
          <t>Day of Week</t>
        </is>
      </c>
      <c r="F110" s="4" t="inlineStr">
        <is>
          <t>Flight No</t>
        </is>
      </c>
      <c r="G110" s="4" t="inlineStr">
        <is>
          <t>Dep Stn</t>
        </is>
      </c>
      <c r="H110" s="4" t="inlineStr">
        <is>
          <t>Arr Stn</t>
        </is>
      </c>
      <c r="I110" s="4" t="inlineStr">
        <is>
          <t>STD</t>
        </is>
      </c>
      <c r="J110" s="4" t="inlineStr">
        <is>
          <t>STA</t>
        </is>
      </c>
      <c r="K110" s="4" t="inlineStr">
        <is>
          <t>DAY</t>
        </is>
      </c>
      <c r="L110" s="4" t="inlineStr">
        <is>
          <t>AC Type</t>
        </is>
      </c>
      <c r="M110" s="4" t="inlineStr">
        <is>
          <t>HBT</t>
        </is>
      </c>
      <c r="N110" s="6" t="inlineStr">
        <is>
          <t>DIA_DUTY</t>
        </is>
      </c>
      <c r="O110" s="3" t="n"/>
      <c r="Q110">
        <f>"- "&amp;G111&amp;"-"&amp;H111</f>
        <v/>
      </c>
      <c r="R110" s="7">
        <f>B111</f>
        <v/>
      </c>
      <c r="S110" s="7">
        <f>C111</f>
        <v/>
      </c>
      <c r="T110" s="7">
        <f>E111</f>
        <v/>
      </c>
      <c r="U110" s="7">
        <f>F111&amp;"/"&amp;F112</f>
        <v/>
      </c>
      <c r="V110" s="7">
        <f>G111&amp;"-"&amp;H111&amp;"-"&amp;G111</f>
        <v/>
      </c>
      <c r="W110" s="7">
        <f>IF(O110="","",O110)</f>
        <v/>
      </c>
      <c r="X110" s="7">
        <f>IF(Q109="","",Q109)</f>
        <v/>
      </c>
      <c r="Y110" s="7">
        <f>C111</f>
        <v/>
      </c>
      <c r="Z110" s="7">
        <f>C112</f>
        <v/>
      </c>
    </row>
    <row r="111">
      <c r="B111" s="7" t="n">
        <v>14</v>
      </c>
      <c r="C111" s="7" t="inlineStr">
        <is>
          <t>06/10/2026</t>
        </is>
      </c>
      <c r="D111" s="7" t="inlineStr">
        <is>
          <t>Oct-2026</t>
        </is>
      </c>
      <c r="E111" s="7" t="inlineStr">
        <is>
          <t>martes</t>
        </is>
      </c>
      <c r="F111" s="7" t="n">
        <v>2697</v>
      </c>
      <c r="G111" s="7" t="inlineStr">
        <is>
          <t>LIM</t>
        </is>
      </c>
      <c r="H111" s="7" t="inlineStr">
        <is>
          <t>SCL</t>
        </is>
      </c>
      <c r="I111" s="7" t="inlineStr">
        <is>
          <t>09:35:00</t>
        </is>
      </c>
      <c r="J111" s="7" t="inlineStr">
        <is>
          <t>13:00:00</t>
        </is>
      </c>
      <c r="K111" s="7" t="inlineStr">
        <is>
          <t>NO</t>
        </is>
      </c>
      <c r="L111" s="7" t="n">
        <v>789</v>
      </c>
      <c r="M111" s="7" t="inlineStr">
        <is>
          <t>03:25:00</t>
        </is>
      </c>
      <c r="N111" s="7" t="n">
        <v>1</v>
      </c>
      <c r="Q111">
        <f>"- LA "&amp;F111&amp;" ("&amp;LEFT(I111,5)&amp;"-"&amp;LEFT(J111,5)&amp;" hrs)"</f>
        <v/>
      </c>
    </row>
    <row r="112">
      <c r="B112" s="7" t="n">
        <v>14</v>
      </c>
      <c r="C112" s="7" t="inlineStr">
        <is>
          <t>06/10/2026</t>
        </is>
      </c>
      <c r="D112" s="7" t="inlineStr">
        <is>
          <t>Oct-2026</t>
        </is>
      </c>
      <c r="E112" s="7" t="inlineStr">
        <is>
          <t>martes</t>
        </is>
      </c>
      <c r="F112" s="7" t="n">
        <v>2696</v>
      </c>
      <c r="G112" s="7" t="inlineStr">
        <is>
          <t>SCL</t>
        </is>
      </c>
      <c r="H112" s="7" t="inlineStr">
        <is>
          <t>LIM</t>
        </is>
      </c>
      <c r="I112" s="7" t="inlineStr">
        <is>
          <t>15:55:00</t>
        </is>
      </c>
      <c r="J112" s="7" t="inlineStr">
        <is>
          <t>19:40:00</t>
        </is>
      </c>
      <c r="K112" s="7" t="inlineStr">
        <is>
          <t>NO</t>
        </is>
      </c>
      <c r="L112" s="7" t="n">
        <v>789</v>
      </c>
      <c r="M112" s="7" t="inlineStr">
        <is>
          <t>03:45:00</t>
        </is>
      </c>
      <c r="N112" s="7" t="n">
        <v>1</v>
      </c>
      <c r="O112">
        <f>IF(O110="","",O110)</f>
        <v/>
      </c>
      <c r="Q112">
        <f>IF(Q109="","",Q109)</f>
        <v/>
      </c>
    </row>
    <row r="113">
      <c r="Q113">
        <f>"- "&amp;G112&amp;"-"&amp;H112</f>
        <v/>
      </c>
    </row>
    <row r="114">
      <c r="Q114">
        <f>"- LA "&amp;F112&amp;" ("&amp;LEFT(I112,5)&amp;"-"&amp;LEFT(J112,5)&amp;" hrs)"</f>
        <v/>
      </c>
    </row>
    <row r="116">
      <c r="Q116" s="3" t="n"/>
    </row>
    <row r="117">
      <c r="B117" s="4" t="inlineStr">
        <is>
          <t>Pairing ID</t>
        </is>
      </c>
      <c r="C117" s="4" t="inlineStr">
        <is>
          <t>FECHA REAL</t>
        </is>
      </c>
      <c r="D117" s="5" t="inlineStr">
        <is>
          <t>MES</t>
        </is>
      </c>
      <c r="E117" s="4" t="inlineStr">
        <is>
          <t>Day of Week</t>
        </is>
      </c>
      <c r="F117" s="4" t="inlineStr">
        <is>
          <t>Flight No</t>
        </is>
      </c>
      <c r="G117" s="4" t="inlineStr">
        <is>
          <t>Dep Stn</t>
        </is>
      </c>
      <c r="H117" s="4" t="inlineStr">
        <is>
          <t>Arr Stn</t>
        </is>
      </c>
      <c r="I117" s="4" t="inlineStr">
        <is>
          <t>STD</t>
        </is>
      </c>
      <c r="J117" s="4" t="inlineStr">
        <is>
          <t>STA</t>
        </is>
      </c>
      <c r="K117" s="4" t="inlineStr">
        <is>
          <t>DAY</t>
        </is>
      </c>
      <c r="L117" s="4" t="inlineStr">
        <is>
          <t>AC Type</t>
        </is>
      </c>
      <c r="M117" s="4" t="inlineStr">
        <is>
          <t>HBT</t>
        </is>
      </c>
      <c r="N117" s="6" t="inlineStr">
        <is>
          <t>DIA_DUTY</t>
        </is>
      </c>
      <c r="O117" s="3" t="n"/>
      <c r="Q117">
        <f>"- "&amp;G118&amp;"-"&amp;H118</f>
        <v/>
      </c>
      <c r="R117" s="7">
        <f>B118</f>
        <v/>
      </c>
      <c r="S117" s="7">
        <f>C118</f>
        <v/>
      </c>
      <c r="T117" s="7">
        <f>E118</f>
        <v/>
      </c>
      <c r="U117" s="7">
        <f>F118&amp;"/"&amp;F119</f>
        <v/>
      </c>
      <c r="V117" s="7">
        <f>G118&amp;"-"&amp;H118&amp;"-"&amp;G118</f>
        <v/>
      </c>
      <c r="W117" s="7">
        <f>IF(O117="","",O117)</f>
        <v/>
      </c>
      <c r="X117" s="7">
        <f>IF(Q116="","",Q116)</f>
        <v/>
      </c>
      <c r="Y117" s="7">
        <f>C118</f>
        <v/>
      </c>
      <c r="Z117" s="7">
        <f>C119</f>
        <v/>
      </c>
    </row>
    <row r="118">
      <c r="B118" s="7" t="n">
        <v>152</v>
      </c>
      <c r="C118" s="7" t="inlineStr">
        <is>
          <t>19/10/2026</t>
        </is>
      </c>
      <c r="D118" s="7" t="inlineStr">
        <is>
          <t>Oct-2026</t>
        </is>
      </c>
      <c r="E118" s="7" t="inlineStr">
        <is>
          <t>lunes</t>
        </is>
      </c>
      <c r="F118" s="7" t="n">
        <v>2694</v>
      </c>
      <c r="G118" s="7" t="inlineStr">
        <is>
          <t>LIM</t>
        </is>
      </c>
      <c r="H118" s="7" t="inlineStr">
        <is>
          <t>MIA</t>
        </is>
      </c>
      <c r="I118" s="7" t="inlineStr">
        <is>
          <t>13:30:00</t>
        </is>
      </c>
      <c r="J118" s="7" t="inlineStr">
        <is>
          <t>19:25:00</t>
        </is>
      </c>
      <c r="K118" s="7" t="inlineStr">
        <is>
          <t>NO</t>
        </is>
      </c>
      <c r="L118" s="7" t="n">
        <v>763</v>
      </c>
      <c r="M118" s="7" t="inlineStr">
        <is>
          <t>05:55:00</t>
        </is>
      </c>
      <c r="N118" s="7" t="n">
        <v>1</v>
      </c>
      <c r="Q118">
        <f>"- LA "&amp;F118&amp;" ("&amp;LEFT(I118,5)&amp;"-"&amp;LEFT(J118,5)&amp;" hrs)"</f>
        <v/>
      </c>
    </row>
    <row r="119">
      <c r="B119" s="7" t="n">
        <v>152</v>
      </c>
      <c r="C119" s="7" t="inlineStr">
        <is>
          <t>20/10/2026</t>
        </is>
      </c>
      <c r="D119" s="7" t="inlineStr">
        <is>
          <t>Oct-2026</t>
        </is>
      </c>
      <c r="E119" s="7" t="inlineStr">
        <is>
          <t>martes</t>
        </is>
      </c>
      <c r="F119" s="7" t="n">
        <v>2695</v>
      </c>
      <c r="G119" s="7" t="inlineStr">
        <is>
          <t>MIA</t>
        </is>
      </c>
      <c r="H119" s="7" t="inlineStr">
        <is>
          <t>LIM</t>
        </is>
      </c>
      <c r="I119" s="7" t="inlineStr">
        <is>
          <t>16:10:00</t>
        </is>
      </c>
      <c r="J119" s="7" t="inlineStr">
        <is>
          <t>22:00:00</t>
        </is>
      </c>
      <c r="K119" s="7" t="inlineStr">
        <is>
          <t>NO</t>
        </is>
      </c>
      <c r="L119" s="7" t="n">
        <v>763</v>
      </c>
      <c r="M119" s="7" t="inlineStr">
        <is>
          <t>05:50:00</t>
        </is>
      </c>
      <c r="N119" s="7" t="n">
        <v>2</v>
      </c>
      <c r="O119">
        <f>IF(O117="","",O117)</f>
        <v/>
      </c>
      <c r="Q119">
        <f>IF(Q116="","",Q116)</f>
        <v/>
      </c>
    </row>
    <row r="120">
      <c r="Q120">
        <f>"- "&amp;G119&amp;"-"&amp;H119</f>
        <v/>
      </c>
    </row>
    <row r="121">
      <c r="Q121">
        <f>"- LA "&amp;F119&amp;" ("&amp;LEFT(I119,5)&amp;"-"&amp;LEFT(J119,5)&amp;" hrs)"</f>
        <v/>
      </c>
    </row>
    <row r="123">
      <c r="Q123" s="3" t="n"/>
    </row>
    <row r="124">
      <c r="B124" s="4" t="inlineStr">
        <is>
          <t>Pairing ID</t>
        </is>
      </c>
      <c r="C124" s="4" t="inlineStr">
        <is>
          <t>FECHA REAL</t>
        </is>
      </c>
      <c r="D124" s="5" t="inlineStr">
        <is>
          <t>MES</t>
        </is>
      </c>
      <c r="E124" s="4" t="inlineStr">
        <is>
          <t>Day of Week</t>
        </is>
      </c>
      <c r="F124" s="4" t="inlineStr">
        <is>
          <t>Flight No</t>
        </is>
      </c>
      <c r="G124" s="4" t="inlineStr">
        <is>
          <t>Dep Stn</t>
        </is>
      </c>
      <c r="H124" s="4" t="inlineStr">
        <is>
          <t>Arr Stn</t>
        </is>
      </c>
      <c r="I124" s="4" t="inlineStr">
        <is>
          <t>STD</t>
        </is>
      </c>
      <c r="J124" s="4" t="inlineStr">
        <is>
          <t>STA</t>
        </is>
      </c>
      <c r="K124" s="4" t="inlineStr">
        <is>
          <t>DAY</t>
        </is>
      </c>
      <c r="L124" s="4" t="inlineStr">
        <is>
          <t>AC Type</t>
        </is>
      </c>
      <c r="M124" s="4" t="inlineStr">
        <is>
          <t>HBT</t>
        </is>
      </c>
      <c r="N124" s="6" t="inlineStr">
        <is>
          <t>DIA_DUTY</t>
        </is>
      </c>
      <c r="O124" s="3" t="n"/>
      <c r="Q124">
        <f>"- "&amp;G125&amp;"-"&amp;H125</f>
        <v/>
      </c>
      <c r="R124" s="7">
        <f>B125</f>
        <v/>
      </c>
      <c r="S124" s="7">
        <f>C125</f>
        <v/>
      </c>
      <c r="T124" s="7">
        <f>E125</f>
        <v/>
      </c>
      <c r="U124" s="7">
        <f>F125&amp;"/"&amp;F126</f>
        <v/>
      </c>
      <c r="V124" s="7">
        <f>G125&amp;"-"&amp;H125&amp;"-"&amp;G125</f>
        <v/>
      </c>
      <c r="W124" s="7">
        <f>IF(O124="","",O124)</f>
        <v/>
      </c>
      <c r="X124" s="7">
        <f>IF(Q123="","",Q123)</f>
        <v/>
      </c>
      <c r="Y124" s="7">
        <f>C125</f>
        <v/>
      </c>
      <c r="Z124" s="7">
        <f>C126</f>
        <v/>
      </c>
    </row>
    <row r="125">
      <c r="B125" s="7" t="n">
        <v>155</v>
      </c>
      <c r="C125" s="7" t="inlineStr">
        <is>
          <t>14/10/2026</t>
        </is>
      </c>
      <c r="D125" s="7" t="inlineStr">
        <is>
          <t>Oct-2026</t>
        </is>
      </c>
      <c r="E125" s="7" t="inlineStr">
        <is>
          <t>miércoles</t>
        </is>
      </c>
      <c r="F125" s="7" t="n">
        <v>2480</v>
      </c>
      <c r="G125" s="7" t="inlineStr">
        <is>
          <t>LIM</t>
        </is>
      </c>
      <c r="H125" s="7" t="inlineStr">
        <is>
          <t>MIA</t>
        </is>
      </c>
      <c r="I125" s="7" t="inlineStr">
        <is>
          <t>00:15:00</t>
        </is>
      </c>
      <c r="J125" s="7" t="inlineStr">
        <is>
          <t>06:10:00</t>
        </is>
      </c>
      <c r="K125" s="7" t="inlineStr">
        <is>
          <t>NO</t>
        </is>
      </c>
      <c r="L125" s="7" t="n">
        <v>763</v>
      </c>
      <c r="M125" s="7" t="inlineStr">
        <is>
          <t>05:55:00</t>
        </is>
      </c>
      <c r="N125" s="7" t="n">
        <v>2</v>
      </c>
      <c r="Q125">
        <f>"- LA "&amp;F125&amp;" ("&amp;LEFT(I125,5)&amp;"-"&amp;LEFT(J125,5)&amp;" hrs)"</f>
        <v/>
      </c>
    </row>
    <row r="126">
      <c r="B126" s="7" t="n">
        <v>155</v>
      </c>
      <c r="C126" s="7" t="inlineStr">
        <is>
          <t>15/10/2026</t>
        </is>
      </c>
      <c r="D126" s="7" t="inlineStr">
        <is>
          <t>Oct-2026</t>
        </is>
      </c>
      <c r="E126" s="7" t="inlineStr">
        <is>
          <t>jueves</t>
        </is>
      </c>
      <c r="F126" s="7" t="n">
        <v>2695</v>
      </c>
      <c r="G126" s="7" t="inlineStr">
        <is>
          <t>MIA</t>
        </is>
      </c>
      <c r="H126" s="7" t="inlineStr">
        <is>
          <t>LIM</t>
        </is>
      </c>
      <c r="I126" s="7" t="inlineStr">
        <is>
          <t>16:10:00</t>
        </is>
      </c>
      <c r="J126" s="7" t="inlineStr">
        <is>
          <t>22:00:00</t>
        </is>
      </c>
      <c r="K126" s="7" t="inlineStr">
        <is>
          <t>NO</t>
        </is>
      </c>
      <c r="L126" s="7" t="n">
        <v>763</v>
      </c>
      <c r="M126" s="7" t="inlineStr">
        <is>
          <t>05:50:00</t>
        </is>
      </c>
      <c r="N126" s="7" t="n">
        <v>3</v>
      </c>
      <c r="O126">
        <f>IF(O124="","",O124)</f>
        <v/>
      </c>
      <c r="Q126">
        <f>IF(Q123="","",Q123)</f>
        <v/>
      </c>
    </row>
    <row r="127">
      <c r="Q127">
        <f>"- "&amp;G126&amp;"-"&amp;H126</f>
        <v/>
      </c>
    </row>
    <row r="128">
      <c r="Q128">
        <f>"- LA "&amp;F126&amp;" ("&amp;LEFT(I126,5)&amp;"-"&amp;LEFT(J126,5)&amp;" hrs)"</f>
        <v/>
      </c>
    </row>
    <row r="130">
      <c r="Q130" s="3" t="n"/>
    </row>
    <row r="131">
      <c r="B131" s="4" t="inlineStr">
        <is>
          <t>Pairing ID</t>
        </is>
      </c>
      <c r="C131" s="4" t="inlineStr">
        <is>
          <t>FECHA REAL</t>
        </is>
      </c>
      <c r="D131" s="5" t="inlineStr">
        <is>
          <t>MES</t>
        </is>
      </c>
      <c r="E131" s="4" t="inlineStr">
        <is>
          <t>Day of Week</t>
        </is>
      </c>
      <c r="F131" s="4" t="inlineStr">
        <is>
          <t>Flight No</t>
        </is>
      </c>
      <c r="G131" s="4" t="inlineStr">
        <is>
          <t>Dep Stn</t>
        </is>
      </c>
      <c r="H131" s="4" t="inlineStr">
        <is>
          <t>Arr Stn</t>
        </is>
      </c>
      <c r="I131" s="4" t="inlineStr">
        <is>
          <t>STD</t>
        </is>
      </c>
      <c r="J131" s="4" t="inlineStr">
        <is>
          <t>STA</t>
        </is>
      </c>
      <c r="K131" s="4" t="inlineStr">
        <is>
          <t>DAY</t>
        </is>
      </c>
      <c r="L131" s="4" t="inlineStr">
        <is>
          <t>AC Type</t>
        </is>
      </c>
      <c r="M131" s="4" t="inlineStr">
        <is>
          <t>HBT</t>
        </is>
      </c>
      <c r="N131" s="6" t="inlineStr">
        <is>
          <t>DIA_DUTY</t>
        </is>
      </c>
      <c r="O131" s="3" t="n"/>
      <c r="Q131">
        <f>"- "&amp;G132&amp;"-"&amp;H132</f>
        <v/>
      </c>
      <c r="R131" s="7">
        <f>B132</f>
        <v/>
      </c>
      <c r="S131" s="7">
        <f>C132</f>
        <v/>
      </c>
      <c r="T131" s="7">
        <f>E132</f>
        <v/>
      </c>
      <c r="U131" s="7">
        <f>F132&amp;"/"&amp;F133</f>
        <v/>
      </c>
      <c r="V131" s="7">
        <f>G132&amp;"-"&amp;H132&amp;"-"&amp;G132</f>
        <v/>
      </c>
      <c r="W131" s="7">
        <f>IF(O131="","",O131)</f>
        <v/>
      </c>
      <c r="X131" s="7">
        <f>IF(Q130="","",Q130)</f>
        <v/>
      </c>
      <c r="Y131" s="7">
        <f>C132</f>
        <v/>
      </c>
      <c r="Z131" s="7">
        <f>C133</f>
        <v/>
      </c>
    </row>
    <row r="132">
      <c r="B132" s="7" t="n">
        <v>155</v>
      </c>
      <c r="C132" s="7" t="inlineStr">
        <is>
          <t>20/10/2026</t>
        </is>
      </c>
      <c r="D132" s="7" t="inlineStr">
        <is>
          <t>Oct-2026</t>
        </is>
      </c>
      <c r="E132" s="7" t="inlineStr">
        <is>
          <t>martes</t>
        </is>
      </c>
      <c r="F132" s="7" t="n">
        <v>2480</v>
      </c>
      <c r="G132" s="7" t="inlineStr">
        <is>
          <t>LIM</t>
        </is>
      </c>
      <c r="H132" s="7" t="inlineStr">
        <is>
          <t>MIA</t>
        </is>
      </c>
      <c r="I132" s="7" t="inlineStr">
        <is>
          <t>00:15:00</t>
        </is>
      </c>
      <c r="J132" s="7" t="inlineStr">
        <is>
          <t>06:10:00</t>
        </is>
      </c>
      <c r="K132" s="7" t="inlineStr">
        <is>
          <t>NO</t>
        </is>
      </c>
      <c r="L132" s="7" t="n">
        <v>763</v>
      </c>
      <c r="M132" s="7" t="inlineStr">
        <is>
          <t>05:55:00</t>
        </is>
      </c>
      <c r="N132" s="7" t="n">
        <v>2</v>
      </c>
      <c r="Q132">
        <f>"- LA "&amp;F132&amp;" ("&amp;LEFT(I132,5)&amp;"-"&amp;LEFT(J132,5)&amp;" hrs)"</f>
        <v/>
      </c>
    </row>
    <row r="133">
      <c r="B133" s="7" t="n">
        <v>155</v>
      </c>
      <c r="C133" s="7" t="inlineStr">
        <is>
          <t>21/10/2026</t>
        </is>
      </c>
      <c r="D133" s="7" t="inlineStr">
        <is>
          <t>Oct-2026</t>
        </is>
      </c>
      <c r="E133" s="7" t="inlineStr">
        <is>
          <t>miércoles</t>
        </is>
      </c>
      <c r="F133" s="7" t="n">
        <v>2481</v>
      </c>
      <c r="G133" s="7" t="inlineStr">
        <is>
          <t>MIA</t>
        </is>
      </c>
      <c r="H133" s="7" t="inlineStr">
        <is>
          <t>LIM</t>
        </is>
      </c>
      <c r="I133" s="7" t="inlineStr">
        <is>
          <t>15:55:00</t>
        </is>
      </c>
      <c r="J133" s="7" t="inlineStr">
        <is>
          <t>21:40:00</t>
        </is>
      </c>
      <c r="K133" s="7" t="inlineStr">
        <is>
          <t>NO</t>
        </is>
      </c>
      <c r="L133" s="7" t="n">
        <v>763</v>
      </c>
      <c r="M133" s="7" t="inlineStr">
        <is>
          <t>05:45:00</t>
        </is>
      </c>
      <c r="N133" s="7" t="n">
        <v>3</v>
      </c>
      <c r="O133">
        <f>IF(O131="","",O131)</f>
        <v/>
      </c>
      <c r="Q133">
        <f>IF(Q130="","",Q130)</f>
        <v/>
      </c>
    </row>
    <row r="134">
      <c r="Q134">
        <f>"- "&amp;G133&amp;"-"&amp;H133</f>
        <v/>
      </c>
    </row>
    <row r="135">
      <c r="Q135">
        <f>"- LA "&amp;F133&amp;" ("&amp;LEFT(I133,5)&amp;"-"&amp;LEFT(J133,5)&amp;" hrs)"</f>
        <v/>
      </c>
    </row>
    <row r="137">
      <c r="Q137" s="3" t="n"/>
    </row>
    <row r="138">
      <c r="B138" s="4" t="inlineStr">
        <is>
          <t>Pairing ID</t>
        </is>
      </c>
      <c r="C138" s="4" t="inlineStr">
        <is>
          <t>FECHA REAL</t>
        </is>
      </c>
      <c r="D138" s="5" t="inlineStr">
        <is>
          <t>MES</t>
        </is>
      </c>
      <c r="E138" s="4" t="inlineStr">
        <is>
          <t>Day of Week</t>
        </is>
      </c>
      <c r="F138" s="4" t="inlineStr">
        <is>
          <t>Flight No</t>
        </is>
      </c>
      <c r="G138" s="4" t="inlineStr">
        <is>
          <t>Dep Stn</t>
        </is>
      </c>
      <c r="H138" s="4" t="inlineStr">
        <is>
          <t>Arr Stn</t>
        </is>
      </c>
      <c r="I138" s="4" t="inlineStr">
        <is>
          <t>STD</t>
        </is>
      </c>
      <c r="J138" s="4" t="inlineStr">
        <is>
          <t>STA</t>
        </is>
      </c>
      <c r="K138" s="4" t="inlineStr">
        <is>
          <t>DAY</t>
        </is>
      </c>
      <c r="L138" s="4" t="inlineStr">
        <is>
          <t>AC Type</t>
        </is>
      </c>
      <c r="M138" s="4" t="inlineStr">
        <is>
          <t>HBT</t>
        </is>
      </c>
      <c r="N138" s="6" t="inlineStr">
        <is>
          <t>DIA_DUTY</t>
        </is>
      </c>
      <c r="O138" s="3" t="n"/>
      <c r="Q138">
        <f>"- "&amp;G139&amp;"-"&amp;H139</f>
        <v/>
      </c>
      <c r="R138" s="7">
        <f>B139</f>
        <v/>
      </c>
      <c r="S138" s="7">
        <f>C139</f>
        <v/>
      </c>
      <c r="T138" s="7">
        <f>E139</f>
        <v/>
      </c>
      <c r="U138" s="7">
        <f>F139&amp;"/"&amp;F140</f>
        <v/>
      </c>
      <c r="V138" s="7">
        <f>G139&amp;"-"&amp;H139&amp;"-"&amp;G139</f>
        <v/>
      </c>
      <c r="W138" s="7">
        <f>IF(O138="","",O138)</f>
        <v/>
      </c>
      <c r="X138" s="7">
        <f>IF(Q137="","",Q137)</f>
        <v/>
      </c>
      <c r="Y138" s="7">
        <f>C139</f>
        <v/>
      </c>
      <c r="Z138" s="7">
        <f>C140</f>
        <v/>
      </c>
    </row>
    <row r="139">
      <c r="B139" s="7" t="n">
        <v>159</v>
      </c>
      <c r="C139" s="7" t="inlineStr">
        <is>
          <t>14/10/2026</t>
        </is>
      </c>
      <c r="D139" s="7" t="inlineStr">
        <is>
          <t>Oct-2026</t>
        </is>
      </c>
      <c r="E139" s="7" t="inlineStr">
        <is>
          <t>miércoles</t>
        </is>
      </c>
      <c r="F139" s="7" t="n">
        <v>2697</v>
      </c>
      <c r="G139" s="7" t="inlineStr">
        <is>
          <t>LIM</t>
        </is>
      </c>
      <c r="H139" s="7" t="inlineStr">
        <is>
          <t>SCL</t>
        </is>
      </c>
      <c r="I139" s="7" t="inlineStr">
        <is>
          <t>09:35:00</t>
        </is>
      </c>
      <c r="J139" s="7" t="inlineStr">
        <is>
          <t>13:00:00</t>
        </is>
      </c>
      <c r="K139" s="7" t="inlineStr">
        <is>
          <t>NO</t>
        </is>
      </c>
      <c r="L139" s="7" t="n">
        <v>789</v>
      </c>
      <c r="M139" s="7" t="inlineStr">
        <is>
          <t>03:25:00</t>
        </is>
      </c>
      <c r="N139" s="7" t="n">
        <v>1</v>
      </c>
      <c r="Q139">
        <f>"- LA "&amp;F139&amp;" ("&amp;LEFT(I139,5)&amp;"-"&amp;LEFT(J139,5)&amp;" hrs)"</f>
        <v/>
      </c>
    </row>
    <row r="140">
      <c r="B140" s="7" t="n">
        <v>159</v>
      </c>
      <c r="C140" s="7" t="inlineStr">
        <is>
          <t>14/10/2026</t>
        </is>
      </c>
      <c r="D140" s="7" t="inlineStr">
        <is>
          <t>Oct-2026</t>
        </is>
      </c>
      <c r="E140" s="7" t="inlineStr">
        <is>
          <t>miércoles</t>
        </is>
      </c>
      <c r="F140" s="7" t="n">
        <v>2696</v>
      </c>
      <c r="G140" s="7" t="inlineStr">
        <is>
          <t>SCL</t>
        </is>
      </c>
      <c r="H140" s="7" t="inlineStr">
        <is>
          <t>LIM</t>
        </is>
      </c>
      <c r="I140" s="7" t="inlineStr">
        <is>
          <t>15:55:00</t>
        </is>
      </c>
      <c r="J140" s="7" t="inlineStr">
        <is>
          <t>19:40:00</t>
        </is>
      </c>
      <c r="K140" s="7" t="inlineStr">
        <is>
          <t>NO</t>
        </is>
      </c>
      <c r="L140" s="7" t="n">
        <v>788</v>
      </c>
      <c r="M140" s="7" t="inlineStr">
        <is>
          <t>03:45:00</t>
        </is>
      </c>
      <c r="N140" s="7" t="n">
        <v>1</v>
      </c>
      <c r="O140">
        <f>IF(O138="","",O138)</f>
        <v/>
      </c>
      <c r="Q140">
        <f>IF(Q137="","",Q137)</f>
        <v/>
      </c>
    </row>
    <row r="141">
      <c r="Q141">
        <f>"- "&amp;G140&amp;"-"&amp;H140</f>
        <v/>
      </c>
    </row>
    <row r="142">
      <c r="Q142">
        <f>"- LA "&amp;F140&amp;" ("&amp;LEFT(I140,5)&amp;"-"&amp;LEFT(J140,5)&amp;" hrs)"</f>
        <v/>
      </c>
    </row>
    <row r="144">
      <c r="Q144" s="3" t="n"/>
    </row>
    <row r="145">
      <c r="B145" s="4" t="inlineStr">
        <is>
          <t>Pairing ID</t>
        </is>
      </c>
      <c r="C145" s="4" t="inlineStr">
        <is>
          <t>FECHA REAL</t>
        </is>
      </c>
      <c r="D145" s="5" t="inlineStr">
        <is>
          <t>MES</t>
        </is>
      </c>
      <c r="E145" s="4" t="inlineStr">
        <is>
          <t>Day of Week</t>
        </is>
      </c>
      <c r="F145" s="4" t="inlineStr">
        <is>
          <t>Flight No</t>
        </is>
      </c>
      <c r="G145" s="4" t="inlineStr">
        <is>
          <t>Dep Stn</t>
        </is>
      </c>
      <c r="H145" s="4" t="inlineStr">
        <is>
          <t>Arr Stn</t>
        </is>
      </c>
      <c r="I145" s="4" t="inlineStr">
        <is>
          <t>STD</t>
        </is>
      </c>
      <c r="J145" s="4" t="inlineStr">
        <is>
          <t>STA</t>
        </is>
      </c>
      <c r="K145" s="4" t="inlineStr">
        <is>
          <t>DAY</t>
        </is>
      </c>
      <c r="L145" s="4" t="inlineStr">
        <is>
          <t>AC Type</t>
        </is>
      </c>
      <c r="M145" s="4" t="inlineStr">
        <is>
          <t>HBT</t>
        </is>
      </c>
      <c r="N145" s="6" t="inlineStr">
        <is>
          <t>DIA_DUTY</t>
        </is>
      </c>
      <c r="O145" s="3" t="n"/>
      <c r="Q145">
        <f>"- "&amp;G146&amp;"-"&amp;H146</f>
        <v/>
      </c>
      <c r="R145" s="7">
        <f>B146</f>
        <v/>
      </c>
      <c r="S145" s="7">
        <f>C146</f>
        <v/>
      </c>
      <c r="T145" s="7">
        <f>E146</f>
        <v/>
      </c>
      <c r="U145" s="7">
        <f>F146&amp;"/"&amp;F147</f>
        <v/>
      </c>
      <c r="V145" s="7">
        <f>G146&amp;"-"&amp;H146&amp;"-"&amp;G146</f>
        <v/>
      </c>
      <c r="W145" s="7">
        <f>IF(O145="","",O145)</f>
        <v/>
      </c>
      <c r="X145" s="7">
        <f>IF(Q144="","",Q144)</f>
        <v/>
      </c>
      <c r="Y145" s="7">
        <f>C146</f>
        <v/>
      </c>
      <c r="Z145" s="7">
        <f>C147</f>
        <v/>
      </c>
    </row>
    <row r="146">
      <c r="B146" s="7" t="n">
        <v>160</v>
      </c>
      <c r="C146" s="7" t="inlineStr">
        <is>
          <t>20/10/2026</t>
        </is>
      </c>
      <c r="D146" s="7" t="inlineStr">
        <is>
          <t>Oct-2026</t>
        </is>
      </c>
      <c r="E146" s="7" t="inlineStr">
        <is>
          <t>martes</t>
        </is>
      </c>
      <c r="F146" s="7" t="n">
        <v>2694</v>
      </c>
      <c r="G146" s="7" t="inlineStr">
        <is>
          <t>LIM</t>
        </is>
      </c>
      <c r="H146" s="7" t="inlineStr">
        <is>
          <t>MIA</t>
        </is>
      </c>
      <c r="I146" s="7" t="inlineStr">
        <is>
          <t>13:30:00</t>
        </is>
      </c>
      <c r="J146" s="7" t="inlineStr">
        <is>
          <t>19:25:00</t>
        </is>
      </c>
      <c r="K146" s="7" t="inlineStr">
        <is>
          <t>NO</t>
        </is>
      </c>
      <c r="L146" s="7" t="n">
        <v>763</v>
      </c>
      <c r="M146" s="7" t="inlineStr">
        <is>
          <t>05:55:00</t>
        </is>
      </c>
      <c r="N146" s="7" t="n">
        <v>1</v>
      </c>
      <c r="Q146">
        <f>"- LA "&amp;F146&amp;" ("&amp;LEFT(I146,5)&amp;"-"&amp;LEFT(J146,5)&amp;" hrs)"</f>
        <v/>
      </c>
    </row>
    <row r="147">
      <c r="B147" s="7" t="n">
        <v>160</v>
      </c>
      <c r="C147" s="7" t="inlineStr">
        <is>
          <t>22/10/2026</t>
        </is>
      </c>
      <c r="D147" s="7" t="inlineStr">
        <is>
          <t>Oct-2026</t>
        </is>
      </c>
      <c r="E147" s="7" t="inlineStr">
        <is>
          <t>jueves</t>
        </is>
      </c>
      <c r="F147" s="7" t="n">
        <v>2699</v>
      </c>
      <c r="G147" s="7" t="inlineStr">
        <is>
          <t>MIA</t>
        </is>
      </c>
      <c r="H147" s="7" t="inlineStr">
        <is>
          <t>LIM</t>
        </is>
      </c>
      <c r="I147" s="7" t="inlineStr">
        <is>
          <t>23:15:00</t>
        </is>
      </c>
      <c r="J147" s="7" t="inlineStr">
        <is>
          <t>05:00:00</t>
        </is>
      </c>
      <c r="K147" s="7" t="inlineStr">
        <is>
          <t>NO</t>
        </is>
      </c>
      <c r="L147" s="7" t="n">
        <v>763</v>
      </c>
      <c r="M147" s="7" t="inlineStr">
        <is>
          <t>05:45:00</t>
        </is>
      </c>
      <c r="N147" s="7" t="n">
        <v>2</v>
      </c>
      <c r="O147">
        <f>IF(O145="","",O145)</f>
        <v/>
      </c>
      <c r="Q147">
        <f>IF(Q144="","",Q144)</f>
        <v/>
      </c>
    </row>
    <row r="148">
      <c r="Q148">
        <f>"- "&amp;G147&amp;"-"&amp;H147</f>
        <v/>
      </c>
    </row>
    <row r="149">
      <c r="Q149">
        <f>"- LA "&amp;F147&amp;" ("&amp;LEFT(I147,5)&amp;"-"&amp;LEFT(J147,5)&amp;" hrs)"</f>
        <v/>
      </c>
    </row>
    <row r="151">
      <c r="Q151" s="3" t="n"/>
    </row>
    <row r="152">
      <c r="B152" s="4" t="inlineStr">
        <is>
          <t>Pairing ID</t>
        </is>
      </c>
      <c r="C152" s="4" t="inlineStr">
        <is>
          <t>FECHA REAL</t>
        </is>
      </c>
      <c r="D152" s="5" t="inlineStr">
        <is>
          <t>MES</t>
        </is>
      </c>
      <c r="E152" s="4" t="inlineStr">
        <is>
          <t>Day of Week</t>
        </is>
      </c>
      <c r="F152" s="4" t="inlineStr">
        <is>
          <t>Flight No</t>
        </is>
      </c>
      <c r="G152" s="4" t="inlineStr">
        <is>
          <t>Dep Stn</t>
        </is>
      </c>
      <c r="H152" s="4" t="inlineStr">
        <is>
          <t>Arr Stn</t>
        </is>
      </c>
      <c r="I152" s="4" t="inlineStr">
        <is>
          <t>STD</t>
        </is>
      </c>
      <c r="J152" s="4" t="inlineStr">
        <is>
          <t>STA</t>
        </is>
      </c>
      <c r="K152" s="4" t="inlineStr">
        <is>
          <t>DAY</t>
        </is>
      </c>
      <c r="L152" s="4" t="inlineStr">
        <is>
          <t>AC Type</t>
        </is>
      </c>
      <c r="M152" s="4" t="inlineStr">
        <is>
          <t>HBT</t>
        </is>
      </c>
      <c r="N152" s="6" t="inlineStr">
        <is>
          <t>DIA_DUTY</t>
        </is>
      </c>
      <c r="O152" s="3" t="n"/>
      <c r="Q152">
        <f>"- "&amp;G153&amp;"-"&amp;H153</f>
        <v/>
      </c>
      <c r="R152" s="7">
        <f>B153</f>
        <v/>
      </c>
      <c r="S152" s="7">
        <f>C153</f>
        <v/>
      </c>
      <c r="T152" s="7">
        <f>E153</f>
        <v/>
      </c>
      <c r="U152" s="7">
        <f>F153&amp;"/"&amp;F154</f>
        <v/>
      </c>
      <c r="V152" s="7">
        <f>G153&amp;"-"&amp;H153&amp;"-"&amp;G153</f>
        <v/>
      </c>
      <c r="W152" s="7">
        <f>IF(O152="","",O152)</f>
        <v/>
      </c>
      <c r="X152" s="7">
        <f>IF(Q151="","",Q151)</f>
        <v/>
      </c>
      <c r="Y152" s="7">
        <f>C153</f>
        <v/>
      </c>
      <c r="Z152" s="7">
        <f>C154</f>
        <v/>
      </c>
    </row>
    <row r="153">
      <c r="B153" s="7" t="n">
        <v>162</v>
      </c>
      <c r="C153" s="7" t="inlineStr">
        <is>
          <t>21/10/2026</t>
        </is>
      </c>
      <c r="D153" s="7" t="inlineStr">
        <is>
          <t>Oct-2026</t>
        </is>
      </c>
      <c r="E153" s="7" t="inlineStr">
        <is>
          <t>miércoles</t>
        </is>
      </c>
      <c r="F153" s="7" t="n">
        <v>2480</v>
      </c>
      <c r="G153" s="7" t="inlineStr">
        <is>
          <t>LIM</t>
        </is>
      </c>
      <c r="H153" s="7" t="inlineStr">
        <is>
          <t>MIA</t>
        </is>
      </c>
      <c r="I153" s="7" t="inlineStr">
        <is>
          <t>00:15:00</t>
        </is>
      </c>
      <c r="J153" s="7" t="inlineStr">
        <is>
          <t>06:10:00</t>
        </is>
      </c>
      <c r="K153" s="7" t="inlineStr">
        <is>
          <t>NO</t>
        </is>
      </c>
      <c r="L153" s="7" t="n">
        <v>763</v>
      </c>
      <c r="M153" s="7" t="inlineStr">
        <is>
          <t>05:55:00</t>
        </is>
      </c>
      <c r="N153" s="7" t="n">
        <v>2</v>
      </c>
      <c r="Q153">
        <f>"- LA "&amp;F153&amp;" ("&amp;LEFT(I153,5)&amp;"-"&amp;LEFT(J153,5)&amp;" hrs)"</f>
        <v/>
      </c>
    </row>
    <row r="154">
      <c r="B154" s="7" t="n">
        <v>162</v>
      </c>
      <c r="C154" s="7" t="inlineStr">
        <is>
          <t>22/10/2026</t>
        </is>
      </c>
      <c r="D154" s="7" t="inlineStr">
        <is>
          <t>Oct-2026</t>
        </is>
      </c>
      <c r="E154" s="7" t="inlineStr">
        <is>
          <t>jueves</t>
        </is>
      </c>
      <c r="F154" s="7" t="n">
        <v>2695</v>
      </c>
      <c r="G154" s="7" t="inlineStr">
        <is>
          <t>MIA</t>
        </is>
      </c>
      <c r="H154" s="7" t="inlineStr">
        <is>
          <t>LIM</t>
        </is>
      </c>
      <c r="I154" s="7" t="inlineStr">
        <is>
          <t>16:10:00</t>
        </is>
      </c>
      <c r="J154" s="7" t="inlineStr">
        <is>
          <t>22:00:00</t>
        </is>
      </c>
      <c r="K154" s="7" t="inlineStr">
        <is>
          <t>NO</t>
        </is>
      </c>
      <c r="L154" s="7" t="n">
        <v>763</v>
      </c>
      <c r="M154" s="7" t="inlineStr">
        <is>
          <t>05:50:00</t>
        </is>
      </c>
      <c r="N154" s="7" t="n">
        <v>3</v>
      </c>
      <c r="O154">
        <f>IF(O152="","",O152)</f>
        <v/>
      </c>
      <c r="Q154">
        <f>IF(Q151="","",Q151)</f>
        <v/>
      </c>
    </row>
    <row r="155">
      <c r="Q155">
        <f>"- "&amp;G154&amp;"-"&amp;H154</f>
        <v/>
      </c>
    </row>
    <row r="156">
      <c r="Q156">
        <f>"- LA "&amp;F154&amp;" ("&amp;LEFT(I154,5)&amp;"-"&amp;LEFT(J154,5)&amp;" hrs)"</f>
        <v/>
      </c>
    </row>
    <row r="158">
      <c r="Q158" s="3" t="n"/>
    </row>
    <row r="159">
      <c r="B159" s="4" t="inlineStr">
        <is>
          <t>Pairing ID</t>
        </is>
      </c>
      <c r="C159" s="4" t="inlineStr">
        <is>
          <t>FECHA REAL</t>
        </is>
      </c>
      <c r="D159" s="5" t="inlineStr">
        <is>
          <t>MES</t>
        </is>
      </c>
      <c r="E159" s="4" t="inlineStr">
        <is>
          <t>Day of Week</t>
        </is>
      </c>
      <c r="F159" s="4" t="inlineStr">
        <is>
          <t>Flight No</t>
        </is>
      </c>
      <c r="G159" s="4" t="inlineStr">
        <is>
          <t>Dep Stn</t>
        </is>
      </c>
      <c r="H159" s="4" t="inlineStr">
        <is>
          <t>Arr Stn</t>
        </is>
      </c>
      <c r="I159" s="4" t="inlineStr">
        <is>
          <t>STD</t>
        </is>
      </c>
      <c r="J159" s="4" t="inlineStr">
        <is>
          <t>STA</t>
        </is>
      </c>
      <c r="K159" s="4" t="inlineStr">
        <is>
          <t>DAY</t>
        </is>
      </c>
      <c r="L159" s="4" t="inlineStr">
        <is>
          <t>AC Type</t>
        </is>
      </c>
      <c r="M159" s="4" t="inlineStr">
        <is>
          <t>HBT</t>
        </is>
      </c>
      <c r="N159" s="6" t="inlineStr">
        <is>
          <t>DIA_DUTY</t>
        </is>
      </c>
      <c r="O159" s="3" t="n"/>
      <c r="Q159">
        <f>"- "&amp;G160&amp;"-"&amp;H160</f>
        <v/>
      </c>
      <c r="R159" s="7">
        <f>B160</f>
        <v/>
      </c>
      <c r="S159" s="7">
        <f>C160</f>
        <v/>
      </c>
      <c r="T159" s="7">
        <f>E160</f>
        <v/>
      </c>
      <c r="U159" s="7">
        <f>F160&amp;"/"&amp;F161</f>
        <v/>
      </c>
      <c r="V159" s="7">
        <f>G160&amp;"-"&amp;H160&amp;"-"&amp;G160</f>
        <v/>
      </c>
      <c r="W159" s="7">
        <f>IF(O159="","",O159)</f>
        <v/>
      </c>
      <c r="X159" s="7">
        <f>IF(Q158="","",Q158)</f>
        <v/>
      </c>
      <c r="Y159" s="7">
        <f>C160</f>
        <v/>
      </c>
      <c r="Z159" s="7">
        <f>C161</f>
        <v/>
      </c>
    </row>
    <row r="160">
      <c r="B160" s="7" t="n">
        <v>164</v>
      </c>
      <c r="C160" s="7" t="inlineStr">
        <is>
          <t>15/10/2026</t>
        </is>
      </c>
      <c r="D160" s="7" t="inlineStr">
        <is>
          <t>Oct-2026</t>
        </is>
      </c>
      <c r="E160" s="7" t="inlineStr">
        <is>
          <t>jueves</t>
        </is>
      </c>
      <c r="F160" s="7" t="n">
        <v>2480</v>
      </c>
      <c r="G160" s="7" t="inlineStr">
        <is>
          <t>LIM</t>
        </is>
      </c>
      <c r="H160" s="7" t="inlineStr">
        <is>
          <t>MIA</t>
        </is>
      </c>
      <c r="I160" s="7" t="inlineStr">
        <is>
          <t>00:15:00</t>
        </is>
      </c>
      <c r="J160" s="7" t="inlineStr">
        <is>
          <t>06:10:00</t>
        </is>
      </c>
      <c r="K160" s="7" t="inlineStr">
        <is>
          <t>NO</t>
        </is>
      </c>
      <c r="L160" s="7" t="n">
        <v>763</v>
      </c>
      <c r="M160" s="7" t="inlineStr">
        <is>
          <t>05:55:00</t>
        </is>
      </c>
      <c r="N160" s="7" t="n">
        <v>2</v>
      </c>
      <c r="Q160">
        <f>"- LA "&amp;F160&amp;" ("&amp;LEFT(I160,5)&amp;"-"&amp;LEFT(J160,5)&amp;" hrs)"</f>
        <v/>
      </c>
    </row>
    <row r="161">
      <c r="B161" s="7" t="n">
        <v>164</v>
      </c>
      <c r="C161" s="7" t="inlineStr">
        <is>
          <t>16/10/2026</t>
        </is>
      </c>
      <c r="D161" s="7" t="inlineStr">
        <is>
          <t>Oct-2026</t>
        </is>
      </c>
      <c r="E161" s="7" t="inlineStr">
        <is>
          <t>viernes</t>
        </is>
      </c>
      <c r="F161" s="7" t="n">
        <v>2481</v>
      </c>
      <c r="G161" s="7" t="inlineStr">
        <is>
          <t>MIA</t>
        </is>
      </c>
      <c r="H161" s="7" t="inlineStr">
        <is>
          <t>LIM</t>
        </is>
      </c>
      <c r="I161" s="7" t="inlineStr">
        <is>
          <t>15:55:00</t>
        </is>
      </c>
      <c r="J161" s="7" t="inlineStr">
        <is>
          <t>21:40:00</t>
        </is>
      </c>
      <c r="K161" s="7" t="inlineStr">
        <is>
          <t>NO</t>
        </is>
      </c>
      <c r="L161" s="7" t="n">
        <v>763</v>
      </c>
      <c r="M161" s="7" t="inlineStr">
        <is>
          <t>05:45:00</t>
        </is>
      </c>
      <c r="N161" s="7" t="n">
        <v>3</v>
      </c>
      <c r="O161">
        <f>IF(O159="","",O159)</f>
        <v/>
      </c>
      <c r="Q161">
        <f>IF(Q158="","",Q158)</f>
        <v/>
      </c>
    </row>
    <row r="162">
      <c r="Q162">
        <f>"- "&amp;G161&amp;"-"&amp;H161</f>
        <v/>
      </c>
    </row>
    <row r="163">
      <c r="Q163">
        <f>"- LA "&amp;F161&amp;" ("&amp;LEFT(I161,5)&amp;"-"&amp;LEFT(J161,5)&amp;" hrs)"</f>
        <v/>
      </c>
    </row>
    <row r="165">
      <c r="Q165" s="3" t="n"/>
    </row>
    <row r="166">
      <c r="B166" s="4" t="inlineStr">
        <is>
          <t>Pairing ID</t>
        </is>
      </c>
      <c r="C166" s="4" t="inlineStr">
        <is>
          <t>FECHA REAL</t>
        </is>
      </c>
      <c r="D166" s="5" t="inlineStr">
        <is>
          <t>MES</t>
        </is>
      </c>
      <c r="E166" s="4" t="inlineStr">
        <is>
          <t>Day of Week</t>
        </is>
      </c>
      <c r="F166" s="4" t="inlineStr">
        <is>
          <t>Flight No</t>
        </is>
      </c>
      <c r="G166" s="4" t="inlineStr">
        <is>
          <t>Dep Stn</t>
        </is>
      </c>
      <c r="H166" s="4" t="inlineStr">
        <is>
          <t>Arr Stn</t>
        </is>
      </c>
      <c r="I166" s="4" t="inlineStr">
        <is>
          <t>STD</t>
        </is>
      </c>
      <c r="J166" s="4" t="inlineStr">
        <is>
          <t>STA</t>
        </is>
      </c>
      <c r="K166" s="4" t="inlineStr">
        <is>
          <t>DAY</t>
        </is>
      </c>
      <c r="L166" s="4" t="inlineStr">
        <is>
          <t>AC Type</t>
        </is>
      </c>
      <c r="M166" s="4" t="inlineStr">
        <is>
          <t>HBT</t>
        </is>
      </c>
      <c r="N166" s="6" t="inlineStr">
        <is>
          <t>DIA_DUTY</t>
        </is>
      </c>
      <c r="O166" s="3" t="n"/>
      <c r="Q166">
        <f>"- "&amp;G167&amp;"-"&amp;H167</f>
        <v/>
      </c>
      <c r="R166" s="7">
        <f>B167</f>
        <v/>
      </c>
      <c r="S166" s="7">
        <f>C167</f>
        <v/>
      </c>
      <c r="T166" s="7">
        <f>E167</f>
        <v/>
      </c>
      <c r="U166" s="7">
        <f>F167&amp;"/"&amp;F168</f>
        <v/>
      </c>
      <c r="V166" s="7">
        <f>G167&amp;"-"&amp;H167&amp;"-"&amp;G167</f>
        <v/>
      </c>
      <c r="W166" s="7">
        <f>IF(O166="","",O166)</f>
        <v/>
      </c>
      <c r="X166" s="7">
        <f>IF(Q165="","",Q165)</f>
        <v/>
      </c>
      <c r="Y166" s="7">
        <f>C167</f>
        <v/>
      </c>
      <c r="Z166" s="7">
        <f>C168</f>
        <v/>
      </c>
    </row>
    <row r="167">
      <c r="B167" s="7" t="n">
        <v>169</v>
      </c>
      <c r="C167" s="7" t="inlineStr">
        <is>
          <t>15/10/2026</t>
        </is>
      </c>
      <c r="D167" s="7" t="inlineStr">
        <is>
          <t>Oct-2026</t>
        </is>
      </c>
      <c r="E167" s="7" t="inlineStr">
        <is>
          <t>jueves</t>
        </is>
      </c>
      <c r="F167" s="7" t="n">
        <v>2697</v>
      </c>
      <c r="G167" s="7" t="inlineStr">
        <is>
          <t>LIM</t>
        </is>
      </c>
      <c r="H167" s="7" t="inlineStr">
        <is>
          <t>SCL</t>
        </is>
      </c>
      <c r="I167" s="7" t="inlineStr">
        <is>
          <t>09:35:00</t>
        </is>
      </c>
      <c r="J167" s="7" t="inlineStr">
        <is>
          <t>13:00:00</t>
        </is>
      </c>
      <c r="K167" s="7" t="inlineStr">
        <is>
          <t>NO</t>
        </is>
      </c>
      <c r="L167" s="7" t="n">
        <v>789</v>
      </c>
      <c r="M167" s="7" t="inlineStr">
        <is>
          <t>03:25:00</t>
        </is>
      </c>
      <c r="N167" s="7" t="n">
        <v>1</v>
      </c>
      <c r="Q167">
        <f>"- LA "&amp;F167&amp;" ("&amp;LEFT(I167,5)&amp;"-"&amp;LEFT(J167,5)&amp;" hrs)"</f>
        <v/>
      </c>
    </row>
    <row r="168">
      <c r="B168" s="7" t="n">
        <v>169</v>
      </c>
      <c r="C168" s="7" t="inlineStr">
        <is>
          <t>15/10/2026</t>
        </is>
      </c>
      <c r="D168" s="7" t="inlineStr">
        <is>
          <t>Oct-2026</t>
        </is>
      </c>
      <c r="E168" s="7" t="inlineStr">
        <is>
          <t>jueves</t>
        </is>
      </c>
      <c r="F168" s="7" t="n">
        <v>2696</v>
      </c>
      <c r="G168" s="7" t="inlineStr">
        <is>
          <t>SCL</t>
        </is>
      </c>
      <c r="H168" s="7" t="inlineStr">
        <is>
          <t>LIM</t>
        </is>
      </c>
      <c r="I168" s="7" t="inlineStr">
        <is>
          <t>15:55:00</t>
        </is>
      </c>
      <c r="J168" s="7" t="inlineStr">
        <is>
          <t>19:40:00</t>
        </is>
      </c>
      <c r="K168" s="7" t="inlineStr">
        <is>
          <t>NO</t>
        </is>
      </c>
      <c r="L168" s="7" t="n">
        <v>789</v>
      </c>
      <c r="M168" s="7" t="inlineStr">
        <is>
          <t>03:45:00</t>
        </is>
      </c>
      <c r="N168" s="7" t="n">
        <v>1</v>
      </c>
      <c r="O168">
        <f>IF(O166="","",O166)</f>
        <v/>
      </c>
      <c r="Q168">
        <f>IF(Q165="","",Q165)</f>
        <v/>
      </c>
    </row>
    <row r="169">
      <c r="Q169">
        <f>"- "&amp;G168&amp;"-"&amp;H168</f>
        <v/>
      </c>
    </row>
    <row r="170">
      <c r="Q170">
        <f>"- LA "&amp;F168&amp;" ("&amp;LEFT(I168,5)&amp;"-"&amp;LEFT(J168,5)&amp;" hrs)"</f>
        <v/>
      </c>
    </row>
    <row r="172">
      <c r="Q172" s="3" t="n"/>
    </row>
    <row r="173">
      <c r="B173" s="4" t="inlineStr">
        <is>
          <t>Pairing ID</t>
        </is>
      </c>
      <c r="C173" s="4" t="inlineStr">
        <is>
          <t>FECHA REAL</t>
        </is>
      </c>
      <c r="D173" s="5" t="inlineStr">
        <is>
          <t>MES</t>
        </is>
      </c>
      <c r="E173" s="4" t="inlineStr">
        <is>
          <t>Day of Week</t>
        </is>
      </c>
      <c r="F173" s="4" t="inlineStr">
        <is>
          <t>Flight No</t>
        </is>
      </c>
      <c r="G173" s="4" t="inlineStr">
        <is>
          <t>Dep Stn</t>
        </is>
      </c>
      <c r="H173" s="4" t="inlineStr">
        <is>
          <t>Arr Stn</t>
        </is>
      </c>
      <c r="I173" s="4" t="inlineStr">
        <is>
          <t>STD</t>
        </is>
      </c>
      <c r="J173" s="4" t="inlineStr">
        <is>
          <t>STA</t>
        </is>
      </c>
      <c r="K173" s="4" t="inlineStr">
        <is>
          <t>DAY</t>
        </is>
      </c>
      <c r="L173" s="4" t="inlineStr">
        <is>
          <t>AC Type</t>
        </is>
      </c>
      <c r="M173" s="4" t="inlineStr">
        <is>
          <t>HBT</t>
        </is>
      </c>
      <c r="N173" s="6" t="inlineStr">
        <is>
          <t>DIA_DUTY</t>
        </is>
      </c>
      <c r="O173" s="3" t="n"/>
      <c r="Q173">
        <f>"- "&amp;G174&amp;"-"&amp;H174</f>
        <v/>
      </c>
      <c r="R173" s="7">
        <f>B174</f>
        <v/>
      </c>
      <c r="S173" s="7">
        <f>C174</f>
        <v/>
      </c>
      <c r="T173" s="7">
        <f>E174</f>
        <v/>
      </c>
      <c r="U173" s="7">
        <f>F174&amp;"/"&amp;F175</f>
        <v/>
      </c>
      <c r="V173" s="7">
        <f>G174&amp;"-"&amp;H174&amp;"-"&amp;G174</f>
        <v/>
      </c>
      <c r="W173" s="7">
        <f>IF(O173="","",O173)</f>
        <v/>
      </c>
      <c r="X173" s="7">
        <f>IF(Q172="","",Q172)</f>
        <v/>
      </c>
      <c r="Y173" s="7">
        <f>C174</f>
        <v/>
      </c>
      <c r="Z173" s="7">
        <f>C175</f>
        <v/>
      </c>
    </row>
    <row r="174">
      <c r="B174" s="7" t="n">
        <v>169</v>
      </c>
      <c r="C174" s="7" t="inlineStr">
        <is>
          <t>22/10/2026</t>
        </is>
      </c>
      <c r="D174" s="7" t="inlineStr">
        <is>
          <t>Oct-2026</t>
        </is>
      </c>
      <c r="E174" s="7" t="inlineStr">
        <is>
          <t>jueves</t>
        </is>
      </c>
      <c r="F174" s="7" t="n">
        <v>2480</v>
      </c>
      <c r="G174" s="7" t="inlineStr">
        <is>
          <t>LIM</t>
        </is>
      </c>
      <c r="H174" s="7" t="inlineStr">
        <is>
          <t>MIA</t>
        </is>
      </c>
      <c r="I174" s="7" t="inlineStr">
        <is>
          <t>00:15:00</t>
        </is>
      </c>
      <c r="J174" s="7" t="inlineStr">
        <is>
          <t>06:10:00</t>
        </is>
      </c>
      <c r="K174" s="7" t="inlineStr">
        <is>
          <t>NO</t>
        </is>
      </c>
      <c r="L174" s="7" t="n">
        <v>763</v>
      </c>
      <c r="M174" s="7" t="inlineStr">
        <is>
          <t>05:55:00</t>
        </is>
      </c>
      <c r="N174" s="7" t="n">
        <v>2</v>
      </c>
      <c r="Q174">
        <f>"- LA "&amp;F174&amp;" ("&amp;LEFT(I174,5)&amp;"-"&amp;LEFT(J174,5)&amp;" hrs)"</f>
        <v/>
      </c>
    </row>
    <row r="175">
      <c r="B175" s="7" t="n">
        <v>169</v>
      </c>
      <c r="C175" s="7" t="inlineStr">
        <is>
          <t>23/10/2026</t>
        </is>
      </c>
      <c r="D175" s="7" t="inlineStr">
        <is>
          <t>Oct-2026</t>
        </is>
      </c>
      <c r="E175" s="7" t="inlineStr">
        <is>
          <t>viernes</t>
        </is>
      </c>
      <c r="F175" s="7" t="n">
        <v>2481</v>
      </c>
      <c r="G175" s="7" t="inlineStr">
        <is>
          <t>MIA</t>
        </is>
      </c>
      <c r="H175" s="7" t="inlineStr">
        <is>
          <t>LIM</t>
        </is>
      </c>
      <c r="I175" s="7" t="inlineStr">
        <is>
          <t>15:55:00</t>
        </is>
      </c>
      <c r="J175" s="7" t="inlineStr">
        <is>
          <t>21:40:00</t>
        </is>
      </c>
      <c r="K175" s="7" t="inlineStr">
        <is>
          <t>NO</t>
        </is>
      </c>
      <c r="L175" s="7" t="n">
        <v>763</v>
      </c>
      <c r="M175" s="7" t="inlineStr">
        <is>
          <t>05:45:00</t>
        </is>
      </c>
      <c r="N175" s="7" t="n">
        <v>3</v>
      </c>
      <c r="O175">
        <f>IF(O173="","",O173)</f>
        <v/>
      </c>
      <c r="Q175">
        <f>IF(Q172="","",Q172)</f>
        <v/>
      </c>
    </row>
    <row r="176">
      <c r="Q176">
        <f>"- "&amp;G175&amp;"-"&amp;H175</f>
        <v/>
      </c>
    </row>
    <row r="177">
      <c r="Q177">
        <f>"- LA "&amp;F175&amp;" ("&amp;LEFT(I175,5)&amp;"-"&amp;LEFT(J175,5)&amp;" hrs)"</f>
        <v/>
      </c>
    </row>
    <row r="179">
      <c r="Q179" s="3" t="n"/>
    </row>
    <row r="180">
      <c r="B180" s="4" t="inlineStr">
        <is>
          <t>Pairing ID</t>
        </is>
      </c>
      <c r="C180" s="4" t="inlineStr">
        <is>
          <t>FECHA REAL</t>
        </is>
      </c>
      <c r="D180" s="5" t="inlineStr">
        <is>
          <t>MES</t>
        </is>
      </c>
      <c r="E180" s="4" t="inlineStr">
        <is>
          <t>Day of Week</t>
        </is>
      </c>
      <c r="F180" s="4" t="inlineStr">
        <is>
          <t>Flight No</t>
        </is>
      </c>
      <c r="G180" s="4" t="inlineStr">
        <is>
          <t>Dep Stn</t>
        </is>
      </c>
      <c r="H180" s="4" t="inlineStr">
        <is>
          <t>Arr Stn</t>
        </is>
      </c>
      <c r="I180" s="4" t="inlineStr">
        <is>
          <t>STD</t>
        </is>
      </c>
      <c r="J180" s="4" t="inlineStr">
        <is>
          <t>STA</t>
        </is>
      </c>
      <c r="K180" s="4" t="inlineStr">
        <is>
          <t>DAY</t>
        </is>
      </c>
      <c r="L180" s="4" t="inlineStr">
        <is>
          <t>AC Type</t>
        </is>
      </c>
      <c r="M180" s="4" t="inlineStr">
        <is>
          <t>HBT</t>
        </is>
      </c>
      <c r="N180" s="6" t="inlineStr">
        <is>
          <t>DIA_DUTY</t>
        </is>
      </c>
      <c r="O180" s="3" t="n"/>
      <c r="Q180">
        <f>"- "&amp;G181&amp;"-"&amp;H181</f>
        <v/>
      </c>
      <c r="R180" s="7">
        <f>B181</f>
        <v/>
      </c>
      <c r="S180" s="7">
        <f>C181</f>
        <v/>
      </c>
      <c r="T180" s="7">
        <f>E181</f>
        <v/>
      </c>
      <c r="U180" s="7">
        <f>F181&amp;"/"&amp;F182</f>
        <v/>
      </c>
      <c r="V180" s="7">
        <f>G181&amp;"-"&amp;H181&amp;"-"&amp;G181</f>
        <v/>
      </c>
      <c r="W180" s="7">
        <f>IF(O180="","",O180)</f>
        <v/>
      </c>
      <c r="X180" s="7">
        <f>IF(Q179="","",Q179)</f>
        <v/>
      </c>
      <c r="Y180" s="7">
        <f>C181</f>
        <v/>
      </c>
      <c r="Z180" s="7">
        <f>C182</f>
        <v/>
      </c>
    </row>
    <row r="181">
      <c r="B181" s="7" t="n">
        <v>16</v>
      </c>
      <c r="C181" s="7" t="inlineStr">
        <is>
          <t>07/10/2026</t>
        </is>
      </c>
      <c r="D181" s="7" t="inlineStr">
        <is>
          <t>Oct-2026</t>
        </is>
      </c>
      <c r="E181" s="7" t="inlineStr">
        <is>
          <t>miércoles</t>
        </is>
      </c>
      <c r="F181" s="7" t="n">
        <v>2697</v>
      </c>
      <c r="G181" s="7" t="inlineStr">
        <is>
          <t>LIM</t>
        </is>
      </c>
      <c r="H181" s="7" t="inlineStr">
        <is>
          <t>SCL</t>
        </is>
      </c>
      <c r="I181" s="7" t="inlineStr">
        <is>
          <t>09:35:00</t>
        </is>
      </c>
      <c r="J181" s="7" t="inlineStr">
        <is>
          <t>13:00:00</t>
        </is>
      </c>
      <c r="K181" s="7" t="inlineStr">
        <is>
          <t>NO</t>
        </is>
      </c>
      <c r="L181" s="7" t="n">
        <v>789</v>
      </c>
      <c r="M181" s="7" t="inlineStr">
        <is>
          <t>03:25:00</t>
        </is>
      </c>
      <c r="N181" s="7" t="n">
        <v>1</v>
      </c>
      <c r="Q181">
        <f>"- LA "&amp;F181&amp;" ("&amp;LEFT(I181,5)&amp;"-"&amp;LEFT(J181,5)&amp;" hrs)"</f>
        <v/>
      </c>
    </row>
    <row r="182">
      <c r="B182" s="7" t="n">
        <v>16</v>
      </c>
      <c r="C182" s="7" t="inlineStr">
        <is>
          <t>07/10/2026</t>
        </is>
      </c>
      <c r="D182" s="7" t="inlineStr">
        <is>
          <t>Oct-2026</t>
        </is>
      </c>
      <c r="E182" s="7" t="inlineStr">
        <is>
          <t>miércoles</t>
        </is>
      </c>
      <c r="F182" s="7" t="n">
        <v>2696</v>
      </c>
      <c r="G182" s="7" t="inlineStr">
        <is>
          <t>SCL</t>
        </is>
      </c>
      <c r="H182" s="7" t="inlineStr">
        <is>
          <t>LIM</t>
        </is>
      </c>
      <c r="I182" s="7" t="inlineStr">
        <is>
          <t>15:55:00</t>
        </is>
      </c>
      <c r="J182" s="7" t="inlineStr">
        <is>
          <t>19:40:00</t>
        </is>
      </c>
      <c r="K182" s="7" t="inlineStr">
        <is>
          <t>NO</t>
        </is>
      </c>
      <c r="L182" s="7" t="n">
        <v>788</v>
      </c>
      <c r="M182" s="7" t="inlineStr">
        <is>
          <t>03:45:00</t>
        </is>
      </c>
      <c r="N182" s="7" t="n">
        <v>1</v>
      </c>
      <c r="O182">
        <f>IF(O180="","",O180)</f>
        <v/>
      </c>
      <c r="Q182">
        <f>IF(Q179="","",Q179)</f>
        <v/>
      </c>
    </row>
    <row r="183">
      <c r="Q183">
        <f>"- "&amp;G182&amp;"-"&amp;H182</f>
        <v/>
      </c>
    </row>
    <row r="184">
      <c r="Q184">
        <f>"- LA "&amp;F182&amp;" ("&amp;LEFT(I182,5)&amp;"-"&amp;LEFT(J182,5)&amp;" hrs)"</f>
        <v/>
      </c>
    </row>
    <row r="186">
      <c r="Q186" s="3" t="n"/>
    </row>
    <row r="187">
      <c r="B187" s="4" t="inlineStr">
        <is>
          <t>Pairing ID</t>
        </is>
      </c>
      <c r="C187" s="4" t="inlineStr">
        <is>
          <t>FECHA REAL</t>
        </is>
      </c>
      <c r="D187" s="5" t="inlineStr">
        <is>
          <t>MES</t>
        </is>
      </c>
      <c r="E187" s="4" t="inlineStr">
        <is>
          <t>Day of Week</t>
        </is>
      </c>
      <c r="F187" s="4" t="inlineStr">
        <is>
          <t>Flight No</t>
        </is>
      </c>
      <c r="G187" s="4" t="inlineStr">
        <is>
          <t>Dep Stn</t>
        </is>
      </c>
      <c r="H187" s="4" t="inlineStr">
        <is>
          <t>Arr Stn</t>
        </is>
      </c>
      <c r="I187" s="4" t="inlineStr">
        <is>
          <t>STD</t>
        </is>
      </c>
      <c r="J187" s="4" t="inlineStr">
        <is>
          <t>STA</t>
        </is>
      </c>
      <c r="K187" s="4" t="inlineStr">
        <is>
          <t>DAY</t>
        </is>
      </c>
      <c r="L187" s="4" t="inlineStr">
        <is>
          <t>AC Type</t>
        </is>
      </c>
      <c r="M187" s="4" t="inlineStr">
        <is>
          <t>HBT</t>
        </is>
      </c>
      <c r="N187" s="6" t="inlineStr">
        <is>
          <t>DIA_DUTY</t>
        </is>
      </c>
      <c r="O187" s="3" t="n"/>
      <c r="Q187">
        <f>"- "&amp;G188&amp;"-"&amp;H188</f>
        <v/>
      </c>
      <c r="R187" s="7">
        <f>B188</f>
        <v/>
      </c>
      <c r="S187" s="7">
        <f>C188</f>
        <v/>
      </c>
      <c r="T187" s="7">
        <f>E188</f>
        <v/>
      </c>
      <c r="U187" s="7">
        <f>F188&amp;"/"&amp;F189</f>
        <v/>
      </c>
      <c r="V187" s="7">
        <f>G188&amp;"-"&amp;H188&amp;"-"&amp;G188</f>
        <v/>
      </c>
      <c r="W187" s="7">
        <f>IF(O187="","",O187)</f>
        <v/>
      </c>
      <c r="X187" s="7">
        <f>IF(Q186="","",Q186)</f>
        <v/>
      </c>
      <c r="Y187" s="7">
        <f>C188</f>
        <v/>
      </c>
      <c r="Z187" s="7">
        <f>C189</f>
        <v/>
      </c>
    </row>
    <row r="188">
      <c r="B188" s="7" t="n">
        <v>170</v>
      </c>
      <c r="C188" s="7" t="inlineStr">
        <is>
          <t>15/10/2026</t>
        </is>
      </c>
      <c r="D188" s="7" t="inlineStr">
        <is>
          <t>Oct-2026</t>
        </is>
      </c>
      <c r="E188" s="7" t="inlineStr">
        <is>
          <t>jueves</t>
        </is>
      </c>
      <c r="F188" s="7" t="n">
        <v>2413</v>
      </c>
      <c r="G188" s="7" t="inlineStr">
        <is>
          <t>LIM</t>
        </is>
      </c>
      <c r="H188" s="7" t="inlineStr">
        <is>
          <t>SCL</t>
        </is>
      </c>
      <c r="I188" s="7" t="inlineStr">
        <is>
          <t>12:05:00</t>
        </is>
      </c>
      <c r="J188" s="7" t="inlineStr">
        <is>
          <t>15:45:00</t>
        </is>
      </c>
      <c r="K188" s="7" t="inlineStr">
        <is>
          <t>NO</t>
        </is>
      </c>
      <c r="L188" s="7" t="n">
        <v>763</v>
      </c>
      <c r="M188" s="7" t="inlineStr">
        <is>
          <t>03:40:00</t>
        </is>
      </c>
      <c r="N188" s="7" t="n">
        <v>1</v>
      </c>
      <c r="Q188">
        <f>"- LA "&amp;F188&amp;" ("&amp;LEFT(I188,5)&amp;"-"&amp;LEFT(J188,5)&amp;" hrs)"</f>
        <v/>
      </c>
    </row>
    <row r="189">
      <c r="B189" s="7" t="n">
        <v>170</v>
      </c>
      <c r="C189" s="7" t="inlineStr">
        <is>
          <t>15/10/2026</t>
        </is>
      </c>
      <c r="D189" s="7" t="inlineStr">
        <is>
          <t>Oct-2026</t>
        </is>
      </c>
      <c r="E189" s="7" t="inlineStr">
        <is>
          <t>jueves</t>
        </is>
      </c>
      <c r="F189" s="7" t="n">
        <v>2412</v>
      </c>
      <c r="G189" s="7" t="inlineStr">
        <is>
          <t>SCL</t>
        </is>
      </c>
      <c r="H189" s="7" t="inlineStr">
        <is>
          <t>LIM</t>
        </is>
      </c>
      <c r="I189" s="7" t="inlineStr">
        <is>
          <t>17:10:00</t>
        </is>
      </c>
      <c r="J189" s="7" t="inlineStr">
        <is>
          <t>21:00:00</t>
        </is>
      </c>
      <c r="K189" s="7" t="inlineStr">
        <is>
          <t>NO</t>
        </is>
      </c>
      <c r="L189" s="7" t="n">
        <v>763</v>
      </c>
      <c r="M189" s="7" t="inlineStr">
        <is>
          <t>03:50:00</t>
        </is>
      </c>
      <c r="N189" s="7" t="n">
        <v>1</v>
      </c>
      <c r="O189">
        <f>IF(O187="","",O187)</f>
        <v/>
      </c>
      <c r="Q189">
        <f>IF(Q186="","",Q186)</f>
        <v/>
      </c>
    </row>
    <row r="190">
      <c r="Q190">
        <f>"- "&amp;G189&amp;"-"&amp;H189</f>
        <v/>
      </c>
    </row>
    <row r="191">
      <c r="Q191">
        <f>"- LA "&amp;F189&amp;" ("&amp;LEFT(I189,5)&amp;"-"&amp;LEFT(J189,5)&amp;" hrs)"</f>
        <v/>
      </c>
    </row>
    <row r="193">
      <c r="Q193" s="3" t="n"/>
    </row>
    <row r="194">
      <c r="B194" s="4" t="inlineStr">
        <is>
          <t>Pairing ID</t>
        </is>
      </c>
      <c r="C194" s="4" t="inlineStr">
        <is>
          <t>FECHA REAL</t>
        </is>
      </c>
      <c r="D194" s="5" t="inlineStr">
        <is>
          <t>MES</t>
        </is>
      </c>
      <c r="E194" s="4" t="inlineStr">
        <is>
          <t>Day of Week</t>
        </is>
      </c>
      <c r="F194" s="4" t="inlineStr">
        <is>
          <t>Flight No</t>
        </is>
      </c>
      <c r="G194" s="4" t="inlineStr">
        <is>
          <t>Dep Stn</t>
        </is>
      </c>
      <c r="H194" s="4" t="inlineStr">
        <is>
          <t>Arr Stn</t>
        </is>
      </c>
      <c r="I194" s="4" t="inlineStr">
        <is>
          <t>STD</t>
        </is>
      </c>
      <c r="J194" s="4" t="inlineStr">
        <is>
          <t>STA</t>
        </is>
      </c>
      <c r="K194" s="4" t="inlineStr">
        <is>
          <t>DAY</t>
        </is>
      </c>
      <c r="L194" s="4" t="inlineStr">
        <is>
          <t>AC Type</t>
        </is>
      </c>
      <c r="M194" s="4" t="inlineStr">
        <is>
          <t>HBT</t>
        </is>
      </c>
      <c r="N194" s="6" t="inlineStr">
        <is>
          <t>DIA_DUTY</t>
        </is>
      </c>
      <c r="O194" s="3" t="n"/>
      <c r="Q194">
        <f>"- "&amp;G195&amp;"-"&amp;H195</f>
        <v/>
      </c>
      <c r="R194" s="7">
        <f>B195</f>
        <v/>
      </c>
      <c r="S194" s="7">
        <f>C195</f>
        <v/>
      </c>
      <c r="T194" s="7">
        <f>E195</f>
        <v/>
      </c>
      <c r="U194" s="7">
        <f>F195&amp;"/"&amp;F196</f>
        <v/>
      </c>
      <c r="V194" s="7">
        <f>G195&amp;"-"&amp;H195&amp;"-"&amp;G195</f>
        <v/>
      </c>
      <c r="W194" s="7">
        <f>IF(O194="","",O194)</f>
        <v/>
      </c>
      <c r="X194" s="7">
        <f>IF(Q193="","",Q193)</f>
        <v/>
      </c>
      <c r="Y194" s="7">
        <f>C195</f>
        <v/>
      </c>
      <c r="Z194" s="7">
        <f>C196</f>
        <v/>
      </c>
    </row>
    <row r="195">
      <c r="B195" s="7" t="n">
        <v>172</v>
      </c>
      <c r="C195" s="7" t="inlineStr">
        <is>
          <t>22/10/2026</t>
        </is>
      </c>
      <c r="D195" s="7" t="inlineStr">
        <is>
          <t>Oct-2026</t>
        </is>
      </c>
      <c r="E195" s="7" t="inlineStr">
        <is>
          <t>jueves</t>
        </is>
      </c>
      <c r="F195" s="7" t="n">
        <v>2413</v>
      </c>
      <c r="G195" s="7" t="inlineStr">
        <is>
          <t>LIM</t>
        </is>
      </c>
      <c r="H195" s="7" t="inlineStr">
        <is>
          <t>SCL</t>
        </is>
      </c>
      <c r="I195" s="7" t="inlineStr">
        <is>
          <t>12:05:00</t>
        </is>
      </c>
      <c r="J195" s="7" t="inlineStr">
        <is>
          <t>15:45:00</t>
        </is>
      </c>
      <c r="K195" s="7" t="inlineStr">
        <is>
          <t>NO</t>
        </is>
      </c>
      <c r="L195" s="7" t="n">
        <v>763</v>
      </c>
      <c r="M195" s="7" t="inlineStr">
        <is>
          <t>03:40:00</t>
        </is>
      </c>
      <c r="N195" s="7" t="n">
        <v>1</v>
      </c>
      <c r="Q195">
        <f>"- LA "&amp;F195&amp;" ("&amp;LEFT(I195,5)&amp;"-"&amp;LEFT(J195,5)&amp;" hrs)"</f>
        <v/>
      </c>
    </row>
    <row r="196">
      <c r="B196" s="7" t="n">
        <v>172</v>
      </c>
      <c r="C196" s="7" t="inlineStr">
        <is>
          <t>22/10/2026</t>
        </is>
      </c>
      <c r="D196" s="7" t="inlineStr">
        <is>
          <t>Oct-2026</t>
        </is>
      </c>
      <c r="E196" s="7" t="inlineStr">
        <is>
          <t>jueves</t>
        </is>
      </c>
      <c r="F196" s="7" t="n">
        <v>2412</v>
      </c>
      <c r="G196" s="7" t="inlineStr">
        <is>
          <t>SCL</t>
        </is>
      </c>
      <c r="H196" s="7" t="inlineStr">
        <is>
          <t>LIM</t>
        </is>
      </c>
      <c r="I196" s="7" t="inlineStr">
        <is>
          <t>17:10:00</t>
        </is>
      </c>
      <c r="J196" s="7" t="inlineStr">
        <is>
          <t>21:00:00</t>
        </is>
      </c>
      <c r="K196" s="7" t="inlineStr">
        <is>
          <t>NO</t>
        </is>
      </c>
      <c r="L196" s="7" t="n">
        <v>763</v>
      </c>
      <c r="M196" s="7" t="inlineStr">
        <is>
          <t>03:50:00</t>
        </is>
      </c>
      <c r="N196" s="7" t="n">
        <v>1</v>
      </c>
      <c r="O196">
        <f>IF(O194="","",O194)</f>
        <v/>
      </c>
      <c r="Q196">
        <f>IF(Q193="","",Q193)</f>
        <v/>
      </c>
    </row>
    <row r="197">
      <c r="Q197">
        <f>"- "&amp;G196&amp;"-"&amp;H196</f>
        <v/>
      </c>
    </row>
    <row r="198">
      <c r="Q198">
        <f>"- LA "&amp;F196&amp;" ("&amp;LEFT(I196,5)&amp;"-"&amp;LEFT(J196,5)&amp;" hrs)"</f>
        <v/>
      </c>
    </row>
    <row r="200">
      <c r="Q200" s="3" t="n"/>
    </row>
    <row r="201">
      <c r="B201" s="4" t="inlineStr">
        <is>
          <t>Pairing ID</t>
        </is>
      </c>
      <c r="C201" s="4" t="inlineStr">
        <is>
          <t>FECHA REAL</t>
        </is>
      </c>
      <c r="D201" s="5" t="inlineStr">
        <is>
          <t>MES</t>
        </is>
      </c>
      <c r="E201" s="4" t="inlineStr">
        <is>
          <t>Day of Week</t>
        </is>
      </c>
      <c r="F201" s="4" t="inlineStr">
        <is>
          <t>Flight No</t>
        </is>
      </c>
      <c r="G201" s="4" t="inlineStr">
        <is>
          <t>Dep Stn</t>
        </is>
      </c>
      <c r="H201" s="4" t="inlineStr">
        <is>
          <t>Arr Stn</t>
        </is>
      </c>
      <c r="I201" s="4" t="inlineStr">
        <is>
          <t>STD</t>
        </is>
      </c>
      <c r="J201" s="4" t="inlineStr">
        <is>
          <t>STA</t>
        </is>
      </c>
      <c r="K201" s="4" t="inlineStr">
        <is>
          <t>DAY</t>
        </is>
      </c>
      <c r="L201" s="4" t="inlineStr">
        <is>
          <t>AC Type</t>
        </is>
      </c>
      <c r="M201" s="4" t="inlineStr">
        <is>
          <t>HBT</t>
        </is>
      </c>
      <c r="N201" s="6" t="inlineStr">
        <is>
          <t>DIA_DUTY</t>
        </is>
      </c>
      <c r="O201" s="3" t="n"/>
      <c r="Q201">
        <f>"- "&amp;G202&amp;"-"&amp;H202</f>
        <v/>
      </c>
      <c r="R201" s="7">
        <f>B202</f>
        <v/>
      </c>
      <c r="S201" s="7">
        <f>C202</f>
        <v/>
      </c>
      <c r="T201" s="7">
        <f>E202</f>
        <v/>
      </c>
      <c r="U201" s="7">
        <f>F202&amp;"/"&amp;F203</f>
        <v/>
      </c>
      <c r="V201" s="7">
        <f>G202&amp;"-"&amp;H202&amp;"-"&amp;G202</f>
        <v/>
      </c>
      <c r="W201" s="7">
        <f>IF(O201="","",O201)</f>
        <v/>
      </c>
      <c r="X201" s="7">
        <f>IF(Q200="","",Q200)</f>
        <v/>
      </c>
      <c r="Y201" s="7">
        <f>C202</f>
        <v/>
      </c>
      <c r="Z201" s="7">
        <f>C203</f>
        <v/>
      </c>
    </row>
    <row r="202">
      <c r="B202" s="7" t="n">
        <v>179</v>
      </c>
      <c r="C202" s="7" t="inlineStr">
        <is>
          <t>16/10/2026</t>
        </is>
      </c>
      <c r="D202" s="7" t="inlineStr">
        <is>
          <t>Oct-2026</t>
        </is>
      </c>
      <c r="E202" s="7" t="inlineStr">
        <is>
          <t>viernes</t>
        </is>
      </c>
      <c r="F202" s="7" t="n">
        <v>2697</v>
      </c>
      <c r="G202" s="7" t="inlineStr">
        <is>
          <t>LIM</t>
        </is>
      </c>
      <c r="H202" s="7" t="inlineStr">
        <is>
          <t>SCL</t>
        </is>
      </c>
      <c r="I202" s="7" t="inlineStr">
        <is>
          <t>09:35:00</t>
        </is>
      </c>
      <c r="J202" s="7" t="inlineStr">
        <is>
          <t>13:00:00</t>
        </is>
      </c>
      <c r="K202" s="7" t="inlineStr">
        <is>
          <t>NO</t>
        </is>
      </c>
      <c r="L202" s="7" t="n">
        <v>788</v>
      </c>
      <c r="M202" s="7" t="inlineStr">
        <is>
          <t>03:25:00</t>
        </is>
      </c>
      <c r="N202" s="7" t="n">
        <v>1</v>
      </c>
      <c r="Q202">
        <f>"- LA "&amp;F202&amp;" ("&amp;LEFT(I202,5)&amp;"-"&amp;LEFT(J202,5)&amp;" hrs)"</f>
        <v/>
      </c>
    </row>
    <row r="203">
      <c r="B203" s="7" t="n">
        <v>179</v>
      </c>
      <c r="C203" s="7" t="inlineStr">
        <is>
          <t>16/10/2026</t>
        </is>
      </c>
      <c r="D203" s="7" t="inlineStr">
        <is>
          <t>Oct-2026</t>
        </is>
      </c>
      <c r="E203" s="7" t="inlineStr">
        <is>
          <t>viernes</t>
        </is>
      </c>
      <c r="F203" s="7" t="n">
        <v>2696</v>
      </c>
      <c r="G203" s="7" t="inlineStr">
        <is>
          <t>SCL</t>
        </is>
      </c>
      <c r="H203" s="7" t="inlineStr">
        <is>
          <t>LIM</t>
        </is>
      </c>
      <c r="I203" s="7" t="inlineStr">
        <is>
          <t>15:55:00</t>
        </is>
      </c>
      <c r="J203" s="7" t="inlineStr">
        <is>
          <t>19:40:00</t>
        </is>
      </c>
      <c r="K203" s="7" t="inlineStr">
        <is>
          <t>NO</t>
        </is>
      </c>
      <c r="L203" s="7" t="n">
        <v>789</v>
      </c>
      <c r="M203" s="7" t="inlineStr">
        <is>
          <t>03:45:00</t>
        </is>
      </c>
      <c r="N203" s="7" t="n">
        <v>1</v>
      </c>
      <c r="O203">
        <f>IF(O201="","",O201)</f>
        <v/>
      </c>
      <c r="Q203">
        <f>IF(Q200="","",Q200)</f>
        <v/>
      </c>
    </row>
    <row r="204">
      <c r="Q204">
        <f>"- "&amp;G203&amp;"-"&amp;H203</f>
        <v/>
      </c>
    </row>
    <row r="205">
      <c r="Q205">
        <f>"- LA "&amp;F203&amp;" ("&amp;LEFT(I203,5)&amp;"-"&amp;LEFT(J203,5)&amp;" hrs)"</f>
        <v/>
      </c>
    </row>
    <row r="207">
      <c r="Q207" s="3" t="n"/>
    </row>
    <row r="208">
      <c r="B208" s="4" t="inlineStr">
        <is>
          <t>Pairing ID</t>
        </is>
      </c>
      <c r="C208" s="4" t="inlineStr">
        <is>
          <t>FECHA REAL</t>
        </is>
      </c>
      <c r="D208" s="5" t="inlineStr">
        <is>
          <t>MES</t>
        </is>
      </c>
      <c r="E208" s="4" t="inlineStr">
        <is>
          <t>Day of Week</t>
        </is>
      </c>
      <c r="F208" s="4" t="inlineStr">
        <is>
          <t>Flight No</t>
        </is>
      </c>
      <c r="G208" s="4" t="inlineStr">
        <is>
          <t>Dep Stn</t>
        </is>
      </c>
      <c r="H208" s="4" t="inlineStr">
        <is>
          <t>Arr Stn</t>
        </is>
      </c>
      <c r="I208" s="4" t="inlineStr">
        <is>
          <t>STD</t>
        </is>
      </c>
      <c r="J208" s="4" t="inlineStr">
        <is>
          <t>STA</t>
        </is>
      </c>
      <c r="K208" s="4" t="inlineStr">
        <is>
          <t>DAY</t>
        </is>
      </c>
      <c r="L208" s="4" t="inlineStr">
        <is>
          <t>AC Type</t>
        </is>
      </c>
      <c r="M208" s="4" t="inlineStr">
        <is>
          <t>HBT</t>
        </is>
      </c>
      <c r="N208" s="6" t="inlineStr">
        <is>
          <t>DIA_DUTY</t>
        </is>
      </c>
      <c r="O208" s="3" t="n"/>
      <c r="Q208">
        <f>"- "&amp;G209&amp;"-"&amp;H209</f>
        <v/>
      </c>
      <c r="R208" s="7">
        <f>B209</f>
        <v/>
      </c>
      <c r="S208" s="7">
        <f>C209</f>
        <v/>
      </c>
      <c r="T208" s="7">
        <f>E209</f>
        <v/>
      </c>
      <c r="U208" s="7">
        <f>F209&amp;"/"&amp;F210</f>
        <v/>
      </c>
      <c r="V208" s="7">
        <f>G209&amp;"-"&amp;H209&amp;"-"&amp;G209</f>
        <v/>
      </c>
      <c r="W208" s="7">
        <f>IF(O208="","",O208)</f>
        <v/>
      </c>
      <c r="X208" s="7">
        <f>IF(Q207="","",Q207)</f>
        <v/>
      </c>
      <c r="Y208" s="7">
        <f>C209</f>
        <v/>
      </c>
      <c r="Z208" s="7">
        <f>C210</f>
        <v/>
      </c>
    </row>
    <row r="209">
      <c r="B209" s="7" t="n">
        <v>180</v>
      </c>
      <c r="C209" s="7" t="inlineStr">
        <is>
          <t>16/10/2026</t>
        </is>
      </c>
      <c r="D209" s="7" t="inlineStr">
        <is>
          <t>Oct-2026</t>
        </is>
      </c>
      <c r="E209" s="7" t="inlineStr">
        <is>
          <t>viernes</t>
        </is>
      </c>
      <c r="F209" s="7" t="n">
        <v>2413</v>
      </c>
      <c r="G209" s="7" t="inlineStr">
        <is>
          <t>LIM</t>
        </is>
      </c>
      <c r="H209" s="7" t="inlineStr">
        <is>
          <t>SCL</t>
        </is>
      </c>
      <c r="I209" s="7" t="inlineStr">
        <is>
          <t>12:05:00</t>
        </is>
      </c>
      <c r="J209" s="7" t="inlineStr">
        <is>
          <t>15:45:00</t>
        </is>
      </c>
      <c r="K209" s="7" t="inlineStr">
        <is>
          <t>NO</t>
        </is>
      </c>
      <c r="L209" s="7" t="n">
        <v>763</v>
      </c>
      <c r="M209" s="7" t="inlineStr">
        <is>
          <t>03:40:00</t>
        </is>
      </c>
      <c r="N209" s="7" t="n">
        <v>1</v>
      </c>
      <c r="Q209">
        <f>"- LA "&amp;F209&amp;" ("&amp;LEFT(I209,5)&amp;"-"&amp;LEFT(J209,5)&amp;" hrs)"</f>
        <v/>
      </c>
    </row>
    <row r="210">
      <c r="B210" s="7" t="n">
        <v>180</v>
      </c>
      <c r="C210" s="7" t="inlineStr">
        <is>
          <t>16/10/2026</t>
        </is>
      </c>
      <c r="D210" s="7" t="inlineStr">
        <is>
          <t>Oct-2026</t>
        </is>
      </c>
      <c r="E210" s="7" t="inlineStr">
        <is>
          <t>viernes</t>
        </is>
      </c>
      <c r="F210" s="7" t="n">
        <v>2412</v>
      </c>
      <c r="G210" s="7" t="inlineStr">
        <is>
          <t>SCL</t>
        </is>
      </c>
      <c r="H210" s="7" t="inlineStr">
        <is>
          <t>LIM</t>
        </is>
      </c>
      <c r="I210" s="7" t="inlineStr">
        <is>
          <t>17:10:00</t>
        </is>
      </c>
      <c r="J210" s="7" t="inlineStr">
        <is>
          <t>21:00:00</t>
        </is>
      </c>
      <c r="K210" s="7" t="inlineStr">
        <is>
          <t>NO</t>
        </is>
      </c>
      <c r="L210" s="7" t="n">
        <v>763</v>
      </c>
      <c r="M210" s="7" t="inlineStr">
        <is>
          <t>03:50:00</t>
        </is>
      </c>
      <c r="N210" s="7" t="n">
        <v>1</v>
      </c>
      <c r="O210">
        <f>IF(O208="","",O208)</f>
        <v/>
      </c>
      <c r="Q210">
        <f>IF(Q207="","",Q207)</f>
        <v/>
      </c>
    </row>
    <row r="211">
      <c r="Q211">
        <f>"- "&amp;G210&amp;"-"&amp;H210</f>
        <v/>
      </c>
    </row>
    <row r="212">
      <c r="Q212">
        <f>"- LA "&amp;F210&amp;" ("&amp;LEFT(I210,5)&amp;"-"&amp;LEFT(J210,5)&amp;" hrs)"</f>
        <v/>
      </c>
    </row>
    <row r="214">
      <c r="Q214" s="3" t="n"/>
    </row>
    <row r="215">
      <c r="B215" s="4" t="inlineStr">
        <is>
          <t>Pairing ID</t>
        </is>
      </c>
      <c r="C215" s="4" t="inlineStr">
        <is>
          <t>FECHA REAL</t>
        </is>
      </c>
      <c r="D215" s="5" t="inlineStr">
        <is>
          <t>MES</t>
        </is>
      </c>
      <c r="E215" s="4" t="inlineStr">
        <is>
          <t>Day of Week</t>
        </is>
      </c>
      <c r="F215" s="4" t="inlineStr">
        <is>
          <t>Flight No</t>
        </is>
      </c>
      <c r="G215" s="4" t="inlineStr">
        <is>
          <t>Dep Stn</t>
        </is>
      </c>
      <c r="H215" s="4" t="inlineStr">
        <is>
          <t>Arr Stn</t>
        </is>
      </c>
      <c r="I215" s="4" t="inlineStr">
        <is>
          <t>STD</t>
        </is>
      </c>
      <c r="J215" s="4" t="inlineStr">
        <is>
          <t>STA</t>
        </is>
      </c>
      <c r="K215" s="4" t="inlineStr">
        <is>
          <t>DAY</t>
        </is>
      </c>
      <c r="L215" s="4" t="inlineStr">
        <is>
          <t>AC Type</t>
        </is>
      </c>
      <c r="M215" s="4" t="inlineStr">
        <is>
          <t>HBT</t>
        </is>
      </c>
      <c r="N215" s="6" t="inlineStr">
        <is>
          <t>DIA_DUTY</t>
        </is>
      </c>
      <c r="O215" s="3" t="n"/>
      <c r="Q215">
        <f>"- "&amp;G216&amp;"-"&amp;H216</f>
        <v/>
      </c>
      <c r="R215" s="7">
        <f>B216</f>
        <v/>
      </c>
      <c r="S215" s="7">
        <f>C216</f>
        <v/>
      </c>
      <c r="T215" s="7">
        <f>E216</f>
        <v/>
      </c>
      <c r="U215" s="7">
        <f>F216&amp;"/"&amp;F217</f>
        <v/>
      </c>
      <c r="V215" s="7">
        <f>G216&amp;"-"&amp;H216&amp;"-"&amp;G216</f>
        <v/>
      </c>
      <c r="W215" s="7">
        <f>IF(O215="","",O215)</f>
        <v/>
      </c>
      <c r="X215" s="7">
        <f>IF(Q214="","",Q214)</f>
        <v/>
      </c>
      <c r="Y215" s="7">
        <f>C216</f>
        <v/>
      </c>
      <c r="Z215" s="7">
        <f>C217</f>
        <v/>
      </c>
    </row>
    <row r="216">
      <c r="B216" s="7" t="n">
        <v>181</v>
      </c>
      <c r="C216" s="7" t="inlineStr">
        <is>
          <t>23/10/2026</t>
        </is>
      </c>
      <c r="D216" s="7" t="inlineStr">
        <is>
          <t>Oct-2026</t>
        </is>
      </c>
      <c r="E216" s="7" t="inlineStr">
        <is>
          <t>viernes</t>
        </is>
      </c>
      <c r="F216" s="7" t="n">
        <v>2413</v>
      </c>
      <c r="G216" s="7" t="inlineStr">
        <is>
          <t>LIM</t>
        </is>
      </c>
      <c r="H216" s="7" t="inlineStr">
        <is>
          <t>SCL</t>
        </is>
      </c>
      <c r="I216" s="7" t="inlineStr">
        <is>
          <t>12:20:00</t>
        </is>
      </c>
      <c r="J216" s="7" t="inlineStr">
        <is>
          <t>15:45:00</t>
        </is>
      </c>
      <c r="K216" s="7" t="inlineStr">
        <is>
          <t>NO</t>
        </is>
      </c>
      <c r="L216" s="7" t="n">
        <v>763</v>
      </c>
      <c r="M216" s="7" t="inlineStr">
        <is>
          <t>03:25:00</t>
        </is>
      </c>
      <c r="N216" s="7" t="n">
        <v>1</v>
      </c>
      <c r="Q216">
        <f>"- LA "&amp;F216&amp;" ("&amp;LEFT(I216,5)&amp;"-"&amp;LEFT(J216,5)&amp;" hrs)"</f>
        <v/>
      </c>
    </row>
    <row r="217">
      <c r="B217" s="7" t="n">
        <v>181</v>
      </c>
      <c r="C217" s="7" t="inlineStr">
        <is>
          <t>23/10/2026</t>
        </is>
      </c>
      <c r="D217" s="7" t="inlineStr">
        <is>
          <t>Oct-2026</t>
        </is>
      </c>
      <c r="E217" s="7" t="inlineStr">
        <is>
          <t>viernes</t>
        </is>
      </c>
      <c r="F217" s="7" t="n">
        <v>2412</v>
      </c>
      <c r="G217" s="7" t="inlineStr">
        <is>
          <t>SCL</t>
        </is>
      </c>
      <c r="H217" s="7" t="inlineStr">
        <is>
          <t>LIM</t>
        </is>
      </c>
      <c r="I217" s="7" t="inlineStr">
        <is>
          <t>17:10:00</t>
        </is>
      </c>
      <c r="J217" s="7" t="inlineStr">
        <is>
          <t>20:50:00</t>
        </is>
      </c>
      <c r="K217" s="7" t="inlineStr">
        <is>
          <t>NO</t>
        </is>
      </c>
      <c r="L217" s="7" t="n">
        <v>763</v>
      </c>
      <c r="M217" s="7" t="inlineStr">
        <is>
          <t>03:40:00</t>
        </is>
      </c>
      <c r="N217" s="7" t="n">
        <v>1</v>
      </c>
      <c r="O217">
        <f>IF(O215="","",O215)</f>
        <v/>
      </c>
      <c r="Q217">
        <f>IF(Q214="","",Q214)</f>
        <v/>
      </c>
    </row>
    <row r="218">
      <c r="Q218">
        <f>"- "&amp;G217&amp;"-"&amp;H217</f>
        <v/>
      </c>
    </row>
    <row r="219">
      <c r="Q219">
        <f>"- LA "&amp;F217&amp;" ("&amp;LEFT(I217,5)&amp;"-"&amp;LEFT(J217,5)&amp;" hrs)"</f>
        <v/>
      </c>
    </row>
    <row r="221">
      <c r="Q221" s="3" t="n"/>
    </row>
    <row r="222">
      <c r="B222" s="4" t="inlineStr">
        <is>
          <t>Pairing ID</t>
        </is>
      </c>
      <c r="C222" s="4" t="inlineStr">
        <is>
          <t>FECHA REAL</t>
        </is>
      </c>
      <c r="D222" s="5" t="inlineStr">
        <is>
          <t>MES</t>
        </is>
      </c>
      <c r="E222" s="4" t="inlineStr">
        <is>
          <t>Day of Week</t>
        </is>
      </c>
      <c r="F222" s="4" t="inlineStr">
        <is>
          <t>Flight No</t>
        </is>
      </c>
      <c r="G222" s="4" t="inlineStr">
        <is>
          <t>Dep Stn</t>
        </is>
      </c>
      <c r="H222" s="4" t="inlineStr">
        <is>
          <t>Arr Stn</t>
        </is>
      </c>
      <c r="I222" s="4" t="inlineStr">
        <is>
          <t>STD</t>
        </is>
      </c>
      <c r="J222" s="4" t="inlineStr">
        <is>
          <t>STA</t>
        </is>
      </c>
      <c r="K222" s="4" t="inlineStr">
        <is>
          <t>DAY</t>
        </is>
      </c>
      <c r="L222" s="4" t="inlineStr">
        <is>
          <t>AC Type</t>
        </is>
      </c>
      <c r="M222" s="4" t="inlineStr">
        <is>
          <t>HBT</t>
        </is>
      </c>
      <c r="N222" s="6" t="inlineStr">
        <is>
          <t>DIA_DUTY</t>
        </is>
      </c>
      <c r="O222" s="3" t="n"/>
      <c r="Q222">
        <f>"- "&amp;G223&amp;"-"&amp;H223</f>
        <v/>
      </c>
      <c r="R222" s="7">
        <f>B223</f>
        <v/>
      </c>
      <c r="S222" s="7">
        <f>C223</f>
        <v/>
      </c>
      <c r="T222" s="7">
        <f>E223</f>
        <v/>
      </c>
      <c r="U222" s="7">
        <f>F223&amp;"/"&amp;F224</f>
        <v/>
      </c>
      <c r="V222" s="7">
        <f>G223&amp;"-"&amp;H223&amp;"-"&amp;G223</f>
        <v/>
      </c>
      <c r="W222" s="7">
        <f>IF(O222="","",O222)</f>
        <v/>
      </c>
      <c r="X222" s="7">
        <f>IF(Q221="","",Q221)</f>
        <v/>
      </c>
      <c r="Y222" s="7">
        <f>C223</f>
        <v/>
      </c>
      <c r="Z222" s="7">
        <f>C224</f>
        <v/>
      </c>
    </row>
    <row r="223">
      <c r="B223" s="7" t="n">
        <v>18</v>
      </c>
      <c r="C223" s="7" t="inlineStr">
        <is>
          <t>01/10/2026</t>
        </is>
      </c>
      <c r="D223" s="7" t="inlineStr">
        <is>
          <t>Oct-2026</t>
        </is>
      </c>
      <c r="E223" s="7" t="inlineStr">
        <is>
          <t>jueves</t>
        </is>
      </c>
      <c r="F223" s="7" t="n">
        <v>2413</v>
      </c>
      <c r="G223" s="7" t="inlineStr">
        <is>
          <t>LIM</t>
        </is>
      </c>
      <c r="H223" s="7" t="inlineStr">
        <is>
          <t>SCL</t>
        </is>
      </c>
      <c r="I223" s="7" t="inlineStr">
        <is>
          <t>12:05:00</t>
        </is>
      </c>
      <c r="J223" s="7" t="inlineStr">
        <is>
          <t>15:45:00</t>
        </is>
      </c>
      <c r="K223" s="7" t="inlineStr">
        <is>
          <t>NO</t>
        </is>
      </c>
      <c r="L223" s="7" t="n">
        <v>763</v>
      </c>
      <c r="M223" s="7" t="inlineStr">
        <is>
          <t>03:40:00</t>
        </is>
      </c>
      <c r="N223" s="7" t="n">
        <v>1</v>
      </c>
      <c r="Q223">
        <f>"- LA "&amp;F223&amp;" ("&amp;LEFT(I223,5)&amp;"-"&amp;LEFT(J223,5)&amp;" hrs)"</f>
        <v/>
      </c>
    </row>
    <row r="224">
      <c r="B224" s="7" t="n">
        <v>18</v>
      </c>
      <c r="C224" s="7" t="inlineStr">
        <is>
          <t>01/10/2026</t>
        </is>
      </c>
      <c r="D224" s="7" t="inlineStr">
        <is>
          <t>Oct-2026</t>
        </is>
      </c>
      <c r="E224" s="7" t="inlineStr">
        <is>
          <t>jueves</t>
        </is>
      </c>
      <c r="F224" s="7" t="n">
        <v>2412</v>
      </c>
      <c r="G224" s="7" t="inlineStr">
        <is>
          <t>SCL</t>
        </is>
      </c>
      <c r="H224" s="7" t="inlineStr">
        <is>
          <t>LIM</t>
        </is>
      </c>
      <c r="I224" s="7" t="inlineStr">
        <is>
          <t>17:10:00</t>
        </is>
      </c>
      <c r="J224" s="7" t="inlineStr">
        <is>
          <t>21:00:00</t>
        </is>
      </c>
      <c r="K224" s="7" t="inlineStr">
        <is>
          <t>NO</t>
        </is>
      </c>
      <c r="L224" s="7" t="n">
        <v>763</v>
      </c>
      <c r="M224" s="7" t="inlineStr">
        <is>
          <t>03:50:00</t>
        </is>
      </c>
      <c r="N224" s="7" t="n">
        <v>1</v>
      </c>
      <c r="O224">
        <f>IF(O222="","",O222)</f>
        <v/>
      </c>
      <c r="Q224">
        <f>IF(Q221="","",Q221)</f>
        <v/>
      </c>
    </row>
    <row r="225">
      <c r="Q225">
        <f>"- "&amp;G224&amp;"-"&amp;H224</f>
        <v/>
      </c>
    </row>
    <row r="226">
      <c r="Q226">
        <f>"- LA "&amp;F224&amp;" ("&amp;LEFT(I224,5)&amp;"-"&amp;LEFT(J224,5)&amp;" hrs)"</f>
        <v/>
      </c>
    </row>
    <row r="228">
      <c r="Q228" s="3" t="n"/>
    </row>
    <row r="229">
      <c r="B229" s="4" t="inlineStr">
        <is>
          <t>Pairing ID</t>
        </is>
      </c>
      <c r="C229" s="4" t="inlineStr">
        <is>
          <t>FECHA REAL</t>
        </is>
      </c>
      <c r="D229" s="5" t="inlineStr">
        <is>
          <t>MES</t>
        </is>
      </c>
      <c r="E229" s="4" t="inlineStr">
        <is>
          <t>Day of Week</t>
        </is>
      </c>
      <c r="F229" s="4" t="inlineStr">
        <is>
          <t>Flight No</t>
        </is>
      </c>
      <c r="G229" s="4" t="inlineStr">
        <is>
          <t>Dep Stn</t>
        </is>
      </c>
      <c r="H229" s="4" t="inlineStr">
        <is>
          <t>Arr Stn</t>
        </is>
      </c>
      <c r="I229" s="4" t="inlineStr">
        <is>
          <t>STD</t>
        </is>
      </c>
      <c r="J229" s="4" t="inlineStr">
        <is>
          <t>STA</t>
        </is>
      </c>
      <c r="K229" s="4" t="inlineStr">
        <is>
          <t>DAY</t>
        </is>
      </c>
      <c r="L229" s="4" t="inlineStr">
        <is>
          <t>AC Type</t>
        </is>
      </c>
      <c r="M229" s="4" t="inlineStr">
        <is>
          <t>HBT</t>
        </is>
      </c>
      <c r="N229" s="6" t="inlineStr">
        <is>
          <t>DIA_DUTY</t>
        </is>
      </c>
      <c r="O229" s="3" t="n"/>
      <c r="Q229">
        <f>"- "&amp;G230&amp;"-"&amp;H230</f>
        <v/>
      </c>
      <c r="R229" s="7">
        <f>B230</f>
        <v/>
      </c>
      <c r="S229" s="7">
        <f>C230</f>
        <v/>
      </c>
      <c r="T229" s="7">
        <f>E230</f>
        <v/>
      </c>
      <c r="U229" s="7">
        <f>F230&amp;"/"&amp;F231</f>
        <v/>
      </c>
      <c r="V229" s="7">
        <f>G230&amp;"-"&amp;H230&amp;"-"&amp;G230</f>
        <v/>
      </c>
      <c r="W229" s="7">
        <f>IF(O229="","",O229)</f>
        <v/>
      </c>
      <c r="X229" s="7">
        <f>IF(Q228="","",Q228)</f>
        <v/>
      </c>
      <c r="Y229" s="7">
        <f>C230</f>
        <v/>
      </c>
      <c r="Z229" s="7">
        <f>C231</f>
        <v/>
      </c>
    </row>
    <row r="230">
      <c r="B230" s="7" t="n">
        <v>18</v>
      </c>
      <c r="C230" s="7" t="inlineStr">
        <is>
          <t>08/10/2026</t>
        </is>
      </c>
      <c r="D230" s="7" t="inlineStr">
        <is>
          <t>Oct-2026</t>
        </is>
      </c>
      <c r="E230" s="7" t="inlineStr">
        <is>
          <t>jueves</t>
        </is>
      </c>
      <c r="F230" s="7" t="n">
        <v>2697</v>
      </c>
      <c r="G230" s="7" t="inlineStr">
        <is>
          <t>LIM</t>
        </is>
      </c>
      <c r="H230" s="7" t="inlineStr">
        <is>
          <t>SCL</t>
        </is>
      </c>
      <c r="I230" s="7" t="inlineStr">
        <is>
          <t>09:35:00</t>
        </is>
      </c>
      <c r="J230" s="7" t="inlineStr">
        <is>
          <t>13:00:00</t>
        </is>
      </c>
      <c r="K230" s="7" t="inlineStr">
        <is>
          <t>NO</t>
        </is>
      </c>
      <c r="L230" s="7" t="n">
        <v>789</v>
      </c>
      <c r="M230" s="7" t="inlineStr">
        <is>
          <t>03:25:00</t>
        </is>
      </c>
      <c r="N230" s="7" t="n">
        <v>1</v>
      </c>
      <c r="Q230">
        <f>"- LA "&amp;F230&amp;" ("&amp;LEFT(I230,5)&amp;"-"&amp;LEFT(J230,5)&amp;" hrs)"</f>
        <v/>
      </c>
    </row>
    <row r="231">
      <c r="B231" s="7" t="n">
        <v>18</v>
      </c>
      <c r="C231" s="7" t="inlineStr">
        <is>
          <t>08/10/2026</t>
        </is>
      </c>
      <c r="D231" s="7" t="inlineStr">
        <is>
          <t>Oct-2026</t>
        </is>
      </c>
      <c r="E231" s="7" t="inlineStr">
        <is>
          <t>jueves</t>
        </is>
      </c>
      <c r="F231" s="7" t="n">
        <v>2696</v>
      </c>
      <c r="G231" s="7" t="inlineStr">
        <is>
          <t>SCL</t>
        </is>
      </c>
      <c r="H231" s="7" t="inlineStr">
        <is>
          <t>LIM</t>
        </is>
      </c>
      <c r="I231" s="7" t="inlineStr">
        <is>
          <t>15:55:00</t>
        </is>
      </c>
      <c r="J231" s="7" t="inlineStr">
        <is>
          <t>19:40:00</t>
        </is>
      </c>
      <c r="K231" s="7" t="inlineStr">
        <is>
          <t>NO</t>
        </is>
      </c>
      <c r="L231" s="7" t="n">
        <v>789</v>
      </c>
      <c r="M231" s="7" t="inlineStr">
        <is>
          <t>03:45:00</t>
        </is>
      </c>
      <c r="N231" s="7" t="n">
        <v>1</v>
      </c>
      <c r="O231">
        <f>IF(O229="","",O229)</f>
        <v/>
      </c>
      <c r="Q231">
        <f>IF(Q228="","",Q228)</f>
        <v/>
      </c>
    </row>
    <row r="232">
      <c r="Q232">
        <f>"- "&amp;G231&amp;"-"&amp;H231</f>
        <v/>
      </c>
    </row>
    <row r="233">
      <c r="Q233">
        <f>"- LA "&amp;F231&amp;" ("&amp;LEFT(I231,5)&amp;"-"&amp;LEFT(J231,5)&amp;" hrs)"</f>
        <v/>
      </c>
    </row>
    <row r="235">
      <c r="Q235" s="3" t="n"/>
    </row>
    <row r="236">
      <c r="B236" s="4" t="inlineStr">
        <is>
          <t>Pairing ID</t>
        </is>
      </c>
      <c r="C236" s="4" t="inlineStr">
        <is>
          <t>FECHA REAL</t>
        </is>
      </c>
      <c r="D236" s="5" t="inlineStr">
        <is>
          <t>MES</t>
        </is>
      </c>
      <c r="E236" s="4" t="inlineStr">
        <is>
          <t>Day of Week</t>
        </is>
      </c>
      <c r="F236" s="4" t="inlineStr">
        <is>
          <t>Flight No</t>
        </is>
      </c>
      <c r="G236" s="4" t="inlineStr">
        <is>
          <t>Dep Stn</t>
        </is>
      </c>
      <c r="H236" s="4" t="inlineStr">
        <is>
          <t>Arr Stn</t>
        </is>
      </c>
      <c r="I236" s="4" t="inlineStr">
        <is>
          <t>STD</t>
        </is>
      </c>
      <c r="J236" s="4" t="inlineStr">
        <is>
          <t>STA</t>
        </is>
      </c>
      <c r="K236" s="4" t="inlineStr">
        <is>
          <t>DAY</t>
        </is>
      </c>
      <c r="L236" s="4" t="inlineStr">
        <is>
          <t>AC Type</t>
        </is>
      </c>
      <c r="M236" s="4" t="inlineStr">
        <is>
          <t>HBT</t>
        </is>
      </c>
      <c r="N236" s="6" t="inlineStr">
        <is>
          <t>DIA_DUTY</t>
        </is>
      </c>
      <c r="O236" s="3" t="n"/>
      <c r="Q236">
        <f>"- "&amp;G237&amp;"-"&amp;H237</f>
        <v/>
      </c>
      <c r="R236" s="7">
        <f>B237</f>
        <v/>
      </c>
      <c r="S236" s="7">
        <f>C237</f>
        <v/>
      </c>
      <c r="T236" s="7">
        <f>E237</f>
        <v/>
      </c>
      <c r="U236" s="7">
        <f>F237&amp;"/"&amp;F238</f>
        <v/>
      </c>
      <c r="V236" s="7">
        <f>G237&amp;"-"&amp;H237&amp;"-"&amp;G237</f>
        <v/>
      </c>
      <c r="W236" s="7">
        <f>IF(O236="","",O236)</f>
        <v/>
      </c>
      <c r="X236" s="7">
        <f>IF(Q235="","",Q235)</f>
        <v/>
      </c>
      <c r="Y236" s="7">
        <f>C237</f>
        <v/>
      </c>
      <c r="Z236" s="7">
        <f>C238</f>
        <v/>
      </c>
    </row>
    <row r="237">
      <c r="B237" s="7" t="n">
        <v>208</v>
      </c>
      <c r="C237" s="7" t="inlineStr">
        <is>
          <t>27/10/2026</t>
        </is>
      </c>
      <c r="D237" s="7" t="inlineStr">
        <is>
          <t>Oct-2026</t>
        </is>
      </c>
      <c r="E237" s="7" t="inlineStr">
        <is>
          <t>martes</t>
        </is>
      </c>
      <c r="F237" s="7" t="n">
        <v>2480</v>
      </c>
      <c r="G237" s="7" t="inlineStr">
        <is>
          <t>LIM</t>
        </is>
      </c>
      <c r="H237" s="7" t="inlineStr">
        <is>
          <t>MIA</t>
        </is>
      </c>
      <c r="I237" s="7" t="inlineStr">
        <is>
          <t>00:15:00</t>
        </is>
      </c>
      <c r="J237" s="7" t="inlineStr">
        <is>
          <t>06:10:00</t>
        </is>
      </c>
      <c r="K237" s="7" t="inlineStr">
        <is>
          <t>NO</t>
        </is>
      </c>
      <c r="L237" s="7" t="n">
        <v>763</v>
      </c>
      <c r="M237" s="7" t="inlineStr">
        <is>
          <t>05:55:00</t>
        </is>
      </c>
      <c r="N237" s="7" t="n">
        <v>2</v>
      </c>
      <c r="Q237">
        <f>"- LA "&amp;F237&amp;" ("&amp;LEFT(I237,5)&amp;"-"&amp;LEFT(J237,5)&amp;" hrs)"</f>
        <v/>
      </c>
    </row>
    <row r="238">
      <c r="B238" s="7" t="n">
        <v>208</v>
      </c>
      <c r="C238" s="7" t="inlineStr">
        <is>
          <t>28/10/2026</t>
        </is>
      </c>
      <c r="D238" s="7" t="inlineStr">
        <is>
          <t>Oct-2026</t>
        </is>
      </c>
      <c r="E238" s="7" t="inlineStr">
        <is>
          <t>miércoles</t>
        </is>
      </c>
      <c r="F238" s="7" t="n">
        <v>2481</v>
      </c>
      <c r="G238" s="7" t="inlineStr">
        <is>
          <t>MIA</t>
        </is>
      </c>
      <c r="H238" s="7" t="inlineStr">
        <is>
          <t>LIM</t>
        </is>
      </c>
      <c r="I238" s="7" t="inlineStr">
        <is>
          <t>16:05:00</t>
        </is>
      </c>
      <c r="J238" s="7" t="inlineStr">
        <is>
          <t>21:55:00</t>
        </is>
      </c>
      <c r="K238" s="7" t="inlineStr">
        <is>
          <t>NO</t>
        </is>
      </c>
      <c r="L238" s="7" t="n">
        <v>763</v>
      </c>
      <c r="M238" s="7" t="inlineStr">
        <is>
          <t>05:50:00</t>
        </is>
      </c>
      <c r="N238" s="7" t="n">
        <v>3</v>
      </c>
      <c r="O238">
        <f>IF(O236="","",O236)</f>
        <v/>
      </c>
      <c r="Q238">
        <f>IF(Q235="","",Q235)</f>
        <v/>
      </c>
    </row>
    <row r="239">
      <c r="Q239">
        <f>"- "&amp;G238&amp;"-"&amp;H238</f>
        <v/>
      </c>
    </row>
    <row r="240">
      <c r="Q240">
        <f>"- LA "&amp;F238&amp;" ("&amp;LEFT(I238,5)&amp;"-"&amp;LEFT(J238,5)&amp;" hrs)"</f>
        <v/>
      </c>
    </row>
    <row r="242">
      <c r="Q242" s="3" t="n"/>
    </row>
    <row r="243">
      <c r="B243" s="4" t="inlineStr">
        <is>
          <t>Pairing ID</t>
        </is>
      </c>
      <c r="C243" s="4" t="inlineStr">
        <is>
          <t>FECHA REAL</t>
        </is>
      </c>
      <c r="D243" s="5" t="inlineStr">
        <is>
          <t>MES</t>
        </is>
      </c>
      <c r="E243" s="4" t="inlineStr">
        <is>
          <t>Day of Week</t>
        </is>
      </c>
      <c r="F243" s="4" t="inlineStr">
        <is>
          <t>Flight No</t>
        </is>
      </c>
      <c r="G243" s="4" t="inlineStr">
        <is>
          <t>Dep Stn</t>
        </is>
      </c>
      <c r="H243" s="4" t="inlineStr">
        <is>
          <t>Arr Stn</t>
        </is>
      </c>
      <c r="I243" s="4" t="inlineStr">
        <is>
          <t>STD</t>
        </is>
      </c>
      <c r="J243" s="4" t="inlineStr">
        <is>
          <t>STA</t>
        </is>
      </c>
      <c r="K243" s="4" t="inlineStr">
        <is>
          <t>DAY</t>
        </is>
      </c>
      <c r="L243" s="4" t="inlineStr">
        <is>
          <t>AC Type</t>
        </is>
      </c>
      <c r="M243" s="4" t="inlineStr">
        <is>
          <t>HBT</t>
        </is>
      </c>
      <c r="N243" s="6" t="inlineStr">
        <is>
          <t>DIA_DUTY</t>
        </is>
      </c>
      <c r="O243" s="3" t="n"/>
      <c r="Q243">
        <f>"- "&amp;G244&amp;"-"&amp;H244</f>
        <v/>
      </c>
      <c r="R243" s="7">
        <f>B244</f>
        <v/>
      </c>
      <c r="S243" s="7">
        <f>C244</f>
        <v/>
      </c>
      <c r="T243" s="7">
        <f>E244</f>
        <v/>
      </c>
      <c r="U243" s="7">
        <f>F244&amp;"/"&amp;F245</f>
        <v/>
      </c>
      <c r="V243" s="7">
        <f>G244&amp;"-"&amp;H244&amp;"-"&amp;G244</f>
        <v/>
      </c>
      <c r="W243" s="7">
        <f>IF(O243="","",O243)</f>
        <v/>
      </c>
      <c r="X243" s="7">
        <f>IF(Q242="","",Q242)</f>
        <v/>
      </c>
      <c r="Y243" s="7">
        <f>C244</f>
        <v/>
      </c>
      <c r="Z243" s="7">
        <f>C245</f>
        <v/>
      </c>
    </row>
    <row r="244">
      <c r="B244" s="7" t="n">
        <v>209</v>
      </c>
      <c r="C244" s="7" t="inlineStr">
        <is>
          <t>19/10/2026</t>
        </is>
      </c>
      <c r="D244" s="7" t="inlineStr">
        <is>
          <t>Oct-2026</t>
        </is>
      </c>
      <c r="E244" s="7" t="inlineStr">
        <is>
          <t>lunes</t>
        </is>
      </c>
      <c r="F244" s="7" t="n">
        <v>2698</v>
      </c>
      <c r="G244" s="7" t="inlineStr">
        <is>
          <t>LIM</t>
        </is>
      </c>
      <c r="H244" s="7" t="inlineStr">
        <is>
          <t>MIA</t>
        </is>
      </c>
      <c r="I244" s="7" t="inlineStr">
        <is>
          <t>08:15:00</t>
        </is>
      </c>
      <c r="J244" s="7" t="inlineStr">
        <is>
          <t>14:10:00</t>
        </is>
      </c>
      <c r="K244" s="7" t="inlineStr">
        <is>
          <t>NO</t>
        </is>
      </c>
      <c r="L244" s="7" t="n">
        <v>763</v>
      </c>
      <c r="M244" s="7" t="inlineStr">
        <is>
          <t>05:55:00</t>
        </is>
      </c>
      <c r="N244" s="7" t="n">
        <v>1</v>
      </c>
      <c r="Q244">
        <f>"- LA "&amp;F244&amp;" ("&amp;LEFT(I244,5)&amp;"-"&amp;LEFT(J244,5)&amp;" hrs)"</f>
        <v/>
      </c>
    </row>
    <row r="245">
      <c r="B245" s="7" t="n">
        <v>209</v>
      </c>
      <c r="C245" s="7" t="inlineStr">
        <is>
          <t>21/10/2026</t>
        </is>
      </c>
      <c r="D245" s="7" t="inlineStr">
        <is>
          <t>Oct-2026</t>
        </is>
      </c>
      <c r="E245" s="7" t="inlineStr">
        <is>
          <t>miércoles</t>
        </is>
      </c>
      <c r="F245" s="7" t="n">
        <v>2699</v>
      </c>
      <c r="G245" s="7" t="inlineStr">
        <is>
          <t>MIA</t>
        </is>
      </c>
      <c r="H245" s="7" t="inlineStr">
        <is>
          <t>LIM</t>
        </is>
      </c>
      <c r="I245" s="7" t="inlineStr">
        <is>
          <t>23:15:00</t>
        </is>
      </c>
      <c r="J245" s="7" t="inlineStr">
        <is>
          <t>05:00:00</t>
        </is>
      </c>
      <c r="K245" s="7" t="inlineStr">
        <is>
          <t>NO</t>
        </is>
      </c>
      <c r="L245" s="7" t="n">
        <v>763</v>
      </c>
      <c r="M245" s="7" t="inlineStr">
        <is>
          <t>05:45:00</t>
        </is>
      </c>
      <c r="N245" s="7" t="n">
        <v>2</v>
      </c>
      <c r="O245">
        <f>IF(O243="","",O243)</f>
        <v/>
      </c>
      <c r="Q245">
        <f>IF(Q242="","",Q242)</f>
        <v/>
      </c>
    </row>
    <row r="246">
      <c r="Q246">
        <f>"- "&amp;G245&amp;"-"&amp;H245</f>
        <v/>
      </c>
    </row>
    <row r="247">
      <c r="Q247">
        <f>"- LA "&amp;F245&amp;" ("&amp;LEFT(I245,5)&amp;"-"&amp;LEFT(J245,5)&amp;" hrs)"</f>
        <v/>
      </c>
    </row>
    <row r="249">
      <c r="Q249" s="3" t="n"/>
    </row>
    <row r="250">
      <c r="B250" s="4" t="inlineStr">
        <is>
          <t>Pairing ID</t>
        </is>
      </c>
      <c r="C250" s="4" t="inlineStr">
        <is>
          <t>FECHA REAL</t>
        </is>
      </c>
      <c r="D250" s="5" t="inlineStr">
        <is>
          <t>MES</t>
        </is>
      </c>
      <c r="E250" s="4" t="inlineStr">
        <is>
          <t>Day of Week</t>
        </is>
      </c>
      <c r="F250" s="4" t="inlineStr">
        <is>
          <t>Flight No</t>
        </is>
      </c>
      <c r="G250" s="4" t="inlineStr">
        <is>
          <t>Dep Stn</t>
        </is>
      </c>
      <c r="H250" s="4" t="inlineStr">
        <is>
          <t>Arr Stn</t>
        </is>
      </c>
      <c r="I250" s="4" t="inlineStr">
        <is>
          <t>STD</t>
        </is>
      </c>
      <c r="J250" s="4" t="inlineStr">
        <is>
          <t>STA</t>
        </is>
      </c>
      <c r="K250" s="4" t="inlineStr">
        <is>
          <t>DAY</t>
        </is>
      </c>
      <c r="L250" s="4" t="inlineStr">
        <is>
          <t>AC Type</t>
        </is>
      </c>
      <c r="M250" s="4" t="inlineStr">
        <is>
          <t>HBT</t>
        </is>
      </c>
      <c r="N250" s="6" t="inlineStr">
        <is>
          <t>DIA_DUTY</t>
        </is>
      </c>
      <c r="O250" s="3" t="n"/>
      <c r="Q250">
        <f>"- "&amp;G251&amp;"-"&amp;H251</f>
        <v/>
      </c>
      <c r="R250" s="7">
        <f>B251</f>
        <v/>
      </c>
      <c r="S250" s="7">
        <f>C251</f>
        <v/>
      </c>
      <c r="T250" s="7">
        <f>E251</f>
        <v/>
      </c>
      <c r="U250" s="7">
        <f>F251&amp;"/"&amp;F252</f>
        <v/>
      </c>
      <c r="V250" s="7">
        <f>G251&amp;"-"&amp;H251&amp;"-"&amp;G251</f>
        <v/>
      </c>
      <c r="W250" s="7">
        <f>IF(O250="","",O250)</f>
        <v/>
      </c>
      <c r="X250" s="7">
        <f>IF(Q249="","",Q249)</f>
        <v/>
      </c>
      <c r="Y250" s="7">
        <f>C251</f>
        <v/>
      </c>
      <c r="Z250" s="7">
        <f>C252</f>
        <v/>
      </c>
    </row>
    <row r="251">
      <c r="B251" s="7" t="n">
        <v>20</v>
      </c>
      <c r="C251" s="7" t="inlineStr">
        <is>
          <t>01/10/2026</t>
        </is>
      </c>
      <c r="D251" s="7" t="inlineStr">
        <is>
          <t>Oct-2026</t>
        </is>
      </c>
      <c r="E251" s="7" t="inlineStr">
        <is>
          <t>jueves</t>
        </is>
      </c>
      <c r="F251" s="7" t="n">
        <v>2480</v>
      </c>
      <c r="G251" s="7" t="inlineStr">
        <is>
          <t>LIM</t>
        </is>
      </c>
      <c r="H251" s="7" t="inlineStr">
        <is>
          <t>MIA</t>
        </is>
      </c>
      <c r="I251" s="7" t="inlineStr">
        <is>
          <t>00:15:00</t>
        </is>
      </c>
      <c r="J251" s="7" t="inlineStr">
        <is>
          <t>06:10:00</t>
        </is>
      </c>
      <c r="K251" s="7" t="inlineStr">
        <is>
          <t>NO</t>
        </is>
      </c>
      <c r="L251" s="7" t="n">
        <v>763</v>
      </c>
      <c r="M251" s="7" t="inlineStr">
        <is>
          <t>05:55:00</t>
        </is>
      </c>
      <c r="N251" s="7" t="n">
        <v>2</v>
      </c>
      <c r="Q251">
        <f>"- LA "&amp;F251&amp;" ("&amp;LEFT(I251,5)&amp;"-"&amp;LEFT(J251,5)&amp;" hrs)"</f>
        <v/>
      </c>
    </row>
    <row r="252">
      <c r="B252" s="7" t="n">
        <v>20</v>
      </c>
      <c r="C252" s="7" t="inlineStr">
        <is>
          <t>02/10/2026</t>
        </is>
      </c>
      <c r="D252" s="7" t="inlineStr">
        <is>
          <t>Oct-2026</t>
        </is>
      </c>
      <c r="E252" s="7" t="inlineStr">
        <is>
          <t>viernes</t>
        </is>
      </c>
      <c r="F252" s="7" t="n">
        <v>2481</v>
      </c>
      <c r="G252" s="7" t="inlineStr">
        <is>
          <t>MIA</t>
        </is>
      </c>
      <c r="H252" s="7" t="inlineStr">
        <is>
          <t>LIM</t>
        </is>
      </c>
      <c r="I252" s="7" t="inlineStr">
        <is>
          <t>15:55:00</t>
        </is>
      </c>
      <c r="J252" s="7" t="inlineStr">
        <is>
          <t>21:40:00</t>
        </is>
      </c>
      <c r="K252" s="7" t="inlineStr">
        <is>
          <t>NO</t>
        </is>
      </c>
      <c r="L252" s="7" t="n">
        <v>763</v>
      </c>
      <c r="M252" s="7" t="inlineStr">
        <is>
          <t>05:45:00</t>
        </is>
      </c>
      <c r="N252" s="7" t="n">
        <v>3</v>
      </c>
      <c r="O252">
        <f>IF(O250="","",O250)</f>
        <v/>
      </c>
      <c r="Q252">
        <f>IF(Q249="","",Q249)</f>
        <v/>
      </c>
    </row>
    <row r="253">
      <c r="Q253">
        <f>"- "&amp;G252&amp;"-"&amp;H252</f>
        <v/>
      </c>
    </row>
    <row r="254">
      <c r="Q254">
        <f>"- LA "&amp;F252&amp;" ("&amp;LEFT(I252,5)&amp;"-"&amp;LEFT(J252,5)&amp;" hrs)"</f>
        <v/>
      </c>
    </row>
    <row r="256">
      <c r="Q256" s="3" t="n"/>
    </row>
    <row r="257">
      <c r="B257" s="4" t="inlineStr">
        <is>
          <t>Pairing ID</t>
        </is>
      </c>
      <c r="C257" s="4" t="inlineStr">
        <is>
          <t>FECHA REAL</t>
        </is>
      </c>
      <c r="D257" s="5" t="inlineStr">
        <is>
          <t>MES</t>
        </is>
      </c>
      <c r="E257" s="4" t="inlineStr">
        <is>
          <t>Day of Week</t>
        </is>
      </c>
      <c r="F257" s="4" t="inlineStr">
        <is>
          <t>Flight No</t>
        </is>
      </c>
      <c r="G257" s="4" t="inlineStr">
        <is>
          <t>Dep Stn</t>
        </is>
      </c>
      <c r="H257" s="4" t="inlineStr">
        <is>
          <t>Arr Stn</t>
        </is>
      </c>
      <c r="I257" s="4" t="inlineStr">
        <is>
          <t>STD</t>
        </is>
      </c>
      <c r="J257" s="4" t="inlineStr">
        <is>
          <t>STA</t>
        </is>
      </c>
      <c r="K257" s="4" t="inlineStr">
        <is>
          <t>DAY</t>
        </is>
      </c>
      <c r="L257" s="4" t="inlineStr">
        <is>
          <t>AC Type</t>
        </is>
      </c>
      <c r="M257" s="4" t="inlineStr">
        <is>
          <t>HBT</t>
        </is>
      </c>
      <c r="N257" s="6" t="inlineStr">
        <is>
          <t>DIA_DUTY</t>
        </is>
      </c>
      <c r="O257" s="3" t="n"/>
      <c r="Q257">
        <f>"- "&amp;G258&amp;"-"&amp;H258</f>
        <v/>
      </c>
      <c r="R257" s="7">
        <f>B258</f>
        <v/>
      </c>
      <c r="S257" s="7">
        <f>C258</f>
        <v/>
      </c>
      <c r="T257" s="7">
        <f>E258</f>
        <v/>
      </c>
      <c r="U257" s="7">
        <f>F258&amp;"/"&amp;F259</f>
        <v/>
      </c>
      <c r="V257" s="7">
        <f>G258&amp;"-"&amp;H258&amp;"-"&amp;G258</f>
        <v/>
      </c>
      <c r="W257" s="7">
        <f>IF(O257="","",O257)</f>
        <v/>
      </c>
      <c r="X257" s="7">
        <f>IF(Q256="","",Q256)</f>
        <v/>
      </c>
      <c r="Y257" s="7">
        <f>C258</f>
        <v/>
      </c>
      <c r="Z257" s="7">
        <f>C259</f>
        <v/>
      </c>
    </row>
    <row r="258">
      <c r="B258" s="7" t="n">
        <v>20</v>
      </c>
      <c r="C258" s="7" t="inlineStr">
        <is>
          <t>09/10/2026</t>
        </is>
      </c>
      <c r="D258" s="7" t="inlineStr">
        <is>
          <t>Oct-2026</t>
        </is>
      </c>
      <c r="E258" s="7" t="inlineStr">
        <is>
          <t>viernes</t>
        </is>
      </c>
      <c r="F258" s="7" t="n">
        <v>2697</v>
      </c>
      <c r="G258" s="7" t="inlineStr">
        <is>
          <t>LIM</t>
        </is>
      </c>
      <c r="H258" s="7" t="inlineStr">
        <is>
          <t>SCL</t>
        </is>
      </c>
      <c r="I258" s="7" t="inlineStr">
        <is>
          <t>09:35:00</t>
        </is>
      </c>
      <c r="J258" s="7" t="inlineStr">
        <is>
          <t>13:00:00</t>
        </is>
      </c>
      <c r="K258" s="7" t="inlineStr">
        <is>
          <t>NO</t>
        </is>
      </c>
      <c r="L258" s="7" t="n">
        <v>788</v>
      </c>
      <c r="M258" s="7" t="inlineStr">
        <is>
          <t>03:25:00</t>
        </is>
      </c>
      <c r="N258" s="7" t="n">
        <v>1</v>
      </c>
      <c r="Q258">
        <f>"- LA "&amp;F258&amp;" ("&amp;LEFT(I258,5)&amp;"-"&amp;LEFT(J258,5)&amp;" hrs)"</f>
        <v/>
      </c>
    </row>
    <row r="259">
      <c r="B259" s="7" t="n">
        <v>20</v>
      </c>
      <c r="C259" s="7" t="inlineStr">
        <is>
          <t>09/10/2026</t>
        </is>
      </c>
      <c r="D259" s="7" t="inlineStr">
        <is>
          <t>Oct-2026</t>
        </is>
      </c>
      <c r="E259" s="7" t="inlineStr">
        <is>
          <t>viernes</t>
        </is>
      </c>
      <c r="F259" s="7" t="n">
        <v>2696</v>
      </c>
      <c r="G259" s="7" t="inlineStr">
        <is>
          <t>SCL</t>
        </is>
      </c>
      <c r="H259" s="7" t="inlineStr">
        <is>
          <t>LIM</t>
        </is>
      </c>
      <c r="I259" s="7" t="inlineStr">
        <is>
          <t>15:55:00</t>
        </is>
      </c>
      <c r="J259" s="7" t="inlineStr">
        <is>
          <t>19:40:00</t>
        </is>
      </c>
      <c r="K259" s="7" t="inlineStr">
        <is>
          <t>NO</t>
        </is>
      </c>
      <c r="L259" s="7" t="n">
        <v>788</v>
      </c>
      <c r="M259" s="7" t="inlineStr">
        <is>
          <t>03:45:00</t>
        </is>
      </c>
      <c r="N259" s="7" t="n">
        <v>1</v>
      </c>
      <c r="O259">
        <f>IF(O257="","",O257)</f>
        <v/>
      </c>
      <c r="Q259">
        <f>IF(Q256="","",Q256)</f>
        <v/>
      </c>
    </row>
    <row r="260">
      <c r="Q260">
        <f>"- "&amp;G259&amp;"-"&amp;H259</f>
        <v/>
      </c>
    </row>
    <row r="261">
      <c r="Q261">
        <f>"- LA "&amp;F259&amp;" ("&amp;LEFT(I259,5)&amp;"-"&amp;LEFT(J259,5)&amp;" hrs)"</f>
        <v/>
      </c>
    </row>
    <row r="263">
      <c r="Q263" s="3" t="n"/>
    </row>
    <row r="264">
      <c r="B264" s="4" t="inlineStr">
        <is>
          <t>Pairing ID</t>
        </is>
      </c>
      <c r="C264" s="4" t="inlineStr">
        <is>
          <t>FECHA REAL</t>
        </is>
      </c>
      <c r="D264" s="5" t="inlineStr">
        <is>
          <t>MES</t>
        </is>
      </c>
      <c r="E264" s="4" t="inlineStr">
        <is>
          <t>Day of Week</t>
        </is>
      </c>
      <c r="F264" s="4" t="inlineStr">
        <is>
          <t>Flight No</t>
        </is>
      </c>
      <c r="G264" s="4" t="inlineStr">
        <is>
          <t>Dep Stn</t>
        </is>
      </c>
      <c r="H264" s="4" t="inlineStr">
        <is>
          <t>Arr Stn</t>
        </is>
      </c>
      <c r="I264" s="4" t="inlineStr">
        <is>
          <t>STD</t>
        </is>
      </c>
      <c r="J264" s="4" t="inlineStr">
        <is>
          <t>STA</t>
        </is>
      </c>
      <c r="K264" s="4" t="inlineStr">
        <is>
          <t>DAY</t>
        </is>
      </c>
      <c r="L264" s="4" t="inlineStr">
        <is>
          <t>AC Type</t>
        </is>
      </c>
      <c r="M264" s="4" t="inlineStr">
        <is>
          <t>HBT</t>
        </is>
      </c>
      <c r="N264" s="6" t="inlineStr">
        <is>
          <t>DIA_DUTY</t>
        </is>
      </c>
      <c r="O264" s="3" t="n"/>
      <c r="Q264">
        <f>"- "&amp;G265&amp;"-"&amp;H265</f>
        <v/>
      </c>
      <c r="R264" s="7">
        <f>B265</f>
        <v/>
      </c>
      <c r="S264" s="7">
        <f>C265</f>
        <v/>
      </c>
      <c r="T264" s="7">
        <f>E265</f>
        <v/>
      </c>
      <c r="U264" s="7">
        <f>F265&amp;"/"&amp;F266</f>
        <v/>
      </c>
      <c r="V264" s="7">
        <f>G265&amp;"-"&amp;H265&amp;"-"&amp;G265</f>
        <v/>
      </c>
      <c r="W264" s="7">
        <f>IF(O264="","",O264)</f>
        <v/>
      </c>
      <c r="X264" s="7">
        <f>IF(Q263="","",Q263)</f>
        <v/>
      </c>
      <c r="Y264" s="7">
        <f>C265</f>
        <v/>
      </c>
      <c r="Z264" s="7">
        <f>C266</f>
        <v/>
      </c>
    </row>
    <row r="265">
      <c r="B265" s="7" t="n">
        <v>210</v>
      </c>
      <c r="C265" s="7" t="inlineStr">
        <is>
          <t>19/10/2026</t>
        </is>
      </c>
      <c r="D265" s="7" t="inlineStr">
        <is>
          <t>Oct-2026</t>
        </is>
      </c>
      <c r="E265" s="7" t="inlineStr">
        <is>
          <t>lunes</t>
        </is>
      </c>
      <c r="F265" s="7" t="n">
        <v>2697</v>
      </c>
      <c r="G265" s="7" t="inlineStr">
        <is>
          <t>LIM</t>
        </is>
      </c>
      <c r="H265" s="7" t="inlineStr">
        <is>
          <t>SCL</t>
        </is>
      </c>
      <c r="I265" s="7" t="inlineStr">
        <is>
          <t>09:35:00</t>
        </is>
      </c>
      <c r="J265" s="7" t="inlineStr">
        <is>
          <t>13:00:00</t>
        </is>
      </c>
      <c r="K265" s="7" t="inlineStr">
        <is>
          <t>NO</t>
        </is>
      </c>
      <c r="L265" s="7" t="n">
        <v>789</v>
      </c>
      <c r="M265" s="7" t="inlineStr">
        <is>
          <t>03:25:00</t>
        </is>
      </c>
      <c r="N265" s="7" t="n">
        <v>1</v>
      </c>
      <c r="Q265">
        <f>"- LA "&amp;F265&amp;" ("&amp;LEFT(I265,5)&amp;"-"&amp;LEFT(J265,5)&amp;" hrs)"</f>
        <v/>
      </c>
    </row>
    <row r="266">
      <c r="B266" s="7" t="n">
        <v>210</v>
      </c>
      <c r="C266" s="7" t="inlineStr">
        <is>
          <t>19/10/2026</t>
        </is>
      </c>
      <c r="D266" s="7" t="inlineStr">
        <is>
          <t>Oct-2026</t>
        </is>
      </c>
      <c r="E266" s="7" t="inlineStr">
        <is>
          <t>lunes</t>
        </is>
      </c>
      <c r="F266" s="7" t="n">
        <v>2696</v>
      </c>
      <c r="G266" s="7" t="inlineStr">
        <is>
          <t>SCL</t>
        </is>
      </c>
      <c r="H266" s="7" t="inlineStr">
        <is>
          <t>LIM</t>
        </is>
      </c>
      <c r="I266" s="7" t="inlineStr">
        <is>
          <t>15:55:00</t>
        </is>
      </c>
      <c r="J266" s="7" t="inlineStr">
        <is>
          <t>19:40:00</t>
        </is>
      </c>
      <c r="K266" s="7" t="inlineStr">
        <is>
          <t>NO</t>
        </is>
      </c>
      <c r="L266" s="7" t="n">
        <v>789</v>
      </c>
      <c r="M266" s="7" t="inlineStr">
        <is>
          <t>03:45:00</t>
        </is>
      </c>
      <c r="N266" s="7" t="n">
        <v>1</v>
      </c>
      <c r="O266">
        <f>IF(O264="","",O264)</f>
        <v/>
      </c>
      <c r="Q266">
        <f>IF(Q263="","",Q263)</f>
        <v/>
      </c>
    </row>
    <row r="267">
      <c r="Q267">
        <f>"- "&amp;G266&amp;"-"&amp;H266</f>
        <v/>
      </c>
    </row>
    <row r="268">
      <c r="Q268">
        <f>"- LA "&amp;F266&amp;" ("&amp;LEFT(I266,5)&amp;"-"&amp;LEFT(J266,5)&amp;" hrs)"</f>
        <v/>
      </c>
    </row>
    <row r="270">
      <c r="Q270" s="3" t="n"/>
    </row>
    <row r="271">
      <c r="B271" s="4" t="inlineStr">
        <is>
          <t>Pairing ID</t>
        </is>
      </c>
      <c r="C271" s="4" t="inlineStr">
        <is>
          <t>FECHA REAL</t>
        </is>
      </c>
      <c r="D271" s="5" t="inlineStr">
        <is>
          <t>MES</t>
        </is>
      </c>
      <c r="E271" s="4" t="inlineStr">
        <is>
          <t>Day of Week</t>
        </is>
      </c>
      <c r="F271" s="4" t="inlineStr">
        <is>
          <t>Flight No</t>
        </is>
      </c>
      <c r="G271" s="4" t="inlineStr">
        <is>
          <t>Dep Stn</t>
        </is>
      </c>
      <c r="H271" s="4" t="inlineStr">
        <is>
          <t>Arr Stn</t>
        </is>
      </c>
      <c r="I271" s="4" t="inlineStr">
        <is>
          <t>STD</t>
        </is>
      </c>
      <c r="J271" s="4" t="inlineStr">
        <is>
          <t>STA</t>
        </is>
      </c>
      <c r="K271" s="4" t="inlineStr">
        <is>
          <t>DAY</t>
        </is>
      </c>
      <c r="L271" s="4" t="inlineStr">
        <is>
          <t>AC Type</t>
        </is>
      </c>
      <c r="M271" s="4" t="inlineStr">
        <is>
          <t>HBT</t>
        </is>
      </c>
      <c r="N271" s="6" t="inlineStr">
        <is>
          <t>DIA_DUTY</t>
        </is>
      </c>
      <c r="O271" s="3" t="n"/>
      <c r="Q271">
        <f>"- "&amp;G272&amp;"-"&amp;H272</f>
        <v/>
      </c>
      <c r="R271" s="7">
        <f>B272</f>
        <v/>
      </c>
      <c r="S271" s="7">
        <f>C272</f>
        <v/>
      </c>
      <c r="T271" s="7">
        <f>E272</f>
        <v/>
      </c>
      <c r="U271" s="7">
        <f>F272&amp;"/"&amp;F273</f>
        <v/>
      </c>
      <c r="V271" s="7">
        <f>G272&amp;"-"&amp;H272&amp;"-"&amp;G272</f>
        <v/>
      </c>
      <c r="W271" s="7">
        <f>IF(O271="","",O271)</f>
        <v/>
      </c>
      <c r="X271" s="7">
        <f>IF(Q270="","",Q270)</f>
        <v/>
      </c>
      <c r="Y271" s="7">
        <f>C272</f>
        <v/>
      </c>
      <c r="Z271" s="7">
        <f>C273</f>
        <v/>
      </c>
    </row>
    <row r="272">
      <c r="B272" s="7" t="n">
        <v>213</v>
      </c>
      <c r="C272" s="7" t="inlineStr">
        <is>
          <t>19/10/2026</t>
        </is>
      </c>
      <c r="D272" s="7" t="inlineStr">
        <is>
          <t>Oct-2026</t>
        </is>
      </c>
      <c r="E272" s="7" t="inlineStr">
        <is>
          <t>lunes</t>
        </is>
      </c>
      <c r="F272" s="7" t="n">
        <v>2694</v>
      </c>
      <c r="G272" s="7" t="inlineStr">
        <is>
          <t>LIM</t>
        </is>
      </c>
      <c r="H272" s="7" t="inlineStr">
        <is>
          <t>MIA</t>
        </is>
      </c>
      <c r="I272" s="7" t="inlineStr">
        <is>
          <t>13:30:00</t>
        </is>
      </c>
      <c r="J272" s="7" t="inlineStr">
        <is>
          <t>19:25:00</t>
        </is>
      </c>
      <c r="K272" s="7" t="inlineStr">
        <is>
          <t>NO</t>
        </is>
      </c>
      <c r="L272" s="7" t="n">
        <v>763</v>
      </c>
      <c r="M272" s="7" t="inlineStr">
        <is>
          <t>05:55:00</t>
        </is>
      </c>
      <c r="N272" s="7" t="n">
        <v>1</v>
      </c>
      <c r="Q272">
        <f>"- LA "&amp;F272&amp;" ("&amp;LEFT(I272,5)&amp;"-"&amp;LEFT(J272,5)&amp;" hrs)"</f>
        <v/>
      </c>
    </row>
    <row r="273">
      <c r="B273" s="7" t="n">
        <v>213</v>
      </c>
      <c r="C273" s="7" t="inlineStr">
        <is>
          <t>20/10/2026</t>
        </is>
      </c>
      <c r="D273" s="7" t="inlineStr">
        <is>
          <t>Oct-2026</t>
        </is>
      </c>
      <c r="E273" s="7" t="inlineStr">
        <is>
          <t>martes</t>
        </is>
      </c>
      <c r="F273" s="7" t="n">
        <v>2695</v>
      </c>
      <c r="G273" s="7" t="inlineStr">
        <is>
          <t>MIA</t>
        </is>
      </c>
      <c r="H273" s="7" t="inlineStr">
        <is>
          <t>LIM</t>
        </is>
      </c>
      <c r="I273" s="7" t="inlineStr">
        <is>
          <t>16:10:00</t>
        </is>
      </c>
      <c r="J273" s="7" t="inlineStr">
        <is>
          <t>22:00:00</t>
        </is>
      </c>
      <c r="K273" s="7" t="inlineStr">
        <is>
          <t>NO</t>
        </is>
      </c>
      <c r="L273" s="7" t="n">
        <v>763</v>
      </c>
      <c r="M273" s="7" t="inlineStr">
        <is>
          <t>05:50:00</t>
        </is>
      </c>
      <c r="N273" s="7" t="n">
        <v>2</v>
      </c>
      <c r="O273">
        <f>IF(O271="","",O271)</f>
        <v/>
      </c>
      <c r="Q273">
        <f>IF(Q270="","",Q270)</f>
        <v/>
      </c>
    </row>
    <row r="274">
      <c r="Q274">
        <f>"- "&amp;G273&amp;"-"&amp;H273</f>
        <v/>
      </c>
    </row>
    <row r="275">
      <c r="Q275">
        <f>"- LA "&amp;F273&amp;" ("&amp;LEFT(I273,5)&amp;"-"&amp;LEFT(J273,5)&amp;" hrs)"</f>
        <v/>
      </c>
    </row>
    <row r="277">
      <c r="Q277" s="3" t="n"/>
    </row>
    <row r="278">
      <c r="B278" s="4" t="inlineStr">
        <is>
          <t>Pairing ID</t>
        </is>
      </c>
      <c r="C278" s="4" t="inlineStr">
        <is>
          <t>FECHA REAL</t>
        </is>
      </c>
      <c r="D278" s="5" t="inlineStr">
        <is>
          <t>MES</t>
        </is>
      </c>
      <c r="E278" s="4" t="inlineStr">
        <is>
          <t>Day of Week</t>
        </is>
      </c>
      <c r="F278" s="4" t="inlineStr">
        <is>
          <t>Flight No</t>
        </is>
      </c>
      <c r="G278" s="4" t="inlineStr">
        <is>
          <t>Dep Stn</t>
        </is>
      </c>
      <c r="H278" s="4" t="inlineStr">
        <is>
          <t>Arr Stn</t>
        </is>
      </c>
      <c r="I278" s="4" t="inlineStr">
        <is>
          <t>STD</t>
        </is>
      </c>
      <c r="J278" s="4" t="inlineStr">
        <is>
          <t>STA</t>
        </is>
      </c>
      <c r="K278" s="4" t="inlineStr">
        <is>
          <t>DAY</t>
        </is>
      </c>
      <c r="L278" s="4" t="inlineStr">
        <is>
          <t>AC Type</t>
        </is>
      </c>
      <c r="M278" s="4" t="inlineStr">
        <is>
          <t>HBT</t>
        </is>
      </c>
      <c r="N278" s="6" t="inlineStr">
        <is>
          <t>DIA_DUTY</t>
        </is>
      </c>
      <c r="O278" s="3" t="n"/>
      <c r="Q278">
        <f>"- "&amp;G279&amp;"-"&amp;H279</f>
        <v/>
      </c>
      <c r="R278" s="7">
        <f>B279</f>
        <v/>
      </c>
      <c r="S278" s="7">
        <f>C279</f>
        <v/>
      </c>
      <c r="T278" s="7">
        <f>E279</f>
        <v/>
      </c>
      <c r="U278" s="7">
        <f>F279&amp;"/"&amp;F280</f>
        <v/>
      </c>
      <c r="V278" s="7">
        <f>G279&amp;"-"&amp;H279&amp;"-"&amp;G279</f>
        <v/>
      </c>
      <c r="W278" s="7">
        <f>IF(O278="","",O278)</f>
        <v/>
      </c>
      <c r="X278" s="7">
        <f>IF(Q277="","",Q277)</f>
        <v/>
      </c>
      <c r="Y278" s="7">
        <f>C279</f>
        <v/>
      </c>
      <c r="Z278" s="7">
        <f>C280</f>
        <v/>
      </c>
    </row>
    <row r="279">
      <c r="B279" s="7" t="n">
        <v>217</v>
      </c>
      <c r="C279" s="7" t="inlineStr">
        <is>
          <t>20/10/2026</t>
        </is>
      </c>
      <c r="D279" s="7" t="inlineStr">
        <is>
          <t>Oct-2026</t>
        </is>
      </c>
      <c r="E279" s="7" t="inlineStr">
        <is>
          <t>martes</t>
        </is>
      </c>
      <c r="F279" s="7" t="n">
        <v>2480</v>
      </c>
      <c r="G279" s="7" t="inlineStr">
        <is>
          <t>LIM</t>
        </is>
      </c>
      <c r="H279" s="7" t="inlineStr">
        <is>
          <t>MIA</t>
        </is>
      </c>
      <c r="I279" s="7" t="inlineStr">
        <is>
          <t>00:15:00</t>
        </is>
      </c>
      <c r="J279" s="7" t="inlineStr">
        <is>
          <t>06:10:00</t>
        </is>
      </c>
      <c r="K279" s="7" t="inlineStr">
        <is>
          <t>NO</t>
        </is>
      </c>
      <c r="L279" s="7" t="n">
        <v>763</v>
      </c>
      <c r="M279" s="7" t="inlineStr">
        <is>
          <t>05:55:00</t>
        </is>
      </c>
      <c r="N279" s="7" t="n">
        <v>2</v>
      </c>
      <c r="Q279">
        <f>"- LA "&amp;F279&amp;" ("&amp;LEFT(I279,5)&amp;"-"&amp;LEFT(J279,5)&amp;" hrs)"</f>
        <v/>
      </c>
    </row>
    <row r="280">
      <c r="B280" s="7" t="n">
        <v>217</v>
      </c>
      <c r="C280" s="7" t="inlineStr">
        <is>
          <t>21/10/2026</t>
        </is>
      </c>
      <c r="D280" s="7" t="inlineStr">
        <is>
          <t>Oct-2026</t>
        </is>
      </c>
      <c r="E280" s="7" t="inlineStr">
        <is>
          <t>miércoles</t>
        </is>
      </c>
      <c r="F280" s="7" t="n">
        <v>2481</v>
      </c>
      <c r="G280" s="7" t="inlineStr">
        <is>
          <t>MIA</t>
        </is>
      </c>
      <c r="H280" s="7" t="inlineStr">
        <is>
          <t>LIM</t>
        </is>
      </c>
      <c r="I280" s="7" t="inlineStr">
        <is>
          <t>15:55:00</t>
        </is>
      </c>
      <c r="J280" s="7" t="inlineStr">
        <is>
          <t>21:40:00</t>
        </is>
      </c>
      <c r="K280" s="7" t="inlineStr">
        <is>
          <t>NO</t>
        </is>
      </c>
      <c r="L280" s="7" t="n">
        <v>763</v>
      </c>
      <c r="M280" s="7" t="inlineStr">
        <is>
          <t>05:45:00</t>
        </is>
      </c>
      <c r="N280" s="7" t="n">
        <v>3</v>
      </c>
      <c r="O280">
        <f>IF(O278="","",O278)</f>
        <v/>
      </c>
      <c r="Q280">
        <f>IF(Q277="","",Q277)</f>
        <v/>
      </c>
    </row>
    <row r="281">
      <c r="Q281">
        <f>"- "&amp;G280&amp;"-"&amp;H280</f>
        <v/>
      </c>
    </row>
    <row r="282">
      <c r="Q282">
        <f>"- LA "&amp;F280&amp;" ("&amp;LEFT(I280,5)&amp;"-"&amp;LEFT(J280,5)&amp;" hrs)"</f>
        <v/>
      </c>
    </row>
    <row r="284">
      <c r="Q284" s="3" t="n"/>
    </row>
    <row r="285">
      <c r="B285" s="4" t="inlineStr">
        <is>
          <t>Pairing ID</t>
        </is>
      </c>
      <c r="C285" s="4" t="inlineStr">
        <is>
          <t>FECHA REAL</t>
        </is>
      </c>
      <c r="D285" s="5" t="inlineStr">
        <is>
          <t>MES</t>
        </is>
      </c>
      <c r="E285" s="4" t="inlineStr">
        <is>
          <t>Day of Week</t>
        </is>
      </c>
      <c r="F285" s="4" t="inlineStr">
        <is>
          <t>Flight No</t>
        </is>
      </c>
      <c r="G285" s="4" t="inlineStr">
        <is>
          <t>Dep Stn</t>
        </is>
      </c>
      <c r="H285" s="4" t="inlineStr">
        <is>
          <t>Arr Stn</t>
        </is>
      </c>
      <c r="I285" s="4" t="inlineStr">
        <is>
          <t>STD</t>
        </is>
      </c>
      <c r="J285" s="4" t="inlineStr">
        <is>
          <t>STA</t>
        </is>
      </c>
      <c r="K285" s="4" t="inlineStr">
        <is>
          <t>DAY</t>
        </is>
      </c>
      <c r="L285" s="4" t="inlineStr">
        <is>
          <t>AC Type</t>
        </is>
      </c>
      <c r="M285" s="4" t="inlineStr">
        <is>
          <t>HBT</t>
        </is>
      </c>
      <c r="N285" s="6" t="inlineStr">
        <is>
          <t>DIA_DUTY</t>
        </is>
      </c>
      <c r="O285" s="3" t="n"/>
      <c r="Q285">
        <f>"- "&amp;G286&amp;"-"&amp;H286</f>
        <v/>
      </c>
      <c r="R285" s="7">
        <f>B286</f>
        <v/>
      </c>
      <c r="S285" s="7">
        <f>C286</f>
        <v/>
      </c>
      <c r="T285" s="7">
        <f>E286</f>
        <v/>
      </c>
      <c r="U285" s="7">
        <f>F286&amp;"/"&amp;F287</f>
        <v/>
      </c>
      <c r="V285" s="7">
        <f>G286&amp;"-"&amp;H286&amp;"-"&amp;G286</f>
        <v/>
      </c>
      <c r="W285" s="7">
        <f>IF(O285="","",O285)</f>
        <v/>
      </c>
      <c r="X285" s="7">
        <f>IF(Q284="","",Q284)</f>
        <v/>
      </c>
      <c r="Y285" s="7">
        <f>C286</f>
        <v/>
      </c>
      <c r="Z285" s="7">
        <f>C287</f>
        <v/>
      </c>
    </row>
    <row r="286">
      <c r="B286" s="7" t="n">
        <v>220</v>
      </c>
      <c r="C286" s="7" t="inlineStr">
        <is>
          <t>28/10/2026</t>
        </is>
      </c>
      <c r="D286" s="7" t="inlineStr">
        <is>
          <t>Oct-2026</t>
        </is>
      </c>
      <c r="E286" s="7" t="inlineStr">
        <is>
          <t>miércoles</t>
        </is>
      </c>
      <c r="F286" s="7" t="n">
        <v>2694</v>
      </c>
      <c r="G286" s="7" t="inlineStr">
        <is>
          <t>LIM</t>
        </is>
      </c>
      <c r="H286" s="7" t="inlineStr">
        <is>
          <t>MIA</t>
        </is>
      </c>
      <c r="I286" s="7" t="inlineStr">
        <is>
          <t>13:30:00</t>
        </is>
      </c>
      <c r="J286" s="7" t="inlineStr">
        <is>
          <t>19:25:00</t>
        </is>
      </c>
      <c r="K286" s="7" t="inlineStr">
        <is>
          <t>NO</t>
        </is>
      </c>
      <c r="L286" s="7" t="n">
        <v>763</v>
      </c>
      <c r="M286" s="7" t="inlineStr">
        <is>
          <t>05:55:00</t>
        </is>
      </c>
      <c r="N286" s="7" t="n">
        <v>1</v>
      </c>
      <c r="Q286">
        <f>"- LA "&amp;F286&amp;" ("&amp;LEFT(I286,5)&amp;"-"&amp;LEFT(J286,5)&amp;" hrs)"</f>
        <v/>
      </c>
    </row>
    <row r="287">
      <c r="B287" s="7" t="n">
        <v>220</v>
      </c>
      <c r="C287" s="7" t="inlineStr">
        <is>
          <t>29/10/2026</t>
        </is>
      </c>
      <c r="D287" s="7" t="inlineStr">
        <is>
          <t>Oct-2026</t>
        </is>
      </c>
      <c r="E287" s="7" t="inlineStr">
        <is>
          <t>jueves</t>
        </is>
      </c>
      <c r="F287" s="7" t="n">
        <v>2695</v>
      </c>
      <c r="G287" s="7" t="inlineStr">
        <is>
          <t>MIA</t>
        </is>
      </c>
      <c r="H287" s="7" t="inlineStr">
        <is>
          <t>LIM</t>
        </is>
      </c>
      <c r="I287" s="7" t="inlineStr">
        <is>
          <t>16:45:00</t>
        </is>
      </c>
      <c r="J287" s="7" t="inlineStr">
        <is>
          <t>22:30:00</t>
        </is>
      </c>
      <c r="K287" s="7" t="inlineStr">
        <is>
          <t>NO</t>
        </is>
      </c>
      <c r="L287" s="7" t="n">
        <v>763</v>
      </c>
      <c r="M287" s="7" t="inlineStr">
        <is>
          <t>05:45:00</t>
        </is>
      </c>
      <c r="N287" s="7" t="n">
        <v>2</v>
      </c>
      <c r="O287">
        <f>IF(O285="","",O285)</f>
        <v/>
      </c>
      <c r="Q287">
        <f>IF(Q284="","",Q284)</f>
        <v/>
      </c>
    </row>
    <row r="288">
      <c r="Q288">
        <f>"- "&amp;G287&amp;"-"&amp;H287</f>
        <v/>
      </c>
    </row>
    <row r="289">
      <c r="Q289">
        <f>"- LA "&amp;F287&amp;" ("&amp;LEFT(I287,5)&amp;"-"&amp;LEFT(J287,5)&amp;" hrs)"</f>
        <v/>
      </c>
    </row>
    <row r="291">
      <c r="Q291" s="3" t="n"/>
    </row>
    <row r="292">
      <c r="B292" s="4" t="inlineStr">
        <is>
          <t>Pairing ID</t>
        </is>
      </c>
      <c r="C292" s="4" t="inlineStr">
        <is>
          <t>FECHA REAL</t>
        </is>
      </c>
      <c r="D292" s="5" t="inlineStr">
        <is>
          <t>MES</t>
        </is>
      </c>
      <c r="E292" s="4" t="inlineStr">
        <is>
          <t>Day of Week</t>
        </is>
      </c>
      <c r="F292" s="4" t="inlineStr">
        <is>
          <t>Flight No</t>
        </is>
      </c>
      <c r="G292" s="4" t="inlineStr">
        <is>
          <t>Dep Stn</t>
        </is>
      </c>
      <c r="H292" s="4" t="inlineStr">
        <is>
          <t>Arr Stn</t>
        </is>
      </c>
      <c r="I292" s="4" t="inlineStr">
        <is>
          <t>STD</t>
        </is>
      </c>
      <c r="J292" s="4" t="inlineStr">
        <is>
          <t>STA</t>
        </is>
      </c>
      <c r="K292" s="4" t="inlineStr">
        <is>
          <t>DAY</t>
        </is>
      </c>
      <c r="L292" s="4" t="inlineStr">
        <is>
          <t>AC Type</t>
        </is>
      </c>
      <c r="M292" s="4" t="inlineStr">
        <is>
          <t>HBT</t>
        </is>
      </c>
      <c r="N292" s="6" t="inlineStr">
        <is>
          <t>DIA_DUTY</t>
        </is>
      </c>
      <c r="O292" s="3" t="n"/>
      <c r="Q292">
        <f>"- "&amp;G293&amp;"-"&amp;H293</f>
        <v/>
      </c>
      <c r="R292" s="7">
        <f>B293</f>
        <v/>
      </c>
      <c r="S292" s="7">
        <f>C293</f>
        <v/>
      </c>
      <c r="T292" s="7">
        <f>E293</f>
        <v/>
      </c>
      <c r="U292" s="7">
        <f>F293&amp;"/"&amp;F294</f>
        <v/>
      </c>
      <c r="V292" s="7">
        <f>G293&amp;"-"&amp;H293&amp;"-"&amp;G293</f>
        <v/>
      </c>
      <c r="W292" s="7">
        <f>IF(O292="","",O292)</f>
        <v/>
      </c>
      <c r="X292" s="7">
        <f>IF(Q291="","",Q291)</f>
        <v/>
      </c>
      <c r="Y292" s="7">
        <f>C293</f>
        <v/>
      </c>
      <c r="Z292" s="7">
        <f>C294</f>
        <v/>
      </c>
    </row>
    <row r="293">
      <c r="B293" s="7" t="n">
        <v>221</v>
      </c>
      <c r="C293" s="7" t="inlineStr">
        <is>
          <t>20/10/2026</t>
        </is>
      </c>
      <c r="D293" s="7" t="inlineStr">
        <is>
          <t>Oct-2026</t>
        </is>
      </c>
      <c r="E293" s="7" t="inlineStr">
        <is>
          <t>martes</t>
        </is>
      </c>
      <c r="F293" s="7" t="n">
        <v>2697</v>
      </c>
      <c r="G293" s="7" t="inlineStr">
        <is>
          <t>LIM</t>
        </is>
      </c>
      <c r="H293" s="7" t="inlineStr">
        <is>
          <t>SCL</t>
        </is>
      </c>
      <c r="I293" s="7" t="inlineStr">
        <is>
          <t>09:35:00</t>
        </is>
      </c>
      <c r="J293" s="7" t="inlineStr">
        <is>
          <t>13:00:00</t>
        </is>
      </c>
      <c r="K293" s="7" t="inlineStr">
        <is>
          <t>NO</t>
        </is>
      </c>
      <c r="L293" s="7" t="n">
        <v>789</v>
      </c>
      <c r="M293" s="7" t="inlineStr">
        <is>
          <t>03:25:00</t>
        </is>
      </c>
      <c r="N293" s="7" t="n">
        <v>1</v>
      </c>
      <c r="Q293">
        <f>"- LA "&amp;F293&amp;" ("&amp;LEFT(I293,5)&amp;"-"&amp;LEFT(J293,5)&amp;" hrs)"</f>
        <v/>
      </c>
    </row>
    <row r="294">
      <c r="B294" s="7" t="n">
        <v>221</v>
      </c>
      <c r="C294" s="7" t="inlineStr">
        <is>
          <t>20/10/2026</t>
        </is>
      </c>
      <c r="D294" s="7" t="inlineStr">
        <is>
          <t>Oct-2026</t>
        </is>
      </c>
      <c r="E294" s="7" t="inlineStr">
        <is>
          <t>martes</t>
        </is>
      </c>
      <c r="F294" s="7" t="n">
        <v>2696</v>
      </c>
      <c r="G294" s="7" t="inlineStr">
        <is>
          <t>SCL</t>
        </is>
      </c>
      <c r="H294" s="7" t="inlineStr">
        <is>
          <t>LIM</t>
        </is>
      </c>
      <c r="I294" s="7" t="inlineStr">
        <is>
          <t>15:55:00</t>
        </is>
      </c>
      <c r="J294" s="7" t="inlineStr">
        <is>
          <t>19:40:00</t>
        </is>
      </c>
      <c r="K294" s="7" t="inlineStr">
        <is>
          <t>NO</t>
        </is>
      </c>
      <c r="L294" s="7" t="n">
        <v>789</v>
      </c>
      <c r="M294" s="7" t="inlineStr">
        <is>
          <t>03:45:00</t>
        </is>
      </c>
      <c r="N294" s="7" t="n">
        <v>1</v>
      </c>
      <c r="O294">
        <f>IF(O292="","",O292)</f>
        <v/>
      </c>
      <c r="Q294">
        <f>IF(Q291="","",Q291)</f>
        <v/>
      </c>
    </row>
    <row r="295">
      <c r="Q295">
        <f>"- "&amp;G294&amp;"-"&amp;H294</f>
        <v/>
      </c>
    </row>
    <row r="296">
      <c r="Q296">
        <f>"- LA "&amp;F294&amp;" ("&amp;LEFT(I294,5)&amp;"-"&amp;LEFT(J294,5)&amp;" hrs)"</f>
        <v/>
      </c>
    </row>
    <row r="298">
      <c r="Q298" s="3" t="n"/>
    </row>
    <row r="299">
      <c r="B299" s="4" t="inlineStr">
        <is>
          <t>Pairing ID</t>
        </is>
      </c>
      <c r="C299" s="4" t="inlineStr">
        <is>
          <t>FECHA REAL</t>
        </is>
      </c>
      <c r="D299" s="5" t="inlineStr">
        <is>
          <t>MES</t>
        </is>
      </c>
      <c r="E299" s="4" t="inlineStr">
        <is>
          <t>Day of Week</t>
        </is>
      </c>
      <c r="F299" s="4" t="inlineStr">
        <is>
          <t>Flight No</t>
        </is>
      </c>
      <c r="G299" s="4" t="inlineStr">
        <is>
          <t>Dep Stn</t>
        </is>
      </c>
      <c r="H299" s="4" t="inlineStr">
        <is>
          <t>Arr Stn</t>
        </is>
      </c>
      <c r="I299" s="4" t="inlineStr">
        <is>
          <t>STD</t>
        </is>
      </c>
      <c r="J299" s="4" t="inlineStr">
        <is>
          <t>STA</t>
        </is>
      </c>
      <c r="K299" s="4" t="inlineStr">
        <is>
          <t>DAY</t>
        </is>
      </c>
      <c r="L299" s="4" t="inlineStr">
        <is>
          <t>AC Type</t>
        </is>
      </c>
      <c r="M299" s="4" t="inlineStr">
        <is>
          <t>HBT</t>
        </is>
      </c>
      <c r="N299" s="6" t="inlineStr">
        <is>
          <t>DIA_DUTY</t>
        </is>
      </c>
      <c r="O299" s="3" t="n"/>
      <c r="Q299">
        <f>"- "&amp;G300&amp;"-"&amp;H300</f>
        <v/>
      </c>
      <c r="R299" s="7">
        <f>B300</f>
        <v/>
      </c>
      <c r="S299" s="7">
        <f>C300</f>
        <v/>
      </c>
      <c r="T299" s="7">
        <f>E300</f>
        <v/>
      </c>
      <c r="U299" s="7">
        <f>F300&amp;"/"&amp;F301</f>
        <v/>
      </c>
      <c r="V299" s="7">
        <f>G300&amp;"-"&amp;H300&amp;"-"&amp;G300</f>
        <v/>
      </c>
      <c r="W299" s="7">
        <f>IF(O299="","",O299)</f>
        <v/>
      </c>
      <c r="X299" s="7">
        <f>IF(Q298="","",Q298)</f>
        <v/>
      </c>
      <c r="Y299" s="7">
        <f>C300</f>
        <v/>
      </c>
      <c r="Z299" s="7">
        <f>C301</f>
        <v/>
      </c>
    </row>
    <row r="300">
      <c r="B300" s="7" t="n">
        <v>222</v>
      </c>
      <c r="C300" s="7" t="inlineStr">
        <is>
          <t>29/10/2026</t>
        </is>
      </c>
      <c r="D300" s="7" t="inlineStr">
        <is>
          <t>Oct-2026</t>
        </is>
      </c>
      <c r="E300" s="7" t="inlineStr">
        <is>
          <t>jueves</t>
        </is>
      </c>
      <c r="F300" s="7" t="n">
        <v>2480</v>
      </c>
      <c r="G300" s="7" t="inlineStr">
        <is>
          <t>LIM</t>
        </is>
      </c>
      <c r="H300" s="7" t="inlineStr">
        <is>
          <t>MIA</t>
        </is>
      </c>
      <c r="I300" s="7" t="inlineStr">
        <is>
          <t>00:15:00</t>
        </is>
      </c>
      <c r="J300" s="7" t="inlineStr">
        <is>
          <t>06:10:00</t>
        </is>
      </c>
      <c r="K300" s="7" t="inlineStr">
        <is>
          <t>NO</t>
        </is>
      </c>
      <c r="L300" s="7" t="n">
        <v>763</v>
      </c>
      <c r="M300" s="7" t="inlineStr">
        <is>
          <t>05:55:00</t>
        </is>
      </c>
      <c r="N300" s="7" t="n">
        <v>2</v>
      </c>
      <c r="Q300">
        <f>"- LA "&amp;F300&amp;" ("&amp;LEFT(I300,5)&amp;"-"&amp;LEFT(J300,5)&amp;" hrs)"</f>
        <v/>
      </c>
    </row>
    <row r="301">
      <c r="B301" s="7" t="n">
        <v>222</v>
      </c>
      <c r="C301" s="7" t="inlineStr">
        <is>
          <t>30/10/2026</t>
        </is>
      </c>
      <c r="D301" s="7" t="inlineStr">
        <is>
          <t>Oct-2026</t>
        </is>
      </c>
      <c r="E301" s="7" t="inlineStr">
        <is>
          <t>viernes</t>
        </is>
      </c>
      <c r="F301" s="7" t="n">
        <v>2481</v>
      </c>
      <c r="G301" s="7" t="inlineStr">
        <is>
          <t>MIA</t>
        </is>
      </c>
      <c r="H301" s="7" t="inlineStr">
        <is>
          <t>LIM</t>
        </is>
      </c>
      <c r="I301" s="7" t="inlineStr">
        <is>
          <t>16:05:00</t>
        </is>
      </c>
      <c r="J301" s="7" t="inlineStr">
        <is>
          <t>21:55:00</t>
        </is>
      </c>
      <c r="K301" s="7" t="inlineStr">
        <is>
          <t>NO</t>
        </is>
      </c>
      <c r="L301" s="7" t="n">
        <v>763</v>
      </c>
      <c r="M301" s="7" t="inlineStr">
        <is>
          <t>05:50:00</t>
        </is>
      </c>
      <c r="N301" s="7" t="n">
        <v>3</v>
      </c>
      <c r="O301">
        <f>IF(O299="","",O299)</f>
        <v/>
      </c>
      <c r="Q301">
        <f>IF(Q298="","",Q298)</f>
        <v/>
      </c>
    </row>
    <row r="302">
      <c r="Q302">
        <f>"- "&amp;G301&amp;"-"&amp;H301</f>
        <v/>
      </c>
    </row>
    <row r="303">
      <c r="Q303">
        <f>"- LA "&amp;F301&amp;" ("&amp;LEFT(I301,5)&amp;"-"&amp;LEFT(J301,5)&amp;" hrs)"</f>
        <v/>
      </c>
    </row>
    <row r="305">
      <c r="Q305" s="3" t="n"/>
    </row>
    <row r="306">
      <c r="B306" s="4" t="inlineStr">
        <is>
          <t>Pairing ID</t>
        </is>
      </c>
      <c r="C306" s="4" t="inlineStr">
        <is>
          <t>FECHA REAL</t>
        </is>
      </c>
      <c r="D306" s="5" t="inlineStr">
        <is>
          <t>MES</t>
        </is>
      </c>
      <c r="E306" s="4" t="inlineStr">
        <is>
          <t>Day of Week</t>
        </is>
      </c>
      <c r="F306" s="4" t="inlineStr">
        <is>
          <t>Flight No</t>
        </is>
      </c>
      <c r="G306" s="4" t="inlineStr">
        <is>
          <t>Dep Stn</t>
        </is>
      </c>
      <c r="H306" s="4" t="inlineStr">
        <is>
          <t>Arr Stn</t>
        </is>
      </c>
      <c r="I306" s="4" t="inlineStr">
        <is>
          <t>STD</t>
        </is>
      </c>
      <c r="J306" s="4" t="inlineStr">
        <is>
          <t>STA</t>
        </is>
      </c>
      <c r="K306" s="4" t="inlineStr">
        <is>
          <t>DAY</t>
        </is>
      </c>
      <c r="L306" s="4" t="inlineStr">
        <is>
          <t>AC Type</t>
        </is>
      </c>
      <c r="M306" s="4" t="inlineStr">
        <is>
          <t>HBT</t>
        </is>
      </c>
      <c r="N306" s="6" t="inlineStr">
        <is>
          <t>DIA_DUTY</t>
        </is>
      </c>
      <c r="O306" s="3" t="n"/>
      <c r="Q306">
        <f>"- "&amp;G307&amp;"-"&amp;H307</f>
        <v/>
      </c>
      <c r="R306" s="7">
        <f>B307</f>
        <v/>
      </c>
      <c r="S306" s="7">
        <f>C307</f>
        <v/>
      </c>
      <c r="T306" s="7">
        <f>E307</f>
        <v/>
      </c>
      <c r="U306" s="7">
        <f>F307&amp;"/"&amp;F308</f>
        <v/>
      </c>
      <c r="V306" s="7">
        <f>G307&amp;"-"&amp;H307&amp;"-"&amp;G307</f>
        <v/>
      </c>
      <c r="W306" s="7">
        <f>IF(O306="","",O306)</f>
        <v/>
      </c>
      <c r="X306" s="7">
        <f>IF(Q305="","",Q305)</f>
        <v/>
      </c>
      <c r="Y306" s="7">
        <f>C307</f>
        <v/>
      </c>
      <c r="Z306" s="7">
        <f>C308</f>
        <v/>
      </c>
    </row>
    <row r="307">
      <c r="B307" s="7" t="n">
        <v>224</v>
      </c>
      <c r="C307" s="7" t="inlineStr">
        <is>
          <t>20/10/2026</t>
        </is>
      </c>
      <c r="D307" s="7" t="inlineStr">
        <is>
          <t>Oct-2026</t>
        </is>
      </c>
      <c r="E307" s="7" t="inlineStr">
        <is>
          <t>martes</t>
        </is>
      </c>
      <c r="F307" s="7" t="n">
        <v>2694</v>
      </c>
      <c r="G307" s="7" t="inlineStr">
        <is>
          <t>LIM</t>
        </is>
      </c>
      <c r="H307" s="7" t="inlineStr">
        <is>
          <t>MIA</t>
        </is>
      </c>
      <c r="I307" s="7" t="inlineStr">
        <is>
          <t>13:30:00</t>
        </is>
      </c>
      <c r="J307" s="7" t="inlineStr">
        <is>
          <t>19:25:00</t>
        </is>
      </c>
      <c r="K307" s="7" t="inlineStr">
        <is>
          <t>NO</t>
        </is>
      </c>
      <c r="L307" s="7" t="n">
        <v>763</v>
      </c>
      <c r="M307" s="7" t="inlineStr">
        <is>
          <t>05:55:00</t>
        </is>
      </c>
      <c r="N307" s="7" t="n">
        <v>1</v>
      </c>
      <c r="Q307">
        <f>"- LA "&amp;F307&amp;" ("&amp;LEFT(I307,5)&amp;"-"&amp;LEFT(J307,5)&amp;" hrs)"</f>
        <v/>
      </c>
    </row>
    <row r="308">
      <c r="B308" s="7" t="n">
        <v>224</v>
      </c>
      <c r="C308" s="7" t="inlineStr">
        <is>
          <t>22/10/2026</t>
        </is>
      </c>
      <c r="D308" s="7" t="inlineStr">
        <is>
          <t>Oct-2026</t>
        </is>
      </c>
      <c r="E308" s="7" t="inlineStr">
        <is>
          <t>jueves</t>
        </is>
      </c>
      <c r="F308" s="7" t="n">
        <v>2699</v>
      </c>
      <c r="G308" s="7" t="inlineStr">
        <is>
          <t>MIA</t>
        </is>
      </c>
      <c r="H308" s="7" t="inlineStr">
        <is>
          <t>LIM</t>
        </is>
      </c>
      <c r="I308" s="7" t="inlineStr">
        <is>
          <t>23:15:00</t>
        </is>
      </c>
      <c r="J308" s="7" t="inlineStr">
        <is>
          <t>05:00:00</t>
        </is>
      </c>
      <c r="K308" s="7" t="inlineStr">
        <is>
          <t>NO</t>
        </is>
      </c>
      <c r="L308" s="7" t="n">
        <v>763</v>
      </c>
      <c r="M308" s="7" t="inlineStr">
        <is>
          <t>05:45:00</t>
        </is>
      </c>
      <c r="N308" s="7" t="n">
        <v>2</v>
      </c>
      <c r="O308">
        <f>IF(O306="","",O306)</f>
        <v/>
      </c>
      <c r="Q308">
        <f>IF(Q305="","",Q305)</f>
        <v/>
      </c>
    </row>
    <row r="309">
      <c r="Q309">
        <f>"- "&amp;G308&amp;"-"&amp;H308</f>
        <v/>
      </c>
    </row>
    <row r="310">
      <c r="Q310">
        <f>"- LA "&amp;F308&amp;" ("&amp;LEFT(I308,5)&amp;"-"&amp;LEFT(J308,5)&amp;" hrs)"</f>
        <v/>
      </c>
    </row>
    <row r="312">
      <c r="Q312" s="3" t="n"/>
    </row>
    <row r="313">
      <c r="B313" s="4" t="inlineStr">
        <is>
          <t>Pairing ID</t>
        </is>
      </c>
      <c r="C313" s="4" t="inlineStr">
        <is>
          <t>FECHA REAL</t>
        </is>
      </c>
      <c r="D313" s="5" t="inlineStr">
        <is>
          <t>MES</t>
        </is>
      </c>
      <c r="E313" s="4" t="inlineStr">
        <is>
          <t>Day of Week</t>
        </is>
      </c>
      <c r="F313" s="4" t="inlineStr">
        <is>
          <t>Flight No</t>
        </is>
      </c>
      <c r="G313" s="4" t="inlineStr">
        <is>
          <t>Dep Stn</t>
        </is>
      </c>
      <c r="H313" s="4" t="inlineStr">
        <is>
          <t>Arr Stn</t>
        </is>
      </c>
      <c r="I313" s="4" t="inlineStr">
        <is>
          <t>STD</t>
        </is>
      </c>
      <c r="J313" s="4" t="inlineStr">
        <is>
          <t>STA</t>
        </is>
      </c>
      <c r="K313" s="4" t="inlineStr">
        <is>
          <t>DAY</t>
        </is>
      </c>
      <c r="L313" s="4" t="inlineStr">
        <is>
          <t>AC Type</t>
        </is>
      </c>
      <c r="M313" s="4" t="inlineStr">
        <is>
          <t>HBT</t>
        </is>
      </c>
      <c r="N313" s="6" t="inlineStr">
        <is>
          <t>DIA_DUTY</t>
        </is>
      </c>
      <c r="O313" s="3" t="n"/>
      <c r="Q313">
        <f>"- "&amp;G314&amp;"-"&amp;H314</f>
        <v/>
      </c>
      <c r="R313" s="7">
        <f>B314</f>
        <v/>
      </c>
      <c r="S313" s="7">
        <f>C314</f>
        <v/>
      </c>
      <c r="T313" s="7">
        <f>E314</f>
        <v/>
      </c>
      <c r="U313" s="7">
        <f>F314&amp;"/"&amp;F315</f>
        <v/>
      </c>
      <c r="V313" s="7">
        <f>G314&amp;"-"&amp;H314&amp;"-"&amp;G314</f>
        <v/>
      </c>
      <c r="W313" s="7">
        <f>IF(O313="","",O313)</f>
        <v/>
      </c>
      <c r="X313" s="7">
        <f>IF(Q312="","",Q312)</f>
        <v/>
      </c>
      <c r="Y313" s="7">
        <f>C314</f>
        <v/>
      </c>
      <c r="Z313" s="7">
        <f>C315</f>
        <v/>
      </c>
    </row>
    <row r="314">
      <c r="B314" s="7" t="n">
        <v>227</v>
      </c>
      <c r="C314" s="7" t="inlineStr">
        <is>
          <t>21/10/2026</t>
        </is>
      </c>
      <c r="D314" s="7" t="inlineStr">
        <is>
          <t>Oct-2026</t>
        </is>
      </c>
      <c r="E314" s="7" t="inlineStr">
        <is>
          <t>miércoles</t>
        </is>
      </c>
      <c r="F314" s="7" t="n">
        <v>2480</v>
      </c>
      <c r="G314" s="7" t="inlineStr">
        <is>
          <t>LIM</t>
        </is>
      </c>
      <c r="H314" s="7" t="inlineStr">
        <is>
          <t>MIA</t>
        </is>
      </c>
      <c r="I314" s="7" t="inlineStr">
        <is>
          <t>00:15:00</t>
        </is>
      </c>
      <c r="J314" s="7" t="inlineStr">
        <is>
          <t>06:10:00</t>
        </is>
      </c>
      <c r="K314" s="7" t="inlineStr">
        <is>
          <t>NO</t>
        </is>
      </c>
      <c r="L314" s="7" t="n">
        <v>763</v>
      </c>
      <c r="M314" s="7" t="inlineStr">
        <is>
          <t>05:55:00</t>
        </is>
      </c>
      <c r="N314" s="7" t="n">
        <v>2</v>
      </c>
      <c r="Q314">
        <f>"- LA "&amp;F314&amp;" ("&amp;LEFT(I314,5)&amp;"-"&amp;LEFT(J314,5)&amp;" hrs)"</f>
        <v/>
      </c>
    </row>
    <row r="315">
      <c r="B315" s="7" t="n">
        <v>227</v>
      </c>
      <c r="C315" s="7" t="inlineStr">
        <is>
          <t>22/10/2026</t>
        </is>
      </c>
      <c r="D315" s="7" t="inlineStr">
        <is>
          <t>Oct-2026</t>
        </is>
      </c>
      <c r="E315" s="7" t="inlineStr">
        <is>
          <t>jueves</t>
        </is>
      </c>
      <c r="F315" s="7" t="n">
        <v>2695</v>
      </c>
      <c r="G315" s="7" t="inlineStr">
        <is>
          <t>MIA</t>
        </is>
      </c>
      <c r="H315" s="7" t="inlineStr">
        <is>
          <t>LIM</t>
        </is>
      </c>
      <c r="I315" s="7" t="inlineStr">
        <is>
          <t>16:10:00</t>
        </is>
      </c>
      <c r="J315" s="7" t="inlineStr">
        <is>
          <t>22:00:00</t>
        </is>
      </c>
      <c r="K315" s="7" t="inlineStr">
        <is>
          <t>NO</t>
        </is>
      </c>
      <c r="L315" s="7" t="n">
        <v>763</v>
      </c>
      <c r="M315" s="7" t="inlineStr">
        <is>
          <t>05:50:00</t>
        </is>
      </c>
      <c r="N315" s="7" t="n">
        <v>3</v>
      </c>
      <c r="O315">
        <f>IF(O313="","",O313)</f>
        <v/>
      </c>
      <c r="Q315">
        <f>IF(Q312="","",Q312)</f>
        <v/>
      </c>
    </row>
    <row r="316">
      <c r="Q316">
        <f>"- "&amp;G315&amp;"-"&amp;H315</f>
        <v/>
      </c>
    </row>
    <row r="317">
      <c r="Q317">
        <f>"- LA "&amp;F315&amp;" ("&amp;LEFT(I315,5)&amp;"-"&amp;LEFT(J315,5)&amp;" hrs)"</f>
        <v/>
      </c>
    </row>
    <row r="319">
      <c r="Q319" s="3" t="n"/>
    </row>
    <row r="320">
      <c r="B320" s="4" t="inlineStr">
        <is>
          <t>Pairing ID</t>
        </is>
      </c>
      <c r="C320" s="4" t="inlineStr">
        <is>
          <t>FECHA REAL</t>
        </is>
      </c>
      <c r="D320" s="5" t="inlineStr">
        <is>
          <t>MES</t>
        </is>
      </c>
      <c r="E320" s="4" t="inlineStr">
        <is>
          <t>Day of Week</t>
        </is>
      </c>
      <c r="F320" s="4" t="inlineStr">
        <is>
          <t>Flight No</t>
        </is>
      </c>
      <c r="G320" s="4" t="inlineStr">
        <is>
          <t>Dep Stn</t>
        </is>
      </c>
      <c r="H320" s="4" t="inlineStr">
        <is>
          <t>Arr Stn</t>
        </is>
      </c>
      <c r="I320" s="4" t="inlineStr">
        <is>
          <t>STD</t>
        </is>
      </c>
      <c r="J320" s="4" t="inlineStr">
        <is>
          <t>STA</t>
        </is>
      </c>
      <c r="K320" s="4" t="inlineStr">
        <is>
          <t>DAY</t>
        </is>
      </c>
      <c r="L320" s="4" t="inlineStr">
        <is>
          <t>AC Type</t>
        </is>
      </c>
      <c r="M320" s="4" t="inlineStr">
        <is>
          <t>HBT</t>
        </is>
      </c>
      <c r="N320" s="6" t="inlineStr">
        <is>
          <t>DIA_DUTY</t>
        </is>
      </c>
      <c r="O320" s="3" t="n"/>
      <c r="Q320">
        <f>"- "&amp;G321&amp;"-"&amp;H321</f>
        <v/>
      </c>
      <c r="R320" s="7">
        <f>B321</f>
        <v/>
      </c>
      <c r="S320" s="7">
        <f>C321</f>
        <v/>
      </c>
      <c r="T320" s="7">
        <f>E321</f>
        <v/>
      </c>
      <c r="U320" s="7">
        <f>F321&amp;"/"&amp;F322</f>
        <v/>
      </c>
      <c r="V320" s="7">
        <f>G321&amp;"-"&amp;H321&amp;"-"&amp;G321</f>
        <v/>
      </c>
      <c r="W320" s="7">
        <f>IF(O320="","",O320)</f>
        <v/>
      </c>
      <c r="X320" s="7">
        <f>IF(Q319="","",Q319)</f>
        <v/>
      </c>
      <c r="Y320" s="7">
        <f>C321</f>
        <v/>
      </c>
      <c r="Z320" s="7">
        <f>C322</f>
        <v/>
      </c>
    </row>
    <row r="321">
      <c r="B321" s="7" t="n">
        <v>230</v>
      </c>
      <c r="C321" s="7" t="inlineStr">
        <is>
          <t>21/10/2026</t>
        </is>
      </c>
      <c r="D321" s="7" t="inlineStr">
        <is>
          <t>Oct-2026</t>
        </is>
      </c>
      <c r="E321" s="7" t="inlineStr">
        <is>
          <t>miércoles</t>
        </is>
      </c>
      <c r="F321" s="7" t="n">
        <v>2697</v>
      </c>
      <c r="G321" s="7" t="inlineStr">
        <is>
          <t>LIM</t>
        </is>
      </c>
      <c r="H321" s="7" t="inlineStr">
        <is>
          <t>SCL</t>
        </is>
      </c>
      <c r="I321" s="7" t="inlineStr">
        <is>
          <t>09:35:00</t>
        </is>
      </c>
      <c r="J321" s="7" t="inlineStr">
        <is>
          <t>13:00:00</t>
        </is>
      </c>
      <c r="K321" s="7" t="inlineStr">
        <is>
          <t>NO</t>
        </is>
      </c>
      <c r="L321" s="7" t="n">
        <v>789</v>
      </c>
      <c r="M321" s="7" t="inlineStr">
        <is>
          <t>03:25:00</t>
        </is>
      </c>
      <c r="N321" s="7" t="n">
        <v>1</v>
      </c>
      <c r="Q321">
        <f>"- LA "&amp;F321&amp;" ("&amp;LEFT(I321,5)&amp;"-"&amp;LEFT(J321,5)&amp;" hrs)"</f>
        <v/>
      </c>
    </row>
    <row r="322">
      <c r="B322" s="7" t="n">
        <v>230</v>
      </c>
      <c r="C322" s="7" t="inlineStr">
        <is>
          <t>21/10/2026</t>
        </is>
      </c>
      <c r="D322" s="7" t="inlineStr">
        <is>
          <t>Oct-2026</t>
        </is>
      </c>
      <c r="E322" s="7" t="inlineStr">
        <is>
          <t>miércoles</t>
        </is>
      </c>
      <c r="F322" s="7" t="n">
        <v>2696</v>
      </c>
      <c r="G322" s="7" t="inlineStr">
        <is>
          <t>SCL</t>
        </is>
      </c>
      <c r="H322" s="7" t="inlineStr">
        <is>
          <t>LIM</t>
        </is>
      </c>
      <c r="I322" s="7" t="inlineStr">
        <is>
          <t>15:55:00</t>
        </is>
      </c>
      <c r="J322" s="7" t="inlineStr">
        <is>
          <t>19:40:00</t>
        </is>
      </c>
      <c r="K322" s="7" t="inlineStr">
        <is>
          <t>NO</t>
        </is>
      </c>
      <c r="L322" s="7" t="n">
        <v>789</v>
      </c>
      <c r="M322" s="7" t="inlineStr">
        <is>
          <t>03:45:00</t>
        </is>
      </c>
      <c r="N322" s="7" t="n">
        <v>1</v>
      </c>
      <c r="O322">
        <f>IF(O320="","",O320)</f>
        <v/>
      </c>
      <c r="Q322">
        <f>IF(Q319="","",Q319)</f>
        <v/>
      </c>
    </row>
    <row r="323">
      <c r="Q323">
        <f>"- "&amp;G322&amp;"-"&amp;H322</f>
        <v/>
      </c>
    </row>
    <row r="324">
      <c r="Q324">
        <f>"- LA "&amp;F322&amp;" ("&amp;LEFT(I322,5)&amp;"-"&amp;LEFT(J322,5)&amp;" hrs)"</f>
        <v/>
      </c>
    </row>
    <row r="326">
      <c r="Q326" s="3" t="n"/>
    </row>
    <row r="327">
      <c r="B327" s="4" t="inlineStr">
        <is>
          <t>Pairing ID</t>
        </is>
      </c>
      <c r="C327" s="4" t="inlineStr">
        <is>
          <t>FECHA REAL</t>
        </is>
      </c>
      <c r="D327" s="5" t="inlineStr">
        <is>
          <t>MES</t>
        </is>
      </c>
      <c r="E327" s="4" t="inlineStr">
        <is>
          <t>Day of Week</t>
        </is>
      </c>
      <c r="F327" s="4" t="inlineStr">
        <is>
          <t>Flight No</t>
        </is>
      </c>
      <c r="G327" s="4" t="inlineStr">
        <is>
          <t>Dep Stn</t>
        </is>
      </c>
      <c r="H327" s="4" t="inlineStr">
        <is>
          <t>Arr Stn</t>
        </is>
      </c>
      <c r="I327" s="4" t="inlineStr">
        <is>
          <t>STD</t>
        </is>
      </c>
      <c r="J327" s="4" t="inlineStr">
        <is>
          <t>STA</t>
        </is>
      </c>
      <c r="K327" s="4" t="inlineStr">
        <is>
          <t>DAY</t>
        </is>
      </c>
      <c r="L327" s="4" t="inlineStr">
        <is>
          <t>AC Type</t>
        </is>
      </c>
      <c r="M327" s="4" t="inlineStr">
        <is>
          <t>HBT</t>
        </is>
      </c>
      <c r="N327" s="6" t="inlineStr">
        <is>
          <t>DIA_DUTY</t>
        </is>
      </c>
      <c r="O327" s="3" t="n"/>
      <c r="Q327">
        <f>"- "&amp;G328&amp;"-"&amp;H328</f>
        <v/>
      </c>
      <c r="R327" s="7">
        <f>B328</f>
        <v/>
      </c>
      <c r="S327" s="7">
        <f>C328</f>
        <v/>
      </c>
      <c r="T327" s="7">
        <f>E328</f>
        <v/>
      </c>
      <c r="U327" s="7">
        <f>F328&amp;"/"&amp;F329</f>
        <v/>
      </c>
      <c r="V327" s="7">
        <f>G328&amp;"-"&amp;H328&amp;"-"&amp;G328</f>
        <v/>
      </c>
      <c r="W327" s="7">
        <f>IF(O327="","",O327)</f>
        <v/>
      </c>
      <c r="X327" s="7">
        <f>IF(Q326="","",Q326)</f>
        <v/>
      </c>
      <c r="Y327" s="7">
        <f>C328</f>
        <v/>
      </c>
      <c r="Z327" s="7">
        <f>C329</f>
        <v/>
      </c>
    </row>
    <row r="328">
      <c r="B328" s="7" t="n">
        <v>237</v>
      </c>
      <c r="C328" s="7" t="inlineStr">
        <is>
          <t>22/10/2026</t>
        </is>
      </c>
      <c r="D328" s="7" t="inlineStr">
        <is>
          <t>Oct-2026</t>
        </is>
      </c>
      <c r="E328" s="7" t="inlineStr">
        <is>
          <t>jueves</t>
        </is>
      </c>
      <c r="F328" s="7" t="n">
        <v>2480</v>
      </c>
      <c r="G328" s="7" t="inlineStr">
        <is>
          <t>LIM</t>
        </is>
      </c>
      <c r="H328" s="7" t="inlineStr">
        <is>
          <t>MIA</t>
        </is>
      </c>
      <c r="I328" s="7" t="inlineStr">
        <is>
          <t>00:15:00</t>
        </is>
      </c>
      <c r="J328" s="7" t="inlineStr">
        <is>
          <t>06:10:00</t>
        </is>
      </c>
      <c r="K328" s="7" t="inlineStr">
        <is>
          <t>NO</t>
        </is>
      </c>
      <c r="L328" s="7" t="n">
        <v>763</v>
      </c>
      <c r="M328" s="7" t="inlineStr">
        <is>
          <t>05:55:00</t>
        </is>
      </c>
      <c r="N328" s="7" t="n">
        <v>2</v>
      </c>
      <c r="Q328">
        <f>"- LA "&amp;F328&amp;" ("&amp;LEFT(I328,5)&amp;"-"&amp;LEFT(J328,5)&amp;" hrs)"</f>
        <v/>
      </c>
    </row>
    <row r="329">
      <c r="B329" s="7" t="n">
        <v>237</v>
      </c>
      <c r="C329" s="7" t="inlineStr">
        <is>
          <t>23/10/2026</t>
        </is>
      </c>
      <c r="D329" s="7" t="inlineStr">
        <is>
          <t>Oct-2026</t>
        </is>
      </c>
      <c r="E329" s="7" t="inlineStr">
        <is>
          <t>viernes</t>
        </is>
      </c>
      <c r="F329" s="7" t="n">
        <v>2481</v>
      </c>
      <c r="G329" s="7" t="inlineStr">
        <is>
          <t>MIA</t>
        </is>
      </c>
      <c r="H329" s="7" t="inlineStr">
        <is>
          <t>LIM</t>
        </is>
      </c>
      <c r="I329" s="7" t="inlineStr">
        <is>
          <t>15:55:00</t>
        </is>
      </c>
      <c r="J329" s="7" t="inlineStr">
        <is>
          <t>21:40:00</t>
        </is>
      </c>
      <c r="K329" s="7" t="inlineStr">
        <is>
          <t>NO</t>
        </is>
      </c>
      <c r="L329" s="7" t="n">
        <v>763</v>
      </c>
      <c r="M329" s="7" t="inlineStr">
        <is>
          <t>05:45:00</t>
        </is>
      </c>
      <c r="N329" s="7" t="n">
        <v>3</v>
      </c>
      <c r="O329">
        <f>IF(O327="","",O327)</f>
        <v/>
      </c>
      <c r="Q329">
        <f>IF(Q326="","",Q326)</f>
        <v/>
      </c>
    </row>
    <row r="330">
      <c r="Q330">
        <f>"- "&amp;G329&amp;"-"&amp;H329</f>
        <v/>
      </c>
    </row>
    <row r="331">
      <c r="Q331">
        <f>"- LA "&amp;F329&amp;" ("&amp;LEFT(I329,5)&amp;"-"&amp;LEFT(J329,5)&amp;" hrs)"</f>
        <v/>
      </c>
    </row>
    <row r="333">
      <c r="Q333" s="3" t="n"/>
    </row>
    <row r="334">
      <c r="B334" s="4" t="inlineStr">
        <is>
          <t>Pairing ID</t>
        </is>
      </c>
      <c r="C334" s="4" t="inlineStr">
        <is>
          <t>FECHA REAL</t>
        </is>
      </c>
      <c r="D334" s="5" t="inlineStr">
        <is>
          <t>MES</t>
        </is>
      </c>
      <c r="E334" s="4" t="inlineStr">
        <is>
          <t>Day of Week</t>
        </is>
      </c>
      <c r="F334" s="4" t="inlineStr">
        <is>
          <t>Flight No</t>
        </is>
      </c>
      <c r="G334" s="4" t="inlineStr">
        <is>
          <t>Dep Stn</t>
        </is>
      </c>
      <c r="H334" s="4" t="inlineStr">
        <is>
          <t>Arr Stn</t>
        </is>
      </c>
      <c r="I334" s="4" t="inlineStr">
        <is>
          <t>STD</t>
        </is>
      </c>
      <c r="J334" s="4" t="inlineStr">
        <is>
          <t>STA</t>
        </is>
      </c>
      <c r="K334" s="4" t="inlineStr">
        <is>
          <t>DAY</t>
        </is>
      </c>
      <c r="L334" s="4" t="inlineStr">
        <is>
          <t>AC Type</t>
        </is>
      </c>
      <c r="M334" s="4" t="inlineStr">
        <is>
          <t>HBT</t>
        </is>
      </c>
      <c r="N334" s="6" t="inlineStr">
        <is>
          <t>DIA_DUTY</t>
        </is>
      </c>
      <c r="O334" s="3" t="n"/>
      <c r="Q334">
        <f>"- "&amp;G335&amp;"-"&amp;H335</f>
        <v/>
      </c>
      <c r="R334" s="7">
        <f>B335</f>
        <v/>
      </c>
      <c r="S334" s="7">
        <f>C335</f>
        <v/>
      </c>
      <c r="T334" s="7">
        <f>E335</f>
        <v/>
      </c>
      <c r="U334" s="7">
        <f>F335&amp;"/"&amp;F336</f>
        <v/>
      </c>
      <c r="V334" s="7">
        <f>G335&amp;"-"&amp;H335&amp;"-"&amp;G335</f>
        <v/>
      </c>
      <c r="W334" s="7">
        <f>IF(O334="","",O334)</f>
        <v/>
      </c>
      <c r="X334" s="7">
        <f>IF(Q333="","",Q333)</f>
        <v/>
      </c>
      <c r="Y334" s="7">
        <f>C335</f>
        <v/>
      </c>
      <c r="Z334" s="7">
        <f>C336</f>
        <v/>
      </c>
    </row>
    <row r="335">
      <c r="B335" s="7" t="n">
        <v>241</v>
      </c>
      <c r="C335" s="7" t="inlineStr">
        <is>
          <t>22/10/2026</t>
        </is>
      </c>
      <c r="D335" s="7" t="inlineStr">
        <is>
          <t>Oct-2026</t>
        </is>
      </c>
      <c r="E335" s="7" t="inlineStr">
        <is>
          <t>jueves</t>
        </is>
      </c>
      <c r="F335" s="7" t="n">
        <v>2697</v>
      </c>
      <c r="G335" s="7" t="inlineStr">
        <is>
          <t>LIM</t>
        </is>
      </c>
      <c r="H335" s="7" t="inlineStr">
        <is>
          <t>SCL</t>
        </is>
      </c>
      <c r="I335" s="7" t="inlineStr">
        <is>
          <t>09:35:00</t>
        </is>
      </c>
      <c r="J335" s="7" t="inlineStr">
        <is>
          <t>13:00:00</t>
        </is>
      </c>
      <c r="K335" s="7" t="inlineStr">
        <is>
          <t>NO</t>
        </is>
      </c>
      <c r="L335" s="7" t="n">
        <v>789</v>
      </c>
      <c r="M335" s="7" t="inlineStr">
        <is>
          <t>03:25:00</t>
        </is>
      </c>
      <c r="N335" s="7" t="n">
        <v>1</v>
      </c>
      <c r="Q335">
        <f>"- LA "&amp;F335&amp;" ("&amp;LEFT(I335,5)&amp;"-"&amp;LEFT(J335,5)&amp;" hrs)"</f>
        <v/>
      </c>
    </row>
    <row r="336">
      <c r="B336" s="7" t="n">
        <v>241</v>
      </c>
      <c r="C336" s="7" t="inlineStr">
        <is>
          <t>22/10/2026</t>
        </is>
      </c>
      <c r="D336" s="7" t="inlineStr">
        <is>
          <t>Oct-2026</t>
        </is>
      </c>
      <c r="E336" s="7" t="inlineStr">
        <is>
          <t>jueves</t>
        </is>
      </c>
      <c r="F336" s="7" t="n">
        <v>2696</v>
      </c>
      <c r="G336" s="7" t="inlineStr">
        <is>
          <t>SCL</t>
        </is>
      </c>
      <c r="H336" s="7" t="inlineStr">
        <is>
          <t>LIM</t>
        </is>
      </c>
      <c r="I336" s="7" t="inlineStr">
        <is>
          <t>15:55:00</t>
        </is>
      </c>
      <c r="J336" s="7" t="inlineStr">
        <is>
          <t>19:40:00</t>
        </is>
      </c>
      <c r="K336" s="7" t="inlineStr">
        <is>
          <t>NO</t>
        </is>
      </c>
      <c r="L336" s="7" t="n">
        <v>789</v>
      </c>
      <c r="M336" s="7" t="inlineStr">
        <is>
          <t>03:45:00</t>
        </is>
      </c>
      <c r="N336" s="7" t="n">
        <v>1</v>
      </c>
      <c r="O336">
        <f>IF(O334="","",O334)</f>
        <v/>
      </c>
      <c r="Q336">
        <f>IF(Q333="","",Q333)</f>
        <v/>
      </c>
    </row>
    <row r="337">
      <c r="Q337">
        <f>"- "&amp;G336&amp;"-"&amp;H336</f>
        <v/>
      </c>
    </row>
    <row r="338">
      <c r="Q338">
        <f>"- LA "&amp;F336&amp;" ("&amp;LEFT(I336,5)&amp;"-"&amp;LEFT(J336,5)&amp;" hrs)"</f>
        <v/>
      </c>
    </row>
    <row r="340">
      <c r="Q340" s="3" t="n"/>
    </row>
    <row r="341">
      <c r="B341" s="4" t="inlineStr">
        <is>
          <t>Pairing ID</t>
        </is>
      </c>
      <c r="C341" s="4" t="inlineStr">
        <is>
          <t>FECHA REAL</t>
        </is>
      </c>
      <c r="D341" s="5" t="inlineStr">
        <is>
          <t>MES</t>
        </is>
      </c>
      <c r="E341" s="4" t="inlineStr">
        <is>
          <t>Day of Week</t>
        </is>
      </c>
      <c r="F341" s="4" t="inlineStr">
        <is>
          <t>Flight No</t>
        </is>
      </c>
      <c r="G341" s="4" t="inlineStr">
        <is>
          <t>Dep Stn</t>
        </is>
      </c>
      <c r="H341" s="4" t="inlineStr">
        <is>
          <t>Arr Stn</t>
        </is>
      </c>
      <c r="I341" s="4" t="inlineStr">
        <is>
          <t>STD</t>
        </is>
      </c>
      <c r="J341" s="4" t="inlineStr">
        <is>
          <t>STA</t>
        </is>
      </c>
      <c r="K341" s="4" t="inlineStr">
        <is>
          <t>DAY</t>
        </is>
      </c>
      <c r="L341" s="4" t="inlineStr">
        <is>
          <t>AC Type</t>
        </is>
      </c>
      <c r="M341" s="4" t="inlineStr">
        <is>
          <t>HBT</t>
        </is>
      </c>
      <c r="N341" s="6" t="inlineStr">
        <is>
          <t>DIA_DUTY</t>
        </is>
      </c>
      <c r="O341" s="3" t="n"/>
      <c r="Q341">
        <f>"- "&amp;G342&amp;"-"&amp;H342</f>
        <v/>
      </c>
      <c r="R341" s="7">
        <f>B342</f>
        <v/>
      </c>
      <c r="S341" s="7">
        <f>C342</f>
        <v/>
      </c>
      <c r="T341" s="7">
        <f>E342</f>
        <v/>
      </c>
      <c r="U341" s="7">
        <f>F342&amp;"/"&amp;F343</f>
        <v/>
      </c>
      <c r="V341" s="7">
        <f>G342&amp;"-"&amp;H342&amp;"-"&amp;G342</f>
        <v/>
      </c>
      <c r="W341" s="7">
        <f>IF(O341="","",O341)</f>
        <v/>
      </c>
      <c r="X341" s="7">
        <f>IF(Q340="","",Q340)</f>
        <v/>
      </c>
      <c r="Y341" s="7">
        <f>C342</f>
        <v/>
      </c>
      <c r="Z341" s="7">
        <f>C343</f>
        <v/>
      </c>
    </row>
    <row r="342">
      <c r="B342" s="7" t="n">
        <v>242</v>
      </c>
      <c r="C342" s="7" t="inlineStr">
        <is>
          <t>22/10/2026</t>
        </is>
      </c>
      <c r="D342" s="7" t="inlineStr">
        <is>
          <t>Oct-2026</t>
        </is>
      </c>
      <c r="E342" s="7" t="inlineStr">
        <is>
          <t>jueves</t>
        </is>
      </c>
      <c r="F342" s="7" t="n">
        <v>2413</v>
      </c>
      <c r="G342" s="7" t="inlineStr">
        <is>
          <t>LIM</t>
        </is>
      </c>
      <c r="H342" s="7" t="inlineStr">
        <is>
          <t>SCL</t>
        </is>
      </c>
      <c r="I342" s="7" t="inlineStr">
        <is>
          <t>12:05:00</t>
        </is>
      </c>
      <c r="J342" s="7" t="inlineStr">
        <is>
          <t>15:45:00</t>
        </is>
      </c>
      <c r="K342" s="7" t="inlineStr">
        <is>
          <t>NO</t>
        </is>
      </c>
      <c r="L342" s="7" t="n">
        <v>763</v>
      </c>
      <c r="M342" s="7" t="inlineStr">
        <is>
          <t>03:40:00</t>
        </is>
      </c>
      <c r="N342" s="7" t="n">
        <v>1</v>
      </c>
      <c r="Q342">
        <f>"- LA "&amp;F342&amp;" ("&amp;LEFT(I342,5)&amp;"-"&amp;LEFT(J342,5)&amp;" hrs)"</f>
        <v/>
      </c>
    </row>
    <row r="343">
      <c r="B343" s="7" t="n">
        <v>242</v>
      </c>
      <c r="C343" s="7" t="inlineStr">
        <is>
          <t>22/10/2026</t>
        </is>
      </c>
      <c r="D343" s="7" t="inlineStr">
        <is>
          <t>Oct-2026</t>
        </is>
      </c>
      <c r="E343" s="7" t="inlineStr">
        <is>
          <t>jueves</t>
        </is>
      </c>
      <c r="F343" s="7" t="n">
        <v>2412</v>
      </c>
      <c r="G343" s="7" t="inlineStr">
        <is>
          <t>SCL</t>
        </is>
      </c>
      <c r="H343" s="7" t="inlineStr">
        <is>
          <t>LIM</t>
        </is>
      </c>
      <c r="I343" s="7" t="inlineStr">
        <is>
          <t>17:10:00</t>
        </is>
      </c>
      <c r="J343" s="7" t="inlineStr">
        <is>
          <t>21:00:00</t>
        </is>
      </c>
      <c r="K343" s="7" t="inlineStr">
        <is>
          <t>NO</t>
        </is>
      </c>
      <c r="L343" s="7" t="n">
        <v>763</v>
      </c>
      <c r="M343" s="7" t="inlineStr">
        <is>
          <t>03:50:00</t>
        </is>
      </c>
      <c r="N343" s="7" t="n">
        <v>1</v>
      </c>
      <c r="O343">
        <f>IF(O341="","",O341)</f>
        <v/>
      </c>
      <c r="Q343">
        <f>IF(Q340="","",Q340)</f>
        <v/>
      </c>
    </row>
    <row r="344">
      <c r="Q344">
        <f>"- "&amp;G343&amp;"-"&amp;H343</f>
        <v/>
      </c>
    </row>
    <row r="345">
      <c r="Q345">
        <f>"- LA "&amp;F343&amp;" ("&amp;LEFT(I343,5)&amp;"-"&amp;LEFT(J343,5)&amp;" hrs)"</f>
        <v/>
      </c>
    </row>
    <row r="347">
      <c r="Q347" s="3" t="n"/>
    </row>
    <row r="348">
      <c r="B348" s="4" t="inlineStr">
        <is>
          <t>Pairing ID</t>
        </is>
      </c>
      <c r="C348" s="4" t="inlineStr">
        <is>
          <t>FECHA REAL</t>
        </is>
      </c>
      <c r="D348" s="5" t="inlineStr">
        <is>
          <t>MES</t>
        </is>
      </c>
      <c r="E348" s="4" t="inlineStr">
        <is>
          <t>Day of Week</t>
        </is>
      </c>
      <c r="F348" s="4" t="inlineStr">
        <is>
          <t>Flight No</t>
        </is>
      </c>
      <c r="G348" s="4" t="inlineStr">
        <is>
          <t>Dep Stn</t>
        </is>
      </c>
      <c r="H348" s="4" t="inlineStr">
        <is>
          <t>Arr Stn</t>
        </is>
      </c>
      <c r="I348" s="4" t="inlineStr">
        <is>
          <t>STD</t>
        </is>
      </c>
      <c r="J348" s="4" t="inlineStr">
        <is>
          <t>STA</t>
        </is>
      </c>
      <c r="K348" s="4" t="inlineStr">
        <is>
          <t>DAY</t>
        </is>
      </c>
      <c r="L348" s="4" t="inlineStr">
        <is>
          <t>AC Type</t>
        </is>
      </c>
      <c r="M348" s="4" t="inlineStr">
        <is>
          <t>HBT</t>
        </is>
      </c>
      <c r="N348" s="6" t="inlineStr">
        <is>
          <t>DIA_DUTY</t>
        </is>
      </c>
      <c r="O348" s="3" t="n"/>
      <c r="Q348">
        <f>"- "&amp;G349&amp;"-"&amp;H349</f>
        <v/>
      </c>
      <c r="R348" s="7">
        <f>B349</f>
        <v/>
      </c>
      <c r="S348" s="7">
        <f>C349</f>
        <v/>
      </c>
      <c r="T348" s="7">
        <f>E349</f>
        <v/>
      </c>
      <c r="U348" s="7">
        <f>F349&amp;"/"&amp;F350</f>
        <v/>
      </c>
      <c r="V348" s="7">
        <f>G349&amp;"-"&amp;H349&amp;"-"&amp;G349</f>
        <v/>
      </c>
      <c r="W348" s="7">
        <f>IF(O348="","",O348)</f>
        <v/>
      </c>
      <c r="X348" s="7">
        <f>IF(Q347="","",Q347)</f>
        <v/>
      </c>
      <c r="Y348" s="7">
        <f>C349</f>
        <v/>
      </c>
      <c r="Z348" s="7">
        <f>C350</f>
        <v/>
      </c>
    </row>
    <row r="349">
      <c r="B349" s="7" t="n">
        <v>24</v>
      </c>
      <c r="C349" s="7" t="inlineStr">
        <is>
          <t>01/10/2026</t>
        </is>
      </c>
      <c r="D349" s="7" t="inlineStr">
        <is>
          <t>Oct-2026</t>
        </is>
      </c>
      <c r="E349" s="7" t="inlineStr">
        <is>
          <t>jueves</t>
        </is>
      </c>
      <c r="F349" s="7" t="n">
        <v>2697</v>
      </c>
      <c r="G349" s="7" t="inlineStr">
        <is>
          <t>LIM</t>
        </is>
      </c>
      <c r="H349" s="7" t="inlineStr">
        <is>
          <t>SCL</t>
        </is>
      </c>
      <c r="I349" s="7" t="inlineStr">
        <is>
          <t>09:35:00</t>
        </is>
      </c>
      <c r="J349" s="7" t="inlineStr">
        <is>
          <t>13:00:00</t>
        </is>
      </c>
      <c r="K349" s="7" t="inlineStr">
        <is>
          <t>NO</t>
        </is>
      </c>
      <c r="L349" s="7" t="n">
        <v>788</v>
      </c>
      <c r="M349" s="7" t="inlineStr">
        <is>
          <t>03:25:00</t>
        </is>
      </c>
      <c r="N349" s="7" t="n">
        <v>1</v>
      </c>
      <c r="Q349">
        <f>"- LA "&amp;F349&amp;" ("&amp;LEFT(I349,5)&amp;"-"&amp;LEFT(J349,5)&amp;" hrs)"</f>
        <v/>
      </c>
    </row>
    <row r="350">
      <c r="B350" s="7" t="n">
        <v>24</v>
      </c>
      <c r="C350" s="7" t="inlineStr">
        <is>
          <t>01/10/2026</t>
        </is>
      </c>
      <c r="D350" s="7" t="inlineStr">
        <is>
          <t>Oct-2026</t>
        </is>
      </c>
      <c r="E350" s="7" t="inlineStr">
        <is>
          <t>jueves</t>
        </is>
      </c>
      <c r="F350" s="7" t="n">
        <v>2696</v>
      </c>
      <c r="G350" s="7" t="inlineStr">
        <is>
          <t>SCL</t>
        </is>
      </c>
      <c r="H350" s="7" t="inlineStr">
        <is>
          <t>LIM</t>
        </is>
      </c>
      <c r="I350" s="7" t="inlineStr">
        <is>
          <t>15:55:00</t>
        </is>
      </c>
      <c r="J350" s="7" t="inlineStr">
        <is>
          <t>19:40:00</t>
        </is>
      </c>
      <c r="K350" s="7" t="inlineStr">
        <is>
          <t>NO</t>
        </is>
      </c>
      <c r="L350" s="7" t="n">
        <v>789</v>
      </c>
      <c r="M350" s="7" t="inlineStr">
        <is>
          <t>03:45:00</t>
        </is>
      </c>
      <c r="N350" s="7" t="n">
        <v>1</v>
      </c>
      <c r="O350">
        <f>IF(O348="","",O348)</f>
        <v/>
      </c>
      <c r="Q350">
        <f>IF(Q347="","",Q347)</f>
        <v/>
      </c>
    </row>
    <row r="351">
      <c r="Q351">
        <f>"- "&amp;G350&amp;"-"&amp;H350</f>
        <v/>
      </c>
    </row>
    <row r="352">
      <c r="Q352">
        <f>"- LA "&amp;F350&amp;" ("&amp;LEFT(I350,5)&amp;"-"&amp;LEFT(J350,5)&amp;" hrs)"</f>
        <v/>
      </c>
    </row>
    <row r="354">
      <c r="Q354" s="3" t="n"/>
    </row>
    <row r="355">
      <c r="B355" s="4" t="inlineStr">
        <is>
          <t>Pairing ID</t>
        </is>
      </c>
      <c r="C355" s="4" t="inlineStr">
        <is>
          <t>FECHA REAL</t>
        </is>
      </c>
      <c r="D355" s="5" t="inlineStr">
        <is>
          <t>MES</t>
        </is>
      </c>
      <c r="E355" s="4" t="inlineStr">
        <is>
          <t>Day of Week</t>
        </is>
      </c>
      <c r="F355" s="4" t="inlineStr">
        <is>
          <t>Flight No</t>
        </is>
      </c>
      <c r="G355" s="4" t="inlineStr">
        <is>
          <t>Dep Stn</t>
        </is>
      </c>
      <c r="H355" s="4" t="inlineStr">
        <is>
          <t>Arr Stn</t>
        </is>
      </c>
      <c r="I355" s="4" t="inlineStr">
        <is>
          <t>STD</t>
        </is>
      </c>
      <c r="J355" s="4" t="inlineStr">
        <is>
          <t>STA</t>
        </is>
      </c>
      <c r="K355" s="4" t="inlineStr">
        <is>
          <t>DAY</t>
        </is>
      </c>
      <c r="L355" s="4" t="inlineStr">
        <is>
          <t>AC Type</t>
        </is>
      </c>
      <c r="M355" s="4" t="inlineStr">
        <is>
          <t>HBT</t>
        </is>
      </c>
      <c r="N355" s="6" t="inlineStr">
        <is>
          <t>DIA_DUTY</t>
        </is>
      </c>
      <c r="O355" s="3" t="n"/>
      <c r="Q355">
        <f>"- "&amp;G356&amp;"-"&amp;H356</f>
        <v/>
      </c>
      <c r="R355" s="7">
        <f>B356</f>
        <v/>
      </c>
      <c r="S355" s="7">
        <f>C356</f>
        <v/>
      </c>
      <c r="T355" s="7">
        <f>E356</f>
        <v/>
      </c>
      <c r="U355" s="7">
        <f>F356&amp;"/"&amp;F357</f>
        <v/>
      </c>
      <c r="V355" s="7">
        <f>G356&amp;"-"&amp;H356&amp;"-"&amp;G356</f>
        <v/>
      </c>
      <c r="W355" s="7">
        <f>IF(O355="","",O355)</f>
        <v/>
      </c>
      <c r="X355" s="7">
        <f>IF(Q354="","",Q354)</f>
        <v/>
      </c>
      <c r="Y355" s="7">
        <f>C356</f>
        <v/>
      </c>
      <c r="Z355" s="7">
        <f>C357</f>
        <v/>
      </c>
    </row>
    <row r="356">
      <c r="B356" s="7" t="n">
        <v>250</v>
      </c>
      <c r="C356" s="7" t="inlineStr">
        <is>
          <t>23/10/2026</t>
        </is>
      </c>
      <c r="D356" s="7" t="inlineStr">
        <is>
          <t>Oct-2026</t>
        </is>
      </c>
      <c r="E356" s="7" t="inlineStr">
        <is>
          <t>viernes</t>
        </is>
      </c>
      <c r="F356" s="7" t="n">
        <v>2697</v>
      </c>
      <c r="G356" s="7" t="inlineStr">
        <is>
          <t>LIM</t>
        </is>
      </c>
      <c r="H356" s="7" t="inlineStr">
        <is>
          <t>SCL</t>
        </is>
      </c>
      <c r="I356" s="7" t="inlineStr">
        <is>
          <t>09:35:00</t>
        </is>
      </c>
      <c r="J356" s="7" t="inlineStr">
        <is>
          <t>13:00:00</t>
        </is>
      </c>
      <c r="K356" s="7" t="inlineStr">
        <is>
          <t>NO</t>
        </is>
      </c>
      <c r="L356" s="7" t="n">
        <v>789</v>
      </c>
      <c r="M356" s="7" t="inlineStr">
        <is>
          <t>03:25:00</t>
        </is>
      </c>
      <c r="N356" s="7" t="n">
        <v>1</v>
      </c>
      <c r="Q356">
        <f>"- LA "&amp;F356&amp;" ("&amp;LEFT(I356,5)&amp;"-"&amp;LEFT(J356,5)&amp;" hrs)"</f>
        <v/>
      </c>
    </row>
    <row r="357">
      <c r="B357" s="7" t="n">
        <v>250</v>
      </c>
      <c r="C357" s="7" t="inlineStr">
        <is>
          <t>23/10/2026</t>
        </is>
      </c>
      <c r="D357" s="7" t="inlineStr">
        <is>
          <t>Oct-2026</t>
        </is>
      </c>
      <c r="E357" s="7" t="inlineStr">
        <is>
          <t>viernes</t>
        </is>
      </c>
      <c r="F357" s="7" t="n">
        <v>2696</v>
      </c>
      <c r="G357" s="7" t="inlineStr">
        <is>
          <t>SCL</t>
        </is>
      </c>
      <c r="H357" s="7" t="inlineStr">
        <is>
          <t>LIM</t>
        </is>
      </c>
      <c r="I357" s="7" t="inlineStr">
        <is>
          <t>15:55:00</t>
        </is>
      </c>
      <c r="J357" s="7" t="inlineStr">
        <is>
          <t>19:40:00</t>
        </is>
      </c>
      <c r="K357" s="7" t="inlineStr">
        <is>
          <t>NO</t>
        </is>
      </c>
      <c r="L357" s="7" t="n">
        <v>789</v>
      </c>
      <c r="M357" s="7" t="inlineStr">
        <is>
          <t>03:45:00</t>
        </is>
      </c>
      <c r="N357" s="7" t="n">
        <v>1</v>
      </c>
      <c r="O357">
        <f>IF(O355="","",O355)</f>
        <v/>
      </c>
      <c r="Q357">
        <f>IF(Q354="","",Q354)</f>
        <v/>
      </c>
    </row>
    <row r="358">
      <c r="Q358">
        <f>"- "&amp;G357&amp;"-"&amp;H357</f>
        <v/>
      </c>
    </row>
    <row r="359">
      <c r="Q359">
        <f>"- LA "&amp;F357&amp;" ("&amp;LEFT(I357,5)&amp;"-"&amp;LEFT(J357,5)&amp;" hrs)"</f>
        <v/>
      </c>
    </row>
    <row r="361">
      <c r="Q361" s="3" t="n"/>
    </row>
    <row r="362">
      <c r="B362" s="4" t="inlineStr">
        <is>
          <t>Pairing ID</t>
        </is>
      </c>
      <c r="C362" s="4" t="inlineStr">
        <is>
          <t>FECHA REAL</t>
        </is>
      </c>
      <c r="D362" s="5" t="inlineStr">
        <is>
          <t>MES</t>
        </is>
      </c>
      <c r="E362" s="4" t="inlineStr">
        <is>
          <t>Day of Week</t>
        </is>
      </c>
      <c r="F362" s="4" t="inlineStr">
        <is>
          <t>Flight No</t>
        </is>
      </c>
      <c r="G362" s="4" t="inlineStr">
        <is>
          <t>Dep Stn</t>
        </is>
      </c>
      <c r="H362" s="4" t="inlineStr">
        <is>
          <t>Arr Stn</t>
        </is>
      </c>
      <c r="I362" s="4" t="inlineStr">
        <is>
          <t>STD</t>
        </is>
      </c>
      <c r="J362" s="4" t="inlineStr">
        <is>
          <t>STA</t>
        </is>
      </c>
      <c r="K362" s="4" t="inlineStr">
        <is>
          <t>DAY</t>
        </is>
      </c>
      <c r="L362" s="4" t="inlineStr">
        <is>
          <t>AC Type</t>
        </is>
      </c>
      <c r="M362" s="4" t="inlineStr">
        <is>
          <t>HBT</t>
        </is>
      </c>
      <c r="N362" s="6" t="inlineStr">
        <is>
          <t>DIA_DUTY</t>
        </is>
      </c>
      <c r="O362" s="3" t="n"/>
      <c r="Q362">
        <f>"- "&amp;G363&amp;"-"&amp;H363</f>
        <v/>
      </c>
      <c r="R362" s="7">
        <f>B363</f>
        <v/>
      </c>
      <c r="S362" s="7">
        <f>C363</f>
        <v/>
      </c>
      <c r="T362" s="7">
        <f>E363</f>
        <v/>
      </c>
      <c r="U362" s="7">
        <f>F363&amp;"/"&amp;F364</f>
        <v/>
      </c>
      <c r="V362" s="7">
        <f>G363&amp;"-"&amp;H363&amp;"-"&amp;G363</f>
        <v/>
      </c>
      <c r="W362" s="7">
        <f>IF(O362="","",O362)</f>
        <v/>
      </c>
      <c r="X362" s="7">
        <f>IF(Q361="","",Q361)</f>
        <v/>
      </c>
      <c r="Y362" s="7">
        <f>C363</f>
        <v/>
      </c>
      <c r="Z362" s="7">
        <f>C364</f>
        <v/>
      </c>
    </row>
    <row r="363">
      <c r="B363" s="7" t="n">
        <v>254</v>
      </c>
      <c r="C363" s="7" t="inlineStr">
        <is>
          <t>23/10/2026</t>
        </is>
      </c>
      <c r="D363" s="7" t="inlineStr">
        <is>
          <t>Oct-2026</t>
        </is>
      </c>
      <c r="E363" s="7" t="inlineStr">
        <is>
          <t>viernes</t>
        </is>
      </c>
      <c r="F363" s="7" t="n">
        <v>2413</v>
      </c>
      <c r="G363" s="7" t="inlineStr">
        <is>
          <t>LIM</t>
        </is>
      </c>
      <c r="H363" s="7" t="inlineStr">
        <is>
          <t>SCL</t>
        </is>
      </c>
      <c r="I363" s="7" t="inlineStr">
        <is>
          <t>12:20:00</t>
        </is>
      </c>
      <c r="J363" s="7" t="inlineStr">
        <is>
          <t>15:45:00</t>
        </is>
      </c>
      <c r="K363" s="7" t="inlineStr">
        <is>
          <t>NO</t>
        </is>
      </c>
      <c r="L363" s="7" t="n">
        <v>763</v>
      </c>
      <c r="M363" s="7" t="inlineStr">
        <is>
          <t>03:25:00</t>
        </is>
      </c>
      <c r="N363" s="7" t="n">
        <v>1</v>
      </c>
      <c r="Q363">
        <f>"- LA "&amp;F363&amp;" ("&amp;LEFT(I363,5)&amp;"-"&amp;LEFT(J363,5)&amp;" hrs)"</f>
        <v/>
      </c>
    </row>
    <row r="364">
      <c r="B364" s="7" t="n">
        <v>254</v>
      </c>
      <c r="C364" s="7" t="inlineStr">
        <is>
          <t>23/10/2026</t>
        </is>
      </c>
      <c r="D364" s="7" t="inlineStr">
        <is>
          <t>Oct-2026</t>
        </is>
      </c>
      <c r="E364" s="7" t="inlineStr">
        <is>
          <t>viernes</t>
        </is>
      </c>
      <c r="F364" s="7" t="n">
        <v>2412</v>
      </c>
      <c r="G364" s="7" t="inlineStr">
        <is>
          <t>SCL</t>
        </is>
      </c>
      <c r="H364" s="7" t="inlineStr">
        <is>
          <t>LIM</t>
        </is>
      </c>
      <c r="I364" s="7" t="inlineStr">
        <is>
          <t>17:10:00</t>
        </is>
      </c>
      <c r="J364" s="7" t="inlineStr">
        <is>
          <t>20:50:00</t>
        </is>
      </c>
      <c r="K364" s="7" t="inlineStr">
        <is>
          <t>NO</t>
        </is>
      </c>
      <c r="L364" s="7" t="n">
        <v>763</v>
      </c>
      <c r="M364" s="7" t="inlineStr">
        <is>
          <t>03:40:00</t>
        </is>
      </c>
      <c r="N364" s="7" t="n">
        <v>1</v>
      </c>
      <c r="O364">
        <f>IF(O362="","",O362)</f>
        <v/>
      </c>
      <c r="Q364">
        <f>IF(Q361="","",Q361)</f>
        <v/>
      </c>
    </row>
    <row r="365">
      <c r="Q365">
        <f>"- "&amp;G364&amp;"-"&amp;H364</f>
        <v/>
      </c>
    </row>
    <row r="366">
      <c r="Q366">
        <f>"- LA "&amp;F364&amp;" ("&amp;LEFT(I364,5)&amp;"-"&amp;LEFT(J364,5)&amp;" hrs)"</f>
        <v/>
      </c>
    </row>
    <row r="368">
      <c r="Q368" s="3" t="n"/>
    </row>
    <row r="369">
      <c r="B369" s="4" t="inlineStr">
        <is>
          <t>Pairing ID</t>
        </is>
      </c>
      <c r="C369" s="4" t="inlineStr">
        <is>
          <t>FECHA REAL</t>
        </is>
      </c>
      <c r="D369" s="5" t="inlineStr">
        <is>
          <t>MES</t>
        </is>
      </c>
      <c r="E369" s="4" t="inlineStr">
        <is>
          <t>Day of Week</t>
        </is>
      </c>
      <c r="F369" s="4" t="inlineStr">
        <is>
          <t>Flight No</t>
        </is>
      </c>
      <c r="G369" s="4" t="inlineStr">
        <is>
          <t>Dep Stn</t>
        </is>
      </c>
      <c r="H369" s="4" t="inlineStr">
        <is>
          <t>Arr Stn</t>
        </is>
      </c>
      <c r="I369" s="4" t="inlineStr">
        <is>
          <t>STD</t>
        </is>
      </c>
      <c r="J369" s="4" t="inlineStr">
        <is>
          <t>STA</t>
        </is>
      </c>
      <c r="K369" s="4" t="inlineStr">
        <is>
          <t>DAY</t>
        </is>
      </c>
      <c r="L369" s="4" t="inlineStr">
        <is>
          <t>AC Type</t>
        </is>
      </c>
      <c r="M369" s="4" t="inlineStr">
        <is>
          <t>HBT</t>
        </is>
      </c>
      <c r="N369" s="6" t="inlineStr">
        <is>
          <t>DIA_DUTY</t>
        </is>
      </c>
      <c r="O369" s="3" t="n"/>
      <c r="Q369">
        <f>"- "&amp;G370&amp;"-"&amp;H370</f>
        <v/>
      </c>
      <c r="R369" s="7">
        <f>B370</f>
        <v/>
      </c>
      <c r="S369" s="7">
        <f>C370</f>
        <v/>
      </c>
      <c r="T369" s="7">
        <f>E370</f>
        <v/>
      </c>
      <c r="U369" s="7">
        <f>F370&amp;"/"&amp;F371</f>
        <v/>
      </c>
      <c r="V369" s="7">
        <f>G370&amp;"-"&amp;H370&amp;"-"&amp;G370</f>
        <v/>
      </c>
      <c r="W369" s="7">
        <f>IF(O369="","",O369)</f>
        <v/>
      </c>
      <c r="X369" s="7">
        <f>IF(Q368="","",Q368)</f>
        <v/>
      </c>
      <c r="Y369" s="7">
        <f>C370</f>
        <v/>
      </c>
      <c r="Z369" s="7">
        <f>C371</f>
        <v/>
      </c>
    </row>
    <row r="370">
      <c r="B370" s="7" t="n">
        <v>25</v>
      </c>
      <c r="C370" s="7" t="inlineStr">
        <is>
          <t>01/10/2026</t>
        </is>
      </c>
      <c r="D370" s="7" t="inlineStr">
        <is>
          <t>Oct-2026</t>
        </is>
      </c>
      <c r="E370" s="7" t="inlineStr">
        <is>
          <t>jueves</t>
        </is>
      </c>
      <c r="F370" s="7" t="n">
        <v>2413</v>
      </c>
      <c r="G370" s="7" t="inlineStr">
        <is>
          <t>LIM</t>
        </is>
      </c>
      <c r="H370" s="7" t="inlineStr">
        <is>
          <t>SCL</t>
        </is>
      </c>
      <c r="I370" s="7" t="inlineStr">
        <is>
          <t>12:05:00</t>
        </is>
      </c>
      <c r="J370" s="7" t="inlineStr">
        <is>
          <t>15:45:00</t>
        </is>
      </c>
      <c r="K370" s="7" t="inlineStr">
        <is>
          <t>NO</t>
        </is>
      </c>
      <c r="L370" s="7" t="n">
        <v>763</v>
      </c>
      <c r="M370" s="7" t="inlineStr">
        <is>
          <t>03:40:00</t>
        </is>
      </c>
      <c r="N370" s="7" t="n">
        <v>1</v>
      </c>
      <c r="Q370">
        <f>"- LA "&amp;F370&amp;" ("&amp;LEFT(I370,5)&amp;"-"&amp;LEFT(J370,5)&amp;" hrs)"</f>
        <v/>
      </c>
    </row>
    <row r="371">
      <c r="B371" s="7" t="n">
        <v>25</v>
      </c>
      <c r="C371" s="7" t="inlineStr">
        <is>
          <t>01/10/2026</t>
        </is>
      </c>
      <c r="D371" s="7" t="inlineStr">
        <is>
          <t>Oct-2026</t>
        </is>
      </c>
      <c r="E371" s="7" t="inlineStr">
        <is>
          <t>jueves</t>
        </is>
      </c>
      <c r="F371" s="7" t="n">
        <v>2412</v>
      </c>
      <c r="G371" s="7" t="inlineStr">
        <is>
          <t>SCL</t>
        </is>
      </c>
      <c r="H371" s="7" t="inlineStr">
        <is>
          <t>LIM</t>
        </is>
      </c>
      <c r="I371" s="7" t="inlineStr">
        <is>
          <t>17:10:00</t>
        </is>
      </c>
      <c r="J371" s="7" t="inlineStr">
        <is>
          <t>21:00:00</t>
        </is>
      </c>
      <c r="K371" s="7" t="inlineStr">
        <is>
          <t>NO</t>
        </is>
      </c>
      <c r="L371" s="7" t="n">
        <v>763</v>
      </c>
      <c r="M371" s="7" t="inlineStr">
        <is>
          <t>03:50:00</t>
        </is>
      </c>
      <c r="N371" s="7" t="n">
        <v>1</v>
      </c>
      <c r="O371">
        <f>IF(O369="","",O369)</f>
        <v/>
      </c>
      <c r="Q371">
        <f>IF(Q368="","",Q368)</f>
        <v/>
      </c>
    </row>
    <row r="372">
      <c r="Q372">
        <f>"- "&amp;G371&amp;"-"&amp;H371</f>
        <v/>
      </c>
    </row>
    <row r="373">
      <c r="Q373">
        <f>"- LA "&amp;F371&amp;" ("&amp;LEFT(I371,5)&amp;"-"&amp;LEFT(J371,5)&amp;" hrs)"</f>
        <v/>
      </c>
    </row>
    <row r="375">
      <c r="Q375" s="3" t="n"/>
    </row>
    <row r="376">
      <c r="B376" s="4" t="inlineStr">
        <is>
          <t>Pairing ID</t>
        </is>
      </c>
      <c r="C376" s="4" t="inlineStr">
        <is>
          <t>FECHA REAL</t>
        </is>
      </c>
      <c r="D376" s="5" t="inlineStr">
        <is>
          <t>MES</t>
        </is>
      </c>
      <c r="E376" s="4" t="inlineStr">
        <is>
          <t>Day of Week</t>
        </is>
      </c>
      <c r="F376" s="4" t="inlineStr">
        <is>
          <t>Flight No</t>
        </is>
      </c>
      <c r="G376" s="4" t="inlineStr">
        <is>
          <t>Dep Stn</t>
        </is>
      </c>
      <c r="H376" s="4" t="inlineStr">
        <is>
          <t>Arr Stn</t>
        </is>
      </c>
      <c r="I376" s="4" t="inlineStr">
        <is>
          <t>STD</t>
        </is>
      </c>
      <c r="J376" s="4" t="inlineStr">
        <is>
          <t>STA</t>
        </is>
      </c>
      <c r="K376" s="4" t="inlineStr">
        <is>
          <t>DAY</t>
        </is>
      </c>
      <c r="L376" s="4" t="inlineStr">
        <is>
          <t>AC Type</t>
        </is>
      </c>
      <c r="M376" s="4" t="inlineStr">
        <is>
          <t>HBT</t>
        </is>
      </c>
      <c r="N376" s="6" t="inlineStr">
        <is>
          <t>DIA_DUTY</t>
        </is>
      </c>
      <c r="O376" s="3" t="n"/>
      <c r="Q376">
        <f>"- "&amp;G377&amp;"-"&amp;H377</f>
        <v/>
      </c>
      <c r="R376" s="7">
        <f>B377</f>
        <v/>
      </c>
      <c r="S376" s="7">
        <f>C377</f>
        <v/>
      </c>
      <c r="T376" s="7">
        <f>E377</f>
        <v/>
      </c>
      <c r="U376" s="7">
        <f>F377&amp;"/"&amp;F378</f>
        <v/>
      </c>
      <c r="V376" s="7">
        <f>G377&amp;"-"&amp;H377&amp;"-"&amp;G377</f>
        <v/>
      </c>
      <c r="W376" s="7">
        <f>IF(O376="","",O376)</f>
        <v/>
      </c>
      <c r="X376" s="7">
        <f>IF(Q375="","",Q375)</f>
        <v/>
      </c>
      <c r="Y376" s="7">
        <f>C377</f>
        <v/>
      </c>
      <c r="Z376" s="7">
        <f>C378</f>
        <v/>
      </c>
    </row>
    <row r="377">
      <c r="B377" s="7" t="n">
        <v>25</v>
      </c>
      <c r="C377" s="7" t="inlineStr">
        <is>
          <t>02/10/2026</t>
        </is>
      </c>
      <c r="D377" s="7" t="inlineStr">
        <is>
          <t>Oct-2026</t>
        </is>
      </c>
      <c r="E377" s="7" t="inlineStr">
        <is>
          <t>viernes</t>
        </is>
      </c>
      <c r="F377" s="7" t="n">
        <v>2413</v>
      </c>
      <c r="G377" s="7" t="inlineStr">
        <is>
          <t>LIM</t>
        </is>
      </c>
      <c r="H377" s="7" t="inlineStr">
        <is>
          <t>SCL</t>
        </is>
      </c>
      <c r="I377" s="7" t="inlineStr">
        <is>
          <t>12:05:00</t>
        </is>
      </c>
      <c r="J377" s="7" t="inlineStr">
        <is>
          <t>15:45:00</t>
        </is>
      </c>
      <c r="K377" s="7" t="inlineStr">
        <is>
          <t>NO</t>
        </is>
      </c>
      <c r="L377" s="7" t="n">
        <v>763</v>
      </c>
      <c r="M377" s="7" t="inlineStr">
        <is>
          <t>03:40:00</t>
        </is>
      </c>
      <c r="N377" s="7" t="n">
        <v>1</v>
      </c>
      <c r="Q377">
        <f>"- LA "&amp;F377&amp;" ("&amp;LEFT(I377,5)&amp;"-"&amp;LEFT(J377,5)&amp;" hrs)"</f>
        <v/>
      </c>
    </row>
    <row r="378">
      <c r="B378" s="7" t="n">
        <v>25</v>
      </c>
      <c r="C378" s="7" t="inlineStr">
        <is>
          <t>02/10/2026</t>
        </is>
      </c>
      <c r="D378" s="7" t="inlineStr">
        <is>
          <t>Oct-2026</t>
        </is>
      </c>
      <c r="E378" s="7" t="inlineStr">
        <is>
          <t>viernes</t>
        </is>
      </c>
      <c r="F378" s="7" t="n">
        <v>2412</v>
      </c>
      <c r="G378" s="7" t="inlineStr">
        <is>
          <t>SCL</t>
        </is>
      </c>
      <c r="H378" s="7" t="inlineStr">
        <is>
          <t>LIM</t>
        </is>
      </c>
      <c r="I378" s="7" t="inlineStr">
        <is>
          <t>17:10:00</t>
        </is>
      </c>
      <c r="J378" s="7" t="inlineStr">
        <is>
          <t>21:00:00</t>
        </is>
      </c>
      <c r="K378" s="7" t="inlineStr">
        <is>
          <t>NO</t>
        </is>
      </c>
      <c r="L378" s="7" t="n">
        <v>763</v>
      </c>
      <c r="M378" s="7" t="inlineStr">
        <is>
          <t>03:50:00</t>
        </is>
      </c>
      <c r="N378" s="7" t="n">
        <v>1</v>
      </c>
      <c r="O378">
        <f>IF(O376="","",O376)</f>
        <v/>
      </c>
      <c r="Q378">
        <f>IF(Q375="","",Q375)</f>
        <v/>
      </c>
    </row>
    <row r="379">
      <c r="Q379">
        <f>"- "&amp;G378&amp;"-"&amp;H378</f>
        <v/>
      </c>
    </row>
    <row r="380">
      <c r="Q380">
        <f>"- LA "&amp;F378&amp;" ("&amp;LEFT(I378,5)&amp;"-"&amp;LEFT(J378,5)&amp;" hrs)"</f>
        <v/>
      </c>
    </row>
    <row r="382">
      <c r="Q382" s="3" t="n"/>
    </row>
    <row r="383">
      <c r="B383" s="4" t="inlineStr">
        <is>
          <t>Pairing ID</t>
        </is>
      </c>
      <c r="C383" s="4" t="inlineStr">
        <is>
          <t>FECHA REAL</t>
        </is>
      </c>
      <c r="D383" s="5" t="inlineStr">
        <is>
          <t>MES</t>
        </is>
      </c>
      <c r="E383" s="4" t="inlineStr">
        <is>
          <t>Day of Week</t>
        </is>
      </c>
      <c r="F383" s="4" t="inlineStr">
        <is>
          <t>Flight No</t>
        </is>
      </c>
      <c r="G383" s="4" t="inlineStr">
        <is>
          <t>Dep Stn</t>
        </is>
      </c>
      <c r="H383" s="4" t="inlineStr">
        <is>
          <t>Arr Stn</t>
        </is>
      </c>
      <c r="I383" s="4" t="inlineStr">
        <is>
          <t>STD</t>
        </is>
      </c>
      <c r="J383" s="4" t="inlineStr">
        <is>
          <t>STA</t>
        </is>
      </c>
      <c r="K383" s="4" t="inlineStr">
        <is>
          <t>DAY</t>
        </is>
      </c>
      <c r="L383" s="4" t="inlineStr">
        <is>
          <t>AC Type</t>
        </is>
      </c>
      <c r="M383" s="4" t="inlineStr">
        <is>
          <t>HBT</t>
        </is>
      </c>
      <c r="N383" s="6" t="inlineStr">
        <is>
          <t>DIA_DUTY</t>
        </is>
      </c>
      <c r="O383" s="3" t="n"/>
      <c r="Q383">
        <f>"- "&amp;G384&amp;"-"&amp;H384</f>
        <v/>
      </c>
      <c r="R383" s="7">
        <f>B384</f>
        <v/>
      </c>
      <c r="S383" s="7">
        <f>C384</f>
        <v/>
      </c>
      <c r="T383" s="7">
        <f>E384</f>
        <v/>
      </c>
      <c r="U383" s="7">
        <f>F384&amp;"/"&amp;F385</f>
        <v/>
      </c>
      <c r="V383" s="7">
        <f>G384&amp;"-"&amp;H384&amp;"-"&amp;G384</f>
        <v/>
      </c>
      <c r="W383" s="7">
        <f>IF(O383="","",O383)</f>
        <v/>
      </c>
      <c r="X383" s="7">
        <f>IF(Q382="","",Q382)</f>
        <v/>
      </c>
      <c r="Y383" s="7">
        <f>C384</f>
        <v/>
      </c>
      <c r="Z383" s="7">
        <f>C385</f>
        <v/>
      </c>
    </row>
    <row r="384">
      <c r="B384" s="7" t="n">
        <v>26</v>
      </c>
      <c r="C384" s="7" t="inlineStr">
        <is>
          <t>12/10/2026</t>
        </is>
      </c>
      <c r="D384" s="7" t="inlineStr">
        <is>
          <t>Oct-2026</t>
        </is>
      </c>
      <c r="E384" s="7" t="inlineStr">
        <is>
          <t>lunes</t>
        </is>
      </c>
      <c r="F384" s="7" t="n">
        <v>2697</v>
      </c>
      <c r="G384" s="7" t="inlineStr">
        <is>
          <t>LIM</t>
        </is>
      </c>
      <c r="H384" s="7" t="inlineStr">
        <is>
          <t>SCL</t>
        </is>
      </c>
      <c r="I384" s="7" t="inlineStr">
        <is>
          <t>09:35:00</t>
        </is>
      </c>
      <c r="J384" s="7" t="inlineStr">
        <is>
          <t>13:00:00</t>
        </is>
      </c>
      <c r="K384" s="7" t="inlineStr">
        <is>
          <t>NO</t>
        </is>
      </c>
      <c r="L384" s="7" t="n">
        <v>789</v>
      </c>
      <c r="M384" s="7" t="inlineStr">
        <is>
          <t>03:25:00</t>
        </is>
      </c>
      <c r="N384" s="7" t="n">
        <v>1</v>
      </c>
      <c r="Q384">
        <f>"- LA "&amp;F384&amp;" ("&amp;LEFT(I384,5)&amp;"-"&amp;LEFT(J384,5)&amp;" hrs)"</f>
        <v/>
      </c>
    </row>
    <row r="385">
      <c r="B385" s="7" t="n">
        <v>26</v>
      </c>
      <c r="C385" s="7" t="inlineStr">
        <is>
          <t>12/10/2026</t>
        </is>
      </c>
      <c r="D385" s="7" t="inlineStr">
        <is>
          <t>Oct-2026</t>
        </is>
      </c>
      <c r="E385" s="7" t="inlineStr">
        <is>
          <t>lunes</t>
        </is>
      </c>
      <c r="F385" s="7" t="n">
        <v>2696</v>
      </c>
      <c r="G385" s="7" t="inlineStr">
        <is>
          <t>SCL</t>
        </is>
      </c>
      <c r="H385" s="7" t="inlineStr">
        <is>
          <t>LIM</t>
        </is>
      </c>
      <c r="I385" s="7" t="inlineStr">
        <is>
          <t>15:55:00</t>
        </is>
      </c>
      <c r="J385" s="7" t="inlineStr">
        <is>
          <t>19:40:00</t>
        </is>
      </c>
      <c r="K385" s="7" t="inlineStr">
        <is>
          <t>NO</t>
        </is>
      </c>
      <c r="L385" s="7" t="n">
        <v>789</v>
      </c>
      <c r="M385" s="7" t="inlineStr">
        <is>
          <t>03:45:00</t>
        </is>
      </c>
      <c r="N385" s="7" t="n">
        <v>1</v>
      </c>
      <c r="O385">
        <f>IF(O383="","",O383)</f>
        <v/>
      </c>
      <c r="Q385">
        <f>IF(Q382="","",Q382)</f>
        <v/>
      </c>
    </row>
    <row r="386">
      <c r="Q386">
        <f>"- "&amp;G385&amp;"-"&amp;H385</f>
        <v/>
      </c>
    </row>
    <row r="387">
      <c r="Q387">
        <f>"- LA "&amp;F385&amp;" ("&amp;LEFT(I385,5)&amp;"-"&amp;LEFT(J385,5)&amp;" hrs)"</f>
        <v/>
      </c>
    </row>
    <row r="389">
      <c r="Q389" s="3" t="n"/>
    </row>
    <row r="390">
      <c r="B390" s="4" t="inlineStr">
        <is>
          <t>Pairing ID</t>
        </is>
      </c>
      <c r="C390" s="4" t="inlineStr">
        <is>
          <t>FECHA REAL</t>
        </is>
      </c>
      <c r="D390" s="5" t="inlineStr">
        <is>
          <t>MES</t>
        </is>
      </c>
      <c r="E390" s="4" t="inlineStr">
        <is>
          <t>Day of Week</t>
        </is>
      </c>
      <c r="F390" s="4" t="inlineStr">
        <is>
          <t>Flight No</t>
        </is>
      </c>
      <c r="G390" s="4" t="inlineStr">
        <is>
          <t>Dep Stn</t>
        </is>
      </c>
      <c r="H390" s="4" t="inlineStr">
        <is>
          <t>Arr Stn</t>
        </is>
      </c>
      <c r="I390" s="4" t="inlineStr">
        <is>
          <t>STD</t>
        </is>
      </c>
      <c r="J390" s="4" t="inlineStr">
        <is>
          <t>STA</t>
        </is>
      </c>
      <c r="K390" s="4" t="inlineStr">
        <is>
          <t>DAY</t>
        </is>
      </c>
      <c r="L390" s="4" t="inlineStr">
        <is>
          <t>AC Type</t>
        </is>
      </c>
      <c r="M390" s="4" t="inlineStr">
        <is>
          <t>HBT</t>
        </is>
      </c>
      <c r="N390" s="6" t="inlineStr">
        <is>
          <t>DIA_DUTY</t>
        </is>
      </c>
      <c r="O390" s="3" t="n"/>
      <c r="Q390">
        <f>"- "&amp;G391&amp;"-"&amp;H391</f>
        <v/>
      </c>
      <c r="R390" s="7">
        <f>B391</f>
        <v/>
      </c>
      <c r="S390" s="7">
        <f>C391</f>
        <v/>
      </c>
      <c r="T390" s="7">
        <f>E391</f>
        <v/>
      </c>
      <c r="U390" s="7">
        <f>F391&amp;"/"&amp;F392</f>
        <v/>
      </c>
      <c r="V390" s="7">
        <f>G391&amp;"-"&amp;H391&amp;"-"&amp;G391</f>
        <v/>
      </c>
      <c r="W390" s="7">
        <f>IF(O390="","",O390)</f>
        <v/>
      </c>
      <c r="X390" s="7">
        <f>IF(Q389="","",Q389)</f>
        <v/>
      </c>
      <c r="Y390" s="7">
        <f>C391</f>
        <v/>
      </c>
      <c r="Z390" s="7">
        <f>C392</f>
        <v/>
      </c>
    </row>
    <row r="391">
      <c r="B391" s="7" t="n">
        <v>284</v>
      </c>
      <c r="C391" s="7" t="inlineStr">
        <is>
          <t>26/10/2026</t>
        </is>
      </c>
      <c r="D391" s="7" t="inlineStr">
        <is>
          <t>Oct-2026</t>
        </is>
      </c>
      <c r="E391" s="7" t="inlineStr">
        <is>
          <t>lunes</t>
        </is>
      </c>
      <c r="F391" s="7" t="n">
        <v>2697</v>
      </c>
      <c r="G391" s="7" t="inlineStr">
        <is>
          <t>LIM</t>
        </is>
      </c>
      <c r="H391" s="7" t="inlineStr">
        <is>
          <t>SCL</t>
        </is>
      </c>
      <c r="I391" s="7" t="inlineStr">
        <is>
          <t>09:35:00</t>
        </is>
      </c>
      <c r="J391" s="7" t="inlineStr">
        <is>
          <t>13:00:00</t>
        </is>
      </c>
      <c r="K391" s="7" t="inlineStr">
        <is>
          <t>NO</t>
        </is>
      </c>
      <c r="L391" s="7" t="n">
        <v>789</v>
      </c>
      <c r="M391" s="7" t="inlineStr">
        <is>
          <t>03:25:00</t>
        </is>
      </c>
      <c r="N391" s="7" t="n">
        <v>1</v>
      </c>
      <c r="Q391">
        <f>"- LA "&amp;F391&amp;" ("&amp;LEFT(I391,5)&amp;"-"&amp;LEFT(J391,5)&amp;" hrs)"</f>
        <v/>
      </c>
    </row>
    <row r="392">
      <c r="B392" s="7" t="n">
        <v>284</v>
      </c>
      <c r="C392" s="7" t="inlineStr">
        <is>
          <t>26/10/2026</t>
        </is>
      </c>
      <c r="D392" s="7" t="inlineStr">
        <is>
          <t>Oct-2026</t>
        </is>
      </c>
      <c r="E392" s="7" t="inlineStr">
        <is>
          <t>lunes</t>
        </is>
      </c>
      <c r="F392" s="7" t="n">
        <v>2696</v>
      </c>
      <c r="G392" s="7" t="inlineStr">
        <is>
          <t>SCL</t>
        </is>
      </c>
      <c r="H392" s="7" t="inlineStr">
        <is>
          <t>LIM</t>
        </is>
      </c>
      <c r="I392" s="7" t="inlineStr">
        <is>
          <t>15:55:00</t>
        </is>
      </c>
      <c r="J392" s="7" t="inlineStr">
        <is>
          <t>19:40:00</t>
        </is>
      </c>
      <c r="K392" s="7" t="inlineStr">
        <is>
          <t>NO</t>
        </is>
      </c>
      <c r="L392" s="7" t="n">
        <v>789</v>
      </c>
      <c r="M392" s="7" t="inlineStr">
        <is>
          <t>03:45:00</t>
        </is>
      </c>
      <c r="N392" s="7" t="n">
        <v>1</v>
      </c>
      <c r="O392">
        <f>IF(O390="","",O390)</f>
        <v/>
      </c>
      <c r="Q392">
        <f>IF(Q389="","",Q389)</f>
        <v/>
      </c>
    </row>
    <row r="393">
      <c r="Q393">
        <f>"- "&amp;G392&amp;"-"&amp;H392</f>
        <v/>
      </c>
    </row>
    <row r="394">
      <c r="Q394">
        <f>"- LA "&amp;F392&amp;" ("&amp;LEFT(I392,5)&amp;"-"&amp;LEFT(J392,5)&amp;" hrs)"</f>
        <v/>
      </c>
    </row>
    <row r="396">
      <c r="Q396" s="3" t="n"/>
    </row>
    <row r="397">
      <c r="B397" s="4" t="inlineStr">
        <is>
          <t>Pairing ID</t>
        </is>
      </c>
      <c r="C397" s="4" t="inlineStr">
        <is>
          <t>FECHA REAL</t>
        </is>
      </c>
      <c r="D397" s="5" t="inlineStr">
        <is>
          <t>MES</t>
        </is>
      </c>
      <c r="E397" s="4" t="inlineStr">
        <is>
          <t>Day of Week</t>
        </is>
      </c>
      <c r="F397" s="4" t="inlineStr">
        <is>
          <t>Flight No</t>
        </is>
      </c>
      <c r="G397" s="4" t="inlineStr">
        <is>
          <t>Dep Stn</t>
        </is>
      </c>
      <c r="H397" s="4" t="inlineStr">
        <is>
          <t>Arr Stn</t>
        </is>
      </c>
      <c r="I397" s="4" t="inlineStr">
        <is>
          <t>STD</t>
        </is>
      </c>
      <c r="J397" s="4" t="inlineStr">
        <is>
          <t>STA</t>
        </is>
      </c>
      <c r="K397" s="4" t="inlineStr">
        <is>
          <t>DAY</t>
        </is>
      </c>
      <c r="L397" s="4" t="inlineStr">
        <is>
          <t>AC Type</t>
        </is>
      </c>
      <c r="M397" s="4" t="inlineStr">
        <is>
          <t>HBT</t>
        </is>
      </c>
      <c r="N397" s="6" t="inlineStr">
        <is>
          <t>DIA_DUTY</t>
        </is>
      </c>
      <c r="O397" s="3" t="n"/>
      <c r="Q397">
        <f>"- "&amp;G398&amp;"-"&amp;H398</f>
        <v/>
      </c>
      <c r="R397" s="7">
        <f>B398</f>
        <v/>
      </c>
      <c r="S397" s="7">
        <f>C398</f>
        <v/>
      </c>
      <c r="T397" s="7">
        <f>E398</f>
        <v/>
      </c>
      <c r="U397" s="7">
        <f>F398&amp;"/"&amp;F399</f>
        <v/>
      </c>
      <c r="V397" s="7">
        <f>G398&amp;"-"&amp;H398&amp;"-"&amp;G398</f>
        <v/>
      </c>
      <c r="W397" s="7">
        <f>IF(O397="","",O397)</f>
        <v/>
      </c>
      <c r="X397" s="7">
        <f>IF(Q396="","",Q396)</f>
        <v/>
      </c>
      <c r="Y397" s="7">
        <f>C398</f>
        <v/>
      </c>
      <c r="Z397" s="7">
        <f>C399</f>
        <v/>
      </c>
    </row>
    <row r="398">
      <c r="B398" s="7" t="n">
        <v>28</v>
      </c>
      <c r="C398" s="7" t="inlineStr">
        <is>
          <t>13/10/2026</t>
        </is>
      </c>
      <c r="D398" s="7" t="inlineStr">
        <is>
          <t>Oct-2026</t>
        </is>
      </c>
      <c r="E398" s="7" t="inlineStr">
        <is>
          <t>martes</t>
        </is>
      </c>
      <c r="F398" s="7" t="n">
        <v>2697</v>
      </c>
      <c r="G398" s="7" t="inlineStr">
        <is>
          <t>LIM</t>
        </is>
      </c>
      <c r="H398" s="7" t="inlineStr">
        <is>
          <t>SCL</t>
        </is>
      </c>
      <c r="I398" s="7" t="inlineStr">
        <is>
          <t>09:35:00</t>
        </is>
      </c>
      <c r="J398" s="7" t="inlineStr">
        <is>
          <t>13:00:00</t>
        </is>
      </c>
      <c r="K398" s="7" t="inlineStr">
        <is>
          <t>NO</t>
        </is>
      </c>
      <c r="L398" s="7" t="n">
        <v>789</v>
      </c>
      <c r="M398" s="7" t="inlineStr">
        <is>
          <t>03:25:00</t>
        </is>
      </c>
      <c r="N398" s="7" t="n">
        <v>1</v>
      </c>
      <c r="Q398">
        <f>"- LA "&amp;F398&amp;" ("&amp;LEFT(I398,5)&amp;"-"&amp;LEFT(J398,5)&amp;" hrs)"</f>
        <v/>
      </c>
    </row>
    <row r="399">
      <c r="B399" s="7" t="n">
        <v>28</v>
      </c>
      <c r="C399" s="7" t="inlineStr">
        <is>
          <t>13/10/2026</t>
        </is>
      </c>
      <c r="D399" s="7" t="inlineStr">
        <is>
          <t>Oct-2026</t>
        </is>
      </c>
      <c r="E399" s="7" t="inlineStr">
        <is>
          <t>martes</t>
        </is>
      </c>
      <c r="F399" s="7" t="n">
        <v>2696</v>
      </c>
      <c r="G399" s="7" t="inlineStr">
        <is>
          <t>SCL</t>
        </is>
      </c>
      <c r="H399" s="7" t="inlineStr">
        <is>
          <t>LIM</t>
        </is>
      </c>
      <c r="I399" s="7" t="inlineStr">
        <is>
          <t>15:55:00</t>
        </is>
      </c>
      <c r="J399" s="7" t="inlineStr">
        <is>
          <t>19:40:00</t>
        </is>
      </c>
      <c r="K399" s="7" t="inlineStr">
        <is>
          <t>NO</t>
        </is>
      </c>
      <c r="L399" s="7" t="n">
        <v>789</v>
      </c>
      <c r="M399" s="7" t="inlineStr">
        <is>
          <t>03:45:00</t>
        </is>
      </c>
      <c r="N399" s="7" t="n">
        <v>1</v>
      </c>
      <c r="O399">
        <f>IF(O397="","",O397)</f>
        <v/>
      </c>
      <c r="Q399">
        <f>IF(Q396="","",Q396)</f>
        <v/>
      </c>
    </row>
    <row r="400">
      <c r="Q400">
        <f>"- "&amp;G399&amp;"-"&amp;H399</f>
        <v/>
      </c>
    </row>
    <row r="401">
      <c r="Q401">
        <f>"- LA "&amp;F399&amp;" ("&amp;LEFT(I399,5)&amp;"-"&amp;LEFT(J399,5)&amp;" hrs)"</f>
        <v/>
      </c>
    </row>
    <row r="403">
      <c r="Q403" s="3" t="n"/>
    </row>
    <row r="404">
      <c r="B404" s="4" t="inlineStr">
        <is>
          <t>Pairing ID</t>
        </is>
      </c>
      <c r="C404" s="4" t="inlineStr">
        <is>
          <t>FECHA REAL</t>
        </is>
      </c>
      <c r="D404" s="5" t="inlineStr">
        <is>
          <t>MES</t>
        </is>
      </c>
      <c r="E404" s="4" t="inlineStr">
        <is>
          <t>Day of Week</t>
        </is>
      </c>
      <c r="F404" s="4" t="inlineStr">
        <is>
          <t>Flight No</t>
        </is>
      </c>
      <c r="G404" s="4" t="inlineStr">
        <is>
          <t>Dep Stn</t>
        </is>
      </c>
      <c r="H404" s="4" t="inlineStr">
        <is>
          <t>Arr Stn</t>
        </is>
      </c>
      <c r="I404" s="4" t="inlineStr">
        <is>
          <t>STD</t>
        </is>
      </c>
      <c r="J404" s="4" t="inlineStr">
        <is>
          <t>STA</t>
        </is>
      </c>
      <c r="K404" s="4" t="inlineStr">
        <is>
          <t>DAY</t>
        </is>
      </c>
      <c r="L404" s="4" t="inlineStr">
        <is>
          <t>AC Type</t>
        </is>
      </c>
      <c r="M404" s="4" t="inlineStr">
        <is>
          <t>HBT</t>
        </is>
      </c>
      <c r="N404" s="6" t="inlineStr">
        <is>
          <t>DIA_DUTY</t>
        </is>
      </c>
      <c r="O404" s="3" t="n"/>
      <c r="Q404">
        <f>"- "&amp;G405&amp;"-"&amp;H405</f>
        <v/>
      </c>
      <c r="R404" s="7">
        <f>B405</f>
        <v/>
      </c>
      <c r="S404" s="7">
        <f>C405</f>
        <v/>
      </c>
      <c r="T404" s="7">
        <f>E405</f>
        <v/>
      </c>
      <c r="U404" s="7">
        <f>F405&amp;"/"&amp;F406</f>
        <v/>
      </c>
      <c r="V404" s="7">
        <f>G405&amp;"-"&amp;H405&amp;"-"&amp;G405</f>
        <v/>
      </c>
      <c r="W404" s="7">
        <f>IF(O404="","",O404)</f>
        <v/>
      </c>
      <c r="X404" s="7">
        <f>IF(Q403="","",Q403)</f>
        <v/>
      </c>
      <c r="Y404" s="7">
        <f>C405</f>
        <v/>
      </c>
      <c r="Z404" s="7">
        <f>C406</f>
        <v/>
      </c>
    </row>
    <row r="405">
      <c r="B405" s="7" t="n">
        <v>291</v>
      </c>
      <c r="C405" s="7" t="inlineStr">
        <is>
          <t>27/10/2026</t>
        </is>
      </c>
      <c r="D405" s="7" t="inlineStr">
        <is>
          <t>Oct-2026</t>
        </is>
      </c>
      <c r="E405" s="7" t="inlineStr">
        <is>
          <t>martes</t>
        </is>
      </c>
      <c r="F405" s="7" t="n">
        <v>2480</v>
      </c>
      <c r="G405" s="7" t="inlineStr">
        <is>
          <t>LIM</t>
        </is>
      </c>
      <c r="H405" s="7" t="inlineStr">
        <is>
          <t>MIA</t>
        </is>
      </c>
      <c r="I405" s="7" t="inlineStr">
        <is>
          <t>00:15:00</t>
        </is>
      </c>
      <c r="J405" s="7" t="inlineStr">
        <is>
          <t>06:10:00</t>
        </is>
      </c>
      <c r="K405" s="7" t="inlineStr">
        <is>
          <t>NO</t>
        </is>
      </c>
      <c r="L405" s="7" t="n">
        <v>763</v>
      </c>
      <c r="M405" s="7" t="inlineStr">
        <is>
          <t>05:55:00</t>
        </is>
      </c>
      <c r="N405" s="7" t="n">
        <v>2</v>
      </c>
      <c r="Q405">
        <f>"- LA "&amp;F405&amp;" ("&amp;LEFT(I405,5)&amp;"-"&amp;LEFT(J405,5)&amp;" hrs)"</f>
        <v/>
      </c>
    </row>
    <row r="406">
      <c r="B406" s="7" t="n">
        <v>291</v>
      </c>
      <c r="C406" s="7" t="inlineStr">
        <is>
          <t>28/10/2026</t>
        </is>
      </c>
      <c r="D406" s="7" t="inlineStr">
        <is>
          <t>Oct-2026</t>
        </is>
      </c>
      <c r="E406" s="7" t="inlineStr">
        <is>
          <t>miércoles</t>
        </is>
      </c>
      <c r="F406" s="7" t="n">
        <v>2481</v>
      </c>
      <c r="G406" s="7" t="inlineStr">
        <is>
          <t>MIA</t>
        </is>
      </c>
      <c r="H406" s="7" t="inlineStr">
        <is>
          <t>LIM</t>
        </is>
      </c>
      <c r="I406" s="7" t="inlineStr">
        <is>
          <t>16:05:00</t>
        </is>
      </c>
      <c r="J406" s="7" t="inlineStr">
        <is>
          <t>21:55:00</t>
        </is>
      </c>
      <c r="K406" s="7" t="inlineStr">
        <is>
          <t>NO</t>
        </is>
      </c>
      <c r="L406" s="7" t="n">
        <v>763</v>
      </c>
      <c r="M406" s="7" t="inlineStr">
        <is>
          <t>05:50:00</t>
        </is>
      </c>
      <c r="N406" s="7" t="n">
        <v>3</v>
      </c>
      <c r="O406">
        <f>IF(O404="","",O404)</f>
        <v/>
      </c>
      <c r="Q406">
        <f>IF(Q403="","",Q403)</f>
        <v/>
      </c>
    </row>
    <row r="407">
      <c r="Q407">
        <f>"- "&amp;G406&amp;"-"&amp;H406</f>
        <v/>
      </c>
    </row>
    <row r="408">
      <c r="Q408">
        <f>"- LA "&amp;F406&amp;" ("&amp;LEFT(I406,5)&amp;"-"&amp;LEFT(J406,5)&amp;" hrs)"</f>
        <v/>
      </c>
    </row>
    <row r="410">
      <c r="Q410" s="3" t="n"/>
    </row>
    <row r="411">
      <c r="B411" s="4" t="inlineStr">
        <is>
          <t>Pairing ID</t>
        </is>
      </c>
      <c r="C411" s="4" t="inlineStr">
        <is>
          <t>FECHA REAL</t>
        </is>
      </c>
      <c r="D411" s="5" t="inlineStr">
        <is>
          <t>MES</t>
        </is>
      </c>
      <c r="E411" s="4" t="inlineStr">
        <is>
          <t>Day of Week</t>
        </is>
      </c>
      <c r="F411" s="4" t="inlineStr">
        <is>
          <t>Flight No</t>
        </is>
      </c>
      <c r="G411" s="4" t="inlineStr">
        <is>
          <t>Dep Stn</t>
        </is>
      </c>
      <c r="H411" s="4" t="inlineStr">
        <is>
          <t>Arr Stn</t>
        </is>
      </c>
      <c r="I411" s="4" t="inlineStr">
        <is>
          <t>STD</t>
        </is>
      </c>
      <c r="J411" s="4" t="inlineStr">
        <is>
          <t>STA</t>
        </is>
      </c>
      <c r="K411" s="4" t="inlineStr">
        <is>
          <t>DAY</t>
        </is>
      </c>
      <c r="L411" s="4" t="inlineStr">
        <is>
          <t>AC Type</t>
        </is>
      </c>
      <c r="M411" s="4" t="inlineStr">
        <is>
          <t>HBT</t>
        </is>
      </c>
      <c r="N411" s="6" t="inlineStr">
        <is>
          <t>DIA_DUTY</t>
        </is>
      </c>
      <c r="O411" s="3" t="n"/>
      <c r="Q411">
        <f>"- "&amp;G412&amp;"-"&amp;H412</f>
        <v/>
      </c>
      <c r="R411" s="7">
        <f>B412</f>
        <v/>
      </c>
      <c r="S411" s="7">
        <f>C412</f>
        <v/>
      </c>
      <c r="T411" s="7">
        <f>E412</f>
        <v/>
      </c>
      <c r="U411" s="7">
        <f>F412&amp;"/"&amp;F413</f>
        <v/>
      </c>
      <c r="V411" s="7">
        <f>G412&amp;"-"&amp;H412&amp;"-"&amp;G412</f>
        <v/>
      </c>
      <c r="W411" s="7">
        <f>IF(O411="","",O411)</f>
        <v/>
      </c>
      <c r="X411" s="7">
        <f>IF(Q410="","",Q410)</f>
        <v/>
      </c>
      <c r="Y411" s="7">
        <f>C412</f>
        <v/>
      </c>
      <c r="Z411" s="7">
        <f>C413</f>
        <v/>
      </c>
    </row>
    <row r="412">
      <c r="B412" s="7" t="n">
        <v>294</v>
      </c>
      <c r="C412" s="7" t="inlineStr">
        <is>
          <t>27/10/2026</t>
        </is>
      </c>
      <c r="D412" s="7" t="inlineStr">
        <is>
          <t>Oct-2026</t>
        </is>
      </c>
      <c r="E412" s="7" t="inlineStr">
        <is>
          <t>martes</t>
        </is>
      </c>
      <c r="F412" s="7" t="n">
        <v>2697</v>
      </c>
      <c r="G412" s="7" t="inlineStr">
        <is>
          <t>LIM</t>
        </is>
      </c>
      <c r="H412" s="7" t="inlineStr">
        <is>
          <t>SCL</t>
        </is>
      </c>
      <c r="I412" s="7" t="inlineStr">
        <is>
          <t>09:35:00</t>
        </is>
      </c>
      <c r="J412" s="7" t="inlineStr">
        <is>
          <t>13:00:00</t>
        </is>
      </c>
      <c r="K412" s="7" t="inlineStr">
        <is>
          <t>NO</t>
        </is>
      </c>
      <c r="L412" s="7" t="n">
        <v>789</v>
      </c>
      <c r="M412" s="7" t="inlineStr">
        <is>
          <t>03:25:00</t>
        </is>
      </c>
      <c r="N412" s="7" t="n">
        <v>1</v>
      </c>
      <c r="Q412">
        <f>"- LA "&amp;F412&amp;" ("&amp;LEFT(I412,5)&amp;"-"&amp;LEFT(J412,5)&amp;" hrs)"</f>
        <v/>
      </c>
    </row>
    <row r="413">
      <c r="B413" s="7" t="n">
        <v>294</v>
      </c>
      <c r="C413" s="7" t="inlineStr">
        <is>
          <t>27/10/2026</t>
        </is>
      </c>
      <c r="D413" s="7" t="inlineStr">
        <is>
          <t>Oct-2026</t>
        </is>
      </c>
      <c r="E413" s="7" t="inlineStr">
        <is>
          <t>martes</t>
        </is>
      </c>
      <c r="F413" s="7" t="n">
        <v>2696</v>
      </c>
      <c r="G413" s="7" t="inlineStr">
        <is>
          <t>SCL</t>
        </is>
      </c>
      <c r="H413" s="7" t="inlineStr">
        <is>
          <t>LIM</t>
        </is>
      </c>
      <c r="I413" s="7" t="inlineStr">
        <is>
          <t>15:55:00</t>
        </is>
      </c>
      <c r="J413" s="7" t="inlineStr">
        <is>
          <t>19:40:00</t>
        </is>
      </c>
      <c r="K413" s="7" t="inlineStr">
        <is>
          <t>NO</t>
        </is>
      </c>
      <c r="L413" s="7" t="n">
        <v>789</v>
      </c>
      <c r="M413" s="7" t="inlineStr">
        <is>
          <t>03:45:00</t>
        </is>
      </c>
      <c r="N413" s="7" t="n">
        <v>1</v>
      </c>
      <c r="O413">
        <f>IF(O411="","",O411)</f>
        <v/>
      </c>
      <c r="Q413">
        <f>IF(Q410="","",Q410)</f>
        <v/>
      </c>
    </row>
    <row r="414">
      <c r="Q414">
        <f>"- "&amp;G413&amp;"-"&amp;H413</f>
        <v/>
      </c>
    </row>
    <row r="415">
      <c r="Q415">
        <f>"- LA "&amp;F413&amp;" ("&amp;LEFT(I413,5)&amp;"-"&amp;LEFT(J413,5)&amp;" hrs)"</f>
        <v/>
      </c>
    </row>
    <row r="417">
      <c r="Q417" s="3" t="n"/>
    </row>
    <row r="418">
      <c r="B418" s="4" t="inlineStr">
        <is>
          <t>Pairing ID</t>
        </is>
      </c>
      <c r="C418" s="4" t="inlineStr">
        <is>
          <t>FECHA REAL</t>
        </is>
      </c>
      <c r="D418" s="5" t="inlineStr">
        <is>
          <t>MES</t>
        </is>
      </c>
      <c r="E418" s="4" t="inlineStr">
        <is>
          <t>Day of Week</t>
        </is>
      </c>
      <c r="F418" s="4" t="inlineStr">
        <is>
          <t>Flight No</t>
        </is>
      </c>
      <c r="G418" s="4" t="inlineStr">
        <is>
          <t>Dep Stn</t>
        </is>
      </c>
      <c r="H418" s="4" t="inlineStr">
        <is>
          <t>Arr Stn</t>
        </is>
      </c>
      <c r="I418" s="4" t="inlineStr">
        <is>
          <t>STD</t>
        </is>
      </c>
      <c r="J418" s="4" t="inlineStr">
        <is>
          <t>STA</t>
        </is>
      </c>
      <c r="K418" s="4" t="inlineStr">
        <is>
          <t>DAY</t>
        </is>
      </c>
      <c r="L418" s="4" t="inlineStr">
        <is>
          <t>AC Type</t>
        </is>
      </c>
      <c r="M418" s="4" t="inlineStr">
        <is>
          <t>HBT</t>
        </is>
      </c>
      <c r="N418" s="6" t="inlineStr">
        <is>
          <t>DIA_DUTY</t>
        </is>
      </c>
      <c r="O418" s="3" t="n"/>
      <c r="Q418">
        <f>"- "&amp;G419&amp;"-"&amp;H419</f>
        <v/>
      </c>
      <c r="R418" s="7">
        <f>B419</f>
        <v/>
      </c>
      <c r="S418" s="7">
        <f>C419</f>
        <v/>
      </c>
      <c r="T418" s="7">
        <f>E419</f>
        <v/>
      </c>
      <c r="U418" s="7">
        <f>F419&amp;"/"&amp;F420</f>
        <v/>
      </c>
      <c r="V418" s="7">
        <f>G419&amp;"-"&amp;H419&amp;"-"&amp;G419</f>
        <v/>
      </c>
      <c r="W418" s="7">
        <f>IF(O418="","",O418)</f>
        <v/>
      </c>
      <c r="X418" s="7">
        <f>IF(Q417="","",Q417)</f>
        <v/>
      </c>
      <c r="Y418" s="7">
        <f>C419</f>
        <v/>
      </c>
      <c r="Z418" s="7">
        <f>C420</f>
        <v/>
      </c>
    </row>
    <row r="419">
      <c r="B419" s="7" t="n">
        <v>301</v>
      </c>
      <c r="C419" s="7" t="inlineStr">
        <is>
          <t>28/10/2026</t>
        </is>
      </c>
      <c r="D419" s="7" t="inlineStr">
        <is>
          <t>Oct-2026</t>
        </is>
      </c>
      <c r="E419" s="7" t="inlineStr">
        <is>
          <t>miércoles</t>
        </is>
      </c>
      <c r="F419" s="7" t="n">
        <v>2480</v>
      </c>
      <c r="G419" s="7" t="inlineStr">
        <is>
          <t>LIM</t>
        </is>
      </c>
      <c r="H419" s="7" t="inlineStr">
        <is>
          <t>MIA</t>
        </is>
      </c>
      <c r="I419" s="7" t="inlineStr">
        <is>
          <t>00:15:00</t>
        </is>
      </c>
      <c r="J419" s="7" t="inlineStr">
        <is>
          <t>06:10:00</t>
        </is>
      </c>
      <c r="K419" s="7" t="inlineStr">
        <is>
          <t>NO</t>
        </is>
      </c>
      <c r="L419" s="7" t="n">
        <v>763</v>
      </c>
      <c r="M419" s="7" t="inlineStr">
        <is>
          <t>05:55:00</t>
        </is>
      </c>
      <c r="N419" s="7" t="n">
        <v>2</v>
      </c>
      <c r="Q419">
        <f>"- LA "&amp;F419&amp;" ("&amp;LEFT(I419,5)&amp;"-"&amp;LEFT(J419,5)&amp;" hrs)"</f>
        <v/>
      </c>
    </row>
    <row r="420">
      <c r="B420" s="7" t="n">
        <v>301</v>
      </c>
      <c r="C420" s="7" t="inlineStr">
        <is>
          <t>29/10/2026</t>
        </is>
      </c>
      <c r="D420" s="7" t="inlineStr">
        <is>
          <t>Oct-2026</t>
        </is>
      </c>
      <c r="E420" s="7" t="inlineStr">
        <is>
          <t>jueves</t>
        </is>
      </c>
      <c r="F420" s="7" t="n">
        <v>2695</v>
      </c>
      <c r="G420" s="7" t="inlineStr">
        <is>
          <t>MIA</t>
        </is>
      </c>
      <c r="H420" s="7" t="inlineStr">
        <is>
          <t>LIM</t>
        </is>
      </c>
      <c r="I420" s="7" t="inlineStr">
        <is>
          <t>16:45:00</t>
        </is>
      </c>
      <c r="J420" s="7" t="inlineStr">
        <is>
          <t>22:30:00</t>
        </is>
      </c>
      <c r="K420" s="7" t="inlineStr">
        <is>
          <t>NO</t>
        </is>
      </c>
      <c r="L420" s="7" t="n">
        <v>763</v>
      </c>
      <c r="M420" s="7" t="inlineStr">
        <is>
          <t>05:45:00</t>
        </is>
      </c>
      <c r="N420" s="7" t="n">
        <v>3</v>
      </c>
      <c r="O420">
        <f>IF(O418="","",O418)</f>
        <v/>
      </c>
      <c r="Q420">
        <f>IF(Q417="","",Q417)</f>
        <v/>
      </c>
    </row>
    <row r="421">
      <c r="Q421">
        <f>"- "&amp;G420&amp;"-"&amp;H420</f>
        <v/>
      </c>
    </row>
    <row r="422">
      <c r="Q422">
        <f>"- LA "&amp;F420&amp;" ("&amp;LEFT(I420,5)&amp;"-"&amp;LEFT(J420,5)&amp;" hrs)"</f>
        <v/>
      </c>
    </row>
    <row r="424">
      <c r="Q424" s="3" t="n"/>
    </row>
    <row r="425">
      <c r="B425" s="4" t="inlineStr">
        <is>
          <t>Pairing ID</t>
        </is>
      </c>
      <c r="C425" s="4" t="inlineStr">
        <is>
          <t>FECHA REAL</t>
        </is>
      </c>
      <c r="D425" s="5" t="inlineStr">
        <is>
          <t>MES</t>
        </is>
      </c>
      <c r="E425" s="4" t="inlineStr">
        <is>
          <t>Day of Week</t>
        </is>
      </c>
      <c r="F425" s="4" t="inlineStr">
        <is>
          <t>Flight No</t>
        </is>
      </c>
      <c r="G425" s="4" t="inlineStr">
        <is>
          <t>Dep Stn</t>
        </is>
      </c>
      <c r="H425" s="4" t="inlineStr">
        <is>
          <t>Arr Stn</t>
        </is>
      </c>
      <c r="I425" s="4" t="inlineStr">
        <is>
          <t>STD</t>
        </is>
      </c>
      <c r="J425" s="4" t="inlineStr">
        <is>
          <t>STA</t>
        </is>
      </c>
      <c r="K425" s="4" t="inlineStr">
        <is>
          <t>DAY</t>
        </is>
      </c>
      <c r="L425" s="4" t="inlineStr">
        <is>
          <t>AC Type</t>
        </is>
      </c>
      <c r="M425" s="4" t="inlineStr">
        <is>
          <t>HBT</t>
        </is>
      </c>
      <c r="N425" s="6" t="inlineStr">
        <is>
          <t>DIA_DUTY</t>
        </is>
      </c>
      <c r="O425" s="3" t="n"/>
      <c r="Q425">
        <f>"- "&amp;G426&amp;"-"&amp;H426</f>
        <v/>
      </c>
      <c r="R425" s="7">
        <f>B426</f>
        <v/>
      </c>
      <c r="S425" s="7">
        <f>C426</f>
        <v/>
      </c>
      <c r="T425" s="7">
        <f>E426</f>
        <v/>
      </c>
      <c r="U425" s="7">
        <f>F426&amp;"/"&amp;F427</f>
        <v/>
      </c>
      <c r="V425" s="7">
        <f>G426&amp;"-"&amp;H426&amp;"-"&amp;G426</f>
        <v/>
      </c>
      <c r="W425" s="7">
        <f>IF(O425="","",O425)</f>
        <v/>
      </c>
      <c r="X425" s="7">
        <f>IF(Q424="","",Q424)</f>
        <v/>
      </c>
      <c r="Y425" s="7">
        <f>C426</f>
        <v/>
      </c>
      <c r="Z425" s="7">
        <f>C427</f>
        <v/>
      </c>
    </row>
    <row r="426">
      <c r="B426" s="7" t="n">
        <v>304</v>
      </c>
      <c r="C426" s="7" t="inlineStr">
        <is>
          <t>28/10/2026</t>
        </is>
      </c>
      <c r="D426" s="7" t="inlineStr">
        <is>
          <t>Oct-2026</t>
        </is>
      </c>
      <c r="E426" s="7" t="inlineStr">
        <is>
          <t>miércoles</t>
        </is>
      </c>
      <c r="F426" s="7" t="n">
        <v>2697</v>
      </c>
      <c r="G426" s="7" t="inlineStr">
        <is>
          <t>LIM</t>
        </is>
      </c>
      <c r="H426" s="7" t="inlineStr">
        <is>
          <t>SCL</t>
        </is>
      </c>
      <c r="I426" s="7" t="inlineStr">
        <is>
          <t>09:35:00</t>
        </is>
      </c>
      <c r="J426" s="7" t="inlineStr">
        <is>
          <t>13:00:00</t>
        </is>
      </c>
      <c r="K426" s="7" t="inlineStr">
        <is>
          <t>NO</t>
        </is>
      </c>
      <c r="L426" s="7" t="n">
        <v>789</v>
      </c>
      <c r="M426" s="7" t="inlineStr">
        <is>
          <t>03:25:00</t>
        </is>
      </c>
      <c r="N426" s="7" t="n">
        <v>1</v>
      </c>
      <c r="Q426">
        <f>"- LA "&amp;F426&amp;" ("&amp;LEFT(I426,5)&amp;"-"&amp;LEFT(J426,5)&amp;" hrs)"</f>
        <v/>
      </c>
    </row>
    <row r="427">
      <c r="B427" s="7" t="n">
        <v>304</v>
      </c>
      <c r="C427" s="7" t="inlineStr">
        <is>
          <t>28/10/2026</t>
        </is>
      </c>
      <c r="D427" s="7" t="inlineStr">
        <is>
          <t>Oct-2026</t>
        </is>
      </c>
      <c r="E427" s="7" t="inlineStr">
        <is>
          <t>miércoles</t>
        </is>
      </c>
      <c r="F427" s="7" t="n">
        <v>2696</v>
      </c>
      <c r="G427" s="7" t="inlineStr">
        <is>
          <t>SCL</t>
        </is>
      </c>
      <c r="H427" s="7" t="inlineStr">
        <is>
          <t>LIM</t>
        </is>
      </c>
      <c r="I427" s="7" t="inlineStr">
        <is>
          <t>15:55:00</t>
        </is>
      </c>
      <c r="J427" s="7" t="inlineStr">
        <is>
          <t>19:40:00</t>
        </is>
      </c>
      <c r="K427" s="7" t="inlineStr">
        <is>
          <t>NO</t>
        </is>
      </c>
      <c r="L427" s="7" t="n">
        <v>788</v>
      </c>
      <c r="M427" s="7" t="inlineStr">
        <is>
          <t>03:45:00</t>
        </is>
      </c>
      <c r="N427" s="7" t="n">
        <v>1</v>
      </c>
      <c r="O427">
        <f>IF(O425="","",O425)</f>
        <v/>
      </c>
      <c r="Q427">
        <f>IF(Q424="","",Q424)</f>
        <v/>
      </c>
    </row>
    <row r="428">
      <c r="Q428">
        <f>"- "&amp;G427&amp;"-"&amp;H427</f>
        <v/>
      </c>
    </row>
    <row r="429">
      <c r="Q429">
        <f>"- LA "&amp;F427&amp;" ("&amp;LEFT(I427,5)&amp;"-"&amp;LEFT(J427,5)&amp;" hrs)"</f>
        <v/>
      </c>
    </row>
    <row r="431">
      <c r="Q431" s="3" t="n"/>
    </row>
    <row r="432">
      <c r="B432" s="4" t="inlineStr">
        <is>
          <t>Pairing ID</t>
        </is>
      </c>
      <c r="C432" s="4" t="inlineStr">
        <is>
          <t>FECHA REAL</t>
        </is>
      </c>
      <c r="D432" s="5" t="inlineStr">
        <is>
          <t>MES</t>
        </is>
      </c>
      <c r="E432" s="4" t="inlineStr">
        <is>
          <t>Day of Week</t>
        </is>
      </c>
      <c r="F432" s="4" t="inlineStr">
        <is>
          <t>Flight No</t>
        </is>
      </c>
      <c r="G432" s="4" t="inlineStr">
        <is>
          <t>Dep Stn</t>
        </is>
      </c>
      <c r="H432" s="4" t="inlineStr">
        <is>
          <t>Arr Stn</t>
        </is>
      </c>
      <c r="I432" s="4" t="inlineStr">
        <is>
          <t>STD</t>
        </is>
      </c>
      <c r="J432" s="4" t="inlineStr">
        <is>
          <t>STA</t>
        </is>
      </c>
      <c r="K432" s="4" t="inlineStr">
        <is>
          <t>DAY</t>
        </is>
      </c>
      <c r="L432" s="4" t="inlineStr">
        <is>
          <t>AC Type</t>
        </is>
      </c>
      <c r="M432" s="4" t="inlineStr">
        <is>
          <t>HBT</t>
        </is>
      </c>
      <c r="N432" s="6" t="inlineStr">
        <is>
          <t>DIA_DUTY</t>
        </is>
      </c>
      <c r="O432" s="3" t="n"/>
      <c r="Q432">
        <f>"- "&amp;G433&amp;"-"&amp;H433</f>
        <v/>
      </c>
      <c r="R432" s="7">
        <f>B433</f>
        <v/>
      </c>
      <c r="S432" s="7">
        <f>C433</f>
        <v/>
      </c>
      <c r="T432" s="7">
        <f>E433</f>
        <v/>
      </c>
      <c r="U432" s="7">
        <f>F433&amp;"/"&amp;F434</f>
        <v/>
      </c>
      <c r="V432" s="7">
        <f>G433&amp;"-"&amp;H433&amp;"-"&amp;G433</f>
        <v/>
      </c>
      <c r="W432" s="7">
        <f>IF(O432="","",O432)</f>
        <v/>
      </c>
      <c r="X432" s="7">
        <f>IF(Q431="","",Q431)</f>
        <v/>
      </c>
      <c r="Y432" s="7">
        <f>C433</f>
        <v/>
      </c>
      <c r="Z432" s="7">
        <f>C434</f>
        <v/>
      </c>
    </row>
    <row r="433">
      <c r="B433" s="7" t="n">
        <v>308</v>
      </c>
      <c r="C433" s="7" t="inlineStr">
        <is>
          <t>28/10/2026</t>
        </is>
      </c>
      <c r="D433" s="7" t="inlineStr">
        <is>
          <t>Oct-2026</t>
        </is>
      </c>
      <c r="E433" s="7" t="inlineStr">
        <is>
          <t>miércoles</t>
        </is>
      </c>
      <c r="F433" s="7" t="n">
        <v>2694</v>
      </c>
      <c r="G433" s="7" t="inlineStr">
        <is>
          <t>LIM</t>
        </is>
      </c>
      <c r="H433" s="7" t="inlineStr">
        <is>
          <t>MIA</t>
        </is>
      </c>
      <c r="I433" s="7" t="inlineStr">
        <is>
          <t>13:30:00</t>
        </is>
      </c>
      <c r="J433" s="7" t="inlineStr">
        <is>
          <t>19:25:00</t>
        </is>
      </c>
      <c r="K433" s="7" t="inlineStr">
        <is>
          <t>NO</t>
        </is>
      </c>
      <c r="L433" s="7" t="n">
        <v>763</v>
      </c>
      <c r="M433" s="7" t="inlineStr">
        <is>
          <t>05:55:00</t>
        </is>
      </c>
      <c r="N433" s="7" t="n">
        <v>1</v>
      </c>
      <c r="Q433">
        <f>"- LA "&amp;F433&amp;" ("&amp;LEFT(I433,5)&amp;"-"&amp;LEFT(J433,5)&amp;" hrs)"</f>
        <v/>
      </c>
    </row>
    <row r="434">
      <c r="B434" s="7" t="n">
        <v>308</v>
      </c>
      <c r="C434" s="7" t="inlineStr">
        <is>
          <t>29/10/2026</t>
        </is>
      </c>
      <c r="D434" s="7" t="inlineStr">
        <is>
          <t>Oct-2026</t>
        </is>
      </c>
      <c r="E434" s="7" t="inlineStr">
        <is>
          <t>jueves</t>
        </is>
      </c>
      <c r="F434" s="7" t="n">
        <v>2695</v>
      </c>
      <c r="G434" s="7" t="inlineStr">
        <is>
          <t>MIA</t>
        </is>
      </c>
      <c r="H434" s="7" t="inlineStr">
        <is>
          <t>LIM</t>
        </is>
      </c>
      <c r="I434" s="7" t="inlineStr">
        <is>
          <t>16:45:00</t>
        </is>
      </c>
      <c r="J434" s="7" t="inlineStr">
        <is>
          <t>22:30:00</t>
        </is>
      </c>
      <c r="K434" s="7" t="inlineStr">
        <is>
          <t>PAX</t>
        </is>
      </c>
      <c r="L434" s="7" t="n">
        <v>763</v>
      </c>
      <c r="M434" s="7" t="inlineStr">
        <is>
          <t>00:00:00</t>
        </is>
      </c>
      <c r="N434" s="7" t="n">
        <v>2</v>
      </c>
      <c r="O434">
        <f>IF(O432="","",O432)</f>
        <v/>
      </c>
      <c r="Q434">
        <f>IF(Q431="","",Q431)</f>
        <v/>
      </c>
    </row>
    <row r="435">
      <c r="Q435">
        <f>"- "&amp;G434&amp;"-"&amp;H434</f>
        <v/>
      </c>
    </row>
    <row r="436">
      <c r="Q436">
        <f>"- LA "&amp;F434&amp;" ("&amp;LEFT(I434,5)&amp;"-"&amp;LEFT(J434,5)&amp;" hrs)"</f>
        <v/>
      </c>
    </row>
    <row r="438">
      <c r="Q438" s="3" t="n"/>
    </row>
    <row r="439">
      <c r="B439" s="4" t="inlineStr">
        <is>
          <t>Pairing ID</t>
        </is>
      </c>
      <c r="C439" s="4" t="inlineStr">
        <is>
          <t>FECHA REAL</t>
        </is>
      </c>
      <c r="D439" s="5" t="inlineStr">
        <is>
          <t>MES</t>
        </is>
      </c>
      <c r="E439" s="4" t="inlineStr">
        <is>
          <t>Day of Week</t>
        </is>
      </c>
      <c r="F439" s="4" t="inlineStr">
        <is>
          <t>Flight No</t>
        </is>
      </c>
      <c r="G439" s="4" t="inlineStr">
        <is>
          <t>Dep Stn</t>
        </is>
      </c>
      <c r="H439" s="4" t="inlineStr">
        <is>
          <t>Arr Stn</t>
        </is>
      </c>
      <c r="I439" s="4" t="inlineStr">
        <is>
          <t>STD</t>
        </is>
      </c>
      <c r="J439" s="4" t="inlineStr">
        <is>
          <t>STA</t>
        </is>
      </c>
      <c r="K439" s="4" t="inlineStr">
        <is>
          <t>DAY</t>
        </is>
      </c>
      <c r="L439" s="4" t="inlineStr">
        <is>
          <t>AC Type</t>
        </is>
      </c>
      <c r="M439" s="4" t="inlineStr">
        <is>
          <t>HBT</t>
        </is>
      </c>
      <c r="N439" s="6" t="inlineStr">
        <is>
          <t>DIA_DUTY</t>
        </is>
      </c>
      <c r="O439" s="3" t="n"/>
      <c r="Q439">
        <f>"- "&amp;G440&amp;"-"&amp;H440</f>
        <v/>
      </c>
      <c r="R439" s="7">
        <f>B440</f>
        <v/>
      </c>
      <c r="S439" s="7">
        <f>C440</f>
        <v/>
      </c>
      <c r="T439" s="7">
        <f>E440</f>
        <v/>
      </c>
      <c r="U439" s="7">
        <f>F440&amp;"/"&amp;F441</f>
        <v/>
      </c>
      <c r="V439" s="7">
        <f>G440&amp;"-"&amp;H440&amp;"-"&amp;G440</f>
        <v/>
      </c>
      <c r="W439" s="7">
        <f>IF(O439="","",O439)</f>
        <v/>
      </c>
      <c r="X439" s="7">
        <f>IF(Q438="","",Q438)</f>
        <v/>
      </c>
      <c r="Y439" s="7">
        <f>C440</f>
        <v/>
      </c>
      <c r="Z439" s="7">
        <f>C441</f>
        <v/>
      </c>
    </row>
    <row r="440">
      <c r="B440" s="7" t="n">
        <v>30</v>
      </c>
      <c r="C440" s="7" t="inlineStr">
        <is>
          <t>14/10/2026</t>
        </is>
      </c>
      <c r="D440" s="7" t="inlineStr">
        <is>
          <t>Oct-2026</t>
        </is>
      </c>
      <c r="E440" s="7" t="inlineStr">
        <is>
          <t>miércoles</t>
        </is>
      </c>
      <c r="F440" s="7" t="n">
        <v>2697</v>
      </c>
      <c r="G440" s="7" t="inlineStr">
        <is>
          <t>LIM</t>
        </is>
      </c>
      <c r="H440" s="7" t="inlineStr">
        <is>
          <t>SCL</t>
        </is>
      </c>
      <c r="I440" s="7" t="inlineStr">
        <is>
          <t>09:35:00</t>
        </is>
      </c>
      <c r="J440" s="7" t="inlineStr">
        <is>
          <t>13:00:00</t>
        </is>
      </c>
      <c r="K440" s="7" t="inlineStr">
        <is>
          <t>NO</t>
        </is>
      </c>
      <c r="L440" s="7" t="n">
        <v>789</v>
      </c>
      <c r="M440" s="7" t="inlineStr">
        <is>
          <t>03:25:00</t>
        </is>
      </c>
      <c r="N440" s="7" t="n">
        <v>1</v>
      </c>
      <c r="Q440">
        <f>"- LA "&amp;F440&amp;" ("&amp;LEFT(I440,5)&amp;"-"&amp;LEFT(J440,5)&amp;" hrs)"</f>
        <v/>
      </c>
    </row>
    <row r="441">
      <c r="B441" s="7" t="n">
        <v>30</v>
      </c>
      <c r="C441" s="7" t="inlineStr">
        <is>
          <t>14/10/2026</t>
        </is>
      </c>
      <c r="D441" s="7" t="inlineStr">
        <is>
          <t>Oct-2026</t>
        </is>
      </c>
      <c r="E441" s="7" t="inlineStr">
        <is>
          <t>miércoles</t>
        </is>
      </c>
      <c r="F441" s="7" t="n">
        <v>2696</v>
      </c>
      <c r="G441" s="7" t="inlineStr">
        <is>
          <t>SCL</t>
        </is>
      </c>
      <c r="H441" s="7" t="inlineStr">
        <is>
          <t>LIM</t>
        </is>
      </c>
      <c r="I441" s="7" t="inlineStr">
        <is>
          <t>15:55:00</t>
        </is>
      </c>
      <c r="J441" s="7" t="inlineStr">
        <is>
          <t>19:40:00</t>
        </is>
      </c>
      <c r="K441" s="7" t="inlineStr">
        <is>
          <t>NO</t>
        </is>
      </c>
      <c r="L441" s="7" t="n">
        <v>788</v>
      </c>
      <c r="M441" s="7" t="inlineStr">
        <is>
          <t>03:45:00</t>
        </is>
      </c>
      <c r="N441" s="7" t="n">
        <v>1</v>
      </c>
      <c r="O441">
        <f>IF(O439="","",O439)</f>
        <v/>
      </c>
      <c r="Q441">
        <f>IF(Q438="","",Q438)</f>
        <v/>
      </c>
    </row>
    <row r="442">
      <c r="Q442">
        <f>"- "&amp;G441&amp;"-"&amp;H441</f>
        <v/>
      </c>
    </row>
    <row r="443">
      <c r="Q443">
        <f>"- LA "&amp;F441&amp;" ("&amp;LEFT(I441,5)&amp;"-"&amp;LEFT(J441,5)&amp;" hrs)"</f>
        <v/>
      </c>
    </row>
    <row r="445">
      <c r="Q445" s="3" t="n"/>
    </row>
    <row r="446">
      <c r="B446" s="4" t="inlineStr">
        <is>
          <t>Pairing ID</t>
        </is>
      </c>
      <c r="C446" s="4" t="inlineStr">
        <is>
          <t>FECHA REAL</t>
        </is>
      </c>
      <c r="D446" s="5" t="inlineStr">
        <is>
          <t>MES</t>
        </is>
      </c>
      <c r="E446" s="4" t="inlineStr">
        <is>
          <t>Day of Week</t>
        </is>
      </c>
      <c r="F446" s="4" t="inlineStr">
        <is>
          <t>Flight No</t>
        </is>
      </c>
      <c r="G446" s="4" t="inlineStr">
        <is>
          <t>Dep Stn</t>
        </is>
      </c>
      <c r="H446" s="4" t="inlineStr">
        <is>
          <t>Arr Stn</t>
        </is>
      </c>
      <c r="I446" s="4" t="inlineStr">
        <is>
          <t>STD</t>
        </is>
      </c>
      <c r="J446" s="4" t="inlineStr">
        <is>
          <t>STA</t>
        </is>
      </c>
      <c r="K446" s="4" t="inlineStr">
        <is>
          <t>DAY</t>
        </is>
      </c>
      <c r="L446" s="4" t="inlineStr">
        <is>
          <t>AC Type</t>
        </is>
      </c>
      <c r="M446" s="4" t="inlineStr">
        <is>
          <t>HBT</t>
        </is>
      </c>
      <c r="N446" s="6" t="inlineStr">
        <is>
          <t>DIA_DUTY</t>
        </is>
      </c>
      <c r="O446" s="3" t="n"/>
      <c r="Q446">
        <f>"- "&amp;G447&amp;"-"&amp;H447</f>
        <v/>
      </c>
      <c r="R446" s="7">
        <f>B447</f>
        <v/>
      </c>
      <c r="S446" s="7">
        <f>C447</f>
        <v/>
      </c>
      <c r="T446" s="7">
        <f>E447</f>
        <v/>
      </c>
      <c r="U446" s="7">
        <f>F447&amp;"/"&amp;F448</f>
        <v/>
      </c>
      <c r="V446" s="7">
        <f>G447&amp;"-"&amp;H447&amp;"-"&amp;G447</f>
        <v/>
      </c>
      <c r="W446" s="7">
        <f>IF(O446="","",O446)</f>
        <v/>
      </c>
      <c r="X446" s="7">
        <f>IF(Q445="","",Q445)</f>
        <v/>
      </c>
      <c r="Y446" s="7">
        <f>C447</f>
        <v/>
      </c>
      <c r="Z446" s="7">
        <f>C448</f>
        <v/>
      </c>
    </row>
    <row r="447">
      <c r="B447" s="7" t="n">
        <v>311</v>
      </c>
      <c r="C447" s="7" t="inlineStr">
        <is>
          <t>29/10/2026</t>
        </is>
      </c>
      <c r="D447" s="7" t="inlineStr">
        <is>
          <t>Oct-2026</t>
        </is>
      </c>
      <c r="E447" s="7" t="inlineStr">
        <is>
          <t>jueves</t>
        </is>
      </c>
      <c r="F447" s="7" t="n">
        <v>2480</v>
      </c>
      <c r="G447" s="7" t="inlineStr">
        <is>
          <t>LIM</t>
        </is>
      </c>
      <c r="H447" s="7" t="inlineStr">
        <is>
          <t>MIA</t>
        </is>
      </c>
      <c r="I447" s="7" t="inlineStr">
        <is>
          <t>00:15:00</t>
        </is>
      </c>
      <c r="J447" s="7" t="inlineStr">
        <is>
          <t>06:10:00</t>
        </is>
      </c>
      <c r="K447" s="7" t="inlineStr">
        <is>
          <t>NO</t>
        </is>
      </c>
      <c r="L447" s="7" t="n">
        <v>763</v>
      </c>
      <c r="M447" s="7" t="inlineStr">
        <is>
          <t>05:55:00</t>
        </is>
      </c>
      <c r="N447" s="7" t="n">
        <v>2</v>
      </c>
      <c r="Q447">
        <f>"- LA "&amp;F447&amp;" ("&amp;LEFT(I447,5)&amp;"-"&amp;LEFT(J447,5)&amp;" hrs)"</f>
        <v/>
      </c>
    </row>
    <row r="448">
      <c r="B448" s="7" t="n">
        <v>311</v>
      </c>
      <c r="C448" s="7" t="inlineStr">
        <is>
          <t>30/10/2026</t>
        </is>
      </c>
      <c r="D448" s="7" t="inlineStr">
        <is>
          <t>Oct-2026</t>
        </is>
      </c>
      <c r="E448" s="7" t="inlineStr">
        <is>
          <t>viernes</t>
        </is>
      </c>
      <c r="F448" s="7" t="n">
        <v>2481</v>
      </c>
      <c r="G448" s="7" t="inlineStr">
        <is>
          <t>MIA</t>
        </is>
      </c>
      <c r="H448" s="7" t="inlineStr">
        <is>
          <t>LIM</t>
        </is>
      </c>
      <c r="I448" s="7" t="inlineStr">
        <is>
          <t>16:05:00</t>
        </is>
      </c>
      <c r="J448" s="7" t="inlineStr">
        <is>
          <t>21:55:00</t>
        </is>
      </c>
      <c r="K448" s="7" t="inlineStr">
        <is>
          <t>NO</t>
        </is>
      </c>
      <c r="L448" s="7" t="n">
        <v>763</v>
      </c>
      <c r="M448" s="7" t="inlineStr">
        <is>
          <t>05:50:00</t>
        </is>
      </c>
      <c r="N448" s="7" t="n">
        <v>3</v>
      </c>
      <c r="O448">
        <f>IF(O446="","",O446)</f>
        <v/>
      </c>
      <c r="Q448">
        <f>IF(Q445="","",Q445)</f>
        <v/>
      </c>
    </row>
    <row r="449">
      <c r="Q449">
        <f>"- "&amp;G448&amp;"-"&amp;H448</f>
        <v/>
      </c>
    </row>
    <row r="450">
      <c r="Q450">
        <f>"- LA "&amp;F448&amp;" ("&amp;LEFT(I448,5)&amp;"-"&amp;LEFT(J448,5)&amp;" hrs)"</f>
        <v/>
      </c>
    </row>
    <row r="452">
      <c r="Q452" s="3" t="n"/>
    </row>
    <row r="453">
      <c r="B453" s="4" t="inlineStr">
        <is>
          <t>Pairing ID</t>
        </is>
      </c>
      <c r="C453" s="4" t="inlineStr">
        <is>
          <t>FECHA REAL</t>
        </is>
      </c>
      <c r="D453" s="5" t="inlineStr">
        <is>
          <t>MES</t>
        </is>
      </c>
      <c r="E453" s="4" t="inlineStr">
        <is>
          <t>Day of Week</t>
        </is>
      </c>
      <c r="F453" s="4" t="inlineStr">
        <is>
          <t>Flight No</t>
        </is>
      </c>
      <c r="G453" s="4" t="inlineStr">
        <is>
          <t>Dep Stn</t>
        </is>
      </c>
      <c r="H453" s="4" t="inlineStr">
        <is>
          <t>Arr Stn</t>
        </is>
      </c>
      <c r="I453" s="4" t="inlineStr">
        <is>
          <t>STD</t>
        </is>
      </c>
      <c r="J453" s="4" t="inlineStr">
        <is>
          <t>STA</t>
        </is>
      </c>
      <c r="K453" s="4" t="inlineStr">
        <is>
          <t>DAY</t>
        </is>
      </c>
      <c r="L453" s="4" t="inlineStr">
        <is>
          <t>AC Type</t>
        </is>
      </c>
      <c r="M453" s="4" t="inlineStr">
        <is>
          <t>HBT</t>
        </is>
      </c>
      <c r="N453" s="6" t="inlineStr">
        <is>
          <t>DIA_DUTY</t>
        </is>
      </c>
      <c r="O453" s="3" t="n"/>
      <c r="Q453">
        <f>"- "&amp;G454&amp;"-"&amp;H454</f>
        <v/>
      </c>
      <c r="R453" s="7">
        <f>B454</f>
        <v/>
      </c>
      <c r="S453" s="7">
        <f>C454</f>
        <v/>
      </c>
      <c r="T453" s="7">
        <f>E454</f>
        <v/>
      </c>
      <c r="U453" s="7">
        <f>F454&amp;"/"&amp;F455</f>
        <v/>
      </c>
      <c r="V453" s="7">
        <f>G454&amp;"-"&amp;H454&amp;"-"&amp;G454</f>
        <v/>
      </c>
      <c r="W453" s="7">
        <f>IF(O453="","",O453)</f>
        <v/>
      </c>
      <c r="X453" s="7">
        <f>IF(Q452="","",Q452)</f>
        <v/>
      </c>
      <c r="Y453" s="7">
        <f>C454</f>
        <v/>
      </c>
      <c r="Z453" s="7">
        <f>C455</f>
        <v/>
      </c>
    </row>
    <row r="454">
      <c r="B454" s="7" t="n">
        <v>316</v>
      </c>
      <c r="C454" s="7" t="inlineStr">
        <is>
          <t>29/10/2026</t>
        </is>
      </c>
      <c r="D454" s="7" t="inlineStr">
        <is>
          <t>Oct-2026</t>
        </is>
      </c>
      <c r="E454" s="7" t="inlineStr">
        <is>
          <t>jueves</t>
        </is>
      </c>
      <c r="F454" s="7" t="n">
        <v>2697</v>
      </c>
      <c r="G454" s="7" t="inlineStr">
        <is>
          <t>LIM</t>
        </is>
      </c>
      <c r="H454" s="7" t="inlineStr">
        <is>
          <t>SCL</t>
        </is>
      </c>
      <c r="I454" s="7" t="inlineStr">
        <is>
          <t>09:35:00</t>
        </is>
      </c>
      <c r="J454" s="7" t="inlineStr">
        <is>
          <t>13:00:00</t>
        </is>
      </c>
      <c r="K454" s="7" t="inlineStr">
        <is>
          <t>NO</t>
        </is>
      </c>
      <c r="L454" s="7" t="n">
        <v>789</v>
      </c>
      <c r="M454" s="7" t="inlineStr">
        <is>
          <t>03:25:00</t>
        </is>
      </c>
      <c r="N454" s="7" t="n">
        <v>1</v>
      </c>
      <c r="Q454">
        <f>"- LA "&amp;F454&amp;" ("&amp;LEFT(I454,5)&amp;"-"&amp;LEFT(J454,5)&amp;" hrs)"</f>
        <v/>
      </c>
    </row>
    <row r="455">
      <c r="B455" s="7" t="n">
        <v>316</v>
      </c>
      <c r="C455" s="7" t="inlineStr">
        <is>
          <t>29/10/2026</t>
        </is>
      </c>
      <c r="D455" s="7" t="inlineStr">
        <is>
          <t>Oct-2026</t>
        </is>
      </c>
      <c r="E455" s="7" t="inlineStr">
        <is>
          <t>jueves</t>
        </is>
      </c>
      <c r="F455" s="7" t="n">
        <v>2696</v>
      </c>
      <c r="G455" s="7" t="inlineStr">
        <is>
          <t>SCL</t>
        </is>
      </c>
      <c r="H455" s="7" t="inlineStr">
        <is>
          <t>LIM</t>
        </is>
      </c>
      <c r="I455" s="7" t="inlineStr">
        <is>
          <t>15:55:00</t>
        </is>
      </c>
      <c r="J455" s="7" t="inlineStr">
        <is>
          <t>19:40:00</t>
        </is>
      </c>
      <c r="K455" s="7" t="inlineStr">
        <is>
          <t>NO</t>
        </is>
      </c>
      <c r="L455" s="7" t="n">
        <v>789</v>
      </c>
      <c r="M455" s="7" t="inlineStr">
        <is>
          <t>03:45:00</t>
        </is>
      </c>
      <c r="N455" s="7" t="n">
        <v>1</v>
      </c>
      <c r="O455">
        <f>IF(O453="","",O453)</f>
        <v/>
      </c>
      <c r="Q455">
        <f>IF(Q452="","",Q452)</f>
        <v/>
      </c>
    </row>
    <row r="456">
      <c r="Q456">
        <f>"- "&amp;G455&amp;"-"&amp;H455</f>
        <v/>
      </c>
    </row>
    <row r="457">
      <c r="Q457">
        <f>"- LA "&amp;F455&amp;" ("&amp;LEFT(I455,5)&amp;"-"&amp;LEFT(J455,5)&amp;" hrs)"</f>
        <v/>
      </c>
    </row>
    <row r="459">
      <c r="Q459" s="3" t="n"/>
    </row>
    <row r="460">
      <c r="B460" s="4" t="inlineStr">
        <is>
          <t>Pairing ID</t>
        </is>
      </c>
      <c r="C460" s="4" t="inlineStr">
        <is>
          <t>FECHA REAL</t>
        </is>
      </c>
      <c r="D460" s="5" t="inlineStr">
        <is>
          <t>MES</t>
        </is>
      </c>
      <c r="E460" s="4" t="inlineStr">
        <is>
          <t>Day of Week</t>
        </is>
      </c>
      <c r="F460" s="4" t="inlineStr">
        <is>
          <t>Flight No</t>
        </is>
      </c>
      <c r="G460" s="4" t="inlineStr">
        <is>
          <t>Dep Stn</t>
        </is>
      </c>
      <c r="H460" s="4" t="inlineStr">
        <is>
          <t>Arr Stn</t>
        </is>
      </c>
      <c r="I460" s="4" t="inlineStr">
        <is>
          <t>STD</t>
        </is>
      </c>
      <c r="J460" s="4" t="inlineStr">
        <is>
          <t>STA</t>
        </is>
      </c>
      <c r="K460" s="4" t="inlineStr">
        <is>
          <t>DAY</t>
        </is>
      </c>
      <c r="L460" s="4" t="inlineStr">
        <is>
          <t>AC Type</t>
        </is>
      </c>
      <c r="M460" s="4" t="inlineStr">
        <is>
          <t>HBT</t>
        </is>
      </c>
      <c r="N460" s="6" t="inlineStr">
        <is>
          <t>DIA_DUTY</t>
        </is>
      </c>
      <c r="O460" s="3" t="n"/>
      <c r="Q460">
        <f>"- "&amp;G461&amp;"-"&amp;H461</f>
        <v/>
      </c>
      <c r="R460" s="7">
        <f>B461</f>
        <v/>
      </c>
      <c r="S460" s="7">
        <f>C461</f>
        <v/>
      </c>
      <c r="T460" s="7">
        <f>E461</f>
        <v/>
      </c>
      <c r="U460" s="7">
        <f>F461&amp;"/"&amp;F462</f>
        <v/>
      </c>
      <c r="V460" s="7">
        <f>G461&amp;"-"&amp;H461&amp;"-"&amp;G461</f>
        <v/>
      </c>
      <c r="W460" s="7">
        <f>IF(O460="","",O460)</f>
        <v/>
      </c>
      <c r="X460" s="7">
        <f>IF(Q459="","",Q459)</f>
        <v/>
      </c>
      <c r="Y460" s="7">
        <f>C461</f>
        <v/>
      </c>
      <c r="Z460" s="7">
        <f>C462</f>
        <v/>
      </c>
    </row>
    <row r="461">
      <c r="B461" s="7" t="n">
        <v>324</v>
      </c>
      <c r="C461" s="7" t="inlineStr">
        <is>
          <t>30/10/2026</t>
        </is>
      </c>
      <c r="D461" s="7" t="inlineStr">
        <is>
          <t>Oct-2026</t>
        </is>
      </c>
      <c r="E461" s="7" t="inlineStr">
        <is>
          <t>viernes</t>
        </is>
      </c>
      <c r="F461" s="7" t="n">
        <v>2697</v>
      </c>
      <c r="G461" s="7" t="inlineStr">
        <is>
          <t>LIM</t>
        </is>
      </c>
      <c r="H461" s="7" t="inlineStr">
        <is>
          <t>SCL</t>
        </is>
      </c>
      <c r="I461" s="7" t="inlineStr">
        <is>
          <t>09:35:00</t>
        </is>
      </c>
      <c r="J461" s="7" t="inlineStr">
        <is>
          <t>13:00:00</t>
        </is>
      </c>
      <c r="K461" s="7" t="inlineStr">
        <is>
          <t>NO</t>
        </is>
      </c>
      <c r="L461" s="7" t="n">
        <v>788</v>
      </c>
      <c r="M461" s="7" t="inlineStr">
        <is>
          <t>03:25:00</t>
        </is>
      </c>
      <c r="N461" s="7" t="n">
        <v>1</v>
      </c>
      <c r="Q461">
        <f>"- LA "&amp;F461&amp;" ("&amp;LEFT(I461,5)&amp;"-"&amp;LEFT(J461,5)&amp;" hrs)"</f>
        <v/>
      </c>
    </row>
    <row r="462">
      <c r="B462" s="7" t="n">
        <v>324</v>
      </c>
      <c r="C462" s="7" t="inlineStr">
        <is>
          <t>30/10/2026</t>
        </is>
      </c>
      <c r="D462" s="7" t="inlineStr">
        <is>
          <t>Oct-2026</t>
        </is>
      </c>
      <c r="E462" s="7" t="inlineStr">
        <is>
          <t>viernes</t>
        </is>
      </c>
      <c r="F462" s="7" t="n">
        <v>2696</v>
      </c>
      <c r="G462" s="7" t="inlineStr">
        <is>
          <t>SCL</t>
        </is>
      </c>
      <c r="H462" s="7" t="inlineStr">
        <is>
          <t>LIM</t>
        </is>
      </c>
      <c r="I462" s="7" t="inlineStr">
        <is>
          <t>15:55:00</t>
        </is>
      </c>
      <c r="J462" s="7" t="inlineStr">
        <is>
          <t>19:40:00</t>
        </is>
      </c>
      <c r="K462" s="7" t="inlineStr">
        <is>
          <t>NO</t>
        </is>
      </c>
      <c r="L462" s="7" t="n">
        <v>788</v>
      </c>
      <c r="M462" s="7" t="inlineStr">
        <is>
          <t>03:45:00</t>
        </is>
      </c>
      <c r="N462" s="7" t="n">
        <v>1</v>
      </c>
      <c r="O462">
        <f>IF(O460="","",O460)</f>
        <v/>
      </c>
      <c r="Q462">
        <f>IF(Q459="","",Q459)</f>
        <v/>
      </c>
    </row>
    <row r="463">
      <c r="Q463">
        <f>"- "&amp;G462&amp;"-"&amp;H462</f>
        <v/>
      </c>
    </row>
    <row r="464">
      <c r="Q464">
        <f>"- LA "&amp;F462&amp;" ("&amp;LEFT(I462,5)&amp;"-"&amp;LEFT(J462,5)&amp;" hrs)"</f>
        <v/>
      </c>
    </row>
    <row r="466">
      <c r="Q466" s="3" t="n"/>
    </row>
    <row r="467">
      <c r="B467" s="4" t="inlineStr">
        <is>
          <t>Pairing ID</t>
        </is>
      </c>
      <c r="C467" s="4" t="inlineStr">
        <is>
          <t>FECHA REAL</t>
        </is>
      </c>
      <c r="D467" s="5" t="inlineStr">
        <is>
          <t>MES</t>
        </is>
      </c>
      <c r="E467" s="4" t="inlineStr">
        <is>
          <t>Day of Week</t>
        </is>
      </c>
      <c r="F467" s="4" t="inlineStr">
        <is>
          <t>Flight No</t>
        </is>
      </c>
      <c r="G467" s="4" t="inlineStr">
        <is>
          <t>Dep Stn</t>
        </is>
      </c>
      <c r="H467" s="4" t="inlineStr">
        <is>
          <t>Arr Stn</t>
        </is>
      </c>
      <c r="I467" s="4" t="inlineStr">
        <is>
          <t>STD</t>
        </is>
      </c>
      <c r="J467" s="4" t="inlineStr">
        <is>
          <t>STA</t>
        </is>
      </c>
      <c r="K467" s="4" t="inlineStr">
        <is>
          <t>DAY</t>
        </is>
      </c>
      <c r="L467" s="4" t="inlineStr">
        <is>
          <t>AC Type</t>
        </is>
      </c>
      <c r="M467" s="4" t="inlineStr">
        <is>
          <t>HBT</t>
        </is>
      </c>
      <c r="N467" s="6" t="inlineStr">
        <is>
          <t>DIA_DUTY</t>
        </is>
      </c>
      <c r="O467" s="3" t="n"/>
      <c r="Q467">
        <f>"- "&amp;G468&amp;"-"&amp;H468</f>
        <v/>
      </c>
      <c r="R467" s="7">
        <f>B468</f>
        <v/>
      </c>
      <c r="S467" s="7">
        <f>C468</f>
        <v/>
      </c>
      <c r="T467" s="7">
        <f>E468</f>
        <v/>
      </c>
      <c r="U467" s="7">
        <f>F468&amp;"/"&amp;F469</f>
        <v/>
      </c>
      <c r="V467" s="7">
        <f>G468&amp;"-"&amp;H468&amp;"-"&amp;G468</f>
        <v/>
      </c>
      <c r="W467" s="7">
        <f>IF(O467="","",O467)</f>
        <v/>
      </c>
      <c r="X467" s="7">
        <f>IF(Q466="","",Q466)</f>
        <v/>
      </c>
      <c r="Y467" s="7">
        <f>C468</f>
        <v/>
      </c>
      <c r="Z467" s="7">
        <f>C469</f>
        <v/>
      </c>
    </row>
    <row r="468">
      <c r="B468" s="7" t="n">
        <v>32</v>
      </c>
      <c r="C468" s="7" t="inlineStr">
        <is>
          <t>15/10/2026</t>
        </is>
      </c>
      <c r="D468" s="7" t="inlineStr">
        <is>
          <t>Oct-2026</t>
        </is>
      </c>
      <c r="E468" s="7" t="inlineStr">
        <is>
          <t>jueves</t>
        </is>
      </c>
      <c r="F468" s="7" t="n">
        <v>2697</v>
      </c>
      <c r="G468" s="7" t="inlineStr">
        <is>
          <t>LIM</t>
        </is>
      </c>
      <c r="H468" s="7" t="inlineStr">
        <is>
          <t>SCL</t>
        </is>
      </c>
      <c r="I468" s="7" t="inlineStr">
        <is>
          <t>09:35:00</t>
        </is>
      </c>
      <c r="J468" s="7" t="inlineStr">
        <is>
          <t>13:00:00</t>
        </is>
      </c>
      <c r="K468" s="7" t="inlineStr">
        <is>
          <t>NO</t>
        </is>
      </c>
      <c r="L468" s="7" t="n">
        <v>789</v>
      </c>
      <c r="M468" s="7" t="inlineStr">
        <is>
          <t>03:25:00</t>
        </is>
      </c>
      <c r="N468" s="7" t="n">
        <v>1</v>
      </c>
      <c r="Q468">
        <f>"- LA "&amp;F468&amp;" ("&amp;LEFT(I468,5)&amp;"-"&amp;LEFT(J468,5)&amp;" hrs)"</f>
        <v/>
      </c>
    </row>
    <row r="469">
      <c r="B469" s="7" t="n">
        <v>32</v>
      </c>
      <c r="C469" s="7" t="inlineStr">
        <is>
          <t>15/10/2026</t>
        </is>
      </c>
      <c r="D469" s="7" t="inlineStr">
        <is>
          <t>Oct-2026</t>
        </is>
      </c>
      <c r="E469" s="7" t="inlineStr">
        <is>
          <t>jueves</t>
        </is>
      </c>
      <c r="F469" s="7" t="n">
        <v>2696</v>
      </c>
      <c r="G469" s="7" t="inlineStr">
        <is>
          <t>SCL</t>
        </is>
      </c>
      <c r="H469" s="7" t="inlineStr">
        <is>
          <t>LIM</t>
        </is>
      </c>
      <c r="I469" s="7" t="inlineStr">
        <is>
          <t>15:55:00</t>
        </is>
      </c>
      <c r="J469" s="7" t="inlineStr">
        <is>
          <t>19:40:00</t>
        </is>
      </c>
      <c r="K469" s="7" t="inlineStr">
        <is>
          <t>NO</t>
        </is>
      </c>
      <c r="L469" s="7" t="n">
        <v>789</v>
      </c>
      <c r="M469" s="7" t="inlineStr">
        <is>
          <t>03:45:00</t>
        </is>
      </c>
      <c r="N469" s="7" t="n">
        <v>1</v>
      </c>
      <c r="O469">
        <f>IF(O467="","",O467)</f>
        <v/>
      </c>
      <c r="Q469">
        <f>IF(Q466="","",Q466)</f>
        <v/>
      </c>
    </row>
    <row r="470">
      <c r="Q470">
        <f>"- "&amp;G469&amp;"-"&amp;H469</f>
        <v/>
      </c>
    </row>
    <row r="471">
      <c r="Q471">
        <f>"- LA "&amp;F469&amp;" ("&amp;LEFT(I469,5)&amp;"-"&amp;LEFT(J469,5)&amp;" hrs)"</f>
        <v/>
      </c>
    </row>
    <row r="473">
      <c r="Q473" s="3" t="n"/>
    </row>
    <row r="474">
      <c r="B474" s="4" t="inlineStr">
        <is>
          <t>Pairing ID</t>
        </is>
      </c>
      <c r="C474" s="4" t="inlineStr">
        <is>
          <t>FECHA REAL</t>
        </is>
      </c>
      <c r="D474" s="5" t="inlineStr">
        <is>
          <t>MES</t>
        </is>
      </c>
      <c r="E474" s="4" t="inlineStr">
        <is>
          <t>Day of Week</t>
        </is>
      </c>
      <c r="F474" s="4" t="inlineStr">
        <is>
          <t>Flight No</t>
        </is>
      </c>
      <c r="G474" s="4" t="inlineStr">
        <is>
          <t>Dep Stn</t>
        </is>
      </c>
      <c r="H474" s="4" t="inlineStr">
        <is>
          <t>Arr Stn</t>
        </is>
      </c>
      <c r="I474" s="4" t="inlineStr">
        <is>
          <t>STD</t>
        </is>
      </c>
      <c r="J474" s="4" t="inlineStr">
        <is>
          <t>STA</t>
        </is>
      </c>
      <c r="K474" s="4" t="inlineStr">
        <is>
          <t>DAY</t>
        </is>
      </c>
      <c r="L474" s="4" t="inlineStr">
        <is>
          <t>AC Type</t>
        </is>
      </c>
      <c r="M474" s="4" t="inlineStr">
        <is>
          <t>HBT</t>
        </is>
      </c>
      <c r="N474" s="6" t="inlineStr">
        <is>
          <t>DIA_DUTY</t>
        </is>
      </c>
      <c r="O474" s="3" t="n"/>
      <c r="Q474">
        <f>"- "&amp;G475&amp;"-"&amp;H475</f>
        <v/>
      </c>
      <c r="R474" s="7">
        <f>B475</f>
        <v/>
      </c>
      <c r="S474" s="7">
        <f>C475</f>
        <v/>
      </c>
      <c r="T474" s="7">
        <f>E475</f>
        <v/>
      </c>
      <c r="U474" s="7">
        <f>F475&amp;"/"&amp;F476</f>
        <v/>
      </c>
      <c r="V474" s="7">
        <f>G475&amp;"-"&amp;H475&amp;"-"&amp;G475</f>
        <v/>
      </c>
      <c r="W474" s="7">
        <f>IF(O474="","",O474)</f>
        <v/>
      </c>
      <c r="X474" s="7">
        <f>IF(Q473="","",Q473)</f>
        <v/>
      </c>
      <c r="Y474" s="7">
        <f>C475</f>
        <v/>
      </c>
      <c r="Z474" s="7">
        <f>C476</f>
        <v/>
      </c>
    </row>
    <row r="475">
      <c r="B475" s="7" t="n">
        <v>33</v>
      </c>
      <c r="C475" s="7" t="inlineStr">
        <is>
          <t>02/10/2026</t>
        </is>
      </c>
      <c r="D475" s="7" t="inlineStr">
        <is>
          <t>Oct-2026</t>
        </is>
      </c>
      <c r="E475" s="7" t="inlineStr">
        <is>
          <t>viernes</t>
        </is>
      </c>
      <c r="F475" s="7" t="n">
        <v>2697</v>
      </c>
      <c r="G475" s="7" t="inlineStr">
        <is>
          <t>LIM</t>
        </is>
      </c>
      <c r="H475" s="7" t="inlineStr">
        <is>
          <t>SCL</t>
        </is>
      </c>
      <c r="I475" s="7" t="inlineStr">
        <is>
          <t>09:35:00</t>
        </is>
      </c>
      <c r="J475" s="7" t="inlineStr">
        <is>
          <t>13:00:00</t>
        </is>
      </c>
      <c r="K475" s="7" t="inlineStr">
        <is>
          <t>NO</t>
        </is>
      </c>
      <c r="L475" s="7" t="n">
        <v>789</v>
      </c>
      <c r="M475" s="7" t="inlineStr">
        <is>
          <t>03:25:00</t>
        </is>
      </c>
      <c r="N475" s="7" t="n">
        <v>1</v>
      </c>
      <c r="Q475">
        <f>"- LA "&amp;F475&amp;" ("&amp;LEFT(I475,5)&amp;"-"&amp;LEFT(J475,5)&amp;" hrs)"</f>
        <v/>
      </c>
    </row>
    <row r="476">
      <c r="B476" s="7" t="n">
        <v>33</v>
      </c>
      <c r="C476" s="7" t="inlineStr">
        <is>
          <t>02/10/2026</t>
        </is>
      </c>
      <c r="D476" s="7" t="inlineStr">
        <is>
          <t>Oct-2026</t>
        </is>
      </c>
      <c r="E476" s="7" t="inlineStr">
        <is>
          <t>viernes</t>
        </is>
      </c>
      <c r="F476" s="7" t="n">
        <v>2696</v>
      </c>
      <c r="G476" s="7" t="inlineStr">
        <is>
          <t>SCL</t>
        </is>
      </c>
      <c r="H476" s="7" t="inlineStr">
        <is>
          <t>LIM</t>
        </is>
      </c>
      <c r="I476" s="7" t="inlineStr">
        <is>
          <t>15:55:00</t>
        </is>
      </c>
      <c r="J476" s="7" t="inlineStr">
        <is>
          <t>19:40:00</t>
        </is>
      </c>
      <c r="K476" s="7" t="inlineStr">
        <is>
          <t>NO</t>
        </is>
      </c>
      <c r="L476" s="7" t="n">
        <v>789</v>
      </c>
      <c r="M476" s="7" t="inlineStr">
        <is>
          <t>03:45:00</t>
        </is>
      </c>
      <c r="N476" s="7" t="n">
        <v>1</v>
      </c>
      <c r="O476">
        <f>IF(O474="","",O474)</f>
        <v/>
      </c>
      <c r="Q476">
        <f>IF(Q473="","",Q473)</f>
        <v/>
      </c>
    </row>
    <row r="477">
      <c r="Q477">
        <f>"- "&amp;G476&amp;"-"&amp;H476</f>
        <v/>
      </c>
    </row>
    <row r="478">
      <c r="Q478">
        <f>"- LA "&amp;F476&amp;" ("&amp;LEFT(I476,5)&amp;"-"&amp;LEFT(J476,5)&amp;" hrs)"</f>
        <v/>
      </c>
    </row>
    <row r="480">
      <c r="Q480" s="3" t="n"/>
    </row>
    <row r="481">
      <c r="B481" s="4" t="inlineStr">
        <is>
          <t>Pairing ID</t>
        </is>
      </c>
      <c r="C481" s="4" t="inlineStr">
        <is>
          <t>FECHA REAL</t>
        </is>
      </c>
      <c r="D481" s="5" t="inlineStr">
        <is>
          <t>MES</t>
        </is>
      </c>
      <c r="E481" s="4" t="inlineStr">
        <is>
          <t>Day of Week</t>
        </is>
      </c>
      <c r="F481" s="4" t="inlineStr">
        <is>
          <t>Flight No</t>
        </is>
      </c>
      <c r="G481" s="4" t="inlineStr">
        <is>
          <t>Dep Stn</t>
        </is>
      </c>
      <c r="H481" s="4" t="inlineStr">
        <is>
          <t>Arr Stn</t>
        </is>
      </c>
      <c r="I481" s="4" t="inlineStr">
        <is>
          <t>STD</t>
        </is>
      </c>
      <c r="J481" s="4" t="inlineStr">
        <is>
          <t>STA</t>
        </is>
      </c>
      <c r="K481" s="4" t="inlineStr">
        <is>
          <t>DAY</t>
        </is>
      </c>
      <c r="L481" s="4" t="inlineStr">
        <is>
          <t>AC Type</t>
        </is>
      </c>
      <c r="M481" s="4" t="inlineStr">
        <is>
          <t>HBT</t>
        </is>
      </c>
      <c r="N481" s="6" t="inlineStr">
        <is>
          <t>DIA_DUTY</t>
        </is>
      </c>
      <c r="O481" s="3" t="n"/>
      <c r="Q481">
        <f>"- "&amp;G482&amp;"-"&amp;H482</f>
        <v/>
      </c>
      <c r="R481" s="7">
        <f>B482</f>
        <v/>
      </c>
      <c r="S481" s="7">
        <f>C482</f>
        <v/>
      </c>
      <c r="T481" s="7">
        <f>E482</f>
        <v/>
      </c>
      <c r="U481" s="7">
        <f>F482&amp;"/"&amp;F483</f>
        <v/>
      </c>
      <c r="V481" s="7">
        <f>G482&amp;"-"&amp;H482&amp;"-"&amp;G482</f>
        <v/>
      </c>
      <c r="W481" s="7">
        <f>IF(O481="","",O481)</f>
        <v/>
      </c>
      <c r="X481" s="7">
        <f>IF(Q480="","",Q480)</f>
        <v/>
      </c>
      <c r="Y481" s="7">
        <f>C482</f>
        <v/>
      </c>
      <c r="Z481" s="7">
        <f>C483</f>
        <v/>
      </c>
    </row>
    <row r="482">
      <c r="B482" s="7" t="n">
        <v>34</v>
      </c>
      <c r="C482" s="7" t="inlineStr">
        <is>
          <t>16/10/2026</t>
        </is>
      </c>
      <c r="D482" s="7" t="inlineStr">
        <is>
          <t>Oct-2026</t>
        </is>
      </c>
      <c r="E482" s="7" t="inlineStr">
        <is>
          <t>viernes</t>
        </is>
      </c>
      <c r="F482" s="7" t="n">
        <v>2697</v>
      </c>
      <c r="G482" s="7" t="inlineStr">
        <is>
          <t>LIM</t>
        </is>
      </c>
      <c r="H482" s="7" t="inlineStr">
        <is>
          <t>SCL</t>
        </is>
      </c>
      <c r="I482" s="7" t="inlineStr">
        <is>
          <t>09:35:00</t>
        </is>
      </c>
      <c r="J482" s="7" t="inlineStr">
        <is>
          <t>13:00:00</t>
        </is>
      </c>
      <c r="K482" s="7" t="inlineStr">
        <is>
          <t>NO</t>
        </is>
      </c>
      <c r="L482" s="7" t="n">
        <v>788</v>
      </c>
      <c r="M482" s="7" t="inlineStr">
        <is>
          <t>03:25:00</t>
        </is>
      </c>
      <c r="N482" s="7" t="n">
        <v>1</v>
      </c>
      <c r="Q482">
        <f>"- LA "&amp;F482&amp;" ("&amp;LEFT(I482,5)&amp;"-"&amp;LEFT(J482,5)&amp;" hrs)"</f>
        <v/>
      </c>
    </row>
    <row r="483">
      <c r="B483" s="7" t="n">
        <v>34</v>
      </c>
      <c r="C483" s="7" t="inlineStr">
        <is>
          <t>16/10/2026</t>
        </is>
      </c>
      <c r="D483" s="7" t="inlineStr">
        <is>
          <t>Oct-2026</t>
        </is>
      </c>
      <c r="E483" s="7" t="inlineStr">
        <is>
          <t>viernes</t>
        </is>
      </c>
      <c r="F483" s="7" t="n">
        <v>2696</v>
      </c>
      <c r="G483" s="7" t="inlineStr">
        <is>
          <t>SCL</t>
        </is>
      </c>
      <c r="H483" s="7" t="inlineStr">
        <is>
          <t>LIM</t>
        </is>
      </c>
      <c r="I483" s="7" t="inlineStr">
        <is>
          <t>15:55:00</t>
        </is>
      </c>
      <c r="J483" s="7" t="inlineStr">
        <is>
          <t>19:40:00</t>
        </is>
      </c>
      <c r="K483" s="7" t="inlineStr">
        <is>
          <t>NO</t>
        </is>
      </c>
      <c r="L483" s="7" t="n">
        <v>789</v>
      </c>
      <c r="M483" s="7" t="inlineStr">
        <is>
          <t>03:45:00</t>
        </is>
      </c>
      <c r="N483" s="7" t="n">
        <v>1</v>
      </c>
      <c r="O483">
        <f>IF(O481="","",O481)</f>
        <v/>
      </c>
      <c r="Q483">
        <f>IF(Q480="","",Q480)</f>
        <v/>
      </c>
    </row>
    <row r="484">
      <c r="Q484">
        <f>"- "&amp;G483&amp;"-"&amp;H483</f>
        <v/>
      </c>
    </row>
    <row r="485">
      <c r="Q485">
        <f>"- LA "&amp;F483&amp;" ("&amp;LEFT(I483,5)&amp;"-"&amp;LEFT(J483,5)&amp;" hrs)"</f>
        <v/>
      </c>
    </row>
    <row r="487">
      <c r="Q487" s="3" t="n"/>
    </row>
    <row r="488">
      <c r="B488" s="4" t="inlineStr">
        <is>
          <t>Pairing ID</t>
        </is>
      </c>
      <c r="C488" s="4" t="inlineStr">
        <is>
          <t>FECHA REAL</t>
        </is>
      </c>
      <c r="D488" s="5" t="inlineStr">
        <is>
          <t>MES</t>
        </is>
      </c>
      <c r="E488" s="4" t="inlineStr">
        <is>
          <t>Day of Week</t>
        </is>
      </c>
      <c r="F488" s="4" t="inlineStr">
        <is>
          <t>Flight No</t>
        </is>
      </c>
      <c r="G488" s="4" t="inlineStr">
        <is>
          <t>Dep Stn</t>
        </is>
      </c>
      <c r="H488" s="4" t="inlineStr">
        <is>
          <t>Arr Stn</t>
        </is>
      </c>
      <c r="I488" s="4" t="inlineStr">
        <is>
          <t>STD</t>
        </is>
      </c>
      <c r="J488" s="4" t="inlineStr">
        <is>
          <t>STA</t>
        </is>
      </c>
      <c r="K488" s="4" t="inlineStr">
        <is>
          <t>DAY</t>
        </is>
      </c>
      <c r="L488" s="4" t="inlineStr">
        <is>
          <t>AC Type</t>
        </is>
      </c>
      <c r="M488" s="4" t="inlineStr">
        <is>
          <t>HBT</t>
        </is>
      </c>
      <c r="N488" s="6" t="inlineStr">
        <is>
          <t>DIA_DUTY</t>
        </is>
      </c>
      <c r="O488" s="3" t="n"/>
      <c r="Q488">
        <f>"- "&amp;G489&amp;"-"&amp;H489</f>
        <v/>
      </c>
      <c r="R488" s="7">
        <f>B489</f>
        <v/>
      </c>
      <c r="S488" s="7">
        <f>C489</f>
        <v/>
      </c>
      <c r="T488" s="7">
        <f>E489</f>
        <v/>
      </c>
      <c r="U488" s="7">
        <f>F489&amp;"/"&amp;F490</f>
        <v/>
      </c>
      <c r="V488" s="7">
        <f>G489&amp;"-"&amp;H489&amp;"-"&amp;G489</f>
        <v/>
      </c>
      <c r="W488" s="7">
        <f>IF(O488="","",O488)</f>
        <v/>
      </c>
      <c r="X488" s="7">
        <f>IF(Q487="","",Q487)</f>
        <v/>
      </c>
      <c r="Y488" s="7">
        <f>C489</f>
        <v/>
      </c>
      <c r="Z488" s="7">
        <f>C490</f>
        <v/>
      </c>
    </row>
    <row r="489">
      <c r="B489" s="7" t="n">
        <v>35</v>
      </c>
      <c r="C489" s="7" t="inlineStr">
        <is>
          <t>02/10/2026</t>
        </is>
      </c>
      <c r="D489" s="7" t="inlineStr">
        <is>
          <t>Oct-2026</t>
        </is>
      </c>
      <c r="E489" s="7" t="inlineStr">
        <is>
          <t>viernes</t>
        </is>
      </c>
      <c r="F489" s="7" t="n">
        <v>2413</v>
      </c>
      <c r="G489" s="7" t="inlineStr">
        <is>
          <t>LIM</t>
        </is>
      </c>
      <c r="H489" s="7" t="inlineStr">
        <is>
          <t>SCL</t>
        </is>
      </c>
      <c r="I489" s="7" t="inlineStr">
        <is>
          <t>12:05:00</t>
        </is>
      </c>
      <c r="J489" s="7" t="inlineStr">
        <is>
          <t>15:45:00</t>
        </is>
      </c>
      <c r="K489" s="7" t="inlineStr">
        <is>
          <t>NO</t>
        </is>
      </c>
      <c r="L489" s="7" t="n">
        <v>763</v>
      </c>
      <c r="M489" s="7" t="inlineStr">
        <is>
          <t>03:40:00</t>
        </is>
      </c>
      <c r="N489" s="7" t="n">
        <v>1</v>
      </c>
      <c r="Q489">
        <f>"- LA "&amp;F489&amp;" ("&amp;LEFT(I489,5)&amp;"-"&amp;LEFT(J489,5)&amp;" hrs)"</f>
        <v/>
      </c>
    </row>
    <row r="490">
      <c r="B490" s="7" t="n">
        <v>35</v>
      </c>
      <c r="C490" s="7" t="inlineStr">
        <is>
          <t>02/10/2026</t>
        </is>
      </c>
      <c r="D490" s="7" t="inlineStr">
        <is>
          <t>Oct-2026</t>
        </is>
      </c>
      <c r="E490" s="7" t="inlineStr">
        <is>
          <t>viernes</t>
        </is>
      </c>
      <c r="F490" s="7" t="n">
        <v>2412</v>
      </c>
      <c r="G490" s="7" t="inlineStr">
        <is>
          <t>SCL</t>
        </is>
      </c>
      <c r="H490" s="7" t="inlineStr">
        <is>
          <t>LIM</t>
        </is>
      </c>
      <c r="I490" s="7" t="inlineStr">
        <is>
          <t>17:10:00</t>
        </is>
      </c>
      <c r="J490" s="7" t="inlineStr">
        <is>
          <t>21:00:00</t>
        </is>
      </c>
      <c r="K490" s="7" t="inlineStr">
        <is>
          <t>NO</t>
        </is>
      </c>
      <c r="L490" s="7" t="n">
        <v>763</v>
      </c>
      <c r="M490" s="7" t="inlineStr">
        <is>
          <t>03:50:00</t>
        </is>
      </c>
      <c r="N490" s="7" t="n">
        <v>1</v>
      </c>
      <c r="O490">
        <f>IF(O488="","",O488)</f>
        <v/>
      </c>
      <c r="Q490">
        <f>IF(Q487="","",Q487)</f>
        <v/>
      </c>
    </row>
    <row r="491">
      <c r="Q491">
        <f>"- "&amp;G490&amp;"-"&amp;H490</f>
        <v/>
      </c>
    </row>
    <row r="492">
      <c r="Q492">
        <f>"- LA "&amp;F490&amp;" ("&amp;LEFT(I490,5)&amp;"-"&amp;LEFT(J490,5)&amp;" hrs)"</f>
        <v/>
      </c>
    </row>
    <row r="494">
      <c r="Q494" s="3" t="n"/>
    </row>
    <row r="495">
      <c r="B495" s="4" t="inlineStr">
        <is>
          <t>Pairing ID</t>
        </is>
      </c>
      <c r="C495" s="4" t="inlineStr">
        <is>
          <t>FECHA REAL</t>
        </is>
      </c>
      <c r="D495" s="5" t="inlineStr">
        <is>
          <t>MES</t>
        </is>
      </c>
      <c r="E495" s="4" t="inlineStr">
        <is>
          <t>Day of Week</t>
        </is>
      </c>
      <c r="F495" s="4" t="inlineStr">
        <is>
          <t>Flight No</t>
        </is>
      </c>
      <c r="G495" s="4" t="inlineStr">
        <is>
          <t>Dep Stn</t>
        </is>
      </c>
      <c r="H495" s="4" t="inlineStr">
        <is>
          <t>Arr Stn</t>
        </is>
      </c>
      <c r="I495" s="4" t="inlineStr">
        <is>
          <t>STD</t>
        </is>
      </c>
      <c r="J495" s="4" t="inlineStr">
        <is>
          <t>STA</t>
        </is>
      </c>
      <c r="K495" s="4" t="inlineStr">
        <is>
          <t>DAY</t>
        </is>
      </c>
      <c r="L495" s="4" t="inlineStr">
        <is>
          <t>AC Type</t>
        </is>
      </c>
      <c r="M495" s="4" t="inlineStr">
        <is>
          <t>HBT</t>
        </is>
      </c>
      <c r="N495" s="6" t="inlineStr">
        <is>
          <t>DIA_DUTY</t>
        </is>
      </c>
      <c r="O495" s="3" t="n"/>
      <c r="Q495">
        <f>"- "&amp;G496&amp;"-"&amp;H496</f>
        <v/>
      </c>
      <c r="R495" s="7">
        <f>B496</f>
        <v/>
      </c>
      <c r="S495" s="7">
        <f>C496</f>
        <v/>
      </c>
      <c r="T495" s="7">
        <f>E496</f>
        <v/>
      </c>
      <c r="U495" s="7">
        <f>F496&amp;"/"&amp;F497</f>
        <v/>
      </c>
      <c r="V495" s="7">
        <f>G496&amp;"-"&amp;H496&amp;"-"&amp;G496</f>
        <v/>
      </c>
      <c r="W495" s="7">
        <f>IF(O495="","",O495)</f>
        <v/>
      </c>
      <c r="X495" s="7">
        <f>IF(Q494="","",Q494)</f>
        <v/>
      </c>
      <c r="Y495" s="7">
        <f>C496</f>
        <v/>
      </c>
      <c r="Z495" s="7">
        <f>C497</f>
        <v/>
      </c>
    </row>
    <row r="496">
      <c r="B496" s="7" t="n">
        <v>40</v>
      </c>
      <c r="C496" s="7" t="inlineStr">
        <is>
          <t>19/10/2026</t>
        </is>
      </c>
      <c r="D496" s="7" t="inlineStr">
        <is>
          <t>Oct-2026</t>
        </is>
      </c>
      <c r="E496" s="7" t="inlineStr">
        <is>
          <t>lunes</t>
        </is>
      </c>
      <c r="F496" s="7" t="n">
        <v>2697</v>
      </c>
      <c r="G496" s="7" t="inlineStr">
        <is>
          <t>LIM</t>
        </is>
      </c>
      <c r="H496" s="7" t="inlineStr">
        <is>
          <t>SCL</t>
        </is>
      </c>
      <c r="I496" s="7" t="inlineStr">
        <is>
          <t>09:35:00</t>
        </is>
      </c>
      <c r="J496" s="7" t="inlineStr">
        <is>
          <t>13:00:00</t>
        </is>
      </c>
      <c r="K496" s="7" t="inlineStr">
        <is>
          <t>NO</t>
        </is>
      </c>
      <c r="L496" s="7" t="n">
        <v>789</v>
      </c>
      <c r="M496" s="7" t="inlineStr">
        <is>
          <t>03:25:00</t>
        </is>
      </c>
      <c r="N496" s="7" t="n">
        <v>1</v>
      </c>
      <c r="Q496">
        <f>"- LA "&amp;F496&amp;" ("&amp;LEFT(I496,5)&amp;"-"&amp;LEFT(J496,5)&amp;" hrs)"</f>
        <v/>
      </c>
    </row>
    <row r="497">
      <c r="B497" s="7" t="n">
        <v>40</v>
      </c>
      <c r="C497" s="7" t="inlineStr">
        <is>
          <t>19/10/2026</t>
        </is>
      </c>
      <c r="D497" s="7" t="inlineStr">
        <is>
          <t>Oct-2026</t>
        </is>
      </c>
      <c r="E497" s="7" t="inlineStr">
        <is>
          <t>lunes</t>
        </is>
      </c>
      <c r="F497" s="7" t="n">
        <v>2696</v>
      </c>
      <c r="G497" s="7" t="inlineStr">
        <is>
          <t>SCL</t>
        </is>
      </c>
      <c r="H497" s="7" t="inlineStr">
        <is>
          <t>LIM</t>
        </is>
      </c>
      <c r="I497" s="7" t="inlineStr">
        <is>
          <t>15:55:00</t>
        </is>
      </c>
      <c r="J497" s="7" t="inlineStr">
        <is>
          <t>19:40:00</t>
        </is>
      </c>
      <c r="K497" s="7" t="inlineStr">
        <is>
          <t>NO</t>
        </is>
      </c>
      <c r="L497" s="7" t="n">
        <v>789</v>
      </c>
      <c r="M497" s="7" t="inlineStr">
        <is>
          <t>03:45:00</t>
        </is>
      </c>
      <c r="N497" s="7" t="n">
        <v>1</v>
      </c>
      <c r="O497">
        <f>IF(O495="","",O495)</f>
        <v/>
      </c>
      <c r="Q497">
        <f>IF(Q494="","",Q494)</f>
        <v/>
      </c>
    </row>
    <row r="498">
      <c r="Q498">
        <f>"- "&amp;G497&amp;"-"&amp;H497</f>
        <v/>
      </c>
    </row>
    <row r="499">
      <c r="Q499">
        <f>"- LA "&amp;F497&amp;" ("&amp;LEFT(I497,5)&amp;"-"&amp;LEFT(J497,5)&amp;" hrs)"</f>
        <v/>
      </c>
    </row>
    <row r="501">
      <c r="Q501" s="3" t="n"/>
    </row>
    <row r="502">
      <c r="B502" s="4" t="inlineStr">
        <is>
          <t>Pairing ID</t>
        </is>
      </c>
      <c r="C502" s="4" t="inlineStr">
        <is>
          <t>FECHA REAL</t>
        </is>
      </c>
      <c r="D502" s="5" t="inlineStr">
        <is>
          <t>MES</t>
        </is>
      </c>
      <c r="E502" s="4" t="inlineStr">
        <is>
          <t>Day of Week</t>
        </is>
      </c>
      <c r="F502" s="4" t="inlineStr">
        <is>
          <t>Flight No</t>
        </is>
      </c>
      <c r="G502" s="4" t="inlineStr">
        <is>
          <t>Dep Stn</t>
        </is>
      </c>
      <c r="H502" s="4" t="inlineStr">
        <is>
          <t>Arr Stn</t>
        </is>
      </c>
      <c r="I502" s="4" t="inlineStr">
        <is>
          <t>STD</t>
        </is>
      </c>
      <c r="J502" s="4" t="inlineStr">
        <is>
          <t>STA</t>
        </is>
      </c>
      <c r="K502" s="4" t="inlineStr">
        <is>
          <t>DAY</t>
        </is>
      </c>
      <c r="L502" s="4" t="inlineStr">
        <is>
          <t>AC Type</t>
        </is>
      </c>
      <c r="M502" s="4" t="inlineStr">
        <is>
          <t>HBT</t>
        </is>
      </c>
      <c r="N502" s="6" t="inlineStr">
        <is>
          <t>DIA_DUTY</t>
        </is>
      </c>
      <c r="O502" s="3" t="n"/>
      <c r="Q502">
        <f>"- "&amp;G503&amp;"-"&amp;H503</f>
        <v/>
      </c>
      <c r="R502" s="7">
        <f>B503</f>
        <v/>
      </c>
      <c r="S502" s="7">
        <f>C503</f>
        <v/>
      </c>
      <c r="T502" s="7">
        <f>E503</f>
        <v/>
      </c>
      <c r="U502" s="7">
        <f>F503&amp;"/"&amp;F504</f>
        <v/>
      </c>
      <c r="V502" s="7">
        <f>G503&amp;"-"&amp;H503&amp;"-"&amp;G503</f>
        <v/>
      </c>
      <c r="W502" s="7">
        <f>IF(O502="","",O502)</f>
        <v/>
      </c>
      <c r="X502" s="7">
        <f>IF(Q501="","",Q501)</f>
        <v/>
      </c>
      <c r="Y502" s="7">
        <f>C503</f>
        <v/>
      </c>
      <c r="Z502" s="7">
        <f>C504</f>
        <v/>
      </c>
    </row>
    <row r="503">
      <c r="B503" s="7" t="n">
        <v>42</v>
      </c>
      <c r="C503" s="7" t="inlineStr">
        <is>
          <t>20/10/2026</t>
        </is>
      </c>
      <c r="D503" s="7" t="inlineStr">
        <is>
          <t>Oct-2026</t>
        </is>
      </c>
      <c r="E503" s="7" t="inlineStr">
        <is>
          <t>martes</t>
        </is>
      </c>
      <c r="F503" s="7" t="n">
        <v>2697</v>
      </c>
      <c r="G503" s="7" t="inlineStr">
        <is>
          <t>LIM</t>
        </is>
      </c>
      <c r="H503" s="7" t="inlineStr">
        <is>
          <t>SCL</t>
        </is>
      </c>
      <c r="I503" s="7" t="inlineStr">
        <is>
          <t>09:35:00</t>
        </is>
      </c>
      <c r="J503" s="7" t="inlineStr">
        <is>
          <t>13:00:00</t>
        </is>
      </c>
      <c r="K503" s="7" t="inlineStr">
        <is>
          <t>NO</t>
        </is>
      </c>
      <c r="L503" s="7" t="n">
        <v>789</v>
      </c>
      <c r="M503" s="7" t="inlineStr">
        <is>
          <t>03:25:00</t>
        </is>
      </c>
      <c r="N503" s="7" t="n">
        <v>1</v>
      </c>
      <c r="Q503">
        <f>"- LA "&amp;F503&amp;" ("&amp;LEFT(I503,5)&amp;"-"&amp;LEFT(J503,5)&amp;" hrs)"</f>
        <v/>
      </c>
    </row>
    <row r="504">
      <c r="B504" s="7" t="n">
        <v>42</v>
      </c>
      <c r="C504" s="7" t="inlineStr">
        <is>
          <t>20/10/2026</t>
        </is>
      </c>
      <c r="D504" s="7" t="inlineStr">
        <is>
          <t>Oct-2026</t>
        </is>
      </c>
      <c r="E504" s="7" t="inlineStr">
        <is>
          <t>martes</t>
        </is>
      </c>
      <c r="F504" s="7" t="n">
        <v>2696</v>
      </c>
      <c r="G504" s="7" t="inlineStr">
        <is>
          <t>SCL</t>
        </is>
      </c>
      <c r="H504" s="7" t="inlineStr">
        <is>
          <t>LIM</t>
        </is>
      </c>
      <c r="I504" s="7" t="inlineStr">
        <is>
          <t>15:55:00</t>
        </is>
      </c>
      <c r="J504" s="7" t="inlineStr">
        <is>
          <t>19:40:00</t>
        </is>
      </c>
      <c r="K504" s="7" t="inlineStr">
        <is>
          <t>NO</t>
        </is>
      </c>
      <c r="L504" s="7" t="n">
        <v>789</v>
      </c>
      <c r="M504" s="7" t="inlineStr">
        <is>
          <t>03:45:00</t>
        </is>
      </c>
      <c r="N504" s="7" t="n">
        <v>1</v>
      </c>
      <c r="O504">
        <f>IF(O502="","",O502)</f>
        <v/>
      </c>
      <c r="Q504">
        <f>IF(Q501="","",Q501)</f>
        <v/>
      </c>
    </row>
    <row r="505">
      <c r="Q505">
        <f>"- "&amp;G504&amp;"-"&amp;H504</f>
        <v/>
      </c>
    </row>
    <row r="506">
      <c r="Q506">
        <f>"- LA "&amp;F504&amp;" ("&amp;LEFT(I504,5)&amp;"-"&amp;LEFT(J504,5)&amp;" hrs)"</f>
        <v/>
      </c>
    </row>
    <row r="508">
      <c r="Q508" s="3" t="n"/>
    </row>
    <row r="509">
      <c r="B509" s="4" t="inlineStr">
        <is>
          <t>Pairing ID</t>
        </is>
      </c>
      <c r="C509" s="4" t="inlineStr">
        <is>
          <t>FECHA REAL</t>
        </is>
      </c>
      <c r="D509" s="5" t="inlineStr">
        <is>
          <t>MES</t>
        </is>
      </c>
      <c r="E509" s="4" t="inlineStr">
        <is>
          <t>Day of Week</t>
        </is>
      </c>
      <c r="F509" s="4" t="inlineStr">
        <is>
          <t>Flight No</t>
        </is>
      </c>
      <c r="G509" s="4" t="inlineStr">
        <is>
          <t>Dep Stn</t>
        </is>
      </c>
      <c r="H509" s="4" t="inlineStr">
        <is>
          <t>Arr Stn</t>
        </is>
      </c>
      <c r="I509" s="4" t="inlineStr">
        <is>
          <t>STD</t>
        </is>
      </c>
      <c r="J509" s="4" t="inlineStr">
        <is>
          <t>STA</t>
        </is>
      </c>
      <c r="K509" s="4" t="inlineStr">
        <is>
          <t>DAY</t>
        </is>
      </c>
      <c r="L509" s="4" t="inlineStr">
        <is>
          <t>AC Type</t>
        </is>
      </c>
      <c r="M509" s="4" t="inlineStr">
        <is>
          <t>HBT</t>
        </is>
      </c>
      <c r="N509" s="6" t="inlineStr">
        <is>
          <t>DIA_DUTY</t>
        </is>
      </c>
      <c r="O509" s="3" t="n"/>
      <c r="Q509">
        <f>"- "&amp;G510&amp;"-"&amp;H510</f>
        <v/>
      </c>
      <c r="R509" s="7">
        <f>B510</f>
        <v/>
      </c>
      <c r="S509" s="7">
        <f>C510</f>
        <v/>
      </c>
      <c r="T509" s="7">
        <f>E510</f>
        <v/>
      </c>
      <c r="U509" s="7">
        <f>F510&amp;"/"&amp;F511</f>
        <v/>
      </c>
      <c r="V509" s="7">
        <f>G510&amp;"-"&amp;H510&amp;"-"&amp;G510</f>
        <v/>
      </c>
      <c r="W509" s="7">
        <f>IF(O509="","",O509)</f>
        <v/>
      </c>
      <c r="X509" s="7">
        <f>IF(Q508="","",Q508)</f>
        <v/>
      </c>
      <c r="Y509" s="7">
        <f>C510</f>
        <v/>
      </c>
      <c r="Z509" s="7">
        <f>C511</f>
        <v/>
      </c>
    </row>
    <row r="510">
      <c r="B510" s="7" t="n">
        <v>44</v>
      </c>
      <c r="C510" s="7" t="inlineStr">
        <is>
          <t>21/10/2026</t>
        </is>
      </c>
      <c r="D510" s="7" t="inlineStr">
        <is>
          <t>Oct-2026</t>
        </is>
      </c>
      <c r="E510" s="7" t="inlineStr">
        <is>
          <t>miércoles</t>
        </is>
      </c>
      <c r="F510" s="7" t="n">
        <v>2697</v>
      </c>
      <c r="G510" s="7" t="inlineStr">
        <is>
          <t>LIM</t>
        </is>
      </c>
      <c r="H510" s="7" t="inlineStr">
        <is>
          <t>SCL</t>
        </is>
      </c>
      <c r="I510" s="7" t="inlineStr">
        <is>
          <t>09:35:00</t>
        </is>
      </c>
      <c r="J510" s="7" t="inlineStr">
        <is>
          <t>13:00:00</t>
        </is>
      </c>
      <c r="K510" s="7" t="inlineStr">
        <is>
          <t>NO</t>
        </is>
      </c>
      <c r="L510" s="7" t="n">
        <v>789</v>
      </c>
      <c r="M510" s="7" t="inlineStr">
        <is>
          <t>03:25:00</t>
        </is>
      </c>
      <c r="N510" s="7" t="n">
        <v>1</v>
      </c>
      <c r="Q510">
        <f>"- LA "&amp;F510&amp;" ("&amp;LEFT(I510,5)&amp;"-"&amp;LEFT(J510,5)&amp;" hrs)"</f>
        <v/>
      </c>
    </row>
    <row r="511">
      <c r="B511" s="7" t="n">
        <v>44</v>
      </c>
      <c r="C511" s="7" t="inlineStr">
        <is>
          <t>21/10/2026</t>
        </is>
      </c>
      <c r="D511" s="7" t="inlineStr">
        <is>
          <t>Oct-2026</t>
        </is>
      </c>
      <c r="E511" s="7" t="inlineStr">
        <is>
          <t>miércoles</t>
        </is>
      </c>
      <c r="F511" s="7" t="n">
        <v>2696</v>
      </c>
      <c r="G511" s="7" t="inlineStr">
        <is>
          <t>SCL</t>
        </is>
      </c>
      <c r="H511" s="7" t="inlineStr">
        <is>
          <t>LIM</t>
        </is>
      </c>
      <c r="I511" s="7" t="inlineStr">
        <is>
          <t>15:55:00</t>
        </is>
      </c>
      <c r="J511" s="7" t="inlineStr">
        <is>
          <t>19:40:00</t>
        </is>
      </c>
      <c r="K511" s="7" t="inlineStr">
        <is>
          <t>NO</t>
        </is>
      </c>
      <c r="L511" s="7" t="n">
        <v>789</v>
      </c>
      <c r="M511" s="7" t="inlineStr">
        <is>
          <t>03:45:00</t>
        </is>
      </c>
      <c r="N511" s="7" t="n">
        <v>1</v>
      </c>
      <c r="O511">
        <f>IF(O509="","",O509)</f>
        <v/>
      </c>
      <c r="Q511">
        <f>IF(Q508="","",Q508)</f>
        <v/>
      </c>
    </row>
    <row r="512">
      <c r="Q512">
        <f>"- "&amp;G511&amp;"-"&amp;H511</f>
        <v/>
      </c>
    </row>
    <row r="513">
      <c r="Q513">
        <f>"- LA "&amp;F511&amp;" ("&amp;LEFT(I511,5)&amp;"-"&amp;LEFT(J511,5)&amp;" hrs)"</f>
        <v/>
      </c>
    </row>
    <row r="515">
      <c r="Q515" s="3" t="n"/>
    </row>
    <row r="516">
      <c r="B516" s="4" t="inlineStr">
        <is>
          <t>Pairing ID</t>
        </is>
      </c>
      <c r="C516" s="4" t="inlineStr">
        <is>
          <t>FECHA REAL</t>
        </is>
      </c>
      <c r="D516" s="5" t="inlineStr">
        <is>
          <t>MES</t>
        </is>
      </c>
      <c r="E516" s="4" t="inlineStr">
        <is>
          <t>Day of Week</t>
        </is>
      </c>
      <c r="F516" s="4" t="inlineStr">
        <is>
          <t>Flight No</t>
        </is>
      </c>
      <c r="G516" s="4" t="inlineStr">
        <is>
          <t>Dep Stn</t>
        </is>
      </c>
      <c r="H516" s="4" t="inlineStr">
        <is>
          <t>Arr Stn</t>
        </is>
      </c>
      <c r="I516" s="4" t="inlineStr">
        <is>
          <t>STD</t>
        </is>
      </c>
      <c r="J516" s="4" t="inlineStr">
        <is>
          <t>STA</t>
        </is>
      </c>
      <c r="K516" s="4" t="inlineStr">
        <is>
          <t>DAY</t>
        </is>
      </c>
      <c r="L516" s="4" t="inlineStr">
        <is>
          <t>AC Type</t>
        </is>
      </c>
      <c r="M516" s="4" t="inlineStr">
        <is>
          <t>HBT</t>
        </is>
      </c>
      <c r="N516" s="6" t="inlineStr">
        <is>
          <t>DIA_DUTY</t>
        </is>
      </c>
      <c r="O516" s="3" t="n"/>
      <c r="Q516">
        <f>"- "&amp;G517&amp;"-"&amp;H517</f>
        <v/>
      </c>
      <c r="R516" s="7">
        <f>B517</f>
        <v/>
      </c>
      <c r="S516" s="7">
        <f>C517</f>
        <v/>
      </c>
      <c r="T516" s="7">
        <f>E517</f>
        <v/>
      </c>
      <c r="U516" s="7">
        <f>F517&amp;"/"&amp;F518</f>
        <v/>
      </c>
      <c r="V516" s="7">
        <f>G517&amp;"-"&amp;H517&amp;"-"&amp;G517</f>
        <v/>
      </c>
      <c r="W516" s="7">
        <f>IF(O516="","",O516)</f>
        <v/>
      </c>
      <c r="X516" s="7">
        <f>IF(Q515="","",Q515)</f>
        <v/>
      </c>
      <c r="Y516" s="7">
        <f>C517</f>
        <v/>
      </c>
      <c r="Z516" s="7">
        <f>C518</f>
        <v/>
      </c>
    </row>
    <row r="517">
      <c r="B517" s="7" t="n">
        <v>46</v>
      </c>
      <c r="C517" s="7" t="inlineStr">
        <is>
          <t>22/10/2026</t>
        </is>
      </c>
      <c r="D517" s="7" t="inlineStr">
        <is>
          <t>Oct-2026</t>
        </is>
      </c>
      <c r="E517" s="7" t="inlineStr">
        <is>
          <t>jueves</t>
        </is>
      </c>
      <c r="F517" s="7" t="n">
        <v>2697</v>
      </c>
      <c r="G517" s="7" t="inlineStr">
        <is>
          <t>LIM</t>
        </is>
      </c>
      <c r="H517" s="7" t="inlineStr">
        <is>
          <t>SCL</t>
        </is>
      </c>
      <c r="I517" s="7" t="inlineStr">
        <is>
          <t>09:35:00</t>
        </is>
      </c>
      <c r="J517" s="7" t="inlineStr">
        <is>
          <t>13:00:00</t>
        </is>
      </c>
      <c r="K517" s="7" t="inlineStr">
        <is>
          <t>NO</t>
        </is>
      </c>
      <c r="L517" s="7" t="n">
        <v>789</v>
      </c>
      <c r="M517" s="7" t="inlineStr">
        <is>
          <t>03:25:00</t>
        </is>
      </c>
      <c r="N517" s="7" t="n">
        <v>1</v>
      </c>
      <c r="Q517">
        <f>"- LA "&amp;F517&amp;" ("&amp;LEFT(I517,5)&amp;"-"&amp;LEFT(J517,5)&amp;" hrs)"</f>
        <v/>
      </c>
    </row>
    <row r="518">
      <c r="B518" s="7" t="n">
        <v>46</v>
      </c>
      <c r="C518" s="7" t="inlineStr">
        <is>
          <t>22/10/2026</t>
        </is>
      </c>
      <c r="D518" s="7" t="inlineStr">
        <is>
          <t>Oct-2026</t>
        </is>
      </c>
      <c r="E518" s="7" t="inlineStr">
        <is>
          <t>jueves</t>
        </is>
      </c>
      <c r="F518" s="7" t="n">
        <v>2696</v>
      </c>
      <c r="G518" s="7" t="inlineStr">
        <is>
          <t>SCL</t>
        </is>
      </c>
      <c r="H518" s="7" t="inlineStr">
        <is>
          <t>LIM</t>
        </is>
      </c>
      <c r="I518" s="7" t="inlineStr">
        <is>
          <t>15:55:00</t>
        </is>
      </c>
      <c r="J518" s="7" t="inlineStr">
        <is>
          <t>19:40:00</t>
        </is>
      </c>
      <c r="K518" s="7" t="inlineStr">
        <is>
          <t>NO</t>
        </is>
      </c>
      <c r="L518" s="7" t="n">
        <v>789</v>
      </c>
      <c r="M518" s="7" t="inlineStr">
        <is>
          <t>03:45:00</t>
        </is>
      </c>
      <c r="N518" s="7" t="n">
        <v>1</v>
      </c>
      <c r="O518">
        <f>IF(O516="","",O516)</f>
        <v/>
      </c>
      <c r="Q518">
        <f>IF(Q515="","",Q515)</f>
        <v/>
      </c>
    </row>
    <row r="519">
      <c r="Q519">
        <f>"- "&amp;G518&amp;"-"&amp;H518</f>
        <v/>
      </c>
    </row>
    <row r="520">
      <c r="Q520">
        <f>"- LA "&amp;F518&amp;" ("&amp;LEFT(I518,5)&amp;"-"&amp;LEFT(J518,5)&amp;" hrs)"</f>
        <v/>
      </c>
    </row>
    <row r="522">
      <c r="Q522" s="3" t="n"/>
    </row>
    <row r="523">
      <c r="B523" s="4" t="inlineStr">
        <is>
          <t>Pairing ID</t>
        </is>
      </c>
      <c r="C523" s="4" t="inlineStr">
        <is>
          <t>FECHA REAL</t>
        </is>
      </c>
      <c r="D523" s="5" t="inlineStr">
        <is>
          <t>MES</t>
        </is>
      </c>
      <c r="E523" s="4" t="inlineStr">
        <is>
          <t>Day of Week</t>
        </is>
      </c>
      <c r="F523" s="4" t="inlineStr">
        <is>
          <t>Flight No</t>
        </is>
      </c>
      <c r="G523" s="4" t="inlineStr">
        <is>
          <t>Dep Stn</t>
        </is>
      </c>
      <c r="H523" s="4" t="inlineStr">
        <is>
          <t>Arr Stn</t>
        </is>
      </c>
      <c r="I523" s="4" t="inlineStr">
        <is>
          <t>STD</t>
        </is>
      </c>
      <c r="J523" s="4" t="inlineStr">
        <is>
          <t>STA</t>
        </is>
      </c>
      <c r="K523" s="4" t="inlineStr">
        <is>
          <t>DAY</t>
        </is>
      </c>
      <c r="L523" s="4" t="inlineStr">
        <is>
          <t>AC Type</t>
        </is>
      </c>
      <c r="M523" s="4" t="inlineStr">
        <is>
          <t>HBT</t>
        </is>
      </c>
      <c r="N523" s="6" t="inlineStr">
        <is>
          <t>DIA_DUTY</t>
        </is>
      </c>
      <c r="O523" s="3" t="n"/>
      <c r="Q523">
        <f>"- "&amp;G524&amp;"-"&amp;H524</f>
        <v/>
      </c>
      <c r="R523" s="7">
        <f>B524</f>
        <v/>
      </c>
      <c r="S523" s="7">
        <f>C524</f>
        <v/>
      </c>
      <c r="T523" s="7">
        <f>E524</f>
        <v/>
      </c>
      <c r="U523" s="7">
        <f>F524&amp;"/"&amp;F525</f>
        <v/>
      </c>
      <c r="V523" s="7">
        <f>G524&amp;"-"&amp;H524&amp;"-"&amp;G524</f>
        <v/>
      </c>
      <c r="W523" s="7">
        <f>IF(O523="","",O523)</f>
        <v/>
      </c>
      <c r="X523" s="7">
        <f>IF(Q522="","",Q522)</f>
        <v/>
      </c>
      <c r="Y523" s="7">
        <f>C524</f>
        <v/>
      </c>
      <c r="Z523" s="7">
        <f>C525</f>
        <v/>
      </c>
    </row>
    <row r="524">
      <c r="B524" s="7" t="n">
        <v>47</v>
      </c>
      <c r="C524" s="7" t="inlineStr">
        <is>
          <t>05/10/2026</t>
        </is>
      </c>
      <c r="D524" s="7" t="inlineStr">
        <is>
          <t>Oct-2026</t>
        </is>
      </c>
      <c r="E524" s="7" t="inlineStr">
        <is>
          <t>lunes</t>
        </is>
      </c>
      <c r="F524" s="7" t="n">
        <v>2698</v>
      </c>
      <c r="G524" s="7" t="inlineStr">
        <is>
          <t>LIM</t>
        </is>
      </c>
      <c r="H524" s="7" t="inlineStr">
        <is>
          <t>MIA</t>
        </is>
      </c>
      <c r="I524" s="7" t="inlineStr">
        <is>
          <t>08:15:00</t>
        </is>
      </c>
      <c r="J524" s="7" t="inlineStr">
        <is>
          <t>14:10:00</t>
        </is>
      </c>
      <c r="K524" s="7" t="inlineStr">
        <is>
          <t>NO</t>
        </is>
      </c>
      <c r="L524" s="7" t="n">
        <v>763</v>
      </c>
      <c r="M524" s="7" t="inlineStr">
        <is>
          <t>05:55:00</t>
        </is>
      </c>
      <c r="N524" s="7" t="n">
        <v>1</v>
      </c>
      <c r="Q524">
        <f>"- LA "&amp;F524&amp;" ("&amp;LEFT(I524,5)&amp;"-"&amp;LEFT(J524,5)&amp;" hrs)"</f>
        <v/>
      </c>
    </row>
    <row r="525">
      <c r="B525" s="7" t="n">
        <v>47</v>
      </c>
      <c r="C525" s="7" t="inlineStr">
        <is>
          <t>06/10/2026</t>
        </is>
      </c>
      <c r="D525" s="7" t="inlineStr">
        <is>
          <t>Oct-2026</t>
        </is>
      </c>
      <c r="E525" s="7" t="inlineStr">
        <is>
          <t>martes</t>
        </is>
      </c>
      <c r="F525" s="7" t="n">
        <v>2695</v>
      </c>
      <c r="G525" s="7" t="inlineStr">
        <is>
          <t>MIA</t>
        </is>
      </c>
      <c r="H525" s="7" t="inlineStr">
        <is>
          <t>LIM</t>
        </is>
      </c>
      <c r="I525" s="7" t="inlineStr">
        <is>
          <t>16:10:00</t>
        </is>
      </c>
      <c r="J525" s="7" t="inlineStr">
        <is>
          <t>22:00:00</t>
        </is>
      </c>
      <c r="K525" s="7" t="inlineStr">
        <is>
          <t>NO</t>
        </is>
      </c>
      <c r="L525" s="7" t="n">
        <v>763</v>
      </c>
      <c r="M525" s="7" t="inlineStr">
        <is>
          <t>05:50:00</t>
        </is>
      </c>
      <c r="N525" s="7" t="n">
        <v>2</v>
      </c>
      <c r="O525">
        <f>IF(O523="","",O523)</f>
        <v/>
      </c>
      <c r="Q525">
        <f>IF(Q522="","",Q522)</f>
        <v/>
      </c>
    </row>
    <row r="526">
      <c r="Q526">
        <f>"- "&amp;G525&amp;"-"&amp;H525</f>
        <v/>
      </c>
    </row>
    <row r="527">
      <c r="Q527">
        <f>"- LA "&amp;F525&amp;" ("&amp;LEFT(I525,5)&amp;"-"&amp;LEFT(J525,5)&amp;" hrs)"</f>
        <v/>
      </c>
    </row>
    <row r="529">
      <c r="Q529" s="3" t="n"/>
    </row>
    <row r="530">
      <c r="B530" s="4" t="inlineStr">
        <is>
          <t>Pairing ID</t>
        </is>
      </c>
      <c r="C530" s="4" t="inlineStr">
        <is>
          <t>FECHA REAL</t>
        </is>
      </c>
      <c r="D530" s="5" t="inlineStr">
        <is>
          <t>MES</t>
        </is>
      </c>
      <c r="E530" s="4" t="inlineStr">
        <is>
          <t>Day of Week</t>
        </is>
      </c>
      <c r="F530" s="4" t="inlineStr">
        <is>
          <t>Flight No</t>
        </is>
      </c>
      <c r="G530" s="4" t="inlineStr">
        <is>
          <t>Dep Stn</t>
        </is>
      </c>
      <c r="H530" s="4" t="inlineStr">
        <is>
          <t>Arr Stn</t>
        </is>
      </c>
      <c r="I530" s="4" t="inlineStr">
        <is>
          <t>STD</t>
        </is>
      </c>
      <c r="J530" s="4" t="inlineStr">
        <is>
          <t>STA</t>
        </is>
      </c>
      <c r="K530" s="4" t="inlineStr">
        <is>
          <t>DAY</t>
        </is>
      </c>
      <c r="L530" s="4" t="inlineStr">
        <is>
          <t>AC Type</t>
        </is>
      </c>
      <c r="M530" s="4" t="inlineStr">
        <is>
          <t>HBT</t>
        </is>
      </c>
      <c r="N530" s="6" t="inlineStr">
        <is>
          <t>DIA_DUTY</t>
        </is>
      </c>
      <c r="O530" s="3" t="n"/>
      <c r="Q530">
        <f>"- "&amp;G531&amp;"-"&amp;H531</f>
        <v/>
      </c>
      <c r="R530" s="7">
        <f>B531</f>
        <v/>
      </c>
      <c r="S530" s="7">
        <f>C531</f>
        <v/>
      </c>
      <c r="T530" s="7">
        <f>E531</f>
        <v/>
      </c>
      <c r="U530" s="7">
        <f>F531&amp;"/"&amp;F532</f>
        <v/>
      </c>
      <c r="V530" s="7">
        <f>G531&amp;"-"&amp;H531&amp;"-"&amp;G531</f>
        <v/>
      </c>
      <c r="W530" s="7">
        <f>IF(O530="","",O530)</f>
        <v/>
      </c>
      <c r="X530" s="7">
        <f>IF(Q529="","",Q529)</f>
        <v/>
      </c>
      <c r="Y530" s="7">
        <f>C531</f>
        <v/>
      </c>
      <c r="Z530" s="7">
        <f>C532</f>
        <v/>
      </c>
    </row>
    <row r="531">
      <c r="B531" s="7" t="n">
        <v>48</v>
      </c>
      <c r="C531" s="7" t="inlineStr">
        <is>
          <t>23/10/2026</t>
        </is>
      </c>
      <c r="D531" s="7" t="inlineStr">
        <is>
          <t>Oct-2026</t>
        </is>
      </c>
      <c r="E531" s="7" t="inlineStr">
        <is>
          <t>viernes</t>
        </is>
      </c>
      <c r="F531" s="7" t="n">
        <v>2697</v>
      </c>
      <c r="G531" s="7" t="inlineStr">
        <is>
          <t>LIM</t>
        </is>
      </c>
      <c r="H531" s="7" t="inlineStr">
        <is>
          <t>SCL</t>
        </is>
      </c>
      <c r="I531" s="7" t="inlineStr">
        <is>
          <t>09:35:00</t>
        </is>
      </c>
      <c r="J531" s="7" t="inlineStr">
        <is>
          <t>13:00:00</t>
        </is>
      </c>
      <c r="K531" s="7" t="inlineStr">
        <is>
          <t>NO</t>
        </is>
      </c>
      <c r="L531" s="7" t="n">
        <v>789</v>
      </c>
      <c r="M531" s="7" t="inlineStr">
        <is>
          <t>03:25:00</t>
        </is>
      </c>
      <c r="N531" s="7" t="n">
        <v>1</v>
      </c>
      <c r="Q531">
        <f>"- LA "&amp;F531&amp;" ("&amp;LEFT(I531,5)&amp;"-"&amp;LEFT(J531,5)&amp;" hrs)"</f>
        <v/>
      </c>
    </row>
    <row r="532">
      <c r="B532" s="7" t="n">
        <v>48</v>
      </c>
      <c r="C532" s="7" t="inlineStr">
        <is>
          <t>23/10/2026</t>
        </is>
      </c>
      <c r="D532" s="7" t="inlineStr">
        <is>
          <t>Oct-2026</t>
        </is>
      </c>
      <c r="E532" s="7" t="inlineStr">
        <is>
          <t>viernes</t>
        </is>
      </c>
      <c r="F532" s="7" t="n">
        <v>2696</v>
      </c>
      <c r="G532" s="7" t="inlineStr">
        <is>
          <t>SCL</t>
        </is>
      </c>
      <c r="H532" s="7" t="inlineStr">
        <is>
          <t>LIM</t>
        </is>
      </c>
      <c r="I532" s="7" t="inlineStr">
        <is>
          <t>15:55:00</t>
        </is>
      </c>
      <c r="J532" s="7" t="inlineStr">
        <is>
          <t>19:40:00</t>
        </is>
      </c>
      <c r="K532" s="7" t="inlineStr">
        <is>
          <t>NO</t>
        </is>
      </c>
      <c r="L532" s="7" t="n">
        <v>789</v>
      </c>
      <c r="M532" s="7" t="inlineStr">
        <is>
          <t>03:45:00</t>
        </is>
      </c>
      <c r="N532" s="7" t="n">
        <v>1</v>
      </c>
      <c r="O532">
        <f>IF(O530="","",O530)</f>
        <v/>
      </c>
      <c r="Q532">
        <f>IF(Q529="","",Q529)</f>
        <v/>
      </c>
    </row>
    <row r="533">
      <c r="Q533">
        <f>"- "&amp;G532&amp;"-"&amp;H532</f>
        <v/>
      </c>
    </row>
    <row r="534">
      <c r="Q534">
        <f>"- LA "&amp;F532&amp;" ("&amp;LEFT(I532,5)&amp;"-"&amp;LEFT(J532,5)&amp;" hrs)"</f>
        <v/>
      </c>
    </row>
    <row r="536">
      <c r="Q536" s="3" t="n"/>
    </row>
    <row r="537">
      <c r="B537" s="4" t="inlineStr">
        <is>
          <t>Pairing ID</t>
        </is>
      </c>
      <c r="C537" s="4" t="inlineStr">
        <is>
          <t>FECHA REAL</t>
        </is>
      </c>
      <c r="D537" s="5" t="inlineStr">
        <is>
          <t>MES</t>
        </is>
      </c>
      <c r="E537" s="4" t="inlineStr">
        <is>
          <t>Day of Week</t>
        </is>
      </c>
      <c r="F537" s="4" t="inlineStr">
        <is>
          <t>Flight No</t>
        </is>
      </c>
      <c r="G537" s="4" t="inlineStr">
        <is>
          <t>Dep Stn</t>
        </is>
      </c>
      <c r="H537" s="4" t="inlineStr">
        <is>
          <t>Arr Stn</t>
        </is>
      </c>
      <c r="I537" s="4" t="inlineStr">
        <is>
          <t>STD</t>
        </is>
      </c>
      <c r="J537" s="4" t="inlineStr">
        <is>
          <t>STA</t>
        </is>
      </c>
      <c r="K537" s="4" t="inlineStr">
        <is>
          <t>DAY</t>
        </is>
      </c>
      <c r="L537" s="4" t="inlineStr">
        <is>
          <t>AC Type</t>
        </is>
      </c>
      <c r="M537" s="4" t="inlineStr">
        <is>
          <t>HBT</t>
        </is>
      </c>
      <c r="N537" s="6" t="inlineStr">
        <is>
          <t>DIA_DUTY</t>
        </is>
      </c>
      <c r="O537" s="3" t="n"/>
      <c r="Q537">
        <f>"- "&amp;G538&amp;"-"&amp;H538</f>
        <v/>
      </c>
      <c r="R537" s="7">
        <f>B538</f>
        <v/>
      </c>
      <c r="S537" s="7">
        <f>C538</f>
        <v/>
      </c>
      <c r="T537" s="7">
        <f>E538</f>
        <v/>
      </c>
      <c r="U537" s="7">
        <f>F538&amp;"/"&amp;F539</f>
        <v/>
      </c>
      <c r="V537" s="7">
        <f>G538&amp;"-"&amp;H538&amp;"-"&amp;G538</f>
        <v/>
      </c>
      <c r="W537" s="7">
        <f>IF(O537="","",O537)</f>
        <v/>
      </c>
      <c r="X537" s="7">
        <f>IF(Q536="","",Q536)</f>
        <v/>
      </c>
      <c r="Y537" s="7">
        <f>C538</f>
        <v/>
      </c>
      <c r="Z537" s="7">
        <f>C539</f>
        <v/>
      </c>
    </row>
    <row r="538">
      <c r="B538" s="7" t="n">
        <v>4</v>
      </c>
      <c r="C538" s="7" t="inlineStr">
        <is>
          <t>01/10/2026</t>
        </is>
      </c>
      <c r="D538" s="7" t="inlineStr">
        <is>
          <t>Oct-2026</t>
        </is>
      </c>
      <c r="E538" s="7" t="inlineStr">
        <is>
          <t>jueves</t>
        </is>
      </c>
      <c r="F538" s="7" t="n">
        <v>2697</v>
      </c>
      <c r="G538" s="7" t="inlineStr">
        <is>
          <t>LIM</t>
        </is>
      </c>
      <c r="H538" s="7" t="inlineStr">
        <is>
          <t>SCL</t>
        </is>
      </c>
      <c r="I538" s="7" t="inlineStr">
        <is>
          <t>09:35:00</t>
        </is>
      </c>
      <c r="J538" s="7" t="inlineStr">
        <is>
          <t>13:00:00</t>
        </is>
      </c>
      <c r="K538" s="7" t="inlineStr">
        <is>
          <t>NO</t>
        </is>
      </c>
      <c r="L538" s="7" t="n">
        <v>788</v>
      </c>
      <c r="M538" s="7" t="inlineStr">
        <is>
          <t>03:25:00</t>
        </is>
      </c>
      <c r="N538" s="7" t="n">
        <v>1</v>
      </c>
      <c r="Q538">
        <f>"- LA "&amp;F538&amp;" ("&amp;LEFT(I538,5)&amp;"-"&amp;LEFT(J538,5)&amp;" hrs)"</f>
        <v/>
      </c>
    </row>
    <row r="539">
      <c r="B539" s="7" t="n">
        <v>4</v>
      </c>
      <c r="C539" s="7" t="inlineStr">
        <is>
          <t>01/10/2026</t>
        </is>
      </c>
      <c r="D539" s="7" t="inlineStr">
        <is>
          <t>Oct-2026</t>
        </is>
      </c>
      <c r="E539" s="7" t="inlineStr">
        <is>
          <t>jueves</t>
        </is>
      </c>
      <c r="F539" s="7" t="n">
        <v>2696</v>
      </c>
      <c r="G539" s="7" t="inlineStr">
        <is>
          <t>SCL</t>
        </is>
      </c>
      <c r="H539" s="7" t="inlineStr">
        <is>
          <t>LIM</t>
        </is>
      </c>
      <c r="I539" s="7" t="inlineStr">
        <is>
          <t>15:55:00</t>
        </is>
      </c>
      <c r="J539" s="7" t="inlineStr">
        <is>
          <t>19:40:00</t>
        </is>
      </c>
      <c r="K539" s="7" t="inlineStr">
        <is>
          <t>NO</t>
        </is>
      </c>
      <c r="L539" s="7" t="n">
        <v>789</v>
      </c>
      <c r="M539" s="7" t="inlineStr">
        <is>
          <t>03:45:00</t>
        </is>
      </c>
      <c r="N539" s="7" t="n">
        <v>1</v>
      </c>
      <c r="O539">
        <f>IF(O537="","",O537)</f>
        <v/>
      </c>
      <c r="Q539">
        <f>IF(Q536="","",Q536)</f>
        <v/>
      </c>
    </row>
    <row r="540">
      <c r="Q540">
        <f>"- "&amp;G539&amp;"-"&amp;H539</f>
        <v/>
      </c>
    </row>
    <row r="541">
      <c r="Q541">
        <f>"- LA "&amp;F539&amp;" ("&amp;LEFT(I539,5)&amp;"-"&amp;LEFT(J539,5)&amp;" hrs)"</f>
        <v/>
      </c>
    </row>
    <row r="543">
      <c r="Q543" s="3" t="n"/>
    </row>
    <row r="544">
      <c r="B544" s="4" t="inlineStr">
        <is>
          <t>Pairing ID</t>
        </is>
      </c>
      <c r="C544" s="4" t="inlineStr">
        <is>
          <t>FECHA REAL</t>
        </is>
      </c>
      <c r="D544" s="5" t="inlineStr">
        <is>
          <t>MES</t>
        </is>
      </c>
      <c r="E544" s="4" t="inlineStr">
        <is>
          <t>Day of Week</t>
        </is>
      </c>
      <c r="F544" s="4" t="inlineStr">
        <is>
          <t>Flight No</t>
        </is>
      </c>
      <c r="G544" s="4" t="inlineStr">
        <is>
          <t>Dep Stn</t>
        </is>
      </c>
      <c r="H544" s="4" t="inlineStr">
        <is>
          <t>Arr Stn</t>
        </is>
      </c>
      <c r="I544" s="4" t="inlineStr">
        <is>
          <t>STD</t>
        </is>
      </c>
      <c r="J544" s="4" t="inlineStr">
        <is>
          <t>STA</t>
        </is>
      </c>
      <c r="K544" s="4" t="inlineStr">
        <is>
          <t>DAY</t>
        </is>
      </c>
      <c r="L544" s="4" t="inlineStr">
        <is>
          <t>AC Type</t>
        </is>
      </c>
      <c r="M544" s="4" t="inlineStr">
        <is>
          <t>HBT</t>
        </is>
      </c>
      <c r="N544" s="6" t="inlineStr">
        <is>
          <t>DIA_DUTY</t>
        </is>
      </c>
      <c r="O544" s="3" t="n"/>
      <c r="Q544">
        <f>"- "&amp;G545&amp;"-"&amp;H545</f>
        <v/>
      </c>
      <c r="R544" s="7">
        <f>B545</f>
        <v/>
      </c>
      <c r="S544" s="7">
        <f>C545</f>
        <v/>
      </c>
      <c r="T544" s="7">
        <f>E545</f>
        <v/>
      </c>
      <c r="U544" s="7">
        <f>F545&amp;"/"&amp;F546</f>
        <v/>
      </c>
      <c r="V544" s="7">
        <f>G545&amp;"-"&amp;H545&amp;"-"&amp;G545</f>
        <v/>
      </c>
      <c r="W544" s="7">
        <f>IF(O544="","",O544)</f>
        <v/>
      </c>
      <c r="X544" s="7">
        <f>IF(Q543="","",Q543)</f>
        <v/>
      </c>
      <c r="Y544" s="7">
        <f>C545</f>
        <v/>
      </c>
      <c r="Z544" s="7">
        <f>C546</f>
        <v/>
      </c>
    </row>
    <row r="545">
      <c r="B545" s="7" t="n">
        <v>50</v>
      </c>
      <c r="C545" s="7" t="inlineStr">
        <is>
          <t>05/10/2026</t>
        </is>
      </c>
      <c r="D545" s="7" t="inlineStr">
        <is>
          <t>Oct-2026</t>
        </is>
      </c>
      <c r="E545" s="7" t="inlineStr">
        <is>
          <t>lunes</t>
        </is>
      </c>
      <c r="F545" s="7" t="n">
        <v>2694</v>
      </c>
      <c r="G545" s="7" t="inlineStr">
        <is>
          <t>LIM</t>
        </is>
      </c>
      <c r="H545" s="7" t="inlineStr">
        <is>
          <t>MIA</t>
        </is>
      </c>
      <c r="I545" s="7" t="inlineStr">
        <is>
          <t>13:30:00</t>
        </is>
      </c>
      <c r="J545" s="7" t="inlineStr">
        <is>
          <t>19:25:00</t>
        </is>
      </c>
      <c r="K545" s="7" t="inlineStr">
        <is>
          <t>NO</t>
        </is>
      </c>
      <c r="L545" s="7" t="n">
        <v>763</v>
      </c>
      <c r="M545" s="7" t="inlineStr">
        <is>
          <t>05:55:00</t>
        </is>
      </c>
      <c r="N545" s="7" t="n">
        <v>1</v>
      </c>
      <c r="Q545">
        <f>"- LA "&amp;F545&amp;" ("&amp;LEFT(I545,5)&amp;"-"&amp;LEFT(J545,5)&amp;" hrs)"</f>
        <v/>
      </c>
    </row>
    <row r="546">
      <c r="B546" s="7" t="n">
        <v>50</v>
      </c>
      <c r="C546" s="7" t="inlineStr">
        <is>
          <t>07/10/2026</t>
        </is>
      </c>
      <c r="D546" s="7" t="inlineStr">
        <is>
          <t>Oct-2026</t>
        </is>
      </c>
      <c r="E546" s="7" t="inlineStr">
        <is>
          <t>miércoles</t>
        </is>
      </c>
      <c r="F546" s="7" t="n">
        <v>2699</v>
      </c>
      <c r="G546" s="7" t="inlineStr">
        <is>
          <t>MIA</t>
        </is>
      </c>
      <c r="H546" s="7" t="inlineStr">
        <is>
          <t>LIM</t>
        </is>
      </c>
      <c r="I546" s="7" t="inlineStr">
        <is>
          <t>23:15:00</t>
        </is>
      </c>
      <c r="J546" s="7" t="inlineStr">
        <is>
          <t>05:00:00</t>
        </is>
      </c>
      <c r="K546" s="7" t="inlineStr">
        <is>
          <t>NO</t>
        </is>
      </c>
      <c r="L546" s="7" t="n">
        <v>763</v>
      </c>
      <c r="M546" s="7" t="inlineStr">
        <is>
          <t>05:45:00</t>
        </is>
      </c>
      <c r="N546" s="7" t="n">
        <v>2</v>
      </c>
      <c r="O546">
        <f>IF(O544="","",O544)</f>
        <v/>
      </c>
      <c r="Q546">
        <f>IF(Q543="","",Q543)</f>
        <v/>
      </c>
    </row>
    <row r="547">
      <c r="Q547">
        <f>"- "&amp;G546&amp;"-"&amp;H546</f>
        <v/>
      </c>
    </row>
    <row r="548">
      <c r="Q548">
        <f>"- LA "&amp;F546&amp;" ("&amp;LEFT(I546,5)&amp;"-"&amp;LEFT(J546,5)&amp;" hrs)"</f>
        <v/>
      </c>
    </row>
    <row r="550">
      <c r="Q550" s="3" t="n"/>
    </row>
    <row r="551">
      <c r="B551" s="4" t="inlineStr">
        <is>
          <t>Pairing ID</t>
        </is>
      </c>
      <c r="C551" s="4" t="inlineStr">
        <is>
          <t>FECHA REAL</t>
        </is>
      </c>
      <c r="D551" s="5" t="inlineStr">
        <is>
          <t>MES</t>
        </is>
      </c>
      <c r="E551" s="4" t="inlineStr">
        <is>
          <t>Day of Week</t>
        </is>
      </c>
      <c r="F551" s="4" t="inlineStr">
        <is>
          <t>Flight No</t>
        </is>
      </c>
      <c r="G551" s="4" t="inlineStr">
        <is>
          <t>Dep Stn</t>
        </is>
      </c>
      <c r="H551" s="4" t="inlineStr">
        <is>
          <t>Arr Stn</t>
        </is>
      </c>
      <c r="I551" s="4" t="inlineStr">
        <is>
          <t>STD</t>
        </is>
      </c>
      <c r="J551" s="4" t="inlineStr">
        <is>
          <t>STA</t>
        </is>
      </c>
      <c r="K551" s="4" t="inlineStr">
        <is>
          <t>DAY</t>
        </is>
      </c>
      <c r="L551" s="4" t="inlineStr">
        <is>
          <t>AC Type</t>
        </is>
      </c>
      <c r="M551" s="4" t="inlineStr">
        <is>
          <t>HBT</t>
        </is>
      </c>
      <c r="N551" s="6" t="inlineStr">
        <is>
          <t>DIA_DUTY</t>
        </is>
      </c>
      <c r="O551" s="3" t="n"/>
      <c r="Q551">
        <f>"- "&amp;G552&amp;"-"&amp;H552</f>
        <v/>
      </c>
      <c r="R551" s="7">
        <f>B552</f>
        <v/>
      </c>
      <c r="S551" s="7">
        <f>C552</f>
        <v/>
      </c>
      <c r="T551" s="7">
        <f>E552</f>
        <v/>
      </c>
      <c r="U551" s="7">
        <f>F552&amp;"/"&amp;F553</f>
        <v/>
      </c>
      <c r="V551" s="7">
        <f>G552&amp;"-"&amp;H552&amp;"-"&amp;G552</f>
        <v/>
      </c>
      <c r="W551" s="7">
        <f>IF(O551="","",O551)</f>
        <v/>
      </c>
      <c r="X551" s="7">
        <f>IF(Q550="","",Q550)</f>
        <v/>
      </c>
      <c r="Y551" s="7">
        <f>C552</f>
        <v/>
      </c>
      <c r="Z551" s="7">
        <f>C553</f>
        <v/>
      </c>
    </row>
    <row r="552">
      <c r="B552" s="7" t="n">
        <v>53</v>
      </c>
      <c r="C552" s="7" t="inlineStr">
        <is>
          <t>06/10/2026</t>
        </is>
      </c>
      <c r="D552" s="7" t="inlineStr">
        <is>
          <t>Oct-2026</t>
        </is>
      </c>
      <c r="E552" s="7" t="inlineStr">
        <is>
          <t>martes</t>
        </is>
      </c>
      <c r="F552" s="7" t="n">
        <v>2480</v>
      </c>
      <c r="G552" s="7" t="inlineStr">
        <is>
          <t>LIM</t>
        </is>
      </c>
      <c r="H552" s="7" t="inlineStr">
        <is>
          <t>MIA</t>
        </is>
      </c>
      <c r="I552" s="7" t="inlineStr">
        <is>
          <t>00:15:00</t>
        </is>
      </c>
      <c r="J552" s="7" t="inlineStr">
        <is>
          <t>06:10:00</t>
        </is>
      </c>
      <c r="K552" s="7" t="inlineStr">
        <is>
          <t>NO</t>
        </is>
      </c>
      <c r="L552" s="7" t="n">
        <v>763</v>
      </c>
      <c r="M552" s="7" t="inlineStr">
        <is>
          <t>05:55:00</t>
        </is>
      </c>
      <c r="N552" s="7" t="n">
        <v>2</v>
      </c>
      <c r="Q552">
        <f>"- LA "&amp;F552&amp;" ("&amp;LEFT(I552,5)&amp;"-"&amp;LEFT(J552,5)&amp;" hrs)"</f>
        <v/>
      </c>
    </row>
    <row r="553">
      <c r="B553" s="7" t="n">
        <v>53</v>
      </c>
      <c r="C553" s="7" t="inlineStr">
        <is>
          <t>07/10/2026</t>
        </is>
      </c>
      <c r="D553" s="7" t="inlineStr">
        <is>
          <t>Oct-2026</t>
        </is>
      </c>
      <c r="E553" s="7" t="inlineStr">
        <is>
          <t>miércoles</t>
        </is>
      </c>
      <c r="F553" s="7" t="n">
        <v>2481</v>
      </c>
      <c r="G553" s="7" t="inlineStr">
        <is>
          <t>MIA</t>
        </is>
      </c>
      <c r="H553" s="7" t="inlineStr">
        <is>
          <t>LIM</t>
        </is>
      </c>
      <c r="I553" s="7" t="inlineStr">
        <is>
          <t>15:55:00</t>
        </is>
      </c>
      <c r="J553" s="7" t="inlineStr">
        <is>
          <t>21:40:00</t>
        </is>
      </c>
      <c r="K553" s="7" t="inlineStr">
        <is>
          <t>NO</t>
        </is>
      </c>
      <c r="L553" s="7" t="n">
        <v>763</v>
      </c>
      <c r="M553" s="7" t="inlineStr">
        <is>
          <t>05:45:00</t>
        </is>
      </c>
      <c r="N553" s="7" t="n">
        <v>3</v>
      </c>
      <c r="O553">
        <f>IF(O551="","",O551)</f>
        <v/>
      </c>
      <c r="Q553">
        <f>IF(Q550="","",Q550)</f>
        <v/>
      </c>
    </row>
    <row r="554">
      <c r="Q554">
        <f>"- "&amp;G553&amp;"-"&amp;H553</f>
        <v/>
      </c>
    </row>
    <row r="555">
      <c r="Q555">
        <f>"- LA "&amp;F553&amp;" ("&amp;LEFT(I553,5)&amp;"-"&amp;LEFT(J553,5)&amp;" hrs)"</f>
        <v/>
      </c>
    </row>
    <row r="557">
      <c r="Q557" s="3" t="n"/>
    </row>
    <row r="558">
      <c r="B558" s="4" t="inlineStr">
        <is>
          <t>Pairing ID</t>
        </is>
      </c>
      <c r="C558" s="4" t="inlineStr">
        <is>
          <t>FECHA REAL</t>
        </is>
      </c>
      <c r="D558" s="5" t="inlineStr">
        <is>
          <t>MES</t>
        </is>
      </c>
      <c r="E558" s="4" t="inlineStr">
        <is>
          <t>Day of Week</t>
        </is>
      </c>
      <c r="F558" s="4" t="inlineStr">
        <is>
          <t>Flight No</t>
        </is>
      </c>
      <c r="G558" s="4" t="inlineStr">
        <is>
          <t>Dep Stn</t>
        </is>
      </c>
      <c r="H558" s="4" t="inlineStr">
        <is>
          <t>Arr Stn</t>
        </is>
      </c>
      <c r="I558" s="4" t="inlineStr">
        <is>
          <t>STD</t>
        </is>
      </c>
      <c r="J558" s="4" t="inlineStr">
        <is>
          <t>STA</t>
        </is>
      </c>
      <c r="K558" s="4" t="inlineStr">
        <is>
          <t>DAY</t>
        </is>
      </c>
      <c r="L558" s="4" t="inlineStr">
        <is>
          <t>AC Type</t>
        </is>
      </c>
      <c r="M558" s="4" t="inlineStr">
        <is>
          <t>HBT</t>
        </is>
      </c>
      <c r="N558" s="6" t="inlineStr">
        <is>
          <t>DIA_DUTY</t>
        </is>
      </c>
      <c r="O558" s="3" t="n"/>
      <c r="Q558">
        <f>"- "&amp;G559&amp;"-"&amp;H559</f>
        <v/>
      </c>
      <c r="R558" s="7">
        <f>B559</f>
        <v/>
      </c>
      <c r="S558" s="7">
        <f>C559</f>
        <v/>
      </c>
      <c r="T558" s="7">
        <f>E559</f>
        <v/>
      </c>
      <c r="U558" s="7">
        <f>F559&amp;"/"&amp;F560</f>
        <v/>
      </c>
      <c r="V558" s="7">
        <f>G559&amp;"-"&amp;H559&amp;"-"&amp;G559</f>
        <v/>
      </c>
      <c r="W558" s="7">
        <f>IF(O558="","",O558)</f>
        <v/>
      </c>
      <c r="X558" s="7">
        <f>IF(Q557="","",Q557)</f>
        <v/>
      </c>
      <c r="Y558" s="7">
        <f>C559</f>
        <v/>
      </c>
      <c r="Z558" s="7">
        <f>C560</f>
        <v/>
      </c>
    </row>
    <row r="559">
      <c r="B559" s="7" t="n">
        <v>54</v>
      </c>
      <c r="C559" s="7" t="inlineStr">
        <is>
          <t>26/10/2026</t>
        </is>
      </c>
      <c r="D559" s="7" t="inlineStr">
        <is>
          <t>Oct-2026</t>
        </is>
      </c>
      <c r="E559" s="7" t="inlineStr">
        <is>
          <t>lunes</t>
        </is>
      </c>
      <c r="F559" s="7" t="n">
        <v>2697</v>
      </c>
      <c r="G559" s="7" t="inlineStr">
        <is>
          <t>LIM</t>
        </is>
      </c>
      <c r="H559" s="7" t="inlineStr">
        <is>
          <t>SCL</t>
        </is>
      </c>
      <c r="I559" s="7" t="inlineStr">
        <is>
          <t>09:35:00</t>
        </is>
      </c>
      <c r="J559" s="7" t="inlineStr">
        <is>
          <t>13:00:00</t>
        </is>
      </c>
      <c r="K559" s="7" t="inlineStr">
        <is>
          <t>NO</t>
        </is>
      </c>
      <c r="L559" s="7" t="n">
        <v>789</v>
      </c>
      <c r="M559" s="7" t="inlineStr">
        <is>
          <t>03:25:00</t>
        </is>
      </c>
      <c r="N559" s="7" t="n">
        <v>1</v>
      </c>
      <c r="Q559">
        <f>"- LA "&amp;F559&amp;" ("&amp;LEFT(I559,5)&amp;"-"&amp;LEFT(J559,5)&amp;" hrs)"</f>
        <v/>
      </c>
    </row>
    <row r="560">
      <c r="B560" s="7" t="n">
        <v>54</v>
      </c>
      <c r="C560" s="7" t="inlineStr">
        <is>
          <t>26/10/2026</t>
        </is>
      </c>
      <c r="D560" s="7" t="inlineStr">
        <is>
          <t>Oct-2026</t>
        </is>
      </c>
      <c r="E560" s="7" t="inlineStr">
        <is>
          <t>lunes</t>
        </is>
      </c>
      <c r="F560" s="7" t="n">
        <v>2696</v>
      </c>
      <c r="G560" s="7" t="inlineStr">
        <is>
          <t>SCL</t>
        </is>
      </c>
      <c r="H560" s="7" t="inlineStr">
        <is>
          <t>LIM</t>
        </is>
      </c>
      <c r="I560" s="7" t="inlineStr">
        <is>
          <t>15:55:00</t>
        </is>
      </c>
      <c r="J560" s="7" t="inlineStr">
        <is>
          <t>19:40:00</t>
        </is>
      </c>
      <c r="K560" s="7" t="inlineStr">
        <is>
          <t>NO</t>
        </is>
      </c>
      <c r="L560" s="7" t="n">
        <v>789</v>
      </c>
      <c r="M560" s="7" t="inlineStr">
        <is>
          <t>03:45:00</t>
        </is>
      </c>
      <c r="N560" s="7" t="n">
        <v>1</v>
      </c>
      <c r="O560">
        <f>IF(O558="","",O558)</f>
        <v/>
      </c>
      <c r="Q560">
        <f>IF(Q557="","",Q557)</f>
        <v/>
      </c>
    </row>
    <row r="561">
      <c r="Q561">
        <f>"- "&amp;G560&amp;"-"&amp;H560</f>
        <v/>
      </c>
    </row>
    <row r="562">
      <c r="Q562">
        <f>"- LA "&amp;F560&amp;" ("&amp;LEFT(I560,5)&amp;"-"&amp;LEFT(J560,5)&amp;" hrs)"</f>
        <v/>
      </c>
    </row>
    <row r="564">
      <c r="Q564" s="3" t="n"/>
    </row>
    <row r="565">
      <c r="B565" s="4" t="inlineStr">
        <is>
          <t>Pairing ID</t>
        </is>
      </c>
      <c r="C565" s="4" t="inlineStr">
        <is>
          <t>FECHA REAL</t>
        </is>
      </c>
      <c r="D565" s="5" t="inlineStr">
        <is>
          <t>MES</t>
        </is>
      </c>
      <c r="E565" s="4" t="inlineStr">
        <is>
          <t>Day of Week</t>
        </is>
      </c>
      <c r="F565" s="4" t="inlineStr">
        <is>
          <t>Flight No</t>
        </is>
      </c>
      <c r="G565" s="4" t="inlineStr">
        <is>
          <t>Dep Stn</t>
        </is>
      </c>
      <c r="H565" s="4" t="inlineStr">
        <is>
          <t>Arr Stn</t>
        </is>
      </c>
      <c r="I565" s="4" t="inlineStr">
        <is>
          <t>STD</t>
        </is>
      </c>
      <c r="J565" s="4" t="inlineStr">
        <is>
          <t>STA</t>
        </is>
      </c>
      <c r="K565" s="4" t="inlineStr">
        <is>
          <t>DAY</t>
        </is>
      </c>
      <c r="L565" s="4" t="inlineStr">
        <is>
          <t>AC Type</t>
        </is>
      </c>
      <c r="M565" s="4" t="inlineStr">
        <is>
          <t>HBT</t>
        </is>
      </c>
      <c r="N565" s="6" t="inlineStr">
        <is>
          <t>DIA_DUTY</t>
        </is>
      </c>
      <c r="O565" s="3" t="n"/>
      <c r="Q565">
        <f>"- "&amp;G566&amp;"-"&amp;H566</f>
        <v/>
      </c>
      <c r="R565" s="7">
        <f>B566</f>
        <v/>
      </c>
      <c r="S565" s="7">
        <f>C566</f>
        <v/>
      </c>
      <c r="T565" s="7">
        <f>E566</f>
        <v/>
      </c>
      <c r="U565" s="7">
        <f>F566&amp;"/"&amp;F567</f>
        <v/>
      </c>
      <c r="V565" s="7">
        <f>G566&amp;"-"&amp;H566&amp;"-"&amp;G566</f>
        <v/>
      </c>
      <c r="W565" s="7">
        <f>IF(O565="","",O565)</f>
        <v/>
      </c>
      <c r="X565" s="7">
        <f>IF(Q564="","",Q564)</f>
        <v/>
      </c>
      <c r="Y565" s="7">
        <f>C566</f>
        <v/>
      </c>
      <c r="Z565" s="7">
        <f>C567</f>
        <v/>
      </c>
    </row>
    <row r="566">
      <c r="B566" s="7" t="n">
        <v>56</v>
      </c>
      <c r="C566" s="7" t="inlineStr">
        <is>
          <t>27/10/2026</t>
        </is>
      </c>
      <c r="D566" s="7" t="inlineStr">
        <is>
          <t>Oct-2026</t>
        </is>
      </c>
      <c r="E566" s="7" t="inlineStr">
        <is>
          <t>martes</t>
        </is>
      </c>
      <c r="F566" s="7" t="n">
        <v>2697</v>
      </c>
      <c r="G566" s="7" t="inlineStr">
        <is>
          <t>LIM</t>
        </is>
      </c>
      <c r="H566" s="7" t="inlineStr">
        <is>
          <t>SCL</t>
        </is>
      </c>
      <c r="I566" s="7" t="inlineStr">
        <is>
          <t>09:35:00</t>
        </is>
      </c>
      <c r="J566" s="7" t="inlineStr">
        <is>
          <t>13:00:00</t>
        </is>
      </c>
      <c r="K566" s="7" t="inlineStr">
        <is>
          <t>NO</t>
        </is>
      </c>
      <c r="L566" s="7" t="n">
        <v>789</v>
      </c>
      <c r="M566" s="7" t="inlineStr">
        <is>
          <t>03:25:00</t>
        </is>
      </c>
      <c r="N566" s="7" t="n">
        <v>1</v>
      </c>
      <c r="Q566">
        <f>"- LA "&amp;F566&amp;" ("&amp;LEFT(I566,5)&amp;"-"&amp;LEFT(J566,5)&amp;" hrs)"</f>
        <v/>
      </c>
    </row>
    <row r="567">
      <c r="B567" s="7" t="n">
        <v>56</v>
      </c>
      <c r="C567" s="7" t="inlineStr">
        <is>
          <t>27/10/2026</t>
        </is>
      </c>
      <c r="D567" s="7" t="inlineStr">
        <is>
          <t>Oct-2026</t>
        </is>
      </c>
      <c r="E567" s="7" t="inlineStr">
        <is>
          <t>martes</t>
        </is>
      </c>
      <c r="F567" s="7" t="n">
        <v>2696</v>
      </c>
      <c r="G567" s="7" t="inlineStr">
        <is>
          <t>SCL</t>
        </is>
      </c>
      <c r="H567" s="7" t="inlineStr">
        <is>
          <t>LIM</t>
        </is>
      </c>
      <c r="I567" s="7" t="inlineStr">
        <is>
          <t>15:55:00</t>
        </is>
      </c>
      <c r="J567" s="7" t="inlineStr">
        <is>
          <t>19:40:00</t>
        </is>
      </c>
      <c r="K567" s="7" t="inlineStr">
        <is>
          <t>NO</t>
        </is>
      </c>
      <c r="L567" s="7" t="n">
        <v>789</v>
      </c>
      <c r="M567" s="7" t="inlineStr">
        <is>
          <t>03:45:00</t>
        </is>
      </c>
      <c r="N567" s="7" t="n">
        <v>1</v>
      </c>
      <c r="O567">
        <f>IF(O565="","",O565)</f>
        <v/>
      </c>
      <c r="Q567">
        <f>IF(Q564="","",Q564)</f>
        <v/>
      </c>
    </row>
    <row r="568">
      <c r="Q568">
        <f>"- "&amp;G567&amp;"-"&amp;H567</f>
        <v/>
      </c>
    </row>
    <row r="569">
      <c r="Q569">
        <f>"- LA "&amp;F567&amp;" ("&amp;LEFT(I567,5)&amp;"-"&amp;LEFT(J567,5)&amp;" hrs)"</f>
        <v/>
      </c>
    </row>
    <row r="571">
      <c r="Q571" s="3" t="n"/>
    </row>
    <row r="572">
      <c r="B572" s="4" t="inlineStr">
        <is>
          <t>Pairing ID</t>
        </is>
      </c>
      <c r="C572" s="4" t="inlineStr">
        <is>
          <t>FECHA REAL</t>
        </is>
      </c>
      <c r="D572" s="5" t="inlineStr">
        <is>
          <t>MES</t>
        </is>
      </c>
      <c r="E572" s="4" t="inlineStr">
        <is>
          <t>Day of Week</t>
        </is>
      </c>
      <c r="F572" s="4" t="inlineStr">
        <is>
          <t>Flight No</t>
        </is>
      </c>
      <c r="G572" s="4" t="inlineStr">
        <is>
          <t>Dep Stn</t>
        </is>
      </c>
      <c r="H572" s="4" t="inlineStr">
        <is>
          <t>Arr Stn</t>
        </is>
      </c>
      <c r="I572" s="4" t="inlineStr">
        <is>
          <t>STD</t>
        </is>
      </c>
      <c r="J572" s="4" t="inlineStr">
        <is>
          <t>STA</t>
        </is>
      </c>
      <c r="K572" s="4" t="inlineStr">
        <is>
          <t>DAY</t>
        </is>
      </c>
      <c r="L572" s="4" t="inlineStr">
        <is>
          <t>AC Type</t>
        </is>
      </c>
      <c r="M572" s="4" t="inlineStr">
        <is>
          <t>HBT</t>
        </is>
      </c>
      <c r="N572" s="6" t="inlineStr">
        <is>
          <t>DIA_DUTY</t>
        </is>
      </c>
      <c r="O572" s="3" t="n"/>
      <c r="Q572">
        <f>"- "&amp;G573&amp;"-"&amp;H573</f>
        <v/>
      </c>
      <c r="R572" s="7">
        <f>B573</f>
        <v/>
      </c>
      <c r="S572" s="7">
        <f>C573</f>
        <v/>
      </c>
      <c r="T572" s="7">
        <f>E573</f>
        <v/>
      </c>
      <c r="U572" s="7">
        <f>F573&amp;"/"&amp;F574</f>
        <v/>
      </c>
      <c r="V572" s="7">
        <f>G573&amp;"-"&amp;H573&amp;"-"&amp;G573</f>
        <v/>
      </c>
      <c r="W572" s="7">
        <f>IF(O572="","",O572)</f>
        <v/>
      </c>
      <c r="X572" s="7">
        <f>IF(Q571="","",Q571)</f>
        <v/>
      </c>
      <c r="Y572" s="7">
        <f>C573</f>
        <v/>
      </c>
      <c r="Z572" s="7">
        <f>C574</f>
        <v/>
      </c>
    </row>
    <row r="573">
      <c r="B573" s="7" t="n">
        <v>58</v>
      </c>
      <c r="C573" s="7" t="inlineStr">
        <is>
          <t>28/10/2026</t>
        </is>
      </c>
      <c r="D573" s="7" t="inlineStr">
        <is>
          <t>Oct-2026</t>
        </is>
      </c>
      <c r="E573" s="7" t="inlineStr">
        <is>
          <t>miércoles</t>
        </is>
      </c>
      <c r="F573" s="7" t="n">
        <v>2697</v>
      </c>
      <c r="G573" s="7" t="inlineStr">
        <is>
          <t>LIM</t>
        </is>
      </c>
      <c r="H573" s="7" t="inlineStr">
        <is>
          <t>SCL</t>
        </is>
      </c>
      <c r="I573" s="7" t="inlineStr">
        <is>
          <t>09:35:00</t>
        </is>
      </c>
      <c r="J573" s="7" t="inlineStr">
        <is>
          <t>13:00:00</t>
        </is>
      </c>
      <c r="K573" s="7" t="inlineStr">
        <is>
          <t>NO</t>
        </is>
      </c>
      <c r="L573" s="7" t="n">
        <v>789</v>
      </c>
      <c r="M573" s="7" t="inlineStr">
        <is>
          <t>03:25:00</t>
        </is>
      </c>
      <c r="N573" s="7" t="n">
        <v>1</v>
      </c>
      <c r="Q573">
        <f>"- LA "&amp;F573&amp;" ("&amp;LEFT(I573,5)&amp;"-"&amp;LEFT(J573,5)&amp;" hrs)"</f>
        <v/>
      </c>
    </row>
    <row r="574">
      <c r="B574" s="7" t="n">
        <v>58</v>
      </c>
      <c r="C574" s="7" t="inlineStr">
        <is>
          <t>28/10/2026</t>
        </is>
      </c>
      <c r="D574" s="7" t="inlineStr">
        <is>
          <t>Oct-2026</t>
        </is>
      </c>
      <c r="E574" s="7" t="inlineStr">
        <is>
          <t>miércoles</t>
        </is>
      </c>
      <c r="F574" s="7" t="n">
        <v>2696</v>
      </c>
      <c r="G574" s="7" t="inlineStr">
        <is>
          <t>SCL</t>
        </is>
      </c>
      <c r="H574" s="7" t="inlineStr">
        <is>
          <t>LIM</t>
        </is>
      </c>
      <c r="I574" s="7" t="inlineStr">
        <is>
          <t>15:55:00</t>
        </is>
      </c>
      <c r="J574" s="7" t="inlineStr">
        <is>
          <t>19:40:00</t>
        </is>
      </c>
      <c r="K574" s="7" t="inlineStr">
        <is>
          <t>NO</t>
        </is>
      </c>
      <c r="L574" s="7" t="n">
        <v>788</v>
      </c>
      <c r="M574" s="7" t="inlineStr">
        <is>
          <t>03:45:00</t>
        </is>
      </c>
      <c r="N574" s="7" t="n">
        <v>1</v>
      </c>
      <c r="O574">
        <f>IF(O572="","",O572)</f>
        <v/>
      </c>
      <c r="Q574">
        <f>IF(Q571="","",Q571)</f>
        <v/>
      </c>
    </row>
    <row r="575">
      <c r="Q575">
        <f>"- "&amp;G574&amp;"-"&amp;H574</f>
        <v/>
      </c>
    </row>
    <row r="576">
      <c r="Q576">
        <f>"- LA "&amp;F574&amp;" ("&amp;LEFT(I574,5)&amp;"-"&amp;LEFT(J574,5)&amp;" hrs)"</f>
        <v/>
      </c>
    </row>
    <row r="578">
      <c r="Q578" s="3" t="n"/>
    </row>
    <row r="579">
      <c r="B579" s="4" t="inlineStr">
        <is>
          <t>Pairing ID</t>
        </is>
      </c>
      <c r="C579" s="4" t="inlineStr">
        <is>
          <t>FECHA REAL</t>
        </is>
      </c>
      <c r="D579" s="5" t="inlineStr">
        <is>
          <t>MES</t>
        </is>
      </c>
      <c r="E579" s="4" t="inlineStr">
        <is>
          <t>Day of Week</t>
        </is>
      </c>
      <c r="F579" s="4" t="inlineStr">
        <is>
          <t>Flight No</t>
        </is>
      </c>
      <c r="G579" s="4" t="inlineStr">
        <is>
          <t>Dep Stn</t>
        </is>
      </c>
      <c r="H579" s="4" t="inlineStr">
        <is>
          <t>Arr Stn</t>
        </is>
      </c>
      <c r="I579" s="4" t="inlineStr">
        <is>
          <t>STD</t>
        </is>
      </c>
      <c r="J579" s="4" t="inlineStr">
        <is>
          <t>STA</t>
        </is>
      </c>
      <c r="K579" s="4" t="inlineStr">
        <is>
          <t>DAY</t>
        </is>
      </c>
      <c r="L579" s="4" t="inlineStr">
        <is>
          <t>AC Type</t>
        </is>
      </c>
      <c r="M579" s="4" t="inlineStr">
        <is>
          <t>HBT</t>
        </is>
      </c>
      <c r="N579" s="6" t="inlineStr">
        <is>
          <t>DIA_DUTY</t>
        </is>
      </c>
      <c r="O579" s="3" t="n"/>
      <c r="Q579">
        <f>"- "&amp;G580&amp;"-"&amp;H580</f>
        <v/>
      </c>
      <c r="R579" s="7">
        <f>B580</f>
        <v/>
      </c>
      <c r="S579" s="7">
        <f>C580</f>
        <v/>
      </c>
      <c r="T579" s="7">
        <f>E580</f>
        <v/>
      </c>
      <c r="U579" s="7">
        <f>F580&amp;"/"&amp;F581</f>
        <v/>
      </c>
      <c r="V579" s="7">
        <f>G580&amp;"-"&amp;H580&amp;"-"&amp;G580</f>
        <v/>
      </c>
      <c r="W579" s="7">
        <f>IF(O579="","",O579)</f>
        <v/>
      </c>
      <c r="X579" s="7">
        <f>IF(Q578="","",Q578)</f>
        <v/>
      </c>
      <c r="Y579" s="7">
        <f>C580</f>
        <v/>
      </c>
      <c r="Z579" s="7">
        <f>C581</f>
        <v/>
      </c>
    </row>
    <row r="580">
      <c r="B580" s="7" t="n">
        <v>60</v>
      </c>
      <c r="C580" s="7" t="inlineStr">
        <is>
          <t>29/10/2026</t>
        </is>
      </c>
      <c r="D580" s="7" t="inlineStr">
        <is>
          <t>Oct-2026</t>
        </is>
      </c>
      <c r="E580" s="7" t="inlineStr">
        <is>
          <t>jueves</t>
        </is>
      </c>
      <c r="F580" s="7" t="n">
        <v>2697</v>
      </c>
      <c r="G580" s="7" t="inlineStr">
        <is>
          <t>LIM</t>
        </is>
      </c>
      <c r="H580" s="7" t="inlineStr">
        <is>
          <t>SCL</t>
        </is>
      </c>
      <c r="I580" s="7" t="inlineStr">
        <is>
          <t>09:35:00</t>
        </is>
      </c>
      <c r="J580" s="7" t="inlineStr">
        <is>
          <t>13:00:00</t>
        </is>
      </c>
      <c r="K580" s="7" t="inlineStr">
        <is>
          <t>NO</t>
        </is>
      </c>
      <c r="L580" s="7" t="n">
        <v>789</v>
      </c>
      <c r="M580" s="7" t="inlineStr">
        <is>
          <t>03:25:00</t>
        </is>
      </c>
      <c r="N580" s="7" t="n">
        <v>1</v>
      </c>
      <c r="Q580">
        <f>"- LA "&amp;F580&amp;" ("&amp;LEFT(I580,5)&amp;"-"&amp;LEFT(J580,5)&amp;" hrs)"</f>
        <v/>
      </c>
    </row>
    <row r="581">
      <c r="B581" s="7" t="n">
        <v>60</v>
      </c>
      <c r="C581" s="7" t="inlineStr">
        <is>
          <t>29/10/2026</t>
        </is>
      </c>
      <c r="D581" s="7" t="inlineStr">
        <is>
          <t>Oct-2026</t>
        </is>
      </c>
      <c r="E581" s="7" t="inlineStr">
        <is>
          <t>jueves</t>
        </is>
      </c>
      <c r="F581" s="7" t="n">
        <v>2696</v>
      </c>
      <c r="G581" s="7" t="inlineStr">
        <is>
          <t>SCL</t>
        </is>
      </c>
      <c r="H581" s="7" t="inlineStr">
        <is>
          <t>LIM</t>
        </is>
      </c>
      <c r="I581" s="7" t="inlineStr">
        <is>
          <t>15:55:00</t>
        </is>
      </c>
      <c r="J581" s="7" t="inlineStr">
        <is>
          <t>19:40:00</t>
        </is>
      </c>
      <c r="K581" s="7" t="inlineStr">
        <is>
          <t>NO</t>
        </is>
      </c>
      <c r="L581" s="7" t="n">
        <v>789</v>
      </c>
      <c r="M581" s="7" t="inlineStr">
        <is>
          <t>03:45:00</t>
        </is>
      </c>
      <c r="N581" s="7" t="n">
        <v>1</v>
      </c>
      <c r="O581">
        <f>IF(O579="","",O579)</f>
        <v/>
      </c>
      <c r="Q581">
        <f>IF(Q578="","",Q578)</f>
        <v/>
      </c>
    </row>
    <row r="582">
      <c r="Q582">
        <f>"- "&amp;G581&amp;"-"&amp;H581</f>
        <v/>
      </c>
    </row>
    <row r="583">
      <c r="Q583">
        <f>"- LA "&amp;F581&amp;" ("&amp;LEFT(I581,5)&amp;"-"&amp;LEFT(J581,5)&amp;" hrs)"</f>
        <v/>
      </c>
    </row>
    <row r="585">
      <c r="Q585" s="3" t="n"/>
    </row>
    <row r="586">
      <c r="B586" s="4" t="inlineStr">
        <is>
          <t>Pairing ID</t>
        </is>
      </c>
      <c r="C586" s="4" t="inlineStr">
        <is>
          <t>FECHA REAL</t>
        </is>
      </c>
      <c r="D586" s="5" t="inlineStr">
        <is>
          <t>MES</t>
        </is>
      </c>
      <c r="E586" s="4" t="inlineStr">
        <is>
          <t>Day of Week</t>
        </is>
      </c>
      <c r="F586" s="4" t="inlineStr">
        <is>
          <t>Flight No</t>
        </is>
      </c>
      <c r="G586" s="4" t="inlineStr">
        <is>
          <t>Dep Stn</t>
        </is>
      </c>
      <c r="H586" s="4" t="inlineStr">
        <is>
          <t>Arr Stn</t>
        </is>
      </c>
      <c r="I586" s="4" t="inlineStr">
        <is>
          <t>STD</t>
        </is>
      </c>
      <c r="J586" s="4" t="inlineStr">
        <is>
          <t>STA</t>
        </is>
      </c>
      <c r="K586" s="4" t="inlineStr">
        <is>
          <t>DAY</t>
        </is>
      </c>
      <c r="L586" s="4" t="inlineStr">
        <is>
          <t>AC Type</t>
        </is>
      </c>
      <c r="M586" s="4" t="inlineStr">
        <is>
          <t>HBT</t>
        </is>
      </c>
      <c r="N586" s="6" t="inlineStr">
        <is>
          <t>DIA_DUTY</t>
        </is>
      </c>
      <c r="O586" s="3" t="n"/>
      <c r="Q586">
        <f>"- "&amp;G587&amp;"-"&amp;H587</f>
        <v/>
      </c>
      <c r="R586" s="7">
        <f>B587</f>
        <v/>
      </c>
      <c r="S586" s="7">
        <f>C587</f>
        <v/>
      </c>
      <c r="T586" s="7">
        <f>E587</f>
        <v/>
      </c>
      <c r="U586" s="7">
        <f>F587&amp;"/"&amp;F588</f>
        <v/>
      </c>
      <c r="V586" s="7">
        <f>G587&amp;"-"&amp;H587&amp;"-"&amp;G587</f>
        <v/>
      </c>
      <c r="W586" s="7">
        <f>IF(O586="","",O586)</f>
        <v/>
      </c>
      <c r="X586" s="7">
        <f>IF(Q585="","",Q585)</f>
        <v/>
      </c>
      <c r="Y586" s="7">
        <f>C587</f>
        <v/>
      </c>
      <c r="Z586" s="7">
        <f>C588</f>
        <v/>
      </c>
    </row>
    <row r="587">
      <c r="B587" s="7" t="n">
        <v>60</v>
      </c>
      <c r="C587" s="7" t="inlineStr">
        <is>
          <t>07/10/2026</t>
        </is>
      </c>
      <c r="D587" s="7" t="inlineStr">
        <is>
          <t>Oct-2026</t>
        </is>
      </c>
      <c r="E587" s="7" t="inlineStr">
        <is>
          <t>miércoles</t>
        </is>
      </c>
      <c r="F587" s="7" t="n">
        <v>2480</v>
      </c>
      <c r="G587" s="7" t="inlineStr">
        <is>
          <t>LIM</t>
        </is>
      </c>
      <c r="H587" s="7" t="inlineStr">
        <is>
          <t>MIA</t>
        </is>
      </c>
      <c r="I587" s="7" t="inlineStr">
        <is>
          <t>00:15:00</t>
        </is>
      </c>
      <c r="J587" s="7" t="inlineStr">
        <is>
          <t>06:10:00</t>
        </is>
      </c>
      <c r="K587" s="7" t="inlineStr">
        <is>
          <t>NO</t>
        </is>
      </c>
      <c r="L587" s="7" t="n">
        <v>763</v>
      </c>
      <c r="M587" s="7" t="inlineStr">
        <is>
          <t>05:55:00</t>
        </is>
      </c>
      <c r="N587" s="7" t="n">
        <v>2</v>
      </c>
      <c r="Q587">
        <f>"- LA "&amp;F587&amp;" ("&amp;LEFT(I587,5)&amp;"-"&amp;LEFT(J587,5)&amp;" hrs)"</f>
        <v/>
      </c>
    </row>
    <row r="588">
      <c r="B588" s="7" t="n">
        <v>60</v>
      </c>
      <c r="C588" s="7" t="inlineStr">
        <is>
          <t>09/10/2026</t>
        </is>
      </c>
      <c r="D588" s="7" t="inlineStr">
        <is>
          <t>Oct-2026</t>
        </is>
      </c>
      <c r="E588" s="7" t="inlineStr">
        <is>
          <t>viernes</t>
        </is>
      </c>
      <c r="F588" s="7" t="n">
        <v>2699</v>
      </c>
      <c r="G588" s="7" t="inlineStr">
        <is>
          <t>MIA</t>
        </is>
      </c>
      <c r="H588" s="7" t="inlineStr">
        <is>
          <t>LIM</t>
        </is>
      </c>
      <c r="I588" s="7" t="inlineStr">
        <is>
          <t>23:15:00</t>
        </is>
      </c>
      <c r="J588" s="7" t="inlineStr">
        <is>
          <t>05:00:00</t>
        </is>
      </c>
      <c r="K588" s="7" t="inlineStr">
        <is>
          <t>NO</t>
        </is>
      </c>
      <c r="L588" s="7" t="n">
        <v>763</v>
      </c>
      <c r="M588" s="7" t="inlineStr">
        <is>
          <t>05:45:00</t>
        </is>
      </c>
      <c r="N588" s="7" t="n">
        <v>3</v>
      </c>
      <c r="O588">
        <f>IF(O586="","",O586)</f>
        <v/>
      </c>
      <c r="Q588">
        <f>IF(Q585="","",Q585)</f>
        <v/>
      </c>
    </row>
    <row r="589">
      <c r="Q589">
        <f>"- "&amp;G588&amp;"-"&amp;H588</f>
        <v/>
      </c>
    </row>
    <row r="590">
      <c r="Q590">
        <f>"- LA "&amp;F588&amp;" ("&amp;LEFT(I588,5)&amp;"-"&amp;LEFT(J588,5)&amp;" hrs)"</f>
        <v/>
      </c>
    </row>
    <row r="592">
      <c r="Q592" s="3" t="n"/>
    </row>
    <row r="593">
      <c r="B593" s="4" t="inlineStr">
        <is>
          <t>Pairing ID</t>
        </is>
      </c>
      <c r="C593" s="4" t="inlineStr">
        <is>
          <t>FECHA REAL</t>
        </is>
      </c>
      <c r="D593" s="5" t="inlineStr">
        <is>
          <t>MES</t>
        </is>
      </c>
      <c r="E593" s="4" t="inlineStr">
        <is>
          <t>Day of Week</t>
        </is>
      </c>
      <c r="F593" s="4" t="inlineStr">
        <is>
          <t>Flight No</t>
        </is>
      </c>
      <c r="G593" s="4" t="inlineStr">
        <is>
          <t>Dep Stn</t>
        </is>
      </c>
      <c r="H593" s="4" t="inlineStr">
        <is>
          <t>Arr Stn</t>
        </is>
      </c>
      <c r="I593" s="4" t="inlineStr">
        <is>
          <t>STD</t>
        </is>
      </c>
      <c r="J593" s="4" t="inlineStr">
        <is>
          <t>STA</t>
        </is>
      </c>
      <c r="K593" s="4" t="inlineStr">
        <is>
          <t>DAY</t>
        </is>
      </c>
      <c r="L593" s="4" t="inlineStr">
        <is>
          <t>AC Type</t>
        </is>
      </c>
      <c r="M593" s="4" t="inlineStr">
        <is>
          <t>HBT</t>
        </is>
      </c>
      <c r="N593" s="6" t="inlineStr">
        <is>
          <t>DIA_DUTY</t>
        </is>
      </c>
      <c r="O593" s="3" t="n"/>
      <c r="Q593">
        <f>"- "&amp;G594&amp;"-"&amp;H594</f>
        <v/>
      </c>
      <c r="R593" s="7">
        <f>B594</f>
        <v/>
      </c>
      <c r="S593" s="7">
        <f>C594</f>
        <v/>
      </c>
      <c r="T593" s="7">
        <f>E594</f>
        <v/>
      </c>
      <c r="U593" s="7">
        <f>F594&amp;"/"&amp;F595</f>
        <v/>
      </c>
      <c r="V593" s="7">
        <f>G594&amp;"-"&amp;H594&amp;"-"&amp;G594</f>
        <v/>
      </c>
      <c r="W593" s="7">
        <f>IF(O593="","",O593)</f>
        <v/>
      </c>
      <c r="X593" s="7">
        <f>IF(Q592="","",Q592)</f>
        <v/>
      </c>
      <c r="Y593" s="7">
        <f>C594</f>
        <v/>
      </c>
      <c r="Z593" s="7">
        <f>C595</f>
        <v/>
      </c>
    </row>
    <row r="594">
      <c r="B594" s="7" t="n">
        <v>62</v>
      </c>
      <c r="C594" s="7" t="inlineStr">
        <is>
          <t>30/10/2026</t>
        </is>
      </c>
      <c r="D594" s="7" t="inlineStr">
        <is>
          <t>Oct-2026</t>
        </is>
      </c>
      <c r="E594" s="7" t="inlineStr">
        <is>
          <t>viernes</t>
        </is>
      </c>
      <c r="F594" s="7" t="n">
        <v>2697</v>
      </c>
      <c r="G594" s="7" t="inlineStr">
        <is>
          <t>LIM</t>
        </is>
      </c>
      <c r="H594" s="7" t="inlineStr">
        <is>
          <t>SCL</t>
        </is>
      </c>
      <c r="I594" s="7" t="inlineStr">
        <is>
          <t>09:35:00</t>
        </is>
      </c>
      <c r="J594" s="7" t="inlineStr">
        <is>
          <t>13:00:00</t>
        </is>
      </c>
      <c r="K594" s="7" t="inlineStr">
        <is>
          <t>NO</t>
        </is>
      </c>
      <c r="L594" s="7" t="n">
        <v>788</v>
      </c>
      <c r="M594" s="7" t="inlineStr">
        <is>
          <t>03:25:00</t>
        </is>
      </c>
      <c r="N594" s="7" t="n">
        <v>1</v>
      </c>
      <c r="Q594">
        <f>"- LA "&amp;F594&amp;" ("&amp;LEFT(I594,5)&amp;"-"&amp;LEFT(J594,5)&amp;" hrs)"</f>
        <v/>
      </c>
    </row>
    <row r="595">
      <c r="B595" s="7" t="n">
        <v>62</v>
      </c>
      <c r="C595" s="7" t="inlineStr">
        <is>
          <t>30/10/2026</t>
        </is>
      </c>
      <c r="D595" s="7" t="inlineStr">
        <is>
          <t>Oct-2026</t>
        </is>
      </c>
      <c r="E595" s="7" t="inlineStr">
        <is>
          <t>viernes</t>
        </is>
      </c>
      <c r="F595" s="7" t="n">
        <v>2696</v>
      </c>
      <c r="G595" s="7" t="inlineStr">
        <is>
          <t>SCL</t>
        </is>
      </c>
      <c r="H595" s="7" t="inlineStr">
        <is>
          <t>LIM</t>
        </is>
      </c>
      <c r="I595" s="7" t="inlineStr">
        <is>
          <t>15:55:00</t>
        </is>
      </c>
      <c r="J595" s="7" t="inlineStr">
        <is>
          <t>19:40:00</t>
        </is>
      </c>
      <c r="K595" s="7" t="inlineStr">
        <is>
          <t>NO</t>
        </is>
      </c>
      <c r="L595" s="7" t="n">
        <v>788</v>
      </c>
      <c r="M595" s="7" t="inlineStr">
        <is>
          <t>03:45:00</t>
        </is>
      </c>
      <c r="N595" s="7" t="n">
        <v>1</v>
      </c>
      <c r="O595">
        <f>IF(O593="","",O593)</f>
        <v/>
      </c>
      <c r="Q595">
        <f>IF(Q592="","",Q592)</f>
        <v/>
      </c>
    </row>
    <row r="596">
      <c r="Q596">
        <f>"- "&amp;G595&amp;"-"&amp;H595</f>
        <v/>
      </c>
    </row>
    <row r="597">
      <c r="Q597">
        <f>"- LA "&amp;F595&amp;" ("&amp;LEFT(I595,5)&amp;"-"&amp;LEFT(J595,5)&amp;" hrs)"</f>
        <v/>
      </c>
    </row>
    <row r="599">
      <c r="Q599" s="3" t="n"/>
    </row>
    <row r="600">
      <c r="B600" s="4" t="inlineStr">
        <is>
          <t>Pairing ID</t>
        </is>
      </c>
      <c r="C600" s="4" t="inlineStr">
        <is>
          <t>FECHA REAL</t>
        </is>
      </c>
      <c r="D600" s="5" t="inlineStr">
        <is>
          <t>MES</t>
        </is>
      </c>
      <c r="E600" s="4" t="inlineStr">
        <is>
          <t>Day of Week</t>
        </is>
      </c>
      <c r="F600" s="4" t="inlineStr">
        <is>
          <t>Flight No</t>
        </is>
      </c>
      <c r="G600" s="4" t="inlineStr">
        <is>
          <t>Dep Stn</t>
        </is>
      </c>
      <c r="H600" s="4" t="inlineStr">
        <is>
          <t>Arr Stn</t>
        </is>
      </c>
      <c r="I600" s="4" t="inlineStr">
        <is>
          <t>STD</t>
        </is>
      </c>
      <c r="J600" s="4" t="inlineStr">
        <is>
          <t>STA</t>
        </is>
      </c>
      <c r="K600" s="4" t="inlineStr">
        <is>
          <t>DAY</t>
        </is>
      </c>
      <c r="L600" s="4" t="inlineStr">
        <is>
          <t>AC Type</t>
        </is>
      </c>
      <c r="M600" s="4" t="inlineStr">
        <is>
          <t>HBT</t>
        </is>
      </c>
      <c r="N600" s="6" t="inlineStr">
        <is>
          <t>DIA_DUTY</t>
        </is>
      </c>
      <c r="O600" s="3" t="n"/>
      <c r="Q600">
        <f>"- "&amp;G601&amp;"-"&amp;H601</f>
        <v/>
      </c>
      <c r="R600" s="7">
        <f>B601</f>
        <v/>
      </c>
      <c r="S600" s="7">
        <f>C601</f>
        <v/>
      </c>
      <c r="T600" s="7">
        <f>E601</f>
        <v/>
      </c>
      <c r="U600" s="7">
        <f>F601&amp;"/"&amp;F602</f>
        <v/>
      </c>
      <c r="V600" s="7">
        <f>G601&amp;"-"&amp;H601&amp;"-"&amp;G601</f>
        <v/>
      </c>
      <c r="W600" s="7">
        <f>IF(O600="","",O600)</f>
        <v/>
      </c>
      <c r="X600" s="7">
        <f>IF(Q599="","",Q599)</f>
        <v/>
      </c>
      <c r="Y600" s="7">
        <f>C601</f>
        <v/>
      </c>
      <c r="Z600" s="7">
        <f>C602</f>
        <v/>
      </c>
    </row>
    <row r="601">
      <c r="B601" s="7" t="n">
        <v>65</v>
      </c>
      <c r="C601" s="7" t="inlineStr">
        <is>
          <t>05/10/2026</t>
        </is>
      </c>
      <c r="D601" s="7" t="inlineStr">
        <is>
          <t>Oct-2026</t>
        </is>
      </c>
      <c r="E601" s="7" t="inlineStr">
        <is>
          <t>lunes</t>
        </is>
      </c>
      <c r="F601" s="7" t="n">
        <v>2698</v>
      </c>
      <c r="G601" s="7" t="inlineStr">
        <is>
          <t>LIM</t>
        </is>
      </c>
      <c r="H601" s="7" t="inlineStr">
        <is>
          <t>MIA</t>
        </is>
      </c>
      <c r="I601" s="7" t="inlineStr">
        <is>
          <t>08:15:00</t>
        </is>
      </c>
      <c r="J601" s="7" t="inlineStr">
        <is>
          <t>14:10:00</t>
        </is>
      </c>
      <c r="K601" s="7" t="inlineStr">
        <is>
          <t>NO</t>
        </is>
      </c>
      <c r="L601" s="7" t="n">
        <v>763</v>
      </c>
      <c r="M601" s="7" t="inlineStr">
        <is>
          <t>05:55:00</t>
        </is>
      </c>
      <c r="N601" s="7" t="n">
        <v>1</v>
      </c>
      <c r="Q601">
        <f>"- LA "&amp;F601&amp;" ("&amp;LEFT(I601,5)&amp;"-"&amp;LEFT(J601,5)&amp;" hrs)"</f>
        <v/>
      </c>
    </row>
    <row r="602">
      <c r="B602" s="7" t="n">
        <v>65</v>
      </c>
      <c r="C602" s="7" t="inlineStr">
        <is>
          <t>06/10/2026</t>
        </is>
      </c>
      <c r="D602" s="7" t="inlineStr">
        <is>
          <t>Oct-2026</t>
        </is>
      </c>
      <c r="E602" s="7" t="inlineStr">
        <is>
          <t>martes</t>
        </is>
      </c>
      <c r="F602" s="7" t="n">
        <v>2695</v>
      </c>
      <c r="G602" s="7" t="inlineStr">
        <is>
          <t>MIA</t>
        </is>
      </c>
      <c r="H602" s="7" t="inlineStr">
        <is>
          <t>LIM</t>
        </is>
      </c>
      <c r="I602" s="7" t="inlineStr">
        <is>
          <t>16:10:00</t>
        </is>
      </c>
      <c r="J602" s="7" t="inlineStr">
        <is>
          <t>22:00:00</t>
        </is>
      </c>
      <c r="K602" s="7" t="inlineStr">
        <is>
          <t>NO</t>
        </is>
      </c>
      <c r="L602" s="7" t="n">
        <v>763</v>
      </c>
      <c r="M602" s="7" t="inlineStr">
        <is>
          <t>05:50:00</t>
        </is>
      </c>
      <c r="N602" s="7" t="n">
        <v>2</v>
      </c>
      <c r="O602">
        <f>IF(O600="","",O600)</f>
        <v/>
      </c>
      <c r="Q602">
        <f>IF(Q599="","",Q599)</f>
        <v/>
      </c>
    </row>
    <row r="603">
      <c r="Q603">
        <f>"- "&amp;G602&amp;"-"&amp;H602</f>
        <v/>
      </c>
    </row>
    <row r="604">
      <c r="Q604">
        <f>"- LA "&amp;F602&amp;" ("&amp;LEFT(I602,5)&amp;"-"&amp;LEFT(J602,5)&amp;" hrs)"</f>
        <v/>
      </c>
    </row>
    <row r="606">
      <c r="Q606" s="3" t="n"/>
    </row>
    <row r="607">
      <c r="B607" s="4" t="inlineStr">
        <is>
          <t>Pairing ID</t>
        </is>
      </c>
      <c r="C607" s="4" t="inlineStr">
        <is>
          <t>FECHA REAL</t>
        </is>
      </c>
      <c r="D607" s="5" t="inlineStr">
        <is>
          <t>MES</t>
        </is>
      </c>
      <c r="E607" s="4" t="inlineStr">
        <is>
          <t>Day of Week</t>
        </is>
      </c>
      <c r="F607" s="4" t="inlineStr">
        <is>
          <t>Flight No</t>
        </is>
      </c>
      <c r="G607" s="4" t="inlineStr">
        <is>
          <t>Dep Stn</t>
        </is>
      </c>
      <c r="H607" s="4" t="inlineStr">
        <is>
          <t>Arr Stn</t>
        </is>
      </c>
      <c r="I607" s="4" t="inlineStr">
        <is>
          <t>STD</t>
        </is>
      </c>
      <c r="J607" s="4" t="inlineStr">
        <is>
          <t>STA</t>
        </is>
      </c>
      <c r="K607" s="4" t="inlineStr">
        <is>
          <t>DAY</t>
        </is>
      </c>
      <c r="L607" s="4" t="inlineStr">
        <is>
          <t>AC Type</t>
        </is>
      </c>
      <c r="M607" s="4" t="inlineStr">
        <is>
          <t>HBT</t>
        </is>
      </c>
      <c r="N607" s="6" t="inlineStr">
        <is>
          <t>DIA_DUTY</t>
        </is>
      </c>
      <c r="O607" s="3" t="n"/>
      <c r="Q607">
        <f>"- "&amp;G608&amp;"-"&amp;H608</f>
        <v/>
      </c>
      <c r="R607" s="7">
        <f>B608</f>
        <v/>
      </c>
      <c r="S607" s="7">
        <f>C608</f>
        <v/>
      </c>
      <c r="T607" s="7">
        <f>E608</f>
        <v/>
      </c>
      <c r="U607" s="7">
        <f>F608&amp;"/"&amp;F609</f>
        <v/>
      </c>
      <c r="V607" s="7">
        <f>G608&amp;"-"&amp;H608&amp;"-"&amp;G608</f>
        <v/>
      </c>
      <c r="W607" s="7">
        <f>IF(O607="","",O607)</f>
        <v/>
      </c>
      <c r="X607" s="7">
        <f>IF(Q606="","",Q606)</f>
        <v/>
      </c>
      <c r="Y607" s="7">
        <f>C608</f>
        <v/>
      </c>
      <c r="Z607" s="7">
        <f>C609</f>
        <v/>
      </c>
    </row>
    <row r="608">
      <c r="B608" s="7" t="n">
        <v>66</v>
      </c>
      <c r="C608" s="7" t="inlineStr">
        <is>
          <t>08/10/2026</t>
        </is>
      </c>
      <c r="D608" s="7" t="inlineStr">
        <is>
          <t>Oct-2026</t>
        </is>
      </c>
      <c r="E608" s="7" t="inlineStr">
        <is>
          <t>jueves</t>
        </is>
      </c>
      <c r="F608" s="7" t="n">
        <v>2480</v>
      </c>
      <c r="G608" s="7" t="inlineStr">
        <is>
          <t>LIM</t>
        </is>
      </c>
      <c r="H608" s="7" t="inlineStr">
        <is>
          <t>MIA</t>
        </is>
      </c>
      <c r="I608" s="7" t="inlineStr">
        <is>
          <t>00:15:00</t>
        </is>
      </c>
      <c r="J608" s="7" t="inlineStr">
        <is>
          <t>06:10:00</t>
        </is>
      </c>
      <c r="K608" s="7" t="inlineStr">
        <is>
          <t>NO</t>
        </is>
      </c>
      <c r="L608" s="7" t="n">
        <v>763</v>
      </c>
      <c r="M608" s="7" t="inlineStr">
        <is>
          <t>05:55:00</t>
        </is>
      </c>
      <c r="N608" s="7" t="n">
        <v>2</v>
      </c>
      <c r="Q608">
        <f>"- LA "&amp;F608&amp;" ("&amp;LEFT(I608,5)&amp;"-"&amp;LEFT(J608,5)&amp;" hrs)"</f>
        <v/>
      </c>
    </row>
    <row r="609">
      <c r="B609" s="7" t="n">
        <v>66</v>
      </c>
      <c r="C609" s="7" t="inlineStr">
        <is>
          <t>09/10/2026</t>
        </is>
      </c>
      <c r="D609" s="7" t="inlineStr">
        <is>
          <t>Oct-2026</t>
        </is>
      </c>
      <c r="E609" s="7" t="inlineStr">
        <is>
          <t>viernes</t>
        </is>
      </c>
      <c r="F609" s="7" t="n">
        <v>2481</v>
      </c>
      <c r="G609" s="7" t="inlineStr">
        <is>
          <t>MIA</t>
        </is>
      </c>
      <c r="H609" s="7" t="inlineStr">
        <is>
          <t>LIM</t>
        </is>
      </c>
      <c r="I609" s="7" t="inlineStr">
        <is>
          <t>15:55:00</t>
        </is>
      </c>
      <c r="J609" s="7" t="inlineStr">
        <is>
          <t>21:40:00</t>
        </is>
      </c>
      <c r="K609" s="7" t="inlineStr">
        <is>
          <t>NO</t>
        </is>
      </c>
      <c r="L609" s="7" t="n">
        <v>763</v>
      </c>
      <c r="M609" s="7" t="inlineStr">
        <is>
          <t>05:45:00</t>
        </is>
      </c>
      <c r="N609" s="7" t="n">
        <v>3</v>
      </c>
      <c r="O609">
        <f>IF(O607="","",O607)</f>
        <v/>
      </c>
      <c r="Q609">
        <f>IF(Q606="","",Q606)</f>
        <v/>
      </c>
    </row>
    <row r="610">
      <c r="Q610">
        <f>"- "&amp;G609&amp;"-"&amp;H609</f>
        <v/>
      </c>
    </row>
    <row r="611">
      <c r="Q611">
        <f>"- LA "&amp;F609&amp;" ("&amp;LEFT(I609,5)&amp;"-"&amp;LEFT(J609,5)&amp;" hrs)"</f>
        <v/>
      </c>
    </row>
    <row r="613">
      <c r="Q613" s="3" t="n"/>
    </row>
    <row r="614">
      <c r="B614" s="4" t="inlineStr">
        <is>
          <t>Pairing ID</t>
        </is>
      </c>
      <c r="C614" s="4" t="inlineStr">
        <is>
          <t>FECHA REAL</t>
        </is>
      </c>
      <c r="D614" s="5" t="inlineStr">
        <is>
          <t>MES</t>
        </is>
      </c>
      <c r="E614" s="4" t="inlineStr">
        <is>
          <t>Day of Week</t>
        </is>
      </c>
      <c r="F614" s="4" t="inlineStr">
        <is>
          <t>Flight No</t>
        </is>
      </c>
      <c r="G614" s="4" t="inlineStr">
        <is>
          <t>Dep Stn</t>
        </is>
      </c>
      <c r="H614" s="4" t="inlineStr">
        <is>
          <t>Arr Stn</t>
        </is>
      </c>
      <c r="I614" s="4" t="inlineStr">
        <is>
          <t>STD</t>
        </is>
      </c>
      <c r="J614" s="4" t="inlineStr">
        <is>
          <t>STA</t>
        </is>
      </c>
      <c r="K614" s="4" t="inlineStr">
        <is>
          <t>DAY</t>
        </is>
      </c>
      <c r="L614" s="4" t="inlineStr">
        <is>
          <t>AC Type</t>
        </is>
      </c>
      <c r="M614" s="4" t="inlineStr">
        <is>
          <t>HBT</t>
        </is>
      </c>
      <c r="N614" s="6" t="inlineStr">
        <is>
          <t>DIA_DUTY</t>
        </is>
      </c>
      <c r="O614" s="3" t="n"/>
      <c r="Q614">
        <f>"- "&amp;G615&amp;"-"&amp;H615</f>
        <v/>
      </c>
      <c r="R614" s="7">
        <f>B615</f>
        <v/>
      </c>
      <c r="S614" s="7">
        <f>C615</f>
        <v/>
      </c>
      <c r="T614" s="7">
        <f>E615</f>
        <v/>
      </c>
      <c r="U614" s="7">
        <f>F615&amp;"/"&amp;F616</f>
        <v/>
      </c>
      <c r="V614" s="7">
        <f>G615&amp;"-"&amp;H615&amp;"-"&amp;G615</f>
        <v/>
      </c>
      <c r="W614" s="7">
        <f>IF(O614="","",O614)</f>
        <v/>
      </c>
      <c r="X614" s="7">
        <f>IF(Q613="","",Q613)</f>
        <v/>
      </c>
      <c r="Y614" s="7">
        <f>C615</f>
        <v/>
      </c>
      <c r="Z614" s="7">
        <f>C616</f>
        <v/>
      </c>
    </row>
    <row r="615">
      <c r="B615" s="7" t="n">
        <v>67</v>
      </c>
      <c r="C615" s="7" t="inlineStr">
        <is>
          <t>05/10/2026</t>
        </is>
      </c>
      <c r="D615" s="7" t="inlineStr">
        <is>
          <t>Oct-2026</t>
        </is>
      </c>
      <c r="E615" s="7" t="inlineStr">
        <is>
          <t>lunes</t>
        </is>
      </c>
      <c r="F615" s="7" t="n">
        <v>2697</v>
      </c>
      <c r="G615" s="7" t="inlineStr">
        <is>
          <t>LIM</t>
        </is>
      </c>
      <c r="H615" s="7" t="inlineStr">
        <is>
          <t>SCL</t>
        </is>
      </c>
      <c r="I615" s="7" t="inlineStr">
        <is>
          <t>09:35:00</t>
        </is>
      </c>
      <c r="J615" s="7" t="inlineStr">
        <is>
          <t>13:00:00</t>
        </is>
      </c>
      <c r="K615" s="7" t="inlineStr">
        <is>
          <t>NO</t>
        </is>
      </c>
      <c r="L615" s="7" t="n">
        <v>789</v>
      </c>
      <c r="M615" s="7" t="inlineStr">
        <is>
          <t>03:25:00</t>
        </is>
      </c>
      <c r="N615" s="7" t="n">
        <v>1</v>
      </c>
      <c r="Q615">
        <f>"- LA "&amp;F615&amp;" ("&amp;LEFT(I615,5)&amp;"-"&amp;LEFT(J615,5)&amp;" hrs)"</f>
        <v/>
      </c>
    </row>
    <row r="616">
      <c r="B616" s="7" t="n">
        <v>67</v>
      </c>
      <c r="C616" s="7" t="inlineStr">
        <is>
          <t>05/10/2026</t>
        </is>
      </c>
      <c r="D616" s="7" t="inlineStr">
        <is>
          <t>Oct-2026</t>
        </is>
      </c>
      <c r="E616" s="7" t="inlineStr">
        <is>
          <t>lunes</t>
        </is>
      </c>
      <c r="F616" s="7" t="n">
        <v>2696</v>
      </c>
      <c r="G616" s="7" t="inlineStr">
        <is>
          <t>SCL</t>
        </is>
      </c>
      <c r="H616" s="7" t="inlineStr">
        <is>
          <t>LIM</t>
        </is>
      </c>
      <c r="I616" s="7" t="inlineStr">
        <is>
          <t>15:55:00</t>
        </is>
      </c>
      <c r="J616" s="7" t="inlineStr">
        <is>
          <t>19:40:00</t>
        </is>
      </c>
      <c r="K616" s="7" t="inlineStr">
        <is>
          <t>NO</t>
        </is>
      </c>
      <c r="L616" s="7" t="n">
        <v>789</v>
      </c>
      <c r="M616" s="7" t="inlineStr">
        <is>
          <t>03:45:00</t>
        </is>
      </c>
      <c r="N616" s="7" t="n">
        <v>1</v>
      </c>
      <c r="O616">
        <f>IF(O614="","",O614)</f>
        <v/>
      </c>
      <c r="Q616">
        <f>IF(Q613="","",Q613)</f>
        <v/>
      </c>
    </row>
    <row r="617">
      <c r="Q617">
        <f>"- "&amp;G616&amp;"-"&amp;H616</f>
        <v/>
      </c>
    </row>
    <row r="618">
      <c r="Q618">
        <f>"- LA "&amp;F616&amp;" ("&amp;LEFT(I616,5)&amp;"-"&amp;LEFT(J616,5)&amp;" hrs)"</f>
        <v/>
      </c>
    </row>
    <row r="620">
      <c r="Q620" s="3" t="n"/>
    </row>
    <row r="621">
      <c r="B621" s="4" t="inlineStr">
        <is>
          <t>Pairing ID</t>
        </is>
      </c>
      <c r="C621" s="4" t="inlineStr">
        <is>
          <t>FECHA REAL</t>
        </is>
      </c>
      <c r="D621" s="5" t="inlineStr">
        <is>
          <t>MES</t>
        </is>
      </c>
      <c r="E621" s="4" t="inlineStr">
        <is>
          <t>Day of Week</t>
        </is>
      </c>
      <c r="F621" s="4" t="inlineStr">
        <is>
          <t>Flight No</t>
        </is>
      </c>
      <c r="G621" s="4" t="inlineStr">
        <is>
          <t>Dep Stn</t>
        </is>
      </c>
      <c r="H621" s="4" t="inlineStr">
        <is>
          <t>Arr Stn</t>
        </is>
      </c>
      <c r="I621" s="4" t="inlineStr">
        <is>
          <t>STD</t>
        </is>
      </c>
      <c r="J621" s="4" t="inlineStr">
        <is>
          <t>STA</t>
        </is>
      </c>
      <c r="K621" s="4" t="inlineStr">
        <is>
          <t>DAY</t>
        </is>
      </c>
      <c r="L621" s="4" t="inlineStr">
        <is>
          <t>AC Type</t>
        </is>
      </c>
      <c r="M621" s="4" t="inlineStr">
        <is>
          <t>HBT</t>
        </is>
      </c>
      <c r="N621" s="6" t="inlineStr">
        <is>
          <t>DIA_DUTY</t>
        </is>
      </c>
      <c r="O621" s="3" t="n"/>
      <c r="Q621">
        <f>"- "&amp;G622&amp;"-"&amp;H622</f>
        <v/>
      </c>
      <c r="R621" s="7">
        <f>B622</f>
        <v/>
      </c>
      <c r="S621" s="7">
        <f>C622</f>
        <v/>
      </c>
      <c r="T621" s="7">
        <f>E622</f>
        <v/>
      </c>
      <c r="U621" s="7">
        <f>F622&amp;"/"&amp;F623</f>
        <v/>
      </c>
      <c r="V621" s="7">
        <f>G622&amp;"-"&amp;H622&amp;"-"&amp;G622</f>
        <v/>
      </c>
      <c r="W621" s="7">
        <f>IF(O621="","",O621)</f>
        <v/>
      </c>
      <c r="X621" s="7">
        <f>IF(Q620="","",Q620)</f>
        <v/>
      </c>
      <c r="Y621" s="7">
        <f>C622</f>
        <v/>
      </c>
      <c r="Z621" s="7">
        <f>C623</f>
        <v/>
      </c>
    </row>
    <row r="622">
      <c r="B622" s="7" t="n">
        <v>69</v>
      </c>
      <c r="C622" s="7" t="inlineStr">
        <is>
          <t>05/10/2026</t>
        </is>
      </c>
      <c r="D622" s="7" t="inlineStr">
        <is>
          <t>Oct-2026</t>
        </is>
      </c>
      <c r="E622" s="7" t="inlineStr">
        <is>
          <t>lunes</t>
        </is>
      </c>
      <c r="F622" s="7" t="n">
        <v>2694</v>
      </c>
      <c r="G622" s="7" t="inlineStr">
        <is>
          <t>LIM</t>
        </is>
      </c>
      <c r="H622" s="7" t="inlineStr">
        <is>
          <t>MIA</t>
        </is>
      </c>
      <c r="I622" s="7" t="inlineStr">
        <is>
          <t>13:30:00</t>
        </is>
      </c>
      <c r="J622" s="7" t="inlineStr">
        <is>
          <t>19:25:00</t>
        </is>
      </c>
      <c r="K622" s="7" t="inlineStr">
        <is>
          <t>NO</t>
        </is>
      </c>
      <c r="L622" s="7" t="n">
        <v>763</v>
      </c>
      <c r="M622" s="7" t="inlineStr">
        <is>
          <t>05:55:00</t>
        </is>
      </c>
      <c r="N622" s="7" t="n">
        <v>1</v>
      </c>
      <c r="Q622">
        <f>"- LA "&amp;F622&amp;" ("&amp;LEFT(I622,5)&amp;"-"&amp;LEFT(J622,5)&amp;" hrs)"</f>
        <v/>
      </c>
    </row>
    <row r="623">
      <c r="B623" s="7" t="n">
        <v>69</v>
      </c>
      <c r="C623" s="7" t="inlineStr">
        <is>
          <t>07/10/2026</t>
        </is>
      </c>
      <c r="D623" s="7" t="inlineStr">
        <is>
          <t>Oct-2026</t>
        </is>
      </c>
      <c r="E623" s="7" t="inlineStr">
        <is>
          <t>miércoles</t>
        </is>
      </c>
      <c r="F623" s="7" t="n">
        <v>2699</v>
      </c>
      <c r="G623" s="7" t="inlineStr">
        <is>
          <t>MIA</t>
        </is>
      </c>
      <c r="H623" s="7" t="inlineStr">
        <is>
          <t>LIM</t>
        </is>
      </c>
      <c r="I623" s="7" t="inlineStr">
        <is>
          <t>23:15:00</t>
        </is>
      </c>
      <c r="J623" s="7" t="inlineStr">
        <is>
          <t>05:00:00</t>
        </is>
      </c>
      <c r="K623" s="7" t="inlineStr">
        <is>
          <t>NO</t>
        </is>
      </c>
      <c r="L623" s="7" t="n">
        <v>763</v>
      </c>
      <c r="M623" s="7" t="inlineStr">
        <is>
          <t>05:45:00</t>
        </is>
      </c>
      <c r="N623" s="7" t="n">
        <v>2</v>
      </c>
      <c r="O623">
        <f>IF(O621="","",O621)</f>
        <v/>
      </c>
      <c r="Q623">
        <f>IF(Q620="","",Q620)</f>
        <v/>
      </c>
    </row>
    <row r="624">
      <c r="Q624">
        <f>"- "&amp;G623&amp;"-"&amp;H623</f>
        <v/>
      </c>
    </row>
    <row r="625">
      <c r="Q625">
        <f>"- LA "&amp;F623&amp;" ("&amp;LEFT(I623,5)&amp;"-"&amp;LEFT(J623,5)&amp;" hrs)"</f>
        <v/>
      </c>
    </row>
    <row r="627">
      <c r="Q627" s="3" t="n"/>
    </row>
    <row r="628">
      <c r="B628" s="4" t="inlineStr">
        <is>
          <t>Pairing ID</t>
        </is>
      </c>
      <c r="C628" s="4" t="inlineStr">
        <is>
          <t>FECHA REAL</t>
        </is>
      </c>
      <c r="D628" s="5" t="inlineStr">
        <is>
          <t>MES</t>
        </is>
      </c>
      <c r="E628" s="4" t="inlineStr">
        <is>
          <t>Day of Week</t>
        </is>
      </c>
      <c r="F628" s="4" t="inlineStr">
        <is>
          <t>Flight No</t>
        </is>
      </c>
      <c r="G628" s="4" t="inlineStr">
        <is>
          <t>Dep Stn</t>
        </is>
      </c>
      <c r="H628" s="4" t="inlineStr">
        <is>
          <t>Arr Stn</t>
        </is>
      </c>
      <c r="I628" s="4" t="inlineStr">
        <is>
          <t>STD</t>
        </is>
      </c>
      <c r="J628" s="4" t="inlineStr">
        <is>
          <t>STA</t>
        </is>
      </c>
      <c r="K628" s="4" t="inlineStr">
        <is>
          <t>DAY</t>
        </is>
      </c>
      <c r="L628" s="4" t="inlineStr">
        <is>
          <t>AC Type</t>
        </is>
      </c>
      <c r="M628" s="4" t="inlineStr">
        <is>
          <t>HBT</t>
        </is>
      </c>
      <c r="N628" s="6" t="inlineStr">
        <is>
          <t>DIA_DUTY</t>
        </is>
      </c>
      <c r="O628" s="3" t="n"/>
      <c r="Q628">
        <f>"- "&amp;G629&amp;"-"&amp;H629</f>
        <v/>
      </c>
      <c r="R628" s="7">
        <f>B629</f>
        <v/>
      </c>
      <c r="S628" s="7">
        <f>C629</f>
        <v/>
      </c>
      <c r="T628" s="7">
        <f>E629</f>
        <v/>
      </c>
      <c r="U628" s="7">
        <f>F629&amp;"/"&amp;F630</f>
        <v/>
      </c>
      <c r="V628" s="7">
        <f>G629&amp;"-"&amp;H629&amp;"-"&amp;G629</f>
        <v/>
      </c>
      <c r="W628" s="7">
        <f>IF(O628="","",O628)</f>
        <v/>
      </c>
      <c r="X628" s="7">
        <f>IF(Q627="","",Q627)</f>
        <v/>
      </c>
      <c r="Y628" s="7">
        <f>C629</f>
        <v/>
      </c>
      <c r="Z628" s="7">
        <f>C630</f>
        <v/>
      </c>
    </row>
    <row r="629">
      <c r="B629" s="7" t="n">
        <v>6</v>
      </c>
      <c r="C629" s="7" t="inlineStr">
        <is>
          <t>02/10/2026</t>
        </is>
      </c>
      <c r="D629" s="7" t="inlineStr">
        <is>
          <t>Oct-2026</t>
        </is>
      </c>
      <c r="E629" s="7" t="inlineStr">
        <is>
          <t>viernes</t>
        </is>
      </c>
      <c r="F629" s="7" t="n">
        <v>2697</v>
      </c>
      <c r="G629" s="7" t="inlineStr">
        <is>
          <t>LIM</t>
        </is>
      </c>
      <c r="H629" s="7" t="inlineStr">
        <is>
          <t>SCL</t>
        </is>
      </c>
      <c r="I629" s="7" t="inlineStr">
        <is>
          <t>09:35:00</t>
        </is>
      </c>
      <c r="J629" s="7" t="inlineStr">
        <is>
          <t>13:00:00</t>
        </is>
      </c>
      <c r="K629" s="7" t="inlineStr">
        <is>
          <t>NO</t>
        </is>
      </c>
      <c r="L629" s="7" t="n">
        <v>789</v>
      </c>
      <c r="M629" s="7" t="inlineStr">
        <is>
          <t>03:25:00</t>
        </is>
      </c>
      <c r="N629" s="7" t="n">
        <v>1</v>
      </c>
      <c r="Q629">
        <f>"- LA "&amp;F629&amp;" ("&amp;LEFT(I629,5)&amp;"-"&amp;LEFT(J629,5)&amp;" hrs)"</f>
        <v/>
      </c>
    </row>
    <row r="630">
      <c r="B630" s="7" t="n">
        <v>6</v>
      </c>
      <c r="C630" s="7" t="inlineStr">
        <is>
          <t>02/10/2026</t>
        </is>
      </c>
      <c r="D630" s="7" t="inlineStr">
        <is>
          <t>Oct-2026</t>
        </is>
      </c>
      <c r="E630" s="7" t="inlineStr">
        <is>
          <t>viernes</t>
        </is>
      </c>
      <c r="F630" s="7" t="n">
        <v>2696</v>
      </c>
      <c r="G630" s="7" t="inlineStr">
        <is>
          <t>SCL</t>
        </is>
      </c>
      <c r="H630" s="7" t="inlineStr">
        <is>
          <t>LIM</t>
        </is>
      </c>
      <c r="I630" s="7" t="inlineStr">
        <is>
          <t>15:55:00</t>
        </is>
      </c>
      <c r="J630" s="7" t="inlineStr">
        <is>
          <t>19:40:00</t>
        </is>
      </c>
      <c r="K630" s="7" t="inlineStr">
        <is>
          <t>NO</t>
        </is>
      </c>
      <c r="L630" s="7" t="n">
        <v>789</v>
      </c>
      <c r="M630" s="7" t="inlineStr">
        <is>
          <t>03:45:00</t>
        </is>
      </c>
      <c r="N630" s="7" t="n">
        <v>1</v>
      </c>
      <c r="O630">
        <f>IF(O628="","",O628)</f>
        <v/>
      </c>
      <c r="Q630">
        <f>IF(Q627="","",Q627)</f>
        <v/>
      </c>
    </row>
    <row r="631">
      <c r="Q631">
        <f>"- "&amp;G630&amp;"-"&amp;H630</f>
        <v/>
      </c>
    </row>
    <row r="632">
      <c r="Q632">
        <f>"- LA "&amp;F630&amp;" ("&amp;LEFT(I630,5)&amp;"-"&amp;LEFT(J630,5)&amp;" hrs)"</f>
        <v/>
      </c>
    </row>
    <row r="634">
      <c r="Q634" s="3" t="n"/>
    </row>
    <row r="635">
      <c r="B635" s="4" t="inlineStr">
        <is>
          <t>Pairing ID</t>
        </is>
      </c>
      <c r="C635" s="4" t="inlineStr">
        <is>
          <t>FECHA REAL</t>
        </is>
      </c>
      <c r="D635" s="5" t="inlineStr">
        <is>
          <t>MES</t>
        </is>
      </c>
      <c r="E635" s="4" t="inlineStr">
        <is>
          <t>Day of Week</t>
        </is>
      </c>
      <c r="F635" s="4" t="inlineStr">
        <is>
          <t>Flight No</t>
        </is>
      </c>
      <c r="G635" s="4" t="inlineStr">
        <is>
          <t>Dep Stn</t>
        </is>
      </c>
      <c r="H635" s="4" t="inlineStr">
        <is>
          <t>Arr Stn</t>
        </is>
      </c>
      <c r="I635" s="4" t="inlineStr">
        <is>
          <t>STD</t>
        </is>
      </c>
      <c r="J635" s="4" t="inlineStr">
        <is>
          <t>STA</t>
        </is>
      </c>
      <c r="K635" s="4" t="inlineStr">
        <is>
          <t>DAY</t>
        </is>
      </c>
      <c r="L635" s="4" t="inlineStr">
        <is>
          <t>AC Type</t>
        </is>
      </c>
      <c r="M635" s="4" t="inlineStr">
        <is>
          <t>HBT</t>
        </is>
      </c>
      <c r="N635" s="6" t="inlineStr">
        <is>
          <t>DIA_DUTY</t>
        </is>
      </c>
      <c r="O635" s="3" t="n"/>
      <c r="Q635">
        <f>"- "&amp;G636&amp;"-"&amp;H636</f>
        <v/>
      </c>
      <c r="R635" s="7">
        <f>B636</f>
        <v/>
      </c>
      <c r="S635" s="7">
        <f>C636</f>
        <v/>
      </c>
      <c r="T635" s="7">
        <f>E636</f>
        <v/>
      </c>
      <c r="U635" s="7">
        <f>F636&amp;"/"&amp;F637</f>
        <v/>
      </c>
      <c r="V635" s="7">
        <f>G636&amp;"-"&amp;H636&amp;"-"&amp;G636</f>
        <v/>
      </c>
      <c r="W635" s="7">
        <f>IF(O635="","",O635)</f>
        <v/>
      </c>
      <c r="X635" s="7">
        <f>IF(Q634="","",Q634)</f>
        <v/>
      </c>
      <c r="Y635" s="7">
        <f>C636</f>
        <v/>
      </c>
      <c r="Z635" s="7">
        <f>C637</f>
        <v/>
      </c>
    </row>
    <row r="636">
      <c r="B636" s="7" t="n">
        <v>70</v>
      </c>
      <c r="C636" s="7" t="inlineStr">
        <is>
          <t>08/10/2026</t>
        </is>
      </c>
      <c r="D636" s="7" t="inlineStr">
        <is>
          <t>Oct-2026</t>
        </is>
      </c>
      <c r="E636" s="7" t="inlineStr">
        <is>
          <t>jueves</t>
        </is>
      </c>
      <c r="F636" s="7" t="n">
        <v>2413</v>
      </c>
      <c r="G636" s="7" t="inlineStr">
        <is>
          <t>LIM</t>
        </is>
      </c>
      <c r="H636" s="7" t="inlineStr">
        <is>
          <t>SCL</t>
        </is>
      </c>
      <c r="I636" s="7" t="inlineStr">
        <is>
          <t>12:05:00</t>
        </is>
      </c>
      <c r="J636" s="7" t="inlineStr">
        <is>
          <t>15:45:00</t>
        </is>
      </c>
      <c r="K636" s="7" t="inlineStr">
        <is>
          <t>NO</t>
        </is>
      </c>
      <c r="L636" s="7" t="n">
        <v>763</v>
      </c>
      <c r="M636" s="7" t="inlineStr">
        <is>
          <t>03:40:00</t>
        </is>
      </c>
      <c r="N636" s="7" t="n">
        <v>1</v>
      </c>
      <c r="Q636">
        <f>"- LA "&amp;F636&amp;" ("&amp;LEFT(I636,5)&amp;"-"&amp;LEFT(J636,5)&amp;" hrs)"</f>
        <v/>
      </c>
    </row>
    <row r="637">
      <c r="B637" s="7" t="n">
        <v>70</v>
      </c>
      <c r="C637" s="7" t="inlineStr">
        <is>
          <t>08/10/2026</t>
        </is>
      </c>
      <c r="D637" s="7" t="inlineStr">
        <is>
          <t>Oct-2026</t>
        </is>
      </c>
      <c r="E637" s="7" t="inlineStr">
        <is>
          <t>jueves</t>
        </is>
      </c>
      <c r="F637" s="7" t="n">
        <v>2412</v>
      </c>
      <c r="G637" s="7" t="inlineStr">
        <is>
          <t>SCL</t>
        </is>
      </c>
      <c r="H637" s="7" t="inlineStr">
        <is>
          <t>LIM</t>
        </is>
      </c>
      <c r="I637" s="7" t="inlineStr">
        <is>
          <t>17:10:00</t>
        </is>
      </c>
      <c r="J637" s="7" t="inlineStr">
        <is>
          <t>21:00:00</t>
        </is>
      </c>
      <c r="K637" s="7" t="inlineStr">
        <is>
          <t>NO</t>
        </is>
      </c>
      <c r="L637" s="7" t="n">
        <v>763</v>
      </c>
      <c r="M637" s="7" t="inlineStr">
        <is>
          <t>03:50:00</t>
        </is>
      </c>
      <c r="N637" s="7" t="n">
        <v>1</v>
      </c>
      <c r="O637">
        <f>IF(O635="","",O635)</f>
        <v/>
      </c>
      <c r="Q637">
        <f>IF(Q634="","",Q634)</f>
        <v/>
      </c>
    </row>
    <row r="638">
      <c r="Q638">
        <f>"- "&amp;G637&amp;"-"&amp;H637</f>
        <v/>
      </c>
    </row>
    <row r="639">
      <c r="Q639">
        <f>"- LA "&amp;F637&amp;" ("&amp;LEFT(I637,5)&amp;"-"&amp;LEFT(J637,5)&amp;" hrs)"</f>
        <v/>
      </c>
    </row>
    <row r="641">
      <c r="Q641" s="3" t="n"/>
    </row>
    <row r="642">
      <c r="B642" s="4" t="inlineStr">
        <is>
          <t>Pairing ID</t>
        </is>
      </c>
      <c r="C642" s="4" t="inlineStr">
        <is>
          <t>FECHA REAL</t>
        </is>
      </c>
      <c r="D642" s="5" t="inlineStr">
        <is>
          <t>MES</t>
        </is>
      </c>
      <c r="E642" s="4" t="inlineStr">
        <is>
          <t>Day of Week</t>
        </is>
      </c>
      <c r="F642" s="4" t="inlineStr">
        <is>
          <t>Flight No</t>
        </is>
      </c>
      <c r="G642" s="4" t="inlineStr">
        <is>
          <t>Dep Stn</t>
        </is>
      </c>
      <c r="H642" s="4" t="inlineStr">
        <is>
          <t>Arr Stn</t>
        </is>
      </c>
      <c r="I642" s="4" t="inlineStr">
        <is>
          <t>STD</t>
        </is>
      </c>
      <c r="J642" s="4" t="inlineStr">
        <is>
          <t>STA</t>
        </is>
      </c>
      <c r="K642" s="4" t="inlineStr">
        <is>
          <t>DAY</t>
        </is>
      </c>
      <c r="L642" s="4" t="inlineStr">
        <is>
          <t>AC Type</t>
        </is>
      </c>
      <c r="M642" s="4" t="inlineStr">
        <is>
          <t>HBT</t>
        </is>
      </c>
      <c r="N642" s="6" t="inlineStr">
        <is>
          <t>DIA_DUTY</t>
        </is>
      </c>
      <c r="O642" s="3" t="n"/>
      <c r="Q642">
        <f>"- "&amp;G643&amp;"-"&amp;H643</f>
        <v/>
      </c>
      <c r="R642" s="7">
        <f>B643</f>
        <v/>
      </c>
      <c r="S642" s="7">
        <f>C643</f>
        <v/>
      </c>
      <c r="T642" s="7">
        <f>E643</f>
        <v/>
      </c>
      <c r="U642" s="7">
        <f>F643&amp;"/"&amp;F644</f>
        <v/>
      </c>
      <c r="V642" s="7">
        <f>G643&amp;"-"&amp;H643&amp;"-"&amp;G643</f>
        <v/>
      </c>
      <c r="W642" s="7">
        <f>IF(O642="","",O642)</f>
        <v/>
      </c>
      <c r="X642" s="7">
        <f>IF(Q641="","",Q641)</f>
        <v/>
      </c>
      <c r="Y642" s="7">
        <f>C643</f>
        <v/>
      </c>
      <c r="Z642" s="7">
        <f>C644</f>
        <v/>
      </c>
    </row>
    <row r="643">
      <c r="B643" s="7" t="n">
        <v>73</v>
      </c>
      <c r="C643" s="7" t="inlineStr">
        <is>
          <t>06/10/2026</t>
        </is>
      </c>
      <c r="D643" s="7" t="inlineStr">
        <is>
          <t>Oct-2026</t>
        </is>
      </c>
      <c r="E643" s="7" t="inlineStr">
        <is>
          <t>martes</t>
        </is>
      </c>
      <c r="F643" s="7" t="n">
        <v>2480</v>
      </c>
      <c r="G643" s="7" t="inlineStr">
        <is>
          <t>LIM</t>
        </is>
      </c>
      <c r="H643" s="7" t="inlineStr">
        <is>
          <t>MIA</t>
        </is>
      </c>
      <c r="I643" s="7" t="inlineStr">
        <is>
          <t>00:15:00</t>
        </is>
      </c>
      <c r="J643" s="7" t="inlineStr">
        <is>
          <t>06:10:00</t>
        </is>
      </c>
      <c r="K643" s="7" t="inlineStr">
        <is>
          <t>NO</t>
        </is>
      </c>
      <c r="L643" s="7" t="n">
        <v>763</v>
      </c>
      <c r="M643" s="7" t="inlineStr">
        <is>
          <t>05:55:00</t>
        </is>
      </c>
      <c r="N643" s="7" t="n">
        <v>2</v>
      </c>
      <c r="Q643">
        <f>"- LA "&amp;F643&amp;" ("&amp;LEFT(I643,5)&amp;"-"&amp;LEFT(J643,5)&amp;" hrs)"</f>
        <v/>
      </c>
    </row>
    <row r="644">
      <c r="B644" s="7" t="n">
        <v>73</v>
      </c>
      <c r="C644" s="7" t="inlineStr">
        <is>
          <t>07/10/2026</t>
        </is>
      </c>
      <c r="D644" s="7" t="inlineStr">
        <is>
          <t>Oct-2026</t>
        </is>
      </c>
      <c r="E644" s="7" t="inlineStr">
        <is>
          <t>miércoles</t>
        </is>
      </c>
      <c r="F644" s="7" t="n">
        <v>2481</v>
      </c>
      <c r="G644" s="7" t="inlineStr">
        <is>
          <t>MIA</t>
        </is>
      </c>
      <c r="H644" s="7" t="inlineStr">
        <is>
          <t>LIM</t>
        </is>
      </c>
      <c r="I644" s="7" t="inlineStr">
        <is>
          <t>15:55:00</t>
        </is>
      </c>
      <c r="J644" s="7" t="inlineStr">
        <is>
          <t>21:40:00</t>
        </is>
      </c>
      <c r="K644" s="7" t="inlineStr">
        <is>
          <t>NO</t>
        </is>
      </c>
      <c r="L644" s="7" t="n">
        <v>763</v>
      </c>
      <c r="M644" s="7" t="inlineStr">
        <is>
          <t>05:45:00</t>
        </is>
      </c>
      <c r="N644" s="7" t="n">
        <v>3</v>
      </c>
      <c r="O644">
        <f>IF(O642="","",O642)</f>
        <v/>
      </c>
      <c r="Q644">
        <f>IF(Q641="","",Q641)</f>
        <v/>
      </c>
    </row>
    <row r="645">
      <c r="Q645">
        <f>"- "&amp;G644&amp;"-"&amp;H644</f>
        <v/>
      </c>
    </row>
    <row r="646">
      <c r="Q646">
        <f>"- LA "&amp;F644&amp;" ("&amp;LEFT(I644,5)&amp;"-"&amp;LEFT(J644,5)&amp;" hrs)"</f>
        <v/>
      </c>
    </row>
    <row r="648">
      <c r="Q648" s="3" t="n"/>
    </row>
    <row r="649">
      <c r="B649" s="4" t="inlineStr">
        <is>
          <t>Pairing ID</t>
        </is>
      </c>
      <c r="C649" s="4" t="inlineStr">
        <is>
          <t>FECHA REAL</t>
        </is>
      </c>
      <c r="D649" s="5" t="inlineStr">
        <is>
          <t>MES</t>
        </is>
      </c>
      <c r="E649" s="4" t="inlineStr">
        <is>
          <t>Day of Week</t>
        </is>
      </c>
      <c r="F649" s="4" t="inlineStr">
        <is>
          <t>Flight No</t>
        </is>
      </c>
      <c r="G649" s="4" t="inlineStr">
        <is>
          <t>Dep Stn</t>
        </is>
      </c>
      <c r="H649" s="4" t="inlineStr">
        <is>
          <t>Arr Stn</t>
        </is>
      </c>
      <c r="I649" s="4" t="inlineStr">
        <is>
          <t>STD</t>
        </is>
      </c>
      <c r="J649" s="4" t="inlineStr">
        <is>
          <t>STA</t>
        </is>
      </c>
      <c r="K649" s="4" t="inlineStr">
        <is>
          <t>DAY</t>
        </is>
      </c>
      <c r="L649" s="4" t="inlineStr">
        <is>
          <t>AC Type</t>
        </is>
      </c>
      <c r="M649" s="4" t="inlineStr">
        <is>
          <t>HBT</t>
        </is>
      </c>
      <c r="N649" s="6" t="inlineStr">
        <is>
          <t>DIA_DUTY</t>
        </is>
      </c>
      <c r="O649" s="3" t="n"/>
      <c r="Q649">
        <f>"- "&amp;G650&amp;"-"&amp;H650</f>
        <v/>
      </c>
      <c r="R649" s="7">
        <f>B650</f>
        <v/>
      </c>
      <c r="S649" s="7">
        <f>C650</f>
        <v/>
      </c>
      <c r="T649" s="7">
        <f>E650</f>
        <v/>
      </c>
      <c r="U649" s="7">
        <f>F650&amp;"/"&amp;F651</f>
        <v/>
      </c>
      <c r="V649" s="7">
        <f>G650&amp;"-"&amp;H650&amp;"-"&amp;G650</f>
        <v/>
      </c>
      <c r="W649" s="7">
        <f>IF(O649="","",O649)</f>
        <v/>
      </c>
      <c r="X649" s="7">
        <f>IF(Q648="","",Q648)</f>
        <v/>
      </c>
      <c r="Y649" s="7">
        <f>C650</f>
        <v/>
      </c>
      <c r="Z649" s="7">
        <f>C651</f>
        <v/>
      </c>
    </row>
    <row r="650">
      <c r="B650" s="7" t="n">
        <v>77</v>
      </c>
      <c r="C650" s="7" t="inlineStr">
        <is>
          <t>06/10/2026</t>
        </is>
      </c>
      <c r="D650" s="7" t="inlineStr">
        <is>
          <t>Oct-2026</t>
        </is>
      </c>
      <c r="E650" s="7" t="inlineStr">
        <is>
          <t>martes</t>
        </is>
      </c>
      <c r="F650" s="7" t="n">
        <v>2697</v>
      </c>
      <c r="G650" s="7" t="inlineStr">
        <is>
          <t>LIM</t>
        </is>
      </c>
      <c r="H650" s="7" t="inlineStr">
        <is>
          <t>SCL</t>
        </is>
      </c>
      <c r="I650" s="7" t="inlineStr">
        <is>
          <t>09:35:00</t>
        </is>
      </c>
      <c r="J650" s="7" t="inlineStr">
        <is>
          <t>13:00:00</t>
        </is>
      </c>
      <c r="K650" s="7" t="inlineStr">
        <is>
          <t>NO</t>
        </is>
      </c>
      <c r="L650" s="7" t="n">
        <v>789</v>
      </c>
      <c r="M650" s="7" t="inlineStr">
        <is>
          <t>03:25:00</t>
        </is>
      </c>
      <c r="N650" s="7" t="n">
        <v>1</v>
      </c>
      <c r="Q650">
        <f>"- LA "&amp;F650&amp;" ("&amp;LEFT(I650,5)&amp;"-"&amp;LEFT(J650,5)&amp;" hrs)"</f>
        <v/>
      </c>
    </row>
    <row r="651">
      <c r="B651" s="7" t="n">
        <v>77</v>
      </c>
      <c r="C651" s="7" t="inlineStr">
        <is>
          <t>06/10/2026</t>
        </is>
      </c>
      <c r="D651" s="7" t="inlineStr">
        <is>
          <t>Oct-2026</t>
        </is>
      </c>
      <c r="E651" s="7" t="inlineStr">
        <is>
          <t>martes</t>
        </is>
      </c>
      <c r="F651" s="7" t="n">
        <v>2696</v>
      </c>
      <c r="G651" s="7" t="inlineStr">
        <is>
          <t>SCL</t>
        </is>
      </c>
      <c r="H651" s="7" t="inlineStr">
        <is>
          <t>LIM</t>
        </is>
      </c>
      <c r="I651" s="7" t="inlineStr">
        <is>
          <t>15:55:00</t>
        </is>
      </c>
      <c r="J651" s="7" t="inlineStr">
        <is>
          <t>19:40:00</t>
        </is>
      </c>
      <c r="K651" s="7" t="inlineStr">
        <is>
          <t>NO</t>
        </is>
      </c>
      <c r="L651" s="7" t="n">
        <v>789</v>
      </c>
      <c r="M651" s="7" t="inlineStr">
        <is>
          <t>03:45:00</t>
        </is>
      </c>
      <c r="N651" s="7" t="n">
        <v>1</v>
      </c>
      <c r="O651">
        <f>IF(O649="","",O649)</f>
        <v/>
      </c>
      <c r="Q651">
        <f>IF(Q648="","",Q648)</f>
        <v/>
      </c>
    </row>
    <row r="652">
      <c r="Q652">
        <f>"- "&amp;G651&amp;"-"&amp;H651</f>
        <v/>
      </c>
    </row>
    <row r="653">
      <c r="Q653">
        <f>"- LA "&amp;F651&amp;" ("&amp;LEFT(I651,5)&amp;"-"&amp;LEFT(J651,5)&amp;" hrs)"</f>
        <v/>
      </c>
    </row>
    <row r="655">
      <c r="Q655" s="3" t="n"/>
    </row>
    <row r="656">
      <c r="B656" s="4" t="inlineStr">
        <is>
          <t>Pairing ID</t>
        </is>
      </c>
      <c r="C656" s="4" t="inlineStr">
        <is>
          <t>FECHA REAL</t>
        </is>
      </c>
      <c r="D656" s="5" t="inlineStr">
        <is>
          <t>MES</t>
        </is>
      </c>
      <c r="E656" s="4" t="inlineStr">
        <is>
          <t>Day of Week</t>
        </is>
      </c>
      <c r="F656" s="4" t="inlineStr">
        <is>
          <t>Flight No</t>
        </is>
      </c>
      <c r="G656" s="4" t="inlineStr">
        <is>
          <t>Dep Stn</t>
        </is>
      </c>
      <c r="H656" s="4" t="inlineStr">
        <is>
          <t>Arr Stn</t>
        </is>
      </c>
      <c r="I656" s="4" t="inlineStr">
        <is>
          <t>STD</t>
        </is>
      </c>
      <c r="J656" s="4" t="inlineStr">
        <is>
          <t>STA</t>
        </is>
      </c>
      <c r="K656" s="4" t="inlineStr">
        <is>
          <t>DAY</t>
        </is>
      </c>
      <c r="L656" s="4" t="inlineStr">
        <is>
          <t>AC Type</t>
        </is>
      </c>
      <c r="M656" s="4" t="inlineStr">
        <is>
          <t>HBT</t>
        </is>
      </c>
      <c r="N656" s="6" t="inlineStr">
        <is>
          <t>DIA_DUTY</t>
        </is>
      </c>
      <c r="O656" s="3" t="n"/>
      <c r="Q656">
        <f>"- "&amp;G657&amp;"-"&amp;H657</f>
        <v/>
      </c>
      <c r="R656" s="7">
        <f>B657</f>
        <v/>
      </c>
      <c r="S656" s="7">
        <f>C657</f>
        <v/>
      </c>
      <c r="T656" s="7">
        <f>E657</f>
        <v/>
      </c>
      <c r="U656" s="7">
        <f>F657&amp;"/"&amp;F658</f>
        <v/>
      </c>
      <c r="V656" s="7">
        <f>G657&amp;"-"&amp;H657&amp;"-"&amp;G657</f>
        <v/>
      </c>
      <c r="W656" s="7">
        <f>IF(O656="","",O656)</f>
        <v/>
      </c>
      <c r="X656" s="7">
        <f>IF(Q655="","",Q655)</f>
        <v/>
      </c>
      <c r="Y656" s="7">
        <f>C657</f>
        <v/>
      </c>
      <c r="Z656" s="7">
        <f>C658</f>
        <v/>
      </c>
    </row>
    <row r="657">
      <c r="B657" s="7" t="n">
        <v>77</v>
      </c>
      <c r="C657" s="7" t="inlineStr">
        <is>
          <t>09/10/2026</t>
        </is>
      </c>
      <c r="D657" s="7" t="inlineStr">
        <is>
          <t>Oct-2026</t>
        </is>
      </c>
      <c r="E657" s="7" t="inlineStr">
        <is>
          <t>viernes</t>
        </is>
      </c>
      <c r="F657" s="7" t="n">
        <v>2413</v>
      </c>
      <c r="G657" s="7" t="inlineStr">
        <is>
          <t>LIM</t>
        </is>
      </c>
      <c r="H657" s="7" t="inlineStr">
        <is>
          <t>SCL</t>
        </is>
      </c>
      <c r="I657" s="7" t="inlineStr">
        <is>
          <t>12:05:00</t>
        </is>
      </c>
      <c r="J657" s="7" t="inlineStr">
        <is>
          <t>15:45:00</t>
        </is>
      </c>
      <c r="K657" s="7" t="inlineStr">
        <is>
          <t>NO</t>
        </is>
      </c>
      <c r="L657" s="7" t="n">
        <v>763</v>
      </c>
      <c r="M657" s="7" t="inlineStr">
        <is>
          <t>03:40:00</t>
        </is>
      </c>
      <c r="N657" s="7" t="n">
        <v>1</v>
      </c>
      <c r="Q657">
        <f>"- LA "&amp;F657&amp;" ("&amp;LEFT(I657,5)&amp;"-"&amp;LEFT(J657,5)&amp;" hrs)"</f>
        <v/>
      </c>
    </row>
    <row r="658">
      <c r="B658" s="7" t="n">
        <v>77</v>
      </c>
      <c r="C658" s="7" t="inlineStr">
        <is>
          <t>09/10/2026</t>
        </is>
      </c>
      <c r="D658" s="7" t="inlineStr">
        <is>
          <t>Oct-2026</t>
        </is>
      </c>
      <c r="E658" s="7" t="inlineStr">
        <is>
          <t>viernes</t>
        </is>
      </c>
      <c r="F658" s="7" t="n">
        <v>2412</v>
      </c>
      <c r="G658" s="7" t="inlineStr">
        <is>
          <t>SCL</t>
        </is>
      </c>
      <c r="H658" s="7" t="inlineStr">
        <is>
          <t>LIM</t>
        </is>
      </c>
      <c r="I658" s="7" t="inlineStr">
        <is>
          <t>17:10:00</t>
        </is>
      </c>
      <c r="J658" s="7" t="inlineStr">
        <is>
          <t>21:00:00</t>
        </is>
      </c>
      <c r="K658" s="7" t="inlineStr">
        <is>
          <t>NO</t>
        </is>
      </c>
      <c r="L658" s="7" t="n">
        <v>763</v>
      </c>
      <c r="M658" s="7" t="inlineStr">
        <is>
          <t>03:50:00</t>
        </is>
      </c>
      <c r="N658" s="7" t="n">
        <v>1</v>
      </c>
      <c r="O658">
        <f>IF(O656="","",O656)</f>
        <v/>
      </c>
      <c r="Q658">
        <f>IF(Q655="","",Q655)</f>
        <v/>
      </c>
    </row>
    <row r="659">
      <c r="Q659">
        <f>"- "&amp;G658&amp;"-"&amp;H658</f>
        <v/>
      </c>
    </row>
    <row r="660">
      <c r="Q660">
        <f>"- LA "&amp;F658&amp;" ("&amp;LEFT(I658,5)&amp;"-"&amp;LEFT(J658,5)&amp;" hrs)"</f>
        <v/>
      </c>
    </row>
    <row r="662">
      <c r="Q662" s="3" t="n"/>
    </row>
    <row r="663">
      <c r="B663" s="4" t="inlineStr">
        <is>
          <t>Pairing ID</t>
        </is>
      </c>
      <c r="C663" s="4" t="inlineStr">
        <is>
          <t>FECHA REAL</t>
        </is>
      </c>
      <c r="D663" s="5" t="inlineStr">
        <is>
          <t>MES</t>
        </is>
      </c>
      <c r="E663" s="4" t="inlineStr">
        <is>
          <t>Day of Week</t>
        </is>
      </c>
      <c r="F663" s="4" t="inlineStr">
        <is>
          <t>Flight No</t>
        </is>
      </c>
      <c r="G663" s="4" t="inlineStr">
        <is>
          <t>Dep Stn</t>
        </is>
      </c>
      <c r="H663" s="4" t="inlineStr">
        <is>
          <t>Arr Stn</t>
        </is>
      </c>
      <c r="I663" s="4" t="inlineStr">
        <is>
          <t>STD</t>
        </is>
      </c>
      <c r="J663" s="4" t="inlineStr">
        <is>
          <t>STA</t>
        </is>
      </c>
      <c r="K663" s="4" t="inlineStr">
        <is>
          <t>DAY</t>
        </is>
      </c>
      <c r="L663" s="4" t="inlineStr">
        <is>
          <t>AC Type</t>
        </is>
      </c>
      <c r="M663" s="4" t="inlineStr">
        <is>
          <t>HBT</t>
        </is>
      </c>
      <c r="N663" s="6" t="inlineStr">
        <is>
          <t>DIA_DUTY</t>
        </is>
      </c>
      <c r="O663" s="3" t="n"/>
      <c r="Q663">
        <f>"- "&amp;G664&amp;"-"&amp;H664</f>
        <v/>
      </c>
      <c r="R663" s="7">
        <f>B664</f>
        <v/>
      </c>
      <c r="S663" s="7">
        <f>C664</f>
        <v/>
      </c>
      <c r="T663" s="7">
        <f>E664</f>
        <v/>
      </c>
      <c r="U663" s="7">
        <f>F664&amp;"/"&amp;F665</f>
        <v/>
      </c>
      <c r="V663" s="7">
        <f>G664&amp;"-"&amp;H664&amp;"-"&amp;G664</f>
        <v/>
      </c>
      <c r="W663" s="7">
        <f>IF(O663="","",O663)</f>
        <v/>
      </c>
      <c r="X663" s="7">
        <f>IF(Q662="","",Q662)</f>
        <v/>
      </c>
      <c r="Y663" s="7">
        <f>C664</f>
        <v/>
      </c>
      <c r="Z663" s="7">
        <f>C665</f>
        <v/>
      </c>
    </row>
    <row r="664">
      <c r="B664" s="7" t="n">
        <v>83</v>
      </c>
      <c r="C664" s="7" t="inlineStr">
        <is>
          <t>07/10/2026</t>
        </is>
      </c>
      <c r="D664" s="7" t="inlineStr">
        <is>
          <t>Oct-2026</t>
        </is>
      </c>
      <c r="E664" s="7" t="inlineStr">
        <is>
          <t>miércoles</t>
        </is>
      </c>
      <c r="F664" s="7" t="n">
        <v>2480</v>
      </c>
      <c r="G664" s="7" t="inlineStr">
        <is>
          <t>LIM</t>
        </is>
      </c>
      <c r="H664" s="7" t="inlineStr">
        <is>
          <t>MIA</t>
        </is>
      </c>
      <c r="I664" s="7" t="inlineStr">
        <is>
          <t>00:15:00</t>
        </is>
      </c>
      <c r="J664" s="7" t="inlineStr">
        <is>
          <t>06:10:00</t>
        </is>
      </c>
      <c r="K664" s="7" t="inlineStr">
        <is>
          <t>NO</t>
        </is>
      </c>
      <c r="L664" s="7" t="n">
        <v>763</v>
      </c>
      <c r="M664" s="7" t="inlineStr">
        <is>
          <t>05:55:00</t>
        </is>
      </c>
      <c r="N664" s="7" t="n">
        <v>2</v>
      </c>
      <c r="Q664">
        <f>"- LA "&amp;F664&amp;" ("&amp;LEFT(I664,5)&amp;"-"&amp;LEFT(J664,5)&amp;" hrs)"</f>
        <v/>
      </c>
    </row>
    <row r="665">
      <c r="B665" s="7" t="n">
        <v>83</v>
      </c>
      <c r="C665" s="7" t="inlineStr">
        <is>
          <t>08/10/2026</t>
        </is>
      </c>
      <c r="D665" s="7" t="inlineStr">
        <is>
          <t>Oct-2026</t>
        </is>
      </c>
      <c r="E665" s="7" t="inlineStr">
        <is>
          <t>jueves</t>
        </is>
      </c>
      <c r="F665" s="7" t="n">
        <v>2695</v>
      </c>
      <c r="G665" s="7" t="inlineStr">
        <is>
          <t>MIA</t>
        </is>
      </c>
      <c r="H665" s="7" t="inlineStr">
        <is>
          <t>LIM</t>
        </is>
      </c>
      <c r="I665" s="7" t="inlineStr">
        <is>
          <t>16:10:00</t>
        </is>
      </c>
      <c r="J665" s="7" t="inlineStr">
        <is>
          <t>22:00:00</t>
        </is>
      </c>
      <c r="K665" s="7" t="inlineStr">
        <is>
          <t>NO</t>
        </is>
      </c>
      <c r="L665" s="7" t="n">
        <v>763</v>
      </c>
      <c r="M665" s="7" t="inlineStr">
        <is>
          <t>05:50:00</t>
        </is>
      </c>
      <c r="N665" s="7" t="n">
        <v>3</v>
      </c>
      <c r="O665">
        <f>IF(O663="","",O663)</f>
        <v/>
      </c>
      <c r="Q665">
        <f>IF(Q662="","",Q662)</f>
        <v/>
      </c>
    </row>
    <row r="666">
      <c r="Q666">
        <f>"- "&amp;G665&amp;"-"&amp;H665</f>
        <v/>
      </c>
    </row>
    <row r="667">
      <c r="Q667">
        <f>"- LA "&amp;F665&amp;" ("&amp;LEFT(I665,5)&amp;"-"&amp;LEFT(J665,5)&amp;" hrs)"</f>
        <v/>
      </c>
    </row>
    <row r="669">
      <c r="Q669" s="3" t="n"/>
    </row>
    <row r="670">
      <c r="B670" s="4" t="inlineStr">
        <is>
          <t>Pairing ID</t>
        </is>
      </c>
      <c r="C670" s="4" t="inlineStr">
        <is>
          <t>FECHA REAL</t>
        </is>
      </c>
      <c r="D670" s="5" t="inlineStr">
        <is>
          <t>MES</t>
        </is>
      </c>
      <c r="E670" s="4" t="inlineStr">
        <is>
          <t>Day of Week</t>
        </is>
      </c>
      <c r="F670" s="4" t="inlineStr">
        <is>
          <t>Flight No</t>
        </is>
      </c>
      <c r="G670" s="4" t="inlineStr">
        <is>
          <t>Dep Stn</t>
        </is>
      </c>
      <c r="H670" s="4" t="inlineStr">
        <is>
          <t>Arr Stn</t>
        </is>
      </c>
      <c r="I670" s="4" t="inlineStr">
        <is>
          <t>STD</t>
        </is>
      </c>
      <c r="J670" s="4" t="inlineStr">
        <is>
          <t>STA</t>
        </is>
      </c>
      <c r="K670" s="4" t="inlineStr">
        <is>
          <t>DAY</t>
        </is>
      </c>
      <c r="L670" s="4" t="inlineStr">
        <is>
          <t>AC Type</t>
        </is>
      </c>
      <c r="M670" s="4" t="inlineStr">
        <is>
          <t>HBT</t>
        </is>
      </c>
      <c r="N670" s="6" t="inlineStr">
        <is>
          <t>DIA_DUTY</t>
        </is>
      </c>
      <c r="O670" s="3" t="n"/>
      <c r="Q670">
        <f>"- "&amp;G671&amp;"-"&amp;H671</f>
        <v/>
      </c>
      <c r="R670" s="7">
        <f>B671</f>
        <v/>
      </c>
      <c r="S670" s="7">
        <f>C671</f>
        <v/>
      </c>
      <c r="T670" s="7">
        <f>E671</f>
        <v/>
      </c>
      <c r="U670" s="7">
        <f>F671&amp;"/"&amp;F672</f>
        <v/>
      </c>
      <c r="V670" s="7">
        <f>G671&amp;"-"&amp;H671&amp;"-"&amp;G671</f>
        <v/>
      </c>
      <c r="W670" s="7">
        <f>IF(O670="","",O670)</f>
        <v/>
      </c>
      <c r="X670" s="7">
        <f>IF(Q669="","",Q669)</f>
        <v/>
      </c>
      <c r="Y670" s="7">
        <f>C671</f>
        <v/>
      </c>
      <c r="Z670" s="7">
        <f>C672</f>
        <v/>
      </c>
    </row>
    <row r="671">
      <c r="B671" s="7" t="n">
        <v>87</v>
      </c>
      <c r="C671" s="7" t="inlineStr">
        <is>
          <t>07/10/2026</t>
        </is>
      </c>
      <c r="D671" s="7" t="inlineStr">
        <is>
          <t>Oct-2026</t>
        </is>
      </c>
      <c r="E671" s="7" t="inlineStr">
        <is>
          <t>miércoles</t>
        </is>
      </c>
      <c r="F671" s="7" t="n">
        <v>2697</v>
      </c>
      <c r="G671" s="7" t="inlineStr">
        <is>
          <t>LIM</t>
        </is>
      </c>
      <c r="H671" s="7" t="inlineStr">
        <is>
          <t>SCL</t>
        </is>
      </c>
      <c r="I671" s="7" t="inlineStr">
        <is>
          <t>09:35:00</t>
        </is>
      </c>
      <c r="J671" s="7" t="inlineStr">
        <is>
          <t>13:00:00</t>
        </is>
      </c>
      <c r="K671" s="7" t="inlineStr">
        <is>
          <t>NO</t>
        </is>
      </c>
      <c r="L671" s="7" t="n">
        <v>789</v>
      </c>
      <c r="M671" s="7" t="inlineStr">
        <is>
          <t>03:25:00</t>
        </is>
      </c>
      <c r="N671" s="7" t="n">
        <v>1</v>
      </c>
      <c r="Q671">
        <f>"- LA "&amp;F671&amp;" ("&amp;LEFT(I671,5)&amp;"-"&amp;LEFT(J671,5)&amp;" hrs)"</f>
        <v/>
      </c>
    </row>
    <row r="672">
      <c r="B672" s="7" t="n">
        <v>87</v>
      </c>
      <c r="C672" s="7" t="inlineStr">
        <is>
          <t>07/10/2026</t>
        </is>
      </c>
      <c r="D672" s="7" t="inlineStr">
        <is>
          <t>Oct-2026</t>
        </is>
      </c>
      <c r="E672" s="7" t="inlineStr">
        <is>
          <t>miércoles</t>
        </is>
      </c>
      <c r="F672" s="7" t="n">
        <v>2696</v>
      </c>
      <c r="G672" s="7" t="inlineStr">
        <is>
          <t>SCL</t>
        </is>
      </c>
      <c r="H672" s="7" t="inlineStr">
        <is>
          <t>LIM</t>
        </is>
      </c>
      <c r="I672" s="7" t="inlineStr">
        <is>
          <t>15:55:00</t>
        </is>
      </c>
      <c r="J672" s="7" t="inlineStr">
        <is>
          <t>19:40:00</t>
        </is>
      </c>
      <c r="K672" s="7" t="inlineStr">
        <is>
          <t>NO</t>
        </is>
      </c>
      <c r="L672" s="7" t="n">
        <v>788</v>
      </c>
      <c r="M672" s="7" t="inlineStr">
        <is>
          <t>03:45:00</t>
        </is>
      </c>
      <c r="N672" s="7" t="n">
        <v>1</v>
      </c>
      <c r="O672">
        <f>IF(O670="","",O670)</f>
        <v/>
      </c>
      <c r="Q672">
        <f>IF(Q669="","",Q669)</f>
        <v/>
      </c>
    </row>
    <row r="673">
      <c r="Q673">
        <f>"- "&amp;G672&amp;"-"&amp;H672</f>
        <v/>
      </c>
    </row>
    <row r="674">
      <c r="Q674">
        <f>"- LA "&amp;F672&amp;" ("&amp;LEFT(I672,5)&amp;"-"&amp;LEFT(J672,5)&amp;" hrs)"</f>
        <v/>
      </c>
    </row>
    <row r="676">
      <c r="Q676" s="3" t="n"/>
    </row>
    <row r="677">
      <c r="B677" s="4" t="inlineStr">
        <is>
          <t>Pairing ID</t>
        </is>
      </c>
      <c r="C677" s="4" t="inlineStr">
        <is>
          <t>FECHA REAL</t>
        </is>
      </c>
      <c r="D677" s="5" t="inlineStr">
        <is>
          <t>MES</t>
        </is>
      </c>
      <c r="E677" s="4" t="inlineStr">
        <is>
          <t>Day of Week</t>
        </is>
      </c>
      <c r="F677" s="4" t="inlineStr">
        <is>
          <t>Flight No</t>
        </is>
      </c>
      <c r="G677" s="4" t="inlineStr">
        <is>
          <t>Dep Stn</t>
        </is>
      </c>
      <c r="H677" s="4" t="inlineStr">
        <is>
          <t>Arr Stn</t>
        </is>
      </c>
      <c r="I677" s="4" t="inlineStr">
        <is>
          <t>STD</t>
        </is>
      </c>
      <c r="J677" s="4" t="inlineStr">
        <is>
          <t>STA</t>
        </is>
      </c>
      <c r="K677" s="4" t="inlineStr">
        <is>
          <t>DAY</t>
        </is>
      </c>
      <c r="L677" s="4" t="inlineStr">
        <is>
          <t>AC Type</t>
        </is>
      </c>
      <c r="M677" s="4" t="inlineStr">
        <is>
          <t>HBT</t>
        </is>
      </c>
      <c r="N677" s="6" t="inlineStr">
        <is>
          <t>DIA_DUTY</t>
        </is>
      </c>
      <c r="O677" s="3" t="n"/>
      <c r="Q677">
        <f>"- "&amp;G678&amp;"-"&amp;H678</f>
        <v/>
      </c>
      <c r="R677" s="7">
        <f>B678</f>
        <v/>
      </c>
      <c r="S677" s="7">
        <f>C678</f>
        <v/>
      </c>
      <c r="T677" s="7">
        <f>E678</f>
        <v/>
      </c>
      <c r="U677" s="7">
        <f>F678&amp;"/"&amp;F679</f>
        <v/>
      </c>
      <c r="V677" s="7">
        <f>G678&amp;"-"&amp;H678&amp;"-"&amp;G678</f>
        <v/>
      </c>
      <c r="W677" s="7">
        <f>IF(O677="","",O677)</f>
        <v/>
      </c>
      <c r="X677" s="7">
        <f>IF(Q676="","",Q676)</f>
        <v/>
      </c>
      <c r="Y677" s="7">
        <f>C678</f>
        <v/>
      </c>
      <c r="Z677" s="7">
        <f>C679</f>
        <v/>
      </c>
    </row>
    <row r="678">
      <c r="B678" s="7" t="n">
        <v>92</v>
      </c>
      <c r="C678" s="7" t="inlineStr">
        <is>
          <t>08/10/2026</t>
        </is>
      </c>
      <c r="D678" s="7" t="inlineStr">
        <is>
          <t>Oct-2026</t>
        </is>
      </c>
      <c r="E678" s="7" t="inlineStr">
        <is>
          <t>jueves</t>
        </is>
      </c>
      <c r="F678" s="7" t="n">
        <v>2480</v>
      </c>
      <c r="G678" s="7" t="inlineStr">
        <is>
          <t>LIM</t>
        </is>
      </c>
      <c r="H678" s="7" t="inlineStr">
        <is>
          <t>MIA</t>
        </is>
      </c>
      <c r="I678" s="7" t="inlineStr">
        <is>
          <t>00:15:00</t>
        </is>
      </c>
      <c r="J678" s="7" t="inlineStr">
        <is>
          <t>06:10:00</t>
        </is>
      </c>
      <c r="K678" s="7" t="inlineStr">
        <is>
          <t>NO</t>
        </is>
      </c>
      <c r="L678" s="7" t="n">
        <v>763</v>
      </c>
      <c r="M678" s="7" t="inlineStr">
        <is>
          <t>05:55:00</t>
        </is>
      </c>
      <c r="N678" s="7" t="n">
        <v>2</v>
      </c>
      <c r="Q678">
        <f>"- LA "&amp;F678&amp;" ("&amp;LEFT(I678,5)&amp;"-"&amp;LEFT(J678,5)&amp;" hrs)"</f>
        <v/>
      </c>
    </row>
    <row r="679">
      <c r="B679" s="7" t="n">
        <v>92</v>
      </c>
      <c r="C679" s="7" t="inlineStr">
        <is>
          <t>09/10/2026</t>
        </is>
      </c>
      <c r="D679" s="7" t="inlineStr">
        <is>
          <t>Oct-2026</t>
        </is>
      </c>
      <c r="E679" s="7" t="inlineStr">
        <is>
          <t>viernes</t>
        </is>
      </c>
      <c r="F679" s="7" t="n">
        <v>2481</v>
      </c>
      <c r="G679" s="7" t="inlineStr">
        <is>
          <t>MIA</t>
        </is>
      </c>
      <c r="H679" s="7" t="inlineStr">
        <is>
          <t>LIM</t>
        </is>
      </c>
      <c r="I679" s="7" t="inlineStr">
        <is>
          <t>15:55:00</t>
        </is>
      </c>
      <c r="J679" s="7" t="inlineStr">
        <is>
          <t>21:40:00</t>
        </is>
      </c>
      <c r="K679" s="7" t="inlineStr">
        <is>
          <t>NO</t>
        </is>
      </c>
      <c r="L679" s="7" t="n">
        <v>763</v>
      </c>
      <c r="M679" s="7" t="inlineStr">
        <is>
          <t>05:45:00</t>
        </is>
      </c>
      <c r="N679" s="7" t="n">
        <v>3</v>
      </c>
      <c r="O679">
        <f>IF(O677="","",O677)</f>
        <v/>
      </c>
      <c r="Q679">
        <f>IF(Q676="","",Q676)</f>
        <v/>
      </c>
    </row>
    <row r="680">
      <c r="Q680">
        <f>"- "&amp;G679&amp;"-"&amp;H679</f>
        <v/>
      </c>
    </row>
    <row r="681">
      <c r="Q681">
        <f>"- LA "&amp;F679&amp;" ("&amp;LEFT(I679,5)&amp;"-"&amp;LEFT(J679,5)&amp;" hrs)"</f>
        <v/>
      </c>
    </row>
    <row r="683">
      <c r="Q683" s="3" t="n"/>
    </row>
    <row r="684">
      <c r="B684" s="4" t="inlineStr">
        <is>
          <t>Pairing ID</t>
        </is>
      </c>
      <c r="C684" s="4" t="inlineStr">
        <is>
          <t>FECHA REAL</t>
        </is>
      </c>
      <c r="D684" s="5" t="inlineStr">
        <is>
          <t>MES</t>
        </is>
      </c>
      <c r="E684" s="4" t="inlineStr">
        <is>
          <t>Day of Week</t>
        </is>
      </c>
      <c r="F684" s="4" t="inlineStr">
        <is>
          <t>Flight No</t>
        </is>
      </c>
      <c r="G684" s="4" t="inlineStr">
        <is>
          <t>Dep Stn</t>
        </is>
      </c>
      <c r="H684" s="4" t="inlineStr">
        <is>
          <t>Arr Stn</t>
        </is>
      </c>
      <c r="I684" s="4" t="inlineStr">
        <is>
          <t>STD</t>
        </is>
      </c>
      <c r="J684" s="4" t="inlineStr">
        <is>
          <t>STA</t>
        </is>
      </c>
      <c r="K684" s="4" t="inlineStr">
        <is>
          <t>DAY</t>
        </is>
      </c>
      <c r="L684" s="4" t="inlineStr">
        <is>
          <t>AC Type</t>
        </is>
      </c>
      <c r="M684" s="4" t="inlineStr">
        <is>
          <t>HBT</t>
        </is>
      </c>
      <c r="N684" s="6" t="inlineStr">
        <is>
          <t>DIA_DUTY</t>
        </is>
      </c>
      <c r="O684" s="3" t="n"/>
      <c r="Q684">
        <f>"- "&amp;G685&amp;"-"&amp;H685</f>
        <v/>
      </c>
      <c r="R684" s="7">
        <f>B685</f>
        <v/>
      </c>
      <c r="S684" s="7">
        <f>C685</f>
        <v/>
      </c>
      <c r="T684" s="7">
        <f>E685</f>
        <v/>
      </c>
      <c r="U684" s="7">
        <f>F685&amp;"/"&amp;F686</f>
        <v/>
      </c>
      <c r="V684" s="7">
        <f>G685&amp;"-"&amp;H685&amp;"-"&amp;G685</f>
        <v/>
      </c>
      <c r="W684" s="7">
        <f>IF(O684="","",O684)</f>
        <v/>
      </c>
      <c r="X684" s="7">
        <f>IF(Q683="","",Q683)</f>
        <v/>
      </c>
      <c r="Y684" s="7">
        <f>C685</f>
        <v/>
      </c>
      <c r="Z684" s="7">
        <f>C686</f>
        <v/>
      </c>
    </row>
    <row r="685">
      <c r="B685" s="7" t="n">
        <v>97</v>
      </c>
      <c r="C685" s="7" t="inlineStr">
        <is>
          <t>08/10/2026</t>
        </is>
      </c>
      <c r="D685" s="7" t="inlineStr">
        <is>
          <t>Oct-2026</t>
        </is>
      </c>
      <c r="E685" s="7" t="inlineStr">
        <is>
          <t>jueves</t>
        </is>
      </c>
      <c r="F685" s="7" t="n">
        <v>2697</v>
      </c>
      <c r="G685" s="7" t="inlineStr">
        <is>
          <t>LIM</t>
        </is>
      </c>
      <c r="H685" s="7" t="inlineStr">
        <is>
          <t>SCL</t>
        </is>
      </c>
      <c r="I685" s="7" t="inlineStr">
        <is>
          <t>09:35:00</t>
        </is>
      </c>
      <c r="J685" s="7" t="inlineStr">
        <is>
          <t>13:00:00</t>
        </is>
      </c>
      <c r="K685" s="7" t="inlineStr">
        <is>
          <t>NO</t>
        </is>
      </c>
      <c r="L685" s="7" t="n">
        <v>789</v>
      </c>
      <c r="M685" s="7" t="inlineStr">
        <is>
          <t>03:25:00</t>
        </is>
      </c>
      <c r="N685" s="7" t="n">
        <v>1</v>
      </c>
      <c r="Q685">
        <f>"- LA "&amp;F685&amp;" ("&amp;LEFT(I685,5)&amp;"-"&amp;LEFT(J685,5)&amp;" hrs)"</f>
        <v/>
      </c>
    </row>
    <row r="686">
      <c r="B686" s="7" t="n">
        <v>97</v>
      </c>
      <c r="C686" s="7" t="inlineStr">
        <is>
          <t>08/10/2026</t>
        </is>
      </c>
      <c r="D686" s="7" t="inlineStr">
        <is>
          <t>Oct-2026</t>
        </is>
      </c>
      <c r="E686" s="7" t="inlineStr">
        <is>
          <t>jueves</t>
        </is>
      </c>
      <c r="F686" s="7" t="n">
        <v>2696</v>
      </c>
      <c r="G686" s="7" t="inlineStr">
        <is>
          <t>SCL</t>
        </is>
      </c>
      <c r="H686" s="7" t="inlineStr">
        <is>
          <t>LIM</t>
        </is>
      </c>
      <c r="I686" s="7" t="inlineStr">
        <is>
          <t>15:55:00</t>
        </is>
      </c>
      <c r="J686" s="7" t="inlineStr">
        <is>
          <t>19:40:00</t>
        </is>
      </c>
      <c r="K686" s="7" t="inlineStr">
        <is>
          <t>NO</t>
        </is>
      </c>
      <c r="L686" s="7" t="n">
        <v>789</v>
      </c>
      <c r="M686" s="7" t="inlineStr">
        <is>
          <t>03:45:00</t>
        </is>
      </c>
      <c r="N686" s="7" t="n">
        <v>1</v>
      </c>
      <c r="O686">
        <f>IF(O684="","",O684)</f>
        <v/>
      </c>
      <c r="Q686">
        <f>IF(Q683="","",Q683)</f>
        <v/>
      </c>
    </row>
    <row r="687">
      <c r="Q687">
        <f>"- "&amp;G686&amp;"-"&amp;H686</f>
        <v/>
      </c>
    </row>
    <row r="688">
      <c r="Q688">
        <f>"- LA "&amp;F686&amp;" ("&amp;LEFT(I686,5)&amp;"-"&amp;LEFT(J686,5)&amp;" hrs)"</f>
        <v/>
      </c>
    </row>
    <row r="690">
      <c r="Q690" s="3" t="n"/>
    </row>
    <row r="691">
      <c r="B691" s="4" t="inlineStr">
        <is>
          <t>Pairing ID</t>
        </is>
      </c>
      <c r="C691" s="4" t="inlineStr">
        <is>
          <t>FECHA REAL</t>
        </is>
      </c>
      <c r="D691" s="5" t="inlineStr">
        <is>
          <t>MES</t>
        </is>
      </c>
      <c r="E691" s="4" t="inlineStr">
        <is>
          <t>Day of Week</t>
        </is>
      </c>
      <c r="F691" s="4" t="inlineStr">
        <is>
          <t>Flight No</t>
        </is>
      </c>
      <c r="G691" s="4" t="inlineStr">
        <is>
          <t>Dep Stn</t>
        </is>
      </c>
      <c r="H691" s="4" t="inlineStr">
        <is>
          <t>Arr Stn</t>
        </is>
      </c>
      <c r="I691" s="4" t="inlineStr">
        <is>
          <t>STD</t>
        </is>
      </c>
      <c r="J691" s="4" t="inlineStr">
        <is>
          <t>STA</t>
        </is>
      </c>
      <c r="K691" s="4" t="inlineStr">
        <is>
          <t>DAY</t>
        </is>
      </c>
      <c r="L691" s="4" t="inlineStr">
        <is>
          <t>AC Type</t>
        </is>
      </c>
      <c r="M691" s="4" t="inlineStr">
        <is>
          <t>HBT</t>
        </is>
      </c>
      <c r="N691" s="6" t="inlineStr">
        <is>
          <t>DIA_DUTY</t>
        </is>
      </c>
      <c r="O691" s="3" t="n"/>
      <c r="Q691">
        <f>"- "&amp;G692&amp;"-"&amp;H692</f>
        <v/>
      </c>
      <c r="R691" s="7">
        <f>B692</f>
        <v/>
      </c>
      <c r="S691" s="7">
        <f>C692</f>
        <v/>
      </c>
      <c r="T691" s="7">
        <f>E692</f>
        <v/>
      </c>
      <c r="U691" s="7">
        <f>F692&amp;"/"&amp;F693</f>
        <v/>
      </c>
      <c r="V691" s="7">
        <f>G692&amp;"-"&amp;H692&amp;"-"&amp;G692</f>
        <v/>
      </c>
      <c r="W691" s="7">
        <f>IF(O691="","",O691)</f>
        <v/>
      </c>
      <c r="X691" s="7">
        <f>IF(Q690="","",Q690)</f>
        <v/>
      </c>
      <c r="Y691" s="7">
        <f>C692</f>
        <v/>
      </c>
      <c r="Z691" s="7">
        <f>C693</f>
        <v/>
      </c>
    </row>
    <row r="692">
      <c r="B692" s="7" t="n">
        <v>98</v>
      </c>
      <c r="C692" s="7" t="inlineStr">
        <is>
          <t>08/10/2026</t>
        </is>
      </c>
      <c r="D692" s="7" t="inlineStr">
        <is>
          <t>Oct-2026</t>
        </is>
      </c>
      <c r="E692" s="7" t="inlineStr">
        <is>
          <t>jueves</t>
        </is>
      </c>
      <c r="F692" s="7" t="n">
        <v>2413</v>
      </c>
      <c r="G692" s="7" t="inlineStr">
        <is>
          <t>LIM</t>
        </is>
      </c>
      <c r="H692" s="7" t="inlineStr">
        <is>
          <t>SCL</t>
        </is>
      </c>
      <c r="I692" s="7" t="inlineStr">
        <is>
          <t>12:05:00</t>
        </is>
      </c>
      <c r="J692" s="7" t="inlineStr">
        <is>
          <t>15:45:00</t>
        </is>
      </c>
      <c r="K692" s="7" t="inlineStr">
        <is>
          <t>NO</t>
        </is>
      </c>
      <c r="L692" s="7" t="n">
        <v>763</v>
      </c>
      <c r="M692" s="7" t="inlineStr">
        <is>
          <t>03:40:00</t>
        </is>
      </c>
      <c r="N692" s="7" t="n">
        <v>1</v>
      </c>
      <c r="Q692">
        <f>"- LA "&amp;F692&amp;" ("&amp;LEFT(I692,5)&amp;"-"&amp;LEFT(J692,5)&amp;" hrs)"</f>
        <v/>
      </c>
    </row>
    <row r="693">
      <c r="B693" s="7" t="n">
        <v>98</v>
      </c>
      <c r="C693" s="7" t="inlineStr">
        <is>
          <t>08/10/2026</t>
        </is>
      </c>
      <c r="D693" s="7" t="inlineStr">
        <is>
          <t>Oct-2026</t>
        </is>
      </c>
      <c r="E693" s="7" t="inlineStr">
        <is>
          <t>jueves</t>
        </is>
      </c>
      <c r="F693" s="7" t="n">
        <v>2412</v>
      </c>
      <c r="G693" s="7" t="inlineStr">
        <is>
          <t>SCL</t>
        </is>
      </c>
      <c r="H693" s="7" t="inlineStr">
        <is>
          <t>LIM</t>
        </is>
      </c>
      <c r="I693" s="7" t="inlineStr">
        <is>
          <t>17:10:00</t>
        </is>
      </c>
      <c r="J693" s="7" t="inlineStr">
        <is>
          <t>21:00:00</t>
        </is>
      </c>
      <c r="K693" s="7" t="inlineStr">
        <is>
          <t>NO</t>
        </is>
      </c>
      <c r="L693" s="7" t="n">
        <v>763</v>
      </c>
      <c r="M693" s="7" t="inlineStr">
        <is>
          <t>03:50:00</t>
        </is>
      </c>
      <c r="N693" s="7" t="n">
        <v>1</v>
      </c>
      <c r="O693">
        <f>IF(O691="","",O691)</f>
        <v/>
      </c>
      <c r="Q693">
        <f>IF(Q690="","",Q690)</f>
        <v/>
      </c>
    </row>
    <row r="694">
      <c r="Q694">
        <f>"- "&amp;G693&amp;"-"&amp;H693</f>
        <v/>
      </c>
    </row>
    <row r="695">
      <c r="Q695">
        <f>"- LA "&amp;F693&amp;" ("&amp;LEFT(I693,5)&amp;"-"&amp;LEFT(J693,5)&amp;" hrs)"</f>
        <v/>
      </c>
    </row>
    <row r="697">
      <c r="Q697" s="3" t="n"/>
    </row>
    <row r="698">
      <c r="B698" s="4" t="inlineStr">
        <is>
          <t>Pairing ID</t>
        </is>
      </c>
      <c r="C698" s="4" t="inlineStr">
        <is>
          <t>FECHA REAL</t>
        </is>
      </c>
      <c r="D698" s="5" t="inlineStr">
        <is>
          <t>MES</t>
        </is>
      </c>
      <c r="E698" s="4" t="inlineStr">
        <is>
          <t>Day of Week</t>
        </is>
      </c>
      <c r="F698" s="4" t="inlineStr">
        <is>
          <t>Flight No</t>
        </is>
      </c>
      <c r="G698" s="4" t="inlineStr">
        <is>
          <t>Dep Stn</t>
        </is>
      </c>
      <c r="H698" s="4" t="inlineStr">
        <is>
          <t>Arr Stn</t>
        </is>
      </c>
      <c r="I698" s="4" t="inlineStr">
        <is>
          <t>STD</t>
        </is>
      </c>
      <c r="J698" s="4" t="inlineStr">
        <is>
          <t>STA</t>
        </is>
      </c>
      <c r="K698" s="4" t="inlineStr">
        <is>
          <t>DAY</t>
        </is>
      </c>
      <c r="L698" s="4" t="inlineStr">
        <is>
          <t>AC Type</t>
        </is>
      </c>
      <c r="M698" s="4" t="inlineStr">
        <is>
          <t>HBT</t>
        </is>
      </c>
      <c r="N698" s="6" t="inlineStr">
        <is>
          <t>DIA_DUTY</t>
        </is>
      </c>
      <c r="O698" s="3" t="n"/>
      <c r="Q698">
        <f>"- "&amp;G699&amp;"-"&amp;H699</f>
        <v/>
      </c>
      <c r="R698" s="7">
        <f>B699</f>
        <v/>
      </c>
      <c r="S698" s="7">
        <f>C699</f>
        <v/>
      </c>
      <c r="T698" s="7">
        <f>E699</f>
        <v/>
      </c>
      <c r="U698" s="7">
        <f>F699&amp;"/"&amp;F700</f>
        <v/>
      </c>
      <c r="V698" s="7">
        <f>G699&amp;"-"&amp;H699&amp;"-"&amp;G699</f>
        <v/>
      </c>
      <c r="W698" s="7">
        <f>IF(O698="","",O698)</f>
        <v/>
      </c>
      <c r="X698" s="7">
        <f>IF(Q697="","",Q697)</f>
        <v/>
      </c>
      <c r="Y698" s="7">
        <f>C699</f>
        <v/>
      </c>
      <c r="Z698" s="7">
        <f>C700</f>
        <v/>
      </c>
    </row>
    <row r="699">
      <c r="B699" s="7" t="n">
        <v>99</v>
      </c>
      <c r="C699" s="7" t="inlineStr">
        <is>
          <t>12/10/2026</t>
        </is>
      </c>
      <c r="D699" s="7" t="inlineStr">
        <is>
          <t>Oct-2026</t>
        </is>
      </c>
      <c r="E699" s="7" t="inlineStr">
        <is>
          <t>lunes</t>
        </is>
      </c>
      <c r="F699" s="7" t="n">
        <v>2698</v>
      </c>
      <c r="G699" s="7" t="inlineStr">
        <is>
          <t>LIM</t>
        </is>
      </c>
      <c r="H699" s="7" t="inlineStr">
        <is>
          <t>MIA</t>
        </is>
      </c>
      <c r="I699" s="7" t="inlineStr">
        <is>
          <t>08:15:00</t>
        </is>
      </c>
      <c r="J699" s="7" t="inlineStr">
        <is>
          <t>14:10:00</t>
        </is>
      </c>
      <c r="K699" s="7" t="inlineStr">
        <is>
          <t>NO</t>
        </is>
      </c>
      <c r="L699" s="7" t="n">
        <v>763</v>
      </c>
      <c r="M699" s="7" t="inlineStr">
        <is>
          <t>05:55:00</t>
        </is>
      </c>
      <c r="N699" s="7" t="n">
        <v>1</v>
      </c>
      <c r="Q699">
        <f>"- LA "&amp;F699&amp;" ("&amp;LEFT(I699,5)&amp;"-"&amp;LEFT(J699,5)&amp;" hrs)"</f>
        <v/>
      </c>
    </row>
    <row r="700">
      <c r="B700" s="7" t="n">
        <v>99</v>
      </c>
      <c r="C700" s="7" t="inlineStr">
        <is>
          <t>13/10/2026</t>
        </is>
      </c>
      <c r="D700" s="7" t="inlineStr">
        <is>
          <t>Oct-2026</t>
        </is>
      </c>
      <c r="E700" s="7" t="inlineStr">
        <is>
          <t>martes</t>
        </is>
      </c>
      <c r="F700" s="7" t="n">
        <v>2695</v>
      </c>
      <c r="G700" s="7" t="inlineStr">
        <is>
          <t>MIA</t>
        </is>
      </c>
      <c r="H700" s="7" t="inlineStr">
        <is>
          <t>LIM</t>
        </is>
      </c>
      <c r="I700" s="7" t="inlineStr">
        <is>
          <t>16:10:00</t>
        </is>
      </c>
      <c r="J700" s="7" t="inlineStr">
        <is>
          <t>22:00:00</t>
        </is>
      </c>
      <c r="K700" s="7" t="inlineStr">
        <is>
          <t>NO</t>
        </is>
      </c>
      <c r="L700" s="7" t="n">
        <v>763</v>
      </c>
      <c r="M700" s="7" t="inlineStr">
        <is>
          <t>05:50:00</t>
        </is>
      </c>
      <c r="N700" s="7" t="n">
        <v>2</v>
      </c>
      <c r="O700">
        <f>IF(O698="","",O698)</f>
        <v/>
      </c>
      <c r="Q700">
        <f>IF(Q697="","",Q697)</f>
        <v/>
      </c>
    </row>
    <row r="701">
      <c r="Q701">
        <f>"- "&amp;G700&amp;"-"&amp;H700</f>
        <v/>
      </c>
    </row>
    <row r="702">
      <c r="Q702">
        <f>"- LA "&amp;F700&amp;" ("&amp;LEFT(I700,5)&amp;"-"&amp;LEFT(J700,5)&amp;" hrs)"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2026-09-08T00:56:15Z</dcterms:created>
  <dcterms:modified xsi:type="dcterms:W3CDTF">2026-09-08T00:56:16Z</dcterms:modified>
</cp:coreProperties>
</file>