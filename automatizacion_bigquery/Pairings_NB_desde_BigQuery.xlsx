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rings NB" sheetId="1" state="visible" r:id="rId1"/>
    <sheet name="Instructores" sheetId="2" state="visible" r:id="rId2"/>
    <sheet name="Resumen Final" sheetId="3" state="visible" r:id="rId3"/>
  </sheets>
  <definedNames>
    <definedName name="_xlnm._FilterDatabase" localSheetId="2" hidden="1">'Resumen Final'!$A$1:$K$556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9E1F2"/>
      </patternFill>
    </fill>
    <fill>
      <patternFill patternType="solid">
        <fgColor rgb="00C6E8C6"/>
      </patternFill>
    </fill>
    <fill>
      <patternFill patternType="solid">
        <fgColor rgb="00FFC000"/>
      </patternFill>
    </fill>
    <fill>
      <patternFill patternType="solid">
        <f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horizontal="center" wrapText="1"/>
    </xf>
    <xf numFmtId="0" fontId="0" fillId="0" borderId="1" applyAlignment="1" pivotButton="0" quotePrefix="0" xfId="0">
      <alignment horizontal="center" wrapText="1"/>
    </xf>
    <xf numFmtId="0" fontId="1" fillId="4" borderId="0" pivotButton="0" quotePrefix="0" xfId="0"/>
    <xf numFmtId="0" fontId="1" fillId="3" borderId="0" pivotButton="0" quotePrefix="0" xfId="0"/>
    <xf numFmtId="0" fontId="1" fillId="5" borderId="0" pivotButton="0" quotePrefix="0" xfId="0"/>
    <xf numFmtId="0" fontId="0" fillId="5" borderId="0" pivotButton="0" quotePrefix="0" xfId="0"/>
    <xf numFmtId="0" fontId="1"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generar_reporte_pairings_nb.py</author>
  </authors>
  <commentList>
    <comment ref="M9" authorId="0" shapeId="0">
      <text>
        <t>Elegir el instructor de la lista</t>
      </text>
    </comment>
    <comment ref="O9" authorId="0" shapeId="0">
      <text>
        <t>Tipo de actividad (elegir de la lista)</t>
      </text>
    </comment>
    <comment ref="M16" authorId="0" shapeId="0">
      <text>
        <t>Elegir el instructor de la lista</t>
      </text>
    </comment>
    <comment ref="O16" authorId="0" shapeId="0">
      <text>
        <t>Tipo de actividad (elegir de la lista)</t>
      </text>
    </comment>
    <comment ref="M21" authorId="0" shapeId="0">
      <text>
        <t>Elegir el instructor de la lista</t>
      </text>
    </comment>
    <comment ref="O21" authorId="0" shapeId="0">
      <text>
        <t>Tipo de actividad (elegir de la lista)</t>
      </text>
    </comment>
    <comment ref="M28" authorId="0" shapeId="0">
      <text>
        <t>Elegir el instructor de la lista</t>
      </text>
    </comment>
    <comment ref="O28" authorId="0" shapeId="0">
      <text>
        <t>Tipo de actividad (elegir de la lista)</t>
      </text>
    </comment>
    <comment ref="M33" authorId="0" shapeId="0">
      <text>
        <t>Elegir el instructor de la lista</t>
      </text>
    </comment>
    <comment ref="O33" authorId="0" shapeId="0">
      <text>
        <t>Tipo de actividad (elegir de la lista)</t>
      </text>
    </comment>
    <comment ref="M40" authorId="0" shapeId="0">
      <text>
        <t>Elegir el instructor de la lista</t>
      </text>
    </comment>
    <comment ref="O40" authorId="0" shapeId="0">
      <text>
        <t>Tipo de actividad (elegir de la lista)</t>
      </text>
    </comment>
    <comment ref="M45" authorId="0" shapeId="0">
      <text>
        <t>Elegir el instructor de la lista</t>
      </text>
    </comment>
    <comment ref="O45" authorId="0" shapeId="0">
      <text>
        <t>Tipo de actividad (elegir de la lista)</t>
      </text>
    </comment>
    <comment ref="M50" authorId="0" shapeId="0">
      <text>
        <t>Elegir el instructor de la lista</t>
      </text>
    </comment>
    <comment ref="O50" authorId="0" shapeId="0">
      <text>
        <t>Tipo de actividad (elegir de la lista)</t>
      </text>
    </comment>
    <comment ref="M55" authorId="0" shapeId="0">
      <text>
        <t>Elegir el instructor de la lista</t>
      </text>
    </comment>
    <comment ref="O55" authorId="0" shapeId="0">
      <text>
        <t>Tipo de actividad (elegir de la lista)</t>
      </text>
    </comment>
    <comment ref="M60" authorId="0" shapeId="0">
      <text>
        <t>Elegir el instructor de la lista</t>
      </text>
    </comment>
    <comment ref="O60" authorId="0" shapeId="0">
      <text>
        <t>Tipo de actividad (elegir de la lista)</t>
      </text>
    </comment>
    <comment ref="M65" authorId="0" shapeId="0">
      <text>
        <t>Elegir el instructor de la lista</t>
      </text>
    </comment>
    <comment ref="O65" authorId="0" shapeId="0">
      <text>
        <t>Tipo de actividad (elegir de la lista)</t>
      </text>
    </comment>
    <comment ref="M70" authorId="0" shapeId="0">
      <text>
        <t>Elegir el instructor de la lista</t>
      </text>
    </comment>
    <comment ref="O70" authorId="0" shapeId="0">
      <text>
        <t>Tipo de actividad (elegir de la lista)</t>
      </text>
    </comment>
    <comment ref="M75" authorId="0" shapeId="0">
      <text>
        <t>Elegir el instructor de la lista</t>
      </text>
    </comment>
    <comment ref="O75" authorId="0" shapeId="0">
      <text>
        <t>Tipo de actividad (elegir de la lista)</t>
      </text>
    </comment>
    <comment ref="M80" authorId="0" shapeId="0">
      <text>
        <t>Elegir el instructor de la lista</t>
      </text>
    </comment>
    <comment ref="O80" authorId="0" shapeId="0">
      <text>
        <t>Tipo de actividad (elegir de la lista)</t>
      </text>
    </comment>
    <comment ref="M85" authorId="0" shapeId="0">
      <text>
        <t>Elegir el instructor de la lista</t>
      </text>
    </comment>
    <comment ref="O85" authorId="0" shapeId="0">
      <text>
        <t>Tipo de actividad (elegir de la lista)</t>
      </text>
    </comment>
    <comment ref="M90" authorId="0" shapeId="0">
      <text>
        <t>Elegir el instructor de la lista</t>
      </text>
    </comment>
    <comment ref="O90" authorId="0" shapeId="0">
      <text>
        <t>Tipo de actividad (elegir de la lista)</t>
      </text>
    </comment>
    <comment ref="M95" authorId="0" shapeId="0">
      <text>
        <t>Elegir el instructor de la lista</t>
      </text>
    </comment>
    <comment ref="O95" authorId="0" shapeId="0">
      <text>
        <t>Tipo de actividad (elegir de la lista)</t>
      </text>
    </comment>
    <comment ref="M100" authorId="0" shapeId="0">
      <text>
        <t>Elegir el instructor de la lista</t>
      </text>
    </comment>
    <comment ref="O100" authorId="0" shapeId="0">
      <text>
        <t>Tipo de actividad (elegir de la lista)</t>
      </text>
    </comment>
    <comment ref="M105" authorId="0" shapeId="0">
      <text>
        <t>Elegir el instructor de la lista</t>
      </text>
    </comment>
    <comment ref="O105" authorId="0" shapeId="0">
      <text>
        <t>Tipo de actividad (elegir de la lista)</t>
      </text>
    </comment>
    <comment ref="M110" authorId="0" shapeId="0">
      <text>
        <t>Elegir el instructor de la lista</t>
      </text>
    </comment>
    <comment ref="O110" authorId="0" shapeId="0">
      <text>
        <t>Tipo de actividad (elegir de la lista)</t>
      </text>
    </comment>
    <comment ref="M115" authorId="0" shapeId="0">
      <text>
        <t>Elegir el instructor de la lista</t>
      </text>
    </comment>
    <comment ref="O115" authorId="0" shapeId="0">
      <text>
        <t>Tipo de actividad (elegir de la lista)</t>
      </text>
    </comment>
    <comment ref="M120" authorId="0" shapeId="0">
      <text>
        <t>Elegir el instructor de la lista</t>
      </text>
    </comment>
    <comment ref="O120" authorId="0" shapeId="0">
      <text>
        <t>Tipo de actividad (elegir de la lista)</t>
      </text>
    </comment>
    <comment ref="M125" authorId="0" shapeId="0">
      <text>
        <t>Elegir el instructor de la lista</t>
      </text>
    </comment>
    <comment ref="O125" authorId="0" shapeId="0">
      <text>
        <t>Tipo de actividad (elegir de la lista)</t>
      </text>
    </comment>
    <comment ref="M132" authorId="0" shapeId="0">
      <text>
        <t>Elegir el instructor de la lista</t>
      </text>
    </comment>
    <comment ref="O132" authorId="0" shapeId="0">
      <text>
        <t>Tipo de actividad (elegir de la lista)</t>
      </text>
    </comment>
    <comment ref="M137" authorId="0" shapeId="0">
      <text>
        <t>Elegir el instructor de la lista</t>
      </text>
    </comment>
    <comment ref="O137" authorId="0" shapeId="0">
      <text>
        <t>Tipo de actividad (elegir de la lista)</t>
      </text>
    </comment>
    <comment ref="M144" authorId="0" shapeId="0">
      <text>
        <t>Elegir el instructor de la lista</t>
      </text>
    </comment>
    <comment ref="O144" authorId="0" shapeId="0">
      <text>
        <t>Tipo de actividad (elegir de la lista)</t>
      </text>
    </comment>
    <comment ref="M149" authorId="0" shapeId="0">
      <text>
        <t>Elegir el instructor de la lista</t>
      </text>
    </comment>
    <comment ref="O149" authorId="0" shapeId="0">
      <text>
        <t>Tipo de actividad (elegir de la lista)</t>
      </text>
    </comment>
    <comment ref="M156" authorId="0" shapeId="0">
      <text>
        <t>Elegir el instructor de la lista</t>
      </text>
    </comment>
    <comment ref="O156" authorId="0" shapeId="0">
      <text>
        <t>Tipo de actividad (elegir de la lista)</t>
      </text>
    </comment>
    <comment ref="M161" authorId="0" shapeId="0">
      <text>
        <t>Elegir el instructor de la lista</t>
      </text>
    </comment>
    <comment ref="O161" authorId="0" shapeId="0">
      <text>
        <t>Tipo de actividad (elegir de la lista)</t>
      </text>
    </comment>
    <comment ref="M166" authorId="0" shapeId="0">
      <text>
        <t>Elegir el instructor de la lista</t>
      </text>
    </comment>
    <comment ref="O166" authorId="0" shapeId="0">
      <text>
        <t>Tipo de actividad (elegir de la lista)</t>
      </text>
    </comment>
    <comment ref="M173" authorId="0" shapeId="0">
      <text>
        <t>Elegir el instructor de la lista</t>
      </text>
    </comment>
    <comment ref="O173" authorId="0" shapeId="0">
      <text>
        <t>Tipo de actividad (elegir de la lista)</t>
      </text>
    </comment>
    <comment ref="M178" authorId="0" shapeId="0">
      <text>
        <t>Elegir el instructor de la lista</t>
      </text>
    </comment>
    <comment ref="O178" authorId="0" shapeId="0">
      <text>
        <t>Tipo de actividad (elegir de la lista)</t>
      </text>
    </comment>
    <comment ref="M183" authorId="0" shapeId="0">
      <text>
        <t>Elegir el instructor de la lista</t>
      </text>
    </comment>
    <comment ref="O183" authorId="0" shapeId="0">
      <text>
        <t>Tipo de actividad (elegir de la lista)</t>
      </text>
    </comment>
    <comment ref="M188" authorId="0" shapeId="0">
      <text>
        <t>Elegir el instructor de la lista</t>
      </text>
    </comment>
    <comment ref="O188" authorId="0" shapeId="0">
      <text>
        <t>Tipo de actividad (elegir de la lista)</t>
      </text>
    </comment>
    <comment ref="M193" authorId="0" shapeId="0">
      <text>
        <t>Elegir el instructor de la lista</t>
      </text>
    </comment>
    <comment ref="O193" authorId="0" shapeId="0">
      <text>
        <t>Tipo de actividad (elegir de la lista)</t>
      </text>
    </comment>
    <comment ref="M198" authorId="0" shapeId="0">
      <text>
        <t>Elegir el instructor de la lista</t>
      </text>
    </comment>
    <comment ref="O198" authorId="0" shapeId="0">
      <text>
        <t>Tipo de actividad (elegir de la lista)</t>
      </text>
    </comment>
    <comment ref="M203" authorId="0" shapeId="0">
      <text>
        <t>Elegir el instructor de la lista</t>
      </text>
    </comment>
    <comment ref="O203" authorId="0" shapeId="0">
      <text>
        <t>Tipo de actividad (elegir de la lista)</t>
      </text>
    </comment>
    <comment ref="M208" authorId="0" shapeId="0">
      <text>
        <t>Elegir el instructor de la lista</t>
      </text>
    </comment>
    <comment ref="O208" authorId="0" shapeId="0">
      <text>
        <t>Tipo de actividad (elegir de la lista)</t>
      </text>
    </comment>
    <comment ref="M213" authorId="0" shapeId="0">
      <text>
        <t>Elegir el instructor de la lista</t>
      </text>
    </comment>
    <comment ref="O213" authorId="0" shapeId="0">
      <text>
        <t>Tipo de actividad (elegir de la lista)</t>
      </text>
    </comment>
    <comment ref="M220" authorId="0" shapeId="0">
      <text>
        <t>Elegir el instructor de la lista</t>
      </text>
    </comment>
    <comment ref="O220" authorId="0" shapeId="0">
      <text>
        <t>Tipo de actividad (elegir de la lista)</t>
      </text>
    </comment>
    <comment ref="M225" authorId="0" shapeId="0">
      <text>
        <t>Elegir el instructor de la lista</t>
      </text>
    </comment>
    <comment ref="O225" authorId="0" shapeId="0">
      <text>
        <t>Tipo de actividad (elegir de la lista)</t>
      </text>
    </comment>
    <comment ref="M232" authorId="0" shapeId="0">
      <text>
        <t>Elegir el instructor de la lista</t>
      </text>
    </comment>
    <comment ref="O232" authorId="0" shapeId="0">
      <text>
        <t>Tipo de actividad (elegir de la lista)</t>
      </text>
    </comment>
    <comment ref="M237" authorId="0" shapeId="0">
      <text>
        <t>Elegir el instructor de la lista</t>
      </text>
    </comment>
    <comment ref="O237" authorId="0" shapeId="0">
      <text>
        <t>Tipo de actividad (elegir de la lista)</t>
      </text>
    </comment>
    <comment ref="M242" authorId="0" shapeId="0">
      <text>
        <t>Elegir el instructor de la lista</t>
      </text>
    </comment>
    <comment ref="O242" authorId="0" shapeId="0">
      <text>
        <t>Tipo de actividad (elegir de la lista)</t>
      </text>
    </comment>
    <comment ref="M247" authorId="0" shapeId="0">
      <text>
        <t>Elegir el instructor de la lista</t>
      </text>
    </comment>
    <comment ref="O247" authorId="0" shapeId="0">
      <text>
        <t>Tipo de actividad (elegir de la lista)</t>
      </text>
    </comment>
    <comment ref="M252" authorId="0" shapeId="0">
      <text>
        <t>Elegir el instructor de la lista</t>
      </text>
    </comment>
    <comment ref="O252" authorId="0" shapeId="0">
      <text>
        <t>Tipo de actividad (elegir de la lista)</t>
      </text>
    </comment>
    <comment ref="M257" authorId="0" shapeId="0">
      <text>
        <t>Elegir el instructor de la lista</t>
      </text>
    </comment>
    <comment ref="O257" authorId="0" shapeId="0">
      <text>
        <t>Tipo de actividad (elegir de la lista)</t>
      </text>
    </comment>
    <comment ref="M262" authorId="0" shapeId="0">
      <text>
        <t>Elegir el instructor de la lista</t>
      </text>
    </comment>
    <comment ref="O262" authorId="0" shapeId="0">
      <text>
        <t>Tipo de actividad (elegir de la lista)</t>
      </text>
    </comment>
    <comment ref="M267" authorId="0" shapeId="0">
      <text>
        <t>Elegir el instructor de la lista</t>
      </text>
    </comment>
    <comment ref="O267" authorId="0" shapeId="0">
      <text>
        <t>Tipo de actividad (elegir de la lista)</t>
      </text>
    </comment>
    <comment ref="M272" authorId="0" shapeId="0">
      <text>
        <t>Elegir el instructor de la lista</t>
      </text>
    </comment>
    <comment ref="O272" authorId="0" shapeId="0">
      <text>
        <t>Tipo de actividad (elegir de la lista)</t>
      </text>
    </comment>
    <comment ref="M277" authorId="0" shapeId="0">
      <text>
        <t>Elegir el instructor de la lista</t>
      </text>
    </comment>
    <comment ref="O277" authorId="0" shapeId="0">
      <text>
        <t>Tipo de actividad (elegir de la lista)</t>
      </text>
    </comment>
    <comment ref="M282" authorId="0" shapeId="0">
      <text>
        <t>Elegir el instructor de la lista</t>
      </text>
    </comment>
    <comment ref="O282" authorId="0" shapeId="0">
      <text>
        <t>Tipo de actividad (elegir de la lista)</t>
      </text>
    </comment>
    <comment ref="M289" authorId="0" shapeId="0">
      <text>
        <t>Elegir el instructor de la lista</t>
      </text>
    </comment>
    <comment ref="O289" authorId="0" shapeId="0">
      <text>
        <t>Tipo de actividad (elegir de la lista)</t>
      </text>
    </comment>
    <comment ref="M296" authorId="0" shapeId="0">
      <text>
        <t>Elegir el instructor de la lista</t>
      </text>
    </comment>
    <comment ref="O296" authorId="0" shapeId="0">
      <text>
        <t>Tipo de actividad (elegir de la lista)</t>
      </text>
    </comment>
    <comment ref="M301" authorId="0" shapeId="0">
      <text>
        <t>Elegir el instructor de la lista</t>
      </text>
    </comment>
    <comment ref="O301" authorId="0" shapeId="0">
      <text>
        <t>Tipo de actividad (elegir de la lista)</t>
      </text>
    </comment>
    <comment ref="M306" authorId="0" shapeId="0">
      <text>
        <t>Elegir el instructor de la lista</t>
      </text>
    </comment>
    <comment ref="O306" authorId="0" shapeId="0">
      <text>
        <t>Tipo de actividad (elegir de la lista)</t>
      </text>
    </comment>
    <comment ref="M311" authorId="0" shapeId="0">
      <text>
        <t>Elegir el instructor de la lista</t>
      </text>
    </comment>
    <comment ref="O311" authorId="0" shapeId="0">
      <text>
        <t>Tipo de actividad (elegir de la lista)</t>
      </text>
    </comment>
    <comment ref="M316" authorId="0" shapeId="0">
      <text>
        <t>Elegir el instructor de la lista</t>
      </text>
    </comment>
    <comment ref="O316" authorId="0" shapeId="0">
      <text>
        <t>Tipo de actividad (elegir de la lista)</t>
      </text>
    </comment>
    <comment ref="M321" authorId="0" shapeId="0">
      <text>
        <t>Elegir el instructor de la lista</t>
      </text>
    </comment>
    <comment ref="O321" authorId="0" shapeId="0">
      <text>
        <t>Tipo de actividad (elegir de la lista)</t>
      </text>
    </comment>
    <comment ref="M328" authorId="0" shapeId="0">
      <text>
        <t>Elegir el instructor de la lista</t>
      </text>
    </comment>
    <comment ref="O328" authorId="0" shapeId="0">
      <text>
        <t>Tipo de actividad (elegir de la lista)</t>
      </text>
    </comment>
    <comment ref="M333" authorId="0" shapeId="0">
      <text>
        <t>Elegir el instructor de la lista</t>
      </text>
    </comment>
    <comment ref="O333" authorId="0" shapeId="0">
      <text>
        <t>Tipo de actividad (elegir de la lista)</t>
      </text>
    </comment>
    <comment ref="M338" authorId="0" shapeId="0">
      <text>
        <t>Elegir el instructor de la lista</t>
      </text>
    </comment>
    <comment ref="O338" authorId="0" shapeId="0">
      <text>
        <t>Tipo de actividad (elegir de la lista)</t>
      </text>
    </comment>
    <comment ref="M343" authorId="0" shapeId="0">
      <text>
        <t>Elegir el instructor de la lista</t>
      </text>
    </comment>
    <comment ref="O343" authorId="0" shapeId="0">
      <text>
        <t>Tipo de actividad (elegir de la lista)</t>
      </text>
    </comment>
    <comment ref="M348" authorId="0" shapeId="0">
      <text>
        <t>Elegir el instructor de la lista</t>
      </text>
    </comment>
    <comment ref="O348" authorId="0" shapeId="0">
      <text>
        <t>Tipo de actividad (elegir de la lista)</t>
      </text>
    </comment>
    <comment ref="M353" authorId="0" shapeId="0">
      <text>
        <t>Elegir el instructor de la lista</t>
      </text>
    </comment>
    <comment ref="O353" authorId="0" shapeId="0">
      <text>
        <t>Tipo de actividad (elegir de la lista)</t>
      </text>
    </comment>
    <comment ref="M358" authorId="0" shapeId="0">
      <text>
        <t>Elegir el instructor de la lista</t>
      </text>
    </comment>
    <comment ref="O358" authorId="0" shapeId="0">
      <text>
        <t>Tipo de actividad (elegir de la lista)</t>
      </text>
    </comment>
    <comment ref="M363" authorId="0" shapeId="0">
      <text>
        <t>Elegir el instructor de la lista</t>
      </text>
    </comment>
    <comment ref="O363" authorId="0" shapeId="0">
      <text>
        <t>Tipo de actividad (elegir de la lista)</t>
      </text>
    </comment>
    <comment ref="M370" authorId="0" shapeId="0">
      <text>
        <t>Elegir el instructor de la lista</t>
      </text>
    </comment>
    <comment ref="O370" authorId="0" shapeId="0">
      <text>
        <t>Tipo de actividad (elegir de la lista)</t>
      </text>
    </comment>
    <comment ref="M375" authorId="0" shapeId="0">
      <text>
        <t>Elegir el instructor de la lista</t>
      </text>
    </comment>
    <comment ref="O375" authorId="0" shapeId="0">
      <text>
        <t>Tipo de actividad (elegir de la lista)</t>
      </text>
    </comment>
    <comment ref="M380" authorId="0" shapeId="0">
      <text>
        <t>Elegir el instructor de la lista</t>
      </text>
    </comment>
    <comment ref="O380" authorId="0" shapeId="0">
      <text>
        <t>Tipo de actividad (elegir de la lista)</t>
      </text>
    </comment>
    <comment ref="M385" authorId="0" shapeId="0">
      <text>
        <t>Elegir el instructor de la lista</t>
      </text>
    </comment>
    <comment ref="O385" authorId="0" shapeId="0">
      <text>
        <t>Tipo de actividad (elegir de la lista)</t>
      </text>
    </comment>
    <comment ref="M390" authorId="0" shapeId="0">
      <text>
        <t>Elegir el instructor de la lista</t>
      </text>
    </comment>
    <comment ref="O390" authorId="0" shapeId="0">
      <text>
        <t>Tipo de actividad (elegir de la lista)</t>
      </text>
    </comment>
    <comment ref="M395" authorId="0" shapeId="0">
      <text>
        <t>Elegir el instructor de la lista</t>
      </text>
    </comment>
    <comment ref="O395" authorId="0" shapeId="0">
      <text>
        <t>Tipo de actividad (elegir de la lista)</t>
      </text>
    </comment>
    <comment ref="M400" authorId="0" shapeId="0">
      <text>
        <t>Elegir el instructor de la lista</t>
      </text>
    </comment>
    <comment ref="O400" authorId="0" shapeId="0">
      <text>
        <t>Tipo de actividad (elegir de la lista)</t>
      </text>
    </comment>
    <comment ref="M405" authorId="0" shapeId="0">
      <text>
        <t>Elegir el instructor de la lista</t>
      </text>
    </comment>
    <comment ref="O405" authorId="0" shapeId="0">
      <text>
        <t>Tipo de actividad (elegir de la lista)</t>
      </text>
    </comment>
    <comment ref="M410" authorId="0" shapeId="0">
      <text>
        <t>Elegir el instructor de la lista</t>
      </text>
    </comment>
    <comment ref="O410" authorId="0" shapeId="0">
      <text>
        <t>Tipo de actividad (elegir de la lista)</t>
      </text>
    </comment>
    <comment ref="M415" authorId="0" shapeId="0">
      <text>
        <t>Elegir el instructor de la lista</t>
      </text>
    </comment>
    <comment ref="O415" authorId="0" shapeId="0">
      <text>
        <t>Tipo de actividad (elegir de la lista)</t>
      </text>
    </comment>
    <comment ref="M422" authorId="0" shapeId="0">
      <text>
        <t>Elegir el instructor de la lista</t>
      </text>
    </comment>
    <comment ref="O422" authorId="0" shapeId="0">
      <text>
        <t>Tipo de actividad (elegir de la lista)</t>
      </text>
    </comment>
    <comment ref="M429" authorId="0" shapeId="0">
      <text>
        <t>Elegir el instructor de la lista</t>
      </text>
    </comment>
    <comment ref="O429" authorId="0" shapeId="0">
      <text>
        <t>Tipo de actividad (elegir de la lista)</t>
      </text>
    </comment>
    <comment ref="M436" authorId="0" shapeId="0">
      <text>
        <t>Elegir el instructor de la lista</t>
      </text>
    </comment>
    <comment ref="O436" authorId="0" shapeId="0">
      <text>
        <t>Tipo de actividad (elegir de la lista)</t>
      </text>
    </comment>
    <comment ref="M441" authorId="0" shapeId="0">
      <text>
        <t>Elegir el instructor de la lista</t>
      </text>
    </comment>
    <comment ref="O441" authorId="0" shapeId="0">
      <text>
        <t>Tipo de actividad (elegir de la lista)</t>
      </text>
    </comment>
    <comment ref="M448" authorId="0" shapeId="0">
      <text>
        <t>Elegir el instructor de la lista</t>
      </text>
    </comment>
    <comment ref="O448" authorId="0" shapeId="0">
      <text>
        <t>Tipo de actividad (elegir de la lista)</t>
      </text>
    </comment>
    <comment ref="M455" authorId="0" shapeId="0">
      <text>
        <t>Elegir el instructor de la lista</t>
      </text>
    </comment>
    <comment ref="O455" authorId="0" shapeId="0">
      <text>
        <t>Tipo de actividad (elegir de la lista)</t>
      </text>
    </comment>
    <comment ref="M460" authorId="0" shapeId="0">
      <text>
        <t>Elegir el instructor de la lista</t>
      </text>
    </comment>
    <comment ref="O460" authorId="0" shapeId="0">
      <text>
        <t>Tipo de actividad (elegir de la lista)</t>
      </text>
    </comment>
    <comment ref="M465" authorId="0" shapeId="0">
      <text>
        <t>Elegir el instructor de la lista</t>
      </text>
    </comment>
    <comment ref="O465" authorId="0" shapeId="0">
      <text>
        <t>Tipo de actividad (elegir de la lista)</t>
      </text>
    </comment>
    <comment ref="M470" authorId="0" shapeId="0">
      <text>
        <t>Elegir el instructor de la lista</t>
      </text>
    </comment>
    <comment ref="O470" authorId="0" shapeId="0">
      <text>
        <t>Tipo de actividad (elegir de la lista)</t>
      </text>
    </comment>
    <comment ref="M475" authorId="0" shapeId="0">
      <text>
        <t>Elegir el instructor de la lista</t>
      </text>
    </comment>
    <comment ref="O475" authorId="0" shapeId="0">
      <text>
        <t>Tipo de actividad (elegir de la lista)</t>
      </text>
    </comment>
    <comment ref="M480" authorId="0" shapeId="0">
      <text>
        <t>Elegir el instructor de la lista</t>
      </text>
    </comment>
    <comment ref="O480" authorId="0" shapeId="0">
      <text>
        <t>Tipo de actividad (elegir de la lista)</t>
      </text>
    </comment>
    <comment ref="M485" authorId="0" shapeId="0">
      <text>
        <t>Elegir el instructor de la lista</t>
      </text>
    </comment>
    <comment ref="O485" authorId="0" shapeId="0">
      <text>
        <t>Tipo de actividad (elegir de la lista)</t>
      </text>
    </comment>
    <comment ref="M490" authorId="0" shapeId="0">
      <text>
        <t>Elegir el instructor de la lista</t>
      </text>
    </comment>
    <comment ref="O490" authorId="0" shapeId="0">
      <text>
        <t>Tipo de actividad (elegir de la lista)</t>
      </text>
    </comment>
    <comment ref="M495" authorId="0" shapeId="0">
      <text>
        <t>Elegir el instructor de la lista</t>
      </text>
    </comment>
    <comment ref="O495" authorId="0" shapeId="0">
      <text>
        <t>Tipo de actividad (elegir de la lista)</t>
      </text>
    </comment>
    <comment ref="M500" authorId="0" shapeId="0">
      <text>
        <t>Elegir el instructor de la lista</t>
      </text>
    </comment>
    <comment ref="O500" authorId="0" shapeId="0">
      <text>
        <t>Tipo de actividad (elegir de la lista)</t>
      </text>
    </comment>
    <comment ref="M505" authorId="0" shapeId="0">
      <text>
        <t>Elegir el instructor de la lista</t>
      </text>
    </comment>
    <comment ref="O505" authorId="0" shapeId="0">
      <text>
        <t>Tipo de actividad (elegir de la lista)</t>
      </text>
    </comment>
    <comment ref="M512" authorId="0" shapeId="0">
      <text>
        <t>Elegir el instructor de la lista</t>
      </text>
    </comment>
    <comment ref="O512" authorId="0" shapeId="0">
      <text>
        <t>Tipo de actividad (elegir de la lista)</t>
      </text>
    </comment>
    <comment ref="M519" authorId="0" shapeId="0">
      <text>
        <t>Elegir el instructor de la lista</t>
      </text>
    </comment>
    <comment ref="O519" authorId="0" shapeId="0">
      <text>
        <t>Tipo de actividad (elegir de la lista)</t>
      </text>
    </comment>
    <comment ref="M524" authorId="0" shapeId="0">
      <text>
        <t>Elegir el instructor de la lista</t>
      </text>
    </comment>
    <comment ref="O524" authorId="0" shapeId="0">
      <text>
        <t>Tipo de actividad (elegir de la lista)</t>
      </text>
    </comment>
    <comment ref="M529" authorId="0" shapeId="0">
      <text>
        <t>Elegir el instructor de la lista</t>
      </text>
    </comment>
    <comment ref="O529" authorId="0" shapeId="0">
      <text>
        <t>Tipo de actividad (elegir de la lista)</t>
      </text>
    </comment>
    <comment ref="M534" authorId="0" shapeId="0">
      <text>
        <t>Elegir el instructor de la lista</t>
      </text>
    </comment>
    <comment ref="O534" authorId="0" shapeId="0">
      <text>
        <t>Tipo de actividad (elegir de la lista)</t>
      </text>
    </comment>
    <comment ref="M541" authorId="0" shapeId="0">
      <text>
        <t>Elegir el instructor de la lista</t>
      </text>
    </comment>
    <comment ref="O541" authorId="0" shapeId="0">
      <text>
        <t>Tipo de actividad (elegir de la lista)</t>
      </text>
    </comment>
    <comment ref="M546" authorId="0" shapeId="0">
      <text>
        <t>Elegir el instructor de la lista</t>
      </text>
    </comment>
    <comment ref="O546" authorId="0" shapeId="0">
      <text>
        <t>Tipo de actividad (elegir de la lista)</t>
      </text>
    </comment>
    <comment ref="M551" authorId="0" shapeId="0">
      <text>
        <t>Elegir el instructor de la lista</t>
      </text>
    </comment>
    <comment ref="O551" authorId="0" shapeId="0">
      <text>
        <t>Tipo de actividad (elegir de la lista)</t>
      </text>
    </comment>
    <comment ref="M556" authorId="0" shapeId="0">
      <text>
        <t>Elegir el instructor de la lista</t>
      </text>
    </comment>
    <comment ref="O556" authorId="0" shapeId="0">
      <text>
        <t>Tipo de actividad (elegir de la lista)</t>
      </text>
    </comment>
    <comment ref="M561" authorId="0" shapeId="0">
      <text>
        <t>Elegir el instructor de la lista</t>
      </text>
    </comment>
    <comment ref="O561" authorId="0" shapeId="0">
      <text>
        <t>Tipo de actividad (elegir de la lista)</t>
      </text>
    </comment>
    <comment ref="M566" authorId="0" shapeId="0">
      <text>
        <t>Elegir el instructor de la lista</t>
      </text>
    </comment>
    <comment ref="O566" authorId="0" shapeId="0">
      <text>
        <t>Tipo de actividad (elegir de la lista)</t>
      </text>
    </comment>
    <comment ref="M573" authorId="0" shapeId="0">
      <text>
        <t>Elegir el instructor de la lista</t>
      </text>
    </comment>
    <comment ref="O573" authorId="0" shapeId="0">
      <text>
        <t>Tipo de actividad (elegir de la lista)</t>
      </text>
    </comment>
    <comment ref="M580" authorId="0" shapeId="0">
      <text>
        <t>Elegir el instructor de la lista</t>
      </text>
    </comment>
    <comment ref="O580" authorId="0" shapeId="0">
      <text>
        <t>Tipo de actividad (elegir de la lista)</t>
      </text>
    </comment>
    <comment ref="M585" authorId="0" shapeId="0">
      <text>
        <t>Elegir el instructor de la lista</t>
      </text>
    </comment>
    <comment ref="O585" authorId="0" shapeId="0">
      <text>
        <t>Tipo de actividad (elegir de la lista)</t>
      </text>
    </comment>
    <comment ref="M590" authorId="0" shapeId="0">
      <text>
        <t>Elegir el instructor de la lista</t>
      </text>
    </comment>
    <comment ref="O590" authorId="0" shapeId="0">
      <text>
        <t>Tipo de actividad (elegir de la lista)</t>
      </text>
    </comment>
    <comment ref="M595" authorId="0" shapeId="0">
      <text>
        <t>Elegir el instructor de la lista</t>
      </text>
    </comment>
    <comment ref="O595" authorId="0" shapeId="0">
      <text>
        <t>Tipo de actividad (elegir de la lista)</t>
      </text>
    </comment>
    <comment ref="M600" authorId="0" shapeId="0">
      <text>
        <t>Elegir el instructor de la lista</t>
      </text>
    </comment>
    <comment ref="O600" authorId="0" shapeId="0">
      <text>
        <t>Tipo de actividad (elegir de la lista)</t>
      </text>
    </comment>
    <comment ref="M605" authorId="0" shapeId="0">
      <text>
        <t>Elegir el instructor de la lista</t>
      </text>
    </comment>
    <comment ref="O605" authorId="0" shapeId="0">
      <text>
        <t>Tipo de actividad (elegir de la lista)</t>
      </text>
    </comment>
    <comment ref="M610" authorId="0" shapeId="0">
      <text>
        <t>Elegir el instructor de la lista</t>
      </text>
    </comment>
    <comment ref="O610" authorId="0" shapeId="0">
      <text>
        <t>Tipo de actividad (elegir de la lista)</t>
      </text>
    </comment>
    <comment ref="M615" authorId="0" shapeId="0">
      <text>
        <t>Elegir el instructor de la lista</t>
      </text>
    </comment>
    <comment ref="O615" authorId="0" shapeId="0">
      <text>
        <t>Tipo de actividad (elegir de la lista)</t>
      </text>
    </comment>
    <comment ref="M620" authorId="0" shapeId="0">
      <text>
        <t>Elegir el instructor de la lista</t>
      </text>
    </comment>
    <comment ref="O620" authorId="0" shapeId="0">
      <text>
        <t>Tipo de actividad (elegir de la lista)</t>
      </text>
    </comment>
    <comment ref="M625" authorId="0" shapeId="0">
      <text>
        <t>Elegir el instructor de la lista</t>
      </text>
    </comment>
    <comment ref="O625" authorId="0" shapeId="0">
      <text>
        <t>Tipo de actividad (elegir de la lista)</t>
      </text>
    </comment>
    <comment ref="M630" authorId="0" shapeId="0">
      <text>
        <t>Elegir el instructor de la lista</t>
      </text>
    </comment>
    <comment ref="O630" authorId="0" shapeId="0">
      <text>
        <t>Tipo de actividad (elegir de la lista)</t>
      </text>
    </comment>
    <comment ref="M635" authorId="0" shapeId="0">
      <text>
        <t>Elegir el instructor de la lista</t>
      </text>
    </comment>
    <comment ref="O635" authorId="0" shapeId="0">
      <text>
        <t>Tipo de actividad (elegir de la lista)</t>
      </text>
    </comment>
    <comment ref="M640" authorId="0" shapeId="0">
      <text>
        <t>Elegir el instructor de la lista</t>
      </text>
    </comment>
    <comment ref="O640" authorId="0" shapeId="0">
      <text>
        <t>Tipo de actividad (elegir de la lista)</t>
      </text>
    </comment>
    <comment ref="M645" authorId="0" shapeId="0">
      <text>
        <t>Elegir el instructor de la lista</t>
      </text>
    </comment>
    <comment ref="O645" authorId="0" shapeId="0">
      <text>
        <t>Tipo de actividad (elegir de la lista)</t>
      </text>
    </comment>
    <comment ref="M652" authorId="0" shapeId="0">
      <text>
        <t>Elegir el instructor de la lista</t>
      </text>
    </comment>
    <comment ref="O652" authorId="0" shapeId="0">
      <text>
        <t>Tipo de actividad (elegir de la lista)</t>
      </text>
    </comment>
    <comment ref="M657" authorId="0" shapeId="0">
      <text>
        <t>Elegir el instructor de la lista</t>
      </text>
    </comment>
    <comment ref="O657" authorId="0" shapeId="0">
      <text>
        <t>Tipo de actividad (elegir de la lista)</t>
      </text>
    </comment>
    <comment ref="M662" authorId="0" shapeId="0">
      <text>
        <t>Elegir el instructor de la lista</t>
      </text>
    </comment>
    <comment ref="O662" authorId="0" shapeId="0">
      <text>
        <t>Tipo de actividad (elegir de la lista)</t>
      </text>
    </comment>
    <comment ref="M667" authorId="0" shapeId="0">
      <text>
        <t>Elegir el instructor de la lista</t>
      </text>
    </comment>
    <comment ref="O667" authorId="0" shapeId="0">
      <text>
        <t>Tipo de actividad (elegir de la lista)</t>
      </text>
    </comment>
    <comment ref="M672" authorId="0" shapeId="0">
      <text>
        <t>Elegir el instructor de la lista</t>
      </text>
    </comment>
    <comment ref="O672" authorId="0" shapeId="0">
      <text>
        <t>Tipo de actividad (elegir de la lista)</t>
      </text>
    </comment>
    <comment ref="M677" authorId="0" shapeId="0">
      <text>
        <t>Elegir el instructor de la lista</t>
      </text>
    </comment>
    <comment ref="O677" authorId="0" shapeId="0">
      <text>
        <t>Tipo de actividad (elegir de la lista)</t>
      </text>
    </comment>
    <comment ref="M684" authorId="0" shapeId="0">
      <text>
        <t>Elegir el instructor de la lista</t>
      </text>
    </comment>
    <comment ref="O684" authorId="0" shapeId="0">
      <text>
        <t>Tipo de actividad (elegir de la lista)</t>
      </text>
    </comment>
    <comment ref="M689" authorId="0" shapeId="0">
      <text>
        <t>Elegir el instructor de la lista</t>
      </text>
    </comment>
    <comment ref="O689" authorId="0" shapeId="0">
      <text>
        <t>Tipo de actividad (elegir de la lista)</t>
      </text>
    </comment>
    <comment ref="M694" authorId="0" shapeId="0">
      <text>
        <t>Elegir el instructor de la lista</t>
      </text>
    </comment>
    <comment ref="O694" authorId="0" shapeId="0">
      <text>
        <t>Tipo de actividad (elegir de la lista)</t>
      </text>
    </comment>
    <comment ref="M699" authorId="0" shapeId="0">
      <text>
        <t>Elegir el instructor de la lista</t>
      </text>
    </comment>
    <comment ref="O699" authorId="0" shapeId="0">
      <text>
        <t>Tipo de actividad (elegir de la lista)</t>
      </text>
    </comment>
    <comment ref="M704" authorId="0" shapeId="0">
      <text>
        <t>Elegir el instructor de la lista</t>
      </text>
    </comment>
    <comment ref="O704" authorId="0" shapeId="0">
      <text>
        <t>Tipo de actividad (elegir de la lista)</t>
      </text>
    </comment>
    <comment ref="M709" authorId="0" shapeId="0">
      <text>
        <t>Elegir el instructor de la lista</t>
      </text>
    </comment>
    <comment ref="O709" authorId="0" shapeId="0">
      <text>
        <t>Tipo de actividad (elegir de la lista)</t>
      </text>
    </comment>
    <comment ref="M714" authorId="0" shapeId="0">
      <text>
        <t>Elegir el instructor de la lista</t>
      </text>
    </comment>
    <comment ref="O714" authorId="0" shapeId="0">
      <text>
        <t>Tipo de actividad (elegir de la lista)</t>
      </text>
    </comment>
    <comment ref="M719" authorId="0" shapeId="0">
      <text>
        <t>Elegir el instructor de la lista</t>
      </text>
    </comment>
    <comment ref="O719" authorId="0" shapeId="0">
      <text>
        <t>Tipo de actividad (elegir de la lista)</t>
      </text>
    </comment>
    <comment ref="M724" authorId="0" shapeId="0">
      <text>
        <t>Elegir el instructor de la lista</t>
      </text>
    </comment>
    <comment ref="O724" authorId="0" shapeId="0">
      <text>
        <t>Tipo de actividad (elegir de la lista)</t>
      </text>
    </comment>
    <comment ref="M729" authorId="0" shapeId="0">
      <text>
        <t>Elegir el instructor de la lista</t>
      </text>
    </comment>
    <comment ref="O729" authorId="0" shapeId="0">
      <text>
        <t>Tipo de actividad (elegir de la lista)</t>
      </text>
    </comment>
    <comment ref="M734" authorId="0" shapeId="0">
      <text>
        <t>Elegir el instructor de la lista</t>
      </text>
    </comment>
    <comment ref="O734" authorId="0" shapeId="0">
      <text>
        <t>Tipo de actividad (elegir de la lista)</t>
      </text>
    </comment>
    <comment ref="M741" authorId="0" shapeId="0">
      <text>
        <t>Elegir el instructor de la lista</t>
      </text>
    </comment>
    <comment ref="O741" authorId="0" shapeId="0">
      <text>
        <t>Tipo de actividad (elegir de la lista)</t>
      </text>
    </comment>
    <comment ref="M746" authorId="0" shapeId="0">
      <text>
        <t>Elegir el instructor de la lista</t>
      </text>
    </comment>
    <comment ref="O746" authorId="0" shapeId="0">
      <text>
        <t>Tipo de actividad (elegir de la lista)</t>
      </text>
    </comment>
    <comment ref="M753" authorId="0" shapeId="0">
      <text>
        <t>Elegir el instructor de la lista</t>
      </text>
    </comment>
    <comment ref="O753" authorId="0" shapeId="0">
      <text>
        <t>Tipo de actividad (elegir de la lista)</t>
      </text>
    </comment>
    <comment ref="M758" authorId="0" shapeId="0">
      <text>
        <t>Elegir el instructor de la lista</t>
      </text>
    </comment>
    <comment ref="O758" authorId="0" shapeId="0">
      <text>
        <t>Tipo de actividad (elegir de la lista)</t>
      </text>
    </comment>
    <comment ref="M763" authorId="0" shapeId="0">
      <text>
        <t>Elegir el instructor de la lista</t>
      </text>
    </comment>
    <comment ref="O763" authorId="0" shapeId="0">
      <text>
        <t>Tipo de actividad (elegir de la lista)</t>
      </text>
    </comment>
    <comment ref="M768" authorId="0" shapeId="0">
      <text>
        <t>Elegir el instructor de la lista</t>
      </text>
    </comment>
    <comment ref="O768" authorId="0" shapeId="0">
      <text>
        <t>Tipo de actividad (elegir de la lista)</t>
      </text>
    </comment>
    <comment ref="M773" authorId="0" shapeId="0">
      <text>
        <t>Elegir el instructor de la lista</t>
      </text>
    </comment>
    <comment ref="O773" authorId="0" shapeId="0">
      <text>
        <t>Tipo de actividad (elegir de la lista)</t>
      </text>
    </comment>
    <comment ref="M778" authorId="0" shapeId="0">
      <text>
        <t>Elegir el instructor de la lista</t>
      </text>
    </comment>
    <comment ref="O778" authorId="0" shapeId="0">
      <text>
        <t>Tipo de actividad (elegir de la lista)</t>
      </text>
    </comment>
    <comment ref="M783" authorId="0" shapeId="0">
      <text>
        <t>Elegir el instructor de la lista</t>
      </text>
    </comment>
    <comment ref="O783" authorId="0" shapeId="0">
      <text>
        <t>Tipo de actividad (elegir de la lista)</t>
      </text>
    </comment>
    <comment ref="M788" authorId="0" shapeId="0">
      <text>
        <t>Elegir el instructor de la lista</t>
      </text>
    </comment>
    <comment ref="O788" authorId="0" shapeId="0">
      <text>
        <t>Tipo de actividad (elegir de la lista)</t>
      </text>
    </comment>
    <comment ref="M793" authorId="0" shapeId="0">
      <text>
        <t>Elegir el instructor de la lista</t>
      </text>
    </comment>
    <comment ref="O793" authorId="0" shapeId="0">
      <text>
        <t>Tipo de actividad (elegir de la lista)</t>
      </text>
    </comment>
    <comment ref="M798" authorId="0" shapeId="0">
      <text>
        <t>Elegir el instructor de la lista</t>
      </text>
    </comment>
    <comment ref="O798" authorId="0" shapeId="0">
      <text>
        <t>Tipo de actividad (elegir de la lista)</t>
      </text>
    </comment>
    <comment ref="M805" authorId="0" shapeId="0">
      <text>
        <t>Elegir el instructor de la lista</t>
      </text>
    </comment>
    <comment ref="O805" authorId="0" shapeId="0">
      <text>
        <t>Tipo de actividad (elegir de la lista)</t>
      </text>
    </comment>
    <comment ref="M810" authorId="0" shapeId="0">
      <text>
        <t>Elegir el instructor de la lista</t>
      </text>
    </comment>
    <comment ref="O810" authorId="0" shapeId="0">
      <text>
        <t>Tipo de actividad (elegir de la lista)</t>
      </text>
    </comment>
    <comment ref="M815" authorId="0" shapeId="0">
      <text>
        <t>Elegir el instructor de la lista</t>
      </text>
    </comment>
    <comment ref="O815" authorId="0" shapeId="0">
      <text>
        <t>Tipo de actividad (elegir de la lista)</t>
      </text>
    </comment>
    <comment ref="M820" authorId="0" shapeId="0">
      <text>
        <t>Elegir el instructor de la lista</t>
      </text>
    </comment>
    <comment ref="O820" authorId="0" shapeId="0">
      <text>
        <t>Tipo de actividad (elegir de la lista)</t>
      </text>
    </comment>
    <comment ref="M827" authorId="0" shapeId="0">
      <text>
        <t>Elegir el instructor de la lista</t>
      </text>
    </comment>
    <comment ref="O827" authorId="0" shapeId="0">
      <text>
        <t>Tipo de actividad (elegir de la lista)</t>
      </text>
    </comment>
    <comment ref="M834" authorId="0" shapeId="0">
      <text>
        <t>Elegir el instructor de la lista</t>
      </text>
    </comment>
    <comment ref="O834" authorId="0" shapeId="0">
      <text>
        <t>Tipo de actividad (elegir de la lista)</t>
      </text>
    </comment>
    <comment ref="M841" authorId="0" shapeId="0">
      <text>
        <t>Elegir el instructor de la lista</t>
      </text>
    </comment>
    <comment ref="O841" authorId="0" shapeId="0">
      <text>
        <t>Tipo de actividad (elegir de la lista)</t>
      </text>
    </comment>
    <comment ref="M846" authorId="0" shapeId="0">
      <text>
        <t>Elegir el instructor de la lista</t>
      </text>
    </comment>
    <comment ref="O846" authorId="0" shapeId="0">
      <text>
        <t>Tipo de actividad (elegir de la lista)</t>
      </text>
    </comment>
    <comment ref="M851" authorId="0" shapeId="0">
      <text>
        <t>Elegir el instructor de la lista</t>
      </text>
    </comment>
    <comment ref="O851" authorId="0" shapeId="0">
      <text>
        <t>Tipo de actividad (elegir de la lista)</t>
      </text>
    </comment>
    <comment ref="M856" authorId="0" shapeId="0">
      <text>
        <t>Elegir el instructor de la lista</t>
      </text>
    </comment>
    <comment ref="O856" authorId="0" shapeId="0">
      <text>
        <t>Tipo de actividad (elegir de la lista)</t>
      </text>
    </comment>
    <comment ref="M861" authorId="0" shapeId="0">
      <text>
        <t>Elegir el instructor de la lista</t>
      </text>
    </comment>
    <comment ref="O861" authorId="0" shapeId="0">
      <text>
        <t>Tipo de actividad (elegir de la lista)</t>
      </text>
    </comment>
    <comment ref="M866" authorId="0" shapeId="0">
      <text>
        <t>Elegir el instructor de la lista</t>
      </text>
    </comment>
    <comment ref="O866" authorId="0" shapeId="0">
      <text>
        <t>Tipo de actividad (elegir de la lista)</t>
      </text>
    </comment>
    <comment ref="M871" authorId="0" shapeId="0">
      <text>
        <t>Elegir el instructor de la lista</t>
      </text>
    </comment>
    <comment ref="O871" authorId="0" shapeId="0">
      <text>
        <t>Tipo de actividad (elegir de la lista)</t>
      </text>
    </comment>
    <comment ref="M876" authorId="0" shapeId="0">
      <text>
        <t>Elegir el instructor de la lista</t>
      </text>
    </comment>
    <comment ref="O876" authorId="0" shapeId="0">
      <text>
        <t>Tipo de actividad (elegir de la lista)</t>
      </text>
    </comment>
    <comment ref="M881" authorId="0" shapeId="0">
      <text>
        <t>Elegir el instructor de la lista</t>
      </text>
    </comment>
    <comment ref="O881" authorId="0" shapeId="0">
      <text>
        <t>Tipo de actividad (elegir de la lista)</t>
      </text>
    </comment>
    <comment ref="M886" authorId="0" shapeId="0">
      <text>
        <t>Elegir el instructor de la lista</t>
      </text>
    </comment>
    <comment ref="O886" authorId="0" shapeId="0">
      <text>
        <t>Tipo de actividad (elegir de la lista)</t>
      </text>
    </comment>
    <comment ref="M891" authorId="0" shapeId="0">
      <text>
        <t>Elegir el instructor de la lista</t>
      </text>
    </comment>
    <comment ref="O891" authorId="0" shapeId="0">
      <text>
        <t>Tipo de actividad (elegir de la lista)</t>
      </text>
    </comment>
    <comment ref="M898" authorId="0" shapeId="0">
      <text>
        <t>Elegir el instructor de la lista</t>
      </text>
    </comment>
    <comment ref="O898" authorId="0" shapeId="0">
      <text>
        <t>Tipo de actividad (elegir de la lista)</t>
      </text>
    </comment>
    <comment ref="M905" authorId="0" shapeId="0">
      <text>
        <t>Elegir el instructor de la lista</t>
      </text>
    </comment>
    <comment ref="O905" authorId="0" shapeId="0">
      <text>
        <t>Tipo de actividad (elegir de la lista)</t>
      </text>
    </comment>
    <comment ref="M910" authorId="0" shapeId="0">
      <text>
        <t>Elegir el instructor de la lista</t>
      </text>
    </comment>
    <comment ref="O910" authorId="0" shapeId="0">
      <text>
        <t>Tipo de actividad (elegir de la lista)</t>
      </text>
    </comment>
    <comment ref="M917" authorId="0" shapeId="0">
      <text>
        <t>Elegir el instructor de la lista</t>
      </text>
    </comment>
    <comment ref="O917" authorId="0" shapeId="0">
      <text>
        <t>Tipo de actividad (elegir de la lista)</t>
      </text>
    </comment>
    <comment ref="M922" authorId="0" shapeId="0">
      <text>
        <t>Elegir el instructor de la lista</t>
      </text>
    </comment>
    <comment ref="O922" authorId="0" shapeId="0">
      <text>
        <t>Tipo de actividad (elegir de la lista)</t>
      </text>
    </comment>
    <comment ref="M927" authorId="0" shapeId="0">
      <text>
        <t>Elegir el instructor de la lista</t>
      </text>
    </comment>
    <comment ref="O927" authorId="0" shapeId="0">
      <text>
        <t>Tipo de actividad (elegir de la lista)</t>
      </text>
    </comment>
    <comment ref="M932" authorId="0" shapeId="0">
      <text>
        <t>Elegir el instructor de la lista</t>
      </text>
    </comment>
    <comment ref="O932" authorId="0" shapeId="0">
      <text>
        <t>Tipo de actividad (elegir de la lista)</t>
      </text>
    </comment>
    <comment ref="M937" authorId="0" shapeId="0">
      <text>
        <t>Elegir el instructor de la lista</t>
      </text>
    </comment>
    <comment ref="O937" authorId="0" shapeId="0">
      <text>
        <t>Tipo de actividad (elegir de la lista)</t>
      </text>
    </comment>
    <comment ref="M942" authorId="0" shapeId="0">
      <text>
        <t>Elegir el instructor de la lista</t>
      </text>
    </comment>
    <comment ref="O942" authorId="0" shapeId="0">
      <text>
        <t>Tipo de actividad (elegir de la lista)</t>
      </text>
    </comment>
    <comment ref="M947" authorId="0" shapeId="0">
      <text>
        <t>Elegir el instructor de la lista</t>
      </text>
    </comment>
    <comment ref="O947" authorId="0" shapeId="0">
      <text>
        <t>Tipo de actividad (elegir de la lista)</t>
      </text>
    </comment>
    <comment ref="M952" authorId="0" shapeId="0">
      <text>
        <t>Elegir el instructor de la lista</t>
      </text>
    </comment>
    <comment ref="O952" authorId="0" shapeId="0">
      <text>
        <t>Tipo de actividad (elegir de la lista)</t>
      </text>
    </comment>
    <comment ref="M957" authorId="0" shapeId="0">
      <text>
        <t>Elegir el instructor de la lista</t>
      </text>
    </comment>
    <comment ref="O957" authorId="0" shapeId="0">
      <text>
        <t>Tipo de actividad (elegir de la lista)</t>
      </text>
    </comment>
    <comment ref="M964" authorId="0" shapeId="0">
      <text>
        <t>Elegir el instructor de la lista</t>
      </text>
    </comment>
    <comment ref="O964" authorId="0" shapeId="0">
      <text>
        <t>Tipo de actividad (elegir de la lista)</t>
      </text>
    </comment>
    <comment ref="M971" authorId="0" shapeId="0">
      <text>
        <t>Elegir el instructor de la lista</t>
      </text>
    </comment>
    <comment ref="O971" authorId="0" shapeId="0">
      <text>
        <t>Tipo de actividad (elegir de la lista)</t>
      </text>
    </comment>
    <comment ref="M978" authorId="0" shapeId="0">
      <text>
        <t>Elegir el instructor de la lista</t>
      </text>
    </comment>
    <comment ref="O978" authorId="0" shapeId="0">
      <text>
        <t>Tipo de actividad (elegir de la lista)</t>
      </text>
    </comment>
    <comment ref="M983" authorId="0" shapeId="0">
      <text>
        <t>Elegir el instructor de la lista</t>
      </text>
    </comment>
    <comment ref="O983" authorId="0" shapeId="0">
      <text>
        <t>Tipo de actividad (elegir de la lista)</t>
      </text>
    </comment>
    <comment ref="M990" authorId="0" shapeId="0">
      <text>
        <t>Elegir el instructor de la lista</t>
      </text>
    </comment>
    <comment ref="O990" authorId="0" shapeId="0">
      <text>
        <t>Tipo de actividad (elegir de la lista)</t>
      </text>
    </comment>
    <comment ref="M995" authorId="0" shapeId="0">
      <text>
        <t>Elegir el instructor de la lista</t>
      </text>
    </comment>
    <comment ref="O995" authorId="0" shapeId="0">
      <text>
        <t>Tipo de actividad (elegir de la lista)</t>
      </text>
    </comment>
    <comment ref="M1002" authorId="0" shapeId="0">
      <text>
        <t>Elegir el instructor de la lista</t>
      </text>
    </comment>
    <comment ref="O1002" authorId="0" shapeId="0">
      <text>
        <t>Tipo de actividad (elegir de la lista)</t>
      </text>
    </comment>
    <comment ref="M1007" authorId="0" shapeId="0">
      <text>
        <t>Elegir el instructor de la lista</t>
      </text>
    </comment>
    <comment ref="O1007" authorId="0" shapeId="0">
      <text>
        <t>Tipo de actividad (elegir de la lista)</t>
      </text>
    </comment>
    <comment ref="M1012" authorId="0" shapeId="0">
      <text>
        <t>Elegir el instructor de la lista</t>
      </text>
    </comment>
    <comment ref="O1012" authorId="0" shapeId="0">
      <text>
        <t>Tipo de actividad (elegir de la lista)</t>
      </text>
    </comment>
    <comment ref="M1017" authorId="0" shapeId="0">
      <text>
        <t>Elegir el instructor de la lista</t>
      </text>
    </comment>
    <comment ref="O1017" authorId="0" shapeId="0">
      <text>
        <t>Tipo de actividad (elegir de la lista)</t>
      </text>
    </comment>
    <comment ref="M1022" authorId="0" shapeId="0">
      <text>
        <t>Elegir el instructor de la lista</t>
      </text>
    </comment>
    <comment ref="O1022" authorId="0" shapeId="0">
      <text>
        <t>Tipo de actividad (elegir de la lista)</t>
      </text>
    </comment>
    <comment ref="M1027" authorId="0" shapeId="0">
      <text>
        <t>Elegir el instructor de la lista</t>
      </text>
    </comment>
    <comment ref="O1027" authorId="0" shapeId="0">
      <text>
        <t>Tipo de actividad (elegir de la lista)</t>
      </text>
    </comment>
    <comment ref="M1032" authorId="0" shapeId="0">
      <text>
        <t>Elegir el instructor de la lista</t>
      </text>
    </comment>
    <comment ref="O1032" authorId="0" shapeId="0">
      <text>
        <t>Tipo de actividad (elegir de la lista)</t>
      </text>
    </comment>
    <comment ref="M1037" authorId="0" shapeId="0">
      <text>
        <t>Elegir el instructor de la lista</t>
      </text>
    </comment>
    <comment ref="O1037" authorId="0" shapeId="0">
      <text>
        <t>Tipo de actividad (elegir de la lista)</t>
      </text>
    </comment>
    <comment ref="M1042" authorId="0" shapeId="0">
      <text>
        <t>Elegir el instructor de la lista</t>
      </text>
    </comment>
    <comment ref="O1042" authorId="0" shapeId="0">
      <text>
        <t>Tipo de actividad (elegir de la lista)</t>
      </text>
    </comment>
    <comment ref="M1047" authorId="0" shapeId="0">
      <text>
        <t>Elegir el instructor de la lista</t>
      </text>
    </comment>
    <comment ref="O1047" authorId="0" shapeId="0">
      <text>
        <t>Tipo de actividad (elegir de la lista)</t>
      </text>
    </comment>
    <comment ref="M1052" authorId="0" shapeId="0">
      <text>
        <t>Elegir el instructor de la lista</t>
      </text>
    </comment>
    <comment ref="O1052" authorId="0" shapeId="0">
      <text>
        <t>Tipo de actividad (elegir de la lista)</t>
      </text>
    </comment>
    <comment ref="M1057" authorId="0" shapeId="0">
      <text>
        <t>Elegir el instructor de la lista</t>
      </text>
    </comment>
    <comment ref="O1057" authorId="0" shapeId="0">
      <text>
        <t>Tipo de actividad (elegir de la lista)</t>
      </text>
    </comment>
    <comment ref="M1064" authorId="0" shapeId="0">
      <text>
        <t>Elegir el instructor de la lista</t>
      </text>
    </comment>
    <comment ref="O1064" authorId="0" shapeId="0">
      <text>
        <t>Tipo de actividad (elegir de la lista)</t>
      </text>
    </comment>
    <comment ref="M1071" authorId="0" shapeId="0">
      <text>
        <t>Elegir el instructor de la lista</t>
      </text>
    </comment>
    <comment ref="O1071" authorId="0" shapeId="0">
      <text>
        <t>Tipo de actividad (elegir de la lista)</t>
      </text>
    </comment>
    <comment ref="M1078" authorId="0" shapeId="0">
      <text>
        <t>Elegir el instructor de la lista</t>
      </text>
    </comment>
    <comment ref="O1078" authorId="0" shapeId="0">
      <text>
        <t>Tipo de actividad (elegir de la lista)</t>
      </text>
    </comment>
    <comment ref="M1083" authorId="0" shapeId="0">
      <text>
        <t>Elegir el instructor de la lista</t>
      </text>
    </comment>
    <comment ref="O1083" authorId="0" shapeId="0">
      <text>
        <t>Tipo de actividad (elegir de la lista)</t>
      </text>
    </comment>
    <comment ref="M1090" authorId="0" shapeId="0">
      <text>
        <t>Elegir el instructor de la lista</t>
      </text>
    </comment>
    <comment ref="O1090" authorId="0" shapeId="0">
      <text>
        <t>Tipo de actividad (elegir de la lista)</t>
      </text>
    </comment>
    <comment ref="M1095" authorId="0" shapeId="0">
      <text>
        <t>Elegir el instructor de la lista</t>
      </text>
    </comment>
    <comment ref="O1095" authorId="0" shapeId="0">
      <text>
        <t>Tipo de actividad (elegir de la lista)</t>
      </text>
    </comment>
    <comment ref="M1100" authorId="0" shapeId="0">
      <text>
        <t>Elegir el instructor de la lista</t>
      </text>
    </comment>
    <comment ref="O1100" authorId="0" shapeId="0">
      <text>
        <t>Tipo de actividad (elegir de la lista)</t>
      </text>
    </comment>
    <comment ref="M1105" authorId="0" shapeId="0">
      <text>
        <t>Elegir el instructor de la lista</t>
      </text>
    </comment>
    <comment ref="O1105" authorId="0" shapeId="0">
      <text>
        <t>Tipo de actividad (elegir de la lista)</t>
      </text>
    </comment>
    <comment ref="M1110" authorId="0" shapeId="0">
      <text>
        <t>Elegir el instructor de la lista</t>
      </text>
    </comment>
    <comment ref="O1110" authorId="0" shapeId="0">
      <text>
        <t>Tipo de actividad (elegir de la lista)</t>
      </text>
    </comment>
    <comment ref="M1115" authorId="0" shapeId="0">
      <text>
        <t>Elegir el instructor de la lista</t>
      </text>
    </comment>
    <comment ref="O1115" authorId="0" shapeId="0">
      <text>
        <t>Tipo de actividad (elegir de la lista)</t>
      </text>
    </comment>
    <comment ref="M1120" authorId="0" shapeId="0">
      <text>
        <t>Elegir el instructor de la lista</t>
      </text>
    </comment>
    <comment ref="O1120" authorId="0" shapeId="0">
      <text>
        <t>Tipo de actividad (elegir de la lista)</t>
      </text>
    </comment>
    <comment ref="M1125" authorId="0" shapeId="0">
      <text>
        <t>Elegir el instructor de la lista</t>
      </text>
    </comment>
    <comment ref="O1125" authorId="0" shapeId="0">
      <text>
        <t>Tipo de actividad (elegir de la lista)</t>
      </text>
    </comment>
    <comment ref="M1130" authorId="0" shapeId="0">
      <text>
        <t>Elegir el instructor de la lista</t>
      </text>
    </comment>
    <comment ref="O1130" authorId="0" shapeId="0">
      <text>
        <t>Tipo de actividad (elegir de la lista)</t>
      </text>
    </comment>
    <comment ref="M1137" authorId="0" shapeId="0">
      <text>
        <t>Elegir el instructor de la lista</t>
      </text>
    </comment>
    <comment ref="O1137" authorId="0" shapeId="0">
      <text>
        <t>Tipo de actividad (elegir de la lista)</t>
      </text>
    </comment>
    <comment ref="M1144" authorId="0" shapeId="0">
      <text>
        <t>Elegir el instructor de la lista</t>
      </text>
    </comment>
    <comment ref="O1144" authorId="0" shapeId="0">
      <text>
        <t>Tipo de actividad (elegir de la lista)</t>
      </text>
    </comment>
    <comment ref="M1149" authorId="0" shapeId="0">
      <text>
        <t>Elegir el instructor de la lista</t>
      </text>
    </comment>
    <comment ref="O1149" authorId="0" shapeId="0">
      <text>
        <t>Tipo de actividad (elegir de la lista)</t>
      </text>
    </comment>
    <comment ref="M1156" authorId="0" shapeId="0">
      <text>
        <t>Elegir el instructor de la lista</t>
      </text>
    </comment>
    <comment ref="O1156" authorId="0" shapeId="0">
      <text>
        <t>Tipo de actividad (elegir de la lista)</t>
      </text>
    </comment>
    <comment ref="M1161" authorId="0" shapeId="0">
      <text>
        <t>Elegir el instructor de la lista</t>
      </text>
    </comment>
    <comment ref="O1161" authorId="0" shapeId="0">
      <text>
        <t>Tipo de actividad (elegir de la lista)</t>
      </text>
    </comment>
    <comment ref="M1166" authorId="0" shapeId="0">
      <text>
        <t>Elegir el instructor de la lista</t>
      </text>
    </comment>
    <comment ref="O1166" authorId="0" shapeId="0">
      <text>
        <t>Tipo de actividad (elegir de la lista)</t>
      </text>
    </comment>
    <comment ref="M1171" authorId="0" shapeId="0">
      <text>
        <t>Elegir el instructor de la lista</t>
      </text>
    </comment>
    <comment ref="O1171" authorId="0" shapeId="0">
      <text>
        <t>Tipo de actividad (elegir de la lista)</t>
      </text>
    </comment>
    <comment ref="M1176" authorId="0" shapeId="0">
      <text>
        <t>Elegir el instructor de la lista</t>
      </text>
    </comment>
    <comment ref="O1176" authorId="0" shapeId="0">
      <text>
        <t>Tipo de actividad (elegir de la lista)</t>
      </text>
    </comment>
    <comment ref="M1181" authorId="0" shapeId="0">
      <text>
        <t>Elegir el instructor de la lista</t>
      </text>
    </comment>
    <comment ref="O1181" authorId="0" shapeId="0">
      <text>
        <t>Tipo de actividad (elegir de la lista)</t>
      </text>
    </comment>
    <comment ref="M1186" authorId="0" shapeId="0">
      <text>
        <t>Elegir el instructor de la lista</t>
      </text>
    </comment>
    <comment ref="O1186" authorId="0" shapeId="0">
      <text>
        <t>Tipo de actividad (elegir de la lista)</t>
      </text>
    </comment>
    <comment ref="M1191" authorId="0" shapeId="0">
      <text>
        <t>Elegir el instructor de la lista</t>
      </text>
    </comment>
    <comment ref="O1191" authorId="0" shapeId="0">
      <text>
        <t>Tipo de actividad (elegir de la lista)</t>
      </text>
    </comment>
    <comment ref="M1196" authorId="0" shapeId="0">
      <text>
        <t>Elegir el instructor de la lista</t>
      </text>
    </comment>
    <comment ref="O1196" authorId="0" shapeId="0">
      <text>
        <t>Tipo de actividad (elegir de la lista)</t>
      </text>
    </comment>
    <comment ref="M1201" authorId="0" shapeId="0">
      <text>
        <t>Elegir el instructor de la lista</t>
      </text>
    </comment>
    <comment ref="O1201" authorId="0" shapeId="0">
      <text>
        <t>Tipo de actividad (elegir de la lista)</t>
      </text>
    </comment>
    <comment ref="M1208" authorId="0" shapeId="0">
      <text>
        <t>Elegir el instructor de la lista</t>
      </text>
    </comment>
    <comment ref="O1208" authorId="0" shapeId="0">
      <text>
        <t>Tipo de actividad (elegir de la lista)</t>
      </text>
    </comment>
    <comment ref="M1215" authorId="0" shapeId="0">
      <text>
        <t>Elegir el instructor de la lista</t>
      </text>
    </comment>
    <comment ref="O1215" authorId="0" shapeId="0">
      <text>
        <t>Tipo de actividad (elegir de la lista)</t>
      </text>
    </comment>
    <comment ref="M1220" authorId="0" shapeId="0">
      <text>
        <t>Elegir el instructor de la lista</t>
      </text>
    </comment>
    <comment ref="O1220" authorId="0" shapeId="0">
      <text>
        <t>Tipo de actividad (elegir de la lista)</t>
      </text>
    </comment>
    <comment ref="M1225" authorId="0" shapeId="0">
      <text>
        <t>Elegir el instructor de la lista</t>
      </text>
    </comment>
    <comment ref="O1225" authorId="0" shapeId="0">
      <text>
        <t>Tipo de actividad (elegir de la lista)</t>
      </text>
    </comment>
    <comment ref="M1230" authorId="0" shapeId="0">
      <text>
        <t>Elegir el instructor de la lista</t>
      </text>
    </comment>
    <comment ref="O1230" authorId="0" shapeId="0">
      <text>
        <t>Tipo de actividad (elegir de la lista)</t>
      </text>
    </comment>
    <comment ref="M1235" authorId="0" shapeId="0">
      <text>
        <t>Elegir el instructor de la lista</t>
      </text>
    </comment>
    <comment ref="O1235" authorId="0" shapeId="0">
      <text>
        <t>Tipo de actividad (elegir de la lista)</t>
      </text>
    </comment>
    <comment ref="M1240" authorId="0" shapeId="0">
      <text>
        <t>Elegir el instructor de la lista</t>
      </text>
    </comment>
    <comment ref="O1240" authorId="0" shapeId="0">
      <text>
        <t>Tipo de actividad (elegir de la lista)</t>
      </text>
    </comment>
    <comment ref="M1247" authorId="0" shapeId="0">
      <text>
        <t>Elegir el instructor de la lista</t>
      </text>
    </comment>
    <comment ref="O1247" authorId="0" shapeId="0">
      <text>
        <t>Tipo de actividad (elegir de la lista)</t>
      </text>
    </comment>
    <comment ref="M1252" authorId="0" shapeId="0">
      <text>
        <t>Elegir el instructor de la lista</t>
      </text>
    </comment>
    <comment ref="O1252" authorId="0" shapeId="0">
      <text>
        <t>Tipo de actividad (elegir de la lista)</t>
      </text>
    </comment>
    <comment ref="M1257" authorId="0" shapeId="0">
      <text>
        <t>Elegir el instructor de la lista</t>
      </text>
    </comment>
    <comment ref="O1257" authorId="0" shapeId="0">
      <text>
        <t>Tipo de actividad (elegir de la lista)</t>
      </text>
    </comment>
    <comment ref="M1262" authorId="0" shapeId="0">
      <text>
        <t>Elegir el instructor de la lista</t>
      </text>
    </comment>
    <comment ref="O1262" authorId="0" shapeId="0">
      <text>
        <t>Tipo de actividad (elegir de la lista)</t>
      </text>
    </comment>
    <comment ref="M1267" authorId="0" shapeId="0">
      <text>
        <t>Elegir el instructor de la lista</t>
      </text>
    </comment>
    <comment ref="O1267" authorId="0" shapeId="0">
      <text>
        <t>Tipo de actividad (elegir de la lista)</t>
      </text>
    </comment>
    <comment ref="M1272" authorId="0" shapeId="0">
      <text>
        <t>Elegir el instructor de la lista</t>
      </text>
    </comment>
    <comment ref="O1272" authorId="0" shapeId="0">
      <text>
        <t>Tipo de actividad (elegir de la lista)</t>
      </text>
    </comment>
    <comment ref="M1277" authorId="0" shapeId="0">
      <text>
        <t>Elegir el instructor de la lista</t>
      </text>
    </comment>
    <comment ref="O1277" authorId="0" shapeId="0">
      <text>
        <t>Tipo de actividad (elegir de la lista)</t>
      </text>
    </comment>
    <comment ref="M1282" authorId="0" shapeId="0">
      <text>
        <t>Elegir el instructor de la lista</t>
      </text>
    </comment>
    <comment ref="O1282" authorId="0" shapeId="0">
      <text>
        <t>Tipo de actividad (elegir de la lista)</t>
      </text>
    </comment>
    <comment ref="M1287" authorId="0" shapeId="0">
      <text>
        <t>Elegir el instructor de la lista</t>
      </text>
    </comment>
    <comment ref="O1287" authorId="0" shapeId="0">
      <text>
        <t>Tipo de actividad (elegir de la lista)</t>
      </text>
    </comment>
    <comment ref="M1294" authorId="0" shapeId="0">
      <text>
        <t>Elegir el instructor de la lista</t>
      </text>
    </comment>
    <comment ref="O1294" authorId="0" shapeId="0">
      <text>
        <t>Tipo de actividad (elegir de la lista)</t>
      </text>
    </comment>
    <comment ref="M1301" authorId="0" shapeId="0">
      <text>
        <t>Elegir el instructor de la lista</t>
      </text>
    </comment>
    <comment ref="O1301" authorId="0" shapeId="0">
      <text>
        <t>Tipo de actividad (elegir de la lista)</t>
      </text>
    </comment>
    <comment ref="M1306" authorId="0" shapeId="0">
      <text>
        <t>Elegir el instructor de la lista</t>
      </text>
    </comment>
    <comment ref="O1306" authorId="0" shapeId="0">
      <text>
        <t>Tipo de actividad (elegir de la lista)</t>
      </text>
    </comment>
    <comment ref="M1311" authorId="0" shapeId="0">
      <text>
        <t>Elegir el instructor de la lista</t>
      </text>
    </comment>
    <comment ref="O1311" authorId="0" shapeId="0">
      <text>
        <t>Tipo de actividad (elegir de la lista)</t>
      </text>
    </comment>
    <comment ref="M1316" authorId="0" shapeId="0">
      <text>
        <t>Elegir el instructor de la lista</t>
      </text>
    </comment>
    <comment ref="O1316" authorId="0" shapeId="0">
      <text>
        <t>Tipo de actividad (elegir de la lista)</t>
      </text>
    </comment>
    <comment ref="M1321" authorId="0" shapeId="0">
      <text>
        <t>Elegir el instructor de la lista</t>
      </text>
    </comment>
    <comment ref="O1321" authorId="0" shapeId="0">
      <text>
        <t>Tipo de actividad (elegir de la lista)</t>
      </text>
    </comment>
    <comment ref="M1326" authorId="0" shapeId="0">
      <text>
        <t>Elegir el instructor de la lista</t>
      </text>
    </comment>
    <comment ref="O1326" authorId="0" shapeId="0">
      <text>
        <t>Tipo de actividad (elegir de la lista)</t>
      </text>
    </comment>
    <comment ref="M1331" authorId="0" shapeId="0">
      <text>
        <t>Elegir el instructor de la lista</t>
      </text>
    </comment>
    <comment ref="O1331" authorId="0" shapeId="0">
      <text>
        <t>Tipo de actividad (elegir de la lista)</t>
      </text>
    </comment>
    <comment ref="M1336" authorId="0" shapeId="0">
      <text>
        <t>Elegir el instructor de la lista</t>
      </text>
    </comment>
    <comment ref="O1336" authorId="0" shapeId="0">
      <text>
        <t>Tipo de actividad (elegir de la lista)</t>
      </text>
    </comment>
    <comment ref="M1341" authorId="0" shapeId="0">
      <text>
        <t>Elegir el instructor de la lista</t>
      </text>
    </comment>
    <comment ref="O1341" authorId="0" shapeId="0">
      <text>
        <t>Tipo de actividad (elegir de la lista)</t>
      </text>
    </comment>
    <comment ref="M1346" authorId="0" shapeId="0">
      <text>
        <t>Elegir el instructor de la lista</t>
      </text>
    </comment>
    <comment ref="O1346" authorId="0" shapeId="0">
      <text>
        <t>Tipo de actividad (elegir de la lista)</t>
      </text>
    </comment>
    <comment ref="M1351" authorId="0" shapeId="0">
      <text>
        <t>Elegir el instructor de la lista</t>
      </text>
    </comment>
    <comment ref="O1351" authorId="0" shapeId="0">
      <text>
        <t>Tipo de actividad (elegir de la lista)</t>
      </text>
    </comment>
    <comment ref="M1356" authorId="0" shapeId="0">
      <text>
        <t>Elegir el instructor de la lista</t>
      </text>
    </comment>
    <comment ref="O1356" authorId="0" shapeId="0">
      <text>
        <t>Tipo de actividad (elegir de la lista)</t>
      </text>
    </comment>
    <comment ref="M1363" authorId="0" shapeId="0">
      <text>
        <t>Elegir el instructor de la lista</t>
      </text>
    </comment>
    <comment ref="O1363" authorId="0" shapeId="0">
      <text>
        <t>Tipo de actividad (elegir de la lista)</t>
      </text>
    </comment>
    <comment ref="M1370" authorId="0" shapeId="0">
      <text>
        <t>Elegir el instructor de la lista</t>
      </text>
    </comment>
    <comment ref="O1370" authorId="0" shapeId="0">
      <text>
        <t>Tipo de actividad (elegir de la lista)</t>
      </text>
    </comment>
    <comment ref="M1375" authorId="0" shapeId="0">
      <text>
        <t>Elegir el instructor de la lista</t>
      </text>
    </comment>
    <comment ref="O1375" authorId="0" shapeId="0">
      <text>
        <t>Tipo de actividad (elegir de la lista)</t>
      </text>
    </comment>
    <comment ref="M1380" authorId="0" shapeId="0">
      <text>
        <t>Elegir el instructor de la lista</t>
      </text>
    </comment>
    <comment ref="O1380" authorId="0" shapeId="0">
      <text>
        <t>Tipo de actividad (elegir de la lista)</t>
      </text>
    </comment>
    <comment ref="M1387" authorId="0" shapeId="0">
      <text>
        <t>Elegir el instructor de la lista</t>
      </text>
    </comment>
    <comment ref="O1387" authorId="0" shapeId="0">
      <text>
        <t>Tipo de actividad (elegir de la lista)</t>
      </text>
    </comment>
    <comment ref="M1392" authorId="0" shapeId="0">
      <text>
        <t>Elegir el instructor de la lista</t>
      </text>
    </comment>
    <comment ref="O1392" authorId="0" shapeId="0">
      <text>
        <t>Tipo de actividad (elegir de la lista)</t>
      </text>
    </comment>
    <comment ref="M1397" authorId="0" shapeId="0">
      <text>
        <t>Elegir el instructor de la lista</t>
      </text>
    </comment>
    <comment ref="O1397" authorId="0" shapeId="0">
      <text>
        <t>Tipo de actividad (elegir de la lista)</t>
      </text>
    </comment>
    <comment ref="M1402" authorId="0" shapeId="0">
      <text>
        <t>Elegir el instructor de la lista</t>
      </text>
    </comment>
    <comment ref="O1402" authorId="0" shapeId="0">
      <text>
        <t>Tipo de actividad (elegir de la lista)</t>
      </text>
    </comment>
    <comment ref="M1407" authorId="0" shapeId="0">
      <text>
        <t>Elegir el instructor de la lista</t>
      </text>
    </comment>
    <comment ref="O1407" authorId="0" shapeId="0">
      <text>
        <t>Tipo de actividad (elegir de la lista)</t>
      </text>
    </comment>
    <comment ref="M1412" authorId="0" shapeId="0">
      <text>
        <t>Elegir el instructor de la lista</t>
      </text>
    </comment>
    <comment ref="O1412" authorId="0" shapeId="0">
      <text>
        <t>Tipo de actividad (elegir de la lista)</t>
      </text>
    </comment>
    <comment ref="M1417" authorId="0" shapeId="0">
      <text>
        <t>Elegir el instructor de la lista</t>
      </text>
    </comment>
    <comment ref="O1417" authorId="0" shapeId="0">
      <text>
        <t>Tipo de actividad (elegir de la lista)</t>
      </text>
    </comment>
    <comment ref="M1422" authorId="0" shapeId="0">
      <text>
        <t>Elegir el instructor de la lista</t>
      </text>
    </comment>
    <comment ref="O1422" authorId="0" shapeId="0">
      <text>
        <t>Tipo de actividad (elegir de la lista)</t>
      </text>
    </comment>
    <comment ref="M1427" authorId="0" shapeId="0">
      <text>
        <t>Elegir el instructor de la lista</t>
      </text>
    </comment>
    <comment ref="O1427" authorId="0" shapeId="0">
      <text>
        <t>Tipo de actividad (elegir de la lista)</t>
      </text>
    </comment>
    <comment ref="M1432" authorId="0" shapeId="0">
      <text>
        <t>Elegir el instructor de la lista</t>
      </text>
    </comment>
    <comment ref="O1432" authorId="0" shapeId="0">
      <text>
        <t>Tipo de actividad (elegir de la lista)</t>
      </text>
    </comment>
    <comment ref="M1437" authorId="0" shapeId="0">
      <text>
        <t>Elegir el instructor de la lista</t>
      </text>
    </comment>
    <comment ref="O1437" authorId="0" shapeId="0">
      <text>
        <t>Tipo de actividad (elegir de la lista)</t>
      </text>
    </comment>
    <comment ref="M1442" authorId="0" shapeId="0">
      <text>
        <t>Elegir el instructor de la lista</t>
      </text>
    </comment>
    <comment ref="O1442" authorId="0" shapeId="0">
      <text>
        <t>Tipo de actividad (elegir de la lista)</t>
      </text>
    </comment>
    <comment ref="M1447" authorId="0" shapeId="0">
      <text>
        <t>Elegir el instructor de la lista</t>
      </text>
    </comment>
    <comment ref="O1447" authorId="0" shapeId="0">
      <text>
        <t>Tipo de actividad (elegir de la lista)</t>
      </text>
    </comment>
    <comment ref="M1452" authorId="0" shapeId="0">
      <text>
        <t>Elegir el instructor de la lista</t>
      </text>
    </comment>
    <comment ref="O1452" authorId="0" shapeId="0">
      <text>
        <t>Tipo de actividad (elegir de la lista)</t>
      </text>
    </comment>
    <comment ref="M1457" authorId="0" shapeId="0">
      <text>
        <t>Elegir el instructor de la lista</t>
      </text>
    </comment>
    <comment ref="O1457" authorId="0" shapeId="0">
      <text>
        <t>Tipo de actividad (elegir de la lista)</t>
      </text>
    </comment>
    <comment ref="M1462" authorId="0" shapeId="0">
      <text>
        <t>Elegir el instructor de la lista</t>
      </text>
    </comment>
    <comment ref="O1462" authorId="0" shapeId="0">
      <text>
        <t>Tipo de actividad (elegir de la lista)</t>
      </text>
    </comment>
    <comment ref="M1469" authorId="0" shapeId="0">
      <text>
        <t>Elegir el instructor de la lista</t>
      </text>
    </comment>
    <comment ref="O1469" authorId="0" shapeId="0">
      <text>
        <t>Tipo de actividad (elegir de la lista)</t>
      </text>
    </comment>
    <comment ref="M1476" authorId="0" shapeId="0">
      <text>
        <t>Elegir el instructor de la lista</t>
      </text>
    </comment>
    <comment ref="O1476" authorId="0" shapeId="0">
      <text>
        <t>Tipo de actividad (elegir de la lista)</t>
      </text>
    </comment>
    <comment ref="M1481" authorId="0" shapeId="0">
      <text>
        <t>Elegir el instructor de la lista</t>
      </text>
    </comment>
    <comment ref="O1481" authorId="0" shapeId="0">
      <text>
        <t>Tipo de actividad (elegir de la lista)</t>
      </text>
    </comment>
    <comment ref="M1486" authorId="0" shapeId="0">
      <text>
        <t>Elegir el instructor de la lista</t>
      </text>
    </comment>
    <comment ref="O1486" authorId="0" shapeId="0">
      <text>
        <t>Tipo de actividad (elegir de la lista)</t>
      </text>
    </comment>
    <comment ref="M1491" authorId="0" shapeId="0">
      <text>
        <t>Elegir el instructor de la lista</t>
      </text>
    </comment>
    <comment ref="O1491" authorId="0" shapeId="0">
      <text>
        <t>Tipo de actividad (elegir de la lista)</t>
      </text>
    </comment>
    <comment ref="M1496" authorId="0" shapeId="0">
      <text>
        <t>Elegir el instructor de la lista</t>
      </text>
    </comment>
    <comment ref="O1496" authorId="0" shapeId="0">
      <text>
        <t>Tipo de actividad (elegir de la lista)</t>
      </text>
    </comment>
    <comment ref="M1501" authorId="0" shapeId="0">
      <text>
        <t>Elegir el instructor de la lista</t>
      </text>
    </comment>
    <comment ref="O1501" authorId="0" shapeId="0">
      <text>
        <t>Tipo de actividad (elegir de la lista)</t>
      </text>
    </comment>
    <comment ref="M1506" authorId="0" shapeId="0">
      <text>
        <t>Elegir el instructor de la lista</t>
      </text>
    </comment>
    <comment ref="O1506" authorId="0" shapeId="0">
      <text>
        <t>Tipo de actividad (elegir de la lista)</t>
      </text>
    </comment>
    <comment ref="M1511" authorId="0" shapeId="0">
      <text>
        <t>Elegir el instructor de la lista</t>
      </text>
    </comment>
    <comment ref="O1511" authorId="0" shapeId="0">
      <text>
        <t>Tipo de actividad (elegir de la lista)</t>
      </text>
    </comment>
    <comment ref="M1516" authorId="0" shapeId="0">
      <text>
        <t>Elegir el instructor de la lista</t>
      </text>
    </comment>
    <comment ref="O1516" authorId="0" shapeId="0">
      <text>
        <t>Tipo de actividad (elegir de la lista)</t>
      </text>
    </comment>
    <comment ref="M1521" authorId="0" shapeId="0">
      <text>
        <t>Elegir el instructor de la lista</t>
      </text>
    </comment>
    <comment ref="O1521" authorId="0" shapeId="0">
      <text>
        <t>Tipo de actividad (elegir de la lista)</t>
      </text>
    </comment>
    <comment ref="M1528" authorId="0" shapeId="0">
      <text>
        <t>Elegir el instructor de la lista</t>
      </text>
    </comment>
    <comment ref="O1528" authorId="0" shapeId="0">
      <text>
        <t>Tipo de actividad (elegir de la lista)</t>
      </text>
    </comment>
    <comment ref="M1535" authorId="0" shapeId="0">
      <text>
        <t>Elegir el instructor de la lista</t>
      </text>
    </comment>
    <comment ref="O1535" authorId="0" shapeId="0">
      <text>
        <t>Tipo de actividad (elegir de la lista)</t>
      </text>
    </comment>
    <comment ref="M1542" authorId="0" shapeId="0">
      <text>
        <t>Elegir el instructor de la lista</t>
      </text>
    </comment>
    <comment ref="O1542" authorId="0" shapeId="0">
      <text>
        <t>Tipo de actividad (elegir de la lista)</t>
      </text>
    </comment>
    <comment ref="M1547" authorId="0" shapeId="0">
      <text>
        <t>Elegir el instructor de la lista</t>
      </text>
    </comment>
    <comment ref="O1547" authorId="0" shapeId="0">
      <text>
        <t>Tipo de actividad (elegir de la lista)</t>
      </text>
    </comment>
    <comment ref="M1552" authorId="0" shapeId="0">
      <text>
        <t>Elegir el instructor de la lista</t>
      </text>
    </comment>
    <comment ref="O1552" authorId="0" shapeId="0">
      <text>
        <t>Tipo de actividad (elegir de la lista)</t>
      </text>
    </comment>
    <comment ref="M1557" authorId="0" shapeId="0">
      <text>
        <t>Elegir el instructor de la lista</t>
      </text>
    </comment>
    <comment ref="O1557" authorId="0" shapeId="0">
      <text>
        <t>Tipo de actividad (elegir de la lista)</t>
      </text>
    </comment>
    <comment ref="M1562" authorId="0" shapeId="0">
      <text>
        <t>Elegir el instructor de la lista</t>
      </text>
    </comment>
    <comment ref="O1562" authorId="0" shapeId="0">
      <text>
        <t>Tipo de actividad (elegir de la lista)</t>
      </text>
    </comment>
    <comment ref="M1567" authorId="0" shapeId="0">
      <text>
        <t>Elegir el instructor de la lista</t>
      </text>
    </comment>
    <comment ref="O1567" authorId="0" shapeId="0">
      <text>
        <t>Tipo de actividad (elegir de la lista)</t>
      </text>
    </comment>
    <comment ref="M1572" authorId="0" shapeId="0">
      <text>
        <t>Elegir el instructor de la lista</t>
      </text>
    </comment>
    <comment ref="O1572" authorId="0" shapeId="0">
      <text>
        <t>Tipo de actividad (elegir de la lista)</t>
      </text>
    </comment>
    <comment ref="M1577" authorId="0" shapeId="0">
      <text>
        <t>Elegir el instructor de la lista</t>
      </text>
    </comment>
    <comment ref="O1577" authorId="0" shapeId="0">
      <text>
        <t>Tipo de actividad (elegir de la lista)</t>
      </text>
    </comment>
    <comment ref="M1582" authorId="0" shapeId="0">
      <text>
        <t>Elegir el instructor de la lista</t>
      </text>
    </comment>
    <comment ref="O1582" authorId="0" shapeId="0">
      <text>
        <t>Tipo de actividad (elegir de la lista)</t>
      </text>
    </comment>
    <comment ref="M1587" authorId="0" shapeId="0">
      <text>
        <t>Elegir el instructor de la lista</t>
      </text>
    </comment>
    <comment ref="O1587" authorId="0" shapeId="0">
      <text>
        <t>Tipo de actividad (elegir de la lista)</t>
      </text>
    </comment>
    <comment ref="M1592" authorId="0" shapeId="0">
      <text>
        <t>Elegir el instructor de la lista</t>
      </text>
    </comment>
    <comment ref="O1592" authorId="0" shapeId="0">
      <text>
        <t>Tipo de actividad (elegir de la lista)</t>
      </text>
    </comment>
    <comment ref="M1597" authorId="0" shapeId="0">
      <text>
        <t>Elegir el instructor de la lista</t>
      </text>
    </comment>
    <comment ref="O1597" authorId="0" shapeId="0">
      <text>
        <t>Tipo de actividad (elegir de la lista)</t>
      </text>
    </comment>
    <comment ref="M1602" authorId="0" shapeId="0">
      <text>
        <t>Elegir el instructor de la lista</t>
      </text>
    </comment>
    <comment ref="O1602" authorId="0" shapeId="0">
      <text>
        <t>Tipo de actividad (elegir de la lista)</t>
      </text>
    </comment>
    <comment ref="M1607" authorId="0" shapeId="0">
      <text>
        <t>Elegir el instructor de la lista</t>
      </text>
    </comment>
    <comment ref="O1607" authorId="0" shapeId="0">
      <text>
        <t>Tipo de actividad (elegir de la lista)</t>
      </text>
    </comment>
    <comment ref="M1614" authorId="0" shapeId="0">
      <text>
        <t>Elegir el instructor de la lista</t>
      </text>
    </comment>
    <comment ref="O1614" authorId="0" shapeId="0">
      <text>
        <t>Tipo de actividad (elegir de la lista)</t>
      </text>
    </comment>
    <comment ref="M1621" authorId="0" shapeId="0">
      <text>
        <t>Elegir el instructor de la lista</t>
      </text>
    </comment>
    <comment ref="O1621" authorId="0" shapeId="0">
      <text>
        <t>Tipo de actividad (elegir de la lista)</t>
      </text>
    </comment>
    <comment ref="M1628" authorId="0" shapeId="0">
      <text>
        <t>Elegir el instructor de la lista</t>
      </text>
    </comment>
    <comment ref="O1628" authorId="0" shapeId="0">
      <text>
        <t>Tipo de actividad (elegir de la lista)</t>
      </text>
    </comment>
    <comment ref="M1635" authorId="0" shapeId="0">
      <text>
        <t>Elegir el instructor de la lista</t>
      </text>
    </comment>
    <comment ref="O1635" authorId="0" shapeId="0">
      <text>
        <t>Tipo de actividad (elegir de la lista)</t>
      </text>
    </comment>
    <comment ref="M1640" authorId="0" shapeId="0">
      <text>
        <t>Elegir el instructor de la lista</t>
      </text>
    </comment>
    <comment ref="O1640" authorId="0" shapeId="0">
      <text>
        <t>Tipo de actividad (elegir de la lista)</t>
      </text>
    </comment>
    <comment ref="M1645" authorId="0" shapeId="0">
      <text>
        <t>Elegir el instructor de la lista</t>
      </text>
    </comment>
    <comment ref="O1645" authorId="0" shapeId="0">
      <text>
        <t>Tipo de actividad (elegir de la lista)</t>
      </text>
    </comment>
    <comment ref="M1650" authorId="0" shapeId="0">
      <text>
        <t>Elegir el instructor de la lista</t>
      </text>
    </comment>
    <comment ref="O1650" authorId="0" shapeId="0">
      <text>
        <t>Tipo de actividad (elegir de la lista)</t>
      </text>
    </comment>
    <comment ref="M1655" authorId="0" shapeId="0">
      <text>
        <t>Elegir el instructor de la lista</t>
      </text>
    </comment>
    <comment ref="O1655" authorId="0" shapeId="0">
      <text>
        <t>Tipo de actividad (elegir de la lista)</t>
      </text>
    </comment>
    <comment ref="M1660" authorId="0" shapeId="0">
      <text>
        <t>Elegir el instructor de la lista</t>
      </text>
    </comment>
    <comment ref="O1660" authorId="0" shapeId="0">
      <text>
        <t>Tipo de actividad (elegir de la lista)</t>
      </text>
    </comment>
    <comment ref="M1665" authorId="0" shapeId="0">
      <text>
        <t>Elegir el instructor de la lista</t>
      </text>
    </comment>
    <comment ref="O1665" authorId="0" shapeId="0">
      <text>
        <t>Tipo de actividad (elegir de la lista)</t>
      </text>
    </comment>
    <comment ref="M1670" authorId="0" shapeId="0">
      <text>
        <t>Elegir el instructor de la lista</t>
      </text>
    </comment>
    <comment ref="O1670" authorId="0" shapeId="0">
      <text>
        <t>Tipo de actividad (elegir de la lista)</t>
      </text>
    </comment>
    <comment ref="M1675" authorId="0" shapeId="0">
      <text>
        <t>Elegir el instructor de la lista</t>
      </text>
    </comment>
    <comment ref="O1675" authorId="0" shapeId="0">
      <text>
        <t>Tipo de actividad (elegir de la lista)</t>
      </text>
    </comment>
    <comment ref="M1680" authorId="0" shapeId="0">
      <text>
        <t>Elegir el instructor de la lista</t>
      </text>
    </comment>
    <comment ref="O1680" authorId="0" shapeId="0">
      <text>
        <t>Tipo de actividad (elegir de la lista)</t>
      </text>
    </comment>
    <comment ref="M1687" authorId="0" shapeId="0">
      <text>
        <t>Elegir el instructor de la lista</t>
      </text>
    </comment>
    <comment ref="O1687" authorId="0" shapeId="0">
      <text>
        <t>Tipo de actividad (elegir de la lista)</t>
      </text>
    </comment>
    <comment ref="M1694" authorId="0" shapeId="0">
      <text>
        <t>Elegir el instructor de la lista</t>
      </text>
    </comment>
    <comment ref="O1694" authorId="0" shapeId="0">
      <text>
        <t>Tipo de actividad (elegir de la lista)</t>
      </text>
    </comment>
    <comment ref="M1701" authorId="0" shapeId="0">
      <text>
        <t>Elegir el instructor de la lista</t>
      </text>
    </comment>
    <comment ref="O1701" authorId="0" shapeId="0">
      <text>
        <t>Tipo de actividad (elegir de la lista)</t>
      </text>
    </comment>
    <comment ref="M1706" authorId="0" shapeId="0">
      <text>
        <t>Elegir el instructor de la lista</t>
      </text>
    </comment>
    <comment ref="O1706" authorId="0" shapeId="0">
      <text>
        <t>Tipo de actividad (elegir de la lista)</t>
      </text>
    </comment>
    <comment ref="M1711" authorId="0" shapeId="0">
      <text>
        <t>Elegir el instructor de la lista</t>
      </text>
    </comment>
    <comment ref="O1711" authorId="0" shapeId="0">
      <text>
        <t>Tipo de actividad (elegir de la lista)</t>
      </text>
    </comment>
    <comment ref="M1716" authorId="0" shapeId="0">
      <text>
        <t>Elegir el instructor de la lista</t>
      </text>
    </comment>
    <comment ref="O1716" authorId="0" shapeId="0">
      <text>
        <t>Tipo de actividad (elegir de la lista)</t>
      </text>
    </comment>
    <comment ref="M1721" authorId="0" shapeId="0">
      <text>
        <t>Elegir el instructor de la lista</t>
      </text>
    </comment>
    <comment ref="O1721" authorId="0" shapeId="0">
      <text>
        <t>Tipo de actividad (elegir de la lista)</t>
      </text>
    </comment>
    <comment ref="M1726" authorId="0" shapeId="0">
      <text>
        <t>Elegir el instructor de la lista</t>
      </text>
    </comment>
    <comment ref="O1726" authorId="0" shapeId="0">
      <text>
        <t>Tipo de actividad (elegir de la lista)</t>
      </text>
    </comment>
    <comment ref="M1731" authorId="0" shapeId="0">
      <text>
        <t>Elegir el instructor de la lista</t>
      </text>
    </comment>
    <comment ref="O1731" authorId="0" shapeId="0">
      <text>
        <t>Tipo de actividad (elegir de la lista)</t>
      </text>
    </comment>
    <comment ref="M1736" authorId="0" shapeId="0">
      <text>
        <t>Elegir el instructor de la lista</t>
      </text>
    </comment>
    <comment ref="O1736" authorId="0" shapeId="0">
      <text>
        <t>Tipo de actividad (elegir de la lista)</t>
      </text>
    </comment>
    <comment ref="M1741" authorId="0" shapeId="0">
      <text>
        <t>Elegir el instructor de la lista</t>
      </text>
    </comment>
    <comment ref="O1741" authorId="0" shapeId="0">
      <text>
        <t>Tipo de actividad (elegir de la lista)</t>
      </text>
    </comment>
    <comment ref="M1746" authorId="0" shapeId="0">
      <text>
        <t>Elegir el instructor de la lista</t>
      </text>
    </comment>
    <comment ref="O1746" authorId="0" shapeId="0">
      <text>
        <t>Tipo de actividad (elegir de la lista)</t>
      </text>
    </comment>
    <comment ref="M1751" authorId="0" shapeId="0">
      <text>
        <t>Elegir el instructor de la lista</t>
      </text>
    </comment>
    <comment ref="O1751" authorId="0" shapeId="0">
      <text>
        <t>Tipo de actividad (elegir de la lista)</t>
      </text>
    </comment>
    <comment ref="M1758" authorId="0" shapeId="0">
      <text>
        <t>Elegir el instructor de la lista</t>
      </text>
    </comment>
    <comment ref="O1758" authorId="0" shapeId="0">
      <text>
        <t>Tipo de actividad (elegir de la lista)</t>
      </text>
    </comment>
    <comment ref="M1765" authorId="0" shapeId="0">
      <text>
        <t>Elegir el instructor de la lista</t>
      </text>
    </comment>
    <comment ref="O1765" authorId="0" shapeId="0">
      <text>
        <t>Tipo de actividad (elegir de la lista)</t>
      </text>
    </comment>
    <comment ref="M1772" authorId="0" shapeId="0">
      <text>
        <t>Elegir el instructor de la lista</t>
      </text>
    </comment>
    <comment ref="O1772" authorId="0" shapeId="0">
      <text>
        <t>Tipo de actividad (elegir de la lista)</t>
      </text>
    </comment>
    <comment ref="M1779" authorId="0" shapeId="0">
      <text>
        <t>Elegir el instructor de la lista</t>
      </text>
    </comment>
    <comment ref="O1779" authorId="0" shapeId="0">
      <text>
        <t>Tipo de actividad (elegir de la lista)</t>
      </text>
    </comment>
    <comment ref="M1786" authorId="0" shapeId="0">
      <text>
        <t>Elegir el instructor de la lista</t>
      </text>
    </comment>
    <comment ref="O1786" authorId="0" shapeId="0">
      <text>
        <t>Tipo de actividad (elegir de la lista)</t>
      </text>
    </comment>
    <comment ref="M1791" authorId="0" shapeId="0">
      <text>
        <t>Elegir el instructor de la lista</t>
      </text>
    </comment>
    <comment ref="O1791" authorId="0" shapeId="0">
      <text>
        <t>Tipo de actividad (elegir de la lista)</t>
      </text>
    </comment>
    <comment ref="M1798" authorId="0" shapeId="0">
      <text>
        <t>Elegir el instructor de la lista</t>
      </text>
    </comment>
    <comment ref="O1798" authorId="0" shapeId="0">
      <text>
        <t>Tipo de actividad (elegir de la lista)</t>
      </text>
    </comment>
    <comment ref="M1803" authorId="0" shapeId="0">
      <text>
        <t>Elegir el instructor de la lista</t>
      </text>
    </comment>
    <comment ref="O1803" authorId="0" shapeId="0">
      <text>
        <t>Tipo de actividad (elegir de la lista)</t>
      </text>
    </comment>
    <comment ref="M1808" authorId="0" shapeId="0">
      <text>
        <t>Elegir el instructor de la lista</t>
      </text>
    </comment>
    <comment ref="O1808" authorId="0" shapeId="0">
      <text>
        <t>Tipo de actividad (elegir de la lista)</t>
      </text>
    </comment>
    <comment ref="M1815" authorId="0" shapeId="0">
      <text>
        <t>Elegir el instructor de la lista</t>
      </text>
    </comment>
    <comment ref="O1815" authorId="0" shapeId="0">
      <text>
        <t>Tipo de actividad (elegir de la lista)</t>
      </text>
    </comment>
    <comment ref="M1820" authorId="0" shapeId="0">
      <text>
        <t>Elegir el instructor de la lista</t>
      </text>
    </comment>
    <comment ref="O1820" authorId="0" shapeId="0">
      <text>
        <t>Tipo de actividad (elegir de la lista)</t>
      </text>
    </comment>
    <comment ref="M1825" authorId="0" shapeId="0">
      <text>
        <t>Elegir el instructor de la lista</t>
      </text>
    </comment>
    <comment ref="O1825" authorId="0" shapeId="0">
      <text>
        <t>Tipo de actividad (elegir de la lista)</t>
      </text>
    </comment>
    <comment ref="M1830" authorId="0" shapeId="0">
      <text>
        <t>Elegir el instructor de la lista</t>
      </text>
    </comment>
    <comment ref="O1830" authorId="0" shapeId="0">
      <text>
        <t>Tipo de actividad (elegir de la lista)</t>
      </text>
    </comment>
    <comment ref="M1835" authorId="0" shapeId="0">
      <text>
        <t>Elegir el instructor de la lista</t>
      </text>
    </comment>
    <comment ref="O1835" authorId="0" shapeId="0">
      <text>
        <t>Tipo de actividad (elegir de la lista)</t>
      </text>
    </comment>
    <comment ref="M1840" authorId="0" shapeId="0">
      <text>
        <t>Elegir el instructor de la lista</t>
      </text>
    </comment>
    <comment ref="O1840" authorId="0" shapeId="0">
      <text>
        <t>Tipo de actividad (elegir de la lista)</t>
      </text>
    </comment>
    <comment ref="M1845" authorId="0" shapeId="0">
      <text>
        <t>Elegir el instructor de la lista</t>
      </text>
    </comment>
    <comment ref="O1845" authorId="0" shapeId="0">
      <text>
        <t>Tipo de actividad (elegir de la lista)</t>
      </text>
    </comment>
    <comment ref="M1852" authorId="0" shapeId="0">
      <text>
        <t>Elegir el instructor de la lista</t>
      </text>
    </comment>
    <comment ref="O1852" authorId="0" shapeId="0">
      <text>
        <t>Tipo de actividad (elegir de la lista)</t>
      </text>
    </comment>
    <comment ref="M1857" authorId="0" shapeId="0">
      <text>
        <t>Elegir el instructor de la lista</t>
      </text>
    </comment>
    <comment ref="O1857" authorId="0" shapeId="0">
      <text>
        <t>Tipo de actividad (elegir de la lista)</t>
      </text>
    </comment>
    <comment ref="M1862" authorId="0" shapeId="0">
      <text>
        <t>Elegir el instructor de la lista</t>
      </text>
    </comment>
    <comment ref="O1862" authorId="0" shapeId="0">
      <text>
        <t>Tipo de actividad (elegir de la lista)</t>
      </text>
    </comment>
    <comment ref="M1869" authorId="0" shapeId="0">
      <text>
        <t>Elegir el instructor de la lista</t>
      </text>
    </comment>
    <comment ref="O1869" authorId="0" shapeId="0">
      <text>
        <t>Tipo de actividad (elegir de la lista)</t>
      </text>
    </comment>
    <comment ref="M1874" authorId="0" shapeId="0">
      <text>
        <t>Elegir el instructor de la lista</t>
      </text>
    </comment>
    <comment ref="O1874" authorId="0" shapeId="0">
      <text>
        <t>Tipo de actividad (elegir de la lista)</t>
      </text>
    </comment>
    <comment ref="M1879" authorId="0" shapeId="0">
      <text>
        <t>Elegir el instructor de la lista</t>
      </text>
    </comment>
    <comment ref="O1879" authorId="0" shapeId="0">
      <text>
        <t>Tipo de actividad (elegir de la lista)</t>
      </text>
    </comment>
    <comment ref="M1884" authorId="0" shapeId="0">
      <text>
        <t>Elegir el instructor de la lista</t>
      </text>
    </comment>
    <comment ref="O1884" authorId="0" shapeId="0">
      <text>
        <t>Tipo de actividad (elegir de la lista)</t>
      </text>
    </comment>
    <comment ref="M1889" authorId="0" shapeId="0">
      <text>
        <t>Elegir el instructor de la lista</t>
      </text>
    </comment>
    <comment ref="O1889" authorId="0" shapeId="0">
      <text>
        <t>Tipo de actividad (elegir de la lista)</t>
      </text>
    </comment>
    <comment ref="M1894" authorId="0" shapeId="0">
      <text>
        <t>Elegir el instructor de la lista</t>
      </text>
    </comment>
    <comment ref="O1894" authorId="0" shapeId="0">
      <text>
        <t>Tipo de actividad (elegir de la lista)</t>
      </text>
    </comment>
    <comment ref="M1899" authorId="0" shapeId="0">
      <text>
        <t>Elegir el instructor de la lista</t>
      </text>
    </comment>
    <comment ref="O1899" authorId="0" shapeId="0">
      <text>
        <t>Tipo de actividad (elegir de la lista)</t>
      </text>
    </comment>
    <comment ref="M1904" authorId="0" shapeId="0">
      <text>
        <t>Elegir el instructor de la lista</t>
      </text>
    </comment>
    <comment ref="O1904" authorId="0" shapeId="0">
      <text>
        <t>Tipo de actividad (elegir de la lista)</t>
      </text>
    </comment>
    <comment ref="M1909" authorId="0" shapeId="0">
      <text>
        <t>Elegir el instructor de la lista</t>
      </text>
    </comment>
    <comment ref="O1909" authorId="0" shapeId="0">
      <text>
        <t>Tipo de actividad (elegir de la lista)</t>
      </text>
    </comment>
    <comment ref="M1914" authorId="0" shapeId="0">
      <text>
        <t>Elegir el instructor de la lista</t>
      </text>
    </comment>
    <comment ref="O1914" authorId="0" shapeId="0">
      <text>
        <t>Tipo de actividad (elegir de la lista)</t>
      </text>
    </comment>
    <comment ref="M1921" authorId="0" shapeId="0">
      <text>
        <t>Elegir el instructor de la lista</t>
      </text>
    </comment>
    <comment ref="O1921" authorId="0" shapeId="0">
      <text>
        <t>Tipo de actividad (elegir de la lista)</t>
      </text>
    </comment>
    <comment ref="M1928" authorId="0" shapeId="0">
      <text>
        <t>Elegir el instructor de la lista</t>
      </text>
    </comment>
    <comment ref="O1928" authorId="0" shapeId="0">
      <text>
        <t>Tipo de actividad (elegir de la lista)</t>
      </text>
    </comment>
    <comment ref="M1933" authorId="0" shapeId="0">
      <text>
        <t>Elegir el instructor de la lista</t>
      </text>
    </comment>
    <comment ref="O1933" authorId="0" shapeId="0">
      <text>
        <t>Tipo de actividad (elegir de la lista)</t>
      </text>
    </comment>
    <comment ref="M1938" authorId="0" shapeId="0">
      <text>
        <t>Elegir el instructor de la lista</t>
      </text>
    </comment>
    <comment ref="O1938" authorId="0" shapeId="0">
      <text>
        <t>Tipo de actividad (elegir de la lista)</t>
      </text>
    </comment>
    <comment ref="M1943" authorId="0" shapeId="0">
      <text>
        <t>Elegir el instructor de la lista</t>
      </text>
    </comment>
    <comment ref="O1943" authorId="0" shapeId="0">
      <text>
        <t>Tipo de actividad (elegir de la lista)</t>
      </text>
    </comment>
    <comment ref="M1948" authorId="0" shapeId="0">
      <text>
        <t>Elegir el instructor de la lista</t>
      </text>
    </comment>
    <comment ref="O1948" authorId="0" shapeId="0">
      <text>
        <t>Tipo de actividad (elegir de la lista)</t>
      </text>
    </comment>
    <comment ref="M1955" authorId="0" shapeId="0">
      <text>
        <t>Elegir el instructor de la lista</t>
      </text>
    </comment>
    <comment ref="O1955" authorId="0" shapeId="0">
      <text>
        <t>Tipo de actividad (elegir de la lista)</t>
      </text>
    </comment>
    <comment ref="M1960" authorId="0" shapeId="0">
      <text>
        <t>Elegir el instructor de la lista</t>
      </text>
    </comment>
    <comment ref="O1960" authorId="0" shapeId="0">
      <text>
        <t>Tipo de actividad (elegir de la lista)</t>
      </text>
    </comment>
    <comment ref="M1965" authorId="0" shapeId="0">
      <text>
        <t>Elegir el instructor de la lista</t>
      </text>
    </comment>
    <comment ref="O1965" authorId="0" shapeId="0">
      <text>
        <t>Tipo de actividad (elegir de la lista)</t>
      </text>
    </comment>
    <comment ref="M1970" authorId="0" shapeId="0">
      <text>
        <t>Elegir el instructor de la lista</t>
      </text>
    </comment>
    <comment ref="O1970" authorId="0" shapeId="0">
      <text>
        <t>Tipo de actividad (elegir de la lista)</t>
      </text>
    </comment>
    <comment ref="M1975" authorId="0" shapeId="0">
      <text>
        <t>Elegir el instructor de la lista</t>
      </text>
    </comment>
    <comment ref="O1975" authorId="0" shapeId="0">
      <text>
        <t>Tipo de actividad (elegir de la lista)</t>
      </text>
    </comment>
    <comment ref="M1980" authorId="0" shapeId="0">
      <text>
        <t>Elegir el instructor de la lista</t>
      </text>
    </comment>
    <comment ref="O1980" authorId="0" shapeId="0">
      <text>
        <t>Tipo de actividad (elegir de la lista)</t>
      </text>
    </comment>
    <comment ref="M1985" authorId="0" shapeId="0">
      <text>
        <t>Elegir el instructor de la lista</t>
      </text>
    </comment>
    <comment ref="O1985" authorId="0" shapeId="0">
      <text>
        <t>Tipo de actividad (elegir de la lista)</t>
      </text>
    </comment>
    <comment ref="M1990" authorId="0" shapeId="0">
      <text>
        <t>Elegir el instructor de la lista</t>
      </text>
    </comment>
    <comment ref="O1990" authorId="0" shapeId="0">
      <text>
        <t>Tipo de actividad (elegir de la lista)</t>
      </text>
    </comment>
    <comment ref="M1997" authorId="0" shapeId="0">
      <text>
        <t>Elegir el instructor de la lista</t>
      </text>
    </comment>
    <comment ref="O1997" authorId="0" shapeId="0">
      <text>
        <t>Tipo de actividad (elegir de la lista)</t>
      </text>
    </comment>
    <comment ref="M2002" authorId="0" shapeId="0">
      <text>
        <t>Elegir el instructor de la lista</t>
      </text>
    </comment>
    <comment ref="O2002" authorId="0" shapeId="0">
      <text>
        <t>Tipo de actividad (elegir de la lista)</t>
      </text>
    </comment>
    <comment ref="M2007" authorId="0" shapeId="0">
      <text>
        <t>Elegir el instructor de la lista</t>
      </text>
    </comment>
    <comment ref="O2007" authorId="0" shapeId="0">
      <text>
        <t>Tipo de actividad (elegir de la lista)</t>
      </text>
    </comment>
    <comment ref="M2014" authorId="0" shapeId="0">
      <text>
        <t>Elegir el instructor de la lista</t>
      </text>
    </comment>
    <comment ref="O2014" authorId="0" shapeId="0">
      <text>
        <t>Tipo de actividad (elegir de la lista)</t>
      </text>
    </comment>
    <comment ref="M2019" authorId="0" shapeId="0">
      <text>
        <t>Elegir el instructor de la lista</t>
      </text>
    </comment>
    <comment ref="O2019" authorId="0" shapeId="0">
      <text>
        <t>Tipo de actividad (elegir de la lista)</t>
      </text>
    </comment>
    <comment ref="M2024" authorId="0" shapeId="0">
      <text>
        <t>Elegir el instructor de la lista</t>
      </text>
    </comment>
    <comment ref="O2024" authorId="0" shapeId="0">
      <text>
        <t>Tipo de actividad (elegir de la lista)</t>
      </text>
    </comment>
    <comment ref="M2029" authorId="0" shapeId="0">
      <text>
        <t>Elegir el instructor de la lista</t>
      </text>
    </comment>
    <comment ref="O2029" authorId="0" shapeId="0">
      <text>
        <t>Tipo de actividad (elegir de la lista)</t>
      </text>
    </comment>
    <comment ref="M2034" authorId="0" shapeId="0">
      <text>
        <t>Elegir el instructor de la lista</t>
      </text>
    </comment>
    <comment ref="O2034" authorId="0" shapeId="0">
      <text>
        <t>Tipo de actividad (elegir de la lista)</t>
      </text>
    </comment>
    <comment ref="M2039" authorId="0" shapeId="0">
      <text>
        <t>Elegir el instructor de la lista</t>
      </text>
    </comment>
    <comment ref="O2039" authorId="0" shapeId="0">
      <text>
        <t>Tipo de actividad (elegir de la lista)</t>
      </text>
    </comment>
    <comment ref="M2046" authorId="0" shapeId="0">
      <text>
        <t>Elegir el instructor de la lista</t>
      </text>
    </comment>
    <comment ref="O2046" authorId="0" shapeId="0">
      <text>
        <t>Tipo de actividad (elegir de la lista)</t>
      </text>
    </comment>
    <comment ref="M2053" authorId="0" shapeId="0">
      <text>
        <t>Elegir el instructor de la lista</t>
      </text>
    </comment>
    <comment ref="O2053" authorId="0" shapeId="0">
      <text>
        <t>Tipo de actividad (elegir de la lista)</t>
      </text>
    </comment>
    <comment ref="M2060" authorId="0" shapeId="0">
      <text>
        <t>Elegir el instructor de la lista</t>
      </text>
    </comment>
    <comment ref="O2060" authorId="0" shapeId="0">
      <text>
        <t>Tipo de actividad (elegir de la lista)</t>
      </text>
    </comment>
    <comment ref="M2065" authorId="0" shapeId="0">
      <text>
        <t>Elegir el instructor de la lista</t>
      </text>
    </comment>
    <comment ref="O2065" authorId="0" shapeId="0">
      <text>
        <t>Tipo de actividad (elegir de la lista)</t>
      </text>
    </comment>
    <comment ref="M2070" authorId="0" shapeId="0">
      <text>
        <t>Elegir el instructor de la lista</t>
      </text>
    </comment>
    <comment ref="O2070" authorId="0" shapeId="0">
      <text>
        <t>Tipo de actividad (elegir de la lista)</t>
      </text>
    </comment>
    <comment ref="M2077" authorId="0" shapeId="0">
      <text>
        <t>Elegir el instructor de la lista</t>
      </text>
    </comment>
    <comment ref="O2077" authorId="0" shapeId="0">
      <text>
        <t>Tipo de actividad (elegir de la lista)</t>
      </text>
    </comment>
    <comment ref="M2082" authorId="0" shapeId="0">
      <text>
        <t>Elegir el instructor de la lista</t>
      </text>
    </comment>
    <comment ref="O2082" authorId="0" shapeId="0">
      <text>
        <t>Tipo de actividad (elegir de la lista)</t>
      </text>
    </comment>
    <comment ref="M2087" authorId="0" shapeId="0">
      <text>
        <t>Elegir el instructor de la lista</t>
      </text>
    </comment>
    <comment ref="O2087" authorId="0" shapeId="0">
      <text>
        <t>Tipo de actividad (elegir de la lista)</t>
      </text>
    </comment>
    <comment ref="M2092" authorId="0" shapeId="0">
      <text>
        <t>Elegir el instructor de la lista</t>
      </text>
    </comment>
    <comment ref="O2092" authorId="0" shapeId="0">
      <text>
        <t>Tipo de actividad (elegir de la lista)</t>
      </text>
    </comment>
    <comment ref="M2097" authorId="0" shapeId="0">
      <text>
        <t>Elegir el instructor de la lista</t>
      </text>
    </comment>
    <comment ref="O2097" authorId="0" shapeId="0">
      <text>
        <t>Tipo de actividad (elegir de la lista)</t>
      </text>
    </comment>
    <comment ref="M2102" authorId="0" shapeId="0">
      <text>
        <t>Elegir el instructor de la lista</t>
      </text>
    </comment>
    <comment ref="O2102" authorId="0" shapeId="0">
      <text>
        <t>Tipo de actividad (elegir de la lista)</t>
      </text>
    </comment>
    <comment ref="M2107" authorId="0" shapeId="0">
      <text>
        <t>Elegir el instructor de la lista</t>
      </text>
    </comment>
    <comment ref="O2107" authorId="0" shapeId="0">
      <text>
        <t>Tipo de actividad (elegir de la lista)</t>
      </text>
    </comment>
    <comment ref="M2112" authorId="0" shapeId="0">
      <text>
        <t>Elegir el instructor de la lista</t>
      </text>
    </comment>
    <comment ref="O2112" authorId="0" shapeId="0">
      <text>
        <t>Tipo de actividad (elegir de la lista)</t>
      </text>
    </comment>
    <comment ref="M2117" authorId="0" shapeId="0">
      <text>
        <t>Elegir el instructor de la lista</t>
      </text>
    </comment>
    <comment ref="O2117" authorId="0" shapeId="0">
      <text>
        <t>Tipo de actividad (elegir de la lista)</t>
      </text>
    </comment>
    <comment ref="M2124" authorId="0" shapeId="0">
      <text>
        <t>Elegir el instructor de la lista</t>
      </text>
    </comment>
    <comment ref="O2124" authorId="0" shapeId="0">
      <text>
        <t>Tipo de actividad (elegir de la lista)</t>
      </text>
    </comment>
    <comment ref="M2131" authorId="0" shapeId="0">
      <text>
        <t>Elegir el instructor de la lista</t>
      </text>
    </comment>
    <comment ref="O2131" authorId="0" shapeId="0">
      <text>
        <t>Tipo de actividad (elegir de la lista)</t>
      </text>
    </comment>
    <comment ref="M2138" authorId="0" shapeId="0">
      <text>
        <t>Elegir el instructor de la lista</t>
      </text>
    </comment>
    <comment ref="O2138" authorId="0" shapeId="0">
      <text>
        <t>Tipo de actividad (elegir de la lista)</t>
      </text>
    </comment>
    <comment ref="M2143" authorId="0" shapeId="0">
      <text>
        <t>Elegir el instructor de la lista</t>
      </text>
    </comment>
    <comment ref="O2143" authorId="0" shapeId="0">
      <text>
        <t>Tipo de actividad (elegir de la lista)</t>
      </text>
    </comment>
    <comment ref="M2148" authorId="0" shapeId="0">
      <text>
        <t>Elegir el instructor de la lista</t>
      </text>
    </comment>
    <comment ref="O2148" authorId="0" shapeId="0">
      <text>
        <t>Tipo de actividad (elegir de la lista)</t>
      </text>
    </comment>
    <comment ref="M2153" authorId="0" shapeId="0">
      <text>
        <t>Elegir el instructor de la lista</t>
      </text>
    </comment>
    <comment ref="O2153" authorId="0" shapeId="0">
      <text>
        <t>Tipo de actividad (elegir de la lista)</t>
      </text>
    </comment>
    <comment ref="M2158" authorId="0" shapeId="0">
      <text>
        <t>Elegir el instructor de la lista</t>
      </text>
    </comment>
    <comment ref="O2158" authorId="0" shapeId="0">
      <text>
        <t>Tipo de actividad (elegir de la lista)</t>
      </text>
    </comment>
    <comment ref="M2163" authorId="0" shapeId="0">
      <text>
        <t>Elegir el instructor de la lista</t>
      </text>
    </comment>
    <comment ref="O2163" authorId="0" shapeId="0">
      <text>
        <t>Tipo de actividad (elegir de la lista)</t>
      </text>
    </comment>
    <comment ref="M2168" authorId="0" shapeId="0">
      <text>
        <t>Elegir el instructor de la lista</t>
      </text>
    </comment>
    <comment ref="O2168" authorId="0" shapeId="0">
      <text>
        <t>Tipo de actividad (elegir de la lista)</t>
      </text>
    </comment>
    <comment ref="M2173" authorId="0" shapeId="0">
      <text>
        <t>Elegir el instructor de la lista</t>
      </text>
    </comment>
    <comment ref="O2173" authorId="0" shapeId="0">
      <text>
        <t>Tipo de actividad (elegir de la lista)</t>
      </text>
    </comment>
    <comment ref="M2178" authorId="0" shapeId="0">
      <text>
        <t>Elegir el instructor de la lista</t>
      </text>
    </comment>
    <comment ref="O2178" authorId="0" shapeId="0">
      <text>
        <t>Tipo de actividad (elegir de la lista)</t>
      </text>
    </comment>
    <comment ref="M2185" authorId="0" shapeId="0">
      <text>
        <t>Elegir el instructor de la lista</t>
      </text>
    </comment>
    <comment ref="O2185" authorId="0" shapeId="0">
      <text>
        <t>Tipo de actividad (elegir de la lista)</t>
      </text>
    </comment>
    <comment ref="M2190" authorId="0" shapeId="0">
      <text>
        <t>Elegir el instructor de la lista</t>
      </text>
    </comment>
    <comment ref="O2190" authorId="0" shapeId="0">
      <text>
        <t>Tipo de actividad (elegir de la lista)</t>
      </text>
    </comment>
    <comment ref="M2197" authorId="0" shapeId="0">
      <text>
        <t>Elegir el instructor de la lista</t>
      </text>
    </comment>
    <comment ref="O2197" authorId="0" shapeId="0">
      <text>
        <t>Tipo de actividad (elegir de la lista)</t>
      </text>
    </comment>
    <comment ref="M2202" authorId="0" shapeId="0">
      <text>
        <t>Elegir el instructor de la lista</t>
      </text>
    </comment>
    <comment ref="O2202" authorId="0" shapeId="0">
      <text>
        <t>Tipo de actividad (elegir de la lista)</t>
      </text>
    </comment>
    <comment ref="M2207" authorId="0" shapeId="0">
      <text>
        <t>Elegir el instructor de la lista</t>
      </text>
    </comment>
    <comment ref="O2207" authorId="0" shapeId="0">
      <text>
        <t>Tipo de actividad (elegir de la lista)</t>
      </text>
    </comment>
    <comment ref="M2212" authorId="0" shapeId="0">
      <text>
        <t>Elegir el instructor de la lista</t>
      </text>
    </comment>
    <comment ref="O2212" authorId="0" shapeId="0">
      <text>
        <t>Tipo de actividad (elegir de la lista)</t>
      </text>
    </comment>
    <comment ref="M2217" authorId="0" shapeId="0">
      <text>
        <t>Elegir el instructor de la lista</t>
      </text>
    </comment>
    <comment ref="O2217" authorId="0" shapeId="0">
      <text>
        <t>Tipo de actividad (elegir de la lista)</t>
      </text>
    </comment>
    <comment ref="M2222" authorId="0" shapeId="0">
      <text>
        <t>Elegir el instructor de la lista</t>
      </text>
    </comment>
    <comment ref="O2222" authorId="0" shapeId="0">
      <text>
        <t>Tipo de actividad (elegir de la lista)</t>
      </text>
    </comment>
    <comment ref="M2227" authorId="0" shapeId="0">
      <text>
        <t>Elegir el instructor de la lista</t>
      </text>
    </comment>
    <comment ref="O2227" authorId="0" shapeId="0">
      <text>
        <t>Tipo de actividad (elegir de la lista)</t>
      </text>
    </comment>
    <comment ref="M2234" authorId="0" shapeId="0">
      <text>
        <t>Elegir el instructor de la lista</t>
      </text>
    </comment>
    <comment ref="O2234" authorId="0" shapeId="0">
      <text>
        <t>Tipo de actividad (elegir de la lista)</t>
      </text>
    </comment>
    <comment ref="M2241" authorId="0" shapeId="0">
      <text>
        <t>Elegir el instructor de la lista</t>
      </text>
    </comment>
    <comment ref="O2241" authorId="0" shapeId="0">
      <text>
        <t>Tipo de actividad (elegir de la lista)</t>
      </text>
    </comment>
    <comment ref="M2246" authorId="0" shapeId="0">
      <text>
        <t>Elegir el instructor de la lista</t>
      </text>
    </comment>
    <comment ref="O2246" authorId="0" shapeId="0">
      <text>
        <t>Tipo de actividad (elegir de la lista)</t>
      </text>
    </comment>
    <comment ref="M2251" authorId="0" shapeId="0">
      <text>
        <t>Elegir el instructor de la lista</t>
      </text>
    </comment>
    <comment ref="O2251" authorId="0" shapeId="0">
      <text>
        <t>Tipo de actividad (elegir de la lista)</t>
      </text>
    </comment>
    <comment ref="M2258" authorId="0" shapeId="0">
      <text>
        <t>Elegir el instructor de la lista</t>
      </text>
    </comment>
    <comment ref="O2258" authorId="0" shapeId="0">
      <text>
        <t>Tipo de actividad (elegir de la lista)</t>
      </text>
    </comment>
    <comment ref="M2263" authorId="0" shapeId="0">
      <text>
        <t>Elegir el instructor de la lista</t>
      </text>
    </comment>
    <comment ref="O2263" authorId="0" shapeId="0">
      <text>
        <t>Tipo de actividad (elegir de la lista)</t>
      </text>
    </comment>
    <comment ref="M2270" authorId="0" shapeId="0">
      <text>
        <t>Elegir el instructor de la lista</t>
      </text>
    </comment>
    <comment ref="O2270" authorId="0" shapeId="0">
      <text>
        <t>Tipo de actividad (elegir de la lista)</t>
      </text>
    </comment>
    <comment ref="M2275" authorId="0" shapeId="0">
      <text>
        <t>Elegir el instructor de la lista</t>
      </text>
    </comment>
    <comment ref="O2275" authorId="0" shapeId="0">
      <text>
        <t>Tipo de actividad (elegir de la lista)</t>
      </text>
    </comment>
    <comment ref="M2280" authorId="0" shapeId="0">
      <text>
        <t>Elegir el instructor de la lista</t>
      </text>
    </comment>
    <comment ref="O2280" authorId="0" shapeId="0">
      <text>
        <t>Tipo de actividad (elegir de la lista)</t>
      </text>
    </comment>
    <comment ref="M2285" authorId="0" shapeId="0">
      <text>
        <t>Elegir el instructor de la lista</t>
      </text>
    </comment>
    <comment ref="O2285" authorId="0" shapeId="0">
      <text>
        <t>Tipo de actividad (elegir de la lista)</t>
      </text>
    </comment>
    <comment ref="M2290" authorId="0" shapeId="0">
      <text>
        <t>Elegir el instructor de la lista</t>
      </text>
    </comment>
    <comment ref="O2290" authorId="0" shapeId="0">
      <text>
        <t>Tipo de actividad (elegir de la lista)</t>
      </text>
    </comment>
    <comment ref="M2295" authorId="0" shapeId="0">
      <text>
        <t>Elegir el instructor de la lista</t>
      </text>
    </comment>
    <comment ref="O2295" authorId="0" shapeId="0">
      <text>
        <t>Tipo de actividad (elegir de la lista)</t>
      </text>
    </comment>
    <comment ref="M2300" authorId="0" shapeId="0">
      <text>
        <t>Elegir el instructor de la lista</t>
      </text>
    </comment>
    <comment ref="O2300" authorId="0" shapeId="0">
      <text>
        <t>Tipo de actividad (elegir de la lista)</t>
      </text>
    </comment>
    <comment ref="M2305" authorId="0" shapeId="0">
      <text>
        <t>Elegir el instructor de la lista</t>
      </text>
    </comment>
    <comment ref="O2305" authorId="0" shapeId="0">
      <text>
        <t>Tipo de actividad (elegir de la lista)</t>
      </text>
    </comment>
    <comment ref="M2310" authorId="0" shapeId="0">
      <text>
        <t>Elegir el instructor de la lista</t>
      </text>
    </comment>
    <comment ref="O2310" authorId="0" shapeId="0">
      <text>
        <t>Tipo de actividad (elegir de la lista)</t>
      </text>
    </comment>
    <comment ref="M2315" authorId="0" shapeId="0">
      <text>
        <t>Elegir el instructor de la lista</t>
      </text>
    </comment>
    <comment ref="O2315" authorId="0" shapeId="0">
      <text>
        <t>Tipo de actividad (elegir de la lista)</t>
      </text>
    </comment>
    <comment ref="M2320" authorId="0" shapeId="0">
      <text>
        <t>Elegir el instructor de la lista</t>
      </text>
    </comment>
    <comment ref="O2320" authorId="0" shapeId="0">
      <text>
        <t>Tipo de actividad (elegir de la lista)</t>
      </text>
    </comment>
    <comment ref="M2325" authorId="0" shapeId="0">
      <text>
        <t>Elegir el instructor de la lista</t>
      </text>
    </comment>
    <comment ref="O2325" authorId="0" shapeId="0">
      <text>
        <t>Tipo de actividad (elegir de la lista)</t>
      </text>
    </comment>
    <comment ref="M2330" authorId="0" shapeId="0">
      <text>
        <t>Elegir el instructor de la lista</t>
      </text>
    </comment>
    <comment ref="O2330" authorId="0" shapeId="0">
      <text>
        <t>Tipo de actividad (elegir de la lista)</t>
      </text>
    </comment>
    <comment ref="M2335" authorId="0" shapeId="0">
      <text>
        <t>Elegir el instructor de la lista</t>
      </text>
    </comment>
    <comment ref="O2335" authorId="0" shapeId="0">
      <text>
        <t>Tipo de actividad (elegir de la lista)</t>
      </text>
    </comment>
    <comment ref="M2340" authorId="0" shapeId="0">
      <text>
        <t>Elegir el instructor de la lista</t>
      </text>
    </comment>
    <comment ref="O2340" authorId="0" shapeId="0">
      <text>
        <t>Tipo de actividad (elegir de la lista)</t>
      </text>
    </comment>
    <comment ref="M2347" authorId="0" shapeId="0">
      <text>
        <t>Elegir el instructor de la lista</t>
      </text>
    </comment>
    <comment ref="O2347" authorId="0" shapeId="0">
      <text>
        <t>Tipo de actividad (elegir de la lista)</t>
      </text>
    </comment>
    <comment ref="M2352" authorId="0" shapeId="0">
      <text>
        <t>Elegir el instructor de la lista</t>
      </text>
    </comment>
    <comment ref="O2352" authorId="0" shapeId="0">
      <text>
        <t>Tipo de actividad (elegir de la lista)</t>
      </text>
    </comment>
    <comment ref="M2357" authorId="0" shapeId="0">
      <text>
        <t>Elegir el instructor de la lista</t>
      </text>
    </comment>
    <comment ref="O2357" authorId="0" shapeId="0">
      <text>
        <t>Tipo de actividad (elegir de la lista)</t>
      </text>
    </comment>
    <comment ref="M2362" authorId="0" shapeId="0">
      <text>
        <t>Elegir el instructor de la lista</t>
      </text>
    </comment>
    <comment ref="O2362" authorId="0" shapeId="0">
      <text>
        <t>Tipo de actividad (elegir de la lista)</t>
      </text>
    </comment>
    <comment ref="M2369" authorId="0" shapeId="0">
      <text>
        <t>Elegir el instructor de la lista</t>
      </text>
    </comment>
    <comment ref="O2369" authorId="0" shapeId="0">
      <text>
        <t>Tipo de actividad (elegir de la lista)</t>
      </text>
    </comment>
    <comment ref="M2374" authorId="0" shapeId="0">
      <text>
        <t>Elegir el instructor de la lista</t>
      </text>
    </comment>
    <comment ref="O2374" authorId="0" shapeId="0">
      <text>
        <t>Tipo de actividad (elegir de la lista)</t>
      </text>
    </comment>
    <comment ref="M2379" authorId="0" shapeId="0">
      <text>
        <t>Elegir el instructor de la lista</t>
      </text>
    </comment>
    <comment ref="O2379" authorId="0" shapeId="0">
      <text>
        <t>Tipo de actividad (elegir de la lista)</t>
      </text>
    </comment>
    <comment ref="M2384" authorId="0" shapeId="0">
      <text>
        <t>Elegir el instructor de la lista</t>
      </text>
    </comment>
    <comment ref="O2384" authorId="0" shapeId="0">
      <text>
        <t>Tipo de actividad (elegir de la lista)</t>
      </text>
    </comment>
    <comment ref="M2389" authorId="0" shapeId="0">
      <text>
        <t>Elegir el instructor de la lista</t>
      </text>
    </comment>
    <comment ref="O2389" authorId="0" shapeId="0">
      <text>
        <t>Tipo de actividad (elegir de la lista)</t>
      </text>
    </comment>
    <comment ref="M2394" authorId="0" shapeId="0">
      <text>
        <t>Elegir el instructor de la lista</t>
      </text>
    </comment>
    <comment ref="O2394" authorId="0" shapeId="0">
      <text>
        <t>Tipo de actividad (elegir de la lista)</t>
      </text>
    </comment>
    <comment ref="M2399" authorId="0" shapeId="0">
      <text>
        <t>Elegir el instructor de la lista</t>
      </text>
    </comment>
    <comment ref="O2399" authorId="0" shapeId="0">
      <text>
        <t>Tipo de actividad (elegir de la lista)</t>
      </text>
    </comment>
    <comment ref="M2404" authorId="0" shapeId="0">
      <text>
        <t>Elegir el instructor de la lista</t>
      </text>
    </comment>
    <comment ref="O2404" authorId="0" shapeId="0">
      <text>
        <t>Tipo de actividad (elegir de la lista)</t>
      </text>
    </comment>
    <comment ref="M2409" authorId="0" shapeId="0">
      <text>
        <t>Elegir el instructor de la lista</t>
      </text>
    </comment>
    <comment ref="O2409" authorId="0" shapeId="0">
      <text>
        <t>Tipo de actividad (elegir de la lista)</t>
      </text>
    </comment>
    <comment ref="M2414" authorId="0" shapeId="0">
      <text>
        <t>Elegir el instructor de la lista</t>
      </text>
    </comment>
    <comment ref="O2414" authorId="0" shapeId="0">
      <text>
        <t>Tipo de actividad (elegir de la lista)</t>
      </text>
    </comment>
    <comment ref="M2419" authorId="0" shapeId="0">
      <text>
        <t>Elegir el instructor de la lista</t>
      </text>
    </comment>
    <comment ref="O2419" authorId="0" shapeId="0">
      <text>
        <t>Tipo de actividad (elegir de la lista)</t>
      </text>
    </comment>
    <comment ref="M2424" authorId="0" shapeId="0">
      <text>
        <t>Elegir el instructor de la lista</t>
      </text>
    </comment>
    <comment ref="O2424" authorId="0" shapeId="0">
      <text>
        <t>Tipo de actividad (elegir de la lista)</t>
      </text>
    </comment>
    <comment ref="M2429" authorId="0" shapeId="0">
      <text>
        <t>Elegir el instructor de la lista</t>
      </text>
    </comment>
    <comment ref="O2429" authorId="0" shapeId="0">
      <text>
        <t>Tipo de actividad (elegir de la lista)</t>
      </text>
    </comment>
    <comment ref="M2434" authorId="0" shapeId="0">
      <text>
        <t>Elegir el instructor de la lista</t>
      </text>
    </comment>
    <comment ref="O2434" authorId="0" shapeId="0">
      <text>
        <t>Tipo de actividad (elegir de la lista)</t>
      </text>
    </comment>
    <comment ref="M2439" authorId="0" shapeId="0">
      <text>
        <t>Elegir el instructor de la lista</t>
      </text>
    </comment>
    <comment ref="O2439" authorId="0" shapeId="0">
      <text>
        <t>Tipo de actividad (elegir de la lista)</t>
      </text>
    </comment>
    <comment ref="M2444" authorId="0" shapeId="0">
      <text>
        <t>Elegir el instructor de la lista</t>
      </text>
    </comment>
    <comment ref="O2444" authorId="0" shapeId="0">
      <text>
        <t>Tipo de actividad (elegir de la lista)</t>
      </text>
    </comment>
    <comment ref="M2449" authorId="0" shapeId="0">
      <text>
        <t>Elegir el instructor de la lista</t>
      </text>
    </comment>
    <comment ref="O2449" authorId="0" shapeId="0">
      <text>
        <t>Tipo de actividad (elegir de la lista)</t>
      </text>
    </comment>
    <comment ref="M2454" authorId="0" shapeId="0">
      <text>
        <t>Elegir el instructor de la lista</t>
      </text>
    </comment>
    <comment ref="O2454" authorId="0" shapeId="0">
      <text>
        <t>Tipo de actividad (elegir de la lista)</t>
      </text>
    </comment>
    <comment ref="M2459" authorId="0" shapeId="0">
      <text>
        <t>Elegir el instructor de la lista</t>
      </text>
    </comment>
    <comment ref="O2459" authorId="0" shapeId="0">
      <text>
        <t>Tipo de actividad (elegir de la lista)</t>
      </text>
    </comment>
    <comment ref="M2464" authorId="0" shapeId="0">
      <text>
        <t>Elegir el instructor de la lista</t>
      </text>
    </comment>
    <comment ref="O2464" authorId="0" shapeId="0">
      <text>
        <t>Tipo de actividad (elegir de la lista)</t>
      </text>
    </comment>
    <comment ref="M2469" authorId="0" shapeId="0">
      <text>
        <t>Elegir el instructor de la lista</t>
      </text>
    </comment>
    <comment ref="O2469" authorId="0" shapeId="0">
      <text>
        <t>Tipo de actividad (elegir de la lista)</t>
      </text>
    </comment>
    <comment ref="M2474" authorId="0" shapeId="0">
      <text>
        <t>Elegir el instructor de la lista</t>
      </text>
    </comment>
    <comment ref="O2474" authorId="0" shapeId="0">
      <text>
        <t>Tipo de actividad (elegir de la lista)</t>
      </text>
    </comment>
    <comment ref="M2479" authorId="0" shapeId="0">
      <text>
        <t>Elegir el instructor de la lista</t>
      </text>
    </comment>
    <comment ref="O2479" authorId="0" shapeId="0">
      <text>
        <t>Tipo de actividad (elegir de la lista)</t>
      </text>
    </comment>
    <comment ref="M2484" authorId="0" shapeId="0">
      <text>
        <t>Elegir el instructor de la lista</t>
      </text>
    </comment>
    <comment ref="O2484" authorId="0" shapeId="0">
      <text>
        <t>Tipo de actividad (elegir de la lista)</t>
      </text>
    </comment>
    <comment ref="M2489" authorId="0" shapeId="0">
      <text>
        <t>Elegir el instructor de la lista</t>
      </text>
    </comment>
    <comment ref="O2489" authorId="0" shapeId="0">
      <text>
        <t>Tipo de actividad (elegir de la lista)</t>
      </text>
    </comment>
    <comment ref="M2494" authorId="0" shapeId="0">
      <text>
        <t>Elegir el instructor de la lista</t>
      </text>
    </comment>
    <comment ref="O2494" authorId="0" shapeId="0">
      <text>
        <t>Tipo de actividad (elegir de la lista)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1:X249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 customWidth="1" min="2" max="2"/>
    <col width="11" customWidth="1" min="3" max="3"/>
    <col width="9" customWidth="1" min="4" max="4"/>
    <col width="8" customWidth="1" min="5" max="5"/>
    <col width="7" customWidth="1" min="6" max="6"/>
    <col width="7" customWidth="1" min="7" max="7"/>
    <col width="9" customWidth="1" min="8" max="8"/>
    <col width="9" customWidth="1" min="9" max="9"/>
    <col width="9" customWidth="1" min="10" max="10"/>
    <col width="9" customWidth="1" min="11" max="11"/>
    <col width="8" customWidth="1" min="12" max="12"/>
    <col width="18" customWidth="1" min="13" max="13"/>
    <col width="3" customWidth="1" min="14" max="14"/>
    <col width="38" customWidth="1" min="15" max="15"/>
    <col width="3" customWidth="1" min="16" max="16"/>
    <col width="10" customWidth="1" min="17" max="17"/>
    <col width="11" customWidth="1" min="18" max="18"/>
    <col width="9" customWidth="1" min="19" max="19"/>
    <col width="12" customWidth="1" min="20" max="20"/>
    <col width="16" customWidth="1" min="21" max="21"/>
    <col width="18" customWidth="1" min="22" max="22"/>
    <col width="24" customWidth="1" min="23" max="23"/>
    <col width="9" customWidth="1" min="24" max="24"/>
  </cols>
  <sheetData>
    <row r="1">
      <c r="B1" s="1" t="inlineStr">
        <is>
          <t>Conexión &gt; o = a 50min y &lt; a 1hr y 30min</t>
        </is>
      </c>
      <c r="D1" s="2" t="inlineStr">
        <is>
          <t>NO CONSIDERAR TRU/JUL/JAE/AYP/JAU/IQT</t>
        </is>
      </c>
      <c r="H1" s="1" t="inlineStr">
        <is>
          <t>CONSIDERAR PAIRINGS PARTIDOS LCK A320</t>
        </is>
      </c>
      <c r="K1" s="1" t="inlineStr">
        <is>
          <t>Vuelos LCK = Siempre en Flota 320</t>
        </is>
      </c>
    </row>
    <row r="2">
      <c r="B2" s="1" t="inlineStr">
        <is>
          <t>Vuelos HBT mayor a 1 hora</t>
        </is>
      </c>
      <c r="D2" s="1" t="inlineStr">
        <is>
          <t>PSV NO MAYOR A 11 HRS</t>
        </is>
      </c>
      <c r="H2" s="1" t="inlineStr">
        <is>
          <t>CONSIDERAR SIEMPRE EL PDR</t>
        </is>
      </c>
      <c r="K2" s="1" t="inlineStr">
        <is>
          <t>Vuelos iniciando más de 08:30</t>
        </is>
      </c>
    </row>
    <row r="3">
      <c r="D3" s="2" t="inlineStr">
        <is>
          <t>NO REPETIR PAIRING EN LCK</t>
        </is>
      </c>
    </row>
    <row r="6">
      <c r="Q6" s="3" t="inlineStr">
        <is>
          <t>Pairing ID</t>
        </is>
      </c>
      <c r="R6" s="3" t="inlineStr">
        <is>
          <t>Fecha</t>
        </is>
      </c>
      <c r="S6" s="3" t="inlineStr">
        <is>
          <t>DíaSem</t>
        </is>
      </c>
      <c r="T6" s="3" t="inlineStr">
        <is>
          <t>Vuelo</t>
        </is>
      </c>
      <c r="U6" s="3" t="inlineStr">
        <is>
          <t>Ruta</t>
        </is>
      </c>
      <c r="V6" s="3" t="inlineStr">
        <is>
          <t>Instructor</t>
        </is>
      </c>
      <c r="W6" s="3" t="inlineStr">
        <is>
          <t>Actividad</t>
        </is>
      </c>
      <c r="X6" s="3" t="inlineStr">
        <is>
          <t>Sub Flota</t>
        </is>
      </c>
    </row>
    <row r="8">
      <c r="B8" s="3" t="inlineStr">
        <is>
          <t>Pairing ID</t>
        </is>
      </c>
      <c r="C8" s="3" t="inlineStr">
        <is>
          <t>FECHA REAL</t>
        </is>
      </c>
      <c r="D8" s="3" t="inlineStr">
        <is>
          <t>Day of Week</t>
        </is>
      </c>
      <c r="E8" s="3" t="inlineStr">
        <is>
          <t>Flight No</t>
        </is>
      </c>
      <c r="F8" s="3" t="inlineStr">
        <is>
          <t>Dep Stn</t>
        </is>
      </c>
      <c r="G8" s="3" t="inlineStr">
        <is>
          <t>Arr Stn</t>
        </is>
      </c>
      <c r="H8" s="3" t="inlineStr">
        <is>
          <t>STD</t>
        </is>
      </c>
      <c r="I8" s="3" t="inlineStr">
        <is>
          <t>STA</t>
        </is>
      </c>
      <c r="J8" s="3" t="inlineStr">
        <is>
          <t>subflota</t>
        </is>
      </c>
      <c r="K8" s="3" t="inlineStr">
        <is>
          <t>Conexion</t>
        </is>
      </c>
      <c r="L8" s="3" t="inlineStr">
        <is>
          <t>HBT</t>
        </is>
      </c>
    </row>
    <row r="9">
      <c r="B9" s="4" t="inlineStr">
        <is>
          <t>117_0</t>
        </is>
      </c>
      <c r="C9" s="4" t="inlineStr">
        <is>
          <t>01/09/2026</t>
        </is>
      </c>
      <c r="D9" s="4" t="inlineStr">
        <is>
          <t>martes</t>
        </is>
      </c>
      <c r="E9" s="4" t="inlineStr">
        <is>
          <t>2013</t>
        </is>
      </c>
      <c r="F9" s="4" t="inlineStr">
        <is>
          <t>LIM</t>
        </is>
      </c>
      <c r="G9" s="4" t="inlineStr">
        <is>
          <t>CUZ</t>
        </is>
      </c>
      <c r="H9" s="4" t="inlineStr">
        <is>
          <t>08:40:00</t>
        </is>
      </c>
      <c r="I9" s="4" t="inlineStr">
        <is>
          <t>10:00:00</t>
        </is>
      </c>
      <c r="J9" s="4" t="inlineStr">
        <is>
          <t>320</t>
        </is>
      </c>
      <c r="L9" s="4" t="inlineStr">
        <is>
          <t>01:20:00</t>
        </is>
      </c>
      <c r="M9" s="5" t="n"/>
      <c r="O9" s="5" t="n"/>
      <c r="Q9" s="4">
        <f>B9</f>
        <v/>
      </c>
      <c r="R9" s="4">
        <f>C9</f>
        <v/>
      </c>
      <c r="S9" s="4">
        <f>D9</f>
        <v/>
      </c>
      <c r="T9" s="4">
        <f>E9&amp;"/"&amp;E10</f>
        <v/>
      </c>
      <c r="U9" s="4">
        <f>F9&amp;"-"&amp;G9&amp;"-"&amp;F9</f>
        <v/>
      </c>
      <c r="V9" s="4">
        <f>IF($M$9="","",$M$9)</f>
        <v/>
      </c>
      <c r="W9" s="4">
        <f>IF($O$9="","",$O$9)</f>
        <v/>
      </c>
      <c r="X9" s="4">
        <f>J9</f>
        <v/>
      </c>
    </row>
    <row r="10">
      <c r="B10" s="4" t="inlineStr">
        <is>
          <t>117_0</t>
        </is>
      </c>
      <c r="C10" s="4" t="inlineStr">
        <is>
          <t>01/09/2026</t>
        </is>
      </c>
      <c r="D10" s="4" t="inlineStr">
        <is>
          <t>martes</t>
        </is>
      </c>
      <c r="E10" s="4" t="inlineStr">
        <is>
          <t>2014</t>
        </is>
      </c>
      <c r="F10" s="4" t="inlineStr">
        <is>
          <t>CUZ</t>
        </is>
      </c>
      <c r="G10" s="4" t="inlineStr">
        <is>
          <t>LIM</t>
        </is>
      </c>
      <c r="H10" s="4" t="inlineStr">
        <is>
          <t>10:40:00</t>
        </is>
      </c>
      <c r="I10" s="4" t="inlineStr">
        <is>
          <t>12:15:00</t>
        </is>
      </c>
      <c r="J10" s="4" t="inlineStr">
        <is>
          <t>320</t>
        </is>
      </c>
      <c r="K10">
        <f>TEXT(TIMEVALUE(H10)-TIMEVALUE(I9)+(TIMEVALUE(H10)&lt;TIMEVALUE(I9)),"[h]:mm")</f>
        <v/>
      </c>
      <c r="L10" s="4" t="inlineStr">
        <is>
          <t>01:35:00</t>
        </is>
      </c>
      <c r="O10">
        <f>"LIM-"&amp;G9&amp;"-LIM   LA "&amp;E9&amp;" ("&amp;LEFT(H9,5)&amp;"-"&amp;LEFT(I9,5)&amp;" hrs)  /  LA "&amp;E10&amp;" ("&amp;LEFT(H10,5)&amp;"-"&amp;LEFT(I10,5)&amp;" hrs)"</f>
        <v/>
      </c>
    </row>
    <row r="11">
      <c r="B11" s="4" t="inlineStr">
        <is>
          <t>139_0</t>
        </is>
      </c>
      <c r="C11" s="4" t="inlineStr">
        <is>
          <t>01/09/2026</t>
        </is>
      </c>
      <c r="D11" s="4" t="inlineStr">
        <is>
          <t>martes</t>
        </is>
      </c>
      <c r="E11" s="4" t="inlineStr">
        <is>
          <t>2028</t>
        </is>
      </c>
      <c r="F11" s="4" t="inlineStr">
        <is>
          <t>LIM</t>
        </is>
      </c>
      <c r="G11" s="4" t="inlineStr">
        <is>
          <t>CUZ</t>
        </is>
      </c>
      <c r="H11" s="4" t="inlineStr">
        <is>
          <t>13:25:00</t>
        </is>
      </c>
      <c r="I11" s="4" t="inlineStr">
        <is>
          <t>14:45:00</t>
        </is>
      </c>
      <c r="J11" s="4" t="inlineStr">
        <is>
          <t>320</t>
        </is>
      </c>
      <c r="K11" s="6">
        <f>TEXT(TIMEVALUE(H11)-TIMEVALUE(I10)+(TIMEVALUE(H11)&lt;TIMEVALUE(I10)),"[h]:mm")</f>
        <v/>
      </c>
      <c r="L11" s="4" t="inlineStr">
        <is>
          <t>01:20:00</t>
        </is>
      </c>
      <c r="M11">
        <f>IF($M$9="","",$M$9)</f>
        <v/>
      </c>
      <c r="O11">
        <f>IF($O$9="","",$O$9)</f>
        <v/>
      </c>
      <c r="Q11" s="4">
        <f>B11</f>
        <v/>
      </c>
      <c r="R11" s="4">
        <f>C11</f>
        <v/>
      </c>
      <c r="S11" s="4">
        <f>D11</f>
        <v/>
      </c>
      <c r="T11" s="4">
        <f>E11&amp;"/"&amp;E12</f>
        <v/>
      </c>
      <c r="U11" s="4">
        <f>F11&amp;"-"&amp;G11&amp;"-"&amp;F11</f>
        <v/>
      </c>
      <c r="V11" s="4">
        <f>IF($M$9="","",$M$9)</f>
        <v/>
      </c>
      <c r="W11" s="4">
        <f>IF($O$9="","",$O$9)</f>
        <v/>
      </c>
      <c r="X11" s="4">
        <f>J11</f>
        <v/>
      </c>
    </row>
    <row r="12">
      <c r="B12" s="4" t="inlineStr">
        <is>
          <t>139_0</t>
        </is>
      </c>
      <c r="C12" s="4" t="inlineStr">
        <is>
          <t>01/09/2026</t>
        </is>
      </c>
      <c r="D12" s="4" t="inlineStr">
        <is>
          <t>martes</t>
        </is>
      </c>
      <c r="E12" s="4" t="inlineStr">
        <is>
          <t>2029</t>
        </is>
      </c>
      <c r="F12" s="4" t="inlineStr">
        <is>
          <t>CUZ</t>
        </is>
      </c>
      <c r="G12" s="4" t="inlineStr">
        <is>
          <t>LIM</t>
        </is>
      </c>
      <c r="H12" s="4" t="inlineStr">
        <is>
          <t>15:30:00</t>
        </is>
      </c>
      <c r="I12" s="4" t="inlineStr">
        <is>
          <t>17:05:00</t>
        </is>
      </c>
      <c r="J12" s="4" t="inlineStr">
        <is>
          <t>320</t>
        </is>
      </c>
      <c r="K12">
        <f>TEXT(TIMEVALUE(H12)-TIMEVALUE(I11)+(TIMEVALUE(H12)&lt;TIMEVALUE(I11)),"[h]:mm")</f>
        <v/>
      </c>
      <c r="L12" s="4" t="inlineStr">
        <is>
          <t>01:35:00</t>
        </is>
      </c>
      <c r="O12">
        <f>"LIM-"&amp;G11&amp;"-LIM   LA "&amp;E11&amp;" ("&amp;LEFT(H11,5)&amp;"-"&amp;LEFT(I11,5)&amp;" hrs)  /  LA "&amp;E12&amp;" ("&amp;LEFT(H12,5)&amp;"-"&amp;LEFT(I12,5)&amp;" hrs)"</f>
        <v/>
      </c>
    </row>
    <row r="13">
      <c r="J13" s="7" t="inlineStr">
        <is>
          <t>PSV total:</t>
        </is>
      </c>
      <c r="K13" s="8">
        <f>TEXT(TIMEVALUE(I12)-TIMEVALUE(H9)+(I12&lt;H9),"[h]:mm")</f>
        <v/>
      </c>
    </row>
    <row r="15">
      <c r="B15" s="3" t="inlineStr">
        <is>
          <t>Pairing ID</t>
        </is>
      </c>
      <c r="C15" s="3" t="inlineStr">
        <is>
          <t>FECHA REAL</t>
        </is>
      </c>
      <c r="D15" s="3" t="inlineStr">
        <is>
          <t>Day of Week</t>
        </is>
      </c>
      <c r="E15" s="3" t="inlineStr">
        <is>
          <t>Flight No</t>
        </is>
      </c>
      <c r="F15" s="3" t="inlineStr">
        <is>
          <t>Dep Stn</t>
        </is>
      </c>
      <c r="G15" s="3" t="inlineStr">
        <is>
          <t>Arr Stn</t>
        </is>
      </c>
      <c r="H15" s="3" t="inlineStr">
        <is>
          <t>STD</t>
        </is>
      </c>
      <c r="I15" s="3" t="inlineStr">
        <is>
          <t>STA</t>
        </is>
      </c>
      <c r="J15" s="3" t="inlineStr">
        <is>
          <t>subflota</t>
        </is>
      </c>
      <c r="K15" s="3" t="inlineStr">
        <is>
          <t>Conexion</t>
        </is>
      </c>
      <c r="L15" s="3" t="inlineStr">
        <is>
          <t>HBT</t>
        </is>
      </c>
    </row>
    <row r="16">
      <c r="B16" s="4" t="inlineStr">
        <is>
          <t>128_0</t>
        </is>
      </c>
      <c r="C16" s="4" t="inlineStr">
        <is>
          <t>01/09/2026</t>
        </is>
      </c>
      <c r="D16" s="4" t="inlineStr">
        <is>
          <t>martes</t>
        </is>
      </c>
      <c r="E16" s="4" t="inlineStr">
        <is>
          <t>2299</t>
        </is>
      </c>
      <c r="F16" s="4" t="inlineStr">
        <is>
          <t>LIM</t>
        </is>
      </c>
      <c r="G16" s="4" t="inlineStr">
        <is>
          <t>CJA</t>
        </is>
      </c>
      <c r="H16" s="4" t="inlineStr">
        <is>
          <t>11:35:00</t>
        </is>
      </c>
      <c r="I16" s="4" t="inlineStr">
        <is>
          <t>12:55:00</t>
        </is>
      </c>
      <c r="J16" s="4" t="inlineStr">
        <is>
          <t>320</t>
        </is>
      </c>
      <c r="L16" s="4" t="inlineStr">
        <is>
          <t>01:20:00</t>
        </is>
      </c>
      <c r="M16" s="5" t="n"/>
      <c r="O16" s="5" t="n"/>
      <c r="Q16" s="4">
        <f>B16</f>
        <v/>
      </c>
      <c r="R16" s="4">
        <f>C16</f>
        <v/>
      </c>
      <c r="S16" s="4">
        <f>D16</f>
        <v/>
      </c>
      <c r="T16" s="4">
        <f>E16&amp;"/"&amp;E17</f>
        <v/>
      </c>
      <c r="U16" s="4">
        <f>F16&amp;"-"&amp;G16&amp;"-"&amp;F16</f>
        <v/>
      </c>
      <c r="V16" s="4">
        <f>IF($M$16="","",$M$16)</f>
        <v/>
      </c>
      <c r="W16" s="4">
        <f>IF($O$16="","",$O$16)</f>
        <v/>
      </c>
      <c r="X16" s="4">
        <f>J16</f>
        <v/>
      </c>
    </row>
    <row r="17">
      <c r="B17" s="4" t="inlineStr">
        <is>
          <t>128_0</t>
        </is>
      </c>
      <c r="C17" s="4" t="inlineStr">
        <is>
          <t>01/09/2026</t>
        </is>
      </c>
      <c r="D17" s="4" t="inlineStr">
        <is>
          <t>martes</t>
        </is>
      </c>
      <c r="E17" s="4" t="inlineStr">
        <is>
          <t>2298</t>
        </is>
      </c>
      <c r="F17" s="4" t="inlineStr">
        <is>
          <t>CJA</t>
        </is>
      </c>
      <c r="G17" s="4" t="inlineStr">
        <is>
          <t>LIM</t>
        </is>
      </c>
      <c r="H17" s="4" t="inlineStr">
        <is>
          <t>13:40:00</t>
        </is>
      </c>
      <c r="I17" s="4" t="inlineStr">
        <is>
          <t>14:50:00</t>
        </is>
      </c>
      <c r="J17" s="4" t="inlineStr">
        <is>
          <t>320</t>
        </is>
      </c>
      <c r="K17">
        <f>TEXT(TIMEVALUE(H17)-TIMEVALUE(I16)+(TIMEVALUE(H17)&lt;TIMEVALUE(I16)),"[h]:mm")</f>
        <v/>
      </c>
      <c r="L17" s="4" t="inlineStr">
        <is>
          <t>01:10:00</t>
        </is>
      </c>
      <c r="O17">
        <f>"LIM-"&amp;G16&amp;"-LIM   LA "&amp;E16&amp;" ("&amp;LEFT(H16,5)&amp;"-"&amp;LEFT(I16,5)&amp;" hrs)  /  LA "&amp;E17&amp;" ("&amp;LEFT(H17,5)&amp;"-"&amp;LEFT(I17,5)&amp;" hrs)"</f>
        <v/>
      </c>
    </row>
    <row r="18">
      <c r="J18" s="7" t="inlineStr">
        <is>
          <t>PSV total:</t>
        </is>
      </c>
      <c r="K18" s="8">
        <f>TEXT(TIMEVALUE(I17)-TIMEVALUE(H16)+(I17&lt;H16),"[h]:mm")</f>
        <v/>
      </c>
    </row>
    <row r="20">
      <c r="B20" s="3" t="inlineStr">
        <is>
          <t>Pairing ID</t>
        </is>
      </c>
      <c r="C20" s="3" t="inlineStr">
        <is>
          <t>FECHA REAL</t>
        </is>
      </c>
      <c r="D20" s="3" t="inlineStr">
        <is>
          <t>Day of Week</t>
        </is>
      </c>
      <c r="E20" s="3" t="inlineStr">
        <is>
          <t>Flight No</t>
        </is>
      </c>
      <c r="F20" s="3" t="inlineStr">
        <is>
          <t>Dep Stn</t>
        </is>
      </c>
      <c r="G20" s="3" t="inlineStr">
        <is>
          <t>Arr Stn</t>
        </is>
      </c>
      <c r="H20" s="3" t="inlineStr">
        <is>
          <t>STD</t>
        </is>
      </c>
      <c r="I20" s="3" t="inlineStr">
        <is>
          <t>STA</t>
        </is>
      </c>
      <c r="J20" s="3" t="inlineStr">
        <is>
          <t>subflota</t>
        </is>
      </c>
      <c r="K20" s="3" t="inlineStr">
        <is>
          <t>Conexion</t>
        </is>
      </c>
      <c r="L20" s="3" t="inlineStr">
        <is>
          <t>HBT</t>
        </is>
      </c>
    </row>
    <row r="21">
      <c r="B21" s="4" t="inlineStr">
        <is>
          <t>133_0</t>
        </is>
      </c>
      <c r="C21" s="4" t="inlineStr">
        <is>
          <t>01/09/2026</t>
        </is>
      </c>
      <c r="D21" s="4" t="inlineStr">
        <is>
          <t>martes</t>
        </is>
      </c>
      <c r="E21" s="4" t="inlineStr">
        <is>
          <t>2023</t>
        </is>
      </c>
      <c r="F21" s="4" t="inlineStr">
        <is>
          <t>LIM</t>
        </is>
      </c>
      <c r="G21" s="4" t="inlineStr">
        <is>
          <t>PEM</t>
        </is>
      </c>
      <c r="H21" s="4" t="inlineStr">
        <is>
          <t>12:15:00</t>
        </is>
      </c>
      <c r="I21" s="4" t="inlineStr">
        <is>
          <t>13:55:00</t>
        </is>
      </c>
      <c r="J21" s="4" t="inlineStr">
        <is>
          <t>320</t>
        </is>
      </c>
      <c r="L21" s="4" t="inlineStr">
        <is>
          <t>01:40:00</t>
        </is>
      </c>
      <c r="M21" s="5" t="n"/>
      <c r="O21" s="5" t="n"/>
      <c r="Q21" s="4">
        <f>B21</f>
        <v/>
      </c>
      <c r="R21" s="4">
        <f>C21</f>
        <v/>
      </c>
      <c r="S21" s="4">
        <f>D21</f>
        <v/>
      </c>
      <c r="T21" s="4">
        <f>E21&amp;"/"&amp;E22</f>
        <v/>
      </c>
      <c r="U21" s="4">
        <f>F21&amp;"-"&amp;G21&amp;"-"&amp;F21</f>
        <v/>
      </c>
      <c r="V21" s="4">
        <f>IF($M$21="","",$M$21)</f>
        <v/>
      </c>
      <c r="W21" s="4">
        <f>IF($O$21="","",$O$21)</f>
        <v/>
      </c>
      <c r="X21" s="4">
        <f>J21</f>
        <v/>
      </c>
    </row>
    <row r="22">
      <c r="B22" s="4" t="inlineStr">
        <is>
          <t>133_0</t>
        </is>
      </c>
      <c r="C22" s="4" t="inlineStr">
        <is>
          <t>01/09/2026</t>
        </is>
      </c>
      <c r="D22" s="4" t="inlineStr">
        <is>
          <t>martes</t>
        </is>
      </c>
      <c r="E22" s="4" t="inlineStr">
        <is>
          <t>2024</t>
        </is>
      </c>
      <c r="F22" s="4" t="inlineStr">
        <is>
          <t>PEM</t>
        </is>
      </c>
      <c r="G22" s="4" t="inlineStr">
        <is>
          <t>LIM</t>
        </is>
      </c>
      <c r="H22" s="4" t="inlineStr">
        <is>
          <t>14:35:00</t>
        </is>
      </c>
      <c r="I22" s="4" t="inlineStr">
        <is>
          <t>16:10:00</t>
        </is>
      </c>
      <c r="J22" s="4" t="inlineStr">
        <is>
          <t>320</t>
        </is>
      </c>
      <c r="K22">
        <f>TEXT(TIMEVALUE(H22)-TIMEVALUE(I21)+(TIMEVALUE(H22)&lt;TIMEVALUE(I21)),"[h]:mm")</f>
        <v/>
      </c>
      <c r="L22" s="4" t="inlineStr">
        <is>
          <t>01:35:00</t>
        </is>
      </c>
      <c r="O22">
        <f>"LIM-"&amp;G21&amp;"-LIM   LA "&amp;E21&amp;" ("&amp;LEFT(H21,5)&amp;"-"&amp;LEFT(I21,5)&amp;" hrs)  /  LA "&amp;E22&amp;" ("&amp;LEFT(H22,5)&amp;"-"&amp;LEFT(I22,5)&amp;" hrs)"</f>
        <v/>
      </c>
    </row>
    <row r="23">
      <c r="B23" s="4" t="inlineStr">
        <is>
          <t>156_0</t>
        </is>
      </c>
      <c r="C23" s="4" t="inlineStr">
        <is>
          <t>01/09/2026</t>
        </is>
      </c>
      <c r="D23" s="4" t="inlineStr">
        <is>
          <t>martes</t>
        </is>
      </c>
      <c r="E23" s="4" t="inlineStr">
        <is>
          <t>2213</t>
        </is>
      </c>
      <c r="F23" s="4" t="inlineStr">
        <is>
          <t>LIM</t>
        </is>
      </c>
      <c r="G23" s="4" t="inlineStr">
        <is>
          <t>CIX</t>
        </is>
      </c>
      <c r="H23" s="4" t="inlineStr">
        <is>
          <t>17:20:00</t>
        </is>
      </c>
      <c r="I23" s="4" t="inlineStr">
        <is>
          <t>18:50:00</t>
        </is>
      </c>
      <c r="J23" s="4" t="inlineStr">
        <is>
          <t>320</t>
        </is>
      </c>
      <c r="K23" s="6">
        <f>TEXT(TIMEVALUE(H23)-TIMEVALUE(I22)+(TIMEVALUE(H23)&lt;TIMEVALUE(I22)),"[h]:mm")</f>
        <v/>
      </c>
      <c r="L23" s="4" t="inlineStr">
        <is>
          <t>01:30:00</t>
        </is>
      </c>
      <c r="M23">
        <f>IF($M$21="","",$M$21)</f>
        <v/>
      </c>
      <c r="O23">
        <f>IF($O$21="","",$O$21)</f>
        <v/>
      </c>
      <c r="Q23" s="4">
        <f>B23</f>
        <v/>
      </c>
      <c r="R23" s="4">
        <f>C23</f>
        <v/>
      </c>
      <c r="S23" s="4">
        <f>D23</f>
        <v/>
      </c>
      <c r="T23" s="4">
        <f>E23&amp;"/"&amp;E24</f>
        <v/>
      </c>
      <c r="U23" s="4">
        <f>F23&amp;"-"&amp;G23&amp;"-"&amp;F23</f>
        <v/>
      </c>
      <c r="V23" s="4">
        <f>IF($M$21="","",$M$21)</f>
        <v/>
      </c>
      <c r="W23" s="4">
        <f>IF($O$21="","",$O$21)</f>
        <v/>
      </c>
      <c r="X23" s="4">
        <f>J23</f>
        <v/>
      </c>
    </row>
    <row r="24">
      <c r="B24" s="4" t="inlineStr">
        <is>
          <t>156_0</t>
        </is>
      </c>
      <c r="C24" s="4" t="inlineStr">
        <is>
          <t>01/09/2026</t>
        </is>
      </c>
      <c r="D24" s="4" t="inlineStr">
        <is>
          <t>martes</t>
        </is>
      </c>
      <c r="E24" s="4" t="inlineStr">
        <is>
          <t>2214</t>
        </is>
      </c>
      <c r="F24" s="4" t="inlineStr">
        <is>
          <t>CIX</t>
        </is>
      </c>
      <c r="G24" s="4" t="inlineStr">
        <is>
          <t>LIM</t>
        </is>
      </c>
      <c r="H24" s="4" t="inlineStr">
        <is>
          <t>19:25:00</t>
        </is>
      </c>
      <c r="I24" s="4" t="inlineStr">
        <is>
          <t>20:40:00</t>
        </is>
      </c>
      <c r="J24" s="4" t="inlineStr">
        <is>
          <t>320</t>
        </is>
      </c>
      <c r="K24">
        <f>TEXT(TIMEVALUE(H24)-TIMEVALUE(I23)+(TIMEVALUE(H24)&lt;TIMEVALUE(I23)),"[h]:mm")</f>
        <v/>
      </c>
      <c r="L24" s="4" t="inlineStr">
        <is>
          <t>01:15:00</t>
        </is>
      </c>
      <c r="O24">
        <f>"LIM-"&amp;G23&amp;"-LIM   LA "&amp;E23&amp;" ("&amp;LEFT(H23,5)&amp;"-"&amp;LEFT(I23,5)&amp;" hrs)  /  LA "&amp;E24&amp;" ("&amp;LEFT(H24,5)&amp;"-"&amp;LEFT(I24,5)&amp;" hrs)"</f>
        <v/>
      </c>
    </row>
    <row r="25">
      <c r="J25" s="7" t="inlineStr">
        <is>
          <t>PSV total:</t>
        </is>
      </c>
      <c r="K25" s="8">
        <f>TEXT(TIMEVALUE(I24)-TIMEVALUE(H21)+(I24&lt;H21),"[h]:mm")</f>
        <v/>
      </c>
    </row>
    <row r="27">
      <c r="B27" s="3" t="inlineStr">
        <is>
          <t>Pairing ID</t>
        </is>
      </c>
      <c r="C27" s="3" t="inlineStr">
        <is>
          <t>FECHA REAL</t>
        </is>
      </c>
      <c r="D27" s="3" t="inlineStr">
        <is>
          <t>Day of Week</t>
        </is>
      </c>
      <c r="E27" s="3" t="inlineStr">
        <is>
          <t>Flight No</t>
        </is>
      </c>
      <c r="F27" s="3" t="inlineStr">
        <is>
          <t>Dep Stn</t>
        </is>
      </c>
      <c r="G27" s="3" t="inlineStr">
        <is>
          <t>Arr Stn</t>
        </is>
      </c>
      <c r="H27" s="3" t="inlineStr">
        <is>
          <t>STD</t>
        </is>
      </c>
      <c r="I27" s="3" t="inlineStr">
        <is>
          <t>STA</t>
        </is>
      </c>
      <c r="J27" s="3" t="inlineStr">
        <is>
          <t>subflota</t>
        </is>
      </c>
      <c r="K27" s="3" t="inlineStr">
        <is>
          <t>Conexion</t>
        </is>
      </c>
      <c r="L27" s="3" t="inlineStr">
        <is>
          <t>HBT</t>
        </is>
      </c>
    </row>
    <row r="28">
      <c r="B28" s="4" t="inlineStr">
        <is>
          <t>141_0</t>
        </is>
      </c>
      <c r="C28" s="4" t="inlineStr">
        <is>
          <t>01/09/2026</t>
        </is>
      </c>
      <c r="D28" s="4" t="inlineStr">
        <is>
          <t>martes</t>
        </is>
      </c>
      <c r="E28" s="4" t="inlineStr">
        <is>
          <t>2067</t>
        </is>
      </c>
      <c r="F28" s="4" t="inlineStr">
        <is>
          <t>LIM</t>
        </is>
      </c>
      <c r="G28" s="4" t="inlineStr">
        <is>
          <t>TCQ</t>
        </is>
      </c>
      <c r="H28" s="4" t="inlineStr">
        <is>
          <t>13:45:00</t>
        </is>
      </c>
      <c r="I28" s="4" t="inlineStr">
        <is>
          <t>15:35:00</t>
        </is>
      </c>
      <c r="J28" s="4" t="inlineStr">
        <is>
          <t>320</t>
        </is>
      </c>
      <c r="L28" s="4" t="inlineStr">
        <is>
          <t>01:50:00</t>
        </is>
      </c>
      <c r="M28" s="5" t="n"/>
      <c r="O28" s="5" t="n"/>
      <c r="Q28" s="4">
        <f>B28</f>
        <v/>
      </c>
      <c r="R28" s="4">
        <f>C28</f>
        <v/>
      </c>
      <c r="S28" s="4">
        <f>D28</f>
        <v/>
      </c>
      <c r="T28" s="4">
        <f>E28&amp;"/"&amp;E29</f>
        <v/>
      </c>
      <c r="U28" s="4">
        <f>F28&amp;"-"&amp;G28&amp;"-"&amp;F28</f>
        <v/>
      </c>
      <c r="V28" s="4">
        <f>IF($M$28="","",$M$28)</f>
        <v/>
      </c>
      <c r="W28" s="4">
        <f>IF($O$28="","",$O$28)</f>
        <v/>
      </c>
      <c r="X28" s="4">
        <f>J28</f>
        <v/>
      </c>
    </row>
    <row r="29">
      <c r="B29" s="4" t="inlineStr">
        <is>
          <t>141_0</t>
        </is>
      </c>
      <c r="C29" s="4" t="inlineStr">
        <is>
          <t>01/09/2026</t>
        </is>
      </c>
      <c r="D29" s="4" t="inlineStr">
        <is>
          <t>martes</t>
        </is>
      </c>
      <c r="E29" s="4" t="inlineStr">
        <is>
          <t>2068</t>
        </is>
      </c>
      <c r="F29" s="4" t="inlineStr">
        <is>
          <t>TCQ</t>
        </is>
      </c>
      <c r="G29" s="4" t="inlineStr">
        <is>
          <t>LIM</t>
        </is>
      </c>
      <c r="H29" s="4" t="inlineStr">
        <is>
          <t>16:20:00</t>
        </is>
      </c>
      <c r="I29" s="4" t="inlineStr">
        <is>
          <t>18:15:00</t>
        </is>
      </c>
      <c r="J29" s="4" t="inlineStr">
        <is>
          <t>320</t>
        </is>
      </c>
      <c r="K29">
        <f>TEXT(TIMEVALUE(H29)-TIMEVALUE(I28)+(TIMEVALUE(H29)&lt;TIMEVALUE(I28)),"[h]:mm")</f>
        <v/>
      </c>
      <c r="L29" s="4" t="inlineStr">
        <is>
          <t>01:55:00</t>
        </is>
      </c>
      <c r="O29">
        <f>"LIM-"&amp;G28&amp;"-LIM   LA "&amp;E28&amp;" ("&amp;LEFT(H28,5)&amp;"-"&amp;LEFT(I28,5)&amp;" hrs)  /  LA "&amp;E29&amp;" ("&amp;LEFT(H29,5)&amp;"-"&amp;LEFT(I29,5)&amp;" hrs)"</f>
        <v/>
      </c>
    </row>
    <row r="30">
      <c r="J30" s="7" t="inlineStr">
        <is>
          <t>PSV total:</t>
        </is>
      </c>
      <c r="K30" s="8">
        <f>TEXT(TIMEVALUE(I29)-TIMEVALUE(H28)+(I29&lt;H28),"[h]:mm")</f>
        <v/>
      </c>
    </row>
    <row r="32">
      <c r="B32" s="3" t="inlineStr">
        <is>
          <t>Pairing ID</t>
        </is>
      </c>
      <c r="C32" s="3" t="inlineStr">
        <is>
          <t>FECHA REAL</t>
        </is>
      </c>
      <c r="D32" s="3" t="inlineStr">
        <is>
          <t>Day of Week</t>
        </is>
      </c>
      <c r="E32" s="3" t="inlineStr">
        <is>
          <t>Flight No</t>
        </is>
      </c>
      <c r="F32" s="3" t="inlineStr">
        <is>
          <t>Dep Stn</t>
        </is>
      </c>
      <c r="G32" s="3" t="inlineStr">
        <is>
          <t>Arr Stn</t>
        </is>
      </c>
      <c r="H32" s="3" t="inlineStr">
        <is>
          <t>STD</t>
        </is>
      </c>
      <c r="I32" s="3" t="inlineStr">
        <is>
          <t>STA</t>
        </is>
      </c>
      <c r="J32" s="3" t="inlineStr">
        <is>
          <t>subflota</t>
        </is>
      </c>
      <c r="K32" s="3" t="inlineStr">
        <is>
          <t>Conexion</t>
        </is>
      </c>
      <c r="L32" s="3" t="inlineStr">
        <is>
          <t>HBT</t>
        </is>
      </c>
    </row>
    <row r="33">
      <c r="B33" s="4" t="inlineStr">
        <is>
          <t>142_0</t>
        </is>
      </c>
      <c r="C33" s="4" t="inlineStr">
        <is>
          <t>01/09/2026</t>
        </is>
      </c>
      <c r="D33" s="4" t="inlineStr">
        <is>
          <t>martes</t>
        </is>
      </c>
      <c r="E33" s="4" t="inlineStr">
        <is>
          <t>2295</t>
        </is>
      </c>
      <c r="F33" s="4" t="inlineStr">
        <is>
          <t>LIM</t>
        </is>
      </c>
      <c r="G33" s="4" t="inlineStr">
        <is>
          <t>CJA</t>
        </is>
      </c>
      <c r="H33" s="4" t="inlineStr">
        <is>
          <t>14:10:00</t>
        </is>
      </c>
      <c r="I33" s="4" t="inlineStr">
        <is>
          <t>15:30:00</t>
        </is>
      </c>
      <c r="J33" s="4" t="inlineStr">
        <is>
          <t>320</t>
        </is>
      </c>
      <c r="L33" s="4" t="inlineStr">
        <is>
          <t>01:20:00</t>
        </is>
      </c>
      <c r="M33" s="5" t="n"/>
      <c r="O33" s="5" t="n"/>
      <c r="Q33" s="4">
        <f>B33</f>
        <v/>
      </c>
      <c r="R33" s="4">
        <f>C33</f>
        <v/>
      </c>
      <c r="S33" s="4">
        <f>D33</f>
        <v/>
      </c>
      <c r="T33" s="4">
        <f>E33&amp;"/"&amp;E34</f>
        <v/>
      </c>
      <c r="U33" s="4">
        <f>F33&amp;"-"&amp;G33&amp;"-"&amp;F33</f>
        <v/>
      </c>
      <c r="V33" s="4">
        <f>IF($M$33="","",$M$33)</f>
        <v/>
      </c>
      <c r="W33" s="4">
        <f>IF($O$33="","",$O$33)</f>
        <v/>
      </c>
      <c r="X33" s="4">
        <f>J33</f>
        <v/>
      </c>
    </row>
    <row r="34">
      <c r="B34" s="4" t="inlineStr">
        <is>
          <t>142_0</t>
        </is>
      </c>
      <c r="C34" s="4" t="inlineStr">
        <is>
          <t>01/09/2026</t>
        </is>
      </c>
      <c r="D34" s="4" t="inlineStr">
        <is>
          <t>martes</t>
        </is>
      </c>
      <c r="E34" s="4" t="inlineStr">
        <is>
          <t>2294</t>
        </is>
      </c>
      <c r="F34" s="4" t="inlineStr">
        <is>
          <t>CJA</t>
        </is>
      </c>
      <c r="G34" s="4" t="inlineStr">
        <is>
          <t>LIM</t>
        </is>
      </c>
      <c r="H34" s="4" t="inlineStr">
        <is>
          <t>16:10:00</t>
        </is>
      </c>
      <c r="I34" s="4" t="inlineStr">
        <is>
          <t>17:15:00</t>
        </is>
      </c>
      <c r="J34" s="4" t="inlineStr">
        <is>
          <t>320</t>
        </is>
      </c>
      <c r="K34">
        <f>TEXT(TIMEVALUE(H34)-TIMEVALUE(I33)+(TIMEVALUE(H34)&lt;TIMEVALUE(I33)),"[h]:mm")</f>
        <v/>
      </c>
      <c r="L34" s="4" t="inlineStr">
        <is>
          <t>01:05:00</t>
        </is>
      </c>
      <c r="O34">
        <f>"LIM-"&amp;G33&amp;"-LIM   LA "&amp;E33&amp;" ("&amp;LEFT(H33,5)&amp;"-"&amp;LEFT(I33,5)&amp;" hrs)  /  LA "&amp;E34&amp;" ("&amp;LEFT(H34,5)&amp;"-"&amp;LEFT(I34,5)&amp;" hrs)"</f>
        <v/>
      </c>
    </row>
    <row r="35">
      <c r="B35" s="4" t="inlineStr">
        <is>
          <t>2786_0</t>
        </is>
      </c>
      <c r="C35" s="4" t="inlineStr">
        <is>
          <t>01/09/2026</t>
        </is>
      </c>
      <c r="D35" s="4" t="inlineStr">
        <is>
          <t>martes</t>
        </is>
      </c>
      <c r="E35" s="4" t="inlineStr">
        <is>
          <t>2223</t>
        </is>
      </c>
      <c r="F35" s="4" t="inlineStr">
        <is>
          <t>LIM</t>
        </is>
      </c>
      <c r="G35" s="4" t="inlineStr">
        <is>
          <t>CUZ</t>
        </is>
      </c>
      <c r="H35" s="4" t="inlineStr">
        <is>
          <t>18:15:00</t>
        </is>
      </c>
      <c r="I35" s="4" t="inlineStr">
        <is>
          <t>19:40:00</t>
        </is>
      </c>
      <c r="J35" s="4" t="inlineStr">
        <is>
          <t>320</t>
        </is>
      </c>
      <c r="K35" s="6">
        <f>TEXT(TIMEVALUE(H35)-TIMEVALUE(I34)+(TIMEVALUE(H35)&lt;TIMEVALUE(I34)),"[h]:mm")</f>
        <v/>
      </c>
      <c r="L35" s="4" t="inlineStr">
        <is>
          <t>01:25:00</t>
        </is>
      </c>
      <c r="M35">
        <f>IF($M$33="","",$M$33)</f>
        <v/>
      </c>
      <c r="O35">
        <f>IF($O$33="","",$O$33)</f>
        <v/>
      </c>
      <c r="Q35" s="4">
        <f>B35</f>
        <v/>
      </c>
      <c r="R35" s="4">
        <f>C35</f>
        <v/>
      </c>
      <c r="S35" s="4">
        <f>D35</f>
        <v/>
      </c>
      <c r="T35" s="4">
        <f>E35&amp;"/"&amp;E36</f>
        <v/>
      </c>
      <c r="U35" s="4">
        <f>F35&amp;"-"&amp;G35&amp;"-"&amp;F35</f>
        <v/>
      </c>
      <c r="V35" s="4">
        <f>IF($M$33="","",$M$33)</f>
        <v/>
      </c>
      <c r="W35" s="4">
        <f>IF($O$33="","",$O$33)</f>
        <v/>
      </c>
      <c r="X35" s="4">
        <f>J35</f>
        <v/>
      </c>
    </row>
    <row r="36">
      <c r="B36" s="4" t="inlineStr">
        <is>
          <t>2786_0</t>
        </is>
      </c>
      <c r="C36" s="4" t="inlineStr">
        <is>
          <t>01/09/2026</t>
        </is>
      </c>
      <c r="D36" s="4" t="inlineStr">
        <is>
          <t>martes</t>
        </is>
      </c>
      <c r="E36" s="4" t="inlineStr">
        <is>
          <t>2224</t>
        </is>
      </c>
      <c r="F36" s="4" t="inlineStr">
        <is>
          <t>CUZ</t>
        </is>
      </c>
      <c r="G36" s="4" t="inlineStr">
        <is>
          <t>LIM</t>
        </is>
      </c>
      <c r="H36" s="4" t="inlineStr">
        <is>
          <t>21:20:00</t>
        </is>
      </c>
      <c r="I36" s="4" t="inlineStr">
        <is>
          <t>22:55:00</t>
        </is>
      </c>
      <c r="J36" s="4" t="inlineStr">
        <is>
          <t>320</t>
        </is>
      </c>
      <c r="K36">
        <f>TEXT(TIMEVALUE(H36)-TIMEVALUE(I35)+(TIMEVALUE(H36)&lt;TIMEVALUE(I35)),"[h]:mm")</f>
        <v/>
      </c>
      <c r="L36" s="4" t="inlineStr">
        <is>
          <t>01:35:00</t>
        </is>
      </c>
      <c r="O36">
        <f>"LIM-"&amp;G35&amp;"-LIM   LA "&amp;E35&amp;" ("&amp;LEFT(H35,5)&amp;"-"&amp;LEFT(I35,5)&amp;" hrs)  /  LA "&amp;E36&amp;" ("&amp;LEFT(H36,5)&amp;"-"&amp;LEFT(I36,5)&amp;" hrs)"</f>
        <v/>
      </c>
    </row>
    <row r="37">
      <c r="J37" s="7" t="inlineStr">
        <is>
          <t>PSV total:</t>
        </is>
      </c>
      <c r="K37" s="8">
        <f>TEXT(TIMEVALUE(I36)-TIMEVALUE(H33)+(I36&lt;H33),"[h]:mm")</f>
        <v/>
      </c>
    </row>
    <row r="39">
      <c r="B39" s="3" t="inlineStr">
        <is>
          <t>Pairing ID</t>
        </is>
      </c>
      <c r="C39" s="3" t="inlineStr">
        <is>
          <t>FECHA REAL</t>
        </is>
      </c>
      <c r="D39" s="3" t="inlineStr">
        <is>
          <t>Day of Week</t>
        </is>
      </c>
      <c r="E39" s="3" t="inlineStr">
        <is>
          <t>Flight No</t>
        </is>
      </c>
      <c r="F39" s="3" t="inlineStr">
        <is>
          <t>Dep Stn</t>
        </is>
      </c>
      <c r="G39" s="3" t="inlineStr">
        <is>
          <t>Arr Stn</t>
        </is>
      </c>
      <c r="H39" s="3" t="inlineStr">
        <is>
          <t>STD</t>
        </is>
      </c>
      <c r="I39" s="3" t="inlineStr">
        <is>
          <t>STA</t>
        </is>
      </c>
      <c r="J39" s="3" t="inlineStr">
        <is>
          <t>subflota</t>
        </is>
      </c>
      <c r="K39" s="3" t="inlineStr">
        <is>
          <t>Conexion</t>
        </is>
      </c>
      <c r="L39" s="3" t="inlineStr">
        <is>
          <t>HBT</t>
        </is>
      </c>
    </row>
    <row r="40">
      <c r="B40" s="4" t="inlineStr">
        <is>
          <t>146_0</t>
        </is>
      </c>
      <c r="C40" s="4" t="inlineStr">
        <is>
          <t>01/09/2026</t>
        </is>
      </c>
      <c r="D40" s="4" t="inlineStr">
        <is>
          <t>martes</t>
        </is>
      </c>
      <c r="E40" s="4" t="inlineStr">
        <is>
          <t>2264</t>
        </is>
      </c>
      <c r="F40" s="4" t="inlineStr">
        <is>
          <t>LIM</t>
        </is>
      </c>
      <c r="G40" s="4" t="inlineStr">
        <is>
          <t>PEM</t>
        </is>
      </c>
      <c r="H40" s="4" t="inlineStr">
        <is>
          <t>14:55:00</t>
        </is>
      </c>
      <c r="I40" s="4" t="inlineStr">
        <is>
          <t>16:40:00</t>
        </is>
      </c>
      <c r="J40" s="4" t="inlineStr">
        <is>
          <t>319</t>
        </is>
      </c>
      <c r="L40" s="4" t="inlineStr">
        <is>
          <t>01:45:00</t>
        </is>
      </c>
      <c r="M40" s="5" t="n"/>
      <c r="O40" s="5" t="n"/>
      <c r="Q40" s="4">
        <f>B40</f>
        <v/>
      </c>
      <c r="R40" s="4">
        <f>C40</f>
        <v/>
      </c>
      <c r="S40" s="4">
        <f>D40</f>
        <v/>
      </c>
      <c r="T40" s="4">
        <f>E40&amp;"/"&amp;E41</f>
        <v/>
      </c>
      <c r="U40" s="4">
        <f>F40&amp;"-"&amp;G40&amp;"-"&amp;F40</f>
        <v/>
      </c>
      <c r="V40" s="4">
        <f>IF($M$40="","",$M$40)</f>
        <v/>
      </c>
      <c r="W40" s="4">
        <f>IF($O$40="","",$O$40)</f>
        <v/>
      </c>
      <c r="X40" s="4">
        <f>J40</f>
        <v/>
      </c>
    </row>
    <row r="41">
      <c r="B41" s="4" t="inlineStr">
        <is>
          <t>146_0</t>
        </is>
      </c>
      <c r="C41" s="4" t="inlineStr">
        <is>
          <t>01/09/2026</t>
        </is>
      </c>
      <c r="D41" s="4" t="inlineStr">
        <is>
          <t>martes</t>
        </is>
      </c>
      <c r="E41" s="4" t="inlineStr">
        <is>
          <t>2265</t>
        </is>
      </c>
      <c r="F41" s="4" t="inlineStr">
        <is>
          <t>PEM</t>
        </is>
      </c>
      <c r="G41" s="4" t="inlineStr">
        <is>
          <t>LIM</t>
        </is>
      </c>
      <c r="H41" s="4" t="inlineStr">
        <is>
          <t>17:20:00</t>
        </is>
      </c>
      <c r="I41" s="4" t="inlineStr">
        <is>
          <t>18:55:00</t>
        </is>
      </c>
      <c r="J41" s="4" t="inlineStr">
        <is>
          <t>319</t>
        </is>
      </c>
      <c r="K41">
        <f>TEXT(TIMEVALUE(H41)-TIMEVALUE(I40)+(TIMEVALUE(H41)&lt;TIMEVALUE(I40)),"[h]:mm")</f>
        <v/>
      </c>
      <c r="L41" s="4" t="inlineStr">
        <is>
          <t>01:35:00</t>
        </is>
      </c>
      <c r="O41">
        <f>"LIM-"&amp;G40&amp;"-LIM   LA "&amp;E40&amp;" ("&amp;LEFT(H40,5)&amp;"-"&amp;LEFT(I40,5)&amp;" hrs)  /  LA "&amp;E41&amp;" ("&amp;LEFT(H41,5)&amp;"-"&amp;LEFT(I41,5)&amp;" hrs)"</f>
        <v/>
      </c>
    </row>
    <row r="42">
      <c r="J42" s="7" t="inlineStr">
        <is>
          <t>PSV total:</t>
        </is>
      </c>
      <c r="K42" s="8">
        <f>TEXT(TIMEVALUE(I41)-TIMEVALUE(H40)+(I41&lt;H40),"[h]:mm")</f>
        <v/>
      </c>
    </row>
    <row r="44">
      <c r="B44" s="3" t="inlineStr">
        <is>
          <t>Pairing ID</t>
        </is>
      </c>
      <c r="C44" s="3" t="inlineStr">
        <is>
          <t>FECHA REAL</t>
        </is>
      </c>
      <c r="D44" s="3" t="inlineStr">
        <is>
          <t>Day of Week</t>
        </is>
      </c>
      <c r="E44" s="3" t="inlineStr">
        <is>
          <t>Flight No</t>
        </is>
      </c>
      <c r="F44" s="3" t="inlineStr">
        <is>
          <t>Dep Stn</t>
        </is>
      </c>
      <c r="G44" s="3" t="inlineStr">
        <is>
          <t>Arr Stn</t>
        </is>
      </c>
      <c r="H44" s="3" t="inlineStr">
        <is>
          <t>STD</t>
        </is>
      </c>
      <c r="I44" s="3" t="inlineStr">
        <is>
          <t>STA</t>
        </is>
      </c>
      <c r="J44" s="3" t="inlineStr">
        <is>
          <t>subflota</t>
        </is>
      </c>
      <c r="K44" s="3" t="inlineStr">
        <is>
          <t>Conexion</t>
        </is>
      </c>
      <c r="L44" s="3" t="inlineStr">
        <is>
          <t>HBT</t>
        </is>
      </c>
    </row>
    <row r="45">
      <c r="B45" s="4" t="inlineStr">
        <is>
          <t>149_0</t>
        </is>
      </c>
      <c r="C45" s="4" t="inlineStr">
        <is>
          <t>01/09/2026</t>
        </is>
      </c>
      <c r="D45" s="4" t="inlineStr">
        <is>
          <t>martes</t>
        </is>
      </c>
      <c r="E45" s="4" t="inlineStr">
        <is>
          <t>2297</t>
        </is>
      </c>
      <c r="F45" s="4" t="inlineStr">
        <is>
          <t>LIM</t>
        </is>
      </c>
      <c r="G45" s="4" t="inlineStr">
        <is>
          <t>CJA</t>
        </is>
      </c>
      <c r="H45" s="4" t="inlineStr">
        <is>
          <t>15:15:00</t>
        </is>
      </c>
      <c r="I45" s="4" t="inlineStr">
        <is>
          <t>16:35:00</t>
        </is>
      </c>
      <c r="J45" s="4" t="inlineStr">
        <is>
          <t>320</t>
        </is>
      </c>
      <c r="L45" s="4" t="inlineStr">
        <is>
          <t>01:20:00</t>
        </is>
      </c>
      <c r="M45" s="5" t="n"/>
      <c r="O45" s="5" t="n"/>
      <c r="Q45" s="4">
        <f>B45</f>
        <v/>
      </c>
      <c r="R45" s="4">
        <f>C45</f>
        <v/>
      </c>
      <c r="S45" s="4">
        <f>D45</f>
        <v/>
      </c>
      <c r="T45" s="4">
        <f>E45&amp;"/"&amp;E46</f>
        <v/>
      </c>
      <c r="U45" s="4">
        <f>F45&amp;"-"&amp;G45&amp;"-"&amp;F45</f>
        <v/>
      </c>
      <c r="V45" s="4">
        <f>IF($M$45="","",$M$45)</f>
        <v/>
      </c>
      <c r="W45" s="4">
        <f>IF($O$45="","",$O$45)</f>
        <v/>
      </c>
      <c r="X45" s="4">
        <f>J45</f>
        <v/>
      </c>
    </row>
    <row r="46">
      <c r="B46" s="4" t="inlineStr">
        <is>
          <t>149_0</t>
        </is>
      </c>
      <c r="C46" s="4" t="inlineStr">
        <is>
          <t>01/09/2026</t>
        </is>
      </c>
      <c r="D46" s="4" t="inlineStr">
        <is>
          <t>martes</t>
        </is>
      </c>
      <c r="E46" s="4" t="inlineStr">
        <is>
          <t>2296</t>
        </is>
      </c>
      <c r="F46" s="4" t="inlineStr">
        <is>
          <t>CJA</t>
        </is>
      </c>
      <c r="G46" s="4" t="inlineStr">
        <is>
          <t>LIM</t>
        </is>
      </c>
      <c r="H46" s="4" t="inlineStr">
        <is>
          <t>17:20:00</t>
        </is>
      </c>
      <c r="I46" s="4" t="inlineStr">
        <is>
          <t>18:25:00</t>
        </is>
      </c>
      <c r="J46" s="4" t="inlineStr">
        <is>
          <t>320</t>
        </is>
      </c>
      <c r="K46">
        <f>TEXT(TIMEVALUE(H46)-TIMEVALUE(I45)+(TIMEVALUE(H46)&lt;TIMEVALUE(I45)),"[h]:mm")</f>
        <v/>
      </c>
      <c r="L46" s="4" t="inlineStr">
        <is>
          <t>01:05:00</t>
        </is>
      </c>
      <c r="O46">
        <f>"LIM-"&amp;G45&amp;"-LIM   LA "&amp;E45&amp;" ("&amp;LEFT(H45,5)&amp;"-"&amp;LEFT(I45,5)&amp;" hrs)  /  LA "&amp;E46&amp;" ("&amp;LEFT(H46,5)&amp;"-"&amp;LEFT(I46,5)&amp;" hrs)"</f>
        <v/>
      </c>
    </row>
    <row r="47">
      <c r="J47" s="7" t="inlineStr">
        <is>
          <t>PSV total:</t>
        </is>
      </c>
      <c r="K47" s="8">
        <f>TEXT(TIMEVALUE(I46)-TIMEVALUE(H45)+(I46&lt;H45),"[h]:mm")</f>
        <v/>
      </c>
    </row>
    <row r="49">
      <c r="B49" s="3" t="inlineStr">
        <is>
          <t>Pairing ID</t>
        </is>
      </c>
      <c r="C49" s="3" t="inlineStr">
        <is>
          <t>FECHA REAL</t>
        </is>
      </c>
      <c r="D49" s="3" t="inlineStr">
        <is>
          <t>Day of Week</t>
        </is>
      </c>
      <c r="E49" s="3" t="inlineStr">
        <is>
          <t>Flight No</t>
        </is>
      </c>
      <c r="F49" s="3" t="inlineStr">
        <is>
          <t>Dep Stn</t>
        </is>
      </c>
      <c r="G49" s="3" t="inlineStr">
        <is>
          <t>Arr Stn</t>
        </is>
      </c>
      <c r="H49" s="3" t="inlineStr">
        <is>
          <t>STD</t>
        </is>
      </c>
      <c r="I49" s="3" t="inlineStr">
        <is>
          <t>STA</t>
        </is>
      </c>
      <c r="J49" s="3" t="inlineStr">
        <is>
          <t>subflota</t>
        </is>
      </c>
      <c r="K49" s="3" t="inlineStr">
        <is>
          <t>Conexion</t>
        </is>
      </c>
      <c r="L49" s="3" t="inlineStr">
        <is>
          <t>HBT</t>
        </is>
      </c>
    </row>
    <row r="50">
      <c r="B50" s="4" t="inlineStr">
        <is>
          <t>151_0</t>
        </is>
      </c>
      <c r="C50" s="4" t="inlineStr">
        <is>
          <t>01/09/2026</t>
        </is>
      </c>
      <c r="D50" s="4" t="inlineStr">
        <is>
          <t>martes</t>
        </is>
      </c>
      <c r="E50" s="4" t="inlineStr">
        <is>
          <t>2312</t>
        </is>
      </c>
      <c r="F50" s="4" t="inlineStr">
        <is>
          <t>LIM</t>
        </is>
      </c>
      <c r="G50" s="4" t="inlineStr">
        <is>
          <t>CIX</t>
        </is>
      </c>
      <c r="H50" s="4" t="inlineStr">
        <is>
          <t>15:35:00</t>
        </is>
      </c>
      <c r="I50" s="4" t="inlineStr">
        <is>
          <t>17:05:00</t>
        </is>
      </c>
      <c r="J50" s="4" t="inlineStr">
        <is>
          <t>320</t>
        </is>
      </c>
      <c r="L50" s="4" t="inlineStr">
        <is>
          <t>01:30:00</t>
        </is>
      </c>
      <c r="M50" s="5" t="n"/>
      <c r="O50" s="5" t="n"/>
      <c r="Q50" s="4">
        <f>B50</f>
        <v/>
      </c>
      <c r="R50" s="4">
        <f>C50</f>
        <v/>
      </c>
      <c r="S50" s="4">
        <f>D50</f>
        <v/>
      </c>
      <c r="T50" s="4">
        <f>E50&amp;"/"&amp;E51</f>
        <v/>
      </c>
      <c r="U50" s="4">
        <f>F50&amp;"-"&amp;G50&amp;"-"&amp;F50</f>
        <v/>
      </c>
      <c r="V50" s="4">
        <f>IF($M$50="","",$M$50)</f>
        <v/>
      </c>
      <c r="W50" s="4">
        <f>IF($O$50="","",$O$50)</f>
        <v/>
      </c>
      <c r="X50" s="4">
        <f>J50</f>
        <v/>
      </c>
    </row>
    <row r="51">
      <c r="B51" s="4" t="inlineStr">
        <is>
          <t>151_0</t>
        </is>
      </c>
      <c r="C51" s="4" t="inlineStr">
        <is>
          <t>01/09/2026</t>
        </is>
      </c>
      <c r="D51" s="4" t="inlineStr">
        <is>
          <t>martes</t>
        </is>
      </c>
      <c r="E51" s="4" t="inlineStr">
        <is>
          <t>2313</t>
        </is>
      </c>
      <c r="F51" s="4" t="inlineStr">
        <is>
          <t>CIX</t>
        </is>
      </c>
      <c r="G51" s="4" t="inlineStr">
        <is>
          <t>LIM</t>
        </is>
      </c>
      <c r="H51" s="4" t="inlineStr">
        <is>
          <t>17:50:00</t>
        </is>
      </c>
      <c r="I51" s="4" t="inlineStr">
        <is>
          <t>19:10:00</t>
        </is>
      </c>
      <c r="J51" s="4" t="inlineStr">
        <is>
          <t>320</t>
        </is>
      </c>
      <c r="K51">
        <f>TEXT(TIMEVALUE(H51)-TIMEVALUE(I50)+(TIMEVALUE(H51)&lt;TIMEVALUE(I50)),"[h]:mm")</f>
        <v/>
      </c>
      <c r="L51" s="4" t="inlineStr">
        <is>
          <t>01:20:00</t>
        </is>
      </c>
      <c r="O51">
        <f>"LIM-"&amp;G50&amp;"-LIM   LA "&amp;E50&amp;" ("&amp;LEFT(H50,5)&amp;"-"&amp;LEFT(I50,5)&amp;" hrs)  /  LA "&amp;E51&amp;" ("&amp;LEFT(H51,5)&amp;"-"&amp;LEFT(I51,5)&amp;" hrs)"</f>
        <v/>
      </c>
    </row>
    <row r="52">
      <c r="J52" s="7" t="inlineStr">
        <is>
          <t>PSV total:</t>
        </is>
      </c>
      <c r="K52" s="8">
        <f>TEXT(TIMEVALUE(I51)-TIMEVALUE(H50)+(I51&lt;H50),"[h]:mm")</f>
        <v/>
      </c>
    </row>
    <row r="54">
      <c r="B54" s="3" t="inlineStr">
        <is>
          <t>Pairing ID</t>
        </is>
      </c>
      <c r="C54" s="3" t="inlineStr">
        <is>
          <t>FECHA REAL</t>
        </is>
      </c>
      <c r="D54" s="3" t="inlineStr">
        <is>
          <t>Day of Week</t>
        </is>
      </c>
      <c r="E54" s="3" t="inlineStr">
        <is>
          <t>Flight No</t>
        </is>
      </c>
      <c r="F54" s="3" t="inlineStr">
        <is>
          <t>Dep Stn</t>
        </is>
      </c>
      <c r="G54" s="3" t="inlineStr">
        <is>
          <t>Arr Stn</t>
        </is>
      </c>
      <c r="H54" s="3" t="inlineStr">
        <is>
          <t>STD</t>
        </is>
      </c>
      <c r="I54" s="3" t="inlineStr">
        <is>
          <t>STA</t>
        </is>
      </c>
      <c r="J54" s="3" t="inlineStr">
        <is>
          <t>subflota</t>
        </is>
      </c>
      <c r="K54" s="3" t="inlineStr">
        <is>
          <t>Conexion</t>
        </is>
      </c>
      <c r="L54" s="3" t="inlineStr">
        <is>
          <t>HBT</t>
        </is>
      </c>
    </row>
    <row r="55">
      <c r="B55" s="4" t="inlineStr">
        <is>
          <t>2701_0</t>
        </is>
      </c>
      <c r="C55" s="4" t="inlineStr">
        <is>
          <t>01/09/2026</t>
        </is>
      </c>
      <c r="D55" s="4" t="inlineStr">
        <is>
          <t>martes</t>
        </is>
      </c>
      <c r="E55" s="4" t="inlineStr">
        <is>
          <t>2301</t>
        </is>
      </c>
      <c r="F55" s="4" t="inlineStr">
        <is>
          <t>LIM</t>
        </is>
      </c>
      <c r="G55" s="4" t="inlineStr">
        <is>
          <t>TPP</t>
        </is>
      </c>
      <c r="H55" s="4" t="inlineStr">
        <is>
          <t>15:40:00</t>
        </is>
      </c>
      <c r="I55" s="4" t="inlineStr">
        <is>
          <t>17:05:00</t>
        </is>
      </c>
      <c r="J55" s="4" t="inlineStr">
        <is>
          <t>319</t>
        </is>
      </c>
      <c r="L55" s="4" t="inlineStr">
        <is>
          <t>01:25:00</t>
        </is>
      </c>
      <c r="M55" s="5" t="n"/>
      <c r="O55" s="5" t="n"/>
      <c r="Q55" s="4">
        <f>B55</f>
        <v/>
      </c>
      <c r="R55" s="4">
        <f>C55</f>
        <v/>
      </c>
      <c r="S55" s="4">
        <f>D55</f>
        <v/>
      </c>
      <c r="T55" s="4">
        <f>E55&amp;"/"&amp;E56</f>
        <v/>
      </c>
      <c r="U55" s="4">
        <f>F55&amp;"-"&amp;G55&amp;"-"&amp;F55</f>
        <v/>
      </c>
      <c r="V55" s="4">
        <f>IF($M$55="","",$M$55)</f>
        <v/>
      </c>
      <c r="W55" s="4">
        <f>IF($O$55="","",$O$55)</f>
        <v/>
      </c>
      <c r="X55" s="4">
        <f>J55</f>
        <v/>
      </c>
    </row>
    <row r="56">
      <c r="B56" s="4" t="inlineStr">
        <is>
          <t>2701_0</t>
        </is>
      </c>
      <c r="C56" s="4" t="inlineStr">
        <is>
          <t>01/09/2026</t>
        </is>
      </c>
      <c r="D56" s="4" t="inlineStr">
        <is>
          <t>martes</t>
        </is>
      </c>
      <c r="E56" s="4" t="inlineStr">
        <is>
          <t>2300</t>
        </is>
      </c>
      <c r="F56" s="4" t="inlineStr">
        <is>
          <t>TPP</t>
        </is>
      </c>
      <c r="G56" s="4" t="inlineStr">
        <is>
          <t>LIM</t>
        </is>
      </c>
      <c r="H56" s="4" t="inlineStr">
        <is>
          <t>17:50:00</t>
        </is>
      </c>
      <c r="I56" s="4" t="inlineStr">
        <is>
          <t>19:15:00</t>
        </is>
      </c>
      <c r="J56" s="4" t="inlineStr">
        <is>
          <t>319</t>
        </is>
      </c>
      <c r="K56">
        <f>TEXT(TIMEVALUE(H56)-TIMEVALUE(I55)+(TIMEVALUE(H56)&lt;TIMEVALUE(I55)),"[h]:mm")</f>
        <v/>
      </c>
      <c r="L56" s="4" t="inlineStr">
        <is>
          <t>01:25:00</t>
        </is>
      </c>
      <c r="O56">
        <f>"LIM-"&amp;G55&amp;"-LIM   LA "&amp;E55&amp;" ("&amp;LEFT(H55,5)&amp;"-"&amp;LEFT(I55,5)&amp;" hrs)  /  LA "&amp;E56&amp;" ("&amp;LEFT(H56,5)&amp;"-"&amp;LEFT(I56,5)&amp;" hrs)"</f>
        <v/>
      </c>
    </row>
    <row r="57">
      <c r="J57" s="7" t="inlineStr">
        <is>
          <t>PSV total:</t>
        </is>
      </c>
      <c r="K57" s="8">
        <f>TEXT(TIMEVALUE(I56)-TIMEVALUE(H55)+(I56&lt;H55),"[h]:mm")</f>
        <v/>
      </c>
    </row>
    <row r="59">
      <c r="B59" s="3" t="inlineStr">
        <is>
          <t>Pairing ID</t>
        </is>
      </c>
      <c r="C59" s="3" t="inlineStr">
        <is>
          <t>FECHA REAL</t>
        </is>
      </c>
      <c r="D59" s="3" t="inlineStr">
        <is>
          <t>Day of Week</t>
        </is>
      </c>
      <c r="E59" s="3" t="inlineStr">
        <is>
          <t>Flight No</t>
        </is>
      </c>
      <c r="F59" s="3" t="inlineStr">
        <is>
          <t>Dep Stn</t>
        </is>
      </c>
      <c r="G59" s="3" t="inlineStr">
        <is>
          <t>Arr Stn</t>
        </is>
      </c>
      <c r="H59" s="3" t="inlineStr">
        <is>
          <t>STD</t>
        </is>
      </c>
      <c r="I59" s="3" t="inlineStr">
        <is>
          <t>STA</t>
        </is>
      </c>
      <c r="J59" s="3" t="inlineStr">
        <is>
          <t>subflota</t>
        </is>
      </c>
      <c r="K59" s="3" t="inlineStr">
        <is>
          <t>Conexion</t>
        </is>
      </c>
      <c r="L59" s="3" t="inlineStr">
        <is>
          <t>HBT</t>
        </is>
      </c>
    </row>
    <row r="60">
      <c r="B60" s="4" t="inlineStr">
        <is>
          <t>32_0</t>
        </is>
      </c>
      <c r="C60" s="4" t="inlineStr">
        <is>
          <t>01/09/2026</t>
        </is>
      </c>
      <c r="D60" s="4" t="inlineStr">
        <is>
          <t>martes</t>
        </is>
      </c>
      <c r="E60" s="4" t="inlineStr">
        <is>
          <t>2301</t>
        </is>
      </c>
      <c r="F60" s="4" t="inlineStr">
        <is>
          <t>LIM</t>
        </is>
      </c>
      <c r="G60" s="4" t="inlineStr">
        <is>
          <t>TPP</t>
        </is>
      </c>
      <c r="H60" s="4" t="inlineStr">
        <is>
          <t>15:40:00</t>
        </is>
      </c>
      <c r="I60" s="4" t="inlineStr">
        <is>
          <t>17:05:00</t>
        </is>
      </c>
      <c r="J60" s="4" t="inlineStr">
        <is>
          <t>319</t>
        </is>
      </c>
      <c r="L60" s="4" t="inlineStr">
        <is>
          <t>01:25:00</t>
        </is>
      </c>
      <c r="M60" s="5" t="n"/>
      <c r="O60" s="5" t="n"/>
      <c r="Q60" s="4">
        <f>B60</f>
        <v/>
      </c>
      <c r="R60" s="4">
        <f>C60</f>
        <v/>
      </c>
      <c r="S60" s="4">
        <f>D60</f>
        <v/>
      </c>
      <c r="T60" s="4">
        <f>E60&amp;"/"&amp;E61</f>
        <v/>
      </c>
      <c r="U60" s="4">
        <f>F60&amp;"-"&amp;G60&amp;"-"&amp;F60</f>
        <v/>
      </c>
      <c r="V60" s="4">
        <f>IF($M$60="","",$M$60)</f>
        <v/>
      </c>
      <c r="W60" s="4">
        <f>IF($O$60="","",$O$60)</f>
        <v/>
      </c>
      <c r="X60" s="4">
        <f>J60</f>
        <v/>
      </c>
    </row>
    <row r="61">
      <c r="B61" s="4" t="inlineStr">
        <is>
          <t>32_0</t>
        </is>
      </c>
      <c r="C61" s="4" t="inlineStr">
        <is>
          <t>01/09/2026</t>
        </is>
      </c>
      <c r="D61" s="4" t="inlineStr">
        <is>
          <t>martes</t>
        </is>
      </c>
      <c r="E61" s="4" t="inlineStr">
        <is>
          <t>2300</t>
        </is>
      </c>
      <c r="F61" s="4" t="inlineStr">
        <is>
          <t>TPP</t>
        </is>
      </c>
      <c r="G61" s="4" t="inlineStr">
        <is>
          <t>LIM</t>
        </is>
      </c>
      <c r="H61" s="4" t="inlineStr">
        <is>
          <t>17:50:00</t>
        </is>
      </c>
      <c r="I61" s="4" t="inlineStr">
        <is>
          <t>19:15:00</t>
        </is>
      </c>
      <c r="J61" s="4" t="inlineStr">
        <is>
          <t>319</t>
        </is>
      </c>
      <c r="K61">
        <f>TEXT(TIMEVALUE(H61)-TIMEVALUE(I60)+(TIMEVALUE(H61)&lt;TIMEVALUE(I60)),"[h]:mm")</f>
        <v/>
      </c>
      <c r="L61" s="4" t="inlineStr">
        <is>
          <t>01:25:00</t>
        </is>
      </c>
      <c r="O61">
        <f>"LIM-"&amp;G60&amp;"-LIM   LA "&amp;E60&amp;" ("&amp;LEFT(H60,5)&amp;"-"&amp;LEFT(I60,5)&amp;" hrs)  /  LA "&amp;E61&amp;" ("&amp;LEFT(H61,5)&amp;"-"&amp;LEFT(I61,5)&amp;" hrs)"</f>
        <v/>
      </c>
    </row>
    <row r="62">
      <c r="J62" s="7" t="inlineStr">
        <is>
          <t>PSV total:</t>
        </is>
      </c>
      <c r="K62" s="8">
        <f>TEXT(TIMEVALUE(I61)-TIMEVALUE(H60)+(I61&lt;H60),"[h]:mm")</f>
        <v/>
      </c>
    </row>
    <row r="64">
      <c r="B64" s="3" t="inlineStr">
        <is>
          <t>Pairing ID</t>
        </is>
      </c>
      <c r="C64" s="3" t="inlineStr">
        <is>
          <t>FECHA REAL</t>
        </is>
      </c>
      <c r="D64" s="3" t="inlineStr">
        <is>
          <t>Day of Week</t>
        </is>
      </c>
      <c r="E64" s="3" t="inlineStr">
        <is>
          <t>Flight No</t>
        </is>
      </c>
      <c r="F64" s="3" t="inlineStr">
        <is>
          <t>Dep Stn</t>
        </is>
      </c>
      <c r="G64" s="3" t="inlineStr">
        <is>
          <t>Arr Stn</t>
        </is>
      </c>
      <c r="H64" s="3" t="inlineStr">
        <is>
          <t>STD</t>
        </is>
      </c>
      <c r="I64" s="3" t="inlineStr">
        <is>
          <t>STA</t>
        </is>
      </c>
      <c r="J64" s="3" t="inlineStr">
        <is>
          <t>subflota</t>
        </is>
      </c>
      <c r="K64" s="3" t="inlineStr">
        <is>
          <t>Conexion</t>
        </is>
      </c>
      <c r="L64" s="3" t="inlineStr">
        <is>
          <t>HBT</t>
        </is>
      </c>
    </row>
    <row r="65">
      <c r="B65" s="4" t="inlineStr">
        <is>
          <t>153_0</t>
        </is>
      </c>
      <c r="C65" s="4" t="inlineStr">
        <is>
          <t>01/09/2026</t>
        </is>
      </c>
      <c r="D65" s="4" t="inlineStr">
        <is>
          <t>martes</t>
        </is>
      </c>
      <c r="E65" s="4" t="inlineStr">
        <is>
          <t>2053</t>
        </is>
      </c>
      <c r="F65" s="4" t="inlineStr">
        <is>
          <t>LIM</t>
        </is>
      </c>
      <c r="G65" s="4" t="inlineStr">
        <is>
          <t>TBP</t>
        </is>
      </c>
      <c r="H65" s="4" t="inlineStr">
        <is>
          <t>16:20:00</t>
        </is>
      </c>
      <c r="I65" s="4" t="inlineStr">
        <is>
          <t>18:10:00</t>
        </is>
      </c>
      <c r="J65" s="4" t="inlineStr">
        <is>
          <t>320</t>
        </is>
      </c>
      <c r="L65" s="4" t="inlineStr">
        <is>
          <t>01:50:00</t>
        </is>
      </c>
      <c r="M65" s="5" t="n"/>
      <c r="O65" s="5" t="n"/>
      <c r="Q65" s="4">
        <f>B65</f>
        <v/>
      </c>
      <c r="R65" s="4">
        <f>C65</f>
        <v/>
      </c>
      <c r="S65" s="4">
        <f>D65</f>
        <v/>
      </c>
      <c r="T65" s="4">
        <f>E65&amp;"/"&amp;E66</f>
        <v/>
      </c>
      <c r="U65" s="4">
        <f>F65&amp;"-"&amp;G65&amp;"-"&amp;F65</f>
        <v/>
      </c>
      <c r="V65" s="4">
        <f>IF($M$65="","",$M$65)</f>
        <v/>
      </c>
      <c r="W65" s="4">
        <f>IF($O$65="","",$O$65)</f>
        <v/>
      </c>
      <c r="X65" s="4">
        <f>J65</f>
        <v/>
      </c>
    </row>
    <row r="66">
      <c r="B66" s="4" t="inlineStr">
        <is>
          <t>153_0</t>
        </is>
      </c>
      <c r="C66" s="4" t="inlineStr">
        <is>
          <t>01/09/2026</t>
        </is>
      </c>
      <c r="D66" s="4" t="inlineStr">
        <is>
          <t>martes</t>
        </is>
      </c>
      <c r="E66" s="4" t="inlineStr">
        <is>
          <t>2054</t>
        </is>
      </c>
      <c r="F66" s="4" t="inlineStr">
        <is>
          <t>TBP</t>
        </is>
      </c>
      <c r="G66" s="4" t="inlineStr">
        <is>
          <t>LIM</t>
        </is>
      </c>
      <c r="H66" s="4" t="inlineStr">
        <is>
          <t>18:50:00</t>
        </is>
      </c>
      <c r="I66" s="4" t="inlineStr">
        <is>
          <t>20:30:00</t>
        </is>
      </c>
      <c r="J66" s="4" t="inlineStr">
        <is>
          <t>320</t>
        </is>
      </c>
      <c r="K66">
        <f>TEXT(TIMEVALUE(H66)-TIMEVALUE(I65)+(TIMEVALUE(H66)&lt;TIMEVALUE(I65)),"[h]:mm")</f>
        <v/>
      </c>
      <c r="L66" s="4" t="inlineStr">
        <is>
          <t>01:40:00</t>
        </is>
      </c>
      <c r="O66">
        <f>"LIM-"&amp;G65&amp;"-LIM   LA "&amp;E65&amp;" ("&amp;LEFT(H65,5)&amp;"-"&amp;LEFT(I65,5)&amp;" hrs)  /  LA "&amp;E66&amp;" ("&amp;LEFT(H66,5)&amp;"-"&amp;LEFT(I66,5)&amp;" hrs)"</f>
        <v/>
      </c>
    </row>
    <row r="67">
      <c r="J67" s="7" t="inlineStr">
        <is>
          <t>PSV total:</t>
        </is>
      </c>
      <c r="K67" s="8">
        <f>TEXT(TIMEVALUE(I66)-TIMEVALUE(H65)+(I66&lt;H65),"[h]:mm")</f>
        <v/>
      </c>
    </row>
    <row r="69">
      <c r="B69" s="3" t="inlineStr">
        <is>
          <t>Pairing ID</t>
        </is>
      </c>
      <c r="C69" s="3" t="inlineStr">
        <is>
          <t>FECHA REAL</t>
        </is>
      </c>
      <c r="D69" s="3" t="inlineStr">
        <is>
          <t>Day of Week</t>
        </is>
      </c>
      <c r="E69" s="3" t="inlineStr">
        <is>
          <t>Flight No</t>
        </is>
      </c>
      <c r="F69" s="3" t="inlineStr">
        <is>
          <t>Dep Stn</t>
        </is>
      </c>
      <c r="G69" s="3" t="inlineStr">
        <is>
          <t>Arr Stn</t>
        </is>
      </c>
      <c r="H69" s="3" t="inlineStr">
        <is>
          <t>STD</t>
        </is>
      </c>
      <c r="I69" s="3" t="inlineStr">
        <is>
          <t>STA</t>
        </is>
      </c>
      <c r="J69" s="3" t="inlineStr">
        <is>
          <t>subflota</t>
        </is>
      </c>
      <c r="K69" s="3" t="inlineStr">
        <is>
          <t>Conexion</t>
        </is>
      </c>
      <c r="L69" s="3" t="inlineStr">
        <is>
          <t>HBT</t>
        </is>
      </c>
    </row>
    <row r="70">
      <c r="B70" s="4" t="inlineStr">
        <is>
          <t>154_0</t>
        </is>
      </c>
      <c r="C70" s="4" t="inlineStr">
        <is>
          <t>01/09/2026</t>
        </is>
      </c>
      <c r="D70" s="4" t="inlineStr">
        <is>
          <t>martes</t>
        </is>
      </c>
      <c r="E70" s="4" t="inlineStr">
        <is>
          <t>2053</t>
        </is>
      </c>
      <c r="F70" s="4" t="inlineStr">
        <is>
          <t>LIM</t>
        </is>
      </c>
      <c r="G70" s="4" t="inlineStr">
        <is>
          <t>TBP</t>
        </is>
      </c>
      <c r="H70" s="4" t="inlineStr">
        <is>
          <t>16:20:00</t>
        </is>
      </c>
      <c r="I70" s="4" t="inlineStr">
        <is>
          <t>18:10:00</t>
        </is>
      </c>
      <c r="J70" s="4" t="inlineStr">
        <is>
          <t>320</t>
        </is>
      </c>
      <c r="L70" s="4" t="inlineStr">
        <is>
          <t>01:50:00</t>
        </is>
      </c>
      <c r="M70" s="5" t="n"/>
      <c r="O70" s="5" t="n"/>
      <c r="Q70" s="4">
        <f>B70</f>
        <v/>
      </c>
      <c r="R70" s="4">
        <f>C70</f>
        <v/>
      </c>
      <c r="S70" s="4">
        <f>D70</f>
        <v/>
      </c>
      <c r="T70" s="4">
        <f>E70&amp;"/"&amp;E71</f>
        <v/>
      </c>
      <c r="U70" s="4">
        <f>F70&amp;"-"&amp;G70&amp;"-"&amp;F70</f>
        <v/>
      </c>
      <c r="V70" s="4">
        <f>IF($M$70="","",$M$70)</f>
        <v/>
      </c>
      <c r="W70" s="4">
        <f>IF($O$70="","",$O$70)</f>
        <v/>
      </c>
      <c r="X70" s="4">
        <f>J70</f>
        <v/>
      </c>
    </row>
    <row r="71">
      <c r="B71" s="4" t="inlineStr">
        <is>
          <t>154_0</t>
        </is>
      </c>
      <c r="C71" s="4" t="inlineStr">
        <is>
          <t>01/09/2026</t>
        </is>
      </c>
      <c r="D71" s="4" t="inlineStr">
        <is>
          <t>martes</t>
        </is>
      </c>
      <c r="E71" s="4" t="inlineStr">
        <is>
          <t>2054</t>
        </is>
      </c>
      <c r="F71" s="4" t="inlineStr">
        <is>
          <t>TBP</t>
        </is>
      </c>
      <c r="G71" s="4" t="inlineStr">
        <is>
          <t>LIM</t>
        </is>
      </c>
      <c r="H71" s="4" t="inlineStr">
        <is>
          <t>18:50:00</t>
        </is>
      </c>
      <c r="I71" s="4" t="inlineStr">
        <is>
          <t>20:30:00</t>
        </is>
      </c>
      <c r="J71" s="4" t="inlineStr">
        <is>
          <t>320</t>
        </is>
      </c>
      <c r="K71">
        <f>TEXT(TIMEVALUE(H71)-TIMEVALUE(I70)+(TIMEVALUE(H71)&lt;TIMEVALUE(I70)),"[h]:mm")</f>
        <v/>
      </c>
      <c r="L71" s="4" t="inlineStr">
        <is>
          <t>01:40:00</t>
        </is>
      </c>
      <c r="O71">
        <f>"LIM-"&amp;G70&amp;"-LIM   LA "&amp;E70&amp;" ("&amp;LEFT(H70,5)&amp;"-"&amp;LEFT(I70,5)&amp;" hrs)  /  LA "&amp;E71&amp;" ("&amp;LEFT(H71,5)&amp;"-"&amp;LEFT(I71,5)&amp;" hrs)"</f>
        <v/>
      </c>
    </row>
    <row r="72">
      <c r="J72" s="7" t="inlineStr">
        <is>
          <t>PSV total:</t>
        </is>
      </c>
      <c r="K72" s="8">
        <f>TEXT(TIMEVALUE(I71)-TIMEVALUE(H70)+(I71&lt;H70),"[h]:mm")</f>
        <v/>
      </c>
    </row>
    <row r="74">
      <c r="B74" s="3" t="inlineStr">
        <is>
          <t>Pairing ID</t>
        </is>
      </c>
      <c r="C74" s="3" t="inlineStr">
        <is>
          <t>FECHA REAL</t>
        </is>
      </c>
      <c r="D74" s="3" t="inlineStr">
        <is>
          <t>Day of Week</t>
        </is>
      </c>
      <c r="E74" s="3" t="inlineStr">
        <is>
          <t>Flight No</t>
        </is>
      </c>
      <c r="F74" s="3" t="inlineStr">
        <is>
          <t>Dep Stn</t>
        </is>
      </c>
      <c r="G74" s="3" t="inlineStr">
        <is>
          <t>Arr Stn</t>
        </is>
      </c>
      <c r="H74" s="3" t="inlineStr">
        <is>
          <t>STD</t>
        </is>
      </c>
      <c r="I74" s="3" t="inlineStr">
        <is>
          <t>STA</t>
        </is>
      </c>
      <c r="J74" s="3" t="inlineStr">
        <is>
          <t>subflota</t>
        </is>
      </c>
      <c r="K74" s="3" t="inlineStr">
        <is>
          <t>Conexion</t>
        </is>
      </c>
      <c r="L74" s="3" t="inlineStr">
        <is>
          <t>HBT</t>
        </is>
      </c>
    </row>
    <row r="75">
      <c r="B75" s="4" t="inlineStr">
        <is>
          <t>155_0</t>
        </is>
      </c>
      <c r="C75" s="4" t="inlineStr">
        <is>
          <t>01/09/2026</t>
        </is>
      </c>
      <c r="D75" s="4" t="inlineStr">
        <is>
          <t>martes</t>
        </is>
      </c>
      <c r="E75" s="4" t="inlineStr">
        <is>
          <t>2276</t>
        </is>
      </c>
      <c r="F75" s="4" t="inlineStr">
        <is>
          <t>LIM</t>
        </is>
      </c>
      <c r="G75" s="4" t="inlineStr">
        <is>
          <t>CUZ</t>
        </is>
      </c>
      <c r="H75" s="4" t="inlineStr">
        <is>
          <t>16:35:00</t>
        </is>
      </c>
      <c r="I75" s="4" t="inlineStr">
        <is>
          <t>17:55:00</t>
        </is>
      </c>
      <c r="J75" s="4" t="inlineStr">
        <is>
          <t>320</t>
        </is>
      </c>
      <c r="L75" s="4" t="inlineStr">
        <is>
          <t>01:20:00</t>
        </is>
      </c>
      <c r="M75" s="5" t="n"/>
      <c r="O75" s="5" t="n"/>
      <c r="Q75" s="4">
        <f>B75</f>
        <v/>
      </c>
      <c r="R75" s="4">
        <f>C75</f>
        <v/>
      </c>
      <c r="S75" s="4">
        <f>D75</f>
        <v/>
      </c>
      <c r="T75" s="4">
        <f>E75&amp;"/"&amp;E76</f>
        <v/>
      </c>
      <c r="U75" s="4">
        <f>F75&amp;"-"&amp;G75&amp;"-"&amp;F75</f>
        <v/>
      </c>
      <c r="V75" s="4">
        <f>IF($M$75="","",$M$75)</f>
        <v/>
      </c>
      <c r="W75" s="4">
        <f>IF($O$75="","",$O$75)</f>
        <v/>
      </c>
      <c r="X75" s="4">
        <f>J75</f>
        <v/>
      </c>
    </row>
    <row r="76">
      <c r="B76" s="4" t="inlineStr">
        <is>
          <t>155_0</t>
        </is>
      </c>
      <c r="C76" s="4" t="inlineStr">
        <is>
          <t>01/09/2026</t>
        </is>
      </c>
      <c r="D76" s="4" t="inlineStr">
        <is>
          <t>martes</t>
        </is>
      </c>
      <c r="E76" s="4" t="inlineStr">
        <is>
          <t>2277</t>
        </is>
      </c>
      <c r="F76" s="4" t="inlineStr">
        <is>
          <t>CUZ</t>
        </is>
      </c>
      <c r="G76" s="4" t="inlineStr">
        <is>
          <t>LIM</t>
        </is>
      </c>
      <c r="H76" s="4" t="inlineStr">
        <is>
          <t>18:50:00</t>
        </is>
      </c>
      <c r="I76" s="4" t="inlineStr">
        <is>
          <t>20:25:00</t>
        </is>
      </c>
      <c r="J76" s="4" t="inlineStr">
        <is>
          <t>320</t>
        </is>
      </c>
      <c r="K76">
        <f>TEXT(TIMEVALUE(H76)-TIMEVALUE(I75)+(TIMEVALUE(H76)&lt;TIMEVALUE(I75)),"[h]:mm")</f>
        <v/>
      </c>
      <c r="L76" s="4" t="inlineStr">
        <is>
          <t>01:35:00</t>
        </is>
      </c>
      <c r="O76">
        <f>"LIM-"&amp;G75&amp;"-LIM   LA "&amp;E75&amp;" ("&amp;LEFT(H75,5)&amp;"-"&amp;LEFT(I75,5)&amp;" hrs)  /  LA "&amp;E76&amp;" ("&amp;LEFT(H76,5)&amp;"-"&amp;LEFT(I76,5)&amp;" hrs)"</f>
        <v/>
      </c>
    </row>
    <row r="77">
      <c r="J77" s="7" t="inlineStr">
        <is>
          <t>PSV total:</t>
        </is>
      </c>
      <c r="K77" s="8">
        <f>TEXT(TIMEVALUE(I76)-TIMEVALUE(H75)+(I76&lt;H75),"[h]:mm")</f>
        <v/>
      </c>
    </row>
    <row r="79">
      <c r="B79" s="3" t="inlineStr">
        <is>
          <t>Pairing ID</t>
        </is>
      </c>
      <c r="C79" s="3" t="inlineStr">
        <is>
          <t>FECHA REAL</t>
        </is>
      </c>
      <c r="D79" s="3" t="inlineStr">
        <is>
          <t>Day of Week</t>
        </is>
      </c>
      <c r="E79" s="3" t="inlineStr">
        <is>
          <t>Flight No</t>
        </is>
      </c>
      <c r="F79" s="3" t="inlineStr">
        <is>
          <t>Dep Stn</t>
        </is>
      </c>
      <c r="G79" s="3" t="inlineStr">
        <is>
          <t>Arr Stn</t>
        </is>
      </c>
      <c r="H79" s="3" t="inlineStr">
        <is>
          <t>STD</t>
        </is>
      </c>
      <c r="I79" s="3" t="inlineStr">
        <is>
          <t>STA</t>
        </is>
      </c>
      <c r="J79" s="3" t="inlineStr">
        <is>
          <t>subflota</t>
        </is>
      </c>
      <c r="K79" s="3" t="inlineStr">
        <is>
          <t>Conexion</t>
        </is>
      </c>
      <c r="L79" s="3" t="inlineStr">
        <is>
          <t>HBT</t>
        </is>
      </c>
    </row>
    <row r="80">
      <c r="B80" s="4" t="inlineStr">
        <is>
          <t>157_0</t>
        </is>
      </c>
      <c r="C80" s="4" t="inlineStr">
        <is>
          <t>01/09/2026</t>
        </is>
      </c>
      <c r="D80" s="4" t="inlineStr">
        <is>
          <t>martes</t>
        </is>
      </c>
      <c r="E80" s="4" t="inlineStr">
        <is>
          <t>2213</t>
        </is>
      </c>
      <c r="F80" s="4" t="inlineStr">
        <is>
          <t>LIM</t>
        </is>
      </c>
      <c r="G80" s="4" t="inlineStr">
        <is>
          <t>CIX</t>
        </is>
      </c>
      <c r="H80" s="4" t="inlineStr">
        <is>
          <t>17:20:00</t>
        </is>
      </c>
      <c r="I80" s="4" t="inlineStr">
        <is>
          <t>18:50:00</t>
        </is>
      </c>
      <c r="J80" s="4" t="inlineStr">
        <is>
          <t>320</t>
        </is>
      </c>
      <c r="L80" s="4" t="inlineStr">
        <is>
          <t>01:30:00</t>
        </is>
      </c>
      <c r="M80" s="5" t="n"/>
      <c r="O80" s="5" t="n"/>
      <c r="Q80" s="4">
        <f>B80</f>
        <v/>
      </c>
      <c r="R80" s="4">
        <f>C80</f>
        <v/>
      </c>
      <c r="S80" s="4">
        <f>D80</f>
        <v/>
      </c>
      <c r="T80" s="4">
        <f>E80&amp;"/"&amp;E81</f>
        <v/>
      </c>
      <c r="U80" s="4">
        <f>F80&amp;"-"&amp;G80&amp;"-"&amp;F80</f>
        <v/>
      </c>
      <c r="V80" s="4">
        <f>IF($M$80="","",$M$80)</f>
        <v/>
      </c>
      <c r="W80" s="4">
        <f>IF($O$80="","",$O$80)</f>
        <v/>
      </c>
      <c r="X80" s="4">
        <f>J80</f>
        <v/>
      </c>
    </row>
    <row r="81">
      <c r="B81" s="4" t="inlineStr">
        <is>
          <t>157_0</t>
        </is>
      </c>
      <c r="C81" s="4" t="inlineStr">
        <is>
          <t>01/09/2026</t>
        </is>
      </c>
      <c r="D81" s="4" t="inlineStr">
        <is>
          <t>martes</t>
        </is>
      </c>
      <c r="E81" s="4" t="inlineStr">
        <is>
          <t>2214</t>
        </is>
      </c>
      <c r="F81" s="4" t="inlineStr">
        <is>
          <t>CIX</t>
        </is>
      </c>
      <c r="G81" s="4" t="inlineStr">
        <is>
          <t>LIM</t>
        </is>
      </c>
      <c r="H81" s="4" t="inlineStr">
        <is>
          <t>19:25:00</t>
        </is>
      </c>
      <c r="I81" s="4" t="inlineStr">
        <is>
          <t>20:40:00</t>
        </is>
      </c>
      <c r="J81" s="4" t="inlineStr">
        <is>
          <t>320</t>
        </is>
      </c>
      <c r="K81">
        <f>TEXT(TIMEVALUE(H81)-TIMEVALUE(I80)+(TIMEVALUE(H81)&lt;TIMEVALUE(I80)),"[h]:mm")</f>
        <v/>
      </c>
      <c r="L81" s="4" t="inlineStr">
        <is>
          <t>01:15:00</t>
        </is>
      </c>
      <c r="O81">
        <f>"LIM-"&amp;G80&amp;"-LIM   LA "&amp;E80&amp;" ("&amp;LEFT(H80,5)&amp;"-"&amp;LEFT(I80,5)&amp;" hrs)  /  LA "&amp;E81&amp;" ("&amp;LEFT(H81,5)&amp;"-"&amp;LEFT(I81,5)&amp;" hrs)"</f>
        <v/>
      </c>
    </row>
    <row r="82">
      <c r="J82" s="7" t="inlineStr">
        <is>
          <t>PSV total:</t>
        </is>
      </c>
      <c r="K82" s="8">
        <f>TEXT(TIMEVALUE(I81)-TIMEVALUE(H80)+(I81&lt;H80),"[h]:mm")</f>
        <v/>
      </c>
    </row>
    <row r="84">
      <c r="B84" s="3" t="inlineStr">
        <is>
          <t>Pairing ID</t>
        </is>
      </c>
      <c r="C84" s="3" t="inlineStr">
        <is>
          <t>FECHA REAL</t>
        </is>
      </c>
      <c r="D84" s="3" t="inlineStr">
        <is>
          <t>Day of Week</t>
        </is>
      </c>
      <c r="E84" s="3" t="inlineStr">
        <is>
          <t>Flight No</t>
        </is>
      </c>
      <c r="F84" s="3" t="inlineStr">
        <is>
          <t>Dep Stn</t>
        </is>
      </c>
      <c r="G84" s="3" t="inlineStr">
        <is>
          <t>Arr Stn</t>
        </is>
      </c>
      <c r="H84" s="3" t="inlineStr">
        <is>
          <t>STD</t>
        </is>
      </c>
      <c r="I84" s="3" t="inlineStr">
        <is>
          <t>STA</t>
        </is>
      </c>
      <c r="J84" s="3" t="inlineStr">
        <is>
          <t>subflota</t>
        </is>
      </c>
      <c r="K84" s="3" t="inlineStr">
        <is>
          <t>Conexion</t>
        </is>
      </c>
      <c r="L84" s="3" t="inlineStr">
        <is>
          <t>HBT</t>
        </is>
      </c>
    </row>
    <row r="85">
      <c r="B85" s="4" t="inlineStr">
        <is>
          <t>2782_0</t>
        </is>
      </c>
      <c r="C85" s="4" t="inlineStr">
        <is>
          <t>01/09/2026</t>
        </is>
      </c>
      <c r="D85" s="4" t="inlineStr">
        <is>
          <t>martes</t>
        </is>
      </c>
      <c r="E85" s="4" t="inlineStr">
        <is>
          <t>2236</t>
        </is>
      </c>
      <c r="F85" s="4" t="inlineStr">
        <is>
          <t>LIM</t>
        </is>
      </c>
      <c r="G85" s="4" t="inlineStr">
        <is>
          <t>PIU</t>
        </is>
      </c>
      <c r="H85" s="4" t="inlineStr">
        <is>
          <t>18:00:00</t>
        </is>
      </c>
      <c r="I85" s="4" t="inlineStr">
        <is>
          <t>19:40:00</t>
        </is>
      </c>
      <c r="J85" s="4" t="inlineStr">
        <is>
          <t>320</t>
        </is>
      </c>
      <c r="L85" s="4" t="inlineStr">
        <is>
          <t>01:40:00</t>
        </is>
      </c>
      <c r="M85" s="5" t="n"/>
      <c r="O85" s="5" t="n"/>
      <c r="Q85" s="4">
        <f>B85</f>
        <v/>
      </c>
      <c r="R85" s="4">
        <f>C85</f>
        <v/>
      </c>
      <c r="S85" s="4">
        <f>D85</f>
        <v/>
      </c>
      <c r="T85" s="4">
        <f>E85&amp;"/"&amp;E86</f>
        <v/>
      </c>
      <c r="U85" s="4">
        <f>F85&amp;"-"&amp;G85&amp;"-"&amp;F85</f>
        <v/>
      </c>
      <c r="V85" s="4">
        <f>IF($M$85="","",$M$85)</f>
        <v/>
      </c>
      <c r="W85" s="4">
        <f>IF($O$85="","",$O$85)</f>
        <v/>
      </c>
      <c r="X85" s="4">
        <f>J85</f>
        <v/>
      </c>
    </row>
    <row r="86">
      <c r="B86" s="4" t="inlineStr">
        <is>
          <t>2782_0</t>
        </is>
      </c>
      <c r="C86" s="4" t="inlineStr">
        <is>
          <t>01/09/2026</t>
        </is>
      </c>
      <c r="D86" s="4" t="inlineStr">
        <is>
          <t>martes</t>
        </is>
      </c>
      <c r="E86" s="4" t="inlineStr">
        <is>
          <t>2237</t>
        </is>
      </c>
      <c r="F86" s="4" t="inlineStr">
        <is>
          <t>PIU</t>
        </is>
      </c>
      <c r="G86" s="4" t="inlineStr">
        <is>
          <t>LIM</t>
        </is>
      </c>
      <c r="H86" s="4" t="inlineStr">
        <is>
          <t>20:15:00</t>
        </is>
      </c>
      <c r="I86" s="4" t="inlineStr">
        <is>
          <t>21:50:00</t>
        </is>
      </c>
      <c r="J86" s="4" t="inlineStr">
        <is>
          <t>320</t>
        </is>
      </c>
      <c r="K86">
        <f>TEXT(TIMEVALUE(H86)-TIMEVALUE(I85)+(TIMEVALUE(H86)&lt;TIMEVALUE(I85)),"[h]:mm")</f>
        <v/>
      </c>
      <c r="L86" s="4" t="inlineStr">
        <is>
          <t>01:35:00</t>
        </is>
      </c>
      <c r="O86">
        <f>"LIM-"&amp;G85&amp;"-LIM   LA "&amp;E85&amp;" ("&amp;LEFT(H85,5)&amp;"-"&amp;LEFT(I85,5)&amp;" hrs)  /  LA "&amp;E86&amp;" ("&amp;LEFT(H86,5)&amp;"-"&amp;LEFT(I86,5)&amp;" hrs)"</f>
        <v/>
      </c>
    </row>
    <row r="87">
      <c r="J87" s="7" t="inlineStr">
        <is>
          <t>PSV total:</t>
        </is>
      </c>
      <c r="K87" s="8">
        <f>TEXT(TIMEVALUE(I86)-TIMEVALUE(H85)+(I86&lt;H85),"[h]:mm")</f>
        <v/>
      </c>
    </row>
    <row r="89">
      <c r="B89" s="3" t="inlineStr">
        <is>
          <t>Pairing ID</t>
        </is>
      </c>
      <c r="C89" s="3" t="inlineStr">
        <is>
          <t>FECHA REAL</t>
        </is>
      </c>
      <c r="D89" s="3" t="inlineStr">
        <is>
          <t>Day of Week</t>
        </is>
      </c>
      <c r="E89" s="3" t="inlineStr">
        <is>
          <t>Flight No</t>
        </is>
      </c>
      <c r="F89" s="3" t="inlineStr">
        <is>
          <t>Dep Stn</t>
        </is>
      </c>
      <c r="G89" s="3" t="inlineStr">
        <is>
          <t>Arr Stn</t>
        </is>
      </c>
      <c r="H89" s="3" t="inlineStr">
        <is>
          <t>STD</t>
        </is>
      </c>
      <c r="I89" s="3" t="inlineStr">
        <is>
          <t>STA</t>
        </is>
      </c>
      <c r="J89" s="3" t="inlineStr">
        <is>
          <t>subflota</t>
        </is>
      </c>
      <c r="K89" s="3" t="inlineStr">
        <is>
          <t>Conexion</t>
        </is>
      </c>
      <c r="L89" s="3" t="inlineStr">
        <is>
          <t>HBT</t>
        </is>
      </c>
    </row>
    <row r="90">
      <c r="B90" s="4" t="inlineStr">
        <is>
          <t>66_0</t>
        </is>
      </c>
      <c r="C90" s="4" t="inlineStr">
        <is>
          <t>01/09/2026</t>
        </is>
      </c>
      <c r="D90" s="4" t="inlineStr">
        <is>
          <t>martes</t>
        </is>
      </c>
      <c r="E90" s="4" t="inlineStr">
        <is>
          <t>2236</t>
        </is>
      </c>
      <c r="F90" s="4" t="inlineStr">
        <is>
          <t>LIM</t>
        </is>
      </c>
      <c r="G90" s="4" t="inlineStr">
        <is>
          <t>PIU</t>
        </is>
      </c>
      <c r="H90" s="4" t="inlineStr">
        <is>
          <t>18:00:00</t>
        </is>
      </c>
      <c r="I90" s="4" t="inlineStr">
        <is>
          <t>19:40:00</t>
        </is>
      </c>
      <c r="J90" s="4" t="inlineStr">
        <is>
          <t>320</t>
        </is>
      </c>
      <c r="L90" s="4" t="inlineStr">
        <is>
          <t>01:40:00</t>
        </is>
      </c>
      <c r="M90" s="5" t="n"/>
      <c r="O90" s="5" t="n"/>
      <c r="Q90" s="4">
        <f>B90</f>
        <v/>
      </c>
      <c r="R90" s="4">
        <f>C90</f>
        <v/>
      </c>
      <c r="S90" s="4">
        <f>D90</f>
        <v/>
      </c>
      <c r="T90" s="4">
        <f>E90&amp;"/"&amp;E91</f>
        <v/>
      </c>
      <c r="U90" s="4">
        <f>F90&amp;"-"&amp;G90&amp;"-"&amp;F90</f>
        <v/>
      </c>
      <c r="V90" s="4">
        <f>IF($M$90="","",$M$90)</f>
        <v/>
      </c>
      <c r="W90" s="4">
        <f>IF($O$90="","",$O$90)</f>
        <v/>
      </c>
      <c r="X90" s="4">
        <f>J90</f>
        <v/>
      </c>
    </row>
    <row r="91">
      <c r="B91" s="4" t="inlineStr">
        <is>
          <t>66_0</t>
        </is>
      </c>
      <c r="C91" s="4" t="inlineStr">
        <is>
          <t>01/09/2026</t>
        </is>
      </c>
      <c r="D91" s="4" t="inlineStr">
        <is>
          <t>martes</t>
        </is>
      </c>
      <c r="E91" s="4" t="inlineStr">
        <is>
          <t>2237</t>
        </is>
      </c>
      <c r="F91" s="4" t="inlineStr">
        <is>
          <t>PIU</t>
        </is>
      </c>
      <c r="G91" s="4" t="inlineStr">
        <is>
          <t>LIM</t>
        </is>
      </c>
      <c r="H91" s="4" t="inlineStr">
        <is>
          <t>20:20:00</t>
        </is>
      </c>
      <c r="I91" s="4" t="inlineStr">
        <is>
          <t>21:50:00</t>
        </is>
      </c>
      <c r="J91" s="4" t="inlineStr">
        <is>
          <t>320</t>
        </is>
      </c>
      <c r="K91">
        <f>TEXT(TIMEVALUE(H91)-TIMEVALUE(I90)+(TIMEVALUE(H91)&lt;TIMEVALUE(I90)),"[h]:mm")</f>
        <v/>
      </c>
      <c r="L91" s="4" t="inlineStr">
        <is>
          <t>01:30:00</t>
        </is>
      </c>
      <c r="O91">
        <f>"LIM-"&amp;G90&amp;"-LIM   LA "&amp;E90&amp;" ("&amp;LEFT(H90,5)&amp;"-"&amp;LEFT(I90,5)&amp;" hrs)  /  LA "&amp;E91&amp;" ("&amp;LEFT(H91,5)&amp;"-"&amp;LEFT(I91,5)&amp;" hrs)"</f>
        <v/>
      </c>
    </row>
    <row r="92">
      <c r="J92" s="7" t="inlineStr">
        <is>
          <t>PSV total:</t>
        </is>
      </c>
      <c r="K92" s="8">
        <f>TEXT(TIMEVALUE(I91)-TIMEVALUE(H90)+(I91&lt;H90),"[h]:mm")</f>
        <v/>
      </c>
    </row>
    <row r="94">
      <c r="B94" s="3" t="inlineStr">
        <is>
          <t>Pairing ID</t>
        </is>
      </c>
      <c r="C94" s="3" t="inlineStr">
        <is>
          <t>FECHA REAL</t>
        </is>
      </c>
      <c r="D94" s="3" t="inlineStr">
        <is>
          <t>Day of Week</t>
        </is>
      </c>
      <c r="E94" s="3" t="inlineStr">
        <is>
          <t>Flight No</t>
        </is>
      </c>
      <c r="F94" s="3" t="inlineStr">
        <is>
          <t>Dep Stn</t>
        </is>
      </c>
      <c r="G94" s="3" t="inlineStr">
        <is>
          <t>Arr Stn</t>
        </is>
      </c>
      <c r="H94" s="3" t="inlineStr">
        <is>
          <t>STD</t>
        </is>
      </c>
      <c r="I94" s="3" t="inlineStr">
        <is>
          <t>STA</t>
        </is>
      </c>
      <c r="J94" s="3" t="inlineStr">
        <is>
          <t>subflota</t>
        </is>
      </c>
      <c r="K94" s="3" t="inlineStr">
        <is>
          <t>Conexion</t>
        </is>
      </c>
      <c r="L94" s="3" t="inlineStr">
        <is>
          <t>HBT</t>
        </is>
      </c>
    </row>
    <row r="95">
      <c r="B95" s="4" t="inlineStr">
        <is>
          <t>67_0</t>
        </is>
      </c>
      <c r="C95" s="4" t="inlineStr">
        <is>
          <t>01/09/2026</t>
        </is>
      </c>
      <c r="D95" s="4" t="inlineStr">
        <is>
          <t>martes</t>
        </is>
      </c>
      <c r="E95" s="4" t="inlineStr">
        <is>
          <t>2310</t>
        </is>
      </c>
      <c r="F95" s="4" t="inlineStr">
        <is>
          <t>LIM</t>
        </is>
      </c>
      <c r="G95" s="4" t="inlineStr">
        <is>
          <t>CIX</t>
        </is>
      </c>
      <c r="H95" s="4" t="inlineStr">
        <is>
          <t>18:20:00</t>
        </is>
      </c>
      <c r="I95" s="4" t="inlineStr">
        <is>
          <t>19:45:00</t>
        </is>
      </c>
      <c r="J95" s="4" t="inlineStr">
        <is>
          <t>320</t>
        </is>
      </c>
      <c r="L95" s="4" t="inlineStr">
        <is>
          <t>01:25:00</t>
        </is>
      </c>
      <c r="M95" s="5" t="n"/>
      <c r="O95" s="5" t="n"/>
      <c r="Q95" s="4">
        <f>B95</f>
        <v/>
      </c>
      <c r="R95" s="4">
        <f>C95</f>
        <v/>
      </c>
      <c r="S95" s="4">
        <f>D95</f>
        <v/>
      </c>
      <c r="T95" s="4">
        <f>E95&amp;"/"&amp;E96</f>
        <v/>
      </c>
      <c r="U95" s="4">
        <f>F95&amp;"-"&amp;G95&amp;"-"&amp;F95</f>
        <v/>
      </c>
      <c r="V95" s="4">
        <f>IF($M$95="","",$M$95)</f>
        <v/>
      </c>
      <c r="W95" s="4">
        <f>IF($O$95="","",$O$95)</f>
        <v/>
      </c>
      <c r="X95" s="4">
        <f>J95</f>
        <v/>
      </c>
    </row>
    <row r="96">
      <c r="B96" s="4" t="inlineStr">
        <is>
          <t>67_0</t>
        </is>
      </c>
      <c r="C96" s="4" t="inlineStr">
        <is>
          <t>01/09/2026</t>
        </is>
      </c>
      <c r="D96" s="4" t="inlineStr">
        <is>
          <t>martes</t>
        </is>
      </c>
      <c r="E96" s="4" t="inlineStr">
        <is>
          <t>2311</t>
        </is>
      </c>
      <c r="F96" s="4" t="inlineStr">
        <is>
          <t>CIX</t>
        </is>
      </c>
      <c r="G96" s="4" t="inlineStr">
        <is>
          <t>LIM</t>
        </is>
      </c>
      <c r="H96" s="4" t="inlineStr">
        <is>
          <t>20:20:00</t>
        </is>
      </c>
      <c r="I96" s="4" t="inlineStr">
        <is>
          <t>21:35:00</t>
        </is>
      </c>
      <c r="J96" s="4" t="inlineStr">
        <is>
          <t>320</t>
        </is>
      </c>
      <c r="K96">
        <f>TEXT(TIMEVALUE(H96)-TIMEVALUE(I95)+(TIMEVALUE(H96)&lt;TIMEVALUE(I95)),"[h]:mm")</f>
        <v/>
      </c>
      <c r="L96" s="4" t="inlineStr">
        <is>
          <t>01:15:00</t>
        </is>
      </c>
      <c r="O96">
        <f>"LIM-"&amp;G95&amp;"-LIM   LA "&amp;E95&amp;" ("&amp;LEFT(H95,5)&amp;"-"&amp;LEFT(I95,5)&amp;" hrs)  /  LA "&amp;E96&amp;" ("&amp;LEFT(H96,5)&amp;"-"&amp;LEFT(I96,5)&amp;" hrs)"</f>
        <v/>
      </c>
    </row>
    <row r="97">
      <c r="J97" s="7" t="inlineStr">
        <is>
          <t>PSV total:</t>
        </is>
      </c>
      <c r="K97" s="8">
        <f>TEXT(TIMEVALUE(I96)-TIMEVALUE(H95)+(I96&lt;H95),"[h]:mm")</f>
        <v/>
      </c>
    </row>
    <row r="99">
      <c r="B99" s="3" t="inlineStr">
        <is>
          <t>Pairing ID</t>
        </is>
      </c>
      <c r="C99" s="3" t="inlineStr">
        <is>
          <t>FECHA REAL</t>
        </is>
      </c>
      <c r="D99" s="3" t="inlineStr">
        <is>
          <t>Day of Week</t>
        </is>
      </c>
      <c r="E99" s="3" t="inlineStr">
        <is>
          <t>Flight No</t>
        </is>
      </c>
      <c r="F99" s="3" t="inlineStr">
        <is>
          <t>Dep Stn</t>
        </is>
      </c>
      <c r="G99" s="3" t="inlineStr">
        <is>
          <t>Arr Stn</t>
        </is>
      </c>
      <c r="H99" s="3" t="inlineStr">
        <is>
          <t>STD</t>
        </is>
      </c>
      <c r="I99" s="3" t="inlineStr">
        <is>
          <t>STA</t>
        </is>
      </c>
      <c r="J99" s="3" t="inlineStr">
        <is>
          <t>subflota</t>
        </is>
      </c>
      <c r="K99" s="3" t="inlineStr">
        <is>
          <t>Conexion</t>
        </is>
      </c>
      <c r="L99" s="3" t="inlineStr">
        <is>
          <t>HBT</t>
        </is>
      </c>
    </row>
    <row r="100">
      <c r="B100" s="4" t="inlineStr">
        <is>
          <t>2783_0</t>
        </is>
      </c>
      <c r="C100" s="4" t="inlineStr">
        <is>
          <t>01/09/2026</t>
        </is>
      </c>
      <c r="D100" s="4" t="inlineStr">
        <is>
          <t>martes</t>
        </is>
      </c>
      <c r="E100" s="4" t="inlineStr">
        <is>
          <t>2310</t>
        </is>
      </c>
      <c r="F100" s="4" t="inlineStr">
        <is>
          <t>LIM</t>
        </is>
      </c>
      <c r="G100" s="4" t="inlineStr">
        <is>
          <t>CIX</t>
        </is>
      </c>
      <c r="H100" s="4" t="inlineStr">
        <is>
          <t>18:20:00</t>
        </is>
      </c>
      <c r="I100" s="4" t="inlineStr">
        <is>
          <t>19:45:00</t>
        </is>
      </c>
      <c r="J100" s="4" t="inlineStr">
        <is>
          <t>320</t>
        </is>
      </c>
      <c r="L100" s="4" t="inlineStr">
        <is>
          <t>01:25:00</t>
        </is>
      </c>
      <c r="M100" s="5" t="n"/>
      <c r="O100" s="5" t="n"/>
      <c r="Q100" s="4">
        <f>B100</f>
        <v/>
      </c>
      <c r="R100" s="4">
        <f>C100</f>
        <v/>
      </c>
      <c r="S100" s="4">
        <f>D100</f>
        <v/>
      </c>
      <c r="T100" s="4">
        <f>E100&amp;"/"&amp;E101</f>
        <v/>
      </c>
      <c r="U100" s="4">
        <f>F100&amp;"-"&amp;G100&amp;"-"&amp;F100</f>
        <v/>
      </c>
      <c r="V100" s="4">
        <f>IF($M$100="","",$M$100)</f>
        <v/>
      </c>
      <c r="W100" s="4">
        <f>IF($O$100="","",$O$100)</f>
        <v/>
      </c>
      <c r="X100" s="4">
        <f>J100</f>
        <v/>
      </c>
    </row>
    <row r="101">
      <c r="B101" s="4" t="inlineStr">
        <is>
          <t>2783_0</t>
        </is>
      </c>
      <c r="C101" s="4" t="inlineStr">
        <is>
          <t>01/09/2026</t>
        </is>
      </c>
      <c r="D101" s="4" t="inlineStr">
        <is>
          <t>martes</t>
        </is>
      </c>
      <c r="E101" s="4" t="inlineStr">
        <is>
          <t>2311</t>
        </is>
      </c>
      <c r="F101" s="4" t="inlineStr">
        <is>
          <t>CIX</t>
        </is>
      </c>
      <c r="G101" s="4" t="inlineStr">
        <is>
          <t>LIM</t>
        </is>
      </c>
      <c r="H101" s="4" t="inlineStr">
        <is>
          <t>20:20:00</t>
        </is>
      </c>
      <c r="I101" s="4" t="inlineStr">
        <is>
          <t>21:35:00</t>
        </is>
      </c>
      <c r="J101" s="4" t="inlineStr">
        <is>
          <t>320</t>
        </is>
      </c>
      <c r="K101">
        <f>TEXT(TIMEVALUE(H101)-TIMEVALUE(I100)+(TIMEVALUE(H101)&lt;TIMEVALUE(I100)),"[h]:mm")</f>
        <v/>
      </c>
      <c r="L101" s="4" t="inlineStr">
        <is>
          <t>01:15:00</t>
        </is>
      </c>
      <c r="O101">
        <f>"LIM-"&amp;G100&amp;"-LIM   LA "&amp;E100&amp;" ("&amp;LEFT(H100,5)&amp;"-"&amp;LEFT(I100,5)&amp;" hrs)  /  LA "&amp;E101&amp;" ("&amp;LEFT(H101,5)&amp;"-"&amp;LEFT(I101,5)&amp;" hrs)"</f>
        <v/>
      </c>
    </row>
    <row r="102">
      <c r="J102" s="7" t="inlineStr">
        <is>
          <t>PSV total:</t>
        </is>
      </c>
      <c r="K102" s="8">
        <f>TEXT(TIMEVALUE(I101)-TIMEVALUE(H100)+(I101&lt;H100),"[h]:mm")</f>
        <v/>
      </c>
    </row>
    <row r="104">
      <c r="B104" s="3" t="inlineStr">
        <is>
          <t>Pairing ID</t>
        </is>
      </c>
      <c r="C104" s="3" t="inlineStr">
        <is>
          <t>FECHA REAL</t>
        </is>
      </c>
      <c r="D104" s="3" t="inlineStr">
        <is>
          <t>Day of Week</t>
        </is>
      </c>
      <c r="E104" s="3" t="inlineStr">
        <is>
          <t>Flight No</t>
        </is>
      </c>
      <c r="F104" s="3" t="inlineStr">
        <is>
          <t>Dep Stn</t>
        </is>
      </c>
      <c r="G104" s="3" t="inlineStr">
        <is>
          <t>Arr Stn</t>
        </is>
      </c>
      <c r="H104" s="3" t="inlineStr">
        <is>
          <t>STD</t>
        </is>
      </c>
      <c r="I104" s="3" t="inlineStr">
        <is>
          <t>STA</t>
        </is>
      </c>
      <c r="J104" s="3" t="inlineStr">
        <is>
          <t>subflota</t>
        </is>
      </c>
      <c r="K104" s="3" t="inlineStr">
        <is>
          <t>Conexion</t>
        </is>
      </c>
      <c r="L104" s="3" t="inlineStr">
        <is>
          <t>HBT</t>
        </is>
      </c>
    </row>
    <row r="105">
      <c r="B105" s="4" t="inlineStr">
        <is>
          <t>69_0</t>
        </is>
      </c>
      <c r="C105" s="4" t="inlineStr">
        <is>
          <t>01/09/2026</t>
        </is>
      </c>
      <c r="D105" s="4" t="inlineStr">
        <is>
          <t>martes</t>
        </is>
      </c>
      <c r="E105" s="4" t="inlineStr">
        <is>
          <t>2091</t>
        </is>
      </c>
      <c r="F105" s="4" t="inlineStr">
        <is>
          <t>LIM</t>
        </is>
      </c>
      <c r="G105" s="4" t="inlineStr">
        <is>
          <t>TPP</t>
        </is>
      </c>
      <c r="H105" s="4" t="inlineStr">
        <is>
          <t>18:30:00</t>
        </is>
      </c>
      <c r="I105" s="4" t="inlineStr">
        <is>
          <t>19:55:00</t>
        </is>
      </c>
      <c r="J105" s="4" t="inlineStr">
        <is>
          <t>320</t>
        </is>
      </c>
      <c r="L105" s="4" t="inlineStr">
        <is>
          <t>01:25:00</t>
        </is>
      </c>
      <c r="M105" s="5" t="n"/>
      <c r="O105" s="5" t="n"/>
      <c r="Q105" s="4">
        <f>B105</f>
        <v/>
      </c>
      <c r="R105" s="4">
        <f>C105</f>
        <v/>
      </c>
      <c r="S105" s="4">
        <f>D105</f>
        <v/>
      </c>
      <c r="T105" s="4">
        <f>E105&amp;"/"&amp;E106</f>
        <v/>
      </c>
      <c r="U105" s="4">
        <f>F105&amp;"-"&amp;G105&amp;"-"&amp;F105</f>
        <v/>
      </c>
      <c r="V105" s="4">
        <f>IF($M$105="","",$M$105)</f>
        <v/>
      </c>
      <c r="W105" s="4">
        <f>IF($O$105="","",$O$105)</f>
        <v/>
      </c>
      <c r="X105" s="4">
        <f>J105</f>
        <v/>
      </c>
    </row>
    <row r="106">
      <c r="B106" s="4" t="inlineStr">
        <is>
          <t>69_0</t>
        </is>
      </c>
      <c r="C106" s="4" t="inlineStr">
        <is>
          <t>01/09/2026</t>
        </is>
      </c>
      <c r="D106" s="4" t="inlineStr">
        <is>
          <t>martes</t>
        </is>
      </c>
      <c r="E106" s="4" t="inlineStr">
        <is>
          <t>2092</t>
        </is>
      </c>
      <c r="F106" s="4" t="inlineStr">
        <is>
          <t>TPP</t>
        </is>
      </c>
      <c r="G106" s="4" t="inlineStr">
        <is>
          <t>LIM</t>
        </is>
      </c>
      <c r="H106" s="4" t="inlineStr">
        <is>
          <t>20:30:00</t>
        </is>
      </c>
      <c r="I106" s="4" t="inlineStr">
        <is>
          <t>21:55:00</t>
        </is>
      </c>
      <c r="J106" s="4" t="inlineStr">
        <is>
          <t>320</t>
        </is>
      </c>
      <c r="K106">
        <f>TEXT(TIMEVALUE(H106)-TIMEVALUE(I105)+(TIMEVALUE(H106)&lt;TIMEVALUE(I105)),"[h]:mm")</f>
        <v/>
      </c>
      <c r="L106" s="4" t="inlineStr">
        <is>
          <t>01:25:00</t>
        </is>
      </c>
      <c r="O106">
        <f>"LIM-"&amp;G105&amp;"-LIM   LA "&amp;E105&amp;" ("&amp;LEFT(H105,5)&amp;"-"&amp;LEFT(I105,5)&amp;" hrs)  /  LA "&amp;E106&amp;" ("&amp;LEFT(H106,5)&amp;"-"&amp;LEFT(I106,5)&amp;" hrs)"</f>
        <v/>
      </c>
    </row>
    <row r="107">
      <c r="J107" s="7" t="inlineStr">
        <is>
          <t>PSV total:</t>
        </is>
      </c>
      <c r="K107" s="8">
        <f>TEXT(TIMEVALUE(I106)-TIMEVALUE(H105)+(I106&lt;H105),"[h]:mm")</f>
        <v/>
      </c>
    </row>
    <row r="109">
      <c r="B109" s="3" t="inlineStr">
        <is>
          <t>Pairing ID</t>
        </is>
      </c>
      <c r="C109" s="3" t="inlineStr">
        <is>
          <t>FECHA REAL</t>
        </is>
      </c>
      <c r="D109" s="3" t="inlineStr">
        <is>
          <t>Day of Week</t>
        </is>
      </c>
      <c r="E109" s="3" t="inlineStr">
        <is>
          <t>Flight No</t>
        </is>
      </c>
      <c r="F109" s="3" t="inlineStr">
        <is>
          <t>Dep Stn</t>
        </is>
      </c>
      <c r="G109" s="3" t="inlineStr">
        <is>
          <t>Arr Stn</t>
        </is>
      </c>
      <c r="H109" s="3" t="inlineStr">
        <is>
          <t>STD</t>
        </is>
      </c>
      <c r="I109" s="3" t="inlineStr">
        <is>
          <t>STA</t>
        </is>
      </c>
      <c r="J109" s="3" t="inlineStr">
        <is>
          <t>subflota</t>
        </is>
      </c>
      <c r="K109" s="3" t="inlineStr">
        <is>
          <t>Conexion</t>
        </is>
      </c>
      <c r="L109" s="3" t="inlineStr">
        <is>
          <t>HBT</t>
        </is>
      </c>
    </row>
    <row r="110">
      <c r="B110" s="4" t="inlineStr">
        <is>
          <t>160_0</t>
        </is>
      </c>
      <c r="C110" s="4" t="inlineStr">
        <is>
          <t>01/09/2026</t>
        </is>
      </c>
      <c r="D110" s="4" t="inlineStr">
        <is>
          <t>martes</t>
        </is>
      </c>
      <c r="E110" s="4" t="inlineStr">
        <is>
          <t>2091</t>
        </is>
      </c>
      <c r="F110" s="4" t="inlineStr">
        <is>
          <t>LIM</t>
        </is>
      </c>
      <c r="G110" s="4" t="inlineStr">
        <is>
          <t>TPP</t>
        </is>
      </c>
      <c r="H110" s="4" t="inlineStr">
        <is>
          <t>18:30:00</t>
        </is>
      </c>
      <c r="I110" s="4" t="inlineStr">
        <is>
          <t>19:55:00</t>
        </is>
      </c>
      <c r="J110" s="4" t="inlineStr">
        <is>
          <t>320</t>
        </is>
      </c>
      <c r="L110" s="4" t="inlineStr">
        <is>
          <t>01:25:00</t>
        </is>
      </c>
      <c r="M110" s="5" t="n"/>
      <c r="O110" s="5" t="n"/>
      <c r="Q110" s="4">
        <f>B110</f>
        <v/>
      </c>
      <c r="R110" s="4">
        <f>C110</f>
        <v/>
      </c>
      <c r="S110" s="4">
        <f>D110</f>
        <v/>
      </c>
      <c r="T110" s="4">
        <f>E110&amp;"/"&amp;E111</f>
        <v/>
      </c>
      <c r="U110" s="4">
        <f>F110&amp;"-"&amp;G110&amp;"-"&amp;F110</f>
        <v/>
      </c>
      <c r="V110" s="4">
        <f>IF($M$110="","",$M$110)</f>
        <v/>
      </c>
      <c r="W110" s="4">
        <f>IF($O$110="","",$O$110)</f>
        <v/>
      </c>
      <c r="X110" s="4">
        <f>J110</f>
        <v/>
      </c>
    </row>
    <row r="111">
      <c r="B111" s="4" t="inlineStr">
        <is>
          <t>160_0</t>
        </is>
      </c>
      <c r="C111" s="4" t="inlineStr">
        <is>
          <t>01/09/2026</t>
        </is>
      </c>
      <c r="D111" s="4" t="inlineStr">
        <is>
          <t>martes</t>
        </is>
      </c>
      <c r="E111" s="4" t="inlineStr">
        <is>
          <t>2092</t>
        </is>
      </c>
      <c r="F111" s="4" t="inlineStr">
        <is>
          <t>TPP</t>
        </is>
      </c>
      <c r="G111" s="4" t="inlineStr">
        <is>
          <t>LIM</t>
        </is>
      </c>
      <c r="H111" s="4" t="inlineStr">
        <is>
          <t>20:30:00</t>
        </is>
      </c>
      <c r="I111" s="4" t="inlineStr">
        <is>
          <t>21:55:00</t>
        </is>
      </c>
      <c r="J111" s="4" t="inlineStr">
        <is>
          <t>320</t>
        </is>
      </c>
      <c r="K111">
        <f>TEXT(TIMEVALUE(H111)-TIMEVALUE(I110)+(TIMEVALUE(H111)&lt;TIMEVALUE(I110)),"[h]:mm")</f>
        <v/>
      </c>
      <c r="L111" s="4" t="inlineStr">
        <is>
          <t>01:25:00</t>
        </is>
      </c>
      <c r="O111">
        <f>"LIM-"&amp;G110&amp;"-LIM   LA "&amp;E110&amp;" ("&amp;LEFT(H110,5)&amp;"-"&amp;LEFT(I110,5)&amp;" hrs)  /  LA "&amp;E111&amp;" ("&amp;LEFT(H111,5)&amp;"-"&amp;LEFT(I111,5)&amp;" hrs)"</f>
        <v/>
      </c>
    </row>
    <row r="112">
      <c r="J112" s="7" t="inlineStr">
        <is>
          <t>PSV total:</t>
        </is>
      </c>
      <c r="K112" s="8">
        <f>TEXT(TIMEVALUE(I111)-TIMEVALUE(H110)+(I111&lt;H110),"[h]:mm")</f>
        <v/>
      </c>
    </row>
    <row r="114">
      <c r="B114" s="3" t="inlineStr">
        <is>
          <t>Pairing ID</t>
        </is>
      </c>
      <c r="C114" s="3" t="inlineStr">
        <is>
          <t>FECHA REAL</t>
        </is>
      </c>
      <c r="D114" s="3" t="inlineStr">
        <is>
          <t>Day of Week</t>
        </is>
      </c>
      <c r="E114" s="3" t="inlineStr">
        <is>
          <t>Flight No</t>
        </is>
      </c>
      <c r="F114" s="3" t="inlineStr">
        <is>
          <t>Dep Stn</t>
        </is>
      </c>
      <c r="G114" s="3" t="inlineStr">
        <is>
          <t>Arr Stn</t>
        </is>
      </c>
      <c r="H114" s="3" t="inlineStr">
        <is>
          <t>STD</t>
        </is>
      </c>
      <c r="I114" s="3" t="inlineStr">
        <is>
          <t>STA</t>
        </is>
      </c>
      <c r="J114" s="3" t="inlineStr">
        <is>
          <t>subflota</t>
        </is>
      </c>
      <c r="K114" s="3" t="inlineStr">
        <is>
          <t>Conexion</t>
        </is>
      </c>
      <c r="L114" s="3" t="inlineStr">
        <is>
          <t>HBT</t>
        </is>
      </c>
    </row>
    <row r="115">
      <c r="B115" s="4" t="inlineStr">
        <is>
          <t>2784_0</t>
        </is>
      </c>
      <c r="C115" s="4" t="inlineStr">
        <is>
          <t>01/09/2026</t>
        </is>
      </c>
      <c r="D115" s="4" t="inlineStr">
        <is>
          <t>martes</t>
        </is>
      </c>
      <c r="E115" s="4" t="inlineStr">
        <is>
          <t>2091</t>
        </is>
      </c>
      <c r="F115" s="4" t="inlineStr">
        <is>
          <t>LIM</t>
        </is>
      </c>
      <c r="G115" s="4" t="inlineStr">
        <is>
          <t>TPP</t>
        </is>
      </c>
      <c r="H115" s="4" t="inlineStr">
        <is>
          <t>18:30:00</t>
        </is>
      </c>
      <c r="I115" s="4" t="inlineStr">
        <is>
          <t>19:55:00</t>
        </is>
      </c>
      <c r="J115" s="4" t="inlineStr">
        <is>
          <t>319</t>
        </is>
      </c>
      <c r="L115" s="4" t="inlineStr">
        <is>
          <t>01:25:00</t>
        </is>
      </c>
      <c r="M115" s="5" t="n"/>
      <c r="O115" s="5" t="n"/>
      <c r="Q115" s="4">
        <f>B115</f>
        <v/>
      </c>
      <c r="R115" s="4">
        <f>C115</f>
        <v/>
      </c>
      <c r="S115" s="4">
        <f>D115</f>
        <v/>
      </c>
      <c r="T115" s="4">
        <f>E115&amp;"/"&amp;E116</f>
        <v/>
      </c>
      <c r="U115" s="4">
        <f>F115&amp;"-"&amp;G115&amp;"-"&amp;F115</f>
        <v/>
      </c>
      <c r="V115" s="4">
        <f>IF($M$115="","",$M$115)</f>
        <v/>
      </c>
      <c r="W115" s="4">
        <f>IF($O$115="","",$O$115)</f>
        <v/>
      </c>
      <c r="X115" s="4">
        <f>J115</f>
        <v/>
      </c>
    </row>
    <row r="116">
      <c r="B116" s="4" t="inlineStr">
        <is>
          <t>2784_0</t>
        </is>
      </c>
      <c r="C116" s="4" t="inlineStr">
        <is>
          <t>01/09/2026</t>
        </is>
      </c>
      <c r="D116" s="4" t="inlineStr">
        <is>
          <t>martes</t>
        </is>
      </c>
      <c r="E116" s="4" t="inlineStr">
        <is>
          <t>2092</t>
        </is>
      </c>
      <c r="F116" s="4" t="inlineStr">
        <is>
          <t>TPP</t>
        </is>
      </c>
      <c r="G116" s="4" t="inlineStr">
        <is>
          <t>LIM</t>
        </is>
      </c>
      <c r="H116" s="4" t="inlineStr">
        <is>
          <t>20:30:00</t>
        </is>
      </c>
      <c r="I116" s="4" t="inlineStr">
        <is>
          <t>21:55:00</t>
        </is>
      </c>
      <c r="J116" s="4" t="inlineStr">
        <is>
          <t>319</t>
        </is>
      </c>
      <c r="K116">
        <f>TEXT(TIMEVALUE(H116)-TIMEVALUE(I115)+(TIMEVALUE(H116)&lt;TIMEVALUE(I115)),"[h]:mm")</f>
        <v/>
      </c>
      <c r="L116" s="4" t="inlineStr">
        <is>
          <t>01:25:00</t>
        </is>
      </c>
      <c r="O116">
        <f>"LIM-"&amp;G115&amp;"-LIM   LA "&amp;E115&amp;" ("&amp;LEFT(H115,5)&amp;"-"&amp;LEFT(I115,5)&amp;" hrs)  /  LA "&amp;E116&amp;" ("&amp;LEFT(H116,5)&amp;"-"&amp;LEFT(I116,5)&amp;" hrs)"</f>
        <v/>
      </c>
    </row>
    <row r="117">
      <c r="J117" s="7" t="inlineStr">
        <is>
          <t>PSV total:</t>
        </is>
      </c>
      <c r="K117" s="8">
        <f>TEXT(TIMEVALUE(I116)-TIMEVALUE(H115)+(I116&lt;H115),"[h]:mm")</f>
        <v/>
      </c>
    </row>
    <row r="119">
      <c r="B119" s="3" t="inlineStr">
        <is>
          <t>Pairing ID</t>
        </is>
      </c>
      <c r="C119" s="3" t="inlineStr">
        <is>
          <t>FECHA REAL</t>
        </is>
      </c>
      <c r="D119" s="3" t="inlineStr">
        <is>
          <t>Day of Week</t>
        </is>
      </c>
      <c r="E119" s="3" t="inlineStr">
        <is>
          <t>Flight No</t>
        </is>
      </c>
      <c r="F119" s="3" t="inlineStr">
        <is>
          <t>Dep Stn</t>
        </is>
      </c>
      <c r="G119" s="3" t="inlineStr">
        <is>
          <t>Arr Stn</t>
        </is>
      </c>
      <c r="H119" s="3" t="inlineStr">
        <is>
          <t>STD</t>
        </is>
      </c>
      <c r="I119" s="3" t="inlineStr">
        <is>
          <t>STA</t>
        </is>
      </c>
      <c r="J119" s="3" t="inlineStr">
        <is>
          <t>subflota</t>
        </is>
      </c>
      <c r="K119" s="3" t="inlineStr">
        <is>
          <t>Conexion</t>
        </is>
      </c>
      <c r="L119" s="3" t="inlineStr">
        <is>
          <t>HBT</t>
        </is>
      </c>
    </row>
    <row r="120">
      <c r="B120" s="4" t="inlineStr">
        <is>
          <t>205_0</t>
        </is>
      </c>
      <c r="C120" s="4" t="inlineStr">
        <is>
          <t>02/09/2026</t>
        </is>
      </c>
      <c r="D120" s="4" t="inlineStr">
        <is>
          <t>miércoles</t>
        </is>
      </c>
      <c r="E120" s="4" t="inlineStr">
        <is>
          <t>2013</t>
        </is>
      </c>
      <c r="F120" s="4" t="inlineStr">
        <is>
          <t>LIM</t>
        </is>
      </c>
      <c r="G120" s="4" t="inlineStr">
        <is>
          <t>CUZ</t>
        </is>
      </c>
      <c r="H120" s="4" t="inlineStr">
        <is>
          <t>08:40:00</t>
        </is>
      </c>
      <c r="I120" s="4" t="inlineStr">
        <is>
          <t>10:00:00</t>
        </is>
      </c>
      <c r="J120" s="4" t="inlineStr">
        <is>
          <t>320</t>
        </is>
      </c>
      <c r="L120" s="4" t="inlineStr">
        <is>
          <t>01:20:00</t>
        </is>
      </c>
      <c r="M120" s="5" t="n"/>
      <c r="O120" s="5" t="n"/>
      <c r="Q120" s="4">
        <f>B120</f>
        <v/>
      </c>
      <c r="R120" s="4">
        <f>C120</f>
        <v/>
      </c>
      <c r="S120" s="4">
        <f>D120</f>
        <v/>
      </c>
      <c r="T120" s="4">
        <f>E120&amp;"/"&amp;E121</f>
        <v/>
      </c>
      <c r="U120" s="4">
        <f>F120&amp;"-"&amp;G120&amp;"-"&amp;F120</f>
        <v/>
      </c>
      <c r="V120" s="4">
        <f>IF($M$120="","",$M$120)</f>
        <v/>
      </c>
      <c r="W120" s="4">
        <f>IF($O$120="","",$O$120)</f>
        <v/>
      </c>
      <c r="X120" s="4">
        <f>J120</f>
        <v/>
      </c>
    </row>
    <row r="121">
      <c r="B121" s="4" t="inlineStr">
        <is>
          <t>205_0</t>
        </is>
      </c>
      <c r="C121" s="4" t="inlineStr">
        <is>
          <t>02/09/2026</t>
        </is>
      </c>
      <c r="D121" s="4" t="inlineStr">
        <is>
          <t>miércoles</t>
        </is>
      </c>
      <c r="E121" s="4" t="inlineStr">
        <is>
          <t>2014</t>
        </is>
      </c>
      <c r="F121" s="4" t="inlineStr">
        <is>
          <t>CUZ</t>
        </is>
      </c>
      <c r="G121" s="4" t="inlineStr">
        <is>
          <t>LIM</t>
        </is>
      </c>
      <c r="H121" s="4" t="inlineStr">
        <is>
          <t>10:40:00</t>
        </is>
      </c>
      <c r="I121" s="4" t="inlineStr">
        <is>
          <t>12:15:00</t>
        </is>
      </c>
      <c r="J121" s="4" t="inlineStr">
        <is>
          <t>320</t>
        </is>
      </c>
      <c r="K121">
        <f>TEXT(TIMEVALUE(H121)-TIMEVALUE(I120)+(TIMEVALUE(H121)&lt;TIMEVALUE(I120)),"[h]:mm")</f>
        <v/>
      </c>
      <c r="L121" s="4" t="inlineStr">
        <is>
          <t>01:35:00</t>
        </is>
      </c>
      <c r="O121">
        <f>"LIM-"&amp;G120&amp;"-LIM   LA "&amp;E120&amp;" ("&amp;LEFT(H120,5)&amp;"-"&amp;LEFT(I120,5)&amp;" hrs)  /  LA "&amp;E121&amp;" ("&amp;LEFT(H121,5)&amp;"-"&amp;LEFT(I121,5)&amp;" hrs)"</f>
        <v/>
      </c>
    </row>
    <row r="122">
      <c r="J122" s="7" t="inlineStr">
        <is>
          <t>PSV total:</t>
        </is>
      </c>
      <c r="K122" s="8">
        <f>TEXT(TIMEVALUE(I121)-TIMEVALUE(H120)+(I121&lt;H120),"[h]:mm")</f>
        <v/>
      </c>
    </row>
    <row r="124">
      <c r="B124" s="3" t="inlineStr">
        <is>
          <t>Pairing ID</t>
        </is>
      </c>
      <c r="C124" s="3" t="inlineStr">
        <is>
          <t>FECHA REAL</t>
        </is>
      </c>
      <c r="D124" s="3" t="inlineStr">
        <is>
          <t>Day of Week</t>
        </is>
      </c>
      <c r="E124" s="3" t="inlineStr">
        <is>
          <t>Flight No</t>
        </is>
      </c>
      <c r="F124" s="3" t="inlineStr">
        <is>
          <t>Dep Stn</t>
        </is>
      </c>
      <c r="G124" s="3" t="inlineStr">
        <is>
          <t>Arr Stn</t>
        </is>
      </c>
      <c r="H124" s="3" t="inlineStr">
        <is>
          <t>STD</t>
        </is>
      </c>
      <c r="I124" s="3" t="inlineStr">
        <is>
          <t>STA</t>
        </is>
      </c>
      <c r="J124" s="3" t="inlineStr">
        <is>
          <t>subflota</t>
        </is>
      </c>
      <c r="K124" s="3" t="inlineStr">
        <is>
          <t>Conexion</t>
        </is>
      </c>
      <c r="L124" s="3" t="inlineStr">
        <is>
          <t>HBT</t>
        </is>
      </c>
    </row>
    <row r="125">
      <c r="B125" s="4" t="inlineStr">
        <is>
          <t>209_0</t>
        </is>
      </c>
      <c r="C125" s="4" t="inlineStr">
        <is>
          <t>02/09/2026</t>
        </is>
      </c>
      <c r="D125" s="4" t="inlineStr">
        <is>
          <t>miércoles</t>
        </is>
      </c>
      <c r="E125" s="4" t="inlineStr">
        <is>
          <t>2007</t>
        </is>
      </c>
      <c r="F125" s="4" t="inlineStr">
        <is>
          <t>LIM</t>
        </is>
      </c>
      <c r="G125" s="4" t="inlineStr">
        <is>
          <t>CUZ</t>
        </is>
      </c>
      <c r="H125" s="4" t="inlineStr">
        <is>
          <t>09:10:00</t>
        </is>
      </c>
      <c r="I125" s="4" t="inlineStr">
        <is>
          <t>10:30:00</t>
        </is>
      </c>
      <c r="J125" s="4" t="inlineStr">
        <is>
          <t>319</t>
        </is>
      </c>
      <c r="L125" s="4" t="inlineStr">
        <is>
          <t>01:20:00</t>
        </is>
      </c>
      <c r="M125" s="5" t="n"/>
      <c r="O125" s="5" t="n"/>
      <c r="Q125" s="4">
        <f>B125</f>
        <v/>
      </c>
      <c r="R125" s="4">
        <f>C125</f>
        <v/>
      </c>
      <c r="S125" s="4">
        <f>D125</f>
        <v/>
      </c>
      <c r="T125" s="4">
        <f>E125&amp;"/"&amp;E126</f>
        <v/>
      </c>
      <c r="U125" s="4">
        <f>F125&amp;"-"&amp;G125&amp;"-"&amp;F125</f>
        <v/>
      </c>
      <c r="V125" s="4">
        <f>IF($M$125="","",$M$125)</f>
        <v/>
      </c>
      <c r="W125" s="4">
        <f>IF($O$125="","",$O$125)</f>
        <v/>
      </c>
      <c r="X125" s="4">
        <f>J125</f>
        <v/>
      </c>
    </row>
    <row r="126">
      <c r="B126" s="4" t="inlineStr">
        <is>
          <t>209_0</t>
        </is>
      </c>
      <c r="C126" s="4" t="inlineStr">
        <is>
          <t>02/09/2026</t>
        </is>
      </c>
      <c r="D126" s="4" t="inlineStr">
        <is>
          <t>miércoles</t>
        </is>
      </c>
      <c r="E126" s="4" t="inlineStr">
        <is>
          <t>2008</t>
        </is>
      </c>
      <c r="F126" s="4" t="inlineStr">
        <is>
          <t>CUZ</t>
        </is>
      </c>
      <c r="G126" s="4" t="inlineStr">
        <is>
          <t>LIM</t>
        </is>
      </c>
      <c r="H126" s="4" t="inlineStr">
        <is>
          <t>11:20:00</t>
        </is>
      </c>
      <c r="I126" s="4" t="inlineStr">
        <is>
          <t>12:55:00</t>
        </is>
      </c>
      <c r="J126" s="4" t="inlineStr">
        <is>
          <t>319</t>
        </is>
      </c>
      <c r="K126">
        <f>TEXT(TIMEVALUE(H126)-TIMEVALUE(I125)+(TIMEVALUE(H126)&lt;TIMEVALUE(I125)),"[h]:mm")</f>
        <v/>
      </c>
      <c r="L126" s="4" t="inlineStr">
        <is>
          <t>01:35:00</t>
        </is>
      </c>
      <c r="O126">
        <f>"LIM-"&amp;G125&amp;"-LIM   LA "&amp;E125&amp;" ("&amp;LEFT(H125,5)&amp;"-"&amp;LEFT(I125,5)&amp;" hrs)  /  LA "&amp;E126&amp;" ("&amp;LEFT(H126,5)&amp;"-"&amp;LEFT(I126,5)&amp;" hrs)"</f>
        <v/>
      </c>
    </row>
    <row r="127">
      <c r="B127" s="4" t="inlineStr">
        <is>
          <t>229_0</t>
        </is>
      </c>
      <c r="C127" s="4" t="inlineStr">
        <is>
          <t>02/09/2026</t>
        </is>
      </c>
      <c r="D127" s="4" t="inlineStr">
        <is>
          <t>miércoles</t>
        </is>
      </c>
      <c r="E127" s="4" t="inlineStr">
        <is>
          <t>2087</t>
        </is>
      </c>
      <c r="F127" s="4" t="inlineStr">
        <is>
          <t>LIM</t>
        </is>
      </c>
      <c r="G127" s="4" t="inlineStr">
        <is>
          <t>TPP</t>
        </is>
      </c>
      <c r="H127" s="4" t="inlineStr">
        <is>
          <t>14:05:00</t>
        </is>
      </c>
      <c r="I127" s="4" t="inlineStr">
        <is>
          <t>15:30:00</t>
        </is>
      </c>
      <c r="J127" s="4" t="inlineStr">
        <is>
          <t>320</t>
        </is>
      </c>
      <c r="K127" s="6">
        <f>TEXT(TIMEVALUE(H127)-TIMEVALUE(I126)+(TIMEVALUE(H127)&lt;TIMEVALUE(I126)),"[h]:mm")</f>
        <v/>
      </c>
      <c r="L127" s="4" t="inlineStr">
        <is>
          <t>01:25:00</t>
        </is>
      </c>
      <c r="M127">
        <f>IF($M$125="","",$M$125)</f>
        <v/>
      </c>
      <c r="O127">
        <f>IF($O$125="","",$O$125)</f>
        <v/>
      </c>
      <c r="Q127" s="4">
        <f>B127</f>
        <v/>
      </c>
      <c r="R127" s="4">
        <f>C127</f>
        <v/>
      </c>
      <c r="S127" s="4">
        <f>D127</f>
        <v/>
      </c>
      <c r="T127" s="4">
        <f>E127&amp;"/"&amp;E128</f>
        <v/>
      </c>
      <c r="U127" s="4">
        <f>F127&amp;"-"&amp;G127&amp;"-"&amp;F127</f>
        <v/>
      </c>
      <c r="V127" s="4">
        <f>IF($M$125="","",$M$125)</f>
        <v/>
      </c>
      <c r="W127" s="4">
        <f>IF($O$125="","",$O$125)</f>
        <v/>
      </c>
      <c r="X127" s="4">
        <f>J127</f>
        <v/>
      </c>
    </row>
    <row r="128">
      <c r="B128" s="4" t="inlineStr">
        <is>
          <t>229_0</t>
        </is>
      </c>
      <c r="C128" s="4" t="inlineStr">
        <is>
          <t>02/09/2026</t>
        </is>
      </c>
      <c r="D128" s="4" t="inlineStr">
        <is>
          <t>miércoles</t>
        </is>
      </c>
      <c r="E128" s="4" t="inlineStr">
        <is>
          <t>2088</t>
        </is>
      </c>
      <c r="F128" s="4" t="inlineStr">
        <is>
          <t>TPP</t>
        </is>
      </c>
      <c r="G128" s="4" t="inlineStr">
        <is>
          <t>LIM</t>
        </is>
      </c>
      <c r="H128" s="4" t="inlineStr">
        <is>
          <t>16:05:00</t>
        </is>
      </c>
      <c r="I128" s="4" t="inlineStr">
        <is>
          <t>17:30:00</t>
        </is>
      </c>
      <c r="J128" s="4" t="inlineStr">
        <is>
          <t>320</t>
        </is>
      </c>
      <c r="K128">
        <f>TEXT(TIMEVALUE(H128)-TIMEVALUE(I127)+(TIMEVALUE(H128)&lt;TIMEVALUE(I127)),"[h]:mm")</f>
        <v/>
      </c>
      <c r="L128" s="4" t="inlineStr">
        <is>
          <t>01:25:00</t>
        </is>
      </c>
      <c r="O128">
        <f>"LIM-"&amp;G127&amp;"-LIM   LA "&amp;E127&amp;" ("&amp;LEFT(H127,5)&amp;"-"&amp;LEFT(I127,5)&amp;" hrs)  /  LA "&amp;E128&amp;" ("&amp;LEFT(H128,5)&amp;"-"&amp;LEFT(I128,5)&amp;" hrs)"</f>
        <v/>
      </c>
    </row>
    <row r="129">
      <c r="J129" s="7" t="inlineStr">
        <is>
          <t>PSV total:</t>
        </is>
      </c>
      <c r="K129" s="8">
        <f>TEXT(TIMEVALUE(I128)-TIMEVALUE(H125)+(I128&lt;H125),"[h]:mm")</f>
        <v/>
      </c>
    </row>
    <row r="131">
      <c r="B131" s="3" t="inlineStr">
        <is>
          <t>Pairing ID</t>
        </is>
      </c>
      <c r="C131" s="3" t="inlineStr">
        <is>
          <t>FECHA REAL</t>
        </is>
      </c>
      <c r="D131" s="3" t="inlineStr">
        <is>
          <t>Day of Week</t>
        </is>
      </c>
      <c r="E131" s="3" t="inlineStr">
        <is>
          <t>Flight No</t>
        </is>
      </c>
      <c r="F131" s="3" t="inlineStr">
        <is>
          <t>Dep Stn</t>
        </is>
      </c>
      <c r="G131" s="3" t="inlineStr">
        <is>
          <t>Arr Stn</t>
        </is>
      </c>
      <c r="H131" s="3" t="inlineStr">
        <is>
          <t>STD</t>
        </is>
      </c>
      <c r="I131" s="3" t="inlineStr">
        <is>
          <t>STA</t>
        </is>
      </c>
      <c r="J131" s="3" t="inlineStr">
        <is>
          <t>subflota</t>
        </is>
      </c>
      <c r="K131" s="3" t="inlineStr">
        <is>
          <t>Conexion</t>
        </is>
      </c>
      <c r="L131" s="3" t="inlineStr">
        <is>
          <t>HBT</t>
        </is>
      </c>
    </row>
    <row r="132">
      <c r="B132" s="4" t="inlineStr">
        <is>
          <t>219_0</t>
        </is>
      </c>
      <c r="C132" s="4" t="inlineStr">
        <is>
          <t>02/09/2026</t>
        </is>
      </c>
      <c r="D132" s="4" t="inlineStr">
        <is>
          <t>miércoles</t>
        </is>
      </c>
      <c r="E132" s="4" t="inlineStr">
        <is>
          <t>2023</t>
        </is>
      </c>
      <c r="F132" s="4" t="inlineStr">
        <is>
          <t>LIM</t>
        </is>
      </c>
      <c r="G132" s="4" t="inlineStr">
        <is>
          <t>PEM</t>
        </is>
      </c>
      <c r="H132" s="4" t="inlineStr">
        <is>
          <t>12:15:00</t>
        </is>
      </c>
      <c r="I132" s="4" t="inlineStr">
        <is>
          <t>13:55:00</t>
        </is>
      </c>
      <c r="J132" s="4" t="inlineStr">
        <is>
          <t>319</t>
        </is>
      </c>
      <c r="L132" s="4" t="inlineStr">
        <is>
          <t>01:40:00</t>
        </is>
      </c>
      <c r="M132" s="5" t="n"/>
      <c r="O132" s="5" t="n"/>
      <c r="Q132" s="4">
        <f>B132</f>
        <v/>
      </c>
      <c r="R132" s="4">
        <f>C132</f>
        <v/>
      </c>
      <c r="S132" s="4">
        <f>D132</f>
        <v/>
      </c>
      <c r="T132" s="4">
        <f>E132&amp;"/"&amp;E133</f>
        <v/>
      </c>
      <c r="U132" s="4">
        <f>F132&amp;"-"&amp;G132&amp;"-"&amp;F132</f>
        <v/>
      </c>
      <c r="V132" s="4">
        <f>IF($M$132="","",$M$132)</f>
        <v/>
      </c>
      <c r="W132" s="4">
        <f>IF($O$132="","",$O$132)</f>
        <v/>
      </c>
      <c r="X132" s="4">
        <f>J132</f>
        <v/>
      </c>
    </row>
    <row r="133">
      <c r="B133" s="4" t="inlineStr">
        <is>
          <t>219_0</t>
        </is>
      </c>
      <c r="C133" s="4" t="inlineStr">
        <is>
          <t>02/09/2026</t>
        </is>
      </c>
      <c r="D133" s="4" t="inlineStr">
        <is>
          <t>miércoles</t>
        </is>
      </c>
      <c r="E133" s="4" t="inlineStr">
        <is>
          <t>2024</t>
        </is>
      </c>
      <c r="F133" s="4" t="inlineStr">
        <is>
          <t>PEM</t>
        </is>
      </c>
      <c r="G133" s="4" t="inlineStr">
        <is>
          <t>LIM</t>
        </is>
      </c>
      <c r="H133" s="4" t="inlineStr">
        <is>
          <t>14:35:00</t>
        </is>
      </c>
      <c r="I133" s="4" t="inlineStr">
        <is>
          <t>16:10:00</t>
        </is>
      </c>
      <c r="J133" s="4" t="inlineStr">
        <is>
          <t>319</t>
        </is>
      </c>
      <c r="K133">
        <f>TEXT(TIMEVALUE(H133)-TIMEVALUE(I132)+(TIMEVALUE(H133)&lt;TIMEVALUE(I132)),"[h]:mm")</f>
        <v/>
      </c>
      <c r="L133" s="4" t="inlineStr">
        <is>
          <t>01:35:00</t>
        </is>
      </c>
      <c r="O133">
        <f>"LIM-"&amp;G132&amp;"-LIM   LA "&amp;E132&amp;" ("&amp;LEFT(H132,5)&amp;"-"&amp;LEFT(I132,5)&amp;" hrs)  /  LA "&amp;E133&amp;" ("&amp;LEFT(H133,5)&amp;"-"&amp;LEFT(I133,5)&amp;" hrs)"</f>
        <v/>
      </c>
    </row>
    <row r="134">
      <c r="J134" s="7" t="inlineStr">
        <is>
          <t>PSV total:</t>
        </is>
      </c>
      <c r="K134" s="8">
        <f>TEXT(TIMEVALUE(I133)-TIMEVALUE(H132)+(I133&lt;H132),"[h]:mm")</f>
        <v/>
      </c>
    </row>
    <row r="136">
      <c r="B136" s="3" t="inlineStr">
        <is>
          <t>Pairing ID</t>
        </is>
      </c>
      <c r="C136" s="3" t="inlineStr">
        <is>
          <t>FECHA REAL</t>
        </is>
      </c>
      <c r="D136" s="3" t="inlineStr">
        <is>
          <t>Day of Week</t>
        </is>
      </c>
      <c r="E136" s="3" t="inlineStr">
        <is>
          <t>Flight No</t>
        </is>
      </c>
      <c r="F136" s="3" t="inlineStr">
        <is>
          <t>Dep Stn</t>
        </is>
      </c>
      <c r="G136" s="3" t="inlineStr">
        <is>
          <t>Arr Stn</t>
        </is>
      </c>
      <c r="H136" s="3" t="inlineStr">
        <is>
          <t>STD</t>
        </is>
      </c>
      <c r="I136" s="3" t="inlineStr">
        <is>
          <t>STA</t>
        </is>
      </c>
      <c r="J136" s="3" t="inlineStr">
        <is>
          <t>subflota</t>
        </is>
      </c>
      <c r="K136" s="3" t="inlineStr">
        <is>
          <t>Conexion</t>
        </is>
      </c>
      <c r="L136" s="3" t="inlineStr">
        <is>
          <t>HBT</t>
        </is>
      </c>
    </row>
    <row r="137">
      <c r="B137" s="4" t="inlineStr">
        <is>
          <t>222_0</t>
        </is>
      </c>
      <c r="C137" s="4" t="inlineStr">
        <is>
          <t>02/09/2026</t>
        </is>
      </c>
      <c r="D137" s="4" t="inlineStr">
        <is>
          <t>miércoles</t>
        </is>
      </c>
      <c r="E137" s="4" t="inlineStr">
        <is>
          <t>2308</t>
        </is>
      </c>
      <c r="F137" s="4" t="inlineStr">
        <is>
          <t>LIM</t>
        </is>
      </c>
      <c r="G137" s="4" t="inlineStr">
        <is>
          <t>PIU</t>
        </is>
      </c>
      <c r="H137" s="4" t="inlineStr">
        <is>
          <t>12:50:00</t>
        </is>
      </c>
      <c r="I137" s="4" t="inlineStr">
        <is>
          <t>14:35:00</t>
        </is>
      </c>
      <c r="J137" s="4" t="inlineStr">
        <is>
          <t>319</t>
        </is>
      </c>
      <c r="L137" s="4" t="inlineStr">
        <is>
          <t>01:45:00</t>
        </is>
      </c>
      <c r="M137" s="5" t="n"/>
      <c r="O137" s="5" t="n"/>
      <c r="Q137" s="4">
        <f>B137</f>
        <v/>
      </c>
      <c r="R137" s="4">
        <f>C137</f>
        <v/>
      </c>
      <c r="S137" s="4">
        <f>D137</f>
        <v/>
      </c>
      <c r="T137" s="4">
        <f>E137&amp;"/"&amp;E138</f>
        <v/>
      </c>
      <c r="U137" s="4">
        <f>F137&amp;"-"&amp;G137&amp;"-"&amp;F137</f>
        <v/>
      </c>
      <c r="V137" s="4">
        <f>IF($M$137="","",$M$137)</f>
        <v/>
      </c>
      <c r="W137" s="4">
        <f>IF($O$137="","",$O$137)</f>
        <v/>
      </c>
      <c r="X137" s="4">
        <f>J137</f>
        <v/>
      </c>
    </row>
    <row r="138">
      <c r="B138" s="4" t="inlineStr">
        <is>
          <t>222_0</t>
        </is>
      </c>
      <c r="C138" s="4" t="inlineStr">
        <is>
          <t>02/09/2026</t>
        </is>
      </c>
      <c r="D138" s="4" t="inlineStr">
        <is>
          <t>miércoles</t>
        </is>
      </c>
      <c r="E138" s="4" t="inlineStr">
        <is>
          <t>2309</t>
        </is>
      </c>
      <c r="F138" s="4" t="inlineStr">
        <is>
          <t>PIU</t>
        </is>
      </c>
      <c r="G138" s="4" t="inlineStr">
        <is>
          <t>LIM</t>
        </is>
      </c>
      <c r="H138" s="4" t="inlineStr">
        <is>
          <t>15:25:00</t>
        </is>
      </c>
      <c r="I138" s="4" t="inlineStr">
        <is>
          <t>16:55:00</t>
        </is>
      </c>
      <c r="J138" s="4" t="inlineStr">
        <is>
          <t>319</t>
        </is>
      </c>
      <c r="K138">
        <f>TEXT(TIMEVALUE(H138)-TIMEVALUE(I137)+(TIMEVALUE(H138)&lt;TIMEVALUE(I137)),"[h]:mm")</f>
        <v/>
      </c>
      <c r="L138" s="4" t="inlineStr">
        <is>
          <t>01:30:00</t>
        </is>
      </c>
      <c r="O138">
        <f>"LIM-"&amp;G137&amp;"-LIM   LA "&amp;E137&amp;" ("&amp;LEFT(H137,5)&amp;"-"&amp;LEFT(I137,5)&amp;" hrs)  /  LA "&amp;E138&amp;" ("&amp;LEFT(H138,5)&amp;"-"&amp;LEFT(I138,5)&amp;" hrs)"</f>
        <v/>
      </c>
    </row>
    <row r="139">
      <c r="B139" s="4" t="inlineStr">
        <is>
          <t>248_0</t>
        </is>
      </c>
      <c r="C139" s="4" t="inlineStr">
        <is>
          <t>02/09/2026</t>
        </is>
      </c>
      <c r="D139" s="4" t="inlineStr">
        <is>
          <t>miércoles</t>
        </is>
      </c>
      <c r="E139" s="4" t="inlineStr">
        <is>
          <t>2236</t>
        </is>
      </c>
      <c r="F139" s="4" t="inlineStr">
        <is>
          <t>LIM</t>
        </is>
      </c>
      <c r="G139" s="4" t="inlineStr">
        <is>
          <t>PIU</t>
        </is>
      </c>
      <c r="H139" s="4" t="inlineStr">
        <is>
          <t>18:00:00</t>
        </is>
      </c>
      <c r="I139" s="4" t="inlineStr">
        <is>
          <t>19:40:00</t>
        </is>
      </c>
      <c r="J139" s="4" t="inlineStr">
        <is>
          <t>320</t>
        </is>
      </c>
      <c r="K139" s="6">
        <f>TEXT(TIMEVALUE(H139)-TIMEVALUE(I138)+(TIMEVALUE(H139)&lt;TIMEVALUE(I138)),"[h]:mm")</f>
        <v/>
      </c>
      <c r="L139" s="4" t="inlineStr">
        <is>
          <t>01:40:00</t>
        </is>
      </c>
      <c r="M139">
        <f>IF($M$137="","",$M$137)</f>
        <v/>
      </c>
      <c r="O139">
        <f>IF($O$137="","",$O$137)</f>
        <v/>
      </c>
      <c r="Q139" s="4">
        <f>B139</f>
        <v/>
      </c>
      <c r="R139" s="4">
        <f>C139</f>
        <v/>
      </c>
      <c r="S139" s="4">
        <f>D139</f>
        <v/>
      </c>
      <c r="T139" s="4">
        <f>E139&amp;"/"&amp;E140</f>
        <v/>
      </c>
      <c r="U139" s="4">
        <f>F139&amp;"-"&amp;G139&amp;"-"&amp;F139</f>
        <v/>
      </c>
      <c r="V139" s="4">
        <f>IF($M$137="","",$M$137)</f>
        <v/>
      </c>
      <c r="W139" s="4">
        <f>IF($O$137="","",$O$137)</f>
        <v/>
      </c>
      <c r="X139" s="4">
        <f>J139</f>
        <v/>
      </c>
    </row>
    <row r="140">
      <c r="B140" s="4" t="inlineStr">
        <is>
          <t>248_0</t>
        </is>
      </c>
      <c r="C140" s="4" t="inlineStr">
        <is>
          <t>02/09/2026</t>
        </is>
      </c>
      <c r="D140" s="4" t="inlineStr">
        <is>
          <t>miércoles</t>
        </is>
      </c>
      <c r="E140" s="4" t="inlineStr">
        <is>
          <t>2237</t>
        </is>
      </c>
      <c r="F140" s="4" t="inlineStr">
        <is>
          <t>PIU</t>
        </is>
      </c>
      <c r="G140" s="4" t="inlineStr">
        <is>
          <t>LIM</t>
        </is>
      </c>
      <c r="H140" s="4" t="inlineStr">
        <is>
          <t>20:20:00</t>
        </is>
      </c>
      <c r="I140" s="4" t="inlineStr">
        <is>
          <t>21:50:00</t>
        </is>
      </c>
      <c r="J140" s="4" t="inlineStr">
        <is>
          <t>320</t>
        </is>
      </c>
      <c r="K140">
        <f>TEXT(TIMEVALUE(H140)-TIMEVALUE(I139)+(TIMEVALUE(H140)&lt;TIMEVALUE(I139)),"[h]:mm")</f>
        <v/>
      </c>
      <c r="L140" s="4" t="inlineStr">
        <is>
          <t>01:30:00</t>
        </is>
      </c>
      <c r="O140">
        <f>"LIM-"&amp;G139&amp;"-LIM   LA "&amp;E139&amp;" ("&amp;LEFT(H139,5)&amp;"-"&amp;LEFT(I139,5)&amp;" hrs)  /  LA "&amp;E140&amp;" ("&amp;LEFT(H140,5)&amp;"-"&amp;LEFT(I140,5)&amp;" hrs)"</f>
        <v/>
      </c>
    </row>
    <row r="141">
      <c r="J141" s="7" t="inlineStr">
        <is>
          <t>PSV total:</t>
        </is>
      </c>
      <c r="K141" s="8">
        <f>TEXT(TIMEVALUE(I140)-TIMEVALUE(H137)+(I140&lt;H137),"[h]:mm")</f>
        <v/>
      </c>
    </row>
    <row r="143">
      <c r="B143" s="3" t="inlineStr">
        <is>
          <t>Pairing ID</t>
        </is>
      </c>
      <c r="C143" s="3" t="inlineStr">
        <is>
          <t>FECHA REAL</t>
        </is>
      </c>
      <c r="D143" s="3" t="inlineStr">
        <is>
          <t>Day of Week</t>
        </is>
      </c>
      <c r="E143" s="3" t="inlineStr">
        <is>
          <t>Flight No</t>
        </is>
      </c>
      <c r="F143" s="3" t="inlineStr">
        <is>
          <t>Dep Stn</t>
        </is>
      </c>
      <c r="G143" s="3" t="inlineStr">
        <is>
          <t>Arr Stn</t>
        </is>
      </c>
      <c r="H143" s="3" t="inlineStr">
        <is>
          <t>STD</t>
        </is>
      </c>
      <c r="I143" s="3" t="inlineStr">
        <is>
          <t>STA</t>
        </is>
      </c>
      <c r="J143" s="3" t="inlineStr">
        <is>
          <t>subflota</t>
        </is>
      </c>
      <c r="K143" s="3" t="inlineStr">
        <is>
          <t>Conexion</t>
        </is>
      </c>
      <c r="L143" s="3" t="inlineStr">
        <is>
          <t>HBT</t>
        </is>
      </c>
    </row>
    <row r="144">
      <c r="B144" s="4" t="inlineStr">
        <is>
          <t>226_0</t>
        </is>
      </c>
      <c r="C144" s="4" t="inlineStr">
        <is>
          <t>02/09/2026</t>
        </is>
      </c>
      <c r="D144" s="4" t="inlineStr">
        <is>
          <t>miércoles</t>
        </is>
      </c>
      <c r="E144" s="4" t="inlineStr">
        <is>
          <t>2067</t>
        </is>
      </c>
      <c r="F144" s="4" t="inlineStr">
        <is>
          <t>LIM</t>
        </is>
      </c>
      <c r="G144" s="4" t="inlineStr">
        <is>
          <t>TCQ</t>
        </is>
      </c>
      <c r="H144" s="4" t="inlineStr">
        <is>
          <t>13:45:00</t>
        </is>
      </c>
      <c r="I144" s="4" t="inlineStr">
        <is>
          <t>15:35:00</t>
        </is>
      </c>
      <c r="J144" s="4" t="inlineStr">
        <is>
          <t>320</t>
        </is>
      </c>
      <c r="L144" s="4" t="inlineStr">
        <is>
          <t>01:50:00</t>
        </is>
      </c>
      <c r="M144" s="5" t="n"/>
      <c r="O144" s="5" t="n"/>
      <c r="Q144" s="4">
        <f>B144</f>
        <v/>
      </c>
      <c r="R144" s="4">
        <f>C144</f>
        <v/>
      </c>
      <c r="S144" s="4">
        <f>D144</f>
        <v/>
      </c>
      <c r="T144" s="4">
        <f>E144&amp;"/"&amp;E145</f>
        <v/>
      </c>
      <c r="U144" s="4">
        <f>F144&amp;"-"&amp;G144&amp;"-"&amp;F144</f>
        <v/>
      </c>
      <c r="V144" s="4">
        <f>IF($M$144="","",$M$144)</f>
        <v/>
      </c>
      <c r="W144" s="4">
        <f>IF($O$144="","",$O$144)</f>
        <v/>
      </c>
      <c r="X144" s="4">
        <f>J144</f>
        <v/>
      </c>
    </row>
    <row r="145">
      <c r="B145" s="4" t="inlineStr">
        <is>
          <t>226_0</t>
        </is>
      </c>
      <c r="C145" s="4" t="inlineStr">
        <is>
          <t>02/09/2026</t>
        </is>
      </c>
      <c r="D145" s="4" t="inlineStr">
        <is>
          <t>miércoles</t>
        </is>
      </c>
      <c r="E145" s="4" t="inlineStr">
        <is>
          <t>2068</t>
        </is>
      </c>
      <c r="F145" s="4" t="inlineStr">
        <is>
          <t>TCQ</t>
        </is>
      </c>
      <c r="G145" s="4" t="inlineStr">
        <is>
          <t>LIM</t>
        </is>
      </c>
      <c r="H145" s="4" t="inlineStr">
        <is>
          <t>16:20:00</t>
        </is>
      </c>
      <c r="I145" s="4" t="inlineStr">
        <is>
          <t>18:15:00</t>
        </is>
      </c>
      <c r="J145" s="4" t="inlineStr">
        <is>
          <t>320</t>
        </is>
      </c>
      <c r="K145">
        <f>TEXT(TIMEVALUE(H145)-TIMEVALUE(I144)+(TIMEVALUE(H145)&lt;TIMEVALUE(I144)),"[h]:mm")</f>
        <v/>
      </c>
      <c r="L145" s="4" t="inlineStr">
        <is>
          <t>01:55:00</t>
        </is>
      </c>
      <c r="O145">
        <f>"LIM-"&amp;G144&amp;"-LIM   LA "&amp;E144&amp;" ("&amp;LEFT(H144,5)&amp;"-"&amp;LEFT(I144,5)&amp;" hrs)  /  LA "&amp;E145&amp;" ("&amp;LEFT(H145,5)&amp;"-"&amp;LEFT(I145,5)&amp;" hrs)"</f>
        <v/>
      </c>
    </row>
    <row r="146">
      <c r="J146" s="7" t="inlineStr">
        <is>
          <t>PSV total:</t>
        </is>
      </c>
      <c r="K146" s="8">
        <f>TEXT(TIMEVALUE(I145)-TIMEVALUE(H144)+(I145&lt;H144),"[h]:mm")</f>
        <v/>
      </c>
    </row>
    <row r="148">
      <c r="B148" s="3" t="inlineStr">
        <is>
          <t>Pairing ID</t>
        </is>
      </c>
      <c r="C148" s="3" t="inlineStr">
        <is>
          <t>FECHA REAL</t>
        </is>
      </c>
      <c r="D148" s="3" t="inlineStr">
        <is>
          <t>Day of Week</t>
        </is>
      </c>
      <c r="E148" s="3" t="inlineStr">
        <is>
          <t>Flight No</t>
        </is>
      </c>
      <c r="F148" s="3" t="inlineStr">
        <is>
          <t>Dep Stn</t>
        </is>
      </c>
      <c r="G148" s="3" t="inlineStr">
        <is>
          <t>Arr Stn</t>
        </is>
      </c>
      <c r="H148" s="3" t="inlineStr">
        <is>
          <t>STD</t>
        </is>
      </c>
      <c r="I148" s="3" t="inlineStr">
        <is>
          <t>STA</t>
        </is>
      </c>
      <c r="J148" s="3" t="inlineStr">
        <is>
          <t>subflota</t>
        </is>
      </c>
      <c r="K148" s="3" t="inlineStr">
        <is>
          <t>Conexion</t>
        </is>
      </c>
      <c r="L148" s="3" t="inlineStr">
        <is>
          <t>HBT</t>
        </is>
      </c>
    </row>
    <row r="149">
      <c r="B149" s="4" t="inlineStr">
        <is>
          <t>230_0</t>
        </is>
      </c>
      <c r="C149" s="4" t="inlineStr">
        <is>
          <t>02/09/2026</t>
        </is>
      </c>
      <c r="D149" s="4" t="inlineStr">
        <is>
          <t>miércoles</t>
        </is>
      </c>
      <c r="E149" s="4" t="inlineStr">
        <is>
          <t>2295</t>
        </is>
      </c>
      <c r="F149" s="4" t="inlineStr">
        <is>
          <t>LIM</t>
        </is>
      </c>
      <c r="G149" s="4" t="inlineStr">
        <is>
          <t>CJA</t>
        </is>
      </c>
      <c r="H149" s="4" t="inlineStr">
        <is>
          <t>14:10:00</t>
        </is>
      </c>
      <c r="I149" s="4" t="inlineStr">
        <is>
          <t>15:30:00</t>
        </is>
      </c>
      <c r="J149" s="4" t="inlineStr">
        <is>
          <t>319</t>
        </is>
      </c>
      <c r="L149" s="4" t="inlineStr">
        <is>
          <t>01:20:00</t>
        </is>
      </c>
      <c r="M149" s="5" t="n"/>
      <c r="O149" s="5" t="n"/>
      <c r="Q149" s="4">
        <f>B149</f>
        <v/>
      </c>
      <c r="R149" s="4">
        <f>C149</f>
        <v/>
      </c>
      <c r="S149" s="4">
        <f>D149</f>
        <v/>
      </c>
      <c r="T149" s="4">
        <f>E149&amp;"/"&amp;E150</f>
        <v/>
      </c>
      <c r="U149" s="4">
        <f>F149&amp;"-"&amp;G149&amp;"-"&amp;F149</f>
        <v/>
      </c>
      <c r="V149" s="4">
        <f>IF($M$149="","",$M$149)</f>
        <v/>
      </c>
      <c r="W149" s="4">
        <f>IF($O$149="","",$O$149)</f>
        <v/>
      </c>
      <c r="X149" s="4">
        <f>J149</f>
        <v/>
      </c>
    </row>
    <row r="150">
      <c r="B150" s="4" t="inlineStr">
        <is>
          <t>230_0</t>
        </is>
      </c>
      <c r="C150" s="4" t="inlineStr">
        <is>
          <t>02/09/2026</t>
        </is>
      </c>
      <c r="D150" s="4" t="inlineStr">
        <is>
          <t>miércoles</t>
        </is>
      </c>
      <c r="E150" s="4" t="inlineStr">
        <is>
          <t>2294</t>
        </is>
      </c>
      <c r="F150" s="4" t="inlineStr">
        <is>
          <t>CJA</t>
        </is>
      </c>
      <c r="G150" s="4" t="inlineStr">
        <is>
          <t>LIM</t>
        </is>
      </c>
      <c r="H150" s="4" t="inlineStr">
        <is>
          <t>16:10:00</t>
        </is>
      </c>
      <c r="I150" s="4" t="inlineStr">
        <is>
          <t>17:15:00</t>
        </is>
      </c>
      <c r="J150" s="4" t="inlineStr">
        <is>
          <t>319</t>
        </is>
      </c>
      <c r="K150">
        <f>TEXT(TIMEVALUE(H150)-TIMEVALUE(I149)+(TIMEVALUE(H150)&lt;TIMEVALUE(I149)),"[h]:mm")</f>
        <v/>
      </c>
      <c r="L150" s="4" t="inlineStr">
        <is>
          <t>01:05:00</t>
        </is>
      </c>
      <c r="O150">
        <f>"LIM-"&amp;G149&amp;"-LIM   LA "&amp;E149&amp;" ("&amp;LEFT(H149,5)&amp;"-"&amp;LEFT(I149,5)&amp;" hrs)  /  LA "&amp;E150&amp;" ("&amp;LEFT(H150,5)&amp;"-"&amp;LEFT(I150,5)&amp;" hrs)"</f>
        <v/>
      </c>
    </row>
    <row r="151">
      <c r="B151" s="4" t="inlineStr">
        <is>
          <t>249_0</t>
        </is>
      </c>
      <c r="C151" s="4" t="inlineStr">
        <is>
          <t>02/09/2026</t>
        </is>
      </c>
      <c r="D151" s="4" t="inlineStr">
        <is>
          <t>miércoles</t>
        </is>
      </c>
      <c r="E151" s="4" t="inlineStr">
        <is>
          <t>2223</t>
        </is>
      </c>
      <c r="F151" s="4" t="inlineStr">
        <is>
          <t>LIM</t>
        </is>
      </c>
      <c r="G151" s="4" t="inlineStr">
        <is>
          <t>CUZ</t>
        </is>
      </c>
      <c r="H151" s="4" t="inlineStr">
        <is>
          <t>18:15:00</t>
        </is>
      </c>
      <c r="I151" s="4" t="inlineStr">
        <is>
          <t>19:40:00</t>
        </is>
      </c>
      <c r="J151" s="4" t="inlineStr">
        <is>
          <t>320</t>
        </is>
      </c>
      <c r="K151" s="6">
        <f>TEXT(TIMEVALUE(H151)-TIMEVALUE(I150)+(TIMEVALUE(H151)&lt;TIMEVALUE(I150)),"[h]:mm")</f>
        <v/>
      </c>
      <c r="L151" s="4" t="inlineStr">
        <is>
          <t>01:25:00</t>
        </is>
      </c>
      <c r="M151">
        <f>IF($M$149="","",$M$149)</f>
        <v/>
      </c>
      <c r="O151">
        <f>IF($O$149="","",$O$149)</f>
        <v/>
      </c>
      <c r="Q151" s="4">
        <f>B151</f>
        <v/>
      </c>
      <c r="R151" s="4">
        <f>C151</f>
        <v/>
      </c>
      <c r="S151" s="4">
        <f>D151</f>
        <v/>
      </c>
      <c r="T151" s="4">
        <f>E151&amp;"/"&amp;E152</f>
        <v/>
      </c>
      <c r="U151" s="4">
        <f>F151&amp;"-"&amp;G151&amp;"-"&amp;F151</f>
        <v/>
      </c>
      <c r="V151" s="4">
        <f>IF($M$149="","",$M$149)</f>
        <v/>
      </c>
      <c r="W151" s="4">
        <f>IF($O$149="","",$O$149)</f>
        <v/>
      </c>
      <c r="X151" s="4">
        <f>J151</f>
        <v/>
      </c>
    </row>
    <row r="152">
      <c r="B152" s="4" t="inlineStr">
        <is>
          <t>249_0</t>
        </is>
      </c>
      <c r="C152" s="4" t="inlineStr">
        <is>
          <t>02/09/2026</t>
        </is>
      </c>
      <c r="D152" s="4" t="inlineStr">
        <is>
          <t>miércoles</t>
        </is>
      </c>
      <c r="E152" s="4" t="inlineStr">
        <is>
          <t>2224</t>
        </is>
      </c>
      <c r="F152" s="4" t="inlineStr">
        <is>
          <t>CUZ</t>
        </is>
      </c>
      <c r="G152" s="4" t="inlineStr">
        <is>
          <t>LIM</t>
        </is>
      </c>
      <c r="H152" s="4" t="inlineStr">
        <is>
          <t>21:20:00</t>
        </is>
      </c>
      <c r="I152" s="4" t="inlineStr">
        <is>
          <t>22:55:00</t>
        </is>
      </c>
      <c r="J152" s="4" t="inlineStr">
        <is>
          <t>320</t>
        </is>
      </c>
      <c r="K152">
        <f>TEXT(TIMEVALUE(H152)-TIMEVALUE(I151)+(TIMEVALUE(H152)&lt;TIMEVALUE(I151)),"[h]:mm")</f>
        <v/>
      </c>
      <c r="L152" s="4" t="inlineStr">
        <is>
          <t>01:35:00</t>
        </is>
      </c>
      <c r="O152">
        <f>"LIM-"&amp;G151&amp;"-LIM   LA "&amp;E151&amp;" ("&amp;LEFT(H151,5)&amp;"-"&amp;LEFT(I151,5)&amp;" hrs)  /  LA "&amp;E152&amp;" ("&amp;LEFT(H152,5)&amp;"-"&amp;LEFT(I152,5)&amp;" hrs)"</f>
        <v/>
      </c>
    </row>
    <row r="153">
      <c r="J153" s="7" t="inlineStr">
        <is>
          <t>PSV total:</t>
        </is>
      </c>
      <c r="K153" s="8">
        <f>TEXT(TIMEVALUE(I152)-TIMEVALUE(H149)+(I152&lt;H149),"[h]:mm")</f>
        <v/>
      </c>
    </row>
    <row r="155">
      <c r="B155" s="3" t="inlineStr">
        <is>
          <t>Pairing ID</t>
        </is>
      </c>
      <c r="C155" s="3" t="inlineStr">
        <is>
          <t>FECHA REAL</t>
        </is>
      </c>
      <c r="D155" s="3" t="inlineStr">
        <is>
          <t>Day of Week</t>
        </is>
      </c>
      <c r="E155" s="3" t="inlineStr">
        <is>
          <t>Flight No</t>
        </is>
      </c>
      <c r="F155" s="3" t="inlineStr">
        <is>
          <t>Dep Stn</t>
        </is>
      </c>
      <c r="G155" s="3" t="inlineStr">
        <is>
          <t>Arr Stn</t>
        </is>
      </c>
      <c r="H155" s="3" t="inlineStr">
        <is>
          <t>STD</t>
        </is>
      </c>
      <c r="I155" s="3" t="inlineStr">
        <is>
          <t>STA</t>
        </is>
      </c>
      <c r="J155" s="3" t="inlineStr">
        <is>
          <t>subflota</t>
        </is>
      </c>
      <c r="K155" s="3" t="inlineStr">
        <is>
          <t>Conexion</t>
        </is>
      </c>
      <c r="L155" s="3" t="inlineStr">
        <is>
          <t>HBT</t>
        </is>
      </c>
    </row>
    <row r="156">
      <c r="B156" s="4" t="inlineStr">
        <is>
          <t>231_0</t>
        </is>
      </c>
      <c r="C156" s="4" t="inlineStr">
        <is>
          <t>02/09/2026</t>
        </is>
      </c>
      <c r="D156" s="4" t="inlineStr">
        <is>
          <t>miércoles</t>
        </is>
      </c>
      <c r="E156" s="4" t="inlineStr">
        <is>
          <t>2022</t>
        </is>
      </c>
      <c r="F156" s="4" t="inlineStr">
        <is>
          <t>LIM</t>
        </is>
      </c>
      <c r="G156" s="4" t="inlineStr">
        <is>
          <t>CUZ</t>
        </is>
      </c>
      <c r="H156" s="4" t="inlineStr">
        <is>
          <t>14:30:00</t>
        </is>
      </c>
      <c r="I156" s="4" t="inlineStr">
        <is>
          <t>15:50:00</t>
        </is>
      </c>
      <c r="J156" s="4" t="inlineStr">
        <is>
          <t>320</t>
        </is>
      </c>
      <c r="L156" s="4" t="inlineStr">
        <is>
          <t>01:20:00</t>
        </is>
      </c>
      <c r="M156" s="5" t="n"/>
      <c r="O156" s="5" t="n"/>
      <c r="Q156" s="4">
        <f>B156</f>
        <v/>
      </c>
      <c r="R156" s="4">
        <f>C156</f>
        <v/>
      </c>
      <c r="S156" s="4">
        <f>D156</f>
        <v/>
      </c>
      <c r="T156" s="4">
        <f>E156&amp;"/"&amp;E157</f>
        <v/>
      </c>
      <c r="U156" s="4">
        <f>F156&amp;"-"&amp;G156&amp;"-"&amp;F156</f>
        <v/>
      </c>
      <c r="V156" s="4">
        <f>IF($M$156="","",$M$156)</f>
        <v/>
      </c>
      <c r="W156" s="4">
        <f>IF($O$156="","",$O$156)</f>
        <v/>
      </c>
      <c r="X156" s="4">
        <f>J156</f>
        <v/>
      </c>
    </row>
    <row r="157">
      <c r="B157" s="4" t="inlineStr">
        <is>
          <t>231_0</t>
        </is>
      </c>
      <c r="C157" s="4" t="inlineStr">
        <is>
          <t>02/09/2026</t>
        </is>
      </c>
      <c r="D157" s="4" t="inlineStr">
        <is>
          <t>miércoles</t>
        </is>
      </c>
      <c r="E157" s="4" t="inlineStr">
        <is>
          <t>2025</t>
        </is>
      </c>
      <c r="F157" s="4" t="inlineStr">
        <is>
          <t>CUZ</t>
        </is>
      </c>
      <c r="G157" s="4" t="inlineStr">
        <is>
          <t>LIM</t>
        </is>
      </c>
      <c r="H157" s="4" t="inlineStr">
        <is>
          <t>16:35:00</t>
        </is>
      </c>
      <c r="I157" s="4" t="inlineStr">
        <is>
          <t>18:10:00</t>
        </is>
      </c>
      <c r="J157" s="4" t="inlineStr">
        <is>
          <t>320</t>
        </is>
      </c>
      <c r="K157">
        <f>TEXT(TIMEVALUE(H157)-TIMEVALUE(I156)+(TIMEVALUE(H157)&lt;TIMEVALUE(I156)),"[h]:mm")</f>
        <v/>
      </c>
      <c r="L157" s="4" t="inlineStr">
        <is>
          <t>01:35:00</t>
        </is>
      </c>
      <c r="O157">
        <f>"LIM-"&amp;G156&amp;"-LIM   LA "&amp;E156&amp;" ("&amp;LEFT(H156,5)&amp;"-"&amp;LEFT(I156,5)&amp;" hrs)  /  LA "&amp;E157&amp;" ("&amp;LEFT(H157,5)&amp;"-"&amp;LEFT(I157,5)&amp;" hrs)"</f>
        <v/>
      </c>
    </row>
    <row r="158">
      <c r="J158" s="7" t="inlineStr">
        <is>
          <t>PSV total:</t>
        </is>
      </c>
      <c r="K158" s="8">
        <f>TEXT(TIMEVALUE(I157)-TIMEVALUE(H156)+(I157&lt;H156),"[h]:mm")</f>
        <v/>
      </c>
    </row>
    <row r="160">
      <c r="B160" s="3" t="inlineStr">
        <is>
          <t>Pairing ID</t>
        </is>
      </c>
      <c r="C160" s="3" t="inlineStr">
        <is>
          <t>FECHA REAL</t>
        </is>
      </c>
      <c r="D160" s="3" t="inlineStr">
        <is>
          <t>Day of Week</t>
        </is>
      </c>
      <c r="E160" s="3" t="inlineStr">
        <is>
          <t>Flight No</t>
        </is>
      </c>
      <c r="F160" s="3" t="inlineStr">
        <is>
          <t>Dep Stn</t>
        </is>
      </c>
      <c r="G160" s="3" t="inlineStr">
        <is>
          <t>Arr Stn</t>
        </is>
      </c>
      <c r="H160" s="3" t="inlineStr">
        <is>
          <t>STD</t>
        </is>
      </c>
      <c r="I160" s="3" t="inlineStr">
        <is>
          <t>STA</t>
        </is>
      </c>
      <c r="J160" s="3" t="inlineStr">
        <is>
          <t>subflota</t>
        </is>
      </c>
      <c r="K160" s="3" t="inlineStr">
        <is>
          <t>Conexion</t>
        </is>
      </c>
      <c r="L160" s="3" t="inlineStr">
        <is>
          <t>HBT</t>
        </is>
      </c>
    </row>
    <row r="161">
      <c r="B161" s="4" t="inlineStr">
        <is>
          <t>232_0</t>
        </is>
      </c>
      <c r="C161" s="4" t="inlineStr">
        <is>
          <t>02/09/2026</t>
        </is>
      </c>
      <c r="D161" s="4" t="inlineStr">
        <is>
          <t>miércoles</t>
        </is>
      </c>
      <c r="E161" s="4" t="inlineStr">
        <is>
          <t>2282</t>
        </is>
      </c>
      <c r="F161" s="4" t="inlineStr">
        <is>
          <t>LIM</t>
        </is>
      </c>
      <c r="G161" s="4" t="inlineStr">
        <is>
          <t>CIX</t>
        </is>
      </c>
      <c r="H161" s="4" t="inlineStr">
        <is>
          <t>14:45:00</t>
        </is>
      </c>
      <c r="I161" s="4" t="inlineStr">
        <is>
          <t>16:15:00</t>
        </is>
      </c>
      <c r="J161" s="4" t="inlineStr">
        <is>
          <t>319</t>
        </is>
      </c>
      <c r="L161" s="4" t="inlineStr">
        <is>
          <t>01:30:00</t>
        </is>
      </c>
      <c r="M161" s="5" t="n"/>
      <c r="O161" s="5" t="n"/>
      <c r="Q161" s="4">
        <f>B161</f>
        <v/>
      </c>
      <c r="R161" s="4">
        <f>C161</f>
        <v/>
      </c>
      <c r="S161" s="4">
        <f>D161</f>
        <v/>
      </c>
      <c r="T161" s="4">
        <f>E161&amp;"/"&amp;E162</f>
        <v/>
      </c>
      <c r="U161" s="4">
        <f>F161&amp;"-"&amp;G161&amp;"-"&amp;F161</f>
        <v/>
      </c>
      <c r="V161" s="4">
        <f>IF($M$161="","",$M$161)</f>
        <v/>
      </c>
      <c r="W161" s="4">
        <f>IF($O$161="","",$O$161)</f>
        <v/>
      </c>
      <c r="X161" s="4">
        <f>J161</f>
        <v/>
      </c>
    </row>
    <row r="162">
      <c r="B162" s="4" t="inlineStr">
        <is>
          <t>232_0</t>
        </is>
      </c>
      <c r="C162" s="4" t="inlineStr">
        <is>
          <t>02/09/2026</t>
        </is>
      </c>
      <c r="D162" s="4" t="inlineStr">
        <is>
          <t>miércoles</t>
        </is>
      </c>
      <c r="E162" s="4" t="inlineStr">
        <is>
          <t>2283</t>
        </is>
      </c>
      <c r="F162" s="4" t="inlineStr">
        <is>
          <t>CIX</t>
        </is>
      </c>
      <c r="G162" s="4" t="inlineStr">
        <is>
          <t>LIM</t>
        </is>
      </c>
      <c r="H162" s="4" t="inlineStr">
        <is>
          <t>16:50:00</t>
        </is>
      </c>
      <c r="I162" s="4" t="inlineStr">
        <is>
          <t>18:10:00</t>
        </is>
      </c>
      <c r="J162" s="4" t="inlineStr">
        <is>
          <t>319</t>
        </is>
      </c>
      <c r="K162">
        <f>TEXT(TIMEVALUE(H162)-TIMEVALUE(I161)+(TIMEVALUE(H162)&lt;TIMEVALUE(I161)),"[h]:mm")</f>
        <v/>
      </c>
      <c r="L162" s="4" t="inlineStr">
        <is>
          <t>01:20:00</t>
        </is>
      </c>
      <c r="O162">
        <f>"LIM-"&amp;G161&amp;"-LIM   LA "&amp;E161&amp;" ("&amp;LEFT(H161,5)&amp;"-"&amp;LEFT(I161,5)&amp;" hrs)  /  LA "&amp;E162&amp;" ("&amp;LEFT(H162,5)&amp;"-"&amp;LEFT(I162,5)&amp;" hrs)"</f>
        <v/>
      </c>
    </row>
    <row r="163">
      <c r="J163" s="7" t="inlineStr">
        <is>
          <t>PSV total:</t>
        </is>
      </c>
      <c r="K163" s="8">
        <f>TEXT(TIMEVALUE(I162)-TIMEVALUE(H161)+(I162&lt;H161),"[h]:mm")</f>
        <v/>
      </c>
    </row>
    <row r="165">
      <c r="B165" s="3" t="inlineStr">
        <is>
          <t>Pairing ID</t>
        </is>
      </c>
      <c r="C165" s="3" t="inlineStr">
        <is>
          <t>FECHA REAL</t>
        </is>
      </c>
      <c r="D165" s="3" t="inlineStr">
        <is>
          <t>Day of Week</t>
        </is>
      </c>
      <c r="E165" s="3" t="inlineStr">
        <is>
          <t>Flight No</t>
        </is>
      </c>
      <c r="F165" s="3" t="inlineStr">
        <is>
          <t>Dep Stn</t>
        </is>
      </c>
      <c r="G165" s="3" t="inlineStr">
        <is>
          <t>Arr Stn</t>
        </is>
      </c>
      <c r="H165" s="3" t="inlineStr">
        <is>
          <t>STD</t>
        </is>
      </c>
      <c r="I165" s="3" t="inlineStr">
        <is>
          <t>STA</t>
        </is>
      </c>
      <c r="J165" s="3" t="inlineStr">
        <is>
          <t>subflota</t>
        </is>
      </c>
      <c r="K165" s="3" t="inlineStr">
        <is>
          <t>Conexion</t>
        </is>
      </c>
      <c r="L165" s="3" t="inlineStr">
        <is>
          <t>HBT</t>
        </is>
      </c>
    </row>
    <row r="166">
      <c r="B166" s="4" t="inlineStr">
        <is>
          <t>233_0</t>
        </is>
      </c>
      <c r="C166" s="4" t="inlineStr">
        <is>
          <t>02/09/2026</t>
        </is>
      </c>
      <c r="D166" s="4" t="inlineStr">
        <is>
          <t>miércoles</t>
        </is>
      </c>
      <c r="E166" s="4" t="inlineStr">
        <is>
          <t>2264</t>
        </is>
      </c>
      <c r="F166" s="4" t="inlineStr">
        <is>
          <t>LIM</t>
        </is>
      </c>
      <c r="G166" s="4" t="inlineStr">
        <is>
          <t>PEM</t>
        </is>
      </c>
      <c r="H166" s="4" t="inlineStr">
        <is>
          <t>14:55:00</t>
        </is>
      </c>
      <c r="I166" s="4" t="inlineStr">
        <is>
          <t>16:40:00</t>
        </is>
      </c>
      <c r="J166" s="4" t="inlineStr">
        <is>
          <t>319</t>
        </is>
      </c>
      <c r="L166" s="4" t="inlineStr">
        <is>
          <t>01:45:00</t>
        </is>
      </c>
      <c r="M166" s="5" t="n"/>
      <c r="O166" s="5" t="n"/>
      <c r="Q166" s="4">
        <f>B166</f>
        <v/>
      </c>
      <c r="R166" s="4">
        <f>C166</f>
        <v/>
      </c>
      <c r="S166" s="4">
        <f>D166</f>
        <v/>
      </c>
      <c r="T166" s="4">
        <f>E166&amp;"/"&amp;E167</f>
        <v/>
      </c>
      <c r="U166" s="4">
        <f>F166&amp;"-"&amp;G166&amp;"-"&amp;F166</f>
        <v/>
      </c>
      <c r="V166" s="4">
        <f>IF($M$166="","",$M$166)</f>
        <v/>
      </c>
      <c r="W166" s="4">
        <f>IF($O$166="","",$O$166)</f>
        <v/>
      </c>
      <c r="X166" s="4">
        <f>J166</f>
        <v/>
      </c>
    </row>
    <row r="167">
      <c r="B167" s="4" t="inlineStr">
        <is>
          <t>233_0</t>
        </is>
      </c>
      <c r="C167" s="4" t="inlineStr">
        <is>
          <t>02/09/2026</t>
        </is>
      </c>
      <c r="D167" s="4" t="inlineStr">
        <is>
          <t>miércoles</t>
        </is>
      </c>
      <c r="E167" s="4" t="inlineStr">
        <is>
          <t>2265</t>
        </is>
      </c>
      <c r="F167" s="4" t="inlineStr">
        <is>
          <t>PEM</t>
        </is>
      </c>
      <c r="G167" s="4" t="inlineStr">
        <is>
          <t>LIM</t>
        </is>
      </c>
      <c r="H167" s="4" t="inlineStr">
        <is>
          <t>17:20:00</t>
        </is>
      </c>
      <c r="I167" s="4" t="inlineStr">
        <is>
          <t>18:55:00</t>
        </is>
      </c>
      <c r="J167" s="4" t="inlineStr">
        <is>
          <t>319</t>
        </is>
      </c>
      <c r="K167">
        <f>TEXT(TIMEVALUE(H167)-TIMEVALUE(I166)+(TIMEVALUE(H167)&lt;TIMEVALUE(I166)),"[h]:mm")</f>
        <v/>
      </c>
      <c r="L167" s="4" t="inlineStr">
        <is>
          <t>01:35:00</t>
        </is>
      </c>
      <c r="O167">
        <f>"LIM-"&amp;G166&amp;"-LIM   LA "&amp;E166&amp;" ("&amp;LEFT(H166,5)&amp;"-"&amp;LEFT(I166,5)&amp;" hrs)  /  LA "&amp;E167&amp;" ("&amp;LEFT(H167,5)&amp;"-"&amp;LEFT(I167,5)&amp;" hrs)"</f>
        <v/>
      </c>
    </row>
    <row r="168">
      <c r="B168" s="4" t="inlineStr">
        <is>
          <t>252_0</t>
        </is>
      </c>
      <c r="C168" s="4" t="inlineStr">
        <is>
          <t>02/09/2026</t>
        </is>
      </c>
      <c r="D168" s="4" t="inlineStr">
        <is>
          <t>miércoles</t>
        </is>
      </c>
      <c r="E168" s="4" t="inlineStr">
        <is>
          <t>2048</t>
        </is>
      </c>
      <c r="F168" s="4" t="inlineStr">
        <is>
          <t>LIM</t>
        </is>
      </c>
      <c r="G168" s="4" t="inlineStr">
        <is>
          <t>CUZ</t>
        </is>
      </c>
      <c r="H168" s="4" t="inlineStr">
        <is>
          <t>19:55:00</t>
        </is>
      </c>
      <c r="I168" s="4" t="inlineStr">
        <is>
          <t>21:20:00</t>
        </is>
      </c>
      <c r="J168" s="4" t="inlineStr">
        <is>
          <t>320</t>
        </is>
      </c>
      <c r="K168" s="6">
        <f>TEXT(TIMEVALUE(H168)-TIMEVALUE(I167)+(TIMEVALUE(H168)&lt;TIMEVALUE(I167)),"[h]:mm")</f>
        <v/>
      </c>
      <c r="L168" s="4" t="inlineStr">
        <is>
          <t>01:25:00</t>
        </is>
      </c>
      <c r="M168">
        <f>IF($M$166="","",$M$166)</f>
        <v/>
      </c>
      <c r="O168">
        <f>IF($O$166="","",$O$166)</f>
        <v/>
      </c>
      <c r="Q168" s="4">
        <f>B168</f>
        <v/>
      </c>
      <c r="R168" s="4">
        <f>C168</f>
        <v/>
      </c>
      <c r="S168" s="4">
        <f>D168</f>
        <v/>
      </c>
      <c r="T168" s="4">
        <f>E168&amp;"/"&amp;E169</f>
        <v/>
      </c>
      <c r="U168" s="4">
        <f>F168&amp;"-"&amp;G168&amp;"-"&amp;F168</f>
        <v/>
      </c>
      <c r="V168" s="4">
        <f>IF($M$166="","",$M$166)</f>
        <v/>
      </c>
      <c r="W168" s="4">
        <f>IF($O$166="","",$O$166)</f>
        <v/>
      </c>
      <c r="X168" s="4">
        <f>J168</f>
        <v/>
      </c>
    </row>
    <row r="169">
      <c r="B169" s="4" t="inlineStr">
        <is>
          <t>252_0</t>
        </is>
      </c>
      <c r="C169" s="4" t="inlineStr">
        <is>
          <t>02/09/2026</t>
        </is>
      </c>
      <c r="D169" s="4" t="inlineStr">
        <is>
          <t>miércoles</t>
        </is>
      </c>
      <c r="E169" s="4" t="inlineStr">
        <is>
          <t>2070</t>
        </is>
      </c>
      <c r="F169" s="4" t="inlineStr">
        <is>
          <t>CUZ</t>
        </is>
      </c>
      <c r="G169" s="4" t="inlineStr">
        <is>
          <t>LIM</t>
        </is>
      </c>
      <c r="H169" s="4" t="inlineStr">
        <is>
          <t>22:15:00</t>
        </is>
      </c>
      <c r="I169" s="4" t="inlineStr">
        <is>
          <t>23:50:00</t>
        </is>
      </c>
      <c r="J169" s="4" t="inlineStr">
        <is>
          <t>320</t>
        </is>
      </c>
      <c r="K169">
        <f>TEXT(TIMEVALUE(H169)-TIMEVALUE(I168)+(TIMEVALUE(H169)&lt;TIMEVALUE(I168)),"[h]:mm")</f>
        <v/>
      </c>
      <c r="L169" s="4" t="inlineStr">
        <is>
          <t>01:35:00</t>
        </is>
      </c>
      <c r="O169">
        <f>"LIM-"&amp;G168&amp;"-LIM   LA "&amp;E168&amp;" ("&amp;LEFT(H168,5)&amp;"-"&amp;LEFT(I168,5)&amp;" hrs)  /  LA "&amp;E169&amp;" ("&amp;LEFT(H169,5)&amp;"-"&amp;LEFT(I169,5)&amp;" hrs)"</f>
        <v/>
      </c>
    </row>
    <row r="170">
      <c r="J170" s="7" t="inlineStr">
        <is>
          <t>PSV total:</t>
        </is>
      </c>
      <c r="K170" s="8">
        <f>TEXT(TIMEVALUE(I169)-TIMEVALUE(H166)+(I169&lt;H166),"[h]:mm")</f>
        <v/>
      </c>
    </row>
    <row r="172">
      <c r="B172" s="3" t="inlineStr">
        <is>
          <t>Pairing ID</t>
        </is>
      </c>
      <c r="C172" s="3" t="inlineStr">
        <is>
          <t>FECHA REAL</t>
        </is>
      </c>
      <c r="D172" s="3" t="inlineStr">
        <is>
          <t>Day of Week</t>
        </is>
      </c>
      <c r="E172" s="3" t="inlineStr">
        <is>
          <t>Flight No</t>
        </is>
      </c>
      <c r="F172" s="3" t="inlineStr">
        <is>
          <t>Dep Stn</t>
        </is>
      </c>
      <c r="G172" s="3" t="inlineStr">
        <is>
          <t>Arr Stn</t>
        </is>
      </c>
      <c r="H172" s="3" t="inlineStr">
        <is>
          <t>STD</t>
        </is>
      </c>
      <c r="I172" s="3" t="inlineStr">
        <is>
          <t>STA</t>
        </is>
      </c>
      <c r="J172" s="3" t="inlineStr">
        <is>
          <t>subflota</t>
        </is>
      </c>
      <c r="K172" s="3" t="inlineStr">
        <is>
          <t>Conexion</t>
        </is>
      </c>
      <c r="L172" s="3" t="inlineStr">
        <is>
          <t>HBT</t>
        </is>
      </c>
    </row>
    <row r="173">
      <c r="B173" s="4" t="inlineStr">
        <is>
          <t>234_0</t>
        </is>
      </c>
      <c r="C173" s="4" t="inlineStr">
        <is>
          <t>02/09/2026</t>
        </is>
      </c>
      <c r="D173" s="4" t="inlineStr">
        <is>
          <t>miércoles</t>
        </is>
      </c>
      <c r="E173" s="4" t="inlineStr">
        <is>
          <t>2338</t>
        </is>
      </c>
      <c r="F173" s="4" t="inlineStr">
        <is>
          <t>LIM</t>
        </is>
      </c>
      <c r="G173" s="4" t="inlineStr">
        <is>
          <t>PIU</t>
        </is>
      </c>
      <c r="H173" s="4" t="inlineStr">
        <is>
          <t>15:00:00</t>
        </is>
      </c>
      <c r="I173" s="4" t="inlineStr">
        <is>
          <t>16:45:00</t>
        </is>
      </c>
      <c r="J173" s="4" t="inlineStr">
        <is>
          <t>320</t>
        </is>
      </c>
      <c r="L173" s="4" t="inlineStr">
        <is>
          <t>01:45:00</t>
        </is>
      </c>
      <c r="M173" s="5" t="n"/>
      <c r="O173" s="5" t="n"/>
      <c r="Q173" s="4">
        <f>B173</f>
        <v/>
      </c>
      <c r="R173" s="4">
        <f>C173</f>
        <v/>
      </c>
      <c r="S173" s="4">
        <f>D173</f>
        <v/>
      </c>
      <c r="T173" s="4">
        <f>E173&amp;"/"&amp;E174</f>
        <v/>
      </c>
      <c r="U173" s="4">
        <f>F173&amp;"-"&amp;G173&amp;"-"&amp;F173</f>
        <v/>
      </c>
      <c r="V173" s="4">
        <f>IF($M$173="","",$M$173)</f>
        <v/>
      </c>
      <c r="W173" s="4">
        <f>IF($O$173="","",$O$173)</f>
        <v/>
      </c>
      <c r="X173" s="4">
        <f>J173</f>
        <v/>
      </c>
    </row>
    <row r="174">
      <c r="B174" s="4" t="inlineStr">
        <is>
          <t>234_0</t>
        </is>
      </c>
      <c r="C174" s="4" t="inlineStr">
        <is>
          <t>02/09/2026</t>
        </is>
      </c>
      <c r="D174" s="4" t="inlineStr">
        <is>
          <t>miércoles</t>
        </is>
      </c>
      <c r="E174" s="4" t="inlineStr">
        <is>
          <t>2339</t>
        </is>
      </c>
      <c r="F174" s="4" t="inlineStr">
        <is>
          <t>PIU</t>
        </is>
      </c>
      <c r="G174" s="4" t="inlineStr">
        <is>
          <t>LIM</t>
        </is>
      </c>
      <c r="H174" s="4" t="inlineStr">
        <is>
          <t>17:20:00</t>
        </is>
      </c>
      <c r="I174" s="4" t="inlineStr">
        <is>
          <t>18:50:00</t>
        </is>
      </c>
      <c r="J174" s="4" t="inlineStr">
        <is>
          <t>320</t>
        </is>
      </c>
      <c r="K174">
        <f>TEXT(TIMEVALUE(H174)-TIMEVALUE(I173)+(TIMEVALUE(H174)&lt;TIMEVALUE(I173)),"[h]:mm")</f>
        <v/>
      </c>
      <c r="L174" s="4" t="inlineStr">
        <is>
          <t>01:30:00</t>
        </is>
      </c>
      <c r="O174">
        <f>"LIM-"&amp;G173&amp;"-LIM   LA "&amp;E173&amp;" ("&amp;LEFT(H173,5)&amp;"-"&amp;LEFT(I173,5)&amp;" hrs)  /  LA "&amp;E174&amp;" ("&amp;LEFT(H174,5)&amp;"-"&amp;LEFT(I174,5)&amp;" hrs)"</f>
        <v/>
      </c>
    </row>
    <row r="175">
      <c r="J175" s="7" t="inlineStr">
        <is>
          <t>PSV total:</t>
        </is>
      </c>
      <c r="K175" s="8">
        <f>TEXT(TIMEVALUE(I174)-TIMEVALUE(H173)+(I174&lt;H173),"[h]:mm")</f>
        <v/>
      </c>
    </row>
    <row r="177">
      <c r="B177" s="3" t="inlineStr">
        <is>
          <t>Pairing ID</t>
        </is>
      </c>
      <c r="C177" s="3" t="inlineStr">
        <is>
          <t>FECHA REAL</t>
        </is>
      </c>
      <c r="D177" s="3" t="inlineStr">
        <is>
          <t>Day of Week</t>
        </is>
      </c>
      <c r="E177" s="3" t="inlineStr">
        <is>
          <t>Flight No</t>
        </is>
      </c>
      <c r="F177" s="3" t="inlineStr">
        <is>
          <t>Dep Stn</t>
        </is>
      </c>
      <c r="G177" s="3" t="inlineStr">
        <is>
          <t>Arr Stn</t>
        </is>
      </c>
      <c r="H177" s="3" t="inlineStr">
        <is>
          <t>STD</t>
        </is>
      </c>
      <c r="I177" s="3" t="inlineStr">
        <is>
          <t>STA</t>
        </is>
      </c>
      <c r="J177" s="3" t="inlineStr">
        <is>
          <t>subflota</t>
        </is>
      </c>
      <c r="K177" s="3" t="inlineStr">
        <is>
          <t>Conexion</t>
        </is>
      </c>
      <c r="L177" s="3" t="inlineStr">
        <is>
          <t>HBT</t>
        </is>
      </c>
    </row>
    <row r="178">
      <c r="B178" s="4" t="inlineStr">
        <is>
          <t>235_0</t>
        </is>
      </c>
      <c r="C178" s="4" t="inlineStr">
        <is>
          <t>02/09/2026</t>
        </is>
      </c>
      <c r="D178" s="4" t="inlineStr">
        <is>
          <t>miércoles</t>
        </is>
      </c>
      <c r="E178" s="4" t="inlineStr">
        <is>
          <t>2338</t>
        </is>
      </c>
      <c r="F178" s="4" t="inlineStr">
        <is>
          <t>LIM</t>
        </is>
      </c>
      <c r="G178" s="4" t="inlineStr">
        <is>
          <t>PIU</t>
        </is>
      </c>
      <c r="H178" s="4" t="inlineStr">
        <is>
          <t>15:00:00</t>
        </is>
      </c>
      <c r="I178" s="4" t="inlineStr">
        <is>
          <t>16:45:00</t>
        </is>
      </c>
      <c r="J178" s="4" t="inlineStr">
        <is>
          <t>320</t>
        </is>
      </c>
      <c r="L178" s="4" t="inlineStr">
        <is>
          <t>01:45:00</t>
        </is>
      </c>
      <c r="M178" s="5" t="n"/>
      <c r="O178" s="5" t="n"/>
      <c r="Q178" s="4">
        <f>B178</f>
        <v/>
      </c>
      <c r="R178" s="4">
        <f>C178</f>
        <v/>
      </c>
      <c r="S178" s="4">
        <f>D178</f>
        <v/>
      </c>
      <c r="T178" s="4">
        <f>E178&amp;"/"&amp;E179</f>
        <v/>
      </c>
      <c r="U178" s="4">
        <f>F178&amp;"-"&amp;G178&amp;"-"&amp;F178</f>
        <v/>
      </c>
      <c r="V178" s="4">
        <f>IF($M$178="","",$M$178)</f>
        <v/>
      </c>
      <c r="W178" s="4">
        <f>IF($O$178="","",$O$178)</f>
        <v/>
      </c>
      <c r="X178" s="4">
        <f>J178</f>
        <v/>
      </c>
    </row>
    <row r="179">
      <c r="B179" s="4" t="inlineStr">
        <is>
          <t>235_0</t>
        </is>
      </c>
      <c r="C179" s="4" t="inlineStr">
        <is>
          <t>02/09/2026</t>
        </is>
      </c>
      <c r="D179" s="4" t="inlineStr">
        <is>
          <t>miércoles</t>
        </is>
      </c>
      <c r="E179" s="4" t="inlineStr">
        <is>
          <t>2339</t>
        </is>
      </c>
      <c r="F179" s="4" t="inlineStr">
        <is>
          <t>PIU</t>
        </is>
      </c>
      <c r="G179" s="4" t="inlineStr">
        <is>
          <t>LIM</t>
        </is>
      </c>
      <c r="H179" s="4" t="inlineStr">
        <is>
          <t>17:20:00</t>
        </is>
      </c>
      <c r="I179" s="4" t="inlineStr">
        <is>
          <t>18:50:00</t>
        </is>
      </c>
      <c r="J179" s="4" t="inlineStr">
        <is>
          <t>320</t>
        </is>
      </c>
      <c r="K179">
        <f>TEXT(TIMEVALUE(H179)-TIMEVALUE(I178)+(TIMEVALUE(H179)&lt;TIMEVALUE(I178)),"[h]:mm")</f>
        <v/>
      </c>
      <c r="L179" s="4" t="inlineStr">
        <is>
          <t>01:30:00</t>
        </is>
      </c>
      <c r="O179">
        <f>"LIM-"&amp;G178&amp;"-LIM   LA "&amp;E178&amp;" ("&amp;LEFT(H178,5)&amp;"-"&amp;LEFT(I178,5)&amp;" hrs)  /  LA "&amp;E179&amp;" ("&amp;LEFT(H179,5)&amp;"-"&amp;LEFT(I179,5)&amp;" hrs)"</f>
        <v/>
      </c>
    </row>
    <row r="180">
      <c r="J180" s="7" t="inlineStr">
        <is>
          <t>PSV total:</t>
        </is>
      </c>
      <c r="K180" s="8">
        <f>TEXT(TIMEVALUE(I179)-TIMEVALUE(H178)+(I179&lt;H178),"[h]:mm")</f>
        <v/>
      </c>
    </row>
    <row r="182">
      <c r="B182" s="3" t="inlineStr">
        <is>
          <t>Pairing ID</t>
        </is>
      </c>
      <c r="C182" s="3" t="inlineStr">
        <is>
          <t>FECHA REAL</t>
        </is>
      </c>
      <c r="D182" s="3" t="inlineStr">
        <is>
          <t>Day of Week</t>
        </is>
      </c>
      <c r="E182" s="3" t="inlineStr">
        <is>
          <t>Flight No</t>
        </is>
      </c>
      <c r="F182" s="3" t="inlineStr">
        <is>
          <t>Dep Stn</t>
        </is>
      </c>
      <c r="G182" s="3" t="inlineStr">
        <is>
          <t>Arr Stn</t>
        </is>
      </c>
      <c r="H182" s="3" t="inlineStr">
        <is>
          <t>STD</t>
        </is>
      </c>
      <c r="I182" s="3" t="inlineStr">
        <is>
          <t>STA</t>
        </is>
      </c>
      <c r="J182" s="3" t="inlineStr">
        <is>
          <t>subflota</t>
        </is>
      </c>
      <c r="K182" s="3" t="inlineStr">
        <is>
          <t>Conexion</t>
        </is>
      </c>
      <c r="L182" s="3" t="inlineStr">
        <is>
          <t>HBT</t>
        </is>
      </c>
    </row>
    <row r="183">
      <c r="B183" s="4" t="inlineStr">
        <is>
          <t>237_0</t>
        </is>
      </c>
      <c r="C183" s="4" t="inlineStr">
        <is>
          <t>02/09/2026</t>
        </is>
      </c>
      <c r="D183" s="4" t="inlineStr">
        <is>
          <t>miércoles</t>
        </is>
      </c>
      <c r="E183" s="4" t="inlineStr">
        <is>
          <t>2297</t>
        </is>
      </c>
      <c r="F183" s="4" t="inlineStr">
        <is>
          <t>LIM</t>
        </is>
      </c>
      <c r="G183" s="4" t="inlineStr">
        <is>
          <t>CJA</t>
        </is>
      </c>
      <c r="H183" s="4" t="inlineStr">
        <is>
          <t>15:15:00</t>
        </is>
      </c>
      <c r="I183" s="4" t="inlineStr">
        <is>
          <t>16:35:00</t>
        </is>
      </c>
      <c r="J183" s="4" t="inlineStr">
        <is>
          <t>320</t>
        </is>
      </c>
      <c r="L183" s="4" t="inlineStr">
        <is>
          <t>01:20:00</t>
        </is>
      </c>
      <c r="M183" s="5" t="n"/>
      <c r="O183" s="5" t="n"/>
      <c r="Q183" s="4">
        <f>B183</f>
        <v/>
      </c>
      <c r="R183" s="4">
        <f>C183</f>
        <v/>
      </c>
      <c r="S183" s="4">
        <f>D183</f>
        <v/>
      </c>
      <c r="T183" s="4">
        <f>E183&amp;"/"&amp;E184</f>
        <v/>
      </c>
      <c r="U183" s="4">
        <f>F183&amp;"-"&amp;G183&amp;"-"&amp;F183</f>
        <v/>
      </c>
      <c r="V183" s="4">
        <f>IF($M$183="","",$M$183)</f>
        <v/>
      </c>
      <c r="W183" s="4">
        <f>IF($O$183="","",$O$183)</f>
        <v/>
      </c>
      <c r="X183" s="4">
        <f>J183</f>
        <v/>
      </c>
    </row>
    <row r="184">
      <c r="B184" s="4" t="inlineStr">
        <is>
          <t>237_0</t>
        </is>
      </c>
      <c r="C184" s="4" t="inlineStr">
        <is>
          <t>02/09/2026</t>
        </is>
      </c>
      <c r="D184" s="4" t="inlineStr">
        <is>
          <t>miércoles</t>
        </is>
      </c>
      <c r="E184" s="4" t="inlineStr">
        <is>
          <t>2296</t>
        </is>
      </c>
      <c r="F184" s="4" t="inlineStr">
        <is>
          <t>CJA</t>
        </is>
      </c>
      <c r="G184" s="4" t="inlineStr">
        <is>
          <t>LIM</t>
        </is>
      </c>
      <c r="H184" s="4" t="inlineStr">
        <is>
          <t>17:20:00</t>
        </is>
      </c>
      <c r="I184" s="4" t="inlineStr">
        <is>
          <t>18:25:00</t>
        </is>
      </c>
      <c r="J184" s="4" t="inlineStr">
        <is>
          <t>320</t>
        </is>
      </c>
      <c r="K184">
        <f>TEXT(TIMEVALUE(H184)-TIMEVALUE(I183)+(TIMEVALUE(H184)&lt;TIMEVALUE(I183)),"[h]:mm")</f>
        <v/>
      </c>
      <c r="L184" s="4" t="inlineStr">
        <is>
          <t>01:05:00</t>
        </is>
      </c>
      <c r="O184">
        <f>"LIM-"&amp;G183&amp;"-LIM   LA "&amp;E183&amp;" ("&amp;LEFT(H183,5)&amp;"-"&amp;LEFT(I183,5)&amp;" hrs)  /  LA "&amp;E184&amp;" ("&amp;LEFT(H184,5)&amp;"-"&amp;LEFT(I184,5)&amp;" hrs)"</f>
        <v/>
      </c>
    </row>
    <row r="185">
      <c r="J185" s="7" t="inlineStr">
        <is>
          <t>PSV total:</t>
        </is>
      </c>
      <c r="K185" s="8">
        <f>TEXT(TIMEVALUE(I184)-TIMEVALUE(H183)+(I184&lt;H183),"[h]:mm")</f>
        <v/>
      </c>
    </row>
    <row r="187">
      <c r="B187" s="3" t="inlineStr">
        <is>
          <t>Pairing ID</t>
        </is>
      </c>
      <c r="C187" s="3" t="inlineStr">
        <is>
          <t>FECHA REAL</t>
        </is>
      </c>
      <c r="D187" s="3" t="inlineStr">
        <is>
          <t>Day of Week</t>
        </is>
      </c>
      <c r="E187" s="3" t="inlineStr">
        <is>
          <t>Flight No</t>
        </is>
      </c>
      <c r="F187" s="3" t="inlineStr">
        <is>
          <t>Dep Stn</t>
        </is>
      </c>
      <c r="G187" s="3" t="inlineStr">
        <is>
          <t>Arr Stn</t>
        </is>
      </c>
      <c r="H187" s="3" t="inlineStr">
        <is>
          <t>STD</t>
        </is>
      </c>
      <c r="I187" s="3" t="inlineStr">
        <is>
          <t>STA</t>
        </is>
      </c>
      <c r="J187" s="3" t="inlineStr">
        <is>
          <t>subflota</t>
        </is>
      </c>
      <c r="K187" s="3" t="inlineStr">
        <is>
          <t>Conexion</t>
        </is>
      </c>
      <c r="L187" s="3" t="inlineStr">
        <is>
          <t>HBT</t>
        </is>
      </c>
    </row>
    <row r="188">
      <c r="B188" s="4" t="inlineStr">
        <is>
          <t>240_0</t>
        </is>
      </c>
      <c r="C188" s="4" t="inlineStr">
        <is>
          <t>02/09/2026</t>
        </is>
      </c>
      <c r="D188" s="4" t="inlineStr">
        <is>
          <t>miércoles</t>
        </is>
      </c>
      <c r="E188" s="4" t="inlineStr">
        <is>
          <t>2312</t>
        </is>
      </c>
      <c r="F188" s="4" t="inlineStr">
        <is>
          <t>LIM</t>
        </is>
      </c>
      <c r="G188" s="4" t="inlineStr">
        <is>
          <t>CIX</t>
        </is>
      </c>
      <c r="H188" s="4" t="inlineStr">
        <is>
          <t>15:35:00</t>
        </is>
      </c>
      <c r="I188" s="4" t="inlineStr">
        <is>
          <t>17:05:00</t>
        </is>
      </c>
      <c r="J188" s="4" t="inlineStr">
        <is>
          <t>320</t>
        </is>
      </c>
      <c r="L188" s="4" t="inlineStr">
        <is>
          <t>01:30:00</t>
        </is>
      </c>
      <c r="M188" s="5" t="n"/>
      <c r="O188" s="5" t="n"/>
      <c r="Q188" s="4">
        <f>B188</f>
        <v/>
      </c>
      <c r="R188" s="4">
        <f>C188</f>
        <v/>
      </c>
      <c r="S188" s="4">
        <f>D188</f>
        <v/>
      </c>
      <c r="T188" s="4">
        <f>E188&amp;"/"&amp;E189</f>
        <v/>
      </c>
      <c r="U188" s="4">
        <f>F188&amp;"-"&amp;G188&amp;"-"&amp;F188</f>
        <v/>
      </c>
      <c r="V188" s="4">
        <f>IF($M$188="","",$M$188)</f>
        <v/>
      </c>
      <c r="W188" s="4">
        <f>IF($O$188="","",$O$188)</f>
        <v/>
      </c>
      <c r="X188" s="4">
        <f>J188</f>
        <v/>
      </c>
    </row>
    <row r="189">
      <c r="B189" s="4" t="inlineStr">
        <is>
          <t>240_0</t>
        </is>
      </c>
      <c r="C189" s="4" t="inlineStr">
        <is>
          <t>02/09/2026</t>
        </is>
      </c>
      <c r="D189" s="4" t="inlineStr">
        <is>
          <t>miércoles</t>
        </is>
      </c>
      <c r="E189" s="4" t="inlineStr">
        <is>
          <t>2313</t>
        </is>
      </c>
      <c r="F189" s="4" t="inlineStr">
        <is>
          <t>CIX</t>
        </is>
      </c>
      <c r="G189" s="4" t="inlineStr">
        <is>
          <t>LIM</t>
        </is>
      </c>
      <c r="H189" s="4" t="inlineStr">
        <is>
          <t>17:50:00</t>
        </is>
      </c>
      <c r="I189" s="4" t="inlineStr">
        <is>
          <t>19:10:00</t>
        </is>
      </c>
      <c r="J189" s="4" t="inlineStr">
        <is>
          <t>320</t>
        </is>
      </c>
      <c r="K189">
        <f>TEXT(TIMEVALUE(H189)-TIMEVALUE(I188)+(TIMEVALUE(H189)&lt;TIMEVALUE(I188)),"[h]:mm")</f>
        <v/>
      </c>
      <c r="L189" s="4" t="inlineStr">
        <is>
          <t>01:20:00</t>
        </is>
      </c>
      <c r="O189">
        <f>"LIM-"&amp;G188&amp;"-LIM   LA "&amp;E188&amp;" ("&amp;LEFT(H188,5)&amp;"-"&amp;LEFT(I188,5)&amp;" hrs)  /  LA "&amp;E189&amp;" ("&amp;LEFT(H189,5)&amp;"-"&amp;LEFT(I189,5)&amp;" hrs)"</f>
        <v/>
      </c>
    </row>
    <row r="190">
      <c r="J190" s="7" t="inlineStr">
        <is>
          <t>PSV total:</t>
        </is>
      </c>
      <c r="K190" s="8">
        <f>TEXT(TIMEVALUE(I189)-TIMEVALUE(H188)+(I189&lt;H188),"[h]:mm")</f>
        <v/>
      </c>
    </row>
    <row r="192">
      <c r="B192" s="3" t="inlineStr">
        <is>
          <t>Pairing ID</t>
        </is>
      </c>
      <c r="C192" s="3" t="inlineStr">
        <is>
          <t>FECHA REAL</t>
        </is>
      </c>
      <c r="D192" s="3" t="inlineStr">
        <is>
          <t>Day of Week</t>
        </is>
      </c>
      <c r="E192" s="3" t="inlineStr">
        <is>
          <t>Flight No</t>
        </is>
      </c>
      <c r="F192" s="3" t="inlineStr">
        <is>
          <t>Dep Stn</t>
        </is>
      </c>
      <c r="G192" s="3" t="inlineStr">
        <is>
          <t>Arr Stn</t>
        </is>
      </c>
      <c r="H192" s="3" t="inlineStr">
        <is>
          <t>STD</t>
        </is>
      </c>
      <c r="I192" s="3" t="inlineStr">
        <is>
          <t>STA</t>
        </is>
      </c>
      <c r="J192" s="3" t="inlineStr">
        <is>
          <t>subflota</t>
        </is>
      </c>
      <c r="K192" s="3" t="inlineStr">
        <is>
          <t>Conexion</t>
        </is>
      </c>
      <c r="L192" s="3" t="inlineStr">
        <is>
          <t>HBT</t>
        </is>
      </c>
    </row>
    <row r="193">
      <c r="B193" s="4" t="inlineStr">
        <is>
          <t>241_0</t>
        </is>
      </c>
      <c r="C193" s="4" t="inlineStr">
        <is>
          <t>02/09/2026</t>
        </is>
      </c>
      <c r="D193" s="4" t="inlineStr">
        <is>
          <t>miércoles</t>
        </is>
      </c>
      <c r="E193" s="4" t="inlineStr">
        <is>
          <t>2301</t>
        </is>
      </c>
      <c r="F193" s="4" t="inlineStr">
        <is>
          <t>LIM</t>
        </is>
      </c>
      <c r="G193" s="4" t="inlineStr">
        <is>
          <t>TPP</t>
        </is>
      </c>
      <c r="H193" s="4" t="inlineStr">
        <is>
          <t>15:40:00</t>
        </is>
      </c>
      <c r="I193" s="4" t="inlineStr">
        <is>
          <t>17:05:00</t>
        </is>
      </c>
      <c r="J193" s="4" t="inlineStr">
        <is>
          <t>320</t>
        </is>
      </c>
      <c r="L193" s="4" t="inlineStr">
        <is>
          <t>01:25:00</t>
        </is>
      </c>
      <c r="M193" s="5" t="n"/>
      <c r="O193" s="5" t="n"/>
      <c r="Q193" s="4">
        <f>B193</f>
        <v/>
      </c>
      <c r="R193" s="4">
        <f>C193</f>
        <v/>
      </c>
      <c r="S193" s="4">
        <f>D193</f>
        <v/>
      </c>
      <c r="T193" s="4">
        <f>E193&amp;"/"&amp;E194</f>
        <v/>
      </c>
      <c r="U193" s="4">
        <f>F193&amp;"-"&amp;G193&amp;"-"&amp;F193</f>
        <v/>
      </c>
      <c r="V193" s="4">
        <f>IF($M$193="","",$M$193)</f>
        <v/>
      </c>
      <c r="W193" s="4">
        <f>IF($O$193="","",$O$193)</f>
        <v/>
      </c>
      <c r="X193" s="4">
        <f>J193</f>
        <v/>
      </c>
    </row>
    <row r="194">
      <c r="B194" s="4" t="inlineStr">
        <is>
          <t>241_0</t>
        </is>
      </c>
      <c r="C194" s="4" t="inlineStr">
        <is>
          <t>02/09/2026</t>
        </is>
      </c>
      <c r="D194" s="4" t="inlineStr">
        <is>
          <t>miércoles</t>
        </is>
      </c>
      <c r="E194" s="4" t="inlineStr">
        <is>
          <t>2300</t>
        </is>
      </c>
      <c r="F194" s="4" t="inlineStr">
        <is>
          <t>TPP</t>
        </is>
      </c>
      <c r="G194" s="4" t="inlineStr">
        <is>
          <t>LIM</t>
        </is>
      </c>
      <c r="H194" s="4" t="inlineStr">
        <is>
          <t>17:50:00</t>
        </is>
      </c>
      <c r="I194" s="4" t="inlineStr">
        <is>
          <t>19:20:00</t>
        </is>
      </c>
      <c r="J194" s="4" t="inlineStr">
        <is>
          <t>320</t>
        </is>
      </c>
      <c r="K194">
        <f>TEXT(TIMEVALUE(H194)-TIMEVALUE(I193)+(TIMEVALUE(H194)&lt;TIMEVALUE(I193)),"[h]:mm")</f>
        <v/>
      </c>
      <c r="L194" s="4" t="inlineStr">
        <is>
          <t>01:30:00</t>
        </is>
      </c>
      <c r="O194">
        <f>"LIM-"&amp;G193&amp;"-LIM   LA "&amp;E193&amp;" ("&amp;LEFT(H193,5)&amp;"-"&amp;LEFT(I193,5)&amp;" hrs)  /  LA "&amp;E194&amp;" ("&amp;LEFT(H194,5)&amp;"-"&amp;LEFT(I194,5)&amp;" hrs)"</f>
        <v/>
      </c>
    </row>
    <row r="195">
      <c r="J195" s="7" t="inlineStr">
        <is>
          <t>PSV total:</t>
        </is>
      </c>
      <c r="K195" s="8">
        <f>TEXT(TIMEVALUE(I194)-TIMEVALUE(H193)+(I194&lt;H193),"[h]:mm")</f>
        <v/>
      </c>
    </row>
    <row r="197">
      <c r="B197" s="3" t="inlineStr">
        <is>
          <t>Pairing ID</t>
        </is>
      </c>
      <c r="C197" s="3" t="inlineStr">
        <is>
          <t>FECHA REAL</t>
        </is>
      </c>
      <c r="D197" s="3" t="inlineStr">
        <is>
          <t>Day of Week</t>
        </is>
      </c>
      <c r="E197" s="3" t="inlineStr">
        <is>
          <t>Flight No</t>
        </is>
      </c>
      <c r="F197" s="3" t="inlineStr">
        <is>
          <t>Dep Stn</t>
        </is>
      </c>
      <c r="G197" s="3" t="inlineStr">
        <is>
          <t>Arr Stn</t>
        </is>
      </c>
      <c r="H197" s="3" t="inlineStr">
        <is>
          <t>STD</t>
        </is>
      </c>
      <c r="I197" s="3" t="inlineStr">
        <is>
          <t>STA</t>
        </is>
      </c>
      <c r="J197" s="3" t="inlineStr">
        <is>
          <t>subflota</t>
        </is>
      </c>
      <c r="K197" s="3" t="inlineStr">
        <is>
          <t>Conexion</t>
        </is>
      </c>
      <c r="L197" s="3" t="inlineStr">
        <is>
          <t>HBT</t>
        </is>
      </c>
    </row>
    <row r="198">
      <c r="B198" s="4" t="inlineStr">
        <is>
          <t>242_0</t>
        </is>
      </c>
      <c r="C198" s="4" t="inlineStr">
        <is>
          <t>02/09/2026</t>
        </is>
      </c>
      <c r="D198" s="4" t="inlineStr">
        <is>
          <t>miércoles</t>
        </is>
      </c>
      <c r="E198" s="4" t="inlineStr">
        <is>
          <t>2301</t>
        </is>
      </c>
      <c r="F198" s="4" t="inlineStr">
        <is>
          <t>LIM</t>
        </is>
      </c>
      <c r="G198" s="4" t="inlineStr">
        <is>
          <t>TPP</t>
        </is>
      </c>
      <c r="H198" s="4" t="inlineStr">
        <is>
          <t>15:40:00</t>
        </is>
      </c>
      <c r="I198" s="4" t="inlineStr">
        <is>
          <t>17:05:00</t>
        </is>
      </c>
      <c r="J198" s="4" t="inlineStr">
        <is>
          <t>320</t>
        </is>
      </c>
      <c r="L198" s="4" t="inlineStr">
        <is>
          <t>01:25:00</t>
        </is>
      </c>
      <c r="M198" s="5" t="n"/>
      <c r="O198" s="5" t="n"/>
      <c r="Q198" s="4">
        <f>B198</f>
        <v/>
      </c>
      <c r="R198" s="4">
        <f>C198</f>
        <v/>
      </c>
      <c r="S198" s="4">
        <f>D198</f>
        <v/>
      </c>
      <c r="T198" s="4">
        <f>E198&amp;"/"&amp;E199</f>
        <v/>
      </c>
      <c r="U198" s="4">
        <f>F198&amp;"-"&amp;G198&amp;"-"&amp;F198</f>
        <v/>
      </c>
      <c r="V198" s="4">
        <f>IF($M$198="","",$M$198)</f>
        <v/>
      </c>
      <c r="W198" s="4">
        <f>IF($O$198="","",$O$198)</f>
        <v/>
      </c>
      <c r="X198" s="4">
        <f>J198</f>
        <v/>
      </c>
    </row>
    <row r="199">
      <c r="B199" s="4" t="inlineStr">
        <is>
          <t>242_0</t>
        </is>
      </c>
      <c r="C199" s="4" t="inlineStr">
        <is>
          <t>02/09/2026</t>
        </is>
      </c>
      <c r="D199" s="4" t="inlineStr">
        <is>
          <t>miércoles</t>
        </is>
      </c>
      <c r="E199" s="4" t="inlineStr">
        <is>
          <t>2300</t>
        </is>
      </c>
      <c r="F199" s="4" t="inlineStr">
        <is>
          <t>TPP</t>
        </is>
      </c>
      <c r="G199" s="4" t="inlineStr">
        <is>
          <t>LIM</t>
        </is>
      </c>
      <c r="H199" s="4" t="inlineStr">
        <is>
          <t>17:50:00</t>
        </is>
      </c>
      <c r="I199" s="4" t="inlineStr">
        <is>
          <t>19:20:00</t>
        </is>
      </c>
      <c r="J199" s="4" t="inlineStr">
        <is>
          <t>320</t>
        </is>
      </c>
      <c r="K199">
        <f>TEXT(TIMEVALUE(H199)-TIMEVALUE(I198)+(TIMEVALUE(H199)&lt;TIMEVALUE(I198)),"[h]:mm")</f>
        <v/>
      </c>
      <c r="L199" s="4" t="inlineStr">
        <is>
          <t>01:30:00</t>
        </is>
      </c>
      <c r="O199">
        <f>"LIM-"&amp;G198&amp;"-LIM   LA "&amp;E198&amp;" ("&amp;LEFT(H198,5)&amp;"-"&amp;LEFT(I198,5)&amp;" hrs)  /  LA "&amp;E199&amp;" ("&amp;LEFT(H199,5)&amp;"-"&amp;LEFT(I199,5)&amp;" hrs)"</f>
        <v/>
      </c>
    </row>
    <row r="200">
      <c r="J200" s="7" t="inlineStr">
        <is>
          <t>PSV total:</t>
        </is>
      </c>
      <c r="K200" s="8">
        <f>TEXT(TIMEVALUE(I199)-TIMEVALUE(H198)+(I199&lt;H198),"[h]:mm")</f>
        <v/>
      </c>
    </row>
    <row r="202">
      <c r="B202" s="3" t="inlineStr">
        <is>
          <t>Pairing ID</t>
        </is>
      </c>
      <c r="C202" s="3" t="inlineStr">
        <is>
          <t>FECHA REAL</t>
        </is>
      </c>
      <c r="D202" s="3" t="inlineStr">
        <is>
          <t>Day of Week</t>
        </is>
      </c>
      <c r="E202" s="3" t="inlineStr">
        <is>
          <t>Flight No</t>
        </is>
      </c>
      <c r="F202" s="3" t="inlineStr">
        <is>
          <t>Dep Stn</t>
        </is>
      </c>
      <c r="G202" s="3" t="inlineStr">
        <is>
          <t>Arr Stn</t>
        </is>
      </c>
      <c r="H202" s="3" t="inlineStr">
        <is>
          <t>STD</t>
        </is>
      </c>
      <c r="I202" s="3" t="inlineStr">
        <is>
          <t>STA</t>
        </is>
      </c>
      <c r="J202" s="3" t="inlineStr">
        <is>
          <t>subflota</t>
        </is>
      </c>
      <c r="K202" s="3" t="inlineStr">
        <is>
          <t>Conexion</t>
        </is>
      </c>
      <c r="L202" s="3" t="inlineStr">
        <is>
          <t>HBT</t>
        </is>
      </c>
    </row>
    <row r="203">
      <c r="B203" s="4" t="inlineStr">
        <is>
          <t>246_0</t>
        </is>
      </c>
      <c r="C203" s="4" t="inlineStr">
        <is>
          <t>02/09/2026</t>
        </is>
      </c>
      <c r="D203" s="4" t="inlineStr">
        <is>
          <t>miércoles</t>
        </is>
      </c>
      <c r="E203" s="4" t="inlineStr">
        <is>
          <t>2127</t>
        </is>
      </c>
      <c r="F203" s="4" t="inlineStr">
        <is>
          <t>LIM</t>
        </is>
      </c>
      <c r="G203" s="4" t="inlineStr">
        <is>
          <t>CUZ</t>
        </is>
      </c>
      <c r="H203" s="4" t="inlineStr">
        <is>
          <t>16:10:00</t>
        </is>
      </c>
      <c r="I203" s="4" t="inlineStr">
        <is>
          <t>17:30:00</t>
        </is>
      </c>
      <c r="J203" s="4" t="inlineStr">
        <is>
          <t>320</t>
        </is>
      </c>
      <c r="L203" s="4" t="inlineStr">
        <is>
          <t>01:20:00</t>
        </is>
      </c>
      <c r="M203" s="5" t="n"/>
      <c r="O203" s="5" t="n"/>
      <c r="Q203" s="4">
        <f>B203</f>
        <v/>
      </c>
      <c r="R203" s="4">
        <f>C203</f>
        <v/>
      </c>
      <c r="S203" s="4">
        <f>D203</f>
        <v/>
      </c>
      <c r="T203" s="4">
        <f>E203&amp;"/"&amp;E204</f>
        <v/>
      </c>
      <c r="U203" s="4">
        <f>F203&amp;"-"&amp;G203&amp;"-"&amp;F203</f>
        <v/>
      </c>
      <c r="V203" s="4">
        <f>IF($M$203="","",$M$203)</f>
        <v/>
      </c>
      <c r="W203" s="4">
        <f>IF($O$203="","",$O$203)</f>
        <v/>
      </c>
      <c r="X203" s="4">
        <f>J203</f>
        <v/>
      </c>
    </row>
    <row r="204">
      <c r="B204" s="4" t="inlineStr">
        <is>
          <t>246_0</t>
        </is>
      </c>
      <c r="C204" s="4" t="inlineStr">
        <is>
          <t>02/09/2026</t>
        </is>
      </c>
      <c r="D204" s="4" t="inlineStr">
        <is>
          <t>miércoles</t>
        </is>
      </c>
      <c r="E204" s="4" t="inlineStr">
        <is>
          <t>2026</t>
        </is>
      </c>
      <c r="F204" s="4" t="inlineStr">
        <is>
          <t>CUZ</t>
        </is>
      </c>
      <c r="G204" s="4" t="inlineStr">
        <is>
          <t>LIM</t>
        </is>
      </c>
      <c r="H204" s="4" t="inlineStr">
        <is>
          <t>18:10:00</t>
        </is>
      </c>
      <c r="I204" s="4" t="inlineStr">
        <is>
          <t>19:50:00</t>
        </is>
      </c>
      <c r="J204" s="4" t="inlineStr">
        <is>
          <t>320</t>
        </is>
      </c>
      <c r="K204">
        <f>TEXT(TIMEVALUE(H204)-TIMEVALUE(I203)+(TIMEVALUE(H204)&lt;TIMEVALUE(I203)),"[h]:mm")</f>
        <v/>
      </c>
      <c r="L204" s="4" t="inlineStr">
        <is>
          <t>01:40:00</t>
        </is>
      </c>
      <c r="O204">
        <f>"LIM-"&amp;G203&amp;"-LIM   LA "&amp;E203&amp;" ("&amp;LEFT(H203,5)&amp;"-"&amp;LEFT(I203,5)&amp;" hrs)  /  LA "&amp;E204&amp;" ("&amp;LEFT(H204,5)&amp;"-"&amp;LEFT(I204,5)&amp;" hrs)"</f>
        <v/>
      </c>
    </row>
    <row r="205">
      <c r="J205" s="7" t="inlineStr">
        <is>
          <t>PSV total:</t>
        </is>
      </c>
      <c r="K205" s="8">
        <f>TEXT(TIMEVALUE(I204)-TIMEVALUE(H203)+(I204&lt;H203),"[h]:mm")</f>
        <v/>
      </c>
    </row>
    <row r="207">
      <c r="B207" s="3" t="inlineStr">
        <is>
          <t>Pairing ID</t>
        </is>
      </c>
      <c r="C207" s="3" t="inlineStr">
        <is>
          <t>FECHA REAL</t>
        </is>
      </c>
      <c r="D207" s="3" t="inlineStr">
        <is>
          <t>Day of Week</t>
        </is>
      </c>
      <c r="E207" s="3" t="inlineStr">
        <is>
          <t>Flight No</t>
        </is>
      </c>
      <c r="F207" s="3" t="inlineStr">
        <is>
          <t>Dep Stn</t>
        </is>
      </c>
      <c r="G207" s="3" t="inlineStr">
        <is>
          <t>Arr Stn</t>
        </is>
      </c>
      <c r="H207" s="3" t="inlineStr">
        <is>
          <t>STD</t>
        </is>
      </c>
      <c r="I207" s="3" t="inlineStr">
        <is>
          <t>STA</t>
        </is>
      </c>
      <c r="J207" s="3" t="inlineStr">
        <is>
          <t>subflota</t>
        </is>
      </c>
      <c r="K207" s="3" t="inlineStr">
        <is>
          <t>Conexion</t>
        </is>
      </c>
      <c r="L207" s="3" t="inlineStr">
        <is>
          <t>HBT</t>
        </is>
      </c>
    </row>
    <row r="208">
      <c r="B208" s="4" t="inlineStr">
        <is>
          <t>247_0</t>
        </is>
      </c>
      <c r="C208" s="4" t="inlineStr">
        <is>
          <t>02/09/2026</t>
        </is>
      </c>
      <c r="D208" s="4" t="inlineStr">
        <is>
          <t>miércoles</t>
        </is>
      </c>
      <c r="E208" s="4" t="inlineStr">
        <is>
          <t>2053</t>
        </is>
      </c>
      <c r="F208" s="4" t="inlineStr">
        <is>
          <t>LIM</t>
        </is>
      </c>
      <c r="G208" s="4" t="inlineStr">
        <is>
          <t>TBP</t>
        </is>
      </c>
      <c r="H208" s="4" t="inlineStr">
        <is>
          <t>16:20:00</t>
        </is>
      </c>
      <c r="I208" s="4" t="inlineStr">
        <is>
          <t>18:10:00</t>
        </is>
      </c>
      <c r="J208" s="4" t="inlineStr">
        <is>
          <t>320</t>
        </is>
      </c>
      <c r="L208" s="4" t="inlineStr">
        <is>
          <t>01:50:00</t>
        </is>
      </c>
      <c r="M208" s="5" t="n"/>
      <c r="O208" s="5" t="n"/>
      <c r="Q208" s="4">
        <f>B208</f>
        <v/>
      </c>
      <c r="R208" s="4">
        <f>C208</f>
        <v/>
      </c>
      <c r="S208" s="4">
        <f>D208</f>
        <v/>
      </c>
      <c r="T208" s="4">
        <f>E208&amp;"/"&amp;E209</f>
        <v/>
      </c>
      <c r="U208" s="4">
        <f>F208&amp;"-"&amp;G208&amp;"-"&amp;F208</f>
        <v/>
      </c>
      <c r="V208" s="4">
        <f>IF($M$208="","",$M$208)</f>
        <v/>
      </c>
      <c r="W208" s="4">
        <f>IF($O$208="","",$O$208)</f>
        <v/>
      </c>
      <c r="X208" s="4">
        <f>J208</f>
        <v/>
      </c>
    </row>
    <row r="209">
      <c r="B209" s="4" t="inlineStr">
        <is>
          <t>247_0</t>
        </is>
      </c>
      <c r="C209" s="4" t="inlineStr">
        <is>
          <t>02/09/2026</t>
        </is>
      </c>
      <c r="D209" s="4" t="inlineStr">
        <is>
          <t>miércoles</t>
        </is>
      </c>
      <c r="E209" s="4" t="inlineStr">
        <is>
          <t>2054</t>
        </is>
      </c>
      <c r="F209" s="4" t="inlineStr">
        <is>
          <t>TBP</t>
        </is>
      </c>
      <c r="G209" s="4" t="inlineStr">
        <is>
          <t>LIM</t>
        </is>
      </c>
      <c r="H209" s="4" t="inlineStr">
        <is>
          <t>18:50:00</t>
        </is>
      </c>
      <c r="I209" s="4" t="inlineStr">
        <is>
          <t>20:30:00</t>
        </is>
      </c>
      <c r="J209" s="4" t="inlineStr">
        <is>
          <t>320</t>
        </is>
      </c>
      <c r="K209">
        <f>TEXT(TIMEVALUE(H209)-TIMEVALUE(I208)+(TIMEVALUE(H209)&lt;TIMEVALUE(I208)),"[h]:mm")</f>
        <v/>
      </c>
      <c r="L209" s="4" t="inlineStr">
        <is>
          <t>01:40:00</t>
        </is>
      </c>
      <c r="O209">
        <f>"LIM-"&amp;G208&amp;"-LIM   LA "&amp;E208&amp;" ("&amp;LEFT(H208,5)&amp;"-"&amp;LEFT(I208,5)&amp;" hrs)  /  LA "&amp;E209&amp;" ("&amp;LEFT(H209,5)&amp;"-"&amp;LEFT(I209,5)&amp;" hrs)"</f>
        <v/>
      </c>
    </row>
    <row r="210">
      <c r="J210" s="7" t="inlineStr">
        <is>
          <t>PSV total:</t>
        </is>
      </c>
      <c r="K210" s="8">
        <f>TEXT(TIMEVALUE(I209)-TIMEVALUE(H208)+(I209&lt;H208),"[h]:mm")</f>
        <v/>
      </c>
    </row>
    <row r="212">
      <c r="B212" s="3" t="inlineStr">
        <is>
          <t>Pairing ID</t>
        </is>
      </c>
      <c r="C212" s="3" t="inlineStr">
        <is>
          <t>FECHA REAL</t>
        </is>
      </c>
      <c r="D212" s="3" t="inlineStr">
        <is>
          <t>Day of Week</t>
        </is>
      </c>
      <c r="E212" s="3" t="inlineStr">
        <is>
          <t>Flight No</t>
        </is>
      </c>
      <c r="F212" s="3" t="inlineStr">
        <is>
          <t>Dep Stn</t>
        </is>
      </c>
      <c r="G212" s="3" t="inlineStr">
        <is>
          <t>Arr Stn</t>
        </is>
      </c>
      <c r="H212" s="3" t="inlineStr">
        <is>
          <t>STD</t>
        </is>
      </c>
      <c r="I212" s="3" t="inlineStr">
        <is>
          <t>STA</t>
        </is>
      </c>
      <c r="J212" s="3" t="inlineStr">
        <is>
          <t>subflota</t>
        </is>
      </c>
      <c r="K212" s="3" t="inlineStr">
        <is>
          <t>Conexion</t>
        </is>
      </c>
      <c r="L212" s="3" t="inlineStr">
        <is>
          <t>HBT</t>
        </is>
      </c>
    </row>
    <row r="213">
      <c r="B213" s="4" t="inlineStr">
        <is>
          <t>297_0</t>
        </is>
      </c>
      <c r="C213" s="4" t="inlineStr">
        <is>
          <t>03/09/2026</t>
        </is>
      </c>
      <c r="D213" s="4" t="inlineStr">
        <is>
          <t>jueves</t>
        </is>
      </c>
      <c r="E213" s="4" t="inlineStr">
        <is>
          <t>2013</t>
        </is>
      </c>
      <c r="F213" s="4" t="inlineStr">
        <is>
          <t>LIM</t>
        </is>
      </c>
      <c r="G213" s="4" t="inlineStr">
        <is>
          <t>CUZ</t>
        </is>
      </c>
      <c r="H213" s="4" t="inlineStr">
        <is>
          <t>08:35:00</t>
        </is>
      </c>
      <c r="I213" s="4" t="inlineStr">
        <is>
          <t>09:55:00</t>
        </is>
      </c>
      <c r="J213" s="4" t="inlineStr">
        <is>
          <t>320</t>
        </is>
      </c>
      <c r="L213" s="4" t="inlineStr">
        <is>
          <t>01:20:00</t>
        </is>
      </c>
      <c r="M213" s="5" t="n"/>
      <c r="O213" s="5" t="n"/>
      <c r="Q213" s="4">
        <f>B213</f>
        <v/>
      </c>
      <c r="R213" s="4">
        <f>C213</f>
        <v/>
      </c>
      <c r="S213" s="4">
        <f>D213</f>
        <v/>
      </c>
      <c r="T213" s="4">
        <f>E213&amp;"/"&amp;E214</f>
        <v/>
      </c>
      <c r="U213" s="4">
        <f>F213&amp;"-"&amp;G213&amp;"-"&amp;F213</f>
        <v/>
      </c>
      <c r="V213" s="4">
        <f>IF($M$213="","",$M$213)</f>
        <v/>
      </c>
      <c r="W213" s="4">
        <f>IF($O$213="","",$O$213)</f>
        <v/>
      </c>
      <c r="X213" s="4">
        <f>J213</f>
        <v/>
      </c>
    </row>
    <row r="214">
      <c r="B214" s="4" t="inlineStr">
        <is>
          <t>297_0</t>
        </is>
      </c>
      <c r="C214" s="4" t="inlineStr">
        <is>
          <t>03/09/2026</t>
        </is>
      </c>
      <c r="D214" s="4" t="inlineStr">
        <is>
          <t>jueves</t>
        </is>
      </c>
      <c r="E214" s="4" t="inlineStr">
        <is>
          <t>2014</t>
        </is>
      </c>
      <c r="F214" s="4" t="inlineStr">
        <is>
          <t>CUZ</t>
        </is>
      </c>
      <c r="G214" s="4" t="inlineStr">
        <is>
          <t>LIM</t>
        </is>
      </c>
      <c r="H214" s="4" t="inlineStr">
        <is>
          <t>10:40:00</t>
        </is>
      </c>
      <c r="I214" s="4" t="inlineStr">
        <is>
          <t>12:15:00</t>
        </is>
      </c>
      <c r="J214" s="4" t="inlineStr">
        <is>
          <t>320</t>
        </is>
      </c>
      <c r="K214">
        <f>TEXT(TIMEVALUE(H214)-TIMEVALUE(I213)+(TIMEVALUE(H214)&lt;TIMEVALUE(I213)),"[h]:mm")</f>
        <v/>
      </c>
      <c r="L214" s="4" t="inlineStr">
        <is>
          <t>01:35:00</t>
        </is>
      </c>
      <c r="O214">
        <f>"LIM-"&amp;G213&amp;"-LIM   LA "&amp;E213&amp;" ("&amp;LEFT(H213,5)&amp;"-"&amp;LEFT(I213,5)&amp;" hrs)  /  LA "&amp;E214&amp;" ("&amp;LEFT(H214,5)&amp;"-"&amp;LEFT(I214,5)&amp;" hrs)"</f>
        <v/>
      </c>
    </row>
    <row r="215">
      <c r="B215" s="4" t="inlineStr">
        <is>
          <t>315_0</t>
        </is>
      </c>
      <c r="C215" s="4" t="inlineStr">
        <is>
          <t>03/09/2026</t>
        </is>
      </c>
      <c r="D215" s="4" t="inlineStr">
        <is>
          <t>jueves</t>
        </is>
      </c>
      <c r="E215" s="4" t="inlineStr">
        <is>
          <t>2028</t>
        </is>
      </c>
      <c r="F215" s="4" t="inlineStr">
        <is>
          <t>LIM</t>
        </is>
      </c>
      <c r="G215" s="4" t="inlineStr">
        <is>
          <t>CUZ</t>
        </is>
      </c>
      <c r="H215" s="4" t="inlineStr">
        <is>
          <t>13:25:00</t>
        </is>
      </c>
      <c r="I215" s="4" t="inlineStr">
        <is>
          <t>14:45:00</t>
        </is>
      </c>
      <c r="J215" s="4" t="inlineStr">
        <is>
          <t>320</t>
        </is>
      </c>
      <c r="K215" s="6">
        <f>TEXT(TIMEVALUE(H215)-TIMEVALUE(I214)+(TIMEVALUE(H215)&lt;TIMEVALUE(I214)),"[h]:mm")</f>
        <v/>
      </c>
      <c r="L215" s="4" t="inlineStr">
        <is>
          <t>01:20:00</t>
        </is>
      </c>
      <c r="M215">
        <f>IF($M$213="","",$M$213)</f>
        <v/>
      </c>
      <c r="O215">
        <f>IF($O$213="","",$O$213)</f>
        <v/>
      </c>
      <c r="Q215" s="4">
        <f>B215</f>
        <v/>
      </c>
      <c r="R215" s="4">
        <f>C215</f>
        <v/>
      </c>
      <c r="S215" s="4">
        <f>D215</f>
        <v/>
      </c>
      <c r="T215" s="4">
        <f>E215&amp;"/"&amp;E216</f>
        <v/>
      </c>
      <c r="U215" s="4">
        <f>F215&amp;"-"&amp;G215&amp;"-"&amp;F215</f>
        <v/>
      </c>
      <c r="V215" s="4">
        <f>IF($M$213="","",$M$213)</f>
        <v/>
      </c>
      <c r="W215" s="4">
        <f>IF($O$213="","",$O$213)</f>
        <v/>
      </c>
      <c r="X215" s="4">
        <f>J215</f>
        <v/>
      </c>
    </row>
    <row r="216">
      <c r="B216" s="4" t="inlineStr">
        <is>
          <t>315_0</t>
        </is>
      </c>
      <c r="C216" s="4" t="inlineStr">
        <is>
          <t>03/09/2026</t>
        </is>
      </c>
      <c r="D216" s="4" t="inlineStr">
        <is>
          <t>jueves</t>
        </is>
      </c>
      <c r="E216" s="4" t="inlineStr">
        <is>
          <t>2029</t>
        </is>
      </c>
      <c r="F216" s="4" t="inlineStr">
        <is>
          <t>CUZ</t>
        </is>
      </c>
      <c r="G216" s="4" t="inlineStr">
        <is>
          <t>LIM</t>
        </is>
      </c>
      <c r="H216" s="4" t="inlineStr">
        <is>
          <t>15:30:00</t>
        </is>
      </c>
      <c r="I216" s="4" t="inlineStr">
        <is>
          <t>17:05:00</t>
        </is>
      </c>
      <c r="J216" s="4" t="inlineStr">
        <is>
          <t>320</t>
        </is>
      </c>
      <c r="K216">
        <f>TEXT(TIMEVALUE(H216)-TIMEVALUE(I215)+(TIMEVALUE(H216)&lt;TIMEVALUE(I215)),"[h]:mm")</f>
        <v/>
      </c>
      <c r="L216" s="4" t="inlineStr">
        <is>
          <t>01:35:00</t>
        </is>
      </c>
      <c r="O216">
        <f>"LIM-"&amp;G215&amp;"-LIM   LA "&amp;E215&amp;" ("&amp;LEFT(H215,5)&amp;"-"&amp;LEFT(I215,5)&amp;" hrs)  /  LA "&amp;E216&amp;" ("&amp;LEFT(H216,5)&amp;"-"&amp;LEFT(I216,5)&amp;" hrs)"</f>
        <v/>
      </c>
    </row>
    <row r="217">
      <c r="J217" s="7" t="inlineStr">
        <is>
          <t>PSV total:</t>
        </is>
      </c>
      <c r="K217" s="8">
        <f>TEXT(TIMEVALUE(I216)-TIMEVALUE(H213)+(I216&lt;H213),"[h]:mm")</f>
        <v/>
      </c>
    </row>
    <row r="219">
      <c r="B219" s="3" t="inlineStr">
        <is>
          <t>Pairing ID</t>
        </is>
      </c>
      <c r="C219" s="3" t="inlineStr">
        <is>
          <t>FECHA REAL</t>
        </is>
      </c>
      <c r="D219" s="3" t="inlineStr">
        <is>
          <t>Day of Week</t>
        </is>
      </c>
      <c r="E219" s="3" t="inlineStr">
        <is>
          <t>Flight No</t>
        </is>
      </c>
      <c r="F219" s="3" t="inlineStr">
        <is>
          <t>Dep Stn</t>
        </is>
      </c>
      <c r="G219" s="3" t="inlineStr">
        <is>
          <t>Arr Stn</t>
        </is>
      </c>
      <c r="H219" s="3" t="inlineStr">
        <is>
          <t>STD</t>
        </is>
      </c>
      <c r="I219" s="3" t="inlineStr">
        <is>
          <t>STA</t>
        </is>
      </c>
      <c r="J219" s="3" t="inlineStr">
        <is>
          <t>subflota</t>
        </is>
      </c>
      <c r="K219" s="3" t="inlineStr">
        <is>
          <t>Conexion</t>
        </is>
      </c>
      <c r="L219" s="3" t="inlineStr">
        <is>
          <t>HBT</t>
        </is>
      </c>
    </row>
    <row r="220">
      <c r="B220" s="4" t="inlineStr">
        <is>
          <t>304_0</t>
        </is>
      </c>
      <c r="C220" s="4" t="inlineStr">
        <is>
          <t>03/09/2026</t>
        </is>
      </c>
      <c r="D220" s="4" t="inlineStr">
        <is>
          <t>jueves</t>
        </is>
      </c>
      <c r="E220" s="4" t="inlineStr">
        <is>
          <t>2299</t>
        </is>
      </c>
      <c r="F220" s="4" t="inlineStr">
        <is>
          <t>LIM</t>
        </is>
      </c>
      <c r="G220" s="4" t="inlineStr">
        <is>
          <t>CJA</t>
        </is>
      </c>
      <c r="H220" s="4" t="inlineStr">
        <is>
          <t>11:35:00</t>
        </is>
      </c>
      <c r="I220" s="4" t="inlineStr">
        <is>
          <t>12:55:00</t>
        </is>
      </c>
      <c r="J220" s="4" t="inlineStr">
        <is>
          <t>320</t>
        </is>
      </c>
      <c r="L220" s="4" t="inlineStr">
        <is>
          <t>01:20:00</t>
        </is>
      </c>
      <c r="M220" s="5" t="n"/>
      <c r="O220" s="5" t="n"/>
      <c r="Q220" s="4">
        <f>B220</f>
        <v/>
      </c>
      <c r="R220" s="4">
        <f>C220</f>
        <v/>
      </c>
      <c r="S220" s="4">
        <f>D220</f>
        <v/>
      </c>
      <c r="T220" s="4">
        <f>E220&amp;"/"&amp;E221</f>
        <v/>
      </c>
      <c r="U220" s="4">
        <f>F220&amp;"-"&amp;G220&amp;"-"&amp;F220</f>
        <v/>
      </c>
      <c r="V220" s="4">
        <f>IF($M$220="","",$M$220)</f>
        <v/>
      </c>
      <c r="W220" s="4">
        <f>IF($O$220="","",$O$220)</f>
        <v/>
      </c>
      <c r="X220" s="4">
        <f>J220</f>
        <v/>
      </c>
    </row>
    <row r="221">
      <c r="B221" s="4" t="inlineStr">
        <is>
          <t>304_0</t>
        </is>
      </c>
      <c r="C221" s="4" t="inlineStr">
        <is>
          <t>03/09/2026</t>
        </is>
      </c>
      <c r="D221" s="4" t="inlineStr">
        <is>
          <t>jueves</t>
        </is>
      </c>
      <c r="E221" s="4" t="inlineStr">
        <is>
          <t>2298</t>
        </is>
      </c>
      <c r="F221" s="4" t="inlineStr">
        <is>
          <t>CJA</t>
        </is>
      </c>
      <c r="G221" s="4" t="inlineStr">
        <is>
          <t>LIM</t>
        </is>
      </c>
      <c r="H221" s="4" t="inlineStr">
        <is>
          <t>13:40:00</t>
        </is>
      </c>
      <c r="I221" s="4" t="inlineStr">
        <is>
          <t>14:50:00</t>
        </is>
      </c>
      <c r="J221" s="4" t="inlineStr">
        <is>
          <t>320</t>
        </is>
      </c>
      <c r="K221">
        <f>TEXT(TIMEVALUE(H221)-TIMEVALUE(I220)+(TIMEVALUE(H221)&lt;TIMEVALUE(I220)),"[h]:mm")</f>
        <v/>
      </c>
      <c r="L221" s="4" t="inlineStr">
        <is>
          <t>01:10:00</t>
        </is>
      </c>
      <c r="O221">
        <f>"LIM-"&amp;G220&amp;"-LIM   LA "&amp;E220&amp;" ("&amp;LEFT(H220,5)&amp;"-"&amp;LEFT(I220,5)&amp;" hrs)  /  LA "&amp;E221&amp;" ("&amp;LEFT(H221,5)&amp;"-"&amp;LEFT(I221,5)&amp;" hrs)"</f>
        <v/>
      </c>
    </row>
    <row r="222">
      <c r="J222" s="7" t="inlineStr">
        <is>
          <t>PSV total:</t>
        </is>
      </c>
      <c r="K222" s="8">
        <f>TEXT(TIMEVALUE(I221)-TIMEVALUE(H220)+(I221&lt;H220),"[h]:mm")</f>
        <v/>
      </c>
    </row>
    <row r="224">
      <c r="B224" s="3" t="inlineStr">
        <is>
          <t>Pairing ID</t>
        </is>
      </c>
      <c r="C224" s="3" t="inlineStr">
        <is>
          <t>FECHA REAL</t>
        </is>
      </c>
      <c r="D224" s="3" t="inlineStr">
        <is>
          <t>Day of Week</t>
        </is>
      </c>
      <c r="E224" s="3" t="inlineStr">
        <is>
          <t>Flight No</t>
        </is>
      </c>
      <c r="F224" s="3" t="inlineStr">
        <is>
          <t>Dep Stn</t>
        </is>
      </c>
      <c r="G224" s="3" t="inlineStr">
        <is>
          <t>Arr Stn</t>
        </is>
      </c>
      <c r="H224" s="3" t="inlineStr">
        <is>
          <t>STD</t>
        </is>
      </c>
      <c r="I224" s="3" t="inlineStr">
        <is>
          <t>STA</t>
        </is>
      </c>
      <c r="J224" s="3" t="inlineStr">
        <is>
          <t>subflota</t>
        </is>
      </c>
      <c r="K224" s="3" t="inlineStr">
        <is>
          <t>Conexion</t>
        </is>
      </c>
      <c r="L224" s="3" t="inlineStr">
        <is>
          <t>HBT</t>
        </is>
      </c>
    </row>
    <row r="225">
      <c r="B225" s="4" t="inlineStr">
        <is>
          <t>305_0</t>
        </is>
      </c>
      <c r="C225" s="4" t="inlineStr">
        <is>
          <t>03/09/2026</t>
        </is>
      </c>
      <c r="D225" s="4" t="inlineStr">
        <is>
          <t>jueves</t>
        </is>
      </c>
      <c r="E225" s="4" t="inlineStr">
        <is>
          <t>2061</t>
        </is>
      </c>
      <c r="F225" s="4" t="inlineStr">
        <is>
          <t>LIM</t>
        </is>
      </c>
      <c r="G225" s="4" t="inlineStr">
        <is>
          <t>CUZ</t>
        </is>
      </c>
      <c r="H225" s="4" t="inlineStr">
        <is>
          <t>11:40:00</t>
        </is>
      </c>
      <c r="I225" s="4" t="inlineStr">
        <is>
          <t>13:00:00</t>
        </is>
      </c>
      <c r="J225" s="4" t="inlineStr">
        <is>
          <t>320</t>
        </is>
      </c>
      <c r="L225" s="4" t="inlineStr">
        <is>
          <t>01:20:00</t>
        </is>
      </c>
      <c r="M225" s="5" t="n"/>
      <c r="O225" s="5" t="n"/>
      <c r="Q225" s="4">
        <f>B225</f>
        <v/>
      </c>
      <c r="R225" s="4">
        <f>C225</f>
        <v/>
      </c>
      <c r="S225" s="4">
        <f>D225</f>
        <v/>
      </c>
      <c r="T225" s="4">
        <f>E225&amp;"/"&amp;E226</f>
        <v/>
      </c>
      <c r="U225" s="4">
        <f>F225&amp;"-"&amp;G225&amp;"-"&amp;F225</f>
        <v/>
      </c>
      <c r="V225" s="4">
        <f>IF($M$225="","",$M$225)</f>
        <v/>
      </c>
      <c r="W225" s="4">
        <f>IF($O$225="","",$O$225)</f>
        <v/>
      </c>
      <c r="X225" s="4">
        <f>J225</f>
        <v/>
      </c>
    </row>
    <row r="226">
      <c r="B226" s="4" t="inlineStr">
        <is>
          <t>305_0</t>
        </is>
      </c>
      <c r="C226" s="4" t="inlineStr">
        <is>
          <t>03/09/2026</t>
        </is>
      </c>
      <c r="D226" s="4" t="inlineStr">
        <is>
          <t>jueves</t>
        </is>
      </c>
      <c r="E226" s="4" t="inlineStr">
        <is>
          <t>2062</t>
        </is>
      </c>
      <c r="F226" s="4" t="inlineStr">
        <is>
          <t>CUZ</t>
        </is>
      </c>
      <c r="G226" s="4" t="inlineStr">
        <is>
          <t>LIM</t>
        </is>
      </c>
      <c r="H226" s="4" t="inlineStr">
        <is>
          <t>13:40:00</t>
        </is>
      </c>
      <c r="I226" s="4" t="inlineStr">
        <is>
          <t>15:15:00</t>
        </is>
      </c>
      <c r="J226" s="4" t="inlineStr">
        <is>
          <t>320</t>
        </is>
      </c>
      <c r="K226">
        <f>TEXT(TIMEVALUE(H226)-TIMEVALUE(I225)+(TIMEVALUE(H226)&lt;TIMEVALUE(I225)),"[h]:mm")</f>
        <v/>
      </c>
      <c r="L226" s="4" t="inlineStr">
        <is>
          <t>01:35:00</t>
        </is>
      </c>
      <c r="O226">
        <f>"LIM-"&amp;G225&amp;"-LIM   LA "&amp;E225&amp;" ("&amp;LEFT(H225,5)&amp;"-"&amp;LEFT(I225,5)&amp;" hrs)  /  LA "&amp;E226&amp;" ("&amp;LEFT(H226,5)&amp;"-"&amp;LEFT(I226,5)&amp;" hrs)"</f>
        <v/>
      </c>
    </row>
    <row r="227">
      <c r="B227" s="4" t="inlineStr">
        <is>
          <t>333_0</t>
        </is>
      </c>
      <c r="C227" s="4" t="inlineStr">
        <is>
          <t>03/09/2026</t>
        </is>
      </c>
      <c r="D227" s="4" t="inlineStr">
        <is>
          <t>jueves</t>
        </is>
      </c>
      <c r="E227" s="4" t="inlineStr">
        <is>
          <t>2276</t>
        </is>
      </c>
      <c r="F227" s="4" t="inlineStr">
        <is>
          <t>LIM</t>
        </is>
      </c>
      <c r="G227" s="4" t="inlineStr">
        <is>
          <t>CUZ</t>
        </is>
      </c>
      <c r="H227" s="4" t="inlineStr">
        <is>
          <t>16:35:00</t>
        </is>
      </c>
      <c r="I227" s="4" t="inlineStr">
        <is>
          <t>17:55:00</t>
        </is>
      </c>
      <c r="J227" s="4" t="inlineStr">
        <is>
          <t>320</t>
        </is>
      </c>
      <c r="K227" s="6">
        <f>TEXT(TIMEVALUE(H227)-TIMEVALUE(I226)+(TIMEVALUE(H227)&lt;TIMEVALUE(I226)),"[h]:mm")</f>
        <v/>
      </c>
      <c r="L227" s="4" t="inlineStr">
        <is>
          <t>01:20:00</t>
        </is>
      </c>
      <c r="M227">
        <f>IF($M$225="","",$M$225)</f>
        <v/>
      </c>
      <c r="O227">
        <f>IF($O$225="","",$O$225)</f>
        <v/>
      </c>
      <c r="Q227" s="4">
        <f>B227</f>
        <v/>
      </c>
      <c r="R227" s="4">
        <f>C227</f>
        <v/>
      </c>
      <c r="S227" s="4">
        <f>D227</f>
        <v/>
      </c>
      <c r="T227" s="4">
        <f>E227&amp;"/"&amp;E228</f>
        <v/>
      </c>
      <c r="U227" s="4">
        <f>F227&amp;"-"&amp;G227&amp;"-"&amp;F227</f>
        <v/>
      </c>
      <c r="V227" s="4">
        <f>IF($M$225="","",$M$225)</f>
        <v/>
      </c>
      <c r="W227" s="4">
        <f>IF($O$225="","",$O$225)</f>
        <v/>
      </c>
      <c r="X227" s="4">
        <f>J227</f>
        <v/>
      </c>
    </row>
    <row r="228">
      <c r="B228" s="4" t="inlineStr">
        <is>
          <t>333_0</t>
        </is>
      </c>
      <c r="C228" s="4" t="inlineStr">
        <is>
          <t>03/09/2026</t>
        </is>
      </c>
      <c r="D228" s="4" t="inlineStr">
        <is>
          <t>jueves</t>
        </is>
      </c>
      <c r="E228" s="4" t="inlineStr">
        <is>
          <t>2277</t>
        </is>
      </c>
      <c r="F228" s="4" t="inlineStr">
        <is>
          <t>CUZ</t>
        </is>
      </c>
      <c r="G228" s="4" t="inlineStr">
        <is>
          <t>LIM</t>
        </is>
      </c>
      <c r="H228" s="4" t="inlineStr">
        <is>
          <t>18:50:00</t>
        </is>
      </c>
      <c r="I228" s="4" t="inlineStr">
        <is>
          <t>20:25:00</t>
        </is>
      </c>
      <c r="J228" s="4" t="inlineStr">
        <is>
          <t>320</t>
        </is>
      </c>
      <c r="K228">
        <f>TEXT(TIMEVALUE(H228)-TIMEVALUE(I227)+(TIMEVALUE(H228)&lt;TIMEVALUE(I227)),"[h]:mm")</f>
        <v/>
      </c>
      <c r="L228" s="4" t="inlineStr">
        <is>
          <t>01:35:00</t>
        </is>
      </c>
      <c r="O228">
        <f>"LIM-"&amp;G227&amp;"-LIM   LA "&amp;E227&amp;" ("&amp;LEFT(H227,5)&amp;"-"&amp;LEFT(I227,5)&amp;" hrs)  /  LA "&amp;E228&amp;" ("&amp;LEFT(H228,5)&amp;"-"&amp;LEFT(I228,5)&amp;" hrs)"</f>
        <v/>
      </c>
    </row>
    <row r="229">
      <c r="J229" s="7" t="inlineStr">
        <is>
          <t>PSV total:</t>
        </is>
      </c>
      <c r="K229" s="8">
        <f>TEXT(TIMEVALUE(I228)-TIMEVALUE(H225)+(I228&lt;H225),"[h]:mm")</f>
        <v/>
      </c>
    </row>
    <row r="231">
      <c r="B231" s="3" t="inlineStr">
        <is>
          <t>Pairing ID</t>
        </is>
      </c>
      <c r="C231" s="3" t="inlineStr">
        <is>
          <t>FECHA REAL</t>
        </is>
      </c>
      <c r="D231" s="3" t="inlineStr">
        <is>
          <t>Day of Week</t>
        </is>
      </c>
      <c r="E231" s="3" t="inlineStr">
        <is>
          <t>Flight No</t>
        </is>
      </c>
      <c r="F231" s="3" t="inlineStr">
        <is>
          <t>Dep Stn</t>
        </is>
      </c>
      <c r="G231" s="3" t="inlineStr">
        <is>
          <t>Arr Stn</t>
        </is>
      </c>
      <c r="H231" s="3" t="inlineStr">
        <is>
          <t>STD</t>
        </is>
      </c>
      <c r="I231" s="3" t="inlineStr">
        <is>
          <t>STA</t>
        </is>
      </c>
      <c r="J231" s="3" t="inlineStr">
        <is>
          <t>subflota</t>
        </is>
      </c>
      <c r="K231" s="3" t="inlineStr">
        <is>
          <t>Conexion</t>
        </is>
      </c>
      <c r="L231" s="3" t="inlineStr">
        <is>
          <t>HBT</t>
        </is>
      </c>
    </row>
    <row r="232">
      <c r="B232" s="4" t="inlineStr">
        <is>
          <t>310_0</t>
        </is>
      </c>
      <c r="C232" s="4" t="inlineStr">
        <is>
          <t>03/09/2026</t>
        </is>
      </c>
      <c r="D232" s="4" t="inlineStr">
        <is>
          <t>jueves</t>
        </is>
      </c>
      <c r="E232" s="4" t="inlineStr">
        <is>
          <t>2120</t>
        </is>
      </c>
      <c r="F232" s="4" t="inlineStr">
        <is>
          <t>LIM</t>
        </is>
      </c>
      <c r="G232" s="4" t="inlineStr">
        <is>
          <t>CUZ</t>
        </is>
      </c>
      <c r="H232" s="4" t="inlineStr">
        <is>
          <t>12:35:00</t>
        </is>
      </c>
      <c r="I232" s="4" t="inlineStr">
        <is>
          <t>13:55:00</t>
        </is>
      </c>
      <c r="J232" s="4" t="inlineStr">
        <is>
          <t>320</t>
        </is>
      </c>
      <c r="L232" s="4" t="inlineStr">
        <is>
          <t>01:20:00</t>
        </is>
      </c>
      <c r="M232" s="5" t="n"/>
      <c r="O232" s="5" t="n"/>
      <c r="Q232" s="4">
        <f>B232</f>
        <v/>
      </c>
      <c r="R232" s="4">
        <f>C232</f>
        <v/>
      </c>
      <c r="S232" s="4">
        <f>D232</f>
        <v/>
      </c>
      <c r="T232" s="4">
        <f>E232&amp;"/"&amp;E233</f>
        <v/>
      </c>
      <c r="U232" s="4">
        <f>F232&amp;"-"&amp;G232&amp;"-"&amp;F232</f>
        <v/>
      </c>
      <c r="V232" s="4">
        <f>IF($M$232="","",$M$232)</f>
        <v/>
      </c>
      <c r="W232" s="4">
        <f>IF($O$232="","",$O$232)</f>
        <v/>
      </c>
      <c r="X232" s="4">
        <f>J232</f>
        <v/>
      </c>
    </row>
    <row r="233">
      <c r="B233" s="4" t="inlineStr">
        <is>
          <t>310_0</t>
        </is>
      </c>
      <c r="C233" s="4" t="inlineStr">
        <is>
          <t>03/09/2026</t>
        </is>
      </c>
      <c r="D233" s="4" t="inlineStr">
        <is>
          <t>jueves</t>
        </is>
      </c>
      <c r="E233" s="4" t="inlineStr">
        <is>
          <t>2121</t>
        </is>
      </c>
      <c r="F233" s="4" t="inlineStr">
        <is>
          <t>CUZ</t>
        </is>
      </c>
      <c r="G233" s="4" t="inlineStr">
        <is>
          <t>LIM</t>
        </is>
      </c>
      <c r="H233" s="4" t="inlineStr">
        <is>
          <t>17:35:00</t>
        </is>
      </c>
      <c r="I233" s="4" t="inlineStr">
        <is>
          <t>19:10:00</t>
        </is>
      </c>
      <c r="J233" s="4" t="inlineStr">
        <is>
          <t>320</t>
        </is>
      </c>
      <c r="K233">
        <f>TEXT(TIMEVALUE(H233)-TIMEVALUE(I232)+(TIMEVALUE(H233)&lt;TIMEVALUE(I232)),"[h]:mm")</f>
        <v/>
      </c>
      <c r="L233" s="4" t="inlineStr">
        <is>
          <t>01:35:00</t>
        </is>
      </c>
      <c r="O233">
        <f>"LIM-"&amp;G232&amp;"-LIM   LA "&amp;E232&amp;" ("&amp;LEFT(H232,5)&amp;"-"&amp;LEFT(I232,5)&amp;" hrs)  /  LA "&amp;E233&amp;" ("&amp;LEFT(H233,5)&amp;"-"&amp;LEFT(I233,5)&amp;" hrs)"</f>
        <v/>
      </c>
    </row>
    <row r="234">
      <c r="J234" s="7" t="inlineStr">
        <is>
          <t>PSV total:</t>
        </is>
      </c>
      <c r="K234" s="8">
        <f>TEXT(TIMEVALUE(I233)-TIMEVALUE(H232)+(I233&lt;H232),"[h]:mm")</f>
        <v/>
      </c>
    </row>
    <row r="236">
      <c r="B236" s="3" t="inlineStr">
        <is>
          <t>Pairing ID</t>
        </is>
      </c>
      <c r="C236" s="3" t="inlineStr">
        <is>
          <t>FECHA REAL</t>
        </is>
      </c>
      <c r="D236" s="3" t="inlineStr">
        <is>
          <t>Day of Week</t>
        </is>
      </c>
      <c r="E236" s="3" t="inlineStr">
        <is>
          <t>Flight No</t>
        </is>
      </c>
      <c r="F236" s="3" t="inlineStr">
        <is>
          <t>Dep Stn</t>
        </is>
      </c>
      <c r="G236" s="3" t="inlineStr">
        <is>
          <t>Arr Stn</t>
        </is>
      </c>
      <c r="H236" s="3" t="inlineStr">
        <is>
          <t>STD</t>
        </is>
      </c>
      <c r="I236" s="3" t="inlineStr">
        <is>
          <t>STA</t>
        </is>
      </c>
      <c r="J236" s="3" t="inlineStr">
        <is>
          <t>subflota</t>
        </is>
      </c>
      <c r="K236" s="3" t="inlineStr">
        <is>
          <t>Conexion</t>
        </is>
      </c>
      <c r="L236" s="3" t="inlineStr">
        <is>
          <t>HBT</t>
        </is>
      </c>
    </row>
    <row r="237">
      <c r="B237" s="4" t="inlineStr">
        <is>
          <t>317_0</t>
        </is>
      </c>
      <c r="C237" s="4" t="inlineStr">
        <is>
          <t>03/09/2026</t>
        </is>
      </c>
      <c r="D237" s="4" t="inlineStr">
        <is>
          <t>jueves</t>
        </is>
      </c>
      <c r="E237" s="4" t="inlineStr">
        <is>
          <t>2067</t>
        </is>
      </c>
      <c r="F237" s="4" t="inlineStr">
        <is>
          <t>LIM</t>
        </is>
      </c>
      <c r="G237" s="4" t="inlineStr">
        <is>
          <t>TCQ</t>
        </is>
      </c>
      <c r="H237" s="4" t="inlineStr">
        <is>
          <t>13:45:00</t>
        </is>
      </c>
      <c r="I237" s="4" t="inlineStr">
        <is>
          <t>15:35:00</t>
        </is>
      </c>
      <c r="J237" s="4" t="inlineStr">
        <is>
          <t>320</t>
        </is>
      </c>
      <c r="L237" s="4" t="inlineStr">
        <is>
          <t>01:50:00</t>
        </is>
      </c>
      <c r="M237" s="5" t="n"/>
      <c r="O237" s="5" t="n"/>
      <c r="Q237" s="4">
        <f>B237</f>
        <v/>
      </c>
      <c r="R237" s="4">
        <f>C237</f>
        <v/>
      </c>
      <c r="S237" s="4">
        <f>D237</f>
        <v/>
      </c>
      <c r="T237" s="4">
        <f>E237&amp;"/"&amp;E238</f>
        <v/>
      </c>
      <c r="U237" s="4">
        <f>F237&amp;"-"&amp;G237&amp;"-"&amp;F237</f>
        <v/>
      </c>
      <c r="V237" s="4">
        <f>IF($M$237="","",$M$237)</f>
        <v/>
      </c>
      <c r="W237" s="4">
        <f>IF($O$237="","",$O$237)</f>
        <v/>
      </c>
      <c r="X237" s="4">
        <f>J237</f>
        <v/>
      </c>
    </row>
    <row r="238">
      <c r="B238" s="4" t="inlineStr">
        <is>
          <t>317_0</t>
        </is>
      </c>
      <c r="C238" s="4" t="inlineStr">
        <is>
          <t>03/09/2026</t>
        </is>
      </c>
      <c r="D238" s="4" t="inlineStr">
        <is>
          <t>jueves</t>
        </is>
      </c>
      <c r="E238" s="4" t="inlineStr">
        <is>
          <t>2068</t>
        </is>
      </c>
      <c r="F238" s="4" t="inlineStr">
        <is>
          <t>TCQ</t>
        </is>
      </c>
      <c r="G238" s="4" t="inlineStr">
        <is>
          <t>LIM</t>
        </is>
      </c>
      <c r="H238" s="4" t="inlineStr">
        <is>
          <t>16:20:00</t>
        </is>
      </c>
      <c r="I238" s="4" t="inlineStr">
        <is>
          <t>18:15:00</t>
        </is>
      </c>
      <c r="J238" s="4" t="inlineStr">
        <is>
          <t>320</t>
        </is>
      </c>
      <c r="K238">
        <f>TEXT(TIMEVALUE(H238)-TIMEVALUE(I237)+(TIMEVALUE(H238)&lt;TIMEVALUE(I237)),"[h]:mm")</f>
        <v/>
      </c>
      <c r="L238" s="4" t="inlineStr">
        <is>
          <t>01:55:00</t>
        </is>
      </c>
      <c r="O238">
        <f>"LIM-"&amp;G237&amp;"-LIM   LA "&amp;E237&amp;" ("&amp;LEFT(H237,5)&amp;"-"&amp;LEFT(I237,5)&amp;" hrs)  /  LA "&amp;E238&amp;" ("&amp;LEFT(H238,5)&amp;"-"&amp;LEFT(I238,5)&amp;" hrs)"</f>
        <v/>
      </c>
    </row>
    <row r="239">
      <c r="J239" s="7" t="inlineStr">
        <is>
          <t>PSV total:</t>
        </is>
      </c>
      <c r="K239" s="8">
        <f>TEXT(TIMEVALUE(I238)-TIMEVALUE(H237)+(I238&lt;H237),"[h]:mm")</f>
        <v/>
      </c>
    </row>
    <row r="241">
      <c r="B241" s="3" t="inlineStr">
        <is>
          <t>Pairing ID</t>
        </is>
      </c>
      <c r="C241" s="3" t="inlineStr">
        <is>
          <t>FECHA REAL</t>
        </is>
      </c>
      <c r="D241" s="3" t="inlineStr">
        <is>
          <t>Day of Week</t>
        </is>
      </c>
      <c r="E241" s="3" t="inlineStr">
        <is>
          <t>Flight No</t>
        </is>
      </c>
      <c r="F241" s="3" t="inlineStr">
        <is>
          <t>Dep Stn</t>
        </is>
      </c>
      <c r="G241" s="3" t="inlineStr">
        <is>
          <t>Arr Stn</t>
        </is>
      </c>
      <c r="H241" s="3" t="inlineStr">
        <is>
          <t>STD</t>
        </is>
      </c>
      <c r="I241" s="3" t="inlineStr">
        <is>
          <t>STA</t>
        </is>
      </c>
      <c r="J241" s="3" t="inlineStr">
        <is>
          <t>subflota</t>
        </is>
      </c>
      <c r="K241" s="3" t="inlineStr">
        <is>
          <t>Conexion</t>
        </is>
      </c>
      <c r="L241" s="3" t="inlineStr">
        <is>
          <t>HBT</t>
        </is>
      </c>
    </row>
    <row r="242">
      <c r="B242" s="4" t="inlineStr">
        <is>
          <t>319_0</t>
        </is>
      </c>
      <c r="C242" s="4" t="inlineStr">
        <is>
          <t>03/09/2026</t>
        </is>
      </c>
      <c r="D242" s="4" t="inlineStr">
        <is>
          <t>jueves</t>
        </is>
      </c>
      <c r="E242" s="4" t="inlineStr">
        <is>
          <t>2087</t>
        </is>
      </c>
      <c r="F242" s="4" t="inlineStr">
        <is>
          <t>LIM</t>
        </is>
      </c>
      <c r="G242" s="4" t="inlineStr">
        <is>
          <t>TPP</t>
        </is>
      </c>
      <c r="H242" s="4" t="inlineStr">
        <is>
          <t>14:05:00</t>
        </is>
      </c>
      <c r="I242" s="4" t="inlineStr">
        <is>
          <t>15:30:00</t>
        </is>
      </c>
      <c r="J242" s="4" t="inlineStr">
        <is>
          <t>320</t>
        </is>
      </c>
      <c r="L242" s="4" t="inlineStr">
        <is>
          <t>01:25:00</t>
        </is>
      </c>
      <c r="M242" s="5" t="n"/>
      <c r="O242" s="5" t="n"/>
      <c r="Q242" s="4">
        <f>B242</f>
        <v/>
      </c>
      <c r="R242" s="4">
        <f>C242</f>
        <v/>
      </c>
      <c r="S242" s="4">
        <f>D242</f>
        <v/>
      </c>
      <c r="T242" s="4">
        <f>E242&amp;"/"&amp;E243</f>
        <v/>
      </c>
      <c r="U242" s="4">
        <f>F242&amp;"-"&amp;G242&amp;"-"&amp;F242</f>
        <v/>
      </c>
      <c r="V242" s="4">
        <f>IF($M$242="","",$M$242)</f>
        <v/>
      </c>
      <c r="W242" s="4">
        <f>IF($O$242="","",$O$242)</f>
        <v/>
      </c>
      <c r="X242" s="4">
        <f>J242</f>
        <v/>
      </c>
    </row>
    <row r="243">
      <c r="B243" s="4" t="inlineStr">
        <is>
          <t>319_0</t>
        </is>
      </c>
      <c r="C243" s="4" t="inlineStr">
        <is>
          <t>03/09/2026</t>
        </is>
      </c>
      <c r="D243" s="4" t="inlineStr">
        <is>
          <t>jueves</t>
        </is>
      </c>
      <c r="E243" s="4" t="inlineStr">
        <is>
          <t>2088</t>
        </is>
      </c>
      <c r="F243" s="4" t="inlineStr">
        <is>
          <t>TPP</t>
        </is>
      </c>
      <c r="G243" s="4" t="inlineStr">
        <is>
          <t>LIM</t>
        </is>
      </c>
      <c r="H243" s="4" t="inlineStr">
        <is>
          <t>16:05:00</t>
        </is>
      </c>
      <c r="I243" s="4" t="inlineStr">
        <is>
          <t>17:30:00</t>
        </is>
      </c>
      <c r="J243" s="4" t="inlineStr">
        <is>
          <t>320</t>
        </is>
      </c>
      <c r="K243">
        <f>TEXT(TIMEVALUE(H243)-TIMEVALUE(I242)+(TIMEVALUE(H243)&lt;TIMEVALUE(I242)),"[h]:mm")</f>
        <v/>
      </c>
      <c r="L243" s="4" t="inlineStr">
        <is>
          <t>01:25:00</t>
        </is>
      </c>
      <c r="O243">
        <f>"LIM-"&amp;G242&amp;"-LIM   LA "&amp;E242&amp;" ("&amp;LEFT(H242,5)&amp;"-"&amp;LEFT(I242,5)&amp;" hrs)  /  LA "&amp;E243&amp;" ("&amp;LEFT(H243,5)&amp;"-"&amp;LEFT(I243,5)&amp;" hrs)"</f>
        <v/>
      </c>
    </row>
    <row r="244">
      <c r="J244" s="7" t="inlineStr">
        <is>
          <t>PSV total:</t>
        </is>
      </c>
      <c r="K244" s="8">
        <f>TEXT(TIMEVALUE(I243)-TIMEVALUE(H242)+(I243&lt;H242),"[h]:mm")</f>
        <v/>
      </c>
    </row>
    <row r="246">
      <c r="B246" s="3" t="inlineStr">
        <is>
          <t>Pairing ID</t>
        </is>
      </c>
      <c r="C246" s="3" t="inlineStr">
        <is>
          <t>FECHA REAL</t>
        </is>
      </c>
      <c r="D246" s="3" t="inlineStr">
        <is>
          <t>Day of Week</t>
        </is>
      </c>
      <c r="E246" s="3" t="inlineStr">
        <is>
          <t>Flight No</t>
        </is>
      </c>
      <c r="F246" s="3" t="inlineStr">
        <is>
          <t>Dep Stn</t>
        </is>
      </c>
      <c r="G246" s="3" t="inlineStr">
        <is>
          <t>Arr Stn</t>
        </is>
      </c>
      <c r="H246" s="3" t="inlineStr">
        <is>
          <t>STD</t>
        </is>
      </c>
      <c r="I246" s="3" t="inlineStr">
        <is>
          <t>STA</t>
        </is>
      </c>
      <c r="J246" s="3" t="inlineStr">
        <is>
          <t>subflota</t>
        </is>
      </c>
      <c r="K246" s="3" t="inlineStr">
        <is>
          <t>Conexion</t>
        </is>
      </c>
      <c r="L246" s="3" t="inlineStr">
        <is>
          <t>HBT</t>
        </is>
      </c>
    </row>
    <row r="247">
      <c r="B247" s="4" t="inlineStr">
        <is>
          <t>322_0</t>
        </is>
      </c>
      <c r="C247" s="4" t="inlineStr">
        <is>
          <t>03/09/2026</t>
        </is>
      </c>
      <c r="D247" s="4" t="inlineStr">
        <is>
          <t>jueves</t>
        </is>
      </c>
      <c r="E247" s="4" t="inlineStr">
        <is>
          <t>2282</t>
        </is>
      </c>
      <c r="F247" s="4" t="inlineStr">
        <is>
          <t>LIM</t>
        </is>
      </c>
      <c r="G247" s="4" t="inlineStr">
        <is>
          <t>CIX</t>
        </is>
      </c>
      <c r="H247" s="4" t="inlineStr">
        <is>
          <t>14:35:00</t>
        </is>
      </c>
      <c r="I247" s="4" t="inlineStr">
        <is>
          <t>16:05:00</t>
        </is>
      </c>
      <c r="J247" s="4" t="inlineStr">
        <is>
          <t>319</t>
        </is>
      </c>
      <c r="L247" s="4" t="inlineStr">
        <is>
          <t>01:30:00</t>
        </is>
      </c>
      <c r="M247" s="5" t="n"/>
      <c r="O247" s="5" t="n"/>
      <c r="Q247" s="4">
        <f>B247</f>
        <v/>
      </c>
      <c r="R247" s="4">
        <f>C247</f>
        <v/>
      </c>
      <c r="S247" s="4">
        <f>D247</f>
        <v/>
      </c>
      <c r="T247" s="4">
        <f>E247&amp;"/"&amp;E248</f>
        <v/>
      </c>
      <c r="U247" s="4">
        <f>F247&amp;"-"&amp;G247&amp;"-"&amp;F247</f>
        <v/>
      </c>
      <c r="V247" s="4">
        <f>IF($M$247="","",$M$247)</f>
        <v/>
      </c>
      <c r="W247" s="4">
        <f>IF($O$247="","",$O$247)</f>
        <v/>
      </c>
      <c r="X247" s="4">
        <f>J247</f>
        <v/>
      </c>
    </row>
    <row r="248">
      <c r="B248" s="4" t="inlineStr">
        <is>
          <t>322_0</t>
        </is>
      </c>
      <c r="C248" s="4" t="inlineStr">
        <is>
          <t>03/09/2026</t>
        </is>
      </c>
      <c r="D248" s="4" t="inlineStr">
        <is>
          <t>jueves</t>
        </is>
      </c>
      <c r="E248" s="4" t="inlineStr">
        <is>
          <t>2283</t>
        </is>
      </c>
      <c r="F248" s="4" t="inlineStr">
        <is>
          <t>CIX</t>
        </is>
      </c>
      <c r="G248" s="4" t="inlineStr">
        <is>
          <t>LIM</t>
        </is>
      </c>
      <c r="H248" s="4" t="inlineStr">
        <is>
          <t>16:50:00</t>
        </is>
      </c>
      <c r="I248" s="4" t="inlineStr">
        <is>
          <t>18:10:00</t>
        </is>
      </c>
      <c r="J248" s="4" t="inlineStr">
        <is>
          <t>319</t>
        </is>
      </c>
      <c r="K248">
        <f>TEXT(TIMEVALUE(H248)-TIMEVALUE(I247)+(TIMEVALUE(H248)&lt;TIMEVALUE(I247)),"[h]:mm")</f>
        <v/>
      </c>
      <c r="L248" s="4" t="inlineStr">
        <is>
          <t>01:20:00</t>
        </is>
      </c>
      <c r="O248">
        <f>"LIM-"&amp;G247&amp;"-LIM   LA "&amp;E247&amp;" ("&amp;LEFT(H247,5)&amp;"-"&amp;LEFT(I247,5)&amp;" hrs)  /  LA "&amp;E248&amp;" ("&amp;LEFT(H248,5)&amp;"-"&amp;LEFT(I248,5)&amp;" hrs)"</f>
        <v/>
      </c>
    </row>
    <row r="249">
      <c r="J249" s="7" t="inlineStr">
        <is>
          <t>PSV total:</t>
        </is>
      </c>
      <c r="K249" s="8">
        <f>TEXT(TIMEVALUE(I248)-TIMEVALUE(H247)+(I248&lt;H247),"[h]:mm")</f>
        <v/>
      </c>
    </row>
    <row r="251">
      <c r="B251" s="3" t="inlineStr">
        <is>
          <t>Pairing ID</t>
        </is>
      </c>
      <c r="C251" s="3" t="inlineStr">
        <is>
          <t>FECHA REAL</t>
        </is>
      </c>
      <c r="D251" s="3" t="inlineStr">
        <is>
          <t>Day of Week</t>
        </is>
      </c>
      <c r="E251" s="3" t="inlineStr">
        <is>
          <t>Flight No</t>
        </is>
      </c>
      <c r="F251" s="3" t="inlineStr">
        <is>
          <t>Dep Stn</t>
        </is>
      </c>
      <c r="G251" s="3" t="inlineStr">
        <is>
          <t>Arr Stn</t>
        </is>
      </c>
      <c r="H251" s="3" t="inlineStr">
        <is>
          <t>STD</t>
        </is>
      </c>
      <c r="I251" s="3" t="inlineStr">
        <is>
          <t>STA</t>
        </is>
      </c>
      <c r="J251" s="3" t="inlineStr">
        <is>
          <t>subflota</t>
        </is>
      </c>
      <c r="K251" s="3" t="inlineStr">
        <is>
          <t>Conexion</t>
        </is>
      </c>
      <c r="L251" s="3" t="inlineStr">
        <is>
          <t>HBT</t>
        </is>
      </c>
    </row>
    <row r="252">
      <c r="B252" s="4" t="inlineStr">
        <is>
          <t>323_0</t>
        </is>
      </c>
      <c r="C252" s="4" t="inlineStr">
        <is>
          <t>03/09/2026</t>
        </is>
      </c>
      <c r="D252" s="4" t="inlineStr">
        <is>
          <t>jueves</t>
        </is>
      </c>
      <c r="E252" s="4" t="inlineStr">
        <is>
          <t>2264</t>
        </is>
      </c>
      <c r="F252" s="4" t="inlineStr">
        <is>
          <t>LIM</t>
        </is>
      </c>
      <c r="G252" s="4" t="inlineStr">
        <is>
          <t>PEM</t>
        </is>
      </c>
      <c r="H252" s="4" t="inlineStr">
        <is>
          <t>14:55:00</t>
        </is>
      </c>
      <c r="I252" s="4" t="inlineStr">
        <is>
          <t>16:40:00</t>
        </is>
      </c>
      <c r="J252" s="4" t="inlineStr">
        <is>
          <t>319</t>
        </is>
      </c>
      <c r="L252" s="4" t="inlineStr">
        <is>
          <t>01:45:00</t>
        </is>
      </c>
      <c r="M252" s="5" t="n"/>
      <c r="O252" s="5" t="n"/>
      <c r="Q252" s="4">
        <f>B252</f>
        <v/>
      </c>
      <c r="R252" s="4">
        <f>C252</f>
        <v/>
      </c>
      <c r="S252" s="4">
        <f>D252</f>
        <v/>
      </c>
      <c r="T252" s="4">
        <f>E252&amp;"/"&amp;E253</f>
        <v/>
      </c>
      <c r="U252" s="4">
        <f>F252&amp;"-"&amp;G252&amp;"-"&amp;F252</f>
        <v/>
      </c>
      <c r="V252" s="4">
        <f>IF($M$252="","",$M$252)</f>
        <v/>
      </c>
      <c r="W252" s="4">
        <f>IF($O$252="","",$O$252)</f>
        <v/>
      </c>
      <c r="X252" s="4">
        <f>J252</f>
        <v/>
      </c>
    </row>
    <row r="253">
      <c r="B253" s="4" t="inlineStr">
        <is>
          <t>323_0</t>
        </is>
      </c>
      <c r="C253" s="4" t="inlineStr">
        <is>
          <t>03/09/2026</t>
        </is>
      </c>
      <c r="D253" s="4" t="inlineStr">
        <is>
          <t>jueves</t>
        </is>
      </c>
      <c r="E253" s="4" t="inlineStr">
        <is>
          <t>2265</t>
        </is>
      </c>
      <c r="F253" s="4" t="inlineStr">
        <is>
          <t>PEM</t>
        </is>
      </c>
      <c r="G253" s="4" t="inlineStr">
        <is>
          <t>LIM</t>
        </is>
      </c>
      <c r="H253" s="4" t="inlineStr">
        <is>
          <t>17:20:00</t>
        </is>
      </c>
      <c r="I253" s="4" t="inlineStr">
        <is>
          <t>18:55:00</t>
        </is>
      </c>
      <c r="J253" s="4" t="inlineStr">
        <is>
          <t>319</t>
        </is>
      </c>
      <c r="K253">
        <f>TEXT(TIMEVALUE(H253)-TIMEVALUE(I252)+(TIMEVALUE(H253)&lt;TIMEVALUE(I252)),"[h]:mm")</f>
        <v/>
      </c>
      <c r="L253" s="4" t="inlineStr">
        <is>
          <t>01:35:00</t>
        </is>
      </c>
      <c r="O253">
        <f>"LIM-"&amp;G252&amp;"-LIM   LA "&amp;E252&amp;" ("&amp;LEFT(H252,5)&amp;"-"&amp;LEFT(I252,5)&amp;" hrs)  /  LA "&amp;E253&amp;" ("&amp;LEFT(H253,5)&amp;"-"&amp;LEFT(I253,5)&amp;" hrs)"</f>
        <v/>
      </c>
    </row>
    <row r="254">
      <c r="J254" s="7" t="inlineStr">
        <is>
          <t>PSV total:</t>
        </is>
      </c>
      <c r="K254" s="8">
        <f>TEXT(TIMEVALUE(I253)-TIMEVALUE(H252)+(I253&lt;H252),"[h]:mm")</f>
        <v/>
      </c>
    </row>
    <row r="256">
      <c r="B256" s="3" t="inlineStr">
        <is>
          <t>Pairing ID</t>
        </is>
      </c>
      <c r="C256" s="3" t="inlineStr">
        <is>
          <t>FECHA REAL</t>
        </is>
      </c>
      <c r="D256" s="3" t="inlineStr">
        <is>
          <t>Day of Week</t>
        </is>
      </c>
      <c r="E256" s="3" t="inlineStr">
        <is>
          <t>Flight No</t>
        </is>
      </c>
      <c r="F256" s="3" t="inlineStr">
        <is>
          <t>Dep Stn</t>
        </is>
      </c>
      <c r="G256" s="3" t="inlineStr">
        <is>
          <t>Arr Stn</t>
        </is>
      </c>
      <c r="H256" s="3" t="inlineStr">
        <is>
          <t>STD</t>
        </is>
      </c>
      <c r="I256" s="3" t="inlineStr">
        <is>
          <t>STA</t>
        </is>
      </c>
      <c r="J256" s="3" t="inlineStr">
        <is>
          <t>subflota</t>
        </is>
      </c>
      <c r="K256" s="3" t="inlineStr">
        <is>
          <t>Conexion</t>
        </is>
      </c>
      <c r="L256" s="3" t="inlineStr">
        <is>
          <t>HBT</t>
        </is>
      </c>
    </row>
    <row r="257">
      <c r="B257" s="4" t="inlineStr">
        <is>
          <t>326_0</t>
        </is>
      </c>
      <c r="C257" s="4" t="inlineStr">
        <is>
          <t>03/09/2026</t>
        </is>
      </c>
      <c r="D257" s="4" t="inlineStr">
        <is>
          <t>jueves</t>
        </is>
      </c>
      <c r="E257" s="4" t="inlineStr">
        <is>
          <t>2297</t>
        </is>
      </c>
      <c r="F257" s="4" t="inlineStr">
        <is>
          <t>LIM</t>
        </is>
      </c>
      <c r="G257" s="4" t="inlineStr">
        <is>
          <t>CJA</t>
        </is>
      </c>
      <c r="H257" s="4" t="inlineStr">
        <is>
          <t>15:15:00</t>
        </is>
      </c>
      <c r="I257" s="4" t="inlineStr">
        <is>
          <t>16:35:00</t>
        </is>
      </c>
      <c r="J257" s="4" t="inlineStr">
        <is>
          <t>320</t>
        </is>
      </c>
      <c r="L257" s="4" t="inlineStr">
        <is>
          <t>01:20:00</t>
        </is>
      </c>
      <c r="M257" s="5" t="n"/>
      <c r="O257" s="5" t="n"/>
      <c r="Q257" s="4">
        <f>B257</f>
        <v/>
      </c>
      <c r="R257" s="4">
        <f>C257</f>
        <v/>
      </c>
      <c r="S257" s="4">
        <f>D257</f>
        <v/>
      </c>
      <c r="T257" s="4">
        <f>E257&amp;"/"&amp;E258</f>
        <v/>
      </c>
      <c r="U257" s="4">
        <f>F257&amp;"-"&amp;G257&amp;"-"&amp;F257</f>
        <v/>
      </c>
      <c r="V257" s="4">
        <f>IF($M$257="","",$M$257)</f>
        <v/>
      </c>
      <c r="W257" s="4">
        <f>IF($O$257="","",$O$257)</f>
        <v/>
      </c>
      <c r="X257" s="4">
        <f>J257</f>
        <v/>
      </c>
    </row>
    <row r="258">
      <c r="B258" s="4" t="inlineStr">
        <is>
          <t>326_0</t>
        </is>
      </c>
      <c r="C258" s="4" t="inlineStr">
        <is>
          <t>03/09/2026</t>
        </is>
      </c>
      <c r="D258" s="4" t="inlineStr">
        <is>
          <t>jueves</t>
        </is>
      </c>
      <c r="E258" s="4" t="inlineStr">
        <is>
          <t>2296</t>
        </is>
      </c>
      <c r="F258" s="4" t="inlineStr">
        <is>
          <t>CJA</t>
        </is>
      </c>
      <c r="G258" s="4" t="inlineStr">
        <is>
          <t>LIM</t>
        </is>
      </c>
      <c r="H258" s="4" t="inlineStr">
        <is>
          <t>17:20:00</t>
        </is>
      </c>
      <c r="I258" s="4" t="inlineStr">
        <is>
          <t>18:25:00</t>
        </is>
      </c>
      <c r="J258" s="4" t="inlineStr">
        <is>
          <t>320</t>
        </is>
      </c>
      <c r="K258">
        <f>TEXT(TIMEVALUE(H258)-TIMEVALUE(I257)+(TIMEVALUE(H258)&lt;TIMEVALUE(I257)),"[h]:mm")</f>
        <v/>
      </c>
      <c r="L258" s="4" t="inlineStr">
        <is>
          <t>01:05:00</t>
        </is>
      </c>
      <c r="O258">
        <f>"LIM-"&amp;G257&amp;"-LIM   LA "&amp;E257&amp;" ("&amp;LEFT(H257,5)&amp;"-"&amp;LEFT(I257,5)&amp;" hrs)  /  LA "&amp;E258&amp;" ("&amp;LEFT(H258,5)&amp;"-"&amp;LEFT(I258,5)&amp;" hrs)"</f>
        <v/>
      </c>
    </row>
    <row r="259">
      <c r="J259" s="7" t="inlineStr">
        <is>
          <t>PSV total:</t>
        </is>
      </c>
      <c r="K259" s="8">
        <f>TEXT(TIMEVALUE(I258)-TIMEVALUE(H257)+(I258&lt;H257),"[h]:mm")</f>
        <v/>
      </c>
    </row>
    <row r="261">
      <c r="B261" s="3" t="inlineStr">
        <is>
          <t>Pairing ID</t>
        </is>
      </c>
      <c r="C261" s="3" t="inlineStr">
        <is>
          <t>FECHA REAL</t>
        </is>
      </c>
      <c r="D261" s="3" t="inlineStr">
        <is>
          <t>Day of Week</t>
        </is>
      </c>
      <c r="E261" s="3" t="inlineStr">
        <is>
          <t>Flight No</t>
        </is>
      </c>
      <c r="F261" s="3" t="inlineStr">
        <is>
          <t>Dep Stn</t>
        </is>
      </c>
      <c r="G261" s="3" t="inlineStr">
        <is>
          <t>Arr Stn</t>
        </is>
      </c>
      <c r="H261" s="3" t="inlineStr">
        <is>
          <t>STD</t>
        </is>
      </c>
      <c r="I261" s="3" t="inlineStr">
        <is>
          <t>STA</t>
        </is>
      </c>
      <c r="J261" s="3" t="inlineStr">
        <is>
          <t>subflota</t>
        </is>
      </c>
      <c r="K261" s="3" t="inlineStr">
        <is>
          <t>Conexion</t>
        </is>
      </c>
      <c r="L261" s="3" t="inlineStr">
        <is>
          <t>HBT</t>
        </is>
      </c>
    </row>
    <row r="262">
      <c r="B262" s="4" t="inlineStr">
        <is>
          <t>329_0</t>
        </is>
      </c>
      <c r="C262" s="4" t="inlineStr">
        <is>
          <t>03/09/2026</t>
        </is>
      </c>
      <c r="D262" s="4" t="inlineStr">
        <is>
          <t>jueves</t>
        </is>
      </c>
      <c r="E262" s="4" t="inlineStr">
        <is>
          <t>2312</t>
        </is>
      </c>
      <c r="F262" s="4" t="inlineStr">
        <is>
          <t>LIM</t>
        </is>
      </c>
      <c r="G262" s="4" t="inlineStr">
        <is>
          <t>CIX</t>
        </is>
      </c>
      <c r="H262" s="4" t="inlineStr">
        <is>
          <t>15:35:00</t>
        </is>
      </c>
      <c r="I262" s="4" t="inlineStr">
        <is>
          <t>17:05:00</t>
        </is>
      </c>
      <c r="J262" s="4" t="inlineStr">
        <is>
          <t>320</t>
        </is>
      </c>
      <c r="L262" s="4" t="inlineStr">
        <is>
          <t>01:30:00</t>
        </is>
      </c>
      <c r="M262" s="5" t="n"/>
      <c r="O262" s="5" t="n"/>
      <c r="Q262" s="4">
        <f>B262</f>
        <v/>
      </c>
      <c r="R262" s="4">
        <f>C262</f>
        <v/>
      </c>
      <c r="S262" s="4">
        <f>D262</f>
        <v/>
      </c>
      <c r="T262" s="4">
        <f>E262&amp;"/"&amp;E263</f>
        <v/>
      </c>
      <c r="U262" s="4">
        <f>F262&amp;"-"&amp;G262&amp;"-"&amp;F262</f>
        <v/>
      </c>
      <c r="V262" s="4">
        <f>IF($M$262="","",$M$262)</f>
        <v/>
      </c>
      <c r="W262" s="4">
        <f>IF($O$262="","",$O$262)</f>
        <v/>
      </c>
      <c r="X262" s="4">
        <f>J262</f>
        <v/>
      </c>
    </row>
    <row r="263">
      <c r="B263" s="4" t="inlineStr">
        <is>
          <t>329_0</t>
        </is>
      </c>
      <c r="C263" s="4" t="inlineStr">
        <is>
          <t>03/09/2026</t>
        </is>
      </c>
      <c r="D263" s="4" t="inlineStr">
        <is>
          <t>jueves</t>
        </is>
      </c>
      <c r="E263" s="4" t="inlineStr">
        <is>
          <t>2313</t>
        </is>
      </c>
      <c r="F263" s="4" t="inlineStr">
        <is>
          <t>CIX</t>
        </is>
      </c>
      <c r="G263" s="4" t="inlineStr">
        <is>
          <t>LIM</t>
        </is>
      </c>
      <c r="H263" s="4" t="inlineStr">
        <is>
          <t>17:50:00</t>
        </is>
      </c>
      <c r="I263" s="4" t="inlineStr">
        <is>
          <t>19:10:00</t>
        </is>
      </c>
      <c r="J263" s="4" t="inlineStr">
        <is>
          <t>320</t>
        </is>
      </c>
      <c r="K263">
        <f>TEXT(TIMEVALUE(H263)-TIMEVALUE(I262)+(TIMEVALUE(H263)&lt;TIMEVALUE(I262)),"[h]:mm")</f>
        <v/>
      </c>
      <c r="L263" s="4" t="inlineStr">
        <is>
          <t>01:20:00</t>
        </is>
      </c>
      <c r="O263">
        <f>"LIM-"&amp;G262&amp;"-LIM   LA "&amp;E262&amp;" ("&amp;LEFT(H262,5)&amp;"-"&amp;LEFT(I262,5)&amp;" hrs)  /  LA "&amp;E263&amp;" ("&amp;LEFT(H263,5)&amp;"-"&amp;LEFT(I263,5)&amp;" hrs)"</f>
        <v/>
      </c>
    </row>
    <row r="264">
      <c r="J264" s="7" t="inlineStr">
        <is>
          <t>PSV total:</t>
        </is>
      </c>
      <c r="K264" s="8">
        <f>TEXT(TIMEVALUE(I263)-TIMEVALUE(H262)+(I263&lt;H262),"[h]:mm")</f>
        <v/>
      </c>
    </row>
    <row r="266">
      <c r="B266" s="3" t="inlineStr">
        <is>
          <t>Pairing ID</t>
        </is>
      </c>
      <c r="C266" s="3" t="inlineStr">
        <is>
          <t>FECHA REAL</t>
        </is>
      </c>
      <c r="D266" s="3" t="inlineStr">
        <is>
          <t>Day of Week</t>
        </is>
      </c>
      <c r="E266" s="3" t="inlineStr">
        <is>
          <t>Flight No</t>
        </is>
      </c>
      <c r="F266" s="3" t="inlineStr">
        <is>
          <t>Dep Stn</t>
        </is>
      </c>
      <c r="G266" s="3" t="inlineStr">
        <is>
          <t>Arr Stn</t>
        </is>
      </c>
      <c r="H266" s="3" t="inlineStr">
        <is>
          <t>STD</t>
        </is>
      </c>
      <c r="I266" s="3" t="inlineStr">
        <is>
          <t>STA</t>
        </is>
      </c>
      <c r="J266" s="3" t="inlineStr">
        <is>
          <t>subflota</t>
        </is>
      </c>
      <c r="K266" s="3" t="inlineStr">
        <is>
          <t>Conexion</t>
        </is>
      </c>
      <c r="L266" s="3" t="inlineStr">
        <is>
          <t>HBT</t>
        </is>
      </c>
    </row>
    <row r="267">
      <c r="B267" s="4" t="inlineStr">
        <is>
          <t>328_0</t>
        </is>
      </c>
      <c r="C267" s="4" t="inlineStr">
        <is>
          <t>03/09/2026</t>
        </is>
      </c>
      <c r="D267" s="4" t="inlineStr">
        <is>
          <t>jueves</t>
        </is>
      </c>
      <c r="E267" s="4" t="inlineStr">
        <is>
          <t>2312</t>
        </is>
      </c>
      <c r="F267" s="4" t="inlineStr">
        <is>
          <t>LIM</t>
        </is>
      </c>
      <c r="G267" s="4" t="inlineStr">
        <is>
          <t>CIX</t>
        </is>
      </c>
      <c r="H267" s="4" t="inlineStr">
        <is>
          <t>15:35:00</t>
        </is>
      </c>
      <c r="I267" s="4" t="inlineStr">
        <is>
          <t>17:05:00</t>
        </is>
      </c>
      <c r="J267" s="4" t="inlineStr">
        <is>
          <t>320</t>
        </is>
      </c>
      <c r="L267" s="4" t="inlineStr">
        <is>
          <t>01:30:00</t>
        </is>
      </c>
      <c r="M267" s="5" t="n"/>
      <c r="O267" s="5" t="n"/>
      <c r="Q267" s="4">
        <f>B267</f>
        <v/>
      </c>
      <c r="R267" s="4">
        <f>C267</f>
        <v/>
      </c>
      <c r="S267" s="4">
        <f>D267</f>
        <v/>
      </c>
      <c r="T267" s="4">
        <f>E267&amp;"/"&amp;E268</f>
        <v/>
      </c>
      <c r="U267" s="4">
        <f>F267&amp;"-"&amp;G267&amp;"-"&amp;F267</f>
        <v/>
      </c>
      <c r="V267" s="4">
        <f>IF($M$267="","",$M$267)</f>
        <v/>
      </c>
      <c r="W267" s="4">
        <f>IF($O$267="","",$O$267)</f>
        <v/>
      </c>
      <c r="X267" s="4">
        <f>J267</f>
        <v/>
      </c>
    </row>
    <row r="268">
      <c r="B268" s="4" t="inlineStr">
        <is>
          <t>328_0</t>
        </is>
      </c>
      <c r="C268" s="4" t="inlineStr">
        <is>
          <t>03/09/2026</t>
        </is>
      </c>
      <c r="D268" s="4" t="inlineStr">
        <is>
          <t>jueves</t>
        </is>
      </c>
      <c r="E268" s="4" t="inlineStr">
        <is>
          <t>2313</t>
        </is>
      </c>
      <c r="F268" s="4" t="inlineStr">
        <is>
          <t>CIX</t>
        </is>
      </c>
      <c r="G268" s="4" t="inlineStr">
        <is>
          <t>LIM</t>
        </is>
      </c>
      <c r="H268" s="4" t="inlineStr">
        <is>
          <t>17:50:00</t>
        </is>
      </c>
      <c r="I268" s="4" t="inlineStr">
        <is>
          <t>19:10:00</t>
        </is>
      </c>
      <c r="J268" s="4" t="inlineStr">
        <is>
          <t>320</t>
        </is>
      </c>
      <c r="K268">
        <f>TEXT(TIMEVALUE(H268)-TIMEVALUE(I267)+(TIMEVALUE(H268)&lt;TIMEVALUE(I267)),"[h]:mm")</f>
        <v/>
      </c>
      <c r="L268" s="4" t="inlineStr">
        <is>
          <t>01:20:00</t>
        </is>
      </c>
      <c r="O268">
        <f>"LIM-"&amp;G267&amp;"-LIM   LA "&amp;E267&amp;" ("&amp;LEFT(H267,5)&amp;"-"&amp;LEFT(I267,5)&amp;" hrs)  /  LA "&amp;E268&amp;" ("&amp;LEFT(H268,5)&amp;"-"&amp;LEFT(I268,5)&amp;" hrs)"</f>
        <v/>
      </c>
    </row>
    <row r="269">
      <c r="J269" s="7" t="inlineStr">
        <is>
          <t>PSV total:</t>
        </is>
      </c>
      <c r="K269" s="8">
        <f>TEXT(TIMEVALUE(I268)-TIMEVALUE(H267)+(I268&lt;H267),"[h]:mm")</f>
        <v/>
      </c>
    </row>
    <row r="271">
      <c r="B271" s="3" t="inlineStr">
        <is>
          <t>Pairing ID</t>
        </is>
      </c>
      <c r="C271" s="3" t="inlineStr">
        <is>
          <t>FECHA REAL</t>
        </is>
      </c>
      <c r="D271" s="3" t="inlineStr">
        <is>
          <t>Day of Week</t>
        </is>
      </c>
      <c r="E271" s="3" t="inlineStr">
        <is>
          <t>Flight No</t>
        </is>
      </c>
      <c r="F271" s="3" t="inlineStr">
        <is>
          <t>Dep Stn</t>
        </is>
      </c>
      <c r="G271" s="3" t="inlineStr">
        <is>
          <t>Arr Stn</t>
        </is>
      </c>
      <c r="H271" s="3" t="inlineStr">
        <is>
          <t>STD</t>
        </is>
      </c>
      <c r="I271" s="3" t="inlineStr">
        <is>
          <t>STA</t>
        </is>
      </c>
      <c r="J271" s="3" t="inlineStr">
        <is>
          <t>subflota</t>
        </is>
      </c>
      <c r="K271" s="3" t="inlineStr">
        <is>
          <t>Conexion</t>
        </is>
      </c>
      <c r="L271" s="3" t="inlineStr">
        <is>
          <t>HBT</t>
        </is>
      </c>
    </row>
    <row r="272">
      <c r="B272" s="4" t="inlineStr">
        <is>
          <t>330_0</t>
        </is>
      </c>
      <c r="C272" s="4" t="inlineStr">
        <is>
          <t>03/09/2026</t>
        </is>
      </c>
      <c r="D272" s="4" t="inlineStr">
        <is>
          <t>jueves</t>
        </is>
      </c>
      <c r="E272" s="4" t="inlineStr">
        <is>
          <t>2301</t>
        </is>
      </c>
      <c r="F272" s="4" t="inlineStr">
        <is>
          <t>LIM</t>
        </is>
      </c>
      <c r="G272" s="4" t="inlineStr">
        <is>
          <t>TPP</t>
        </is>
      </c>
      <c r="H272" s="4" t="inlineStr">
        <is>
          <t>15:40:00</t>
        </is>
      </c>
      <c r="I272" s="4" t="inlineStr">
        <is>
          <t>17:05:00</t>
        </is>
      </c>
      <c r="J272" s="4" t="inlineStr">
        <is>
          <t>320</t>
        </is>
      </c>
      <c r="L272" s="4" t="inlineStr">
        <is>
          <t>01:25:00</t>
        </is>
      </c>
      <c r="M272" s="5" t="n"/>
      <c r="O272" s="5" t="n"/>
      <c r="Q272" s="4">
        <f>B272</f>
        <v/>
      </c>
      <c r="R272" s="4">
        <f>C272</f>
        <v/>
      </c>
      <c r="S272" s="4">
        <f>D272</f>
        <v/>
      </c>
      <c r="T272" s="4">
        <f>E272&amp;"/"&amp;E273</f>
        <v/>
      </c>
      <c r="U272" s="4">
        <f>F272&amp;"-"&amp;G272&amp;"-"&amp;F272</f>
        <v/>
      </c>
      <c r="V272" s="4">
        <f>IF($M$272="","",$M$272)</f>
        <v/>
      </c>
      <c r="W272" s="4">
        <f>IF($O$272="","",$O$272)</f>
        <v/>
      </c>
      <c r="X272" s="4">
        <f>J272</f>
        <v/>
      </c>
    </row>
    <row r="273">
      <c r="B273" s="4" t="inlineStr">
        <is>
          <t>330_0</t>
        </is>
      </c>
      <c r="C273" s="4" t="inlineStr">
        <is>
          <t>03/09/2026</t>
        </is>
      </c>
      <c r="D273" s="4" t="inlineStr">
        <is>
          <t>jueves</t>
        </is>
      </c>
      <c r="E273" s="4" t="inlineStr">
        <is>
          <t>2300</t>
        </is>
      </c>
      <c r="F273" s="4" t="inlineStr">
        <is>
          <t>TPP</t>
        </is>
      </c>
      <c r="G273" s="4" t="inlineStr">
        <is>
          <t>LIM</t>
        </is>
      </c>
      <c r="H273" s="4" t="inlineStr">
        <is>
          <t>17:50:00</t>
        </is>
      </c>
      <c r="I273" s="4" t="inlineStr">
        <is>
          <t>19:20:00</t>
        </is>
      </c>
      <c r="J273" s="4" t="inlineStr">
        <is>
          <t>320</t>
        </is>
      </c>
      <c r="K273">
        <f>TEXT(TIMEVALUE(H273)-TIMEVALUE(I272)+(TIMEVALUE(H273)&lt;TIMEVALUE(I272)),"[h]:mm")</f>
        <v/>
      </c>
      <c r="L273" s="4" t="inlineStr">
        <is>
          <t>01:30:00</t>
        </is>
      </c>
      <c r="O273">
        <f>"LIM-"&amp;G272&amp;"-LIM   LA "&amp;E272&amp;" ("&amp;LEFT(H272,5)&amp;"-"&amp;LEFT(I272,5)&amp;" hrs)  /  LA "&amp;E273&amp;" ("&amp;LEFT(H273,5)&amp;"-"&amp;LEFT(I273,5)&amp;" hrs)"</f>
        <v/>
      </c>
    </row>
    <row r="274">
      <c r="J274" s="7" t="inlineStr">
        <is>
          <t>PSV total:</t>
        </is>
      </c>
      <c r="K274" s="8">
        <f>TEXT(TIMEVALUE(I273)-TIMEVALUE(H272)+(I273&lt;H272),"[h]:mm")</f>
        <v/>
      </c>
    </row>
    <row r="276">
      <c r="B276" s="3" t="inlineStr">
        <is>
          <t>Pairing ID</t>
        </is>
      </c>
      <c r="C276" s="3" t="inlineStr">
        <is>
          <t>FECHA REAL</t>
        </is>
      </c>
      <c r="D276" s="3" t="inlineStr">
        <is>
          <t>Day of Week</t>
        </is>
      </c>
      <c r="E276" s="3" t="inlineStr">
        <is>
          <t>Flight No</t>
        </is>
      </c>
      <c r="F276" s="3" t="inlineStr">
        <is>
          <t>Dep Stn</t>
        </is>
      </c>
      <c r="G276" s="3" t="inlineStr">
        <is>
          <t>Arr Stn</t>
        </is>
      </c>
      <c r="H276" s="3" t="inlineStr">
        <is>
          <t>STD</t>
        </is>
      </c>
      <c r="I276" s="3" t="inlineStr">
        <is>
          <t>STA</t>
        </is>
      </c>
      <c r="J276" s="3" t="inlineStr">
        <is>
          <t>subflota</t>
        </is>
      </c>
      <c r="K276" s="3" t="inlineStr">
        <is>
          <t>Conexion</t>
        </is>
      </c>
      <c r="L276" s="3" t="inlineStr">
        <is>
          <t>HBT</t>
        </is>
      </c>
    </row>
    <row r="277">
      <c r="B277" s="4" t="inlineStr">
        <is>
          <t>335_0</t>
        </is>
      </c>
      <c r="C277" s="4" t="inlineStr">
        <is>
          <t>03/09/2026</t>
        </is>
      </c>
      <c r="D277" s="4" t="inlineStr">
        <is>
          <t>jueves</t>
        </is>
      </c>
      <c r="E277" s="4" t="inlineStr">
        <is>
          <t>2310</t>
        </is>
      </c>
      <c r="F277" s="4" t="inlineStr">
        <is>
          <t>LIM</t>
        </is>
      </c>
      <c r="G277" s="4" t="inlineStr">
        <is>
          <t>CIX</t>
        </is>
      </c>
      <c r="H277" s="4" t="inlineStr">
        <is>
          <t>18:20:00</t>
        </is>
      </c>
      <c r="I277" s="4" t="inlineStr">
        <is>
          <t>19:45:00</t>
        </is>
      </c>
      <c r="J277" s="4" t="inlineStr">
        <is>
          <t>320</t>
        </is>
      </c>
      <c r="L277" s="4" t="inlineStr">
        <is>
          <t>01:25:00</t>
        </is>
      </c>
      <c r="M277" s="5" t="n"/>
      <c r="O277" s="5" t="n"/>
      <c r="Q277" s="4">
        <f>B277</f>
        <v/>
      </c>
      <c r="R277" s="4">
        <f>C277</f>
        <v/>
      </c>
      <c r="S277" s="4">
        <f>D277</f>
        <v/>
      </c>
      <c r="T277" s="4">
        <f>E277&amp;"/"&amp;E278</f>
        <v/>
      </c>
      <c r="U277" s="4">
        <f>F277&amp;"-"&amp;G277&amp;"-"&amp;F277</f>
        <v/>
      </c>
      <c r="V277" s="4">
        <f>IF($M$277="","",$M$277)</f>
        <v/>
      </c>
      <c r="W277" s="4">
        <f>IF($O$277="","",$O$277)</f>
        <v/>
      </c>
      <c r="X277" s="4">
        <f>J277</f>
        <v/>
      </c>
    </row>
    <row r="278">
      <c r="B278" s="4" t="inlineStr">
        <is>
          <t>335_0</t>
        </is>
      </c>
      <c r="C278" s="4" t="inlineStr">
        <is>
          <t>03/09/2026</t>
        </is>
      </c>
      <c r="D278" s="4" t="inlineStr">
        <is>
          <t>jueves</t>
        </is>
      </c>
      <c r="E278" s="4" t="inlineStr">
        <is>
          <t>2311</t>
        </is>
      </c>
      <c r="F278" s="4" t="inlineStr">
        <is>
          <t>CIX</t>
        </is>
      </c>
      <c r="G278" s="4" t="inlineStr">
        <is>
          <t>LIM</t>
        </is>
      </c>
      <c r="H278" s="4" t="inlineStr">
        <is>
          <t>20:20:00</t>
        </is>
      </c>
      <c r="I278" s="4" t="inlineStr">
        <is>
          <t>21:35:00</t>
        </is>
      </c>
      <c r="J278" s="4" t="inlineStr">
        <is>
          <t>320</t>
        </is>
      </c>
      <c r="K278">
        <f>TEXT(TIMEVALUE(H278)-TIMEVALUE(I277)+(TIMEVALUE(H278)&lt;TIMEVALUE(I277)),"[h]:mm")</f>
        <v/>
      </c>
      <c r="L278" s="4" t="inlineStr">
        <is>
          <t>01:15:00</t>
        </is>
      </c>
      <c r="O278">
        <f>"LIM-"&amp;G277&amp;"-LIM   LA "&amp;E277&amp;" ("&amp;LEFT(H277,5)&amp;"-"&amp;LEFT(I277,5)&amp;" hrs)  /  LA "&amp;E278&amp;" ("&amp;LEFT(H278,5)&amp;"-"&amp;LEFT(I278,5)&amp;" hrs)"</f>
        <v/>
      </c>
    </row>
    <row r="279">
      <c r="J279" s="7" t="inlineStr">
        <is>
          <t>PSV total:</t>
        </is>
      </c>
      <c r="K279" s="8">
        <f>TEXT(TIMEVALUE(I278)-TIMEVALUE(H277)+(I278&lt;H277),"[h]:mm")</f>
        <v/>
      </c>
    </row>
    <row r="281">
      <c r="B281" s="3" t="inlineStr">
        <is>
          <t>Pairing ID</t>
        </is>
      </c>
      <c r="C281" s="3" t="inlineStr">
        <is>
          <t>FECHA REAL</t>
        </is>
      </c>
      <c r="D281" s="3" t="inlineStr">
        <is>
          <t>Day of Week</t>
        </is>
      </c>
      <c r="E281" s="3" t="inlineStr">
        <is>
          <t>Flight No</t>
        </is>
      </c>
      <c r="F281" s="3" t="inlineStr">
        <is>
          <t>Dep Stn</t>
        </is>
      </c>
      <c r="G281" s="3" t="inlineStr">
        <is>
          <t>Arr Stn</t>
        </is>
      </c>
      <c r="H281" s="3" t="inlineStr">
        <is>
          <t>STD</t>
        </is>
      </c>
      <c r="I281" s="3" t="inlineStr">
        <is>
          <t>STA</t>
        </is>
      </c>
      <c r="J281" s="3" t="inlineStr">
        <is>
          <t>subflota</t>
        </is>
      </c>
      <c r="K281" s="3" t="inlineStr">
        <is>
          <t>Conexion</t>
        </is>
      </c>
      <c r="L281" s="3" t="inlineStr">
        <is>
          <t>HBT</t>
        </is>
      </c>
    </row>
    <row r="282">
      <c r="B282" s="4" t="inlineStr">
        <is>
          <t>382_0</t>
        </is>
      </c>
      <c r="C282" s="4" t="inlineStr">
        <is>
          <t>04/09/2026</t>
        </is>
      </c>
      <c r="D282" s="4" t="inlineStr">
        <is>
          <t>viernes</t>
        </is>
      </c>
      <c r="E282" s="4" t="inlineStr">
        <is>
          <t>2350</t>
        </is>
      </c>
      <c r="F282" s="4" t="inlineStr">
        <is>
          <t>LIM</t>
        </is>
      </c>
      <c r="G282" s="4" t="inlineStr">
        <is>
          <t>CJA</t>
        </is>
      </c>
      <c r="H282" s="4" t="inlineStr">
        <is>
          <t>10:40:00</t>
        </is>
      </c>
      <c r="I282" s="4" t="inlineStr">
        <is>
          <t>12:00:00</t>
        </is>
      </c>
      <c r="J282" s="4" t="inlineStr">
        <is>
          <t>320</t>
        </is>
      </c>
      <c r="L282" s="4" t="inlineStr">
        <is>
          <t>01:20:00</t>
        </is>
      </c>
      <c r="M282" s="5" t="n"/>
      <c r="O282" s="5" t="n"/>
      <c r="Q282" s="4">
        <f>B282</f>
        <v/>
      </c>
      <c r="R282" s="4">
        <f>C282</f>
        <v/>
      </c>
      <c r="S282" s="4">
        <f>D282</f>
        <v/>
      </c>
      <c r="T282" s="4">
        <f>E282&amp;"/"&amp;E283</f>
        <v/>
      </c>
      <c r="U282" s="4">
        <f>F282&amp;"-"&amp;G282&amp;"-"&amp;F282</f>
        <v/>
      </c>
      <c r="V282" s="4">
        <f>IF($M$282="","",$M$282)</f>
        <v/>
      </c>
      <c r="W282" s="4">
        <f>IF($O$282="","",$O$282)</f>
        <v/>
      </c>
      <c r="X282" s="4">
        <f>J282</f>
        <v/>
      </c>
    </row>
    <row r="283">
      <c r="B283" s="4" t="inlineStr">
        <is>
          <t>382_0</t>
        </is>
      </c>
      <c r="C283" s="4" t="inlineStr">
        <is>
          <t>04/09/2026</t>
        </is>
      </c>
      <c r="D283" s="4" t="inlineStr">
        <is>
          <t>viernes</t>
        </is>
      </c>
      <c r="E283" s="4" t="inlineStr">
        <is>
          <t>2351</t>
        </is>
      </c>
      <c r="F283" s="4" t="inlineStr">
        <is>
          <t>CJA</t>
        </is>
      </c>
      <c r="G283" s="4" t="inlineStr">
        <is>
          <t>LIM</t>
        </is>
      </c>
      <c r="H283" s="4" t="inlineStr">
        <is>
          <t>12:50:00</t>
        </is>
      </c>
      <c r="I283" s="4" t="inlineStr">
        <is>
          <t>14:00:00</t>
        </is>
      </c>
      <c r="J283" s="4" t="inlineStr">
        <is>
          <t>320</t>
        </is>
      </c>
      <c r="K283">
        <f>TEXT(TIMEVALUE(H283)-TIMEVALUE(I282)+(TIMEVALUE(H283)&lt;TIMEVALUE(I282)),"[h]:mm")</f>
        <v/>
      </c>
      <c r="L283" s="4" t="inlineStr">
        <is>
          <t>01:10:00</t>
        </is>
      </c>
      <c r="O283">
        <f>"LIM-"&amp;G282&amp;"-LIM   LA "&amp;E282&amp;" ("&amp;LEFT(H282,5)&amp;"-"&amp;LEFT(I282,5)&amp;" hrs)  /  LA "&amp;E283&amp;" ("&amp;LEFT(H283,5)&amp;"-"&amp;LEFT(I283,5)&amp;" hrs)"</f>
        <v/>
      </c>
    </row>
    <row r="284">
      <c r="B284" s="4" t="inlineStr">
        <is>
          <t>403_0</t>
        </is>
      </c>
      <c r="C284" s="4" t="inlineStr">
        <is>
          <t>04/09/2026</t>
        </is>
      </c>
      <c r="D284" s="4" t="inlineStr">
        <is>
          <t>viernes</t>
        </is>
      </c>
      <c r="E284" s="4" t="inlineStr">
        <is>
          <t>2338</t>
        </is>
      </c>
      <c r="F284" s="4" t="inlineStr">
        <is>
          <t>LIM</t>
        </is>
      </c>
      <c r="G284" s="4" t="inlineStr">
        <is>
          <t>PIU</t>
        </is>
      </c>
      <c r="H284" s="4" t="inlineStr">
        <is>
          <t>14:55:00</t>
        </is>
      </c>
      <c r="I284" s="4" t="inlineStr">
        <is>
          <t>16:45:00</t>
        </is>
      </c>
      <c r="J284" s="4" t="inlineStr">
        <is>
          <t>320</t>
        </is>
      </c>
      <c r="K284" s="6">
        <f>TEXT(TIMEVALUE(H284)-TIMEVALUE(I283)+(TIMEVALUE(H284)&lt;TIMEVALUE(I283)),"[h]:mm")</f>
        <v/>
      </c>
      <c r="L284" s="4" t="inlineStr">
        <is>
          <t>01:50:00</t>
        </is>
      </c>
      <c r="M284">
        <f>IF($M$282="","",$M$282)</f>
        <v/>
      </c>
      <c r="O284">
        <f>IF($O$282="","",$O$282)</f>
        <v/>
      </c>
      <c r="Q284" s="4">
        <f>B284</f>
        <v/>
      </c>
      <c r="R284" s="4">
        <f>C284</f>
        <v/>
      </c>
      <c r="S284" s="4">
        <f>D284</f>
        <v/>
      </c>
      <c r="T284" s="4">
        <f>E284&amp;"/"&amp;E285</f>
        <v/>
      </c>
      <c r="U284" s="4">
        <f>F284&amp;"-"&amp;G284&amp;"-"&amp;F284</f>
        <v/>
      </c>
      <c r="V284" s="4">
        <f>IF($M$282="","",$M$282)</f>
        <v/>
      </c>
      <c r="W284" s="4">
        <f>IF($O$282="","",$O$282)</f>
        <v/>
      </c>
      <c r="X284" s="4">
        <f>J284</f>
        <v/>
      </c>
    </row>
    <row r="285">
      <c r="B285" s="4" t="inlineStr">
        <is>
          <t>403_0</t>
        </is>
      </c>
      <c r="C285" s="4" t="inlineStr">
        <is>
          <t>04/09/2026</t>
        </is>
      </c>
      <c r="D285" s="4" t="inlineStr">
        <is>
          <t>viernes</t>
        </is>
      </c>
      <c r="E285" s="4" t="inlineStr">
        <is>
          <t>2339</t>
        </is>
      </c>
      <c r="F285" s="4" t="inlineStr">
        <is>
          <t>PIU</t>
        </is>
      </c>
      <c r="G285" s="4" t="inlineStr">
        <is>
          <t>LIM</t>
        </is>
      </c>
      <c r="H285" s="4" t="inlineStr">
        <is>
          <t>17:20:00</t>
        </is>
      </c>
      <c r="I285" s="4" t="inlineStr">
        <is>
          <t>18:50:00</t>
        </is>
      </c>
      <c r="J285" s="4" t="inlineStr">
        <is>
          <t>320</t>
        </is>
      </c>
      <c r="K285">
        <f>TEXT(TIMEVALUE(H285)-TIMEVALUE(I284)+(TIMEVALUE(H285)&lt;TIMEVALUE(I284)),"[h]:mm")</f>
        <v/>
      </c>
      <c r="L285" s="4" t="inlineStr">
        <is>
          <t>01:30:00</t>
        </is>
      </c>
      <c r="O285">
        <f>"LIM-"&amp;G284&amp;"-LIM   LA "&amp;E284&amp;" ("&amp;LEFT(H284,5)&amp;"-"&amp;LEFT(I284,5)&amp;" hrs)  /  LA "&amp;E285&amp;" ("&amp;LEFT(H285,5)&amp;"-"&amp;LEFT(I285,5)&amp;" hrs)"</f>
        <v/>
      </c>
    </row>
    <row r="286">
      <c r="J286" s="7" t="inlineStr">
        <is>
          <t>PSV total:</t>
        </is>
      </c>
      <c r="K286" s="8">
        <f>TEXT(TIMEVALUE(I285)-TIMEVALUE(H282)+(I285&lt;H282),"[h]:mm")</f>
        <v/>
      </c>
    </row>
    <row r="288">
      <c r="B288" s="3" t="inlineStr">
        <is>
          <t>Pairing ID</t>
        </is>
      </c>
      <c r="C288" s="3" t="inlineStr">
        <is>
          <t>FECHA REAL</t>
        </is>
      </c>
      <c r="D288" s="3" t="inlineStr">
        <is>
          <t>Day of Week</t>
        </is>
      </c>
      <c r="E288" s="3" t="inlineStr">
        <is>
          <t>Flight No</t>
        </is>
      </c>
      <c r="F288" s="3" t="inlineStr">
        <is>
          <t>Dep Stn</t>
        </is>
      </c>
      <c r="G288" s="3" t="inlineStr">
        <is>
          <t>Arr Stn</t>
        </is>
      </c>
      <c r="H288" s="3" t="inlineStr">
        <is>
          <t>STD</t>
        </is>
      </c>
      <c r="I288" s="3" t="inlineStr">
        <is>
          <t>STA</t>
        </is>
      </c>
      <c r="J288" s="3" t="inlineStr">
        <is>
          <t>subflota</t>
        </is>
      </c>
      <c r="K288" s="3" t="inlineStr">
        <is>
          <t>Conexion</t>
        </is>
      </c>
      <c r="L288" s="3" t="inlineStr">
        <is>
          <t>HBT</t>
        </is>
      </c>
    </row>
    <row r="289">
      <c r="B289" s="4" t="inlineStr">
        <is>
          <t>384_0</t>
        </is>
      </c>
      <c r="C289" s="4" t="inlineStr">
        <is>
          <t>04/09/2026</t>
        </is>
      </c>
      <c r="D289" s="4" t="inlineStr">
        <is>
          <t>viernes</t>
        </is>
      </c>
      <c r="E289" s="4" t="inlineStr">
        <is>
          <t>2061</t>
        </is>
      </c>
      <c r="F289" s="4" t="inlineStr">
        <is>
          <t>LIM</t>
        </is>
      </c>
      <c r="G289" s="4" t="inlineStr">
        <is>
          <t>CUZ</t>
        </is>
      </c>
      <c r="H289" s="4" t="inlineStr">
        <is>
          <t>11:40:00</t>
        </is>
      </c>
      <c r="I289" s="4" t="inlineStr">
        <is>
          <t>13:00:00</t>
        </is>
      </c>
      <c r="J289" s="4" t="inlineStr">
        <is>
          <t>320</t>
        </is>
      </c>
      <c r="L289" s="4" t="inlineStr">
        <is>
          <t>01:20:00</t>
        </is>
      </c>
      <c r="M289" s="5" t="n"/>
      <c r="O289" s="5" t="n"/>
      <c r="Q289" s="4">
        <f>B289</f>
        <v/>
      </c>
      <c r="R289" s="4">
        <f>C289</f>
        <v/>
      </c>
      <c r="S289" s="4">
        <f>D289</f>
        <v/>
      </c>
      <c r="T289" s="4">
        <f>E289&amp;"/"&amp;E290</f>
        <v/>
      </c>
      <c r="U289" s="4">
        <f>F289&amp;"-"&amp;G289&amp;"-"&amp;F289</f>
        <v/>
      </c>
      <c r="V289" s="4">
        <f>IF($M$289="","",$M$289)</f>
        <v/>
      </c>
      <c r="W289" s="4">
        <f>IF($O$289="","",$O$289)</f>
        <v/>
      </c>
      <c r="X289" s="4">
        <f>J289</f>
        <v/>
      </c>
    </row>
    <row r="290">
      <c r="B290" s="4" t="inlineStr">
        <is>
          <t>384_0</t>
        </is>
      </c>
      <c r="C290" s="4" t="inlineStr">
        <is>
          <t>04/09/2026</t>
        </is>
      </c>
      <c r="D290" s="4" t="inlineStr">
        <is>
          <t>viernes</t>
        </is>
      </c>
      <c r="E290" s="4" t="inlineStr">
        <is>
          <t>2062</t>
        </is>
      </c>
      <c r="F290" s="4" t="inlineStr">
        <is>
          <t>CUZ</t>
        </is>
      </c>
      <c r="G290" s="4" t="inlineStr">
        <is>
          <t>LIM</t>
        </is>
      </c>
      <c r="H290" s="4" t="inlineStr">
        <is>
          <t>13:40:00</t>
        </is>
      </c>
      <c r="I290" s="4" t="inlineStr">
        <is>
          <t>15:15:00</t>
        </is>
      </c>
      <c r="J290" s="4" t="inlineStr">
        <is>
          <t>320</t>
        </is>
      </c>
      <c r="K290">
        <f>TEXT(TIMEVALUE(H290)-TIMEVALUE(I289)+(TIMEVALUE(H290)&lt;TIMEVALUE(I289)),"[h]:mm")</f>
        <v/>
      </c>
      <c r="L290" s="4" t="inlineStr">
        <is>
          <t>01:35:00</t>
        </is>
      </c>
      <c r="O290">
        <f>"LIM-"&amp;G289&amp;"-LIM   LA "&amp;E289&amp;" ("&amp;LEFT(H289,5)&amp;"-"&amp;LEFT(I289,5)&amp;" hrs)  /  LA "&amp;E290&amp;" ("&amp;LEFT(H290,5)&amp;"-"&amp;LEFT(I290,5)&amp;" hrs)"</f>
        <v/>
      </c>
    </row>
    <row r="291">
      <c r="B291" s="4" t="inlineStr">
        <is>
          <t>416_0</t>
        </is>
      </c>
      <c r="C291" s="4" t="inlineStr">
        <is>
          <t>04/09/2026</t>
        </is>
      </c>
      <c r="D291" s="4" t="inlineStr">
        <is>
          <t>viernes</t>
        </is>
      </c>
      <c r="E291" s="4" t="inlineStr">
        <is>
          <t>2127</t>
        </is>
      </c>
      <c r="F291" s="4" t="inlineStr">
        <is>
          <t>LIM</t>
        </is>
      </c>
      <c r="G291" s="4" t="inlineStr">
        <is>
          <t>CUZ</t>
        </is>
      </c>
      <c r="H291" s="4" t="inlineStr">
        <is>
          <t>16:10:00</t>
        </is>
      </c>
      <c r="I291" s="4" t="inlineStr">
        <is>
          <t>17:30:00</t>
        </is>
      </c>
      <c r="J291" s="4" t="inlineStr">
        <is>
          <t>320</t>
        </is>
      </c>
      <c r="K291" s="6">
        <f>TEXT(TIMEVALUE(H291)-TIMEVALUE(I290)+(TIMEVALUE(H291)&lt;TIMEVALUE(I290)),"[h]:mm")</f>
        <v/>
      </c>
      <c r="L291" s="4" t="inlineStr">
        <is>
          <t>01:20:00</t>
        </is>
      </c>
      <c r="M291">
        <f>IF($M$289="","",$M$289)</f>
        <v/>
      </c>
      <c r="O291">
        <f>IF($O$289="","",$O$289)</f>
        <v/>
      </c>
      <c r="Q291" s="4">
        <f>B291</f>
        <v/>
      </c>
      <c r="R291" s="4">
        <f>C291</f>
        <v/>
      </c>
      <c r="S291" s="4">
        <f>D291</f>
        <v/>
      </c>
      <c r="T291" s="4">
        <f>E291&amp;"/"&amp;E292</f>
        <v/>
      </c>
      <c r="U291" s="4">
        <f>F291&amp;"-"&amp;G291&amp;"-"&amp;F291</f>
        <v/>
      </c>
      <c r="V291" s="4">
        <f>IF($M$289="","",$M$289)</f>
        <v/>
      </c>
      <c r="W291" s="4">
        <f>IF($O$289="","",$O$289)</f>
        <v/>
      </c>
      <c r="X291" s="4">
        <f>J291</f>
        <v/>
      </c>
    </row>
    <row r="292">
      <c r="B292" s="4" t="inlineStr">
        <is>
          <t>416_0</t>
        </is>
      </c>
      <c r="C292" s="4" t="inlineStr">
        <is>
          <t>04/09/2026</t>
        </is>
      </c>
      <c r="D292" s="4" t="inlineStr">
        <is>
          <t>viernes</t>
        </is>
      </c>
      <c r="E292" s="4" t="inlineStr">
        <is>
          <t>2026</t>
        </is>
      </c>
      <c r="F292" s="4" t="inlineStr">
        <is>
          <t>CUZ</t>
        </is>
      </c>
      <c r="G292" s="4" t="inlineStr">
        <is>
          <t>LIM</t>
        </is>
      </c>
      <c r="H292" s="4" t="inlineStr">
        <is>
          <t>18:10:00</t>
        </is>
      </c>
      <c r="I292" s="4" t="inlineStr">
        <is>
          <t>19:50:00</t>
        </is>
      </c>
      <c r="J292" s="4" t="inlineStr">
        <is>
          <t>320</t>
        </is>
      </c>
      <c r="K292">
        <f>TEXT(TIMEVALUE(H292)-TIMEVALUE(I291)+(TIMEVALUE(H292)&lt;TIMEVALUE(I291)),"[h]:mm")</f>
        <v/>
      </c>
      <c r="L292" s="4" t="inlineStr">
        <is>
          <t>01:40:00</t>
        </is>
      </c>
      <c r="O292">
        <f>"LIM-"&amp;G291&amp;"-LIM   LA "&amp;E291&amp;" ("&amp;LEFT(H291,5)&amp;"-"&amp;LEFT(I291,5)&amp;" hrs)  /  LA "&amp;E292&amp;" ("&amp;LEFT(H292,5)&amp;"-"&amp;LEFT(I292,5)&amp;" hrs)"</f>
        <v/>
      </c>
    </row>
    <row r="293">
      <c r="J293" s="7" t="inlineStr">
        <is>
          <t>PSV total:</t>
        </is>
      </c>
      <c r="K293" s="8">
        <f>TEXT(TIMEVALUE(I292)-TIMEVALUE(H289)+(I292&lt;H289),"[h]:mm")</f>
        <v/>
      </c>
    </row>
    <row r="295">
      <c r="B295" s="3" t="inlineStr">
        <is>
          <t>Pairing ID</t>
        </is>
      </c>
      <c r="C295" s="3" t="inlineStr">
        <is>
          <t>FECHA REAL</t>
        </is>
      </c>
      <c r="D295" s="3" t="inlineStr">
        <is>
          <t>Day of Week</t>
        </is>
      </c>
      <c r="E295" s="3" t="inlineStr">
        <is>
          <t>Flight No</t>
        </is>
      </c>
      <c r="F295" s="3" t="inlineStr">
        <is>
          <t>Dep Stn</t>
        </is>
      </c>
      <c r="G295" s="3" t="inlineStr">
        <is>
          <t>Arr Stn</t>
        </is>
      </c>
      <c r="H295" s="3" t="inlineStr">
        <is>
          <t>STD</t>
        </is>
      </c>
      <c r="I295" s="3" t="inlineStr">
        <is>
          <t>STA</t>
        </is>
      </c>
      <c r="J295" s="3" t="inlineStr">
        <is>
          <t>subflota</t>
        </is>
      </c>
      <c r="K295" s="3" t="inlineStr">
        <is>
          <t>Conexion</t>
        </is>
      </c>
      <c r="L295" s="3" t="inlineStr">
        <is>
          <t>HBT</t>
        </is>
      </c>
    </row>
    <row r="296">
      <c r="B296" s="4" t="inlineStr">
        <is>
          <t>386_0</t>
        </is>
      </c>
      <c r="C296" s="4" t="inlineStr">
        <is>
          <t>04/09/2026</t>
        </is>
      </c>
      <c r="D296" s="4" t="inlineStr">
        <is>
          <t>viernes</t>
        </is>
      </c>
      <c r="E296" s="4" t="inlineStr">
        <is>
          <t>2316</t>
        </is>
      </c>
      <c r="F296" s="4" t="inlineStr">
        <is>
          <t>LIM</t>
        </is>
      </c>
      <c r="G296" s="4" t="inlineStr">
        <is>
          <t>PIU</t>
        </is>
      </c>
      <c r="H296" s="4" t="inlineStr">
        <is>
          <t>11:40:00</t>
        </is>
      </c>
      <c r="I296" s="4" t="inlineStr">
        <is>
          <t>13:25:00</t>
        </is>
      </c>
      <c r="J296" s="4" t="inlineStr">
        <is>
          <t>319</t>
        </is>
      </c>
      <c r="L296" s="4" t="inlineStr">
        <is>
          <t>01:45:00</t>
        </is>
      </c>
      <c r="M296" s="5" t="n"/>
      <c r="O296" s="5" t="n"/>
      <c r="Q296" s="4">
        <f>B296</f>
        <v/>
      </c>
      <c r="R296" s="4">
        <f>C296</f>
        <v/>
      </c>
      <c r="S296" s="4">
        <f>D296</f>
        <v/>
      </c>
      <c r="T296" s="4">
        <f>E296&amp;"/"&amp;E297</f>
        <v/>
      </c>
      <c r="U296" s="4">
        <f>F296&amp;"-"&amp;G296&amp;"-"&amp;F296</f>
        <v/>
      </c>
      <c r="V296" s="4">
        <f>IF($M$296="","",$M$296)</f>
        <v/>
      </c>
      <c r="W296" s="4">
        <f>IF($O$296="","",$O$296)</f>
        <v/>
      </c>
      <c r="X296" s="4">
        <f>J296</f>
        <v/>
      </c>
    </row>
    <row r="297">
      <c r="B297" s="4" t="inlineStr">
        <is>
          <t>386_0</t>
        </is>
      </c>
      <c r="C297" s="4" t="inlineStr">
        <is>
          <t>04/09/2026</t>
        </is>
      </c>
      <c r="D297" s="4" t="inlineStr">
        <is>
          <t>viernes</t>
        </is>
      </c>
      <c r="E297" s="4" t="inlineStr">
        <is>
          <t>2317</t>
        </is>
      </c>
      <c r="F297" s="4" t="inlineStr">
        <is>
          <t>PIU</t>
        </is>
      </c>
      <c r="G297" s="4" t="inlineStr">
        <is>
          <t>LIM</t>
        </is>
      </c>
      <c r="H297" s="4" t="inlineStr">
        <is>
          <t>14:05:00</t>
        </is>
      </c>
      <c r="I297" s="4" t="inlineStr">
        <is>
          <t>15:40:00</t>
        </is>
      </c>
      <c r="J297" s="4" t="inlineStr">
        <is>
          <t>319</t>
        </is>
      </c>
      <c r="K297">
        <f>TEXT(TIMEVALUE(H297)-TIMEVALUE(I296)+(TIMEVALUE(H297)&lt;TIMEVALUE(I296)),"[h]:mm")</f>
        <v/>
      </c>
      <c r="L297" s="4" t="inlineStr">
        <is>
          <t>01:35:00</t>
        </is>
      </c>
      <c r="O297">
        <f>"LIM-"&amp;G296&amp;"-LIM   LA "&amp;E296&amp;" ("&amp;LEFT(H296,5)&amp;"-"&amp;LEFT(I296,5)&amp;" hrs)  /  LA "&amp;E297&amp;" ("&amp;LEFT(H297,5)&amp;"-"&amp;LEFT(I297,5)&amp;" hrs)"</f>
        <v/>
      </c>
    </row>
    <row r="298">
      <c r="J298" s="7" t="inlineStr">
        <is>
          <t>PSV total:</t>
        </is>
      </c>
      <c r="K298" s="8">
        <f>TEXT(TIMEVALUE(I297)-TIMEVALUE(H296)+(I297&lt;H296),"[h]:mm")</f>
        <v/>
      </c>
    </row>
    <row r="300">
      <c r="B300" s="3" t="inlineStr">
        <is>
          <t>Pairing ID</t>
        </is>
      </c>
      <c r="C300" s="3" t="inlineStr">
        <is>
          <t>FECHA REAL</t>
        </is>
      </c>
      <c r="D300" s="3" t="inlineStr">
        <is>
          <t>Day of Week</t>
        </is>
      </c>
      <c r="E300" s="3" t="inlineStr">
        <is>
          <t>Flight No</t>
        </is>
      </c>
      <c r="F300" s="3" t="inlineStr">
        <is>
          <t>Dep Stn</t>
        </is>
      </c>
      <c r="G300" s="3" t="inlineStr">
        <is>
          <t>Arr Stn</t>
        </is>
      </c>
      <c r="H300" s="3" t="inlineStr">
        <is>
          <t>STD</t>
        </is>
      </c>
      <c r="I300" s="3" t="inlineStr">
        <is>
          <t>STA</t>
        </is>
      </c>
      <c r="J300" s="3" t="inlineStr">
        <is>
          <t>subflota</t>
        </is>
      </c>
      <c r="K300" s="3" t="inlineStr">
        <is>
          <t>Conexion</t>
        </is>
      </c>
      <c r="L300" s="3" t="inlineStr">
        <is>
          <t>HBT</t>
        </is>
      </c>
    </row>
    <row r="301">
      <c r="B301" s="4" t="inlineStr">
        <is>
          <t>389_0</t>
        </is>
      </c>
      <c r="C301" s="4" t="inlineStr">
        <is>
          <t>04/09/2026</t>
        </is>
      </c>
      <c r="D301" s="4" t="inlineStr">
        <is>
          <t>viernes</t>
        </is>
      </c>
      <c r="E301" s="4" t="inlineStr">
        <is>
          <t>2023</t>
        </is>
      </c>
      <c r="F301" s="4" t="inlineStr">
        <is>
          <t>LIM</t>
        </is>
      </c>
      <c r="G301" s="4" t="inlineStr">
        <is>
          <t>PEM</t>
        </is>
      </c>
      <c r="H301" s="4" t="inlineStr">
        <is>
          <t>12:15:00</t>
        </is>
      </c>
      <c r="I301" s="4" t="inlineStr">
        <is>
          <t>13:55:00</t>
        </is>
      </c>
      <c r="J301" s="4" t="inlineStr">
        <is>
          <t>320</t>
        </is>
      </c>
      <c r="L301" s="4" t="inlineStr">
        <is>
          <t>01:40:00</t>
        </is>
      </c>
      <c r="M301" s="5" t="n"/>
      <c r="O301" s="5" t="n"/>
      <c r="Q301" s="4">
        <f>B301</f>
        <v/>
      </c>
      <c r="R301" s="4">
        <f>C301</f>
        <v/>
      </c>
      <c r="S301" s="4">
        <f>D301</f>
        <v/>
      </c>
      <c r="T301" s="4">
        <f>E301&amp;"/"&amp;E302</f>
        <v/>
      </c>
      <c r="U301" s="4">
        <f>F301&amp;"-"&amp;G301&amp;"-"&amp;F301</f>
        <v/>
      </c>
      <c r="V301" s="4">
        <f>IF($M$301="","",$M$301)</f>
        <v/>
      </c>
      <c r="W301" s="4">
        <f>IF($O$301="","",$O$301)</f>
        <v/>
      </c>
      <c r="X301" s="4">
        <f>J301</f>
        <v/>
      </c>
    </row>
    <row r="302">
      <c r="B302" s="4" t="inlineStr">
        <is>
          <t>389_0</t>
        </is>
      </c>
      <c r="C302" s="4" t="inlineStr">
        <is>
          <t>04/09/2026</t>
        </is>
      </c>
      <c r="D302" s="4" t="inlineStr">
        <is>
          <t>viernes</t>
        </is>
      </c>
      <c r="E302" s="4" t="inlineStr">
        <is>
          <t>2024</t>
        </is>
      </c>
      <c r="F302" s="4" t="inlineStr">
        <is>
          <t>PEM</t>
        </is>
      </c>
      <c r="G302" s="4" t="inlineStr">
        <is>
          <t>LIM</t>
        </is>
      </c>
      <c r="H302" s="4" t="inlineStr">
        <is>
          <t>14:35:00</t>
        </is>
      </c>
      <c r="I302" s="4" t="inlineStr">
        <is>
          <t>16:10:00</t>
        </is>
      </c>
      <c r="J302" s="4" t="inlineStr">
        <is>
          <t>320</t>
        </is>
      </c>
      <c r="K302">
        <f>TEXT(TIMEVALUE(H302)-TIMEVALUE(I301)+(TIMEVALUE(H302)&lt;TIMEVALUE(I301)),"[h]:mm")</f>
        <v/>
      </c>
      <c r="L302" s="4" t="inlineStr">
        <is>
          <t>01:35:00</t>
        </is>
      </c>
      <c r="O302">
        <f>"LIM-"&amp;G301&amp;"-LIM   LA "&amp;E301&amp;" ("&amp;LEFT(H301,5)&amp;"-"&amp;LEFT(I301,5)&amp;" hrs)  /  LA "&amp;E302&amp;" ("&amp;LEFT(H302,5)&amp;"-"&amp;LEFT(I302,5)&amp;" hrs)"</f>
        <v/>
      </c>
    </row>
    <row r="303">
      <c r="J303" s="7" t="inlineStr">
        <is>
          <t>PSV total:</t>
        </is>
      </c>
      <c r="K303" s="8">
        <f>TEXT(TIMEVALUE(I302)-TIMEVALUE(H301)+(I302&lt;H301),"[h]:mm")</f>
        <v/>
      </c>
    </row>
    <row r="305">
      <c r="B305" s="3" t="inlineStr">
        <is>
          <t>Pairing ID</t>
        </is>
      </c>
      <c r="C305" s="3" t="inlineStr">
        <is>
          <t>FECHA REAL</t>
        </is>
      </c>
      <c r="D305" s="3" t="inlineStr">
        <is>
          <t>Day of Week</t>
        </is>
      </c>
      <c r="E305" s="3" t="inlineStr">
        <is>
          <t>Flight No</t>
        </is>
      </c>
      <c r="F305" s="3" t="inlineStr">
        <is>
          <t>Dep Stn</t>
        </is>
      </c>
      <c r="G305" s="3" t="inlineStr">
        <is>
          <t>Arr Stn</t>
        </is>
      </c>
      <c r="H305" s="3" t="inlineStr">
        <is>
          <t>STD</t>
        </is>
      </c>
      <c r="I305" s="3" t="inlineStr">
        <is>
          <t>STA</t>
        </is>
      </c>
      <c r="J305" s="3" t="inlineStr">
        <is>
          <t>subflota</t>
        </is>
      </c>
      <c r="K305" s="3" t="inlineStr">
        <is>
          <t>Conexion</t>
        </is>
      </c>
      <c r="L305" s="3" t="inlineStr">
        <is>
          <t>HBT</t>
        </is>
      </c>
    </row>
    <row r="306">
      <c r="B306" s="4" t="inlineStr">
        <is>
          <t>391_0</t>
        </is>
      </c>
      <c r="C306" s="4" t="inlineStr">
        <is>
          <t>04/09/2026</t>
        </is>
      </c>
      <c r="D306" s="4" t="inlineStr">
        <is>
          <t>viernes</t>
        </is>
      </c>
      <c r="E306" s="4" t="inlineStr">
        <is>
          <t>2120</t>
        </is>
      </c>
      <c r="F306" s="4" t="inlineStr">
        <is>
          <t>LIM</t>
        </is>
      </c>
      <c r="G306" s="4" t="inlineStr">
        <is>
          <t>CUZ</t>
        </is>
      </c>
      <c r="H306" s="4" t="inlineStr">
        <is>
          <t>12:35:00</t>
        </is>
      </c>
      <c r="I306" s="4" t="inlineStr">
        <is>
          <t>13:55:00</t>
        </is>
      </c>
      <c r="J306" s="4" t="inlineStr">
        <is>
          <t>320</t>
        </is>
      </c>
      <c r="L306" s="4" t="inlineStr">
        <is>
          <t>01:20:00</t>
        </is>
      </c>
      <c r="M306" s="5" t="n"/>
      <c r="O306" s="5" t="n"/>
      <c r="Q306" s="4">
        <f>B306</f>
        <v/>
      </c>
      <c r="R306" s="4">
        <f>C306</f>
        <v/>
      </c>
      <c r="S306" s="4">
        <f>D306</f>
        <v/>
      </c>
      <c r="T306" s="4">
        <f>E306&amp;"/"&amp;E307</f>
        <v/>
      </c>
      <c r="U306" s="4">
        <f>F306&amp;"-"&amp;G306&amp;"-"&amp;F306</f>
        <v/>
      </c>
      <c r="V306" s="4">
        <f>IF($M$306="","",$M$306)</f>
        <v/>
      </c>
      <c r="W306" s="4">
        <f>IF($O$306="","",$O$306)</f>
        <v/>
      </c>
      <c r="X306" s="4">
        <f>J306</f>
        <v/>
      </c>
    </row>
    <row r="307">
      <c r="B307" s="4" t="inlineStr">
        <is>
          <t>391_0</t>
        </is>
      </c>
      <c r="C307" s="4" t="inlineStr">
        <is>
          <t>04/09/2026</t>
        </is>
      </c>
      <c r="D307" s="4" t="inlineStr">
        <is>
          <t>viernes</t>
        </is>
      </c>
      <c r="E307" s="4" t="inlineStr">
        <is>
          <t>2121</t>
        </is>
      </c>
      <c r="F307" s="4" t="inlineStr">
        <is>
          <t>CUZ</t>
        </is>
      </c>
      <c r="G307" s="4" t="inlineStr">
        <is>
          <t>LIM</t>
        </is>
      </c>
      <c r="H307" s="4" t="inlineStr">
        <is>
          <t>17:35:00</t>
        </is>
      </c>
      <c r="I307" s="4" t="inlineStr">
        <is>
          <t>19:10:00</t>
        </is>
      </c>
      <c r="J307" s="4" t="inlineStr">
        <is>
          <t>320</t>
        </is>
      </c>
      <c r="K307">
        <f>TEXT(TIMEVALUE(H307)-TIMEVALUE(I306)+(TIMEVALUE(H307)&lt;TIMEVALUE(I306)),"[h]:mm")</f>
        <v/>
      </c>
      <c r="L307" s="4" t="inlineStr">
        <is>
          <t>01:35:00</t>
        </is>
      </c>
      <c r="O307">
        <f>"LIM-"&amp;G306&amp;"-LIM   LA "&amp;E306&amp;" ("&amp;LEFT(H306,5)&amp;"-"&amp;LEFT(I306,5)&amp;" hrs)  /  LA "&amp;E307&amp;" ("&amp;LEFT(H307,5)&amp;"-"&amp;LEFT(I307,5)&amp;" hrs)"</f>
        <v/>
      </c>
    </row>
    <row r="308">
      <c r="J308" s="7" t="inlineStr">
        <is>
          <t>PSV total:</t>
        </is>
      </c>
      <c r="K308" s="8">
        <f>TEXT(TIMEVALUE(I307)-TIMEVALUE(H306)+(I307&lt;H306),"[h]:mm")</f>
        <v/>
      </c>
    </row>
    <row r="310">
      <c r="B310" s="3" t="inlineStr">
        <is>
          <t>Pairing ID</t>
        </is>
      </c>
      <c r="C310" s="3" t="inlineStr">
        <is>
          <t>FECHA REAL</t>
        </is>
      </c>
      <c r="D310" s="3" t="inlineStr">
        <is>
          <t>Day of Week</t>
        </is>
      </c>
      <c r="E310" s="3" t="inlineStr">
        <is>
          <t>Flight No</t>
        </is>
      </c>
      <c r="F310" s="3" t="inlineStr">
        <is>
          <t>Dep Stn</t>
        </is>
      </c>
      <c r="G310" s="3" t="inlineStr">
        <is>
          <t>Arr Stn</t>
        </is>
      </c>
      <c r="H310" s="3" t="inlineStr">
        <is>
          <t>STD</t>
        </is>
      </c>
      <c r="I310" s="3" t="inlineStr">
        <is>
          <t>STA</t>
        </is>
      </c>
      <c r="J310" s="3" t="inlineStr">
        <is>
          <t>subflota</t>
        </is>
      </c>
      <c r="K310" s="3" t="inlineStr">
        <is>
          <t>Conexion</t>
        </is>
      </c>
      <c r="L310" s="3" t="inlineStr">
        <is>
          <t>HBT</t>
        </is>
      </c>
    </row>
    <row r="311">
      <c r="B311" s="4" t="inlineStr">
        <is>
          <t>394_0</t>
        </is>
      </c>
      <c r="C311" s="4" t="inlineStr">
        <is>
          <t>04/09/2026</t>
        </is>
      </c>
      <c r="D311" s="4" t="inlineStr">
        <is>
          <t>viernes</t>
        </is>
      </c>
      <c r="E311" s="4" t="inlineStr">
        <is>
          <t>2270</t>
        </is>
      </c>
      <c r="F311" s="4" t="inlineStr">
        <is>
          <t>LIM</t>
        </is>
      </c>
      <c r="G311" s="4" t="inlineStr">
        <is>
          <t>CIX</t>
        </is>
      </c>
      <c r="H311" s="4" t="inlineStr">
        <is>
          <t>13:00:00</t>
        </is>
      </c>
      <c r="I311" s="4" t="inlineStr">
        <is>
          <t>14:30:00</t>
        </is>
      </c>
      <c r="J311" s="4" t="inlineStr">
        <is>
          <t>319</t>
        </is>
      </c>
      <c r="L311" s="4" t="inlineStr">
        <is>
          <t>01:30:00</t>
        </is>
      </c>
      <c r="M311" s="5" t="n"/>
      <c r="O311" s="5" t="n"/>
      <c r="Q311" s="4">
        <f>B311</f>
        <v/>
      </c>
      <c r="R311" s="4">
        <f>C311</f>
        <v/>
      </c>
      <c r="S311" s="4">
        <f>D311</f>
        <v/>
      </c>
      <c r="T311" s="4">
        <f>E311&amp;"/"&amp;E312</f>
        <v/>
      </c>
      <c r="U311" s="4">
        <f>F311&amp;"-"&amp;G311&amp;"-"&amp;F311</f>
        <v/>
      </c>
      <c r="V311" s="4">
        <f>IF($M$311="","",$M$311)</f>
        <v/>
      </c>
      <c r="W311" s="4">
        <f>IF($O$311="","",$O$311)</f>
        <v/>
      </c>
      <c r="X311" s="4">
        <f>J311</f>
        <v/>
      </c>
    </row>
    <row r="312">
      <c r="B312" s="4" t="inlineStr">
        <is>
          <t>394_0</t>
        </is>
      </c>
      <c r="C312" s="4" t="inlineStr">
        <is>
          <t>04/09/2026</t>
        </is>
      </c>
      <c r="D312" s="4" t="inlineStr">
        <is>
          <t>viernes</t>
        </is>
      </c>
      <c r="E312" s="4" t="inlineStr">
        <is>
          <t>2271</t>
        </is>
      </c>
      <c r="F312" s="4" t="inlineStr">
        <is>
          <t>CIX</t>
        </is>
      </c>
      <c r="G312" s="4" t="inlineStr">
        <is>
          <t>LIM</t>
        </is>
      </c>
      <c r="H312" s="4" t="inlineStr">
        <is>
          <t>15:05:00</t>
        </is>
      </c>
      <c r="I312" s="4" t="inlineStr">
        <is>
          <t>16:20:00</t>
        </is>
      </c>
      <c r="J312" s="4" t="inlineStr">
        <is>
          <t>319</t>
        </is>
      </c>
      <c r="K312">
        <f>TEXT(TIMEVALUE(H312)-TIMEVALUE(I311)+(TIMEVALUE(H312)&lt;TIMEVALUE(I311)),"[h]:mm")</f>
        <v/>
      </c>
      <c r="L312" s="4" t="inlineStr">
        <is>
          <t>01:15:00</t>
        </is>
      </c>
      <c r="O312">
        <f>"LIM-"&amp;G311&amp;"-LIM   LA "&amp;E311&amp;" ("&amp;LEFT(H311,5)&amp;"-"&amp;LEFT(I311,5)&amp;" hrs)  /  LA "&amp;E312&amp;" ("&amp;LEFT(H312,5)&amp;"-"&amp;LEFT(I312,5)&amp;" hrs)"</f>
        <v/>
      </c>
    </row>
    <row r="313">
      <c r="J313" s="7" t="inlineStr">
        <is>
          <t>PSV total:</t>
        </is>
      </c>
      <c r="K313" s="8">
        <f>TEXT(TIMEVALUE(I312)-TIMEVALUE(H311)+(I312&lt;H311),"[h]:mm")</f>
        <v/>
      </c>
    </row>
    <row r="315">
      <c r="B315" s="3" t="inlineStr">
        <is>
          <t>Pairing ID</t>
        </is>
      </c>
      <c r="C315" s="3" t="inlineStr">
        <is>
          <t>FECHA REAL</t>
        </is>
      </c>
      <c r="D315" s="3" t="inlineStr">
        <is>
          <t>Day of Week</t>
        </is>
      </c>
      <c r="E315" s="3" t="inlineStr">
        <is>
          <t>Flight No</t>
        </is>
      </c>
      <c r="F315" s="3" t="inlineStr">
        <is>
          <t>Dep Stn</t>
        </is>
      </c>
      <c r="G315" s="3" t="inlineStr">
        <is>
          <t>Arr Stn</t>
        </is>
      </c>
      <c r="H315" s="3" t="inlineStr">
        <is>
          <t>STD</t>
        </is>
      </c>
      <c r="I315" s="3" t="inlineStr">
        <is>
          <t>STA</t>
        </is>
      </c>
      <c r="J315" s="3" t="inlineStr">
        <is>
          <t>subflota</t>
        </is>
      </c>
      <c r="K315" s="3" t="inlineStr">
        <is>
          <t>Conexion</t>
        </is>
      </c>
      <c r="L315" s="3" t="inlineStr">
        <is>
          <t>HBT</t>
        </is>
      </c>
    </row>
    <row r="316">
      <c r="B316" s="4" t="inlineStr">
        <is>
          <t>398_0</t>
        </is>
      </c>
      <c r="C316" s="4" t="inlineStr">
        <is>
          <t>04/09/2026</t>
        </is>
      </c>
      <c r="D316" s="4" t="inlineStr">
        <is>
          <t>viernes</t>
        </is>
      </c>
      <c r="E316" s="4" t="inlineStr">
        <is>
          <t>2067</t>
        </is>
      </c>
      <c r="F316" s="4" t="inlineStr">
        <is>
          <t>LIM</t>
        </is>
      </c>
      <c r="G316" s="4" t="inlineStr">
        <is>
          <t>TCQ</t>
        </is>
      </c>
      <c r="H316" s="4" t="inlineStr">
        <is>
          <t>13:45:00</t>
        </is>
      </c>
      <c r="I316" s="4" t="inlineStr">
        <is>
          <t>15:35:00</t>
        </is>
      </c>
      <c r="J316" s="4" t="inlineStr">
        <is>
          <t>320</t>
        </is>
      </c>
      <c r="L316" s="4" t="inlineStr">
        <is>
          <t>01:50:00</t>
        </is>
      </c>
      <c r="M316" s="5" t="n"/>
      <c r="O316" s="5" t="n"/>
      <c r="Q316" s="4">
        <f>B316</f>
        <v/>
      </c>
      <c r="R316" s="4">
        <f>C316</f>
        <v/>
      </c>
      <c r="S316" s="4">
        <f>D316</f>
        <v/>
      </c>
      <c r="T316" s="4">
        <f>E316&amp;"/"&amp;E317</f>
        <v/>
      </c>
      <c r="U316" s="4">
        <f>F316&amp;"-"&amp;G316&amp;"-"&amp;F316</f>
        <v/>
      </c>
      <c r="V316" s="4">
        <f>IF($M$316="","",$M$316)</f>
        <v/>
      </c>
      <c r="W316" s="4">
        <f>IF($O$316="","",$O$316)</f>
        <v/>
      </c>
      <c r="X316" s="4">
        <f>J316</f>
        <v/>
      </c>
    </row>
    <row r="317">
      <c r="B317" s="4" t="inlineStr">
        <is>
          <t>398_0</t>
        </is>
      </c>
      <c r="C317" s="4" t="inlineStr">
        <is>
          <t>04/09/2026</t>
        </is>
      </c>
      <c r="D317" s="4" t="inlineStr">
        <is>
          <t>viernes</t>
        </is>
      </c>
      <c r="E317" s="4" t="inlineStr">
        <is>
          <t>2068</t>
        </is>
      </c>
      <c r="F317" s="4" t="inlineStr">
        <is>
          <t>TCQ</t>
        </is>
      </c>
      <c r="G317" s="4" t="inlineStr">
        <is>
          <t>LIM</t>
        </is>
      </c>
      <c r="H317" s="4" t="inlineStr">
        <is>
          <t>16:20:00</t>
        </is>
      </c>
      <c r="I317" s="4" t="inlineStr">
        <is>
          <t>18:15:00</t>
        </is>
      </c>
      <c r="J317" s="4" t="inlineStr">
        <is>
          <t>320</t>
        </is>
      </c>
      <c r="K317">
        <f>TEXT(TIMEVALUE(H317)-TIMEVALUE(I316)+(TIMEVALUE(H317)&lt;TIMEVALUE(I316)),"[h]:mm")</f>
        <v/>
      </c>
      <c r="L317" s="4" t="inlineStr">
        <is>
          <t>01:55:00</t>
        </is>
      </c>
      <c r="O317">
        <f>"LIM-"&amp;G316&amp;"-LIM   LA "&amp;E316&amp;" ("&amp;LEFT(H316,5)&amp;"-"&amp;LEFT(I316,5)&amp;" hrs)  /  LA "&amp;E317&amp;" ("&amp;LEFT(H317,5)&amp;"-"&amp;LEFT(I317,5)&amp;" hrs)"</f>
        <v/>
      </c>
    </row>
    <row r="318">
      <c r="J318" s="7" t="inlineStr">
        <is>
          <t>PSV total:</t>
        </is>
      </c>
      <c r="K318" s="8">
        <f>TEXT(TIMEVALUE(I317)-TIMEVALUE(H316)+(I317&lt;H316),"[h]:mm")</f>
        <v/>
      </c>
    </row>
    <row r="320">
      <c r="B320" s="3" t="inlineStr">
        <is>
          <t>Pairing ID</t>
        </is>
      </c>
      <c r="C320" s="3" t="inlineStr">
        <is>
          <t>FECHA REAL</t>
        </is>
      </c>
      <c r="D320" s="3" t="inlineStr">
        <is>
          <t>Day of Week</t>
        </is>
      </c>
      <c r="E320" s="3" t="inlineStr">
        <is>
          <t>Flight No</t>
        </is>
      </c>
      <c r="F320" s="3" t="inlineStr">
        <is>
          <t>Dep Stn</t>
        </is>
      </c>
      <c r="G320" s="3" t="inlineStr">
        <is>
          <t>Arr Stn</t>
        </is>
      </c>
      <c r="H320" s="3" t="inlineStr">
        <is>
          <t>STD</t>
        </is>
      </c>
      <c r="I320" s="3" t="inlineStr">
        <is>
          <t>STA</t>
        </is>
      </c>
      <c r="J320" s="3" t="inlineStr">
        <is>
          <t>subflota</t>
        </is>
      </c>
      <c r="K320" s="3" t="inlineStr">
        <is>
          <t>Conexion</t>
        </is>
      </c>
      <c r="L320" s="3" t="inlineStr">
        <is>
          <t>HBT</t>
        </is>
      </c>
    </row>
    <row r="321">
      <c r="B321" s="4" t="inlineStr">
        <is>
          <t>400_0</t>
        </is>
      </c>
      <c r="C321" s="4" t="inlineStr">
        <is>
          <t>04/09/2026</t>
        </is>
      </c>
      <c r="D321" s="4" t="inlineStr">
        <is>
          <t>viernes</t>
        </is>
      </c>
      <c r="E321" s="4" t="inlineStr">
        <is>
          <t>2295</t>
        </is>
      </c>
      <c r="F321" s="4" t="inlineStr">
        <is>
          <t>LIM</t>
        </is>
      </c>
      <c r="G321" s="4" t="inlineStr">
        <is>
          <t>CJA</t>
        </is>
      </c>
      <c r="H321" s="4" t="inlineStr">
        <is>
          <t>14:10:00</t>
        </is>
      </c>
      <c r="I321" s="4" t="inlineStr">
        <is>
          <t>15:30:00</t>
        </is>
      </c>
      <c r="J321" s="4" t="inlineStr">
        <is>
          <t>320</t>
        </is>
      </c>
      <c r="L321" s="4" t="inlineStr">
        <is>
          <t>01:20:00</t>
        </is>
      </c>
      <c r="M321" s="5" t="n"/>
      <c r="O321" s="5" t="n"/>
      <c r="Q321" s="4">
        <f>B321</f>
        <v/>
      </c>
      <c r="R321" s="4">
        <f>C321</f>
        <v/>
      </c>
      <c r="S321" s="4">
        <f>D321</f>
        <v/>
      </c>
      <c r="T321" s="4">
        <f>E321&amp;"/"&amp;E322</f>
        <v/>
      </c>
      <c r="U321" s="4">
        <f>F321&amp;"-"&amp;G321&amp;"-"&amp;F321</f>
        <v/>
      </c>
      <c r="V321" s="4">
        <f>IF($M$321="","",$M$321)</f>
        <v/>
      </c>
      <c r="W321" s="4">
        <f>IF($O$321="","",$O$321)</f>
        <v/>
      </c>
      <c r="X321" s="4">
        <f>J321</f>
        <v/>
      </c>
    </row>
    <row r="322">
      <c r="B322" s="4" t="inlineStr">
        <is>
          <t>400_0</t>
        </is>
      </c>
      <c r="C322" s="4" t="inlineStr">
        <is>
          <t>04/09/2026</t>
        </is>
      </c>
      <c r="D322" s="4" t="inlineStr">
        <is>
          <t>viernes</t>
        </is>
      </c>
      <c r="E322" s="4" t="inlineStr">
        <is>
          <t>2294</t>
        </is>
      </c>
      <c r="F322" s="4" t="inlineStr">
        <is>
          <t>CJA</t>
        </is>
      </c>
      <c r="G322" s="4" t="inlineStr">
        <is>
          <t>LIM</t>
        </is>
      </c>
      <c r="H322" s="4" t="inlineStr">
        <is>
          <t>16:10:00</t>
        </is>
      </c>
      <c r="I322" s="4" t="inlineStr">
        <is>
          <t>17:15:00</t>
        </is>
      </c>
      <c r="J322" s="4" t="inlineStr">
        <is>
          <t>320</t>
        </is>
      </c>
      <c r="K322">
        <f>TEXT(TIMEVALUE(H322)-TIMEVALUE(I321)+(TIMEVALUE(H322)&lt;TIMEVALUE(I321)),"[h]:mm")</f>
        <v/>
      </c>
      <c r="L322" s="4" t="inlineStr">
        <is>
          <t>01:05:00</t>
        </is>
      </c>
      <c r="O322">
        <f>"LIM-"&amp;G321&amp;"-LIM   LA "&amp;E321&amp;" ("&amp;LEFT(H321,5)&amp;"-"&amp;LEFT(I321,5)&amp;" hrs)  /  LA "&amp;E322&amp;" ("&amp;LEFT(H322,5)&amp;"-"&amp;LEFT(I322,5)&amp;" hrs)"</f>
        <v/>
      </c>
    </row>
    <row r="323">
      <c r="B323" s="4" t="inlineStr">
        <is>
          <t>419_0</t>
        </is>
      </c>
      <c r="C323" s="4" t="inlineStr">
        <is>
          <t>04/09/2026</t>
        </is>
      </c>
      <c r="D323" s="4" t="inlineStr">
        <is>
          <t>viernes</t>
        </is>
      </c>
      <c r="E323" s="4" t="inlineStr">
        <is>
          <t>2310</t>
        </is>
      </c>
      <c r="F323" s="4" t="inlineStr">
        <is>
          <t>LIM</t>
        </is>
      </c>
      <c r="G323" s="4" t="inlineStr">
        <is>
          <t>CIX</t>
        </is>
      </c>
      <c r="H323" s="4" t="inlineStr">
        <is>
          <t>18:20:00</t>
        </is>
      </c>
      <c r="I323" s="4" t="inlineStr">
        <is>
          <t>19:45:00</t>
        </is>
      </c>
      <c r="J323" s="4" t="inlineStr">
        <is>
          <t>320</t>
        </is>
      </c>
      <c r="K323" s="6">
        <f>TEXT(TIMEVALUE(H323)-TIMEVALUE(I322)+(TIMEVALUE(H323)&lt;TIMEVALUE(I322)),"[h]:mm")</f>
        <v/>
      </c>
      <c r="L323" s="4" t="inlineStr">
        <is>
          <t>01:25:00</t>
        </is>
      </c>
      <c r="M323">
        <f>IF($M$321="","",$M$321)</f>
        <v/>
      </c>
      <c r="O323">
        <f>IF($O$321="","",$O$321)</f>
        <v/>
      </c>
      <c r="Q323" s="4">
        <f>B323</f>
        <v/>
      </c>
      <c r="R323" s="4">
        <f>C323</f>
        <v/>
      </c>
      <c r="S323" s="4">
        <f>D323</f>
        <v/>
      </c>
      <c r="T323" s="4">
        <f>E323&amp;"/"&amp;E324</f>
        <v/>
      </c>
      <c r="U323" s="4">
        <f>F323&amp;"-"&amp;G323&amp;"-"&amp;F323</f>
        <v/>
      </c>
      <c r="V323" s="4">
        <f>IF($M$321="","",$M$321)</f>
        <v/>
      </c>
      <c r="W323" s="4">
        <f>IF($O$321="","",$O$321)</f>
        <v/>
      </c>
      <c r="X323" s="4">
        <f>J323</f>
        <v/>
      </c>
    </row>
    <row r="324">
      <c r="B324" s="4" t="inlineStr">
        <is>
          <t>419_0</t>
        </is>
      </c>
      <c r="C324" s="4" t="inlineStr">
        <is>
          <t>04/09/2026</t>
        </is>
      </c>
      <c r="D324" s="4" t="inlineStr">
        <is>
          <t>viernes</t>
        </is>
      </c>
      <c r="E324" s="4" t="inlineStr">
        <is>
          <t>2311</t>
        </is>
      </c>
      <c r="F324" s="4" t="inlineStr">
        <is>
          <t>CIX</t>
        </is>
      </c>
      <c r="G324" s="4" t="inlineStr">
        <is>
          <t>LIM</t>
        </is>
      </c>
      <c r="H324" s="4" t="inlineStr">
        <is>
          <t>20:20:00</t>
        </is>
      </c>
      <c r="I324" s="4" t="inlineStr">
        <is>
          <t>21:35:00</t>
        </is>
      </c>
      <c r="J324" s="4" t="inlineStr">
        <is>
          <t>320</t>
        </is>
      </c>
      <c r="K324">
        <f>TEXT(TIMEVALUE(H324)-TIMEVALUE(I323)+(TIMEVALUE(H324)&lt;TIMEVALUE(I323)),"[h]:mm")</f>
        <v/>
      </c>
      <c r="L324" s="4" t="inlineStr">
        <is>
          <t>01:15:00</t>
        </is>
      </c>
      <c r="O324">
        <f>"LIM-"&amp;G323&amp;"-LIM   LA "&amp;E323&amp;" ("&amp;LEFT(H323,5)&amp;"-"&amp;LEFT(I323,5)&amp;" hrs)  /  LA "&amp;E324&amp;" ("&amp;LEFT(H324,5)&amp;"-"&amp;LEFT(I324,5)&amp;" hrs)"</f>
        <v/>
      </c>
    </row>
    <row r="325">
      <c r="J325" s="7" t="inlineStr">
        <is>
          <t>PSV total:</t>
        </is>
      </c>
      <c r="K325" s="8">
        <f>TEXT(TIMEVALUE(I324)-TIMEVALUE(H321)+(I324&lt;H321),"[h]:mm")</f>
        <v/>
      </c>
    </row>
    <row r="327">
      <c r="B327" s="3" t="inlineStr">
        <is>
          <t>Pairing ID</t>
        </is>
      </c>
      <c r="C327" s="3" t="inlineStr">
        <is>
          <t>FECHA REAL</t>
        </is>
      </c>
      <c r="D327" s="3" t="inlineStr">
        <is>
          <t>Day of Week</t>
        </is>
      </c>
      <c r="E327" s="3" t="inlineStr">
        <is>
          <t>Flight No</t>
        </is>
      </c>
      <c r="F327" s="3" t="inlineStr">
        <is>
          <t>Dep Stn</t>
        </is>
      </c>
      <c r="G327" s="3" t="inlineStr">
        <is>
          <t>Arr Stn</t>
        </is>
      </c>
      <c r="H327" s="3" t="inlineStr">
        <is>
          <t>STD</t>
        </is>
      </c>
      <c r="I327" s="3" t="inlineStr">
        <is>
          <t>STA</t>
        </is>
      </c>
      <c r="J327" s="3" t="inlineStr">
        <is>
          <t>subflota</t>
        </is>
      </c>
      <c r="K327" s="3" t="inlineStr">
        <is>
          <t>Conexion</t>
        </is>
      </c>
      <c r="L327" s="3" t="inlineStr">
        <is>
          <t>HBT</t>
        </is>
      </c>
    </row>
    <row r="328">
      <c r="B328" s="4" t="inlineStr">
        <is>
          <t>404_0</t>
        </is>
      </c>
      <c r="C328" s="4" t="inlineStr">
        <is>
          <t>04/09/2026</t>
        </is>
      </c>
      <c r="D328" s="4" t="inlineStr">
        <is>
          <t>viernes</t>
        </is>
      </c>
      <c r="E328" s="4" t="inlineStr">
        <is>
          <t>2248</t>
        </is>
      </c>
      <c r="F328" s="4" t="inlineStr">
        <is>
          <t>LIM</t>
        </is>
      </c>
      <c r="G328" s="4" t="inlineStr">
        <is>
          <t>CUZ</t>
        </is>
      </c>
      <c r="H328" s="4" t="inlineStr">
        <is>
          <t>15:00:00</t>
        </is>
      </c>
      <c r="I328" s="4" t="inlineStr">
        <is>
          <t>16:20:00</t>
        </is>
      </c>
      <c r="J328" s="4" t="inlineStr">
        <is>
          <t>320</t>
        </is>
      </c>
      <c r="L328" s="4" t="inlineStr">
        <is>
          <t>01:20:00</t>
        </is>
      </c>
      <c r="M328" s="5" t="n"/>
      <c r="O328" s="5" t="n"/>
      <c r="Q328" s="4">
        <f>B328</f>
        <v/>
      </c>
      <c r="R328" s="4">
        <f>C328</f>
        <v/>
      </c>
      <c r="S328" s="4">
        <f>D328</f>
        <v/>
      </c>
      <c r="T328" s="4">
        <f>E328&amp;"/"&amp;E329</f>
        <v/>
      </c>
      <c r="U328" s="4">
        <f>F328&amp;"-"&amp;G328&amp;"-"&amp;F328</f>
        <v/>
      </c>
      <c r="V328" s="4">
        <f>IF($M$328="","",$M$328)</f>
        <v/>
      </c>
      <c r="W328" s="4">
        <f>IF($O$328="","",$O$328)</f>
        <v/>
      </c>
      <c r="X328" s="4">
        <f>J328</f>
        <v/>
      </c>
    </row>
    <row r="329">
      <c r="B329" s="4" t="inlineStr">
        <is>
          <t>404_0</t>
        </is>
      </c>
      <c r="C329" s="4" t="inlineStr">
        <is>
          <t>04/09/2026</t>
        </is>
      </c>
      <c r="D329" s="4" t="inlineStr">
        <is>
          <t>viernes</t>
        </is>
      </c>
      <c r="E329" s="4" t="inlineStr">
        <is>
          <t>2249</t>
        </is>
      </c>
      <c r="F329" s="4" t="inlineStr">
        <is>
          <t>CUZ</t>
        </is>
      </c>
      <c r="G329" s="4" t="inlineStr">
        <is>
          <t>LIM</t>
        </is>
      </c>
      <c r="H329" s="4" t="inlineStr">
        <is>
          <t>17:00:00</t>
        </is>
      </c>
      <c r="I329" s="4" t="inlineStr">
        <is>
          <t>18:35:00</t>
        </is>
      </c>
      <c r="J329" s="4" t="inlineStr">
        <is>
          <t>320</t>
        </is>
      </c>
      <c r="K329">
        <f>TEXT(TIMEVALUE(H329)-TIMEVALUE(I328)+(TIMEVALUE(H329)&lt;TIMEVALUE(I328)),"[h]:mm")</f>
        <v/>
      </c>
      <c r="L329" s="4" t="inlineStr">
        <is>
          <t>01:35:00</t>
        </is>
      </c>
      <c r="O329">
        <f>"LIM-"&amp;G328&amp;"-LIM   LA "&amp;E328&amp;" ("&amp;LEFT(H328,5)&amp;"-"&amp;LEFT(I328,5)&amp;" hrs)  /  LA "&amp;E329&amp;" ("&amp;LEFT(H329,5)&amp;"-"&amp;LEFT(I329,5)&amp;" hrs)"</f>
        <v/>
      </c>
    </row>
    <row r="330">
      <c r="J330" s="7" t="inlineStr">
        <is>
          <t>PSV total:</t>
        </is>
      </c>
      <c r="K330" s="8">
        <f>TEXT(TIMEVALUE(I329)-TIMEVALUE(H328)+(I329&lt;H328),"[h]:mm")</f>
        <v/>
      </c>
    </row>
    <row r="332">
      <c r="B332" s="3" t="inlineStr">
        <is>
          <t>Pairing ID</t>
        </is>
      </c>
      <c r="C332" s="3" t="inlineStr">
        <is>
          <t>FECHA REAL</t>
        </is>
      </c>
      <c r="D332" s="3" t="inlineStr">
        <is>
          <t>Day of Week</t>
        </is>
      </c>
      <c r="E332" s="3" t="inlineStr">
        <is>
          <t>Flight No</t>
        </is>
      </c>
      <c r="F332" s="3" t="inlineStr">
        <is>
          <t>Dep Stn</t>
        </is>
      </c>
      <c r="G332" s="3" t="inlineStr">
        <is>
          <t>Arr Stn</t>
        </is>
      </c>
      <c r="H332" s="3" t="inlineStr">
        <is>
          <t>STD</t>
        </is>
      </c>
      <c r="I332" s="3" t="inlineStr">
        <is>
          <t>STA</t>
        </is>
      </c>
      <c r="J332" s="3" t="inlineStr">
        <is>
          <t>subflota</t>
        </is>
      </c>
      <c r="K332" s="3" t="inlineStr">
        <is>
          <t>Conexion</t>
        </is>
      </c>
      <c r="L332" s="3" t="inlineStr">
        <is>
          <t>HBT</t>
        </is>
      </c>
    </row>
    <row r="333">
      <c r="B333" s="4" t="inlineStr">
        <is>
          <t>408_0</t>
        </is>
      </c>
      <c r="C333" s="4" t="inlineStr">
        <is>
          <t>04/09/2026</t>
        </is>
      </c>
      <c r="D333" s="4" t="inlineStr">
        <is>
          <t>viernes</t>
        </is>
      </c>
      <c r="E333" s="4" t="inlineStr">
        <is>
          <t>2297</t>
        </is>
      </c>
      <c r="F333" s="4" t="inlineStr">
        <is>
          <t>LIM</t>
        </is>
      </c>
      <c r="G333" s="4" t="inlineStr">
        <is>
          <t>CJA</t>
        </is>
      </c>
      <c r="H333" s="4" t="inlineStr">
        <is>
          <t>15:15:00</t>
        </is>
      </c>
      <c r="I333" s="4" t="inlineStr">
        <is>
          <t>16:35:00</t>
        </is>
      </c>
      <c r="J333" s="4" t="inlineStr">
        <is>
          <t>320</t>
        </is>
      </c>
      <c r="L333" s="4" t="inlineStr">
        <is>
          <t>01:20:00</t>
        </is>
      </c>
      <c r="M333" s="5" t="n"/>
      <c r="O333" s="5" t="n"/>
      <c r="Q333" s="4">
        <f>B333</f>
        <v/>
      </c>
      <c r="R333" s="4">
        <f>C333</f>
        <v/>
      </c>
      <c r="S333" s="4">
        <f>D333</f>
        <v/>
      </c>
      <c r="T333" s="4">
        <f>E333&amp;"/"&amp;E334</f>
        <v/>
      </c>
      <c r="U333" s="4">
        <f>F333&amp;"-"&amp;G333&amp;"-"&amp;F333</f>
        <v/>
      </c>
      <c r="V333" s="4">
        <f>IF($M$333="","",$M$333)</f>
        <v/>
      </c>
      <c r="W333" s="4">
        <f>IF($O$333="","",$O$333)</f>
        <v/>
      </c>
      <c r="X333" s="4">
        <f>J333</f>
        <v/>
      </c>
    </row>
    <row r="334">
      <c r="B334" s="4" t="inlineStr">
        <is>
          <t>408_0</t>
        </is>
      </c>
      <c r="C334" s="4" t="inlineStr">
        <is>
          <t>04/09/2026</t>
        </is>
      </c>
      <c r="D334" s="4" t="inlineStr">
        <is>
          <t>viernes</t>
        </is>
      </c>
      <c r="E334" s="4" t="inlineStr">
        <is>
          <t>2296</t>
        </is>
      </c>
      <c r="F334" s="4" t="inlineStr">
        <is>
          <t>CJA</t>
        </is>
      </c>
      <c r="G334" s="4" t="inlineStr">
        <is>
          <t>LIM</t>
        </is>
      </c>
      <c r="H334" s="4" t="inlineStr">
        <is>
          <t>17:20:00</t>
        </is>
      </c>
      <c r="I334" s="4" t="inlineStr">
        <is>
          <t>18:25:00</t>
        </is>
      </c>
      <c r="J334" s="4" t="inlineStr">
        <is>
          <t>320</t>
        </is>
      </c>
      <c r="K334">
        <f>TEXT(TIMEVALUE(H334)-TIMEVALUE(I333)+(TIMEVALUE(H334)&lt;TIMEVALUE(I333)),"[h]:mm")</f>
        <v/>
      </c>
      <c r="L334" s="4" t="inlineStr">
        <is>
          <t>01:05:00</t>
        </is>
      </c>
      <c r="O334">
        <f>"LIM-"&amp;G333&amp;"-LIM   LA "&amp;E333&amp;" ("&amp;LEFT(H333,5)&amp;"-"&amp;LEFT(I333,5)&amp;" hrs)  /  LA "&amp;E334&amp;" ("&amp;LEFT(H334,5)&amp;"-"&amp;LEFT(I334,5)&amp;" hrs)"</f>
        <v/>
      </c>
    </row>
    <row r="335">
      <c r="J335" s="7" t="inlineStr">
        <is>
          <t>PSV total:</t>
        </is>
      </c>
      <c r="K335" s="8">
        <f>TEXT(TIMEVALUE(I334)-TIMEVALUE(H333)+(I334&lt;H333),"[h]:mm")</f>
        <v/>
      </c>
    </row>
    <row r="337">
      <c r="B337" s="3" t="inlineStr">
        <is>
          <t>Pairing ID</t>
        </is>
      </c>
      <c r="C337" s="3" t="inlineStr">
        <is>
          <t>FECHA REAL</t>
        </is>
      </c>
      <c r="D337" s="3" t="inlineStr">
        <is>
          <t>Day of Week</t>
        </is>
      </c>
      <c r="E337" s="3" t="inlineStr">
        <is>
          <t>Flight No</t>
        </is>
      </c>
      <c r="F337" s="3" t="inlineStr">
        <is>
          <t>Dep Stn</t>
        </is>
      </c>
      <c r="G337" s="3" t="inlineStr">
        <is>
          <t>Arr Stn</t>
        </is>
      </c>
      <c r="H337" s="3" t="inlineStr">
        <is>
          <t>STD</t>
        </is>
      </c>
      <c r="I337" s="3" t="inlineStr">
        <is>
          <t>STA</t>
        </is>
      </c>
      <c r="J337" s="3" t="inlineStr">
        <is>
          <t>subflota</t>
        </is>
      </c>
      <c r="K337" s="3" t="inlineStr">
        <is>
          <t>Conexion</t>
        </is>
      </c>
      <c r="L337" s="3" t="inlineStr">
        <is>
          <t>HBT</t>
        </is>
      </c>
    </row>
    <row r="338">
      <c r="B338" s="4" t="inlineStr">
        <is>
          <t>407_0</t>
        </is>
      </c>
      <c r="C338" s="4" t="inlineStr">
        <is>
          <t>04/09/2026</t>
        </is>
      </c>
      <c r="D338" s="4" t="inlineStr">
        <is>
          <t>viernes</t>
        </is>
      </c>
      <c r="E338" s="4" t="inlineStr">
        <is>
          <t>2297</t>
        </is>
      </c>
      <c r="F338" s="4" t="inlineStr">
        <is>
          <t>LIM</t>
        </is>
      </c>
      <c r="G338" s="4" t="inlineStr">
        <is>
          <t>CJA</t>
        </is>
      </c>
      <c r="H338" s="4" t="inlineStr">
        <is>
          <t>15:15:00</t>
        </is>
      </c>
      <c r="I338" s="4" t="inlineStr">
        <is>
          <t>16:35:00</t>
        </is>
      </c>
      <c r="J338" s="4" t="inlineStr">
        <is>
          <t>320</t>
        </is>
      </c>
      <c r="L338" s="4" t="inlineStr">
        <is>
          <t>01:20:00</t>
        </is>
      </c>
      <c r="M338" s="5" t="n"/>
      <c r="O338" s="5" t="n"/>
      <c r="Q338" s="4">
        <f>B338</f>
        <v/>
      </c>
      <c r="R338" s="4">
        <f>C338</f>
        <v/>
      </c>
      <c r="S338" s="4">
        <f>D338</f>
        <v/>
      </c>
      <c r="T338" s="4">
        <f>E338&amp;"/"&amp;E339</f>
        <v/>
      </c>
      <c r="U338" s="4">
        <f>F338&amp;"-"&amp;G338&amp;"-"&amp;F338</f>
        <v/>
      </c>
      <c r="V338" s="4">
        <f>IF($M$338="","",$M$338)</f>
        <v/>
      </c>
      <c r="W338" s="4">
        <f>IF($O$338="","",$O$338)</f>
        <v/>
      </c>
      <c r="X338" s="4">
        <f>J338</f>
        <v/>
      </c>
    </row>
    <row r="339">
      <c r="B339" s="4" t="inlineStr">
        <is>
          <t>407_0</t>
        </is>
      </c>
      <c r="C339" s="4" t="inlineStr">
        <is>
          <t>04/09/2026</t>
        </is>
      </c>
      <c r="D339" s="4" t="inlineStr">
        <is>
          <t>viernes</t>
        </is>
      </c>
      <c r="E339" s="4" t="inlineStr">
        <is>
          <t>2296</t>
        </is>
      </c>
      <c r="F339" s="4" t="inlineStr">
        <is>
          <t>CJA</t>
        </is>
      </c>
      <c r="G339" s="4" t="inlineStr">
        <is>
          <t>LIM</t>
        </is>
      </c>
      <c r="H339" s="4" t="inlineStr">
        <is>
          <t>17:20:00</t>
        </is>
      </c>
      <c r="I339" s="4" t="inlineStr">
        <is>
          <t>18:25:00</t>
        </is>
      </c>
      <c r="J339" s="4" t="inlineStr">
        <is>
          <t>320</t>
        </is>
      </c>
      <c r="K339">
        <f>TEXT(TIMEVALUE(H339)-TIMEVALUE(I338)+(TIMEVALUE(H339)&lt;TIMEVALUE(I338)),"[h]:mm")</f>
        <v/>
      </c>
      <c r="L339" s="4" t="inlineStr">
        <is>
          <t>01:05:00</t>
        </is>
      </c>
      <c r="O339">
        <f>"LIM-"&amp;G338&amp;"-LIM   LA "&amp;E338&amp;" ("&amp;LEFT(H338,5)&amp;"-"&amp;LEFT(I338,5)&amp;" hrs)  /  LA "&amp;E339&amp;" ("&amp;LEFT(H339,5)&amp;"-"&amp;LEFT(I339,5)&amp;" hrs)"</f>
        <v/>
      </c>
    </row>
    <row r="340">
      <c r="J340" s="7" t="inlineStr">
        <is>
          <t>PSV total:</t>
        </is>
      </c>
      <c r="K340" s="8">
        <f>TEXT(TIMEVALUE(I339)-TIMEVALUE(H338)+(I339&lt;H338),"[h]:mm")</f>
        <v/>
      </c>
    </row>
    <row r="342">
      <c r="B342" s="3" t="inlineStr">
        <is>
          <t>Pairing ID</t>
        </is>
      </c>
      <c r="C342" s="3" t="inlineStr">
        <is>
          <t>FECHA REAL</t>
        </is>
      </c>
      <c r="D342" s="3" t="inlineStr">
        <is>
          <t>Day of Week</t>
        </is>
      </c>
      <c r="E342" s="3" t="inlineStr">
        <is>
          <t>Flight No</t>
        </is>
      </c>
      <c r="F342" s="3" t="inlineStr">
        <is>
          <t>Dep Stn</t>
        </is>
      </c>
      <c r="G342" s="3" t="inlineStr">
        <is>
          <t>Arr Stn</t>
        </is>
      </c>
      <c r="H342" s="3" t="inlineStr">
        <is>
          <t>STD</t>
        </is>
      </c>
      <c r="I342" s="3" t="inlineStr">
        <is>
          <t>STA</t>
        </is>
      </c>
      <c r="J342" s="3" t="inlineStr">
        <is>
          <t>subflota</t>
        </is>
      </c>
      <c r="K342" s="3" t="inlineStr">
        <is>
          <t>Conexion</t>
        </is>
      </c>
      <c r="L342" s="3" t="inlineStr">
        <is>
          <t>HBT</t>
        </is>
      </c>
    </row>
    <row r="343">
      <c r="B343" s="4" t="inlineStr">
        <is>
          <t>410_0</t>
        </is>
      </c>
      <c r="C343" s="4" t="inlineStr">
        <is>
          <t>04/09/2026</t>
        </is>
      </c>
      <c r="D343" s="4" t="inlineStr">
        <is>
          <t>viernes</t>
        </is>
      </c>
      <c r="E343" s="4" t="inlineStr">
        <is>
          <t>2312</t>
        </is>
      </c>
      <c r="F343" s="4" t="inlineStr">
        <is>
          <t>LIM</t>
        </is>
      </c>
      <c r="G343" s="4" t="inlineStr">
        <is>
          <t>CIX</t>
        </is>
      </c>
      <c r="H343" s="4" t="inlineStr">
        <is>
          <t>15:35:00</t>
        </is>
      </c>
      <c r="I343" s="4" t="inlineStr">
        <is>
          <t>17:05:00</t>
        </is>
      </c>
      <c r="J343" s="4" t="inlineStr">
        <is>
          <t>320</t>
        </is>
      </c>
      <c r="L343" s="4" t="inlineStr">
        <is>
          <t>01:30:00</t>
        </is>
      </c>
      <c r="M343" s="5" t="n"/>
      <c r="O343" s="5" t="n"/>
      <c r="Q343" s="4">
        <f>B343</f>
        <v/>
      </c>
      <c r="R343" s="4">
        <f>C343</f>
        <v/>
      </c>
      <c r="S343" s="4">
        <f>D343</f>
        <v/>
      </c>
      <c r="T343" s="4">
        <f>E343&amp;"/"&amp;E344</f>
        <v/>
      </c>
      <c r="U343" s="4">
        <f>F343&amp;"-"&amp;G343&amp;"-"&amp;F343</f>
        <v/>
      </c>
      <c r="V343" s="4">
        <f>IF($M$343="","",$M$343)</f>
        <v/>
      </c>
      <c r="W343" s="4">
        <f>IF($O$343="","",$O$343)</f>
        <v/>
      </c>
      <c r="X343" s="4">
        <f>J343</f>
        <v/>
      </c>
    </row>
    <row r="344">
      <c r="B344" s="4" t="inlineStr">
        <is>
          <t>410_0</t>
        </is>
      </c>
      <c r="C344" s="4" t="inlineStr">
        <is>
          <t>04/09/2026</t>
        </is>
      </c>
      <c r="D344" s="4" t="inlineStr">
        <is>
          <t>viernes</t>
        </is>
      </c>
      <c r="E344" s="4" t="inlineStr">
        <is>
          <t>2313</t>
        </is>
      </c>
      <c r="F344" s="4" t="inlineStr">
        <is>
          <t>CIX</t>
        </is>
      </c>
      <c r="G344" s="4" t="inlineStr">
        <is>
          <t>LIM</t>
        </is>
      </c>
      <c r="H344" s="4" t="inlineStr">
        <is>
          <t>17:50:00</t>
        </is>
      </c>
      <c r="I344" s="4" t="inlineStr">
        <is>
          <t>19:10:00</t>
        </is>
      </c>
      <c r="J344" s="4" t="inlineStr">
        <is>
          <t>320</t>
        </is>
      </c>
      <c r="K344">
        <f>TEXT(TIMEVALUE(H344)-TIMEVALUE(I343)+(TIMEVALUE(H344)&lt;TIMEVALUE(I343)),"[h]:mm")</f>
        <v/>
      </c>
      <c r="L344" s="4" t="inlineStr">
        <is>
          <t>01:20:00</t>
        </is>
      </c>
      <c r="O344">
        <f>"LIM-"&amp;G343&amp;"-LIM   LA "&amp;E343&amp;" ("&amp;LEFT(H343,5)&amp;"-"&amp;LEFT(I343,5)&amp;" hrs)  /  LA "&amp;E344&amp;" ("&amp;LEFT(H344,5)&amp;"-"&amp;LEFT(I344,5)&amp;" hrs)"</f>
        <v/>
      </c>
    </row>
    <row r="345">
      <c r="J345" s="7" t="inlineStr">
        <is>
          <t>PSV total:</t>
        </is>
      </c>
      <c r="K345" s="8">
        <f>TEXT(TIMEVALUE(I344)-TIMEVALUE(H343)+(I344&lt;H343),"[h]:mm")</f>
        <v/>
      </c>
    </row>
    <row r="347">
      <c r="B347" s="3" t="inlineStr">
        <is>
          <t>Pairing ID</t>
        </is>
      </c>
      <c r="C347" s="3" t="inlineStr">
        <is>
          <t>FECHA REAL</t>
        </is>
      </c>
      <c r="D347" s="3" t="inlineStr">
        <is>
          <t>Day of Week</t>
        </is>
      </c>
      <c r="E347" s="3" t="inlineStr">
        <is>
          <t>Flight No</t>
        </is>
      </c>
      <c r="F347" s="3" t="inlineStr">
        <is>
          <t>Dep Stn</t>
        </is>
      </c>
      <c r="G347" s="3" t="inlineStr">
        <is>
          <t>Arr Stn</t>
        </is>
      </c>
      <c r="H347" s="3" t="inlineStr">
        <is>
          <t>STD</t>
        </is>
      </c>
      <c r="I347" s="3" t="inlineStr">
        <is>
          <t>STA</t>
        </is>
      </c>
      <c r="J347" s="3" t="inlineStr">
        <is>
          <t>subflota</t>
        </is>
      </c>
      <c r="K347" s="3" t="inlineStr">
        <is>
          <t>Conexion</t>
        </is>
      </c>
      <c r="L347" s="3" t="inlineStr">
        <is>
          <t>HBT</t>
        </is>
      </c>
    </row>
    <row r="348">
      <c r="B348" s="4" t="inlineStr">
        <is>
          <t>411_0</t>
        </is>
      </c>
      <c r="C348" s="4" t="inlineStr">
        <is>
          <t>04/09/2026</t>
        </is>
      </c>
      <c r="D348" s="4" t="inlineStr">
        <is>
          <t>viernes</t>
        </is>
      </c>
      <c r="E348" s="4" t="inlineStr">
        <is>
          <t>2301</t>
        </is>
      </c>
      <c r="F348" s="4" t="inlineStr">
        <is>
          <t>LIM</t>
        </is>
      </c>
      <c r="G348" s="4" t="inlineStr">
        <is>
          <t>TPP</t>
        </is>
      </c>
      <c r="H348" s="4" t="inlineStr">
        <is>
          <t>15:40:00</t>
        </is>
      </c>
      <c r="I348" s="4" t="inlineStr">
        <is>
          <t>17:05:00</t>
        </is>
      </c>
      <c r="J348" s="4" t="inlineStr">
        <is>
          <t>320</t>
        </is>
      </c>
      <c r="L348" s="4" t="inlineStr">
        <is>
          <t>01:25:00</t>
        </is>
      </c>
      <c r="M348" s="5" t="n"/>
      <c r="O348" s="5" t="n"/>
      <c r="Q348" s="4">
        <f>B348</f>
        <v/>
      </c>
      <c r="R348" s="4">
        <f>C348</f>
        <v/>
      </c>
      <c r="S348" s="4">
        <f>D348</f>
        <v/>
      </c>
      <c r="T348" s="4">
        <f>E348&amp;"/"&amp;E349</f>
        <v/>
      </c>
      <c r="U348" s="4">
        <f>F348&amp;"-"&amp;G348&amp;"-"&amp;F348</f>
        <v/>
      </c>
      <c r="V348" s="4">
        <f>IF($M$348="","",$M$348)</f>
        <v/>
      </c>
      <c r="W348" s="4">
        <f>IF($O$348="","",$O$348)</f>
        <v/>
      </c>
      <c r="X348" s="4">
        <f>J348</f>
        <v/>
      </c>
    </row>
    <row r="349">
      <c r="B349" s="4" t="inlineStr">
        <is>
          <t>411_0</t>
        </is>
      </c>
      <c r="C349" s="4" t="inlineStr">
        <is>
          <t>04/09/2026</t>
        </is>
      </c>
      <c r="D349" s="4" t="inlineStr">
        <is>
          <t>viernes</t>
        </is>
      </c>
      <c r="E349" s="4" t="inlineStr">
        <is>
          <t>2300</t>
        </is>
      </c>
      <c r="F349" s="4" t="inlineStr">
        <is>
          <t>TPP</t>
        </is>
      </c>
      <c r="G349" s="4" t="inlineStr">
        <is>
          <t>LIM</t>
        </is>
      </c>
      <c r="H349" s="4" t="inlineStr">
        <is>
          <t>17:50:00</t>
        </is>
      </c>
      <c r="I349" s="4" t="inlineStr">
        <is>
          <t>19:15:00</t>
        </is>
      </c>
      <c r="J349" s="4" t="inlineStr">
        <is>
          <t>320</t>
        </is>
      </c>
      <c r="K349">
        <f>TEXT(TIMEVALUE(H349)-TIMEVALUE(I348)+(TIMEVALUE(H349)&lt;TIMEVALUE(I348)),"[h]:mm")</f>
        <v/>
      </c>
      <c r="L349" s="4" t="inlineStr">
        <is>
          <t>01:25:00</t>
        </is>
      </c>
      <c r="O349">
        <f>"LIM-"&amp;G348&amp;"-LIM   LA "&amp;E348&amp;" ("&amp;LEFT(H348,5)&amp;"-"&amp;LEFT(I348,5)&amp;" hrs)  /  LA "&amp;E349&amp;" ("&amp;LEFT(H349,5)&amp;"-"&amp;LEFT(I349,5)&amp;" hrs)"</f>
        <v/>
      </c>
    </row>
    <row r="350">
      <c r="J350" s="7" t="inlineStr">
        <is>
          <t>PSV total:</t>
        </is>
      </c>
      <c r="K350" s="8">
        <f>TEXT(TIMEVALUE(I349)-TIMEVALUE(H348)+(I349&lt;H348),"[h]:mm")</f>
        <v/>
      </c>
    </row>
    <row r="352">
      <c r="B352" s="3" t="inlineStr">
        <is>
          <t>Pairing ID</t>
        </is>
      </c>
      <c r="C352" s="3" t="inlineStr">
        <is>
          <t>FECHA REAL</t>
        </is>
      </c>
      <c r="D352" s="3" t="inlineStr">
        <is>
          <t>Day of Week</t>
        </is>
      </c>
      <c r="E352" s="3" t="inlineStr">
        <is>
          <t>Flight No</t>
        </is>
      </c>
      <c r="F352" s="3" t="inlineStr">
        <is>
          <t>Dep Stn</t>
        </is>
      </c>
      <c r="G352" s="3" t="inlineStr">
        <is>
          <t>Arr Stn</t>
        </is>
      </c>
      <c r="H352" s="3" t="inlineStr">
        <is>
          <t>STD</t>
        </is>
      </c>
      <c r="I352" s="3" t="inlineStr">
        <is>
          <t>STA</t>
        </is>
      </c>
      <c r="J352" s="3" t="inlineStr">
        <is>
          <t>subflota</t>
        </is>
      </c>
      <c r="K352" s="3" t="inlineStr">
        <is>
          <t>Conexion</t>
        </is>
      </c>
      <c r="L352" s="3" t="inlineStr">
        <is>
          <t>HBT</t>
        </is>
      </c>
    </row>
    <row r="353">
      <c r="B353" s="4" t="inlineStr">
        <is>
          <t>412_0</t>
        </is>
      </c>
      <c r="C353" s="4" t="inlineStr">
        <is>
          <t>04/09/2026</t>
        </is>
      </c>
      <c r="D353" s="4" t="inlineStr">
        <is>
          <t>viernes</t>
        </is>
      </c>
      <c r="E353" s="4" t="inlineStr">
        <is>
          <t>2301</t>
        </is>
      </c>
      <c r="F353" s="4" t="inlineStr">
        <is>
          <t>LIM</t>
        </is>
      </c>
      <c r="G353" s="4" t="inlineStr">
        <is>
          <t>TPP</t>
        </is>
      </c>
      <c r="H353" s="4" t="inlineStr">
        <is>
          <t>15:40:00</t>
        </is>
      </c>
      <c r="I353" s="4" t="inlineStr">
        <is>
          <t>17:05:00</t>
        </is>
      </c>
      <c r="J353" s="4" t="inlineStr">
        <is>
          <t>320</t>
        </is>
      </c>
      <c r="L353" s="4" t="inlineStr">
        <is>
          <t>01:25:00</t>
        </is>
      </c>
      <c r="M353" s="5" t="n"/>
      <c r="O353" s="5" t="n"/>
      <c r="Q353" s="4">
        <f>B353</f>
        <v/>
      </c>
      <c r="R353" s="4">
        <f>C353</f>
        <v/>
      </c>
      <c r="S353" s="4">
        <f>D353</f>
        <v/>
      </c>
      <c r="T353" s="4">
        <f>E353&amp;"/"&amp;E354</f>
        <v/>
      </c>
      <c r="U353" s="4">
        <f>F353&amp;"-"&amp;G353&amp;"-"&amp;F353</f>
        <v/>
      </c>
      <c r="V353" s="4">
        <f>IF($M$353="","",$M$353)</f>
        <v/>
      </c>
      <c r="W353" s="4">
        <f>IF($O$353="","",$O$353)</f>
        <v/>
      </c>
      <c r="X353" s="4">
        <f>J353</f>
        <v/>
      </c>
    </row>
    <row r="354">
      <c r="B354" s="4" t="inlineStr">
        <is>
          <t>412_0</t>
        </is>
      </c>
      <c r="C354" s="4" t="inlineStr">
        <is>
          <t>04/09/2026</t>
        </is>
      </c>
      <c r="D354" s="4" t="inlineStr">
        <is>
          <t>viernes</t>
        </is>
      </c>
      <c r="E354" s="4" t="inlineStr">
        <is>
          <t>2300</t>
        </is>
      </c>
      <c r="F354" s="4" t="inlineStr">
        <is>
          <t>TPP</t>
        </is>
      </c>
      <c r="G354" s="4" t="inlineStr">
        <is>
          <t>LIM</t>
        </is>
      </c>
      <c r="H354" s="4" t="inlineStr">
        <is>
          <t>17:50:00</t>
        </is>
      </c>
      <c r="I354" s="4" t="inlineStr">
        <is>
          <t>19:15:00</t>
        </is>
      </c>
      <c r="J354" s="4" t="inlineStr">
        <is>
          <t>320</t>
        </is>
      </c>
      <c r="K354">
        <f>TEXT(TIMEVALUE(H354)-TIMEVALUE(I353)+(TIMEVALUE(H354)&lt;TIMEVALUE(I353)),"[h]:mm")</f>
        <v/>
      </c>
      <c r="L354" s="4" t="inlineStr">
        <is>
          <t>01:25:00</t>
        </is>
      </c>
      <c r="O354">
        <f>"LIM-"&amp;G353&amp;"-LIM   LA "&amp;E353&amp;" ("&amp;LEFT(H353,5)&amp;"-"&amp;LEFT(I353,5)&amp;" hrs)  /  LA "&amp;E354&amp;" ("&amp;LEFT(H354,5)&amp;"-"&amp;LEFT(I354,5)&amp;" hrs)"</f>
        <v/>
      </c>
    </row>
    <row r="355">
      <c r="J355" s="7" t="inlineStr">
        <is>
          <t>PSV total:</t>
        </is>
      </c>
      <c r="K355" s="8">
        <f>TEXT(TIMEVALUE(I354)-TIMEVALUE(H353)+(I354&lt;H353),"[h]:mm")</f>
        <v/>
      </c>
    </row>
    <row r="357">
      <c r="B357" s="3" t="inlineStr">
        <is>
          <t>Pairing ID</t>
        </is>
      </c>
      <c r="C357" s="3" t="inlineStr">
        <is>
          <t>FECHA REAL</t>
        </is>
      </c>
      <c r="D357" s="3" t="inlineStr">
        <is>
          <t>Day of Week</t>
        </is>
      </c>
      <c r="E357" s="3" t="inlineStr">
        <is>
          <t>Flight No</t>
        </is>
      </c>
      <c r="F357" s="3" t="inlineStr">
        <is>
          <t>Dep Stn</t>
        </is>
      </c>
      <c r="G357" s="3" t="inlineStr">
        <is>
          <t>Arr Stn</t>
        </is>
      </c>
      <c r="H357" s="3" t="inlineStr">
        <is>
          <t>STD</t>
        </is>
      </c>
      <c r="I357" s="3" t="inlineStr">
        <is>
          <t>STA</t>
        </is>
      </c>
      <c r="J357" s="3" t="inlineStr">
        <is>
          <t>subflota</t>
        </is>
      </c>
      <c r="K357" s="3" t="inlineStr">
        <is>
          <t>Conexion</t>
        </is>
      </c>
      <c r="L357" s="3" t="inlineStr">
        <is>
          <t>HBT</t>
        </is>
      </c>
    </row>
    <row r="358">
      <c r="B358" s="4" t="inlineStr">
        <is>
          <t>417_0</t>
        </is>
      </c>
      <c r="C358" s="4" t="inlineStr">
        <is>
          <t>04/09/2026</t>
        </is>
      </c>
      <c r="D358" s="4" t="inlineStr">
        <is>
          <t>viernes</t>
        </is>
      </c>
      <c r="E358" s="4" t="inlineStr">
        <is>
          <t>2053</t>
        </is>
      </c>
      <c r="F358" s="4" t="inlineStr">
        <is>
          <t>LIM</t>
        </is>
      </c>
      <c r="G358" s="4" t="inlineStr">
        <is>
          <t>TBP</t>
        </is>
      </c>
      <c r="H358" s="4" t="inlineStr">
        <is>
          <t>16:20:00</t>
        </is>
      </c>
      <c r="I358" s="4" t="inlineStr">
        <is>
          <t>18:10:00</t>
        </is>
      </c>
      <c r="J358" s="4" t="inlineStr">
        <is>
          <t>320</t>
        </is>
      </c>
      <c r="L358" s="4" t="inlineStr">
        <is>
          <t>01:50:00</t>
        </is>
      </c>
      <c r="M358" s="5" t="n"/>
      <c r="O358" s="5" t="n"/>
      <c r="Q358" s="4">
        <f>B358</f>
        <v/>
      </c>
      <c r="R358" s="4">
        <f>C358</f>
        <v/>
      </c>
      <c r="S358" s="4">
        <f>D358</f>
        <v/>
      </c>
      <c r="T358" s="4">
        <f>E358&amp;"/"&amp;E359</f>
        <v/>
      </c>
      <c r="U358" s="4">
        <f>F358&amp;"-"&amp;G358&amp;"-"&amp;F358</f>
        <v/>
      </c>
      <c r="V358" s="4">
        <f>IF($M$358="","",$M$358)</f>
        <v/>
      </c>
      <c r="W358" s="4">
        <f>IF($O$358="","",$O$358)</f>
        <v/>
      </c>
      <c r="X358" s="4">
        <f>J358</f>
        <v/>
      </c>
    </row>
    <row r="359">
      <c r="B359" s="4" t="inlineStr">
        <is>
          <t>417_0</t>
        </is>
      </c>
      <c r="C359" s="4" t="inlineStr">
        <is>
          <t>04/09/2026</t>
        </is>
      </c>
      <c r="D359" s="4" t="inlineStr">
        <is>
          <t>viernes</t>
        </is>
      </c>
      <c r="E359" s="4" t="inlineStr">
        <is>
          <t>2054</t>
        </is>
      </c>
      <c r="F359" s="4" t="inlineStr">
        <is>
          <t>TBP</t>
        </is>
      </c>
      <c r="G359" s="4" t="inlineStr">
        <is>
          <t>LIM</t>
        </is>
      </c>
      <c r="H359" s="4" t="inlineStr">
        <is>
          <t>18:50:00</t>
        </is>
      </c>
      <c r="I359" s="4" t="inlineStr">
        <is>
          <t>20:30:00</t>
        </is>
      </c>
      <c r="J359" s="4" t="inlineStr">
        <is>
          <t>320</t>
        </is>
      </c>
      <c r="K359">
        <f>TEXT(TIMEVALUE(H359)-TIMEVALUE(I358)+(TIMEVALUE(H359)&lt;TIMEVALUE(I358)),"[h]:mm")</f>
        <v/>
      </c>
      <c r="L359" s="4" t="inlineStr">
        <is>
          <t>01:40:00</t>
        </is>
      </c>
      <c r="O359">
        <f>"LIM-"&amp;G358&amp;"-LIM   LA "&amp;E358&amp;" ("&amp;LEFT(H358,5)&amp;"-"&amp;LEFT(I358,5)&amp;" hrs)  /  LA "&amp;E359&amp;" ("&amp;LEFT(H359,5)&amp;"-"&amp;LEFT(I359,5)&amp;" hrs)"</f>
        <v/>
      </c>
    </row>
    <row r="360">
      <c r="J360" s="7" t="inlineStr">
        <is>
          <t>PSV total:</t>
        </is>
      </c>
      <c r="K360" s="8">
        <f>TEXT(TIMEVALUE(I359)-TIMEVALUE(H358)+(I359&lt;H358),"[h]:mm")</f>
        <v/>
      </c>
    </row>
    <row r="362">
      <c r="B362" s="3" t="inlineStr">
        <is>
          <t>Pairing ID</t>
        </is>
      </c>
      <c r="C362" s="3" t="inlineStr">
        <is>
          <t>FECHA REAL</t>
        </is>
      </c>
      <c r="D362" s="3" t="inlineStr">
        <is>
          <t>Day of Week</t>
        </is>
      </c>
      <c r="E362" s="3" t="inlineStr">
        <is>
          <t>Flight No</t>
        </is>
      </c>
      <c r="F362" s="3" t="inlineStr">
        <is>
          <t>Dep Stn</t>
        </is>
      </c>
      <c r="G362" s="3" t="inlineStr">
        <is>
          <t>Arr Stn</t>
        </is>
      </c>
      <c r="H362" s="3" t="inlineStr">
        <is>
          <t>STD</t>
        </is>
      </c>
      <c r="I362" s="3" t="inlineStr">
        <is>
          <t>STA</t>
        </is>
      </c>
      <c r="J362" s="3" t="inlineStr">
        <is>
          <t>subflota</t>
        </is>
      </c>
      <c r="K362" s="3" t="inlineStr">
        <is>
          <t>Conexion</t>
        </is>
      </c>
      <c r="L362" s="3" t="inlineStr">
        <is>
          <t>HBT</t>
        </is>
      </c>
    </row>
    <row r="363">
      <c r="B363" s="4" t="inlineStr">
        <is>
          <t>469_0</t>
        </is>
      </c>
      <c r="C363" s="4" t="inlineStr">
        <is>
          <t>05/09/2026</t>
        </is>
      </c>
      <c r="D363" s="4" t="inlineStr">
        <is>
          <t>sábado</t>
        </is>
      </c>
      <c r="E363" s="4" t="inlineStr">
        <is>
          <t>2260</t>
        </is>
      </c>
      <c r="F363" s="4" t="inlineStr">
        <is>
          <t>LIM</t>
        </is>
      </c>
      <c r="G363" s="4" t="inlineStr">
        <is>
          <t>PEM</t>
        </is>
      </c>
      <c r="H363" s="4" t="inlineStr">
        <is>
          <t>10:20:00</t>
        </is>
      </c>
      <c r="I363" s="4" t="inlineStr">
        <is>
          <t>12:05:00</t>
        </is>
      </c>
      <c r="J363" s="4" t="inlineStr">
        <is>
          <t>320</t>
        </is>
      </c>
      <c r="L363" s="4" t="inlineStr">
        <is>
          <t>01:45:00</t>
        </is>
      </c>
      <c r="M363" s="5" t="n"/>
      <c r="O363" s="5" t="n"/>
      <c r="Q363" s="4">
        <f>B363</f>
        <v/>
      </c>
      <c r="R363" s="4">
        <f>C363</f>
        <v/>
      </c>
      <c r="S363" s="4">
        <f>D363</f>
        <v/>
      </c>
      <c r="T363" s="4">
        <f>E363&amp;"/"&amp;E364</f>
        <v/>
      </c>
      <c r="U363" s="4">
        <f>F363&amp;"-"&amp;G363&amp;"-"&amp;F363</f>
        <v/>
      </c>
      <c r="V363" s="4">
        <f>IF($M$363="","",$M$363)</f>
        <v/>
      </c>
      <c r="W363" s="4">
        <f>IF($O$363="","",$O$363)</f>
        <v/>
      </c>
      <c r="X363" s="4">
        <f>J363</f>
        <v/>
      </c>
    </row>
    <row r="364">
      <c r="B364" s="4" t="inlineStr">
        <is>
          <t>469_0</t>
        </is>
      </c>
      <c r="C364" s="4" t="inlineStr">
        <is>
          <t>05/09/2026</t>
        </is>
      </c>
      <c r="D364" s="4" t="inlineStr">
        <is>
          <t>sábado</t>
        </is>
      </c>
      <c r="E364" s="4" t="inlineStr">
        <is>
          <t>2261</t>
        </is>
      </c>
      <c r="F364" s="4" t="inlineStr">
        <is>
          <t>PEM</t>
        </is>
      </c>
      <c r="G364" s="4" t="inlineStr">
        <is>
          <t>LIM</t>
        </is>
      </c>
      <c r="H364" s="4" t="inlineStr">
        <is>
          <t>12:45:00</t>
        </is>
      </c>
      <c r="I364" s="4" t="inlineStr">
        <is>
          <t>14:20:00</t>
        </is>
      </c>
      <c r="J364" s="4" t="inlineStr">
        <is>
          <t>320</t>
        </is>
      </c>
      <c r="K364">
        <f>TEXT(TIMEVALUE(H364)-TIMEVALUE(I363)+(TIMEVALUE(H364)&lt;TIMEVALUE(I363)),"[h]:mm")</f>
        <v/>
      </c>
      <c r="L364" s="4" t="inlineStr">
        <is>
          <t>01:35:00</t>
        </is>
      </c>
      <c r="O364">
        <f>"LIM-"&amp;G363&amp;"-LIM   LA "&amp;E363&amp;" ("&amp;LEFT(H363,5)&amp;"-"&amp;LEFT(I363,5)&amp;" hrs)  /  LA "&amp;E364&amp;" ("&amp;LEFT(H364,5)&amp;"-"&amp;LEFT(I364,5)&amp;" hrs)"</f>
        <v/>
      </c>
    </row>
    <row r="365">
      <c r="B365" s="4" t="inlineStr">
        <is>
          <t>494_0</t>
        </is>
      </c>
      <c r="C365" s="4" t="inlineStr">
        <is>
          <t>05/09/2026</t>
        </is>
      </c>
      <c r="D365" s="4" t="inlineStr">
        <is>
          <t>sábado</t>
        </is>
      </c>
      <c r="E365" s="4" t="inlineStr">
        <is>
          <t>2297</t>
        </is>
      </c>
      <c r="F365" s="4" t="inlineStr">
        <is>
          <t>LIM</t>
        </is>
      </c>
      <c r="G365" s="4" t="inlineStr">
        <is>
          <t>CJA</t>
        </is>
      </c>
      <c r="H365" s="4" t="inlineStr">
        <is>
          <t>15:15:00</t>
        </is>
      </c>
      <c r="I365" s="4" t="inlineStr">
        <is>
          <t>16:35:00</t>
        </is>
      </c>
      <c r="J365" s="4" t="inlineStr">
        <is>
          <t>320</t>
        </is>
      </c>
      <c r="K365" s="6">
        <f>TEXT(TIMEVALUE(H365)-TIMEVALUE(I364)+(TIMEVALUE(H365)&lt;TIMEVALUE(I364)),"[h]:mm")</f>
        <v/>
      </c>
      <c r="L365" s="4" t="inlineStr">
        <is>
          <t>01:20:00</t>
        </is>
      </c>
      <c r="M365">
        <f>IF($M$363="","",$M$363)</f>
        <v/>
      </c>
      <c r="O365">
        <f>IF($O$363="","",$O$363)</f>
        <v/>
      </c>
      <c r="Q365" s="4">
        <f>B365</f>
        <v/>
      </c>
      <c r="R365" s="4">
        <f>C365</f>
        <v/>
      </c>
      <c r="S365" s="4">
        <f>D365</f>
        <v/>
      </c>
      <c r="T365" s="4">
        <f>E365&amp;"/"&amp;E366</f>
        <v/>
      </c>
      <c r="U365" s="4">
        <f>F365&amp;"-"&amp;G365&amp;"-"&amp;F365</f>
        <v/>
      </c>
      <c r="V365" s="4">
        <f>IF($M$363="","",$M$363)</f>
        <v/>
      </c>
      <c r="W365" s="4">
        <f>IF($O$363="","",$O$363)</f>
        <v/>
      </c>
      <c r="X365" s="4">
        <f>J365</f>
        <v/>
      </c>
    </row>
    <row r="366">
      <c r="B366" s="4" t="inlineStr">
        <is>
          <t>494_0</t>
        </is>
      </c>
      <c r="C366" s="4" t="inlineStr">
        <is>
          <t>05/09/2026</t>
        </is>
      </c>
      <c r="D366" s="4" t="inlineStr">
        <is>
          <t>sábado</t>
        </is>
      </c>
      <c r="E366" s="4" t="inlineStr">
        <is>
          <t>2296</t>
        </is>
      </c>
      <c r="F366" s="4" t="inlineStr">
        <is>
          <t>CJA</t>
        </is>
      </c>
      <c r="G366" s="4" t="inlineStr">
        <is>
          <t>LIM</t>
        </is>
      </c>
      <c r="H366" s="4" t="inlineStr">
        <is>
          <t>17:20:00</t>
        </is>
      </c>
      <c r="I366" s="4" t="inlineStr">
        <is>
          <t>18:25:00</t>
        </is>
      </c>
      <c r="J366" s="4" t="inlineStr">
        <is>
          <t>320</t>
        </is>
      </c>
      <c r="K366">
        <f>TEXT(TIMEVALUE(H366)-TIMEVALUE(I365)+(TIMEVALUE(H366)&lt;TIMEVALUE(I365)),"[h]:mm")</f>
        <v/>
      </c>
      <c r="L366" s="4" t="inlineStr">
        <is>
          <t>01:05:00</t>
        </is>
      </c>
      <c r="O366">
        <f>"LIM-"&amp;G365&amp;"-LIM   LA "&amp;E365&amp;" ("&amp;LEFT(H365,5)&amp;"-"&amp;LEFT(I365,5)&amp;" hrs)  /  LA "&amp;E366&amp;" ("&amp;LEFT(H366,5)&amp;"-"&amp;LEFT(I366,5)&amp;" hrs)"</f>
        <v/>
      </c>
    </row>
    <row r="367">
      <c r="J367" s="7" t="inlineStr">
        <is>
          <t>PSV total:</t>
        </is>
      </c>
      <c r="K367" s="8">
        <f>TEXT(TIMEVALUE(I366)-TIMEVALUE(H363)+(I366&lt;H363),"[h]:mm")</f>
        <v/>
      </c>
    </row>
    <row r="369">
      <c r="B369" s="3" t="inlineStr">
        <is>
          <t>Pairing ID</t>
        </is>
      </c>
      <c r="C369" s="3" t="inlineStr">
        <is>
          <t>FECHA REAL</t>
        </is>
      </c>
      <c r="D369" s="3" t="inlineStr">
        <is>
          <t>Day of Week</t>
        </is>
      </c>
      <c r="E369" s="3" t="inlineStr">
        <is>
          <t>Flight No</t>
        </is>
      </c>
      <c r="F369" s="3" t="inlineStr">
        <is>
          <t>Dep Stn</t>
        </is>
      </c>
      <c r="G369" s="3" t="inlineStr">
        <is>
          <t>Arr Stn</t>
        </is>
      </c>
      <c r="H369" s="3" t="inlineStr">
        <is>
          <t>STD</t>
        </is>
      </c>
      <c r="I369" s="3" t="inlineStr">
        <is>
          <t>STA</t>
        </is>
      </c>
      <c r="J369" s="3" t="inlineStr">
        <is>
          <t>subflota</t>
        </is>
      </c>
      <c r="K369" s="3" t="inlineStr">
        <is>
          <t>Conexion</t>
        </is>
      </c>
      <c r="L369" s="3" t="inlineStr">
        <is>
          <t>HBT</t>
        </is>
      </c>
    </row>
    <row r="370">
      <c r="B370" s="4" t="inlineStr">
        <is>
          <t>470_0</t>
        </is>
      </c>
      <c r="C370" s="4" t="inlineStr">
        <is>
          <t>05/09/2026</t>
        </is>
      </c>
      <c r="D370" s="4" t="inlineStr">
        <is>
          <t>sábado</t>
        </is>
      </c>
      <c r="E370" s="4" t="inlineStr">
        <is>
          <t>2015</t>
        </is>
      </c>
      <c r="F370" s="4" t="inlineStr">
        <is>
          <t>LIM</t>
        </is>
      </c>
      <c r="G370" s="4" t="inlineStr">
        <is>
          <t>PIU</t>
        </is>
      </c>
      <c r="H370" s="4" t="inlineStr">
        <is>
          <t>10:55:00</t>
        </is>
      </c>
      <c r="I370" s="4" t="inlineStr">
        <is>
          <t>12:40:00</t>
        </is>
      </c>
      <c r="J370" s="4" t="inlineStr">
        <is>
          <t>319</t>
        </is>
      </c>
      <c r="L370" s="4" t="inlineStr">
        <is>
          <t>01:45:00</t>
        </is>
      </c>
      <c r="M370" s="5" t="n"/>
      <c r="O370" s="5" t="n"/>
      <c r="Q370" s="4">
        <f>B370</f>
        <v/>
      </c>
      <c r="R370" s="4">
        <f>C370</f>
        <v/>
      </c>
      <c r="S370" s="4">
        <f>D370</f>
        <v/>
      </c>
      <c r="T370" s="4">
        <f>E370&amp;"/"&amp;E371</f>
        <v/>
      </c>
      <c r="U370" s="4">
        <f>F370&amp;"-"&amp;G370&amp;"-"&amp;F370</f>
        <v/>
      </c>
      <c r="V370" s="4">
        <f>IF($M$370="","",$M$370)</f>
        <v/>
      </c>
      <c r="W370" s="4">
        <f>IF($O$370="","",$O$370)</f>
        <v/>
      </c>
      <c r="X370" s="4">
        <f>J370</f>
        <v/>
      </c>
    </row>
    <row r="371">
      <c r="B371" s="4" t="inlineStr">
        <is>
          <t>470_0</t>
        </is>
      </c>
      <c r="C371" s="4" t="inlineStr">
        <is>
          <t>05/09/2026</t>
        </is>
      </c>
      <c r="D371" s="4" t="inlineStr">
        <is>
          <t>sábado</t>
        </is>
      </c>
      <c r="E371" s="4" t="inlineStr">
        <is>
          <t>2016</t>
        </is>
      </c>
      <c r="F371" s="4" t="inlineStr">
        <is>
          <t>PIU</t>
        </is>
      </c>
      <c r="G371" s="4" t="inlineStr">
        <is>
          <t>LIM</t>
        </is>
      </c>
      <c r="H371" s="4" t="inlineStr">
        <is>
          <t>13:20:00</t>
        </is>
      </c>
      <c r="I371" s="4" t="inlineStr">
        <is>
          <t>14:55:00</t>
        </is>
      </c>
      <c r="J371" s="4" t="inlineStr">
        <is>
          <t>319</t>
        </is>
      </c>
      <c r="K371">
        <f>TEXT(TIMEVALUE(H371)-TIMEVALUE(I370)+(TIMEVALUE(H371)&lt;TIMEVALUE(I370)),"[h]:mm")</f>
        <v/>
      </c>
      <c r="L371" s="4" t="inlineStr">
        <is>
          <t>01:35:00</t>
        </is>
      </c>
      <c r="O371">
        <f>"LIM-"&amp;G370&amp;"-LIM   LA "&amp;E370&amp;" ("&amp;LEFT(H370,5)&amp;"-"&amp;LEFT(I370,5)&amp;" hrs)  /  LA "&amp;E371&amp;" ("&amp;LEFT(H371,5)&amp;"-"&amp;LEFT(I371,5)&amp;" hrs)"</f>
        <v/>
      </c>
    </row>
    <row r="372">
      <c r="J372" s="7" t="inlineStr">
        <is>
          <t>PSV total:</t>
        </is>
      </c>
      <c r="K372" s="8">
        <f>TEXT(TIMEVALUE(I371)-TIMEVALUE(H370)+(I371&lt;H370),"[h]:mm")</f>
        <v/>
      </c>
    </row>
    <row r="374">
      <c r="B374" s="3" t="inlineStr">
        <is>
          <t>Pairing ID</t>
        </is>
      </c>
      <c r="C374" s="3" t="inlineStr">
        <is>
          <t>FECHA REAL</t>
        </is>
      </c>
      <c r="D374" s="3" t="inlineStr">
        <is>
          <t>Day of Week</t>
        </is>
      </c>
      <c r="E374" s="3" t="inlineStr">
        <is>
          <t>Flight No</t>
        </is>
      </c>
      <c r="F374" s="3" t="inlineStr">
        <is>
          <t>Dep Stn</t>
        </is>
      </c>
      <c r="G374" s="3" t="inlineStr">
        <is>
          <t>Arr Stn</t>
        </is>
      </c>
      <c r="H374" s="3" t="inlineStr">
        <is>
          <t>STD</t>
        </is>
      </c>
      <c r="I374" s="3" t="inlineStr">
        <is>
          <t>STA</t>
        </is>
      </c>
      <c r="J374" s="3" t="inlineStr">
        <is>
          <t>subflota</t>
        </is>
      </c>
      <c r="K374" s="3" t="inlineStr">
        <is>
          <t>Conexion</t>
        </is>
      </c>
      <c r="L374" s="3" t="inlineStr">
        <is>
          <t>HBT</t>
        </is>
      </c>
    </row>
    <row r="375">
      <c r="B375" s="4" t="inlineStr">
        <is>
          <t>475_0</t>
        </is>
      </c>
      <c r="C375" s="4" t="inlineStr">
        <is>
          <t>05/09/2026</t>
        </is>
      </c>
      <c r="D375" s="4" t="inlineStr">
        <is>
          <t>sábado</t>
        </is>
      </c>
      <c r="E375" s="4" t="inlineStr">
        <is>
          <t>2023</t>
        </is>
      </c>
      <c r="F375" s="4" t="inlineStr">
        <is>
          <t>LIM</t>
        </is>
      </c>
      <c r="G375" s="4" t="inlineStr">
        <is>
          <t>PEM</t>
        </is>
      </c>
      <c r="H375" s="4" t="inlineStr">
        <is>
          <t>12:15:00</t>
        </is>
      </c>
      <c r="I375" s="4" t="inlineStr">
        <is>
          <t>13:55:00</t>
        </is>
      </c>
      <c r="J375" s="4" t="inlineStr">
        <is>
          <t>320</t>
        </is>
      </c>
      <c r="L375" s="4" t="inlineStr">
        <is>
          <t>01:40:00</t>
        </is>
      </c>
      <c r="M375" s="5" t="n"/>
      <c r="O375" s="5" t="n"/>
      <c r="Q375" s="4">
        <f>B375</f>
        <v/>
      </c>
      <c r="R375" s="4">
        <f>C375</f>
        <v/>
      </c>
      <c r="S375" s="4">
        <f>D375</f>
        <v/>
      </c>
      <c r="T375" s="4">
        <f>E375&amp;"/"&amp;E376</f>
        <v/>
      </c>
      <c r="U375" s="4">
        <f>F375&amp;"-"&amp;G375&amp;"-"&amp;F375</f>
        <v/>
      </c>
      <c r="V375" s="4">
        <f>IF($M$375="","",$M$375)</f>
        <v/>
      </c>
      <c r="W375" s="4">
        <f>IF($O$375="","",$O$375)</f>
        <v/>
      </c>
      <c r="X375" s="4">
        <f>J375</f>
        <v/>
      </c>
    </row>
    <row r="376">
      <c r="B376" s="4" t="inlineStr">
        <is>
          <t>475_0</t>
        </is>
      </c>
      <c r="C376" s="4" t="inlineStr">
        <is>
          <t>05/09/2026</t>
        </is>
      </c>
      <c r="D376" s="4" t="inlineStr">
        <is>
          <t>sábado</t>
        </is>
      </c>
      <c r="E376" s="4" t="inlineStr">
        <is>
          <t>2024</t>
        </is>
      </c>
      <c r="F376" s="4" t="inlineStr">
        <is>
          <t>PEM</t>
        </is>
      </c>
      <c r="G376" s="4" t="inlineStr">
        <is>
          <t>LIM</t>
        </is>
      </c>
      <c r="H376" s="4" t="inlineStr">
        <is>
          <t>14:35:00</t>
        </is>
      </c>
      <c r="I376" s="4" t="inlineStr">
        <is>
          <t>16:10:00</t>
        </is>
      </c>
      <c r="J376" s="4" t="inlineStr">
        <is>
          <t>320</t>
        </is>
      </c>
      <c r="K376">
        <f>TEXT(TIMEVALUE(H376)-TIMEVALUE(I375)+(TIMEVALUE(H376)&lt;TIMEVALUE(I375)),"[h]:mm")</f>
        <v/>
      </c>
      <c r="L376" s="4" t="inlineStr">
        <is>
          <t>01:35:00</t>
        </is>
      </c>
      <c r="O376">
        <f>"LIM-"&amp;G375&amp;"-LIM   LA "&amp;E375&amp;" ("&amp;LEFT(H375,5)&amp;"-"&amp;LEFT(I375,5)&amp;" hrs)  /  LA "&amp;E376&amp;" ("&amp;LEFT(H376,5)&amp;"-"&amp;LEFT(I376,5)&amp;" hrs)"</f>
        <v/>
      </c>
    </row>
    <row r="377">
      <c r="J377" s="7" t="inlineStr">
        <is>
          <t>PSV total:</t>
        </is>
      </c>
      <c r="K377" s="8">
        <f>TEXT(TIMEVALUE(I376)-TIMEVALUE(H375)+(I376&lt;H375),"[h]:mm")</f>
        <v/>
      </c>
    </row>
    <row r="379">
      <c r="B379" s="3" t="inlineStr">
        <is>
          <t>Pairing ID</t>
        </is>
      </c>
      <c r="C379" s="3" t="inlineStr">
        <is>
          <t>FECHA REAL</t>
        </is>
      </c>
      <c r="D379" s="3" t="inlineStr">
        <is>
          <t>Day of Week</t>
        </is>
      </c>
      <c r="E379" s="3" t="inlineStr">
        <is>
          <t>Flight No</t>
        </is>
      </c>
      <c r="F379" s="3" t="inlineStr">
        <is>
          <t>Dep Stn</t>
        </is>
      </c>
      <c r="G379" s="3" t="inlineStr">
        <is>
          <t>Arr Stn</t>
        </is>
      </c>
      <c r="H379" s="3" t="inlineStr">
        <is>
          <t>STD</t>
        </is>
      </c>
      <c r="I379" s="3" t="inlineStr">
        <is>
          <t>STA</t>
        </is>
      </c>
      <c r="J379" s="3" t="inlineStr">
        <is>
          <t>subflota</t>
        </is>
      </c>
      <c r="K379" s="3" t="inlineStr">
        <is>
          <t>Conexion</t>
        </is>
      </c>
      <c r="L379" s="3" t="inlineStr">
        <is>
          <t>HBT</t>
        </is>
      </c>
    </row>
    <row r="380">
      <c r="B380" s="4" t="inlineStr">
        <is>
          <t>483_0</t>
        </is>
      </c>
      <c r="C380" s="4" t="inlineStr">
        <is>
          <t>05/09/2026</t>
        </is>
      </c>
      <c r="D380" s="4" t="inlineStr">
        <is>
          <t>sábado</t>
        </is>
      </c>
      <c r="E380" s="4" t="inlineStr">
        <is>
          <t>2028</t>
        </is>
      </c>
      <c r="F380" s="4" t="inlineStr">
        <is>
          <t>LIM</t>
        </is>
      </c>
      <c r="G380" s="4" t="inlineStr">
        <is>
          <t>CUZ</t>
        </is>
      </c>
      <c r="H380" s="4" t="inlineStr">
        <is>
          <t>13:05:00</t>
        </is>
      </c>
      <c r="I380" s="4" t="inlineStr">
        <is>
          <t>14:25:00</t>
        </is>
      </c>
      <c r="J380" s="4" t="inlineStr">
        <is>
          <t>320</t>
        </is>
      </c>
      <c r="L380" s="4" t="inlineStr">
        <is>
          <t>01:20:00</t>
        </is>
      </c>
      <c r="M380" s="5" t="n"/>
      <c r="O380" s="5" t="n"/>
      <c r="Q380" s="4">
        <f>B380</f>
        <v/>
      </c>
      <c r="R380" s="4">
        <f>C380</f>
        <v/>
      </c>
      <c r="S380" s="4">
        <f>D380</f>
        <v/>
      </c>
      <c r="T380" s="4">
        <f>E380&amp;"/"&amp;E381</f>
        <v/>
      </c>
      <c r="U380" s="4">
        <f>F380&amp;"-"&amp;G380&amp;"-"&amp;F380</f>
        <v/>
      </c>
      <c r="V380" s="4">
        <f>IF($M$380="","",$M$380)</f>
        <v/>
      </c>
      <c r="W380" s="4">
        <f>IF($O$380="","",$O$380)</f>
        <v/>
      </c>
      <c r="X380" s="4">
        <f>J380</f>
        <v/>
      </c>
    </row>
    <row r="381">
      <c r="B381" s="4" t="inlineStr">
        <is>
          <t>483_0</t>
        </is>
      </c>
      <c r="C381" s="4" t="inlineStr">
        <is>
          <t>05/09/2026</t>
        </is>
      </c>
      <c r="D381" s="4" t="inlineStr">
        <is>
          <t>sábado</t>
        </is>
      </c>
      <c r="E381" s="4" t="inlineStr">
        <is>
          <t>2029</t>
        </is>
      </c>
      <c r="F381" s="4" t="inlineStr">
        <is>
          <t>CUZ</t>
        </is>
      </c>
      <c r="G381" s="4" t="inlineStr">
        <is>
          <t>LIM</t>
        </is>
      </c>
      <c r="H381" s="4" t="inlineStr">
        <is>
          <t>15:05:00</t>
        </is>
      </c>
      <c r="I381" s="4" t="inlineStr">
        <is>
          <t>16:40:00</t>
        </is>
      </c>
      <c r="J381" s="4" t="inlineStr">
        <is>
          <t>320</t>
        </is>
      </c>
      <c r="K381">
        <f>TEXT(TIMEVALUE(H381)-TIMEVALUE(I380)+(TIMEVALUE(H381)&lt;TIMEVALUE(I380)),"[h]:mm")</f>
        <v/>
      </c>
      <c r="L381" s="4" t="inlineStr">
        <is>
          <t>01:35:00</t>
        </is>
      </c>
      <c r="O381">
        <f>"LIM-"&amp;G380&amp;"-LIM   LA "&amp;E380&amp;" ("&amp;LEFT(H380,5)&amp;"-"&amp;LEFT(I380,5)&amp;" hrs)  /  LA "&amp;E381&amp;" ("&amp;LEFT(H381,5)&amp;"-"&amp;LEFT(I381,5)&amp;" hrs)"</f>
        <v/>
      </c>
    </row>
    <row r="382">
      <c r="J382" s="7" t="inlineStr">
        <is>
          <t>PSV total:</t>
        </is>
      </c>
      <c r="K382" s="8">
        <f>TEXT(TIMEVALUE(I381)-TIMEVALUE(H380)+(I381&lt;H380),"[h]:mm")</f>
        <v/>
      </c>
    </row>
    <row r="384">
      <c r="B384" s="3" t="inlineStr">
        <is>
          <t>Pairing ID</t>
        </is>
      </c>
      <c r="C384" s="3" t="inlineStr">
        <is>
          <t>FECHA REAL</t>
        </is>
      </c>
      <c r="D384" s="3" t="inlineStr">
        <is>
          <t>Day of Week</t>
        </is>
      </c>
      <c r="E384" s="3" t="inlineStr">
        <is>
          <t>Flight No</t>
        </is>
      </c>
      <c r="F384" s="3" t="inlineStr">
        <is>
          <t>Dep Stn</t>
        </is>
      </c>
      <c r="G384" s="3" t="inlineStr">
        <is>
          <t>Arr Stn</t>
        </is>
      </c>
      <c r="H384" s="3" t="inlineStr">
        <is>
          <t>STD</t>
        </is>
      </c>
      <c r="I384" s="3" t="inlineStr">
        <is>
          <t>STA</t>
        </is>
      </c>
      <c r="J384" s="3" t="inlineStr">
        <is>
          <t>subflota</t>
        </is>
      </c>
      <c r="K384" s="3" t="inlineStr">
        <is>
          <t>Conexion</t>
        </is>
      </c>
      <c r="L384" s="3" t="inlineStr">
        <is>
          <t>HBT</t>
        </is>
      </c>
    </row>
    <row r="385">
      <c r="B385" s="4" t="inlineStr">
        <is>
          <t>485_0</t>
        </is>
      </c>
      <c r="C385" s="4" t="inlineStr">
        <is>
          <t>05/09/2026</t>
        </is>
      </c>
      <c r="D385" s="4" t="inlineStr">
        <is>
          <t>sábado</t>
        </is>
      </c>
      <c r="E385" s="4" t="inlineStr">
        <is>
          <t>2067</t>
        </is>
      </c>
      <c r="F385" s="4" t="inlineStr">
        <is>
          <t>LIM</t>
        </is>
      </c>
      <c r="G385" s="4" t="inlineStr">
        <is>
          <t>TCQ</t>
        </is>
      </c>
      <c r="H385" s="4" t="inlineStr">
        <is>
          <t>13:45:00</t>
        </is>
      </c>
      <c r="I385" s="4" t="inlineStr">
        <is>
          <t>15:35:00</t>
        </is>
      </c>
      <c r="J385" s="4" t="inlineStr">
        <is>
          <t>320</t>
        </is>
      </c>
      <c r="L385" s="4" t="inlineStr">
        <is>
          <t>01:50:00</t>
        </is>
      </c>
      <c r="M385" s="5" t="n"/>
      <c r="O385" s="5" t="n"/>
      <c r="Q385" s="4">
        <f>B385</f>
        <v/>
      </c>
      <c r="R385" s="4">
        <f>C385</f>
        <v/>
      </c>
      <c r="S385" s="4">
        <f>D385</f>
        <v/>
      </c>
      <c r="T385" s="4">
        <f>E385&amp;"/"&amp;E386</f>
        <v/>
      </c>
      <c r="U385" s="4">
        <f>F385&amp;"-"&amp;G385&amp;"-"&amp;F385</f>
        <v/>
      </c>
      <c r="V385" s="4">
        <f>IF($M$385="","",$M$385)</f>
        <v/>
      </c>
      <c r="W385" s="4">
        <f>IF($O$385="","",$O$385)</f>
        <v/>
      </c>
      <c r="X385" s="4">
        <f>J385</f>
        <v/>
      </c>
    </row>
    <row r="386">
      <c r="B386" s="4" t="inlineStr">
        <is>
          <t>485_0</t>
        </is>
      </c>
      <c r="C386" s="4" t="inlineStr">
        <is>
          <t>05/09/2026</t>
        </is>
      </c>
      <c r="D386" s="4" t="inlineStr">
        <is>
          <t>sábado</t>
        </is>
      </c>
      <c r="E386" s="4" t="inlineStr">
        <is>
          <t>2068</t>
        </is>
      </c>
      <c r="F386" s="4" t="inlineStr">
        <is>
          <t>TCQ</t>
        </is>
      </c>
      <c r="G386" s="4" t="inlineStr">
        <is>
          <t>LIM</t>
        </is>
      </c>
      <c r="H386" s="4" t="inlineStr">
        <is>
          <t>16:20:00</t>
        </is>
      </c>
      <c r="I386" s="4" t="inlineStr">
        <is>
          <t>18:15:00</t>
        </is>
      </c>
      <c r="J386" s="4" t="inlineStr">
        <is>
          <t>320</t>
        </is>
      </c>
      <c r="K386">
        <f>TEXT(TIMEVALUE(H386)-TIMEVALUE(I385)+(TIMEVALUE(H386)&lt;TIMEVALUE(I385)),"[h]:mm")</f>
        <v/>
      </c>
      <c r="L386" s="4" t="inlineStr">
        <is>
          <t>01:55:00</t>
        </is>
      </c>
      <c r="O386">
        <f>"LIM-"&amp;G385&amp;"-LIM   LA "&amp;E385&amp;" ("&amp;LEFT(H385,5)&amp;"-"&amp;LEFT(I385,5)&amp;" hrs)  /  LA "&amp;E386&amp;" ("&amp;LEFT(H386,5)&amp;"-"&amp;LEFT(I386,5)&amp;" hrs)"</f>
        <v/>
      </c>
    </row>
    <row r="387">
      <c r="J387" s="7" t="inlineStr">
        <is>
          <t>PSV total:</t>
        </is>
      </c>
      <c r="K387" s="8">
        <f>TEXT(TIMEVALUE(I386)-TIMEVALUE(H385)+(I386&lt;H385),"[h]:mm")</f>
        <v/>
      </c>
    </row>
    <row r="389">
      <c r="B389" s="3" t="inlineStr">
        <is>
          <t>Pairing ID</t>
        </is>
      </c>
      <c r="C389" s="3" t="inlineStr">
        <is>
          <t>FECHA REAL</t>
        </is>
      </c>
      <c r="D389" s="3" t="inlineStr">
        <is>
          <t>Day of Week</t>
        </is>
      </c>
      <c r="E389" s="3" t="inlineStr">
        <is>
          <t>Flight No</t>
        </is>
      </c>
      <c r="F389" s="3" t="inlineStr">
        <is>
          <t>Dep Stn</t>
        </is>
      </c>
      <c r="G389" s="3" t="inlineStr">
        <is>
          <t>Arr Stn</t>
        </is>
      </c>
      <c r="H389" s="3" t="inlineStr">
        <is>
          <t>STD</t>
        </is>
      </c>
      <c r="I389" s="3" t="inlineStr">
        <is>
          <t>STA</t>
        </is>
      </c>
      <c r="J389" s="3" t="inlineStr">
        <is>
          <t>subflota</t>
        </is>
      </c>
      <c r="K389" s="3" t="inlineStr">
        <is>
          <t>Conexion</t>
        </is>
      </c>
      <c r="L389" s="3" t="inlineStr">
        <is>
          <t>HBT</t>
        </is>
      </c>
    </row>
    <row r="390">
      <c r="B390" s="4" t="inlineStr">
        <is>
          <t>487_0</t>
        </is>
      </c>
      <c r="C390" s="4" t="inlineStr">
        <is>
          <t>05/09/2026</t>
        </is>
      </c>
      <c r="D390" s="4" t="inlineStr">
        <is>
          <t>sábado</t>
        </is>
      </c>
      <c r="E390" s="4" t="inlineStr">
        <is>
          <t>2295</t>
        </is>
      </c>
      <c r="F390" s="4" t="inlineStr">
        <is>
          <t>LIM</t>
        </is>
      </c>
      <c r="G390" s="4" t="inlineStr">
        <is>
          <t>CJA</t>
        </is>
      </c>
      <c r="H390" s="4" t="inlineStr">
        <is>
          <t>14:10:00</t>
        </is>
      </c>
      <c r="I390" s="4" t="inlineStr">
        <is>
          <t>15:30:00</t>
        </is>
      </c>
      <c r="J390" s="4" t="inlineStr">
        <is>
          <t>320</t>
        </is>
      </c>
      <c r="L390" s="4" t="inlineStr">
        <is>
          <t>01:20:00</t>
        </is>
      </c>
      <c r="M390" s="5" t="n"/>
      <c r="O390" s="5" t="n"/>
      <c r="Q390" s="4">
        <f>B390</f>
        <v/>
      </c>
      <c r="R390" s="4">
        <f>C390</f>
        <v/>
      </c>
      <c r="S390" s="4">
        <f>D390</f>
        <v/>
      </c>
      <c r="T390" s="4">
        <f>E390&amp;"/"&amp;E391</f>
        <v/>
      </c>
      <c r="U390" s="4">
        <f>F390&amp;"-"&amp;G390&amp;"-"&amp;F390</f>
        <v/>
      </c>
      <c r="V390" s="4">
        <f>IF($M$390="","",$M$390)</f>
        <v/>
      </c>
      <c r="W390" s="4">
        <f>IF($O$390="","",$O$390)</f>
        <v/>
      </c>
      <c r="X390" s="4">
        <f>J390</f>
        <v/>
      </c>
    </row>
    <row r="391">
      <c r="B391" s="4" t="inlineStr">
        <is>
          <t>487_0</t>
        </is>
      </c>
      <c r="C391" s="4" t="inlineStr">
        <is>
          <t>05/09/2026</t>
        </is>
      </c>
      <c r="D391" s="4" t="inlineStr">
        <is>
          <t>sábado</t>
        </is>
      </c>
      <c r="E391" s="4" t="inlineStr">
        <is>
          <t>2294</t>
        </is>
      </c>
      <c r="F391" s="4" t="inlineStr">
        <is>
          <t>CJA</t>
        </is>
      </c>
      <c r="G391" s="4" t="inlineStr">
        <is>
          <t>LIM</t>
        </is>
      </c>
      <c r="H391" s="4" t="inlineStr">
        <is>
          <t>16:10:00</t>
        </is>
      </c>
      <c r="I391" s="4" t="inlineStr">
        <is>
          <t>17:15:00</t>
        </is>
      </c>
      <c r="J391" s="4" t="inlineStr">
        <is>
          <t>320</t>
        </is>
      </c>
      <c r="K391">
        <f>TEXT(TIMEVALUE(H391)-TIMEVALUE(I390)+(TIMEVALUE(H391)&lt;TIMEVALUE(I390)),"[h]:mm")</f>
        <v/>
      </c>
      <c r="L391" s="4" t="inlineStr">
        <is>
          <t>01:05:00</t>
        </is>
      </c>
      <c r="O391">
        <f>"LIM-"&amp;G390&amp;"-LIM   LA "&amp;E390&amp;" ("&amp;LEFT(H390,5)&amp;"-"&amp;LEFT(I390,5)&amp;" hrs)  /  LA "&amp;E391&amp;" ("&amp;LEFT(H391,5)&amp;"-"&amp;LEFT(I391,5)&amp;" hrs)"</f>
        <v/>
      </c>
    </row>
    <row r="392">
      <c r="J392" s="7" t="inlineStr">
        <is>
          <t>PSV total:</t>
        </is>
      </c>
      <c r="K392" s="8">
        <f>TEXT(TIMEVALUE(I391)-TIMEVALUE(H390)+(I391&lt;H390),"[h]:mm")</f>
        <v/>
      </c>
    </row>
    <row r="394">
      <c r="B394" s="3" t="inlineStr">
        <is>
          <t>Pairing ID</t>
        </is>
      </c>
      <c r="C394" s="3" t="inlineStr">
        <is>
          <t>FECHA REAL</t>
        </is>
      </c>
      <c r="D394" s="3" t="inlineStr">
        <is>
          <t>Day of Week</t>
        </is>
      </c>
      <c r="E394" s="3" t="inlineStr">
        <is>
          <t>Flight No</t>
        </is>
      </c>
      <c r="F394" s="3" t="inlineStr">
        <is>
          <t>Dep Stn</t>
        </is>
      </c>
      <c r="G394" s="3" t="inlineStr">
        <is>
          <t>Arr Stn</t>
        </is>
      </c>
      <c r="H394" s="3" t="inlineStr">
        <is>
          <t>STD</t>
        </is>
      </c>
      <c r="I394" s="3" t="inlineStr">
        <is>
          <t>STA</t>
        </is>
      </c>
      <c r="J394" s="3" t="inlineStr">
        <is>
          <t>subflota</t>
        </is>
      </c>
      <c r="K394" s="3" t="inlineStr">
        <is>
          <t>Conexion</t>
        </is>
      </c>
      <c r="L394" s="3" t="inlineStr">
        <is>
          <t>HBT</t>
        </is>
      </c>
    </row>
    <row r="395">
      <c r="B395" s="4" t="inlineStr">
        <is>
          <t>489_0</t>
        </is>
      </c>
      <c r="C395" s="4" t="inlineStr">
        <is>
          <t>05/09/2026</t>
        </is>
      </c>
      <c r="D395" s="4" t="inlineStr">
        <is>
          <t>sábado</t>
        </is>
      </c>
      <c r="E395" s="4" t="inlineStr">
        <is>
          <t>2264</t>
        </is>
      </c>
      <c r="F395" s="4" t="inlineStr">
        <is>
          <t>LIM</t>
        </is>
      </c>
      <c r="G395" s="4" t="inlineStr">
        <is>
          <t>PEM</t>
        </is>
      </c>
      <c r="H395" s="4" t="inlineStr">
        <is>
          <t>14:55:00</t>
        </is>
      </c>
      <c r="I395" s="4" t="inlineStr">
        <is>
          <t>16:40:00</t>
        </is>
      </c>
      <c r="J395" s="4" t="inlineStr">
        <is>
          <t>319</t>
        </is>
      </c>
      <c r="L395" s="4" t="inlineStr">
        <is>
          <t>01:45:00</t>
        </is>
      </c>
      <c r="M395" s="5" t="n"/>
      <c r="O395" s="5" t="n"/>
      <c r="Q395" s="4">
        <f>B395</f>
        <v/>
      </c>
      <c r="R395" s="4">
        <f>C395</f>
        <v/>
      </c>
      <c r="S395" s="4">
        <f>D395</f>
        <v/>
      </c>
      <c r="T395" s="4">
        <f>E395&amp;"/"&amp;E396</f>
        <v/>
      </c>
      <c r="U395" s="4">
        <f>F395&amp;"-"&amp;G395&amp;"-"&amp;F395</f>
        <v/>
      </c>
      <c r="V395" s="4">
        <f>IF($M$395="","",$M$395)</f>
        <v/>
      </c>
      <c r="W395" s="4">
        <f>IF($O$395="","",$O$395)</f>
        <v/>
      </c>
      <c r="X395" s="4">
        <f>J395</f>
        <v/>
      </c>
    </row>
    <row r="396">
      <c r="B396" s="4" t="inlineStr">
        <is>
          <t>489_0</t>
        </is>
      </c>
      <c r="C396" s="4" t="inlineStr">
        <is>
          <t>05/09/2026</t>
        </is>
      </c>
      <c r="D396" s="4" t="inlineStr">
        <is>
          <t>sábado</t>
        </is>
      </c>
      <c r="E396" s="4" t="inlineStr">
        <is>
          <t>2265</t>
        </is>
      </c>
      <c r="F396" s="4" t="inlineStr">
        <is>
          <t>PEM</t>
        </is>
      </c>
      <c r="G396" s="4" t="inlineStr">
        <is>
          <t>LIM</t>
        </is>
      </c>
      <c r="H396" s="4" t="inlineStr">
        <is>
          <t>17:20:00</t>
        </is>
      </c>
      <c r="I396" s="4" t="inlineStr">
        <is>
          <t>18:55:00</t>
        </is>
      </c>
      <c r="J396" s="4" t="inlineStr">
        <is>
          <t>319</t>
        </is>
      </c>
      <c r="K396">
        <f>TEXT(TIMEVALUE(H396)-TIMEVALUE(I395)+(TIMEVALUE(H396)&lt;TIMEVALUE(I395)),"[h]:mm")</f>
        <v/>
      </c>
      <c r="L396" s="4" t="inlineStr">
        <is>
          <t>01:35:00</t>
        </is>
      </c>
      <c r="O396">
        <f>"LIM-"&amp;G395&amp;"-LIM   LA "&amp;E395&amp;" ("&amp;LEFT(H395,5)&amp;"-"&amp;LEFT(I395,5)&amp;" hrs)  /  LA "&amp;E396&amp;" ("&amp;LEFT(H396,5)&amp;"-"&amp;LEFT(I396,5)&amp;" hrs)"</f>
        <v/>
      </c>
    </row>
    <row r="397">
      <c r="J397" s="7" t="inlineStr">
        <is>
          <t>PSV total:</t>
        </is>
      </c>
      <c r="K397" s="8">
        <f>TEXT(TIMEVALUE(I396)-TIMEVALUE(H395)+(I396&lt;H395),"[h]:mm")</f>
        <v/>
      </c>
    </row>
    <row r="399">
      <c r="B399" s="3" t="inlineStr">
        <is>
          <t>Pairing ID</t>
        </is>
      </c>
      <c r="C399" s="3" t="inlineStr">
        <is>
          <t>FECHA REAL</t>
        </is>
      </c>
      <c r="D399" s="3" t="inlineStr">
        <is>
          <t>Day of Week</t>
        </is>
      </c>
      <c r="E399" s="3" t="inlineStr">
        <is>
          <t>Flight No</t>
        </is>
      </c>
      <c r="F399" s="3" t="inlineStr">
        <is>
          <t>Dep Stn</t>
        </is>
      </c>
      <c r="G399" s="3" t="inlineStr">
        <is>
          <t>Arr Stn</t>
        </is>
      </c>
      <c r="H399" s="3" t="inlineStr">
        <is>
          <t>STD</t>
        </is>
      </c>
      <c r="I399" s="3" t="inlineStr">
        <is>
          <t>STA</t>
        </is>
      </c>
      <c r="J399" s="3" t="inlineStr">
        <is>
          <t>subflota</t>
        </is>
      </c>
      <c r="K399" s="3" t="inlineStr">
        <is>
          <t>Conexion</t>
        </is>
      </c>
      <c r="L399" s="3" t="inlineStr">
        <is>
          <t>HBT</t>
        </is>
      </c>
    </row>
    <row r="400">
      <c r="B400" s="4" t="inlineStr">
        <is>
          <t>490_0</t>
        </is>
      </c>
      <c r="C400" s="4" t="inlineStr">
        <is>
          <t>05/09/2026</t>
        </is>
      </c>
      <c r="D400" s="4" t="inlineStr">
        <is>
          <t>sábado</t>
        </is>
      </c>
      <c r="E400" s="4" t="inlineStr">
        <is>
          <t>2338</t>
        </is>
      </c>
      <c r="F400" s="4" t="inlineStr">
        <is>
          <t>LIM</t>
        </is>
      </c>
      <c r="G400" s="4" t="inlineStr">
        <is>
          <t>PIU</t>
        </is>
      </c>
      <c r="H400" s="4" t="inlineStr">
        <is>
          <t>15:00:00</t>
        </is>
      </c>
      <c r="I400" s="4" t="inlineStr">
        <is>
          <t>16:45:00</t>
        </is>
      </c>
      <c r="J400" s="4" t="inlineStr">
        <is>
          <t>320</t>
        </is>
      </c>
      <c r="L400" s="4" t="inlineStr">
        <is>
          <t>01:45:00</t>
        </is>
      </c>
      <c r="M400" s="5" t="n"/>
      <c r="O400" s="5" t="n"/>
      <c r="Q400" s="4">
        <f>B400</f>
        <v/>
      </c>
      <c r="R400" s="4">
        <f>C400</f>
        <v/>
      </c>
      <c r="S400" s="4">
        <f>D400</f>
        <v/>
      </c>
      <c r="T400" s="4">
        <f>E400&amp;"/"&amp;E401</f>
        <v/>
      </c>
      <c r="U400" s="4">
        <f>F400&amp;"-"&amp;G400&amp;"-"&amp;F400</f>
        <v/>
      </c>
      <c r="V400" s="4">
        <f>IF($M$400="","",$M$400)</f>
        <v/>
      </c>
      <c r="W400" s="4">
        <f>IF($O$400="","",$O$400)</f>
        <v/>
      </c>
      <c r="X400" s="4">
        <f>J400</f>
        <v/>
      </c>
    </row>
    <row r="401">
      <c r="B401" s="4" t="inlineStr">
        <is>
          <t>490_0</t>
        </is>
      </c>
      <c r="C401" s="4" t="inlineStr">
        <is>
          <t>05/09/2026</t>
        </is>
      </c>
      <c r="D401" s="4" t="inlineStr">
        <is>
          <t>sábado</t>
        </is>
      </c>
      <c r="E401" s="4" t="inlineStr">
        <is>
          <t>2339</t>
        </is>
      </c>
      <c r="F401" s="4" t="inlineStr">
        <is>
          <t>PIU</t>
        </is>
      </c>
      <c r="G401" s="4" t="inlineStr">
        <is>
          <t>LIM</t>
        </is>
      </c>
      <c r="H401" s="4" t="inlineStr">
        <is>
          <t>17:20:00</t>
        </is>
      </c>
      <c r="I401" s="4" t="inlineStr">
        <is>
          <t>18:50:00</t>
        </is>
      </c>
      <c r="J401" s="4" t="inlineStr">
        <is>
          <t>320</t>
        </is>
      </c>
      <c r="K401">
        <f>TEXT(TIMEVALUE(H401)-TIMEVALUE(I400)+(TIMEVALUE(H401)&lt;TIMEVALUE(I400)),"[h]:mm")</f>
        <v/>
      </c>
      <c r="L401" s="4" t="inlineStr">
        <is>
          <t>01:30:00</t>
        </is>
      </c>
      <c r="O401">
        <f>"LIM-"&amp;G400&amp;"-LIM   LA "&amp;E400&amp;" ("&amp;LEFT(H400,5)&amp;"-"&amp;LEFT(I400,5)&amp;" hrs)  /  LA "&amp;E401&amp;" ("&amp;LEFT(H401,5)&amp;"-"&amp;LEFT(I401,5)&amp;" hrs)"</f>
        <v/>
      </c>
    </row>
    <row r="402">
      <c r="J402" s="7" t="inlineStr">
        <is>
          <t>PSV total:</t>
        </is>
      </c>
      <c r="K402" s="8">
        <f>TEXT(TIMEVALUE(I401)-TIMEVALUE(H400)+(I401&lt;H400),"[h]:mm")</f>
        <v/>
      </c>
    </row>
    <row r="404">
      <c r="B404" s="3" t="inlineStr">
        <is>
          <t>Pairing ID</t>
        </is>
      </c>
      <c r="C404" s="3" t="inlineStr">
        <is>
          <t>FECHA REAL</t>
        </is>
      </c>
      <c r="D404" s="3" t="inlineStr">
        <is>
          <t>Day of Week</t>
        </is>
      </c>
      <c r="E404" s="3" t="inlineStr">
        <is>
          <t>Flight No</t>
        </is>
      </c>
      <c r="F404" s="3" t="inlineStr">
        <is>
          <t>Dep Stn</t>
        </is>
      </c>
      <c r="G404" s="3" t="inlineStr">
        <is>
          <t>Arr Stn</t>
        </is>
      </c>
      <c r="H404" s="3" t="inlineStr">
        <is>
          <t>STD</t>
        </is>
      </c>
      <c r="I404" s="3" t="inlineStr">
        <is>
          <t>STA</t>
        </is>
      </c>
      <c r="J404" s="3" t="inlineStr">
        <is>
          <t>subflota</t>
        </is>
      </c>
      <c r="K404" s="3" t="inlineStr">
        <is>
          <t>Conexion</t>
        </is>
      </c>
      <c r="L404" s="3" t="inlineStr">
        <is>
          <t>HBT</t>
        </is>
      </c>
    </row>
    <row r="405">
      <c r="B405" s="4" t="inlineStr">
        <is>
          <t>496_0</t>
        </is>
      </c>
      <c r="C405" s="4" t="inlineStr">
        <is>
          <t>05/09/2026</t>
        </is>
      </c>
      <c r="D405" s="4" t="inlineStr">
        <is>
          <t>sábado</t>
        </is>
      </c>
      <c r="E405" s="4" t="inlineStr">
        <is>
          <t>2312</t>
        </is>
      </c>
      <c r="F405" s="4" t="inlineStr">
        <is>
          <t>LIM</t>
        </is>
      </c>
      <c r="G405" s="4" t="inlineStr">
        <is>
          <t>CIX</t>
        </is>
      </c>
      <c r="H405" s="4" t="inlineStr">
        <is>
          <t>15:35:00</t>
        </is>
      </c>
      <c r="I405" s="4" t="inlineStr">
        <is>
          <t>17:05:00</t>
        </is>
      </c>
      <c r="J405" s="4" t="inlineStr">
        <is>
          <t>320</t>
        </is>
      </c>
      <c r="L405" s="4" t="inlineStr">
        <is>
          <t>01:30:00</t>
        </is>
      </c>
      <c r="M405" s="5" t="n"/>
      <c r="O405" s="5" t="n"/>
      <c r="Q405" s="4">
        <f>B405</f>
        <v/>
      </c>
      <c r="R405" s="4">
        <f>C405</f>
        <v/>
      </c>
      <c r="S405" s="4">
        <f>D405</f>
        <v/>
      </c>
      <c r="T405" s="4">
        <f>E405&amp;"/"&amp;E406</f>
        <v/>
      </c>
      <c r="U405" s="4">
        <f>F405&amp;"-"&amp;G405&amp;"-"&amp;F405</f>
        <v/>
      </c>
      <c r="V405" s="4">
        <f>IF($M$405="","",$M$405)</f>
        <v/>
      </c>
      <c r="W405" s="4">
        <f>IF($O$405="","",$O$405)</f>
        <v/>
      </c>
      <c r="X405" s="4">
        <f>J405</f>
        <v/>
      </c>
    </row>
    <row r="406">
      <c r="B406" s="4" t="inlineStr">
        <is>
          <t>496_0</t>
        </is>
      </c>
      <c r="C406" s="4" t="inlineStr">
        <is>
          <t>05/09/2026</t>
        </is>
      </c>
      <c r="D406" s="4" t="inlineStr">
        <is>
          <t>sábado</t>
        </is>
      </c>
      <c r="E406" s="4" t="inlineStr">
        <is>
          <t>2313</t>
        </is>
      </c>
      <c r="F406" s="4" t="inlineStr">
        <is>
          <t>CIX</t>
        </is>
      </c>
      <c r="G406" s="4" t="inlineStr">
        <is>
          <t>LIM</t>
        </is>
      </c>
      <c r="H406" s="4" t="inlineStr">
        <is>
          <t>17:50:00</t>
        </is>
      </c>
      <c r="I406" s="4" t="inlineStr">
        <is>
          <t>19:10:00</t>
        </is>
      </c>
      <c r="J406" s="4" t="inlineStr">
        <is>
          <t>320</t>
        </is>
      </c>
      <c r="K406">
        <f>TEXT(TIMEVALUE(H406)-TIMEVALUE(I405)+(TIMEVALUE(H406)&lt;TIMEVALUE(I405)),"[h]:mm")</f>
        <v/>
      </c>
      <c r="L406" s="4" t="inlineStr">
        <is>
          <t>01:20:00</t>
        </is>
      </c>
      <c r="O406">
        <f>"LIM-"&amp;G405&amp;"-LIM   LA "&amp;E405&amp;" ("&amp;LEFT(H405,5)&amp;"-"&amp;LEFT(I405,5)&amp;" hrs)  /  LA "&amp;E406&amp;" ("&amp;LEFT(H406,5)&amp;"-"&amp;LEFT(I406,5)&amp;" hrs)"</f>
        <v/>
      </c>
    </row>
    <row r="407">
      <c r="J407" s="7" t="inlineStr">
        <is>
          <t>PSV total:</t>
        </is>
      </c>
      <c r="K407" s="8">
        <f>TEXT(TIMEVALUE(I406)-TIMEVALUE(H405)+(I406&lt;H405),"[h]:mm")</f>
        <v/>
      </c>
    </row>
    <row r="409">
      <c r="B409" s="3" t="inlineStr">
        <is>
          <t>Pairing ID</t>
        </is>
      </c>
      <c r="C409" s="3" t="inlineStr">
        <is>
          <t>FECHA REAL</t>
        </is>
      </c>
      <c r="D409" s="3" t="inlineStr">
        <is>
          <t>Day of Week</t>
        </is>
      </c>
      <c r="E409" s="3" t="inlineStr">
        <is>
          <t>Flight No</t>
        </is>
      </c>
      <c r="F409" s="3" t="inlineStr">
        <is>
          <t>Dep Stn</t>
        </is>
      </c>
      <c r="G409" s="3" t="inlineStr">
        <is>
          <t>Arr Stn</t>
        </is>
      </c>
      <c r="H409" s="3" t="inlineStr">
        <is>
          <t>STD</t>
        </is>
      </c>
      <c r="I409" s="3" t="inlineStr">
        <is>
          <t>STA</t>
        </is>
      </c>
      <c r="J409" s="3" t="inlineStr">
        <is>
          <t>subflota</t>
        </is>
      </c>
      <c r="K409" s="3" t="inlineStr">
        <is>
          <t>Conexion</t>
        </is>
      </c>
      <c r="L409" s="3" t="inlineStr">
        <is>
          <t>HBT</t>
        </is>
      </c>
    </row>
    <row r="410">
      <c r="B410" s="4" t="inlineStr">
        <is>
          <t>497_0</t>
        </is>
      </c>
      <c r="C410" s="4" t="inlineStr">
        <is>
          <t>05/09/2026</t>
        </is>
      </c>
      <c r="D410" s="4" t="inlineStr">
        <is>
          <t>sábado</t>
        </is>
      </c>
      <c r="E410" s="4" t="inlineStr">
        <is>
          <t>2301</t>
        </is>
      </c>
      <c r="F410" s="4" t="inlineStr">
        <is>
          <t>LIM</t>
        </is>
      </c>
      <c r="G410" s="4" t="inlineStr">
        <is>
          <t>TPP</t>
        </is>
      </c>
      <c r="H410" s="4" t="inlineStr">
        <is>
          <t>15:40:00</t>
        </is>
      </c>
      <c r="I410" s="4" t="inlineStr">
        <is>
          <t>17:05:00</t>
        </is>
      </c>
      <c r="J410" s="4" t="inlineStr">
        <is>
          <t>320</t>
        </is>
      </c>
      <c r="L410" s="4" t="inlineStr">
        <is>
          <t>01:25:00</t>
        </is>
      </c>
      <c r="M410" s="5" t="n"/>
      <c r="O410" s="5" t="n"/>
      <c r="Q410" s="4">
        <f>B410</f>
        <v/>
      </c>
      <c r="R410" s="4">
        <f>C410</f>
        <v/>
      </c>
      <c r="S410" s="4">
        <f>D410</f>
        <v/>
      </c>
      <c r="T410" s="4">
        <f>E410&amp;"/"&amp;E411</f>
        <v/>
      </c>
      <c r="U410" s="4">
        <f>F410&amp;"-"&amp;G410&amp;"-"&amp;F410</f>
        <v/>
      </c>
      <c r="V410" s="4">
        <f>IF($M$410="","",$M$410)</f>
        <v/>
      </c>
      <c r="W410" s="4">
        <f>IF($O$410="","",$O$410)</f>
        <v/>
      </c>
      <c r="X410" s="4">
        <f>J410</f>
        <v/>
      </c>
    </row>
    <row r="411">
      <c r="B411" s="4" t="inlineStr">
        <is>
          <t>497_0</t>
        </is>
      </c>
      <c r="C411" s="4" t="inlineStr">
        <is>
          <t>05/09/2026</t>
        </is>
      </c>
      <c r="D411" s="4" t="inlineStr">
        <is>
          <t>sábado</t>
        </is>
      </c>
      <c r="E411" s="4" t="inlineStr">
        <is>
          <t>2300</t>
        </is>
      </c>
      <c r="F411" s="4" t="inlineStr">
        <is>
          <t>TPP</t>
        </is>
      </c>
      <c r="G411" s="4" t="inlineStr">
        <is>
          <t>LIM</t>
        </is>
      </c>
      <c r="H411" s="4" t="inlineStr">
        <is>
          <t>17:50:00</t>
        </is>
      </c>
      <c r="I411" s="4" t="inlineStr">
        <is>
          <t>19:20:00</t>
        </is>
      </c>
      <c r="J411" s="4" t="inlineStr">
        <is>
          <t>320</t>
        </is>
      </c>
      <c r="K411">
        <f>TEXT(TIMEVALUE(H411)-TIMEVALUE(I410)+(TIMEVALUE(H411)&lt;TIMEVALUE(I410)),"[h]:mm")</f>
        <v/>
      </c>
      <c r="L411" s="4" t="inlineStr">
        <is>
          <t>01:30:00</t>
        </is>
      </c>
      <c r="O411">
        <f>"LIM-"&amp;G410&amp;"-LIM   LA "&amp;E410&amp;" ("&amp;LEFT(H410,5)&amp;"-"&amp;LEFT(I410,5)&amp;" hrs)  /  LA "&amp;E411&amp;" ("&amp;LEFT(H411,5)&amp;"-"&amp;LEFT(I411,5)&amp;" hrs)"</f>
        <v/>
      </c>
    </row>
    <row r="412">
      <c r="J412" s="7" t="inlineStr">
        <is>
          <t>PSV total:</t>
        </is>
      </c>
      <c r="K412" s="8">
        <f>TEXT(TIMEVALUE(I411)-TIMEVALUE(H410)+(I411&lt;H410),"[h]:mm")</f>
        <v/>
      </c>
    </row>
    <row r="414">
      <c r="B414" s="3" t="inlineStr">
        <is>
          <t>Pairing ID</t>
        </is>
      </c>
      <c r="C414" s="3" t="inlineStr">
        <is>
          <t>FECHA REAL</t>
        </is>
      </c>
      <c r="D414" s="3" t="inlineStr">
        <is>
          <t>Day of Week</t>
        </is>
      </c>
      <c r="E414" s="3" t="inlineStr">
        <is>
          <t>Flight No</t>
        </is>
      </c>
      <c r="F414" s="3" t="inlineStr">
        <is>
          <t>Dep Stn</t>
        </is>
      </c>
      <c r="G414" s="3" t="inlineStr">
        <is>
          <t>Arr Stn</t>
        </is>
      </c>
      <c r="H414" s="3" t="inlineStr">
        <is>
          <t>STD</t>
        </is>
      </c>
      <c r="I414" s="3" t="inlineStr">
        <is>
          <t>STA</t>
        </is>
      </c>
      <c r="J414" s="3" t="inlineStr">
        <is>
          <t>subflota</t>
        </is>
      </c>
      <c r="K414" s="3" t="inlineStr">
        <is>
          <t>Conexion</t>
        </is>
      </c>
      <c r="L414" s="3" t="inlineStr">
        <is>
          <t>HBT</t>
        </is>
      </c>
    </row>
    <row r="415">
      <c r="B415" s="4" t="inlineStr">
        <is>
          <t>552_0</t>
        </is>
      </c>
      <c r="C415" s="4" t="inlineStr">
        <is>
          <t>06/09/2026</t>
        </is>
      </c>
      <c r="D415" s="4" t="inlineStr">
        <is>
          <t>domingo</t>
        </is>
      </c>
      <c r="E415" s="4" t="inlineStr">
        <is>
          <t>2052</t>
        </is>
      </c>
      <c r="F415" s="4" t="inlineStr">
        <is>
          <t>LIM</t>
        </is>
      </c>
      <c r="G415" s="4" t="inlineStr">
        <is>
          <t>TBP</t>
        </is>
      </c>
      <c r="H415" s="4" t="inlineStr">
        <is>
          <t>10:20:00</t>
        </is>
      </c>
      <c r="I415" s="4" t="inlineStr">
        <is>
          <t>12:15:00</t>
        </is>
      </c>
      <c r="J415" s="4" t="inlineStr">
        <is>
          <t>320</t>
        </is>
      </c>
      <c r="L415" s="4" t="inlineStr">
        <is>
          <t>01:55:00</t>
        </is>
      </c>
      <c r="M415" s="5" t="n"/>
      <c r="O415" s="5" t="n"/>
      <c r="Q415" s="4">
        <f>B415</f>
        <v/>
      </c>
      <c r="R415" s="4">
        <f>C415</f>
        <v/>
      </c>
      <c r="S415" s="4">
        <f>D415</f>
        <v/>
      </c>
      <c r="T415" s="4">
        <f>E415&amp;"/"&amp;E416</f>
        <v/>
      </c>
      <c r="U415" s="4">
        <f>F415&amp;"-"&amp;G415&amp;"-"&amp;F415</f>
        <v/>
      </c>
      <c r="V415" s="4">
        <f>IF($M$415="","",$M$415)</f>
        <v/>
      </c>
      <c r="W415" s="4">
        <f>IF($O$415="","",$O$415)</f>
        <v/>
      </c>
      <c r="X415" s="4">
        <f>J415</f>
        <v/>
      </c>
    </row>
    <row r="416">
      <c r="B416" s="4" t="inlineStr">
        <is>
          <t>552_0</t>
        </is>
      </c>
      <c r="C416" s="4" t="inlineStr">
        <is>
          <t>06/09/2026</t>
        </is>
      </c>
      <c r="D416" s="4" t="inlineStr">
        <is>
          <t>domingo</t>
        </is>
      </c>
      <c r="E416" s="4" t="inlineStr">
        <is>
          <t>2051</t>
        </is>
      </c>
      <c r="F416" s="4" t="inlineStr">
        <is>
          <t>TBP</t>
        </is>
      </c>
      <c r="G416" s="4" t="inlineStr">
        <is>
          <t>LIM</t>
        </is>
      </c>
      <c r="H416" s="4" t="inlineStr">
        <is>
          <t>12:55:00</t>
        </is>
      </c>
      <c r="I416" s="4" t="inlineStr">
        <is>
          <t>14:35:00</t>
        </is>
      </c>
      <c r="J416" s="4" t="inlineStr">
        <is>
          <t>320</t>
        </is>
      </c>
      <c r="K416">
        <f>TEXT(TIMEVALUE(H416)-TIMEVALUE(I415)+(TIMEVALUE(H416)&lt;TIMEVALUE(I415)),"[h]:mm")</f>
        <v/>
      </c>
      <c r="L416" s="4" t="inlineStr">
        <is>
          <t>01:40:00</t>
        </is>
      </c>
      <c r="O416">
        <f>"LIM-"&amp;G415&amp;"-LIM   LA "&amp;E415&amp;" ("&amp;LEFT(H415,5)&amp;"-"&amp;LEFT(I415,5)&amp;" hrs)  /  LA "&amp;E416&amp;" ("&amp;LEFT(H416,5)&amp;"-"&amp;LEFT(I416,5)&amp;" hrs)"</f>
        <v/>
      </c>
    </row>
    <row r="417">
      <c r="B417" s="4" t="inlineStr">
        <is>
          <t>576_0</t>
        </is>
      </c>
      <c r="C417" s="4" t="inlineStr">
        <is>
          <t>06/09/2026</t>
        </is>
      </c>
      <c r="D417" s="4" t="inlineStr">
        <is>
          <t>domingo</t>
        </is>
      </c>
      <c r="E417" s="4" t="inlineStr">
        <is>
          <t>2312</t>
        </is>
      </c>
      <c r="F417" s="4" t="inlineStr">
        <is>
          <t>LIM</t>
        </is>
      </c>
      <c r="G417" s="4" t="inlineStr">
        <is>
          <t>CIX</t>
        </is>
      </c>
      <c r="H417" s="4" t="inlineStr">
        <is>
          <t>15:35:00</t>
        </is>
      </c>
      <c r="I417" s="4" t="inlineStr">
        <is>
          <t>17:05:00</t>
        </is>
      </c>
      <c r="J417" s="4" t="inlineStr">
        <is>
          <t>319</t>
        </is>
      </c>
      <c r="K417" s="6">
        <f>TEXT(TIMEVALUE(H417)-TIMEVALUE(I416)+(TIMEVALUE(H417)&lt;TIMEVALUE(I416)),"[h]:mm")</f>
        <v/>
      </c>
      <c r="L417" s="4" t="inlineStr">
        <is>
          <t>01:30:00</t>
        </is>
      </c>
      <c r="M417">
        <f>IF($M$415="","",$M$415)</f>
        <v/>
      </c>
      <c r="O417">
        <f>IF($O$415="","",$O$415)</f>
        <v/>
      </c>
      <c r="Q417" s="4">
        <f>B417</f>
        <v/>
      </c>
      <c r="R417" s="4">
        <f>C417</f>
        <v/>
      </c>
      <c r="S417" s="4">
        <f>D417</f>
        <v/>
      </c>
      <c r="T417" s="4">
        <f>E417&amp;"/"&amp;E418</f>
        <v/>
      </c>
      <c r="U417" s="4">
        <f>F417&amp;"-"&amp;G417&amp;"-"&amp;F417</f>
        <v/>
      </c>
      <c r="V417" s="4">
        <f>IF($M$415="","",$M$415)</f>
        <v/>
      </c>
      <c r="W417" s="4">
        <f>IF($O$415="","",$O$415)</f>
        <v/>
      </c>
      <c r="X417" s="4">
        <f>J417</f>
        <v/>
      </c>
    </row>
    <row r="418">
      <c r="B418" s="4" t="inlineStr">
        <is>
          <t>576_0</t>
        </is>
      </c>
      <c r="C418" s="4" t="inlineStr">
        <is>
          <t>06/09/2026</t>
        </is>
      </c>
      <c r="D418" s="4" t="inlineStr">
        <is>
          <t>domingo</t>
        </is>
      </c>
      <c r="E418" s="4" t="inlineStr">
        <is>
          <t>2313</t>
        </is>
      </c>
      <c r="F418" s="4" t="inlineStr">
        <is>
          <t>CIX</t>
        </is>
      </c>
      <c r="G418" s="4" t="inlineStr">
        <is>
          <t>LIM</t>
        </is>
      </c>
      <c r="H418" s="4" t="inlineStr">
        <is>
          <t>17:50:00</t>
        </is>
      </c>
      <c r="I418" s="4" t="inlineStr">
        <is>
          <t>19:10:00</t>
        </is>
      </c>
      <c r="J418" s="4" t="inlineStr">
        <is>
          <t>319</t>
        </is>
      </c>
      <c r="K418">
        <f>TEXT(TIMEVALUE(H418)-TIMEVALUE(I417)+(TIMEVALUE(H418)&lt;TIMEVALUE(I417)),"[h]:mm")</f>
        <v/>
      </c>
      <c r="L418" s="4" t="inlineStr">
        <is>
          <t>01:20:00</t>
        </is>
      </c>
      <c r="O418">
        <f>"LIM-"&amp;G417&amp;"-LIM   LA "&amp;E417&amp;" ("&amp;LEFT(H417,5)&amp;"-"&amp;LEFT(I417,5)&amp;" hrs)  /  LA "&amp;E418&amp;" ("&amp;LEFT(H418,5)&amp;"-"&amp;LEFT(I418,5)&amp;" hrs)"</f>
        <v/>
      </c>
    </row>
    <row r="419">
      <c r="J419" s="7" t="inlineStr">
        <is>
          <t>PSV total:</t>
        </is>
      </c>
      <c r="K419" s="8">
        <f>TEXT(TIMEVALUE(I418)-TIMEVALUE(H415)+(I418&lt;H415),"[h]:mm")</f>
        <v/>
      </c>
    </row>
    <row r="421">
      <c r="B421" s="3" t="inlineStr">
        <is>
          <t>Pairing ID</t>
        </is>
      </c>
      <c r="C421" s="3" t="inlineStr">
        <is>
          <t>FECHA REAL</t>
        </is>
      </c>
      <c r="D421" s="3" t="inlineStr">
        <is>
          <t>Day of Week</t>
        </is>
      </c>
      <c r="E421" s="3" t="inlineStr">
        <is>
          <t>Flight No</t>
        </is>
      </c>
      <c r="F421" s="3" t="inlineStr">
        <is>
          <t>Dep Stn</t>
        </is>
      </c>
      <c r="G421" s="3" t="inlineStr">
        <is>
          <t>Arr Stn</t>
        </is>
      </c>
      <c r="H421" s="3" t="inlineStr">
        <is>
          <t>STD</t>
        </is>
      </c>
      <c r="I421" s="3" t="inlineStr">
        <is>
          <t>STA</t>
        </is>
      </c>
      <c r="J421" s="3" t="inlineStr">
        <is>
          <t>subflota</t>
        </is>
      </c>
      <c r="K421" s="3" t="inlineStr">
        <is>
          <t>Conexion</t>
        </is>
      </c>
      <c r="L421" s="3" t="inlineStr">
        <is>
          <t>HBT</t>
        </is>
      </c>
    </row>
    <row r="422">
      <c r="B422" s="4" t="inlineStr">
        <is>
          <t>553_0</t>
        </is>
      </c>
      <c r="C422" s="4" t="inlineStr">
        <is>
          <t>06/09/2026</t>
        </is>
      </c>
      <c r="D422" s="4" t="inlineStr">
        <is>
          <t>domingo</t>
        </is>
      </c>
      <c r="E422" s="4" t="inlineStr">
        <is>
          <t>2350</t>
        </is>
      </c>
      <c r="F422" s="4" t="inlineStr">
        <is>
          <t>LIM</t>
        </is>
      </c>
      <c r="G422" s="4" t="inlineStr">
        <is>
          <t>CJA</t>
        </is>
      </c>
      <c r="H422" s="4" t="inlineStr">
        <is>
          <t>10:40:00</t>
        </is>
      </c>
      <c r="I422" s="4" t="inlineStr">
        <is>
          <t>12:00:00</t>
        </is>
      </c>
      <c r="J422" s="4" t="inlineStr">
        <is>
          <t>320</t>
        </is>
      </c>
      <c r="L422" s="4" t="inlineStr">
        <is>
          <t>01:20:00</t>
        </is>
      </c>
      <c r="M422" s="5" t="n"/>
      <c r="O422" s="5" t="n"/>
      <c r="Q422" s="4">
        <f>B422</f>
        <v/>
      </c>
      <c r="R422" s="4">
        <f>C422</f>
        <v/>
      </c>
      <c r="S422" s="4">
        <f>D422</f>
        <v/>
      </c>
      <c r="T422" s="4">
        <f>E422&amp;"/"&amp;E423</f>
        <v/>
      </c>
      <c r="U422" s="4">
        <f>F422&amp;"-"&amp;G422&amp;"-"&amp;F422</f>
        <v/>
      </c>
      <c r="V422" s="4">
        <f>IF($M$422="","",$M$422)</f>
        <v/>
      </c>
      <c r="W422" s="4">
        <f>IF($O$422="","",$O$422)</f>
        <v/>
      </c>
      <c r="X422" s="4">
        <f>J422</f>
        <v/>
      </c>
    </row>
    <row r="423">
      <c r="B423" s="4" t="inlineStr">
        <is>
          <t>553_0</t>
        </is>
      </c>
      <c r="C423" s="4" t="inlineStr">
        <is>
          <t>06/09/2026</t>
        </is>
      </c>
      <c r="D423" s="4" t="inlineStr">
        <is>
          <t>domingo</t>
        </is>
      </c>
      <c r="E423" s="4" t="inlineStr">
        <is>
          <t>2351</t>
        </is>
      </c>
      <c r="F423" s="4" t="inlineStr">
        <is>
          <t>CJA</t>
        </is>
      </c>
      <c r="G423" s="4" t="inlineStr">
        <is>
          <t>LIM</t>
        </is>
      </c>
      <c r="H423" s="4" t="inlineStr">
        <is>
          <t>12:50:00</t>
        </is>
      </c>
      <c r="I423" s="4" t="inlineStr">
        <is>
          <t>14:00:00</t>
        </is>
      </c>
      <c r="J423" s="4" t="inlineStr">
        <is>
          <t>320</t>
        </is>
      </c>
      <c r="K423">
        <f>TEXT(TIMEVALUE(H423)-TIMEVALUE(I422)+(TIMEVALUE(H423)&lt;TIMEVALUE(I422)),"[h]:mm")</f>
        <v/>
      </c>
      <c r="L423" s="4" t="inlineStr">
        <is>
          <t>01:10:00</t>
        </is>
      </c>
      <c r="O423">
        <f>"LIM-"&amp;G422&amp;"-LIM   LA "&amp;E422&amp;" ("&amp;LEFT(H422,5)&amp;"-"&amp;LEFT(I422,5)&amp;" hrs)  /  LA "&amp;E423&amp;" ("&amp;LEFT(H423,5)&amp;"-"&amp;LEFT(I423,5)&amp;" hrs)"</f>
        <v/>
      </c>
    </row>
    <row r="424">
      <c r="B424" s="4" t="inlineStr">
        <is>
          <t>571_0</t>
        </is>
      </c>
      <c r="C424" s="4" t="inlineStr">
        <is>
          <t>06/09/2026</t>
        </is>
      </c>
      <c r="D424" s="4" t="inlineStr">
        <is>
          <t>domingo</t>
        </is>
      </c>
      <c r="E424" s="4" t="inlineStr">
        <is>
          <t>2248</t>
        </is>
      </c>
      <c r="F424" s="4" t="inlineStr">
        <is>
          <t>LIM</t>
        </is>
      </c>
      <c r="G424" s="4" t="inlineStr">
        <is>
          <t>CUZ</t>
        </is>
      </c>
      <c r="H424" s="4" t="inlineStr">
        <is>
          <t>15:00:00</t>
        </is>
      </c>
      <c r="I424" s="4" t="inlineStr">
        <is>
          <t>16:20:00</t>
        </is>
      </c>
      <c r="J424" s="4" t="inlineStr">
        <is>
          <t>320</t>
        </is>
      </c>
      <c r="K424" s="6">
        <f>TEXT(TIMEVALUE(H424)-TIMEVALUE(I423)+(TIMEVALUE(H424)&lt;TIMEVALUE(I423)),"[h]:mm")</f>
        <v/>
      </c>
      <c r="L424" s="4" t="inlineStr">
        <is>
          <t>01:20:00</t>
        </is>
      </c>
      <c r="M424">
        <f>IF($M$422="","",$M$422)</f>
        <v/>
      </c>
      <c r="O424">
        <f>IF($O$422="","",$O$422)</f>
        <v/>
      </c>
      <c r="Q424" s="4">
        <f>B424</f>
        <v/>
      </c>
      <c r="R424" s="4">
        <f>C424</f>
        <v/>
      </c>
      <c r="S424" s="4">
        <f>D424</f>
        <v/>
      </c>
      <c r="T424" s="4">
        <f>E424&amp;"/"&amp;E425</f>
        <v/>
      </c>
      <c r="U424" s="4">
        <f>F424&amp;"-"&amp;G424&amp;"-"&amp;F424</f>
        <v/>
      </c>
      <c r="V424" s="4">
        <f>IF($M$422="","",$M$422)</f>
        <v/>
      </c>
      <c r="W424" s="4">
        <f>IF($O$422="","",$O$422)</f>
        <v/>
      </c>
      <c r="X424" s="4">
        <f>J424</f>
        <v/>
      </c>
    </row>
    <row r="425">
      <c r="B425" s="4" t="inlineStr">
        <is>
          <t>571_0</t>
        </is>
      </c>
      <c r="C425" s="4" t="inlineStr">
        <is>
          <t>06/09/2026</t>
        </is>
      </c>
      <c r="D425" s="4" t="inlineStr">
        <is>
          <t>domingo</t>
        </is>
      </c>
      <c r="E425" s="4" t="inlineStr">
        <is>
          <t>2025</t>
        </is>
      </c>
      <c r="F425" s="4" t="inlineStr">
        <is>
          <t>CUZ</t>
        </is>
      </c>
      <c r="G425" s="4" t="inlineStr">
        <is>
          <t>LIM</t>
        </is>
      </c>
      <c r="H425" s="4" t="inlineStr">
        <is>
          <t>16:55:00</t>
        </is>
      </c>
      <c r="I425" s="4" t="inlineStr">
        <is>
          <t>18:30:00</t>
        </is>
      </c>
      <c r="J425" s="4" t="inlineStr">
        <is>
          <t>320</t>
        </is>
      </c>
      <c r="K425">
        <f>TEXT(TIMEVALUE(H425)-TIMEVALUE(I424)+(TIMEVALUE(H425)&lt;TIMEVALUE(I424)),"[h]:mm")</f>
        <v/>
      </c>
      <c r="L425" s="4" t="inlineStr">
        <is>
          <t>01:35:00</t>
        </is>
      </c>
      <c r="O425">
        <f>"LIM-"&amp;G424&amp;"-LIM   LA "&amp;E424&amp;" ("&amp;LEFT(H424,5)&amp;"-"&amp;LEFT(I424,5)&amp;" hrs)  /  LA "&amp;E425&amp;" ("&amp;LEFT(H425,5)&amp;"-"&amp;LEFT(I425,5)&amp;" hrs)"</f>
        <v/>
      </c>
    </row>
    <row r="426">
      <c r="J426" s="7" t="inlineStr">
        <is>
          <t>PSV total:</t>
        </is>
      </c>
      <c r="K426" s="8">
        <f>TEXT(TIMEVALUE(I425)-TIMEVALUE(H422)+(I425&lt;H422),"[h]:mm")</f>
        <v/>
      </c>
    </row>
    <row r="428">
      <c r="B428" s="3" t="inlineStr">
        <is>
          <t>Pairing ID</t>
        </is>
      </c>
      <c r="C428" s="3" t="inlineStr">
        <is>
          <t>FECHA REAL</t>
        </is>
      </c>
      <c r="D428" s="3" t="inlineStr">
        <is>
          <t>Day of Week</t>
        </is>
      </c>
      <c r="E428" s="3" t="inlineStr">
        <is>
          <t>Flight No</t>
        </is>
      </c>
      <c r="F428" s="3" t="inlineStr">
        <is>
          <t>Dep Stn</t>
        </is>
      </c>
      <c r="G428" s="3" t="inlineStr">
        <is>
          <t>Arr Stn</t>
        </is>
      </c>
      <c r="H428" s="3" t="inlineStr">
        <is>
          <t>STD</t>
        </is>
      </c>
      <c r="I428" s="3" t="inlineStr">
        <is>
          <t>STA</t>
        </is>
      </c>
      <c r="J428" s="3" t="inlineStr">
        <is>
          <t>subflota</t>
        </is>
      </c>
      <c r="K428" s="3" t="inlineStr">
        <is>
          <t>Conexion</t>
        </is>
      </c>
      <c r="L428" s="3" t="inlineStr">
        <is>
          <t>HBT</t>
        </is>
      </c>
    </row>
    <row r="429">
      <c r="B429" s="4" t="inlineStr">
        <is>
          <t>559_0</t>
        </is>
      </c>
      <c r="C429" s="4" t="inlineStr">
        <is>
          <t>06/09/2026</t>
        </is>
      </c>
      <c r="D429" s="4" t="inlineStr">
        <is>
          <t>domingo</t>
        </is>
      </c>
      <c r="E429" s="4" t="inlineStr">
        <is>
          <t>2023</t>
        </is>
      </c>
      <c r="F429" s="4" t="inlineStr">
        <is>
          <t>LIM</t>
        </is>
      </c>
      <c r="G429" s="4" t="inlineStr">
        <is>
          <t>PEM</t>
        </is>
      </c>
      <c r="H429" s="4" t="inlineStr">
        <is>
          <t>12:15:00</t>
        </is>
      </c>
      <c r="I429" s="4" t="inlineStr">
        <is>
          <t>13:55:00</t>
        </is>
      </c>
      <c r="J429" s="4" t="inlineStr">
        <is>
          <t>320</t>
        </is>
      </c>
      <c r="L429" s="4" t="inlineStr">
        <is>
          <t>01:40:00</t>
        </is>
      </c>
      <c r="M429" s="5" t="n"/>
      <c r="O429" s="5" t="n"/>
      <c r="Q429" s="4">
        <f>B429</f>
        <v/>
      </c>
      <c r="R429" s="4">
        <f>C429</f>
        <v/>
      </c>
      <c r="S429" s="4">
        <f>D429</f>
        <v/>
      </c>
      <c r="T429" s="4">
        <f>E429&amp;"/"&amp;E430</f>
        <v/>
      </c>
      <c r="U429" s="4">
        <f>F429&amp;"-"&amp;G429&amp;"-"&amp;F429</f>
        <v/>
      </c>
      <c r="V429" s="4">
        <f>IF($M$429="","",$M$429)</f>
        <v/>
      </c>
      <c r="W429" s="4">
        <f>IF($O$429="","",$O$429)</f>
        <v/>
      </c>
      <c r="X429" s="4">
        <f>J429</f>
        <v/>
      </c>
    </row>
    <row r="430">
      <c r="B430" s="4" t="inlineStr">
        <is>
          <t>559_0</t>
        </is>
      </c>
      <c r="C430" s="4" t="inlineStr">
        <is>
          <t>06/09/2026</t>
        </is>
      </c>
      <c r="D430" s="4" t="inlineStr">
        <is>
          <t>domingo</t>
        </is>
      </c>
      <c r="E430" s="4" t="inlineStr">
        <is>
          <t>2024</t>
        </is>
      </c>
      <c r="F430" s="4" t="inlineStr">
        <is>
          <t>PEM</t>
        </is>
      </c>
      <c r="G430" s="4" t="inlineStr">
        <is>
          <t>LIM</t>
        </is>
      </c>
      <c r="H430" s="4" t="inlineStr">
        <is>
          <t>14:35:00</t>
        </is>
      </c>
      <c r="I430" s="4" t="inlineStr">
        <is>
          <t>16:10:00</t>
        </is>
      </c>
      <c r="J430" s="4" t="inlineStr">
        <is>
          <t>320</t>
        </is>
      </c>
      <c r="K430">
        <f>TEXT(TIMEVALUE(H430)-TIMEVALUE(I429)+(TIMEVALUE(H430)&lt;TIMEVALUE(I429)),"[h]:mm")</f>
        <v/>
      </c>
      <c r="L430" s="4" t="inlineStr">
        <is>
          <t>01:35:00</t>
        </is>
      </c>
      <c r="O430">
        <f>"LIM-"&amp;G429&amp;"-LIM   LA "&amp;E429&amp;" ("&amp;LEFT(H429,5)&amp;"-"&amp;LEFT(I429,5)&amp;" hrs)  /  LA "&amp;E430&amp;" ("&amp;LEFT(H430,5)&amp;"-"&amp;LEFT(I430,5)&amp;" hrs)"</f>
        <v/>
      </c>
    </row>
    <row r="431">
      <c r="B431" s="4" t="inlineStr">
        <is>
          <t>582_0</t>
        </is>
      </c>
      <c r="C431" s="4" t="inlineStr">
        <is>
          <t>06/09/2026</t>
        </is>
      </c>
      <c r="D431" s="4" t="inlineStr">
        <is>
          <t>domingo</t>
        </is>
      </c>
      <c r="E431" s="4" t="inlineStr">
        <is>
          <t>2213</t>
        </is>
      </c>
      <c r="F431" s="4" t="inlineStr">
        <is>
          <t>LIM</t>
        </is>
      </c>
      <c r="G431" s="4" t="inlineStr">
        <is>
          <t>CIX</t>
        </is>
      </c>
      <c r="H431" s="4" t="inlineStr">
        <is>
          <t>17:20:00</t>
        </is>
      </c>
      <c r="I431" s="4" t="inlineStr">
        <is>
          <t>18:50:00</t>
        </is>
      </c>
      <c r="J431" s="4" t="inlineStr">
        <is>
          <t>320</t>
        </is>
      </c>
      <c r="K431" s="6">
        <f>TEXT(TIMEVALUE(H431)-TIMEVALUE(I430)+(TIMEVALUE(H431)&lt;TIMEVALUE(I430)),"[h]:mm")</f>
        <v/>
      </c>
      <c r="L431" s="4" t="inlineStr">
        <is>
          <t>01:30:00</t>
        </is>
      </c>
      <c r="M431">
        <f>IF($M$429="","",$M$429)</f>
        <v/>
      </c>
      <c r="O431">
        <f>IF($O$429="","",$O$429)</f>
        <v/>
      </c>
      <c r="Q431" s="4">
        <f>B431</f>
        <v/>
      </c>
      <c r="R431" s="4">
        <f>C431</f>
        <v/>
      </c>
      <c r="S431" s="4">
        <f>D431</f>
        <v/>
      </c>
      <c r="T431" s="4">
        <f>E431&amp;"/"&amp;E432</f>
        <v/>
      </c>
      <c r="U431" s="4">
        <f>F431&amp;"-"&amp;G431&amp;"-"&amp;F431</f>
        <v/>
      </c>
      <c r="V431" s="4">
        <f>IF($M$429="","",$M$429)</f>
        <v/>
      </c>
      <c r="W431" s="4">
        <f>IF($O$429="","",$O$429)</f>
        <v/>
      </c>
      <c r="X431" s="4">
        <f>J431</f>
        <v/>
      </c>
    </row>
    <row r="432">
      <c r="B432" s="4" t="inlineStr">
        <is>
          <t>582_0</t>
        </is>
      </c>
      <c r="C432" s="4" t="inlineStr">
        <is>
          <t>06/09/2026</t>
        </is>
      </c>
      <c r="D432" s="4" t="inlineStr">
        <is>
          <t>domingo</t>
        </is>
      </c>
      <c r="E432" s="4" t="inlineStr">
        <is>
          <t>2214</t>
        </is>
      </c>
      <c r="F432" s="4" t="inlineStr">
        <is>
          <t>CIX</t>
        </is>
      </c>
      <c r="G432" s="4" t="inlineStr">
        <is>
          <t>LIM</t>
        </is>
      </c>
      <c r="H432" s="4" t="inlineStr">
        <is>
          <t>19:25:00</t>
        </is>
      </c>
      <c r="I432" s="4" t="inlineStr">
        <is>
          <t>20:40:00</t>
        </is>
      </c>
      <c r="J432" s="4" t="inlineStr">
        <is>
          <t>320</t>
        </is>
      </c>
      <c r="K432">
        <f>TEXT(TIMEVALUE(H432)-TIMEVALUE(I431)+(TIMEVALUE(H432)&lt;TIMEVALUE(I431)),"[h]:mm")</f>
        <v/>
      </c>
      <c r="L432" s="4" t="inlineStr">
        <is>
          <t>01:15:00</t>
        </is>
      </c>
      <c r="O432">
        <f>"LIM-"&amp;G431&amp;"-LIM   LA "&amp;E431&amp;" ("&amp;LEFT(H431,5)&amp;"-"&amp;LEFT(I431,5)&amp;" hrs)  /  LA "&amp;E432&amp;" ("&amp;LEFT(H432,5)&amp;"-"&amp;LEFT(I432,5)&amp;" hrs)"</f>
        <v/>
      </c>
    </row>
    <row r="433">
      <c r="J433" s="7" t="inlineStr">
        <is>
          <t>PSV total:</t>
        </is>
      </c>
      <c r="K433" s="8">
        <f>TEXT(TIMEVALUE(I432)-TIMEVALUE(H429)+(I432&lt;H429),"[h]:mm")</f>
        <v/>
      </c>
    </row>
    <row r="435">
      <c r="B435" s="3" t="inlineStr">
        <is>
          <t>Pairing ID</t>
        </is>
      </c>
      <c r="C435" s="3" t="inlineStr">
        <is>
          <t>FECHA REAL</t>
        </is>
      </c>
      <c r="D435" s="3" t="inlineStr">
        <is>
          <t>Day of Week</t>
        </is>
      </c>
      <c r="E435" s="3" t="inlineStr">
        <is>
          <t>Flight No</t>
        </is>
      </c>
      <c r="F435" s="3" t="inlineStr">
        <is>
          <t>Dep Stn</t>
        </is>
      </c>
      <c r="G435" s="3" t="inlineStr">
        <is>
          <t>Arr Stn</t>
        </is>
      </c>
      <c r="H435" s="3" t="inlineStr">
        <is>
          <t>STD</t>
        </is>
      </c>
      <c r="I435" s="3" t="inlineStr">
        <is>
          <t>STA</t>
        </is>
      </c>
      <c r="J435" s="3" t="inlineStr">
        <is>
          <t>subflota</t>
        </is>
      </c>
      <c r="K435" s="3" t="inlineStr">
        <is>
          <t>Conexion</t>
        </is>
      </c>
      <c r="L435" s="3" t="inlineStr">
        <is>
          <t>HBT</t>
        </is>
      </c>
    </row>
    <row r="436">
      <c r="B436" s="4" t="inlineStr">
        <is>
          <t>565_0</t>
        </is>
      </c>
      <c r="C436" s="4" t="inlineStr">
        <is>
          <t>06/09/2026</t>
        </is>
      </c>
      <c r="D436" s="4" t="inlineStr">
        <is>
          <t>domingo</t>
        </is>
      </c>
      <c r="E436" s="4" t="inlineStr">
        <is>
          <t>2028</t>
        </is>
      </c>
      <c r="F436" s="4" t="inlineStr">
        <is>
          <t>LIM</t>
        </is>
      </c>
      <c r="G436" s="4" t="inlineStr">
        <is>
          <t>CUZ</t>
        </is>
      </c>
      <c r="H436" s="4" t="inlineStr">
        <is>
          <t>13:25:00</t>
        </is>
      </c>
      <c r="I436" s="4" t="inlineStr">
        <is>
          <t>14:45:00</t>
        </is>
      </c>
      <c r="J436" s="4" t="inlineStr">
        <is>
          <t>320</t>
        </is>
      </c>
      <c r="L436" s="4" t="inlineStr">
        <is>
          <t>01:20:00</t>
        </is>
      </c>
      <c r="M436" s="5" t="n"/>
      <c r="O436" s="5" t="n"/>
      <c r="Q436" s="4">
        <f>B436</f>
        <v/>
      </c>
      <c r="R436" s="4">
        <f>C436</f>
        <v/>
      </c>
      <c r="S436" s="4">
        <f>D436</f>
        <v/>
      </c>
      <c r="T436" s="4">
        <f>E436&amp;"/"&amp;E437</f>
        <v/>
      </c>
      <c r="U436" s="4">
        <f>F436&amp;"-"&amp;G436&amp;"-"&amp;F436</f>
        <v/>
      </c>
      <c r="V436" s="4">
        <f>IF($M$436="","",$M$436)</f>
        <v/>
      </c>
      <c r="W436" s="4">
        <f>IF($O$436="","",$O$436)</f>
        <v/>
      </c>
      <c r="X436" s="4">
        <f>J436</f>
        <v/>
      </c>
    </row>
    <row r="437">
      <c r="B437" s="4" t="inlineStr">
        <is>
          <t>565_0</t>
        </is>
      </c>
      <c r="C437" s="4" t="inlineStr">
        <is>
          <t>06/09/2026</t>
        </is>
      </c>
      <c r="D437" s="4" t="inlineStr">
        <is>
          <t>domingo</t>
        </is>
      </c>
      <c r="E437" s="4" t="inlineStr">
        <is>
          <t>2029</t>
        </is>
      </c>
      <c r="F437" s="4" t="inlineStr">
        <is>
          <t>CUZ</t>
        </is>
      </c>
      <c r="G437" s="4" t="inlineStr">
        <is>
          <t>LIM</t>
        </is>
      </c>
      <c r="H437" s="4" t="inlineStr">
        <is>
          <t>15:30:00</t>
        </is>
      </c>
      <c r="I437" s="4" t="inlineStr">
        <is>
          <t>17:05:00</t>
        </is>
      </c>
      <c r="J437" s="4" t="inlineStr">
        <is>
          <t>320</t>
        </is>
      </c>
      <c r="K437">
        <f>TEXT(TIMEVALUE(H437)-TIMEVALUE(I436)+(TIMEVALUE(H437)&lt;TIMEVALUE(I436)),"[h]:mm")</f>
        <v/>
      </c>
      <c r="L437" s="4" t="inlineStr">
        <is>
          <t>01:35:00</t>
        </is>
      </c>
      <c r="O437">
        <f>"LIM-"&amp;G436&amp;"-LIM   LA "&amp;E436&amp;" ("&amp;LEFT(H436,5)&amp;"-"&amp;LEFT(I436,5)&amp;" hrs)  /  LA "&amp;E437&amp;" ("&amp;LEFT(H437,5)&amp;"-"&amp;LEFT(I437,5)&amp;" hrs)"</f>
        <v/>
      </c>
    </row>
    <row r="438">
      <c r="J438" s="7" t="inlineStr">
        <is>
          <t>PSV total:</t>
        </is>
      </c>
      <c r="K438" s="8">
        <f>TEXT(TIMEVALUE(I437)-TIMEVALUE(H436)+(I437&lt;H436),"[h]:mm")</f>
        <v/>
      </c>
    </row>
    <row r="440">
      <c r="B440" s="3" t="inlineStr">
        <is>
          <t>Pairing ID</t>
        </is>
      </c>
      <c r="C440" s="3" t="inlineStr">
        <is>
          <t>FECHA REAL</t>
        </is>
      </c>
      <c r="D440" s="3" t="inlineStr">
        <is>
          <t>Day of Week</t>
        </is>
      </c>
      <c r="E440" s="3" t="inlineStr">
        <is>
          <t>Flight No</t>
        </is>
      </c>
      <c r="F440" s="3" t="inlineStr">
        <is>
          <t>Dep Stn</t>
        </is>
      </c>
      <c r="G440" s="3" t="inlineStr">
        <is>
          <t>Arr Stn</t>
        </is>
      </c>
      <c r="H440" s="3" t="inlineStr">
        <is>
          <t>STD</t>
        </is>
      </c>
      <c r="I440" s="3" t="inlineStr">
        <is>
          <t>STA</t>
        </is>
      </c>
      <c r="J440" s="3" t="inlineStr">
        <is>
          <t>subflota</t>
        </is>
      </c>
      <c r="K440" s="3" t="inlineStr">
        <is>
          <t>Conexion</t>
        </is>
      </c>
      <c r="L440" s="3" t="inlineStr">
        <is>
          <t>HBT</t>
        </is>
      </c>
    </row>
    <row r="441">
      <c r="B441" s="4" t="inlineStr">
        <is>
          <t>566_0</t>
        </is>
      </c>
      <c r="C441" s="4" t="inlineStr">
        <is>
          <t>06/09/2026</t>
        </is>
      </c>
      <c r="D441" s="4" t="inlineStr">
        <is>
          <t>domingo</t>
        </is>
      </c>
      <c r="E441" s="4" t="inlineStr">
        <is>
          <t>2232</t>
        </is>
      </c>
      <c r="F441" s="4" t="inlineStr">
        <is>
          <t>LIM</t>
        </is>
      </c>
      <c r="G441" s="4" t="inlineStr">
        <is>
          <t>CUZ</t>
        </is>
      </c>
      <c r="H441" s="4" t="inlineStr">
        <is>
          <t>13:55:00</t>
        </is>
      </c>
      <c r="I441" s="4" t="inlineStr">
        <is>
          <t>15:15:00</t>
        </is>
      </c>
      <c r="J441" s="4" t="inlineStr">
        <is>
          <t>320</t>
        </is>
      </c>
      <c r="L441" s="4" t="inlineStr">
        <is>
          <t>01:20:00</t>
        </is>
      </c>
      <c r="M441" s="5" t="n"/>
      <c r="O441" s="5" t="n"/>
      <c r="Q441" s="4">
        <f>B441</f>
        <v/>
      </c>
      <c r="R441" s="4">
        <f>C441</f>
        <v/>
      </c>
      <c r="S441" s="4">
        <f>D441</f>
        <v/>
      </c>
      <c r="T441" s="4">
        <f>E441&amp;"/"&amp;E442</f>
        <v/>
      </c>
      <c r="U441" s="4">
        <f>F441&amp;"-"&amp;G441&amp;"-"&amp;F441</f>
        <v/>
      </c>
      <c r="V441" s="4">
        <f>IF($M$441="","",$M$441)</f>
        <v/>
      </c>
      <c r="W441" s="4">
        <f>IF($O$441="","",$O$441)</f>
        <v/>
      </c>
      <c r="X441" s="4">
        <f>J441</f>
        <v/>
      </c>
    </row>
    <row r="442">
      <c r="B442" s="4" t="inlineStr">
        <is>
          <t>566_0</t>
        </is>
      </c>
      <c r="C442" s="4" t="inlineStr">
        <is>
          <t>06/09/2026</t>
        </is>
      </c>
      <c r="D442" s="4" t="inlineStr">
        <is>
          <t>domingo</t>
        </is>
      </c>
      <c r="E442" s="4" t="inlineStr">
        <is>
          <t>2233</t>
        </is>
      </c>
      <c r="F442" s="4" t="inlineStr">
        <is>
          <t>CUZ</t>
        </is>
      </c>
      <c r="G442" s="4" t="inlineStr">
        <is>
          <t>LIM</t>
        </is>
      </c>
      <c r="H442" s="4" t="inlineStr">
        <is>
          <t>15:55:00</t>
        </is>
      </c>
      <c r="I442" s="4" t="inlineStr">
        <is>
          <t>17:35:00</t>
        </is>
      </c>
      <c r="J442" s="4" t="inlineStr">
        <is>
          <t>320</t>
        </is>
      </c>
      <c r="K442">
        <f>TEXT(TIMEVALUE(H442)-TIMEVALUE(I441)+(TIMEVALUE(H442)&lt;TIMEVALUE(I441)),"[h]:mm")</f>
        <v/>
      </c>
      <c r="L442" s="4" t="inlineStr">
        <is>
          <t>01:40:00</t>
        </is>
      </c>
      <c r="O442">
        <f>"LIM-"&amp;G441&amp;"-LIM   LA "&amp;E441&amp;" ("&amp;LEFT(H441,5)&amp;"-"&amp;LEFT(I441,5)&amp;" hrs)  /  LA "&amp;E442&amp;" ("&amp;LEFT(H442,5)&amp;"-"&amp;LEFT(I442,5)&amp;" hrs)"</f>
        <v/>
      </c>
    </row>
    <row r="443">
      <c r="B443" s="4" t="inlineStr">
        <is>
          <t>586_0</t>
        </is>
      </c>
      <c r="C443" s="4" t="inlineStr">
        <is>
          <t>06/09/2026</t>
        </is>
      </c>
      <c r="D443" s="4" t="inlineStr">
        <is>
          <t>domingo</t>
        </is>
      </c>
      <c r="E443" s="4" t="inlineStr">
        <is>
          <t>2091</t>
        </is>
      </c>
      <c r="F443" s="4" t="inlineStr">
        <is>
          <t>LIM</t>
        </is>
      </c>
      <c r="G443" s="4" t="inlineStr">
        <is>
          <t>TPP</t>
        </is>
      </c>
      <c r="H443" s="4" t="inlineStr">
        <is>
          <t>18:35:00</t>
        </is>
      </c>
      <c r="I443" s="4" t="inlineStr">
        <is>
          <t>20:00:00</t>
        </is>
      </c>
      <c r="J443" s="4" t="inlineStr">
        <is>
          <t>320</t>
        </is>
      </c>
      <c r="K443" s="6">
        <f>TEXT(TIMEVALUE(H443)-TIMEVALUE(I442)+(TIMEVALUE(H443)&lt;TIMEVALUE(I442)),"[h]:mm")</f>
        <v/>
      </c>
      <c r="L443" s="4" t="inlineStr">
        <is>
          <t>01:25:00</t>
        </is>
      </c>
      <c r="M443">
        <f>IF($M$441="","",$M$441)</f>
        <v/>
      </c>
      <c r="O443">
        <f>IF($O$441="","",$O$441)</f>
        <v/>
      </c>
      <c r="Q443" s="4">
        <f>B443</f>
        <v/>
      </c>
      <c r="R443" s="4">
        <f>C443</f>
        <v/>
      </c>
      <c r="S443" s="4">
        <f>D443</f>
        <v/>
      </c>
      <c r="T443" s="4">
        <f>E443&amp;"/"&amp;E444</f>
        <v/>
      </c>
      <c r="U443" s="4">
        <f>F443&amp;"-"&amp;G443&amp;"-"&amp;F443</f>
        <v/>
      </c>
      <c r="V443" s="4">
        <f>IF($M$441="","",$M$441)</f>
        <v/>
      </c>
      <c r="W443" s="4">
        <f>IF($O$441="","",$O$441)</f>
        <v/>
      </c>
      <c r="X443" s="4">
        <f>J443</f>
        <v/>
      </c>
    </row>
    <row r="444">
      <c r="B444" s="4" t="inlineStr">
        <is>
          <t>586_0</t>
        </is>
      </c>
      <c r="C444" s="4" t="inlineStr">
        <is>
          <t>06/09/2026</t>
        </is>
      </c>
      <c r="D444" s="4" t="inlineStr">
        <is>
          <t>domingo</t>
        </is>
      </c>
      <c r="E444" s="4" t="inlineStr">
        <is>
          <t>2092</t>
        </is>
      </c>
      <c r="F444" s="4" t="inlineStr">
        <is>
          <t>TPP</t>
        </is>
      </c>
      <c r="G444" s="4" t="inlineStr">
        <is>
          <t>LIM</t>
        </is>
      </c>
      <c r="H444" s="4" t="inlineStr">
        <is>
          <t>20:40:00</t>
        </is>
      </c>
      <c r="I444" s="4" t="inlineStr">
        <is>
          <t>22:05:00</t>
        </is>
      </c>
      <c r="J444" s="4" t="inlineStr">
        <is>
          <t>320</t>
        </is>
      </c>
      <c r="K444">
        <f>TEXT(TIMEVALUE(H444)-TIMEVALUE(I443)+(TIMEVALUE(H444)&lt;TIMEVALUE(I443)),"[h]:mm")</f>
        <v/>
      </c>
      <c r="L444" s="4" t="inlineStr">
        <is>
          <t>01:25:00</t>
        </is>
      </c>
      <c r="O444">
        <f>"LIM-"&amp;G443&amp;"-LIM   LA "&amp;E443&amp;" ("&amp;LEFT(H443,5)&amp;"-"&amp;LEFT(I443,5)&amp;" hrs)  /  LA "&amp;E444&amp;" ("&amp;LEFT(H444,5)&amp;"-"&amp;LEFT(I444,5)&amp;" hrs)"</f>
        <v/>
      </c>
    </row>
    <row r="445">
      <c r="J445" s="7" t="inlineStr">
        <is>
          <t>PSV total:</t>
        </is>
      </c>
      <c r="K445" s="8">
        <f>TEXT(TIMEVALUE(I444)-TIMEVALUE(H441)+(I444&lt;H441),"[h]:mm")</f>
        <v/>
      </c>
    </row>
    <row r="447">
      <c r="B447" s="3" t="inlineStr">
        <is>
          <t>Pairing ID</t>
        </is>
      </c>
      <c r="C447" s="3" t="inlineStr">
        <is>
          <t>FECHA REAL</t>
        </is>
      </c>
      <c r="D447" s="3" t="inlineStr">
        <is>
          <t>Day of Week</t>
        </is>
      </c>
      <c r="E447" s="3" t="inlineStr">
        <is>
          <t>Flight No</t>
        </is>
      </c>
      <c r="F447" s="3" t="inlineStr">
        <is>
          <t>Dep Stn</t>
        </is>
      </c>
      <c r="G447" s="3" t="inlineStr">
        <is>
          <t>Arr Stn</t>
        </is>
      </c>
      <c r="H447" s="3" t="inlineStr">
        <is>
          <t>STD</t>
        </is>
      </c>
      <c r="I447" s="3" t="inlineStr">
        <is>
          <t>STA</t>
        </is>
      </c>
      <c r="J447" s="3" t="inlineStr">
        <is>
          <t>subflota</t>
        </is>
      </c>
      <c r="K447" s="3" t="inlineStr">
        <is>
          <t>Conexion</t>
        </is>
      </c>
      <c r="L447" s="3" t="inlineStr">
        <is>
          <t>HBT</t>
        </is>
      </c>
    </row>
    <row r="448">
      <c r="B448" s="4" t="inlineStr">
        <is>
          <t>567_0</t>
        </is>
      </c>
      <c r="C448" s="4" t="inlineStr">
        <is>
          <t>06/09/2026</t>
        </is>
      </c>
      <c r="D448" s="4" t="inlineStr">
        <is>
          <t>domingo</t>
        </is>
      </c>
      <c r="E448" s="4" t="inlineStr">
        <is>
          <t>2087</t>
        </is>
      </c>
      <c r="F448" s="4" t="inlineStr">
        <is>
          <t>LIM</t>
        </is>
      </c>
      <c r="G448" s="4" t="inlineStr">
        <is>
          <t>TPP</t>
        </is>
      </c>
      <c r="H448" s="4" t="inlineStr">
        <is>
          <t>14:05:00</t>
        </is>
      </c>
      <c r="I448" s="4" t="inlineStr">
        <is>
          <t>15:30:00</t>
        </is>
      </c>
      <c r="J448" s="4" t="inlineStr">
        <is>
          <t>320</t>
        </is>
      </c>
      <c r="L448" s="4" t="inlineStr">
        <is>
          <t>01:25:00</t>
        </is>
      </c>
      <c r="M448" s="5" t="n"/>
      <c r="O448" s="5" t="n"/>
      <c r="Q448" s="4">
        <f>B448</f>
        <v/>
      </c>
      <c r="R448" s="4">
        <f>C448</f>
        <v/>
      </c>
      <c r="S448" s="4">
        <f>D448</f>
        <v/>
      </c>
      <c r="T448" s="4">
        <f>E448&amp;"/"&amp;E449</f>
        <v/>
      </c>
      <c r="U448" s="4">
        <f>F448&amp;"-"&amp;G448&amp;"-"&amp;F448</f>
        <v/>
      </c>
      <c r="V448" s="4">
        <f>IF($M$448="","",$M$448)</f>
        <v/>
      </c>
      <c r="W448" s="4">
        <f>IF($O$448="","",$O$448)</f>
        <v/>
      </c>
      <c r="X448" s="4">
        <f>J448</f>
        <v/>
      </c>
    </row>
    <row r="449">
      <c r="B449" s="4" t="inlineStr">
        <is>
          <t>567_0</t>
        </is>
      </c>
      <c r="C449" s="4" t="inlineStr">
        <is>
          <t>06/09/2026</t>
        </is>
      </c>
      <c r="D449" s="4" t="inlineStr">
        <is>
          <t>domingo</t>
        </is>
      </c>
      <c r="E449" s="4" t="inlineStr">
        <is>
          <t>2088</t>
        </is>
      </c>
      <c r="F449" s="4" t="inlineStr">
        <is>
          <t>TPP</t>
        </is>
      </c>
      <c r="G449" s="4" t="inlineStr">
        <is>
          <t>LIM</t>
        </is>
      </c>
      <c r="H449" s="4" t="inlineStr">
        <is>
          <t>16:05:00</t>
        </is>
      </c>
      <c r="I449" s="4" t="inlineStr">
        <is>
          <t>17:30:00</t>
        </is>
      </c>
      <c r="J449" s="4" t="inlineStr">
        <is>
          <t>320</t>
        </is>
      </c>
      <c r="K449">
        <f>TEXT(TIMEVALUE(H449)-TIMEVALUE(I448)+(TIMEVALUE(H449)&lt;TIMEVALUE(I448)),"[h]:mm")</f>
        <v/>
      </c>
      <c r="L449" s="4" t="inlineStr">
        <is>
          <t>01:25:00</t>
        </is>
      </c>
      <c r="O449">
        <f>"LIM-"&amp;G448&amp;"-LIM   LA "&amp;E448&amp;" ("&amp;LEFT(H448,5)&amp;"-"&amp;LEFT(I448,5)&amp;" hrs)  /  LA "&amp;E449&amp;" ("&amp;LEFT(H449,5)&amp;"-"&amp;LEFT(I449,5)&amp;" hrs)"</f>
        <v/>
      </c>
    </row>
    <row r="450">
      <c r="B450" s="4" t="inlineStr">
        <is>
          <t>587_0</t>
        </is>
      </c>
      <c r="C450" s="4" t="inlineStr">
        <is>
          <t>06/09/2026</t>
        </is>
      </c>
      <c r="D450" s="4" t="inlineStr">
        <is>
          <t>domingo</t>
        </is>
      </c>
      <c r="E450" s="4" t="inlineStr">
        <is>
          <t>2091</t>
        </is>
      </c>
      <c r="F450" s="4" t="inlineStr">
        <is>
          <t>LIM</t>
        </is>
      </c>
      <c r="G450" s="4" t="inlineStr">
        <is>
          <t>TPP</t>
        </is>
      </c>
      <c r="H450" s="4" t="inlineStr">
        <is>
          <t>18:35:00</t>
        </is>
      </c>
      <c r="I450" s="4" t="inlineStr">
        <is>
          <t>20:00:00</t>
        </is>
      </c>
      <c r="J450" s="4" t="inlineStr">
        <is>
          <t>320</t>
        </is>
      </c>
      <c r="K450" s="6">
        <f>TEXT(TIMEVALUE(H450)-TIMEVALUE(I449)+(TIMEVALUE(H450)&lt;TIMEVALUE(I449)),"[h]:mm")</f>
        <v/>
      </c>
      <c r="L450" s="4" t="inlineStr">
        <is>
          <t>01:25:00</t>
        </is>
      </c>
      <c r="M450">
        <f>IF($M$448="","",$M$448)</f>
        <v/>
      </c>
      <c r="O450">
        <f>IF($O$448="","",$O$448)</f>
        <v/>
      </c>
      <c r="Q450" s="4">
        <f>B450</f>
        <v/>
      </c>
      <c r="R450" s="4">
        <f>C450</f>
        <v/>
      </c>
      <c r="S450" s="4">
        <f>D450</f>
        <v/>
      </c>
      <c r="T450" s="4">
        <f>E450&amp;"/"&amp;E451</f>
        <v/>
      </c>
      <c r="U450" s="4">
        <f>F450&amp;"-"&amp;G450&amp;"-"&amp;F450</f>
        <v/>
      </c>
      <c r="V450" s="4">
        <f>IF($M$448="","",$M$448)</f>
        <v/>
      </c>
      <c r="W450" s="4">
        <f>IF($O$448="","",$O$448)</f>
        <v/>
      </c>
      <c r="X450" s="4">
        <f>J450</f>
        <v/>
      </c>
    </row>
    <row r="451">
      <c r="B451" s="4" t="inlineStr">
        <is>
          <t>587_0</t>
        </is>
      </c>
      <c r="C451" s="4" t="inlineStr">
        <is>
          <t>06/09/2026</t>
        </is>
      </c>
      <c r="D451" s="4" t="inlineStr">
        <is>
          <t>domingo</t>
        </is>
      </c>
      <c r="E451" s="4" t="inlineStr">
        <is>
          <t>2092</t>
        </is>
      </c>
      <c r="F451" s="4" t="inlineStr">
        <is>
          <t>TPP</t>
        </is>
      </c>
      <c r="G451" s="4" t="inlineStr">
        <is>
          <t>LIM</t>
        </is>
      </c>
      <c r="H451" s="4" t="inlineStr">
        <is>
          <t>20:40:00</t>
        </is>
      </c>
      <c r="I451" s="4" t="inlineStr">
        <is>
          <t>22:05:00</t>
        </is>
      </c>
      <c r="J451" s="4" t="inlineStr">
        <is>
          <t>320</t>
        </is>
      </c>
      <c r="K451">
        <f>TEXT(TIMEVALUE(H451)-TIMEVALUE(I450)+(TIMEVALUE(H451)&lt;TIMEVALUE(I450)),"[h]:mm")</f>
        <v/>
      </c>
      <c r="L451" s="4" t="inlineStr">
        <is>
          <t>01:25:00</t>
        </is>
      </c>
      <c r="O451">
        <f>"LIM-"&amp;G450&amp;"-LIM   LA "&amp;E450&amp;" ("&amp;LEFT(H450,5)&amp;"-"&amp;LEFT(I450,5)&amp;" hrs)  /  LA "&amp;E451&amp;" ("&amp;LEFT(H451,5)&amp;"-"&amp;LEFT(I451,5)&amp;" hrs)"</f>
        <v/>
      </c>
    </row>
    <row r="452">
      <c r="J452" s="7" t="inlineStr">
        <is>
          <t>PSV total:</t>
        </is>
      </c>
      <c r="K452" s="8">
        <f>TEXT(TIMEVALUE(I451)-TIMEVALUE(H448)+(I451&lt;H448),"[h]:mm")</f>
        <v/>
      </c>
    </row>
    <row r="454">
      <c r="B454" s="3" t="inlineStr">
        <is>
          <t>Pairing ID</t>
        </is>
      </c>
      <c r="C454" s="3" t="inlineStr">
        <is>
          <t>FECHA REAL</t>
        </is>
      </c>
      <c r="D454" s="3" t="inlineStr">
        <is>
          <t>Day of Week</t>
        </is>
      </c>
      <c r="E454" s="3" t="inlineStr">
        <is>
          <t>Flight No</t>
        </is>
      </c>
      <c r="F454" s="3" t="inlineStr">
        <is>
          <t>Dep Stn</t>
        </is>
      </c>
      <c r="G454" s="3" t="inlineStr">
        <is>
          <t>Arr Stn</t>
        </is>
      </c>
      <c r="H454" s="3" t="inlineStr">
        <is>
          <t>STD</t>
        </is>
      </c>
      <c r="I454" s="3" t="inlineStr">
        <is>
          <t>STA</t>
        </is>
      </c>
      <c r="J454" s="3" t="inlineStr">
        <is>
          <t>subflota</t>
        </is>
      </c>
      <c r="K454" s="3" t="inlineStr">
        <is>
          <t>Conexion</t>
        </is>
      </c>
      <c r="L454" s="3" t="inlineStr">
        <is>
          <t>HBT</t>
        </is>
      </c>
    </row>
    <row r="455">
      <c r="B455" s="4" t="inlineStr">
        <is>
          <t>568_0</t>
        </is>
      </c>
      <c r="C455" s="4" t="inlineStr">
        <is>
          <t>06/09/2026</t>
        </is>
      </c>
      <c r="D455" s="4" t="inlineStr">
        <is>
          <t>domingo</t>
        </is>
      </c>
      <c r="E455" s="4" t="inlineStr">
        <is>
          <t>2295</t>
        </is>
      </c>
      <c r="F455" s="4" t="inlineStr">
        <is>
          <t>LIM</t>
        </is>
      </c>
      <c r="G455" s="4" t="inlineStr">
        <is>
          <t>CJA</t>
        </is>
      </c>
      <c r="H455" s="4" t="inlineStr">
        <is>
          <t>14:10:00</t>
        </is>
      </c>
      <c r="I455" s="4" t="inlineStr">
        <is>
          <t>15:30:00</t>
        </is>
      </c>
      <c r="J455" s="4" t="inlineStr">
        <is>
          <t>320</t>
        </is>
      </c>
      <c r="L455" s="4" t="inlineStr">
        <is>
          <t>01:20:00</t>
        </is>
      </c>
      <c r="M455" s="5" t="n"/>
      <c r="O455" s="5" t="n"/>
      <c r="Q455" s="4">
        <f>B455</f>
        <v/>
      </c>
      <c r="R455" s="4">
        <f>C455</f>
        <v/>
      </c>
      <c r="S455" s="4">
        <f>D455</f>
        <v/>
      </c>
      <c r="T455" s="4">
        <f>E455&amp;"/"&amp;E456</f>
        <v/>
      </c>
      <c r="U455" s="4">
        <f>F455&amp;"-"&amp;G455&amp;"-"&amp;F455</f>
        <v/>
      </c>
      <c r="V455" s="4">
        <f>IF($M$455="","",$M$455)</f>
        <v/>
      </c>
      <c r="W455" s="4">
        <f>IF($O$455="","",$O$455)</f>
        <v/>
      </c>
      <c r="X455" s="4">
        <f>J455</f>
        <v/>
      </c>
    </row>
    <row r="456">
      <c r="B456" s="4" t="inlineStr">
        <is>
          <t>568_0</t>
        </is>
      </c>
      <c r="C456" s="4" t="inlineStr">
        <is>
          <t>06/09/2026</t>
        </is>
      </c>
      <c r="D456" s="4" t="inlineStr">
        <is>
          <t>domingo</t>
        </is>
      </c>
      <c r="E456" s="4" t="inlineStr">
        <is>
          <t>2294</t>
        </is>
      </c>
      <c r="F456" s="4" t="inlineStr">
        <is>
          <t>CJA</t>
        </is>
      </c>
      <c r="G456" s="4" t="inlineStr">
        <is>
          <t>LIM</t>
        </is>
      </c>
      <c r="H456" s="4" t="inlineStr">
        <is>
          <t>16:10:00</t>
        </is>
      </c>
      <c r="I456" s="4" t="inlineStr">
        <is>
          <t>17:15:00</t>
        </is>
      </c>
      <c r="J456" s="4" t="inlineStr">
        <is>
          <t>320</t>
        </is>
      </c>
      <c r="K456">
        <f>TEXT(TIMEVALUE(H456)-TIMEVALUE(I455)+(TIMEVALUE(H456)&lt;TIMEVALUE(I455)),"[h]:mm")</f>
        <v/>
      </c>
      <c r="L456" s="4" t="inlineStr">
        <is>
          <t>01:05:00</t>
        </is>
      </c>
      <c r="O456">
        <f>"LIM-"&amp;G455&amp;"-LIM   LA "&amp;E455&amp;" ("&amp;LEFT(H455,5)&amp;"-"&amp;LEFT(I455,5)&amp;" hrs)  /  LA "&amp;E456&amp;" ("&amp;LEFT(H456,5)&amp;"-"&amp;LEFT(I456,5)&amp;" hrs)"</f>
        <v/>
      </c>
    </row>
    <row r="457">
      <c r="J457" s="7" t="inlineStr">
        <is>
          <t>PSV total:</t>
        </is>
      </c>
      <c r="K457" s="8">
        <f>TEXT(TIMEVALUE(I456)-TIMEVALUE(H455)+(I456&lt;H455),"[h]:mm")</f>
        <v/>
      </c>
    </row>
    <row r="459">
      <c r="B459" s="3" t="inlineStr">
        <is>
          <t>Pairing ID</t>
        </is>
      </c>
      <c r="C459" s="3" t="inlineStr">
        <is>
          <t>FECHA REAL</t>
        </is>
      </c>
      <c r="D459" s="3" t="inlineStr">
        <is>
          <t>Day of Week</t>
        </is>
      </c>
      <c r="E459" s="3" t="inlineStr">
        <is>
          <t>Flight No</t>
        </is>
      </c>
      <c r="F459" s="3" t="inlineStr">
        <is>
          <t>Dep Stn</t>
        </is>
      </c>
      <c r="G459" s="3" t="inlineStr">
        <is>
          <t>Arr Stn</t>
        </is>
      </c>
      <c r="H459" s="3" t="inlineStr">
        <is>
          <t>STD</t>
        </is>
      </c>
      <c r="I459" s="3" t="inlineStr">
        <is>
          <t>STA</t>
        </is>
      </c>
      <c r="J459" s="3" t="inlineStr">
        <is>
          <t>subflota</t>
        </is>
      </c>
      <c r="K459" s="3" t="inlineStr">
        <is>
          <t>Conexion</t>
        </is>
      </c>
      <c r="L459" s="3" t="inlineStr">
        <is>
          <t>HBT</t>
        </is>
      </c>
    </row>
    <row r="460">
      <c r="B460" s="4" t="inlineStr">
        <is>
          <t>569_0</t>
        </is>
      </c>
      <c r="C460" s="4" t="inlineStr">
        <is>
          <t>06/09/2026</t>
        </is>
      </c>
      <c r="D460" s="4" t="inlineStr">
        <is>
          <t>domingo</t>
        </is>
      </c>
      <c r="E460" s="4" t="inlineStr">
        <is>
          <t>2282</t>
        </is>
      </c>
      <c r="F460" s="4" t="inlineStr">
        <is>
          <t>LIM</t>
        </is>
      </c>
      <c r="G460" s="4" t="inlineStr">
        <is>
          <t>CIX</t>
        </is>
      </c>
      <c r="H460" s="4" t="inlineStr">
        <is>
          <t>14:35:00</t>
        </is>
      </c>
      <c r="I460" s="4" t="inlineStr">
        <is>
          <t>16:05:00</t>
        </is>
      </c>
      <c r="J460" s="4" t="inlineStr">
        <is>
          <t>320</t>
        </is>
      </c>
      <c r="L460" s="4" t="inlineStr">
        <is>
          <t>01:30:00</t>
        </is>
      </c>
      <c r="M460" s="5" t="n"/>
      <c r="O460" s="5" t="n"/>
      <c r="Q460" s="4">
        <f>B460</f>
        <v/>
      </c>
      <c r="R460" s="4">
        <f>C460</f>
        <v/>
      </c>
      <c r="S460" s="4">
        <f>D460</f>
        <v/>
      </c>
      <c r="T460" s="4">
        <f>E460&amp;"/"&amp;E461</f>
        <v/>
      </c>
      <c r="U460" s="4">
        <f>F460&amp;"-"&amp;G460&amp;"-"&amp;F460</f>
        <v/>
      </c>
      <c r="V460" s="4">
        <f>IF($M$460="","",$M$460)</f>
        <v/>
      </c>
      <c r="W460" s="4">
        <f>IF($O$460="","",$O$460)</f>
        <v/>
      </c>
      <c r="X460" s="4">
        <f>J460</f>
        <v/>
      </c>
    </row>
    <row r="461">
      <c r="B461" s="4" t="inlineStr">
        <is>
          <t>569_0</t>
        </is>
      </c>
      <c r="C461" s="4" t="inlineStr">
        <is>
          <t>06/09/2026</t>
        </is>
      </c>
      <c r="D461" s="4" t="inlineStr">
        <is>
          <t>domingo</t>
        </is>
      </c>
      <c r="E461" s="4" t="inlineStr">
        <is>
          <t>2283</t>
        </is>
      </c>
      <c r="F461" s="4" t="inlineStr">
        <is>
          <t>CIX</t>
        </is>
      </c>
      <c r="G461" s="4" t="inlineStr">
        <is>
          <t>LIM</t>
        </is>
      </c>
      <c r="H461" s="4" t="inlineStr">
        <is>
          <t>16:50:00</t>
        </is>
      </c>
      <c r="I461" s="4" t="inlineStr">
        <is>
          <t>18:10:00</t>
        </is>
      </c>
      <c r="J461" s="4" t="inlineStr">
        <is>
          <t>320</t>
        </is>
      </c>
      <c r="K461">
        <f>TEXT(TIMEVALUE(H461)-TIMEVALUE(I460)+(TIMEVALUE(H461)&lt;TIMEVALUE(I460)),"[h]:mm")</f>
        <v/>
      </c>
      <c r="L461" s="4" t="inlineStr">
        <is>
          <t>01:20:00</t>
        </is>
      </c>
      <c r="O461">
        <f>"LIM-"&amp;G460&amp;"-LIM   LA "&amp;E460&amp;" ("&amp;LEFT(H460,5)&amp;"-"&amp;LEFT(I460,5)&amp;" hrs)  /  LA "&amp;E461&amp;" ("&amp;LEFT(H461,5)&amp;"-"&amp;LEFT(I461,5)&amp;" hrs)"</f>
        <v/>
      </c>
    </row>
    <row r="462">
      <c r="J462" s="7" t="inlineStr">
        <is>
          <t>PSV total:</t>
        </is>
      </c>
      <c r="K462" s="8">
        <f>TEXT(TIMEVALUE(I461)-TIMEVALUE(H460)+(I461&lt;H460),"[h]:mm")</f>
        <v/>
      </c>
    </row>
    <row r="464">
      <c r="B464" s="3" t="inlineStr">
        <is>
          <t>Pairing ID</t>
        </is>
      </c>
      <c r="C464" s="3" t="inlineStr">
        <is>
          <t>FECHA REAL</t>
        </is>
      </c>
      <c r="D464" s="3" t="inlineStr">
        <is>
          <t>Day of Week</t>
        </is>
      </c>
      <c r="E464" s="3" t="inlineStr">
        <is>
          <t>Flight No</t>
        </is>
      </c>
      <c r="F464" s="3" t="inlineStr">
        <is>
          <t>Dep Stn</t>
        </is>
      </c>
      <c r="G464" s="3" t="inlineStr">
        <is>
          <t>Arr Stn</t>
        </is>
      </c>
      <c r="H464" s="3" t="inlineStr">
        <is>
          <t>STD</t>
        </is>
      </c>
      <c r="I464" s="3" t="inlineStr">
        <is>
          <t>STA</t>
        </is>
      </c>
      <c r="J464" s="3" t="inlineStr">
        <is>
          <t>subflota</t>
        </is>
      </c>
      <c r="K464" s="3" t="inlineStr">
        <is>
          <t>Conexion</t>
        </is>
      </c>
      <c r="L464" s="3" t="inlineStr">
        <is>
          <t>HBT</t>
        </is>
      </c>
    </row>
    <row r="465">
      <c r="B465" s="4" t="inlineStr">
        <is>
          <t>570_0</t>
        </is>
      </c>
      <c r="C465" s="4" t="inlineStr">
        <is>
          <t>06/09/2026</t>
        </is>
      </c>
      <c r="D465" s="4" t="inlineStr">
        <is>
          <t>domingo</t>
        </is>
      </c>
      <c r="E465" s="4" t="inlineStr">
        <is>
          <t>2022</t>
        </is>
      </c>
      <c r="F465" s="4" t="inlineStr">
        <is>
          <t>LIM</t>
        </is>
      </c>
      <c r="G465" s="4" t="inlineStr">
        <is>
          <t>CUZ</t>
        </is>
      </c>
      <c r="H465" s="4" t="inlineStr">
        <is>
          <t>14:50:00</t>
        </is>
      </c>
      <c r="I465" s="4" t="inlineStr">
        <is>
          <t>16:10:00</t>
        </is>
      </c>
      <c r="J465" s="4" t="inlineStr">
        <is>
          <t>320</t>
        </is>
      </c>
      <c r="L465" s="4" t="inlineStr">
        <is>
          <t>01:20:00</t>
        </is>
      </c>
      <c r="M465" s="5" t="n"/>
      <c r="O465" s="5" t="n"/>
      <c r="Q465" s="4">
        <f>B465</f>
        <v/>
      </c>
      <c r="R465" s="4">
        <f>C465</f>
        <v/>
      </c>
      <c r="S465" s="4">
        <f>D465</f>
        <v/>
      </c>
      <c r="T465" s="4">
        <f>E465&amp;"/"&amp;E466</f>
        <v/>
      </c>
      <c r="U465" s="4">
        <f>F465&amp;"-"&amp;G465&amp;"-"&amp;F465</f>
        <v/>
      </c>
      <c r="V465" s="4">
        <f>IF($M$465="","",$M$465)</f>
        <v/>
      </c>
      <c r="W465" s="4">
        <f>IF($O$465="","",$O$465)</f>
        <v/>
      </c>
      <c r="X465" s="4">
        <f>J465</f>
        <v/>
      </c>
    </row>
    <row r="466">
      <c r="B466" s="4" t="inlineStr">
        <is>
          <t>570_0</t>
        </is>
      </c>
      <c r="C466" s="4" t="inlineStr">
        <is>
          <t>06/09/2026</t>
        </is>
      </c>
      <c r="D466" s="4" t="inlineStr">
        <is>
          <t>domingo</t>
        </is>
      </c>
      <c r="E466" s="4" t="inlineStr">
        <is>
          <t>2249</t>
        </is>
      </c>
      <c r="F466" s="4" t="inlineStr">
        <is>
          <t>CUZ</t>
        </is>
      </c>
      <c r="G466" s="4" t="inlineStr">
        <is>
          <t>LIM</t>
        </is>
      </c>
      <c r="H466" s="4" t="inlineStr">
        <is>
          <t>17:00:00</t>
        </is>
      </c>
      <c r="I466" s="4" t="inlineStr">
        <is>
          <t>18:35:00</t>
        </is>
      </c>
      <c r="J466" s="4" t="inlineStr">
        <is>
          <t>320</t>
        </is>
      </c>
      <c r="K466">
        <f>TEXT(TIMEVALUE(H466)-TIMEVALUE(I465)+(TIMEVALUE(H466)&lt;TIMEVALUE(I465)),"[h]:mm")</f>
        <v/>
      </c>
      <c r="L466" s="4" t="inlineStr">
        <is>
          <t>01:35:00</t>
        </is>
      </c>
      <c r="O466">
        <f>"LIM-"&amp;G465&amp;"-LIM   LA "&amp;E465&amp;" ("&amp;LEFT(H465,5)&amp;"-"&amp;LEFT(I465,5)&amp;" hrs)  /  LA "&amp;E466&amp;" ("&amp;LEFT(H466,5)&amp;"-"&amp;LEFT(I466,5)&amp;" hrs)"</f>
        <v/>
      </c>
    </row>
    <row r="467">
      <c r="J467" s="7" t="inlineStr">
        <is>
          <t>PSV total:</t>
        </is>
      </c>
      <c r="K467" s="8">
        <f>TEXT(TIMEVALUE(I466)-TIMEVALUE(H465)+(I466&lt;H465),"[h]:mm")</f>
        <v/>
      </c>
    </row>
    <row r="469">
      <c r="B469" s="3" t="inlineStr">
        <is>
          <t>Pairing ID</t>
        </is>
      </c>
      <c r="C469" s="3" t="inlineStr">
        <is>
          <t>FECHA REAL</t>
        </is>
      </c>
      <c r="D469" s="3" t="inlineStr">
        <is>
          <t>Day of Week</t>
        </is>
      </c>
      <c r="E469" s="3" t="inlineStr">
        <is>
          <t>Flight No</t>
        </is>
      </c>
      <c r="F469" s="3" t="inlineStr">
        <is>
          <t>Dep Stn</t>
        </is>
      </c>
      <c r="G469" s="3" t="inlineStr">
        <is>
          <t>Arr Stn</t>
        </is>
      </c>
      <c r="H469" s="3" t="inlineStr">
        <is>
          <t>STD</t>
        </is>
      </c>
      <c r="I469" s="3" t="inlineStr">
        <is>
          <t>STA</t>
        </is>
      </c>
      <c r="J469" s="3" t="inlineStr">
        <is>
          <t>subflota</t>
        </is>
      </c>
      <c r="K469" s="3" t="inlineStr">
        <is>
          <t>Conexion</t>
        </is>
      </c>
      <c r="L469" s="3" t="inlineStr">
        <is>
          <t>HBT</t>
        </is>
      </c>
    </row>
    <row r="470">
      <c r="B470" s="4" t="inlineStr">
        <is>
          <t>572_0</t>
        </is>
      </c>
      <c r="C470" s="4" t="inlineStr">
        <is>
          <t>06/09/2026</t>
        </is>
      </c>
      <c r="D470" s="4" t="inlineStr">
        <is>
          <t>domingo</t>
        </is>
      </c>
      <c r="E470" s="4" t="inlineStr">
        <is>
          <t>2338</t>
        </is>
      </c>
      <c r="F470" s="4" t="inlineStr">
        <is>
          <t>LIM</t>
        </is>
      </c>
      <c r="G470" s="4" t="inlineStr">
        <is>
          <t>PIU</t>
        </is>
      </c>
      <c r="H470" s="4" t="inlineStr">
        <is>
          <t>15:00:00</t>
        </is>
      </c>
      <c r="I470" s="4" t="inlineStr">
        <is>
          <t>16:45:00</t>
        </is>
      </c>
      <c r="J470" s="4" t="inlineStr">
        <is>
          <t>319</t>
        </is>
      </c>
      <c r="L470" s="4" t="inlineStr">
        <is>
          <t>01:45:00</t>
        </is>
      </c>
      <c r="M470" s="5" t="n"/>
      <c r="O470" s="5" t="n"/>
      <c r="Q470" s="4">
        <f>B470</f>
        <v/>
      </c>
      <c r="R470" s="4">
        <f>C470</f>
        <v/>
      </c>
      <c r="S470" s="4">
        <f>D470</f>
        <v/>
      </c>
      <c r="T470" s="4">
        <f>E470&amp;"/"&amp;E471</f>
        <v/>
      </c>
      <c r="U470" s="4">
        <f>F470&amp;"-"&amp;G470&amp;"-"&amp;F470</f>
        <v/>
      </c>
      <c r="V470" s="4">
        <f>IF($M$470="","",$M$470)</f>
        <v/>
      </c>
      <c r="W470" s="4">
        <f>IF($O$470="","",$O$470)</f>
        <v/>
      </c>
      <c r="X470" s="4">
        <f>J470</f>
        <v/>
      </c>
    </row>
    <row r="471">
      <c r="B471" s="4" t="inlineStr">
        <is>
          <t>572_0</t>
        </is>
      </c>
      <c r="C471" s="4" t="inlineStr">
        <is>
          <t>06/09/2026</t>
        </is>
      </c>
      <c r="D471" s="4" t="inlineStr">
        <is>
          <t>domingo</t>
        </is>
      </c>
      <c r="E471" s="4" t="inlineStr">
        <is>
          <t>2339</t>
        </is>
      </c>
      <c r="F471" s="4" t="inlineStr">
        <is>
          <t>PIU</t>
        </is>
      </c>
      <c r="G471" s="4" t="inlineStr">
        <is>
          <t>LIM</t>
        </is>
      </c>
      <c r="H471" s="4" t="inlineStr">
        <is>
          <t>17:20:00</t>
        </is>
      </c>
      <c r="I471" s="4" t="inlineStr">
        <is>
          <t>18:50:00</t>
        </is>
      </c>
      <c r="J471" s="4" t="inlineStr">
        <is>
          <t>319</t>
        </is>
      </c>
      <c r="K471">
        <f>TEXT(TIMEVALUE(H471)-TIMEVALUE(I470)+(TIMEVALUE(H471)&lt;TIMEVALUE(I470)),"[h]:mm")</f>
        <v/>
      </c>
      <c r="L471" s="4" t="inlineStr">
        <is>
          <t>01:30:00</t>
        </is>
      </c>
      <c r="O471">
        <f>"LIM-"&amp;G470&amp;"-LIM   LA "&amp;E470&amp;" ("&amp;LEFT(H470,5)&amp;"-"&amp;LEFT(I470,5)&amp;" hrs)  /  LA "&amp;E471&amp;" ("&amp;LEFT(H471,5)&amp;"-"&amp;LEFT(I471,5)&amp;" hrs)"</f>
        <v/>
      </c>
    </row>
    <row r="472">
      <c r="J472" s="7" t="inlineStr">
        <is>
          <t>PSV total:</t>
        </is>
      </c>
      <c r="K472" s="8">
        <f>TEXT(TIMEVALUE(I471)-TIMEVALUE(H470)+(I471&lt;H470),"[h]:mm")</f>
        <v/>
      </c>
    </row>
    <row r="474">
      <c r="B474" s="3" t="inlineStr">
        <is>
          <t>Pairing ID</t>
        </is>
      </c>
      <c r="C474" s="3" t="inlineStr">
        <is>
          <t>FECHA REAL</t>
        </is>
      </c>
      <c r="D474" s="3" t="inlineStr">
        <is>
          <t>Day of Week</t>
        </is>
      </c>
      <c r="E474" s="3" t="inlineStr">
        <is>
          <t>Flight No</t>
        </is>
      </c>
      <c r="F474" s="3" t="inlineStr">
        <is>
          <t>Dep Stn</t>
        </is>
      </c>
      <c r="G474" s="3" t="inlineStr">
        <is>
          <t>Arr Stn</t>
        </is>
      </c>
      <c r="H474" s="3" t="inlineStr">
        <is>
          <t>STD</t>
        </is>
      </c>
      <c r="I474" s="3" t="inlineStr">
        <is>
          <t>STA</t>
        </is>
      </c>
      <c r="J474" s="3" t="inlineStr">
        <is>
          <t>subflota</t>
        </is>
      </c>
      <c r="K474" s="3" t="inlineStr">
        <is>
          <t>Conexion</t>
        </is>
      </c>
      <c r="L474" s="3" t="inlineStr">
        <is>
          <t>HBT</t>
        </is>
      </c>
    </row>
    <row r="475">
      <c r="B475" s="4" t="inlineStr">
        <is>
          <t>575_0</t>
        </is>
      </c>
      <c r="C475" s="4" t="inlineStr">
        <is>
          <t>06/09/2026</t>
        </is>
      </c>
      <c r="D475" s="4" t="inlineStr">
        <is>
          <t>domingo</t>
        </is>
      </c>
      <c r="E475" s="4" t="inlineStr">
        <is>
          <t>2297</t>
        </is>
      </c>
      <c r="F475" s="4" t="inlineStr">
        <is>
          <t>LIM</t>
        </is>
      </c>
      <c r="G475" s="4" t="inlineStr">
        <is>
          <t>CJA</t>
        </is>
      </c>
      <c r="H475" s="4" t="inlineStr">
        <is>
          <t>15:15:00</t>
        </is>
      </c>
      <c r="I475" s="4" t="inlineStr">
        <is>
          <t>16:35:00</t>
        </is>
      </c>
      <c r="J475" s="4" t="inlineStr">
        <is>
          <t>319</t>
        </is>
      </c>
      <c r="L475" s="4" t="inlineStr">
        <is>
          <t>01:20:00</t>
        </is>
      </c>
      <c r="M475" s="5" t="n"/>
      <c r="O475" s="5" t="n"/>
      <c r="Q475" s="4">
        <f>B475</f>
        <v/>
      </c>
      <c r="R475" s="4">
        <f>C475</f>
        <v/>
      </c>
      <c r="S475" s="4">
        <f>D475</f>
        <v/>
      </c>
      <c r="T475" s="4">
        <f>E475&amp;"/"&amp;E476</f>
        <v/>
      </c>
      <c r="U475" s="4">
        <f>F475&amp;"-"&amp;G475&amp;"-"&amp;F475</f>
        <v/>
      </c>
      <c r="V475" s="4">
        <f>IF($M$475="","",$M$475)</f>
        <v/>
      </c>
      <c r="W475" s="4">
        <f>IF($O$475="","",$O$475)</f>
        <v/>
      </c>
      <c r="X475" s="4">
        <f>J475</f>
        <v/>
      </c>
    </row>
    <row r="476">
      <c r="B476" s="4" t="inlineStr">
        <is>
          <t>575_0</t>
        </is>
      </c>
      <c r="C476" s="4" t="inlineStr">
        <is>
          <t>06/09/2026</t>
        </is>
      </c>
      <c r="D476" s="4" t="inlineStr">
        <is>
          <t>domingo</t>
        </is>
      </c>
      <c r="E476" s="4" t="inlineStr">
        <is>
          <t>2296</t>
        </is>
      </c>
      <c r="F476" s="4" t="inlineStr">
        <is>
          <t>CJA</t>
        </is>
      </c>
      <c r="G476" s="4" t="inlineStr">
        <is>
          <t>LIM</t>
        </is>
      </c>
      <c r="H476" s="4" t="inlineStr">
        <is>
          <t>17:20:00</t>
        </is>
      </c>
      <c r="I476" s="4" t="inlineStr">
        <is>
          <t>18:25:00</t>
        </is>
      </c>
      <c r="J476" s="4" t="inlineStr">
        <is>
          <t>319</t>
        </is>
      </c>
      <c r="K476">
        <f>TEXT(TIMEVALUE(H476)-TIMEVALUE(I475)+(TIMEVALUE(H476)&lt;TIMEVALUE(I475)),"[h]:mm")</f>
        <v/>
      </c>
      <c r="L476" s="4" t="inlineStr">
        <is>
          <t>01:05:00</t>
        </is>
      </c>
      <c r="O476">
        <f>"LIM-"&amp;G475&amp;"-LIM   LA "&amp;E475&amp;" ("&amp;LEFT(H475,5)&amp;"-"&amp;LEFT(I475,5)&amp;" hrs)  /  LA "&amp;E476&amp;" ("&amp;LEFT(H476,5)&amp;"-"&amp;LEFT(I476,5)&amp;" hrs)"</f>
        <v/>
      </c>
    </row>
    <row r="477">
      <c r="J477" s="7" t="inlineStr">
        <is>
          <t>PSV total:</t>
        </is>
      </c>
      <c r="K477" s="8">
        <f>TEXT(TIMEVALUE(I476)-TIMEVALUE(H475)+(I476&lt;H475),"[h]:mm")</f>
        <v/>
      </c>
    </row>
    <row r="479">
      <c r="B479" s="3" t="inlineStr">
        <is>
          <t>Pairing ID</t>
        </is>
      </c>
      <c r="C479" s="3" t="inlineStr">
        <is>
          <t>FECHA REAL</t>
        </is>
      </c>
      <c r="D479" s="3" t="inlineStr">
        <is>
          <t>Day of Week</t>
        </is>
      </c>
      <c r="E479" s="3" t="inlineStr">
        <is>
          <t>Flight No</t>
        </is>
      </c>
      <c r="F479" s="3" t="inlineStr">
        <is>
          <t>Dep Stn</t>
        </is>
      </c>
      <c r="G479" s="3" t="inlineStr">
        <is>
          <t>Arr Stn</t>
        </is>
      </c>
      <c r="H479" s="3" t="inlineStr">
        <is>
          <t>STD</t>
        </is>
      </c>
      <c r="I479" s="3" t="inlineStr">
        <is>
          <t>STA</t>
        </is>
      </c>
      <c r="J479" s="3" t="inlineStr">
        <is>
          <t>subflota</t>
        </is>
      </c>
      <c r="K479" s="3" t="inlineStr">
        <is>
          <t>Conexion</t>
        </is>
      </c>
      <c r="L479" s="3" t="inlineStr">
        <is>
          <t>HBT</t>
        </is>
      </c>
    </row>
    <row r="480">
      <c r="B480" s="4" t="inlineStr">
        <is>
          <t>577_0</t>
        </is>
      </c>
      <c r="C480" s="4" t="inlineStr">
        <is>
          <t>06/09/2026</t>
        </is>
      </c>
      <c r="D480" s="4" t="inlineStr">
        <is>
          <t>domingo</t>
        </is>
      </c>
      <c r="E480" s="4" t="inlineStr">
        <is>
          <t>2301</t>
        </is>
      </c>
      <c r="F480" s="4" t="inlineStr">
        <is>
          <t>LIM</t>
        </is>
      </c>
      <c r="G480" s="4" t="inlineStr">
        <is>
          <t>TPP</t>
        </is>
      </c>
      <c r="H480" s="4" t="inlineStr">
        <is>
          <t>15:40:00</t>
        </is>
      </c>
      <c r="I480" s="4" t="inlineStr">
        <is>
          <t>17:05:00</t>
        </is>
      </c>
      <c r="J480" s="4" t="inlineStr">
        <is>
          <t>320</t>
        </is>
      </c>
      <c r="L480" s="4" t="inlineStr">
        <is>
          <t>01:25:00</t>
        </is>
      </c>
      <c r="M480" s="5" t="n"/>
      <c r="O480" s="5" t="n"/>
      <c r="Q480" s="4">
        <f>B480</f>
        <v/>
      </c>
      <c r="R480" s="4">
        <f>C480</f>
        <v/>
      </c>
      <c r="S480" s="4">
        <f>D480</f>
        <v/>
      </c>
      <c r="T480" s="4">
        <f>E480&amp;"/"&amp;E481</f>
        <v/>
      </c>
      <c r="U480" s="4">
        <f>F480&amp;"-"&amp;G480&amp;"-"&amp;F480</f>
        <v/>
      </c>
      <c r="V480" s="4">
        <f>IF($M$480="","",$M$480)</f>
        <v/>
      </c>
      <c r="W480" s="4">
        <f>IF($O$480="","",$O$480)</f>
        <v/>
      </c>
      <c r="X480" s="4">
        <f>J480</f>
        <v/>
      </c>
    </row>
    <row r="481">
      <c r="B481" s="4" t="inlineStr">
        <is>
          <t>577_0</t>
        </is>
      </c>
      <c r="C481" s="4" t="inlineStr">
        <is>
          <t>06/09/2026</t>
        </is>
      </c>
      <c r="D481" s="4" t="inlineStr">
        <is>
          <t>domingo</t>
        </is>
      </c>
      <c r="E481" s="4" t="inlineStr">
        <is>
          <t>2300</t>
        </is>
      </c>
      <c r="F481" s="4" t="inlineStr">
        <is>
          <t>TPP</t>
        </is>
      </c>
      <c r="G481" s="4" t="inlineStr">
        <is>
          <t>LIM</t>
        </is>
      </c>
      <c r="H481" s="4" t="inlineStr">
        <is>
          <t>17:50:00</t>
        </is>
      </c>
      <c r="I481" s="4" t="inlineStr">
        <is>
          <t>19:20:00</t>
        </is>
      </c>
      <c r="J481" s="4" t="inlineStr">
        <is>
          <t>320</t>
        </is>
      </c>
      <c r="K481">
        <f>TEXT(TIMEVALUE(H481)-TIMEVALUE(I480)+(TIMEVALUE(H481)&lt;TIMEVALUE(I480)),"[h]:mm")</f>
        <v/>
      </c>
      <c r="L481" s="4" t="inlineStr">
        <is>
          <t>01:30:00</t>
        </is>
      </c>
      <c r="O481">
        <f>"LIM-"&amp;G480&amp;"-LIM   LA "&amp;E480&amp;" ("&amp;LEFT(H480,5)&amp;"-"&amp;LEFT(I480,5)&amp;" hrs)  /  LA "&amp;E481&amp;" ("&amp;LEFT(H481,5)&amp;"-"&amp;LEFT(I481,5)&amp;" hrs)"</f>
        <v/>
      </c>
    </row>
    <row r="482">
      <c r="J482" s="7" t="inlineStr">
        <is>
          <t>PSV total:</t>
        </is>
      </c>
      <c r="K482" s="8">
        <f>TEXT(TIMEVALUE(I481)-TIMEVALUE(H480)+(I481&lt;H480),"[h]:mm")</f>
        <v/>
      </c>
    </row>
    <row r="484">
      <c r="B484" s="3" t="inlineStr">
        <is>
          <t>Pairing ID</t>
        </is>
      </c>
      <c r="C484" s="3" t="inlineStr">
        <is>
          <t>FECHA REAL</t>
        </is>
      </c>
      <c r="D484" s="3" t="inlineStr">
        <is>
          <t>Day of Week</t>
        </is>
      </c>
      <c r="E484" s="3" t="inlineStr">
        <is>
          <t>Flight No</t>
        </is>
      </c>
      <c r="F484" s="3" t="inlineStr">
        <is>
          <t>Dep Stn</t>
        </is>
      </c>
      <c r="G484" s="3" t="inlineStr">
        <is>
          <t>Arr Stn</t>
        </is>
      </c>
      <c r="H484" s="3" t="inlineStr">
        <is>
          <t>STD</t>
        </is>
      </c>
      <c r="I484" s="3" t="inlineStr">
        <is>
          <t>STA</t>
        </is>
      </c>
      <c r="J484" s="3" t="inlineStr">
        <is>
          <t>subflota</t>
        </is>
      </c>
      <c r="K484" s="3" t="inlineStr">
        <is>
          <t>Conexion</t>
        </is>
      </c>
      <c r="L484" s="3" t="inlineStr">
        <is>
          <t>HBT</t>
        </is>
      </c>
    </row>
    <row r="485">
      <c r="B485" s="4" t="inlineStr">
        <is>
          <t>579_0</t>
        </is>
      </c>
      <c r="C485" s="4" t="inlineStr">
        <is>
          <t>06/09/2026</t>
        </is>
      </c>
      <c r="D485" s="4" t="inlineStr">
        <is>
          <t>domingo</t>
        </is>
      </c>
      <c r="E485" s="4" t="inlineStr">
        <is>
          <t>2127</t>
        </is>
      </c>
      <c r="F485" s="4" t="inlineStr">
        <is>
          <t>LIM</t>
        </is>
      </c>
      <c r="G485" s="4" t="inlineStr">
        <is>
          <t>CUZ</t>
        </is>
      </c>
      <c r="H485" s="4" t="inlineStr">
        <is>
          <t>16:10:00</t>
        </is>
      </c>
      <c r="I485" s="4" t="inlineStr">
        <is>
          <t>17:30:00</t>
        </is>
      </c>
      <c r="J485" s="4" t="inlineStr">
        <is>
          <t>320</t>
        </is>
      </c>
      <c r="L485" s="4" t="inlineStr">
        <is>
          <t>01:20:00</t>
        </is>
      </c>
      <c r="M485" s="5" t="n"/>
      <c r="O485" s="5" t="n"/>
      <c r="Q485" s="4">
        <f>B485</f>
        <v/>
      </c>
      <c r="R485" s="4">
        <f>C485</f>
        <v/>
      </c>
      <c r="S485" s="4">
        <f>D485</f>
        <v/>
      </c>
      <c r="T485" s="4">
        <f>E485&amp;"/"&amp;E486</f>
        <v/>
      </c>
      <c r="U485" s="4">
        <f>F485&amp;"-"&amp;G485&amp;"-"&amp;F485</f>
        <v/>
      </c>
      <c r="V485" s="4">
        <f>IF($M$485="","",$M$485)</f>
        <v/>
      </c>
      <c r="W485" s="4">
        <f>IF($O$485="","",$O$485)</f>
        <v/>
      </c>
      <c r="X485" s="4">
        <f>J485</f>
        <v/>
      </c>
    </row>
    <row r="486">
      <c r="B486" s="4" t="inlineStr">
        <is>
          <t>579_0</t>
        </is>
      </c>
      <c r="C486" s="4" t="inlineStr">
        <is>
          <t>06/09/2026</t>
        </is>
      </c>
      <c r="D486" s="4" t="inlineStr">
        <is>
          <t>domingo</t>
        </is>
      </c>
      <c r="E486" s="4" t="inlineStr">
        <is>
          <t>2026</t>
        </is>
      </c>
      <c r="F486" s="4" t="inlineStr">
        <is>
          <t>CUZ</t>
        </is>
      </c>
      <c r="G486" s="4" t="inlineStr">
        <is>
          <t>LIM</t>
        </is>
      </c>
      <c r="H486" s="4" t="inlineStr">
        <is>
          <t>18:10:00</t>
        </is>
      </c>
      <c r="I486" s="4" t="inlineStr">
        <is>
          <t>19:50:00</t>
        </is>
      </c>
      <c r="J486" s="4" t="inlineStr">
        <is>
          <t>320</t>
        </is>
      </c>
      <c r="K486">
        <f>TEXT(TIMEVALUE(H486)-TIMEVALUE(I485)+(TIMEVALUE(H486)&lt;TIMEVALUE(I485)),"[h]:mm")</f>
        <v/>
      </c>
      <c r="L486" s="4" t="inlineStr">
        <is>
          <t>01:40:00</t>
        </is>
      </c>
      <c r="O486">
        <f>"LIM-"&amp;G485&amp;"-LIM   LA "&amp;E485&amp;" ("&amp;LEFT(H485,5)&amp;"-"&amp;LEFT(I485,5)&amp;" hrs)  /  LA "&amp;E486&amp;" ("&amp;LEFT(H486,5)&amp;"-"&amp;LEFT(I486,5)&amp;" hrs)"</f>
        <v/>
      </c>
    </row>
    <row r="487">
      <c r="J487" s="7" t="inlineStr">
        <is>
          <t>PSV total:</t>
        </is>
      </c>
      <c r="K487" s="8">
        <f>TEXT(TIMEVALUE(I486)-TIMEVALUE(H485)+(I486&lt;H485),"[h]:mm")</f>
        <v/>
      </c>
    </row>
    <row r="489">
      <c r="B489" s="3" t="inlineStr">
        <is>
          <t>Pairing ID</t>
        </is>
      </c>
      <c r="C489" s="3" t="inlineStr">
        <is>
          <t>FECHA REAL</t>
        </is>
      </c>
      <c r="D489" s="3" t="inlineStr">
        <is>
          <t>Day of Week</t>
        </is>
      </c>
      <c r="E489" s="3" t="inlineStr">
        <is>
          <t>Flight No</t>
        </is>
      </c>
      <c r="F489" s="3" t="inlineStr">
        <is>
          <t>Dep Stn</t>
        </is>
      </c>
      <c r="G489" s="3" t="inlineStr">
        <is>
          <t>Arr Stn</t>
        </is>
      </c>
      <c r="H489" s="3" t="inlineStr">
        <is>
          <t>STD</t>
        </is>
      </c>
      <c r="I489" s="3" t="inlineStr">
        <is>
          <t>STA</t>
        </is>
      </c>
      <c r="J489" s="3" t="inlineStr">
        <is>
          <t>subflota</t>
        </is>
      </c>
      <c r="K489" s="3" t="inlineStr">
        <is>
          <t>Conexion</t>
        </is>
      </c>
      <c r="L489" s="3" t="inlineStr">
        <is>
          <t>HBT</t>
        </is>
      </c>
    </row>
    <row r="490">
      <c r="B490" s="4" t="inlineStr">
        <is>
          <t>580_0</t>
        </is>
      </c>
      <c r="C490" s="4" t="inlineStr">
        <is>
          <t>06/09/2026</t>
        </is>
      </c>
      <c r="D490" s="4" t="inlineStr">
        <is>
          <t>domingo</t>
        </is>
      </c>
      <c r="E490" s="4" t="inlineStr">
        <is>
          <t>2276</t>
        </is>
      </c>
      <c r="F490" s="4" t="inlineStr">
        <is>
          <t>LIM</t>
        </is>
      </c>
      <c r="G490" s="4" t="inlineStr">
        <is>
          <t>CUZ</t>
        </is>
      </c>
      <c r="H490" s="4" t="inlineStr">
        <is>
          <t>16:35:00</t>
        </is>
      </c>
      <c r="I490" s="4" t="inlineStr">
        <is>
          <t>17:55:00</t>
        </is>
      </c>
      <c r="J490" s="4" t="inlineStr">
        <is>
          <t>320</t>
        </is>
      </c>
      <c r="L490" s="4" t="inlineStr">
        <is>
          <t>01:20:00</t>
        </is>
      </c>
      <c r="M490" s="5" t="n"/>
      <c r="O490" s="5" t="n"/>
      <c r="Q490" s="4">
        <f>B490</f>
        <v/>
      </c>
      <c r="R490" s="4">
        <f>C490</f>
        <v/>
      </c>
      <c r="S490" s="4">
        <f>D490</f>
        <v/>
      </c>
      <c r="T490" s="4">
        <f>E490&amp;"/"&amp;E491</f>
        <v/>
      </c>
      <c r="U490" s="4">
        <f>F490&amp;"-"&amp;G490&amp;"-"&amp;F490</f>
        <v/>
      </c>
      <c r="V490" s="4">
        <f>IF($M$490="","",$M$490)</f>
        <v/>
      </c>
      <c r="W490" s="4">
        <f>IF($O$490="","",$O$490)</f>
        <v/>
      </c>
      <c r="X490" s="4">
        <f>J490</f>
        <v/>
      </c>
    </row>
    <row r="491">
      <c r="B491" s="4" t="inlineStr">
        <is>
          <t>580_0</t>
        </is>
      </c>
      <c r="C491" s="4" t="inlineStr">
        <is>
          <t>06/09/2026</t>
        </is>
      </c>
      <c r="D491" s="4" t="inlineStr">
        <is>
          <t>domingo</t>
        </is>
      </c>
      <c r="E491" s="4" t="inlineStr">
        <is>
          <t>2277</t>
        </is>
      </c>
      <c r="F491" s="4" t="inlineStr">
        <is>
          <t>CUZ</t>
        </is>
      </c>
      <c r="G491" s="4" t="inlineStr">
        <is>
          <t>LIM</t>
        </is>
      </c>
      <c r="H491" s="4" t="inlineStr">
        <is>
          <t>18:50:00</t>
        </is>
      </c>
      <c r="I491" s="4" t="inlineStr">
        <is>
          <t>20:25:00</t>
        </is>
      </c>
      <c r="J491" s="4" t="inlineStr">
        <is>
          <t>320</t>
        </is>
      </c>
      <c r="K491">
        <f>TEXT(TIMEVALUE(H491)-TIMEVALUE(I490)+(TIMEVALUE(H491)&lt;TIMEVALUE(I490)),"[h]:mm")</f>
        <v/>
      </c>
      <c r="L491" s="4" t="inlineStr">
        <is>
          <t>01:35:00</t>
        </is>
      </c>
      <c r="O491">
        <f>"LIM-"&amp;G490&amp;"-LIM   LA "&amp;E490&amp;" ("&amp;LEFT(H490,5)&amp;"-"&amp;LEFT(I490,5)&amp;" hrs)  /  LA "&amp;E491&amp;" ("&amp;LEFT(H491,5)&amp;"-"&amp;LEFT(I491,5)&amp;" hrs)"</f>
        <v/>
      </c>
    </row>
    <row r="492">
      <c r="J492" s="7" t="inlineStr">
        <is>
          <t>PSV total:</t>
        </is>
      </c>
      <c r="K492" s="8">
        <f>TEXT(TIMEVALUE(I491)-TIMEVALUE(H490)+(I491&lt;H490),"[h]:mm")</f>
        <v/>
      </c>
    </row>
    <row r="494">
      <c r="B494" s="3" t="inlineStr">
        <is>
          <t>Pairing ID</t>
        </is>
      </c>
      <c r="C494" s="3" t="inlineStr">
        <is>
          <t>FECHA REAL</t>
        </is>
      </c>
      <c r="D494" s="3" t="inlineStr">
        <is>
          <t>Day of Week</t>
        </is>
      </c>
      <c r="E494" s="3" t="inlineStr">
        <is>
          <t>Flight No</t>
        </is>
      </c>
      <c r="F494" s="3" t="inlineStr">
        <is>
          <t>Dep Stn</t>
        </is>
      </c>
      <c r="G494" s="3" t="inlineStr">
        <is>
          <t>Arr Stn</t>
        </is>
      </c>
      <c r="H494" s="3" t="inlineStr">
        <is>
          <t>STD</t>
        </is>
      </c>
      <c r="I494" s="3" t="inlineStr">
        <is>
          <t>STA</t>
        </is>
      </c>
      <c r="J494" s="3" t="inlineStr">
        <is>
          <t>subflota</t>
        </is>
      </c>
      <c r="K494" s="3" t="inlineStr">
        <is>
          <t>Conexion</t>
        </is>
      </c>
      <c r="L494" s="3" t="inlineStr">
        <is>
          <t>HBT</t>
        </is>
      </c>
    </row>
    <row r="495">
      <c r="B495" s="4" t="inlineStr">
        <is>
          <t>581_0</t>
        </is>
      </c>
      <c r="C495" s="4" t="inlineStr">
        <is>
          <t>06/09/2026</t>
        </is>
      </c>
      <c r="D495" s="4" t="inlineStr">
        <is>
          <t>domingo</t>
        </is>
      </c>
      <c r="E495" s="4" t="inlineStr">
        <is>
          <t>2276</t>
        </is>
      </c>
      <c r="F495" s="4" t="inlineStr">
        <is>
          <t>LIM</t>
        </is>
      </c>
      <c r="G495" s="4" t="inlineStr">
        <is>
          <t>CUZ</t>
        </is>
      </c>
      <c r="H495" s="4" t="inlineStr">
        <is>
          <t>16:35:00</t>
        </is>
      </c>
      <c r="I495" s="4" t="inlineStr">
        <is>
          <t>17:55:00</t>
        </is>
      </c>
      <c r="J495" s="4" t="inlineStr">
        <is>
          <t>320</t>
        </is>
      </c>
      <c r="L495" s="4" t="inlineStr">
        <is>
          <t>01:20:00</t>
        </is>
      </c>
      <c r="M495" s="5" t="n"/>
      <c r="O495" s="5" t="n"/>
      <c r="Q495" s="4">
        <f>B495</f>
        <v/>
      </c>
      <c r="R495" s="4">
        <f>C495</f>
        <v/>
      </c>
      <c r="S495" s="4">
        <f>D495</f>
        <v/>
      </c>
      <c r="T495" s="4">
        <f>E495&amp;"/"&amp;E496</f>
        <v/>
      </c>
      <c r="U495" s="4">
        <f>F495&amp;"-"&amp;G495&amp;"-"&amp;F495</f>
        <v/>
      </c>
      <c r="V495" s="4">
        <f>IF($M$495="","",$M$495)</f>
        <v/>
      </c>
      <c r="W495" s="4">
        <f>IF($O$495="","",$O$495)</f>
        <v/>
      </c>
      <c r="X495" s="4">
        <f>J495</f>
        <v/>
      </c>
    </row>
    <row r="496">
      <c r="B496" s="4" t="inlineStr">
        <is>
          <t>581_0</t>
        </is>
      </c>
      <c r="C496" s="4" t="inlineStr">
        <is>
          <t>06/09/2026</t>
        </is>
      </c>
      <c r="D496" s="4" t="inlineStr">
        <is>
          <t>domingo</t>
        </is>
      </c>
      <c r="E496" s="4" t="inlineStr">
        <is>
          <t>2277</t>
        </is>
      </c>
      <c r="F496" s="4" t="inlineStr">
        <is>
          <t>CUZ</t>
        </is>
      </c>
      <c r="G496" s="4" t="inlineStr">
        <is>
          <t>LIM</t>
        </is>
      </c>
      <c r="H496" s="4" t="inlineStr">
        <is>
          <t>18:50:00</t>
        </is>
      </c>
      <c r="I496" s="4" t="inlineStr">
        <is>
          <t>20:25:00</t>
        </is>
      </c>
      <c r="J496" s="4" t="inlineStr">
        <is>
          <t>320</t>
        </is>
      </c>
      <c r="K496">
        <f>TEXT(TIMEVALUE(H496)-TIMEVALUE(I495)+(TIMEVALUE(H496)&lt;TIMEVALUE(I495)),"[h]:mm")</f>
        <v/>
      </c>
      <c r="L496" s="4" t="inlineStr">
        <is>
          <t>01:35:00</t>
        </is>
      </c>
      <c r="O496">
        <f>"LIM-"&amp;G495&amp;"-LIM   LA "&amp;E495&amp;" ("&amp;LEFT(H495,5)&amp;"-"&amp;LEFT(I495,5)&amp;" hrs)  /  LA "&amp;E496&amp;" ("&amp;LEFT(H496,5)&amp;"-"&amp;LEFT(I496,5)&amp;" hrs)"</f>
        <v/>
      </c>
    </row>
    <row r="497">
      <c r="J497" s="7" t="inlineStr">
        <is>
          <t>PSV total:</t>
        </is>
      </c>
      <c r="K497" s="8">
        <f>TEXT(TIMEVALUE(I496)-TIMEVALUE(H495)+(I496&lt;H495),"[h]:mm")</f>
        <v/>
      </c>
    </row>
    <row r="499">
      <c r="B499" s="3" t="inlineStr">
        <is>
          <t>Pairing ID</t>
        </is>
      </c>
      <c r="C499" s="3" t="inlineStr">
        <is>
          <t>FECHA REAL</t>
        </is>
      </c>
      <c r="D499" s="3" t="inlineStr">
        <is>
          <t>Day of Week</t>
        </is>
      </c>
      <c r="E499" s="3" t="inlineStr">
        <is>
          <t>Flight No</t>
        </is>
      </c>
      <c r="F499" s="3" t="inlineStr">
        <is>
          <t>Dep Stn</t>
        </is>
      </c>
      <c r="G499" s="3" t="inlineStr">
        <is>
          <t>Arr Stn</t>
        </is>
      </c>
      <c r="H499" s="3" t="inlineStr">
        <is>
          <t>STD</t>
        </is>
      </c>
      <c r="I499" s="3" t="inlineStr">
        <is>
          <t>STA</t>
        </is>
      </c>
      <c r="J499" s="3" t="inlineStr">
        <is>
          <t>subflota</t>
        </is>
      </c>
      <c r="K499" s="3" t="inlineStr">
        <is>
          <t>Conexion</t>
        </is>
      </c>
      <c r="L499" s="3" t="inlineStr">
        <is>
          <t>HBT</t>
        </is>
      </c>
    </row>
    <row r="500">
      <c r="B500" s="4" t="inlineStr">
        <is>
          <t>644_0</t>
        </is>
      </c>
      <c r="C500" s="4" t="inlineStr">
        <is>
          <t>07/09/2026</t>
        </is>
      </c>
      <c r="D500" s="4" t="inlineStr">
        <is>
          <t>lunes</t>
        </is>
      </c>
      <c r="E500" s="4" t="inlineStr">
        <is>
          <t>2299</t>
        </is>
      </c>
      <c r="F500" s="4" t="inlineStr">
        <is>
          <t>LIM</t>
        </is>
      </c>
      <c r="G500" s="4" t="inlineStr">
        <is>
          <t>CJA</t>
        </is>
      </c>
      <c r="H500" s="4" t="inlineStr">
        <is>
          <t>11:35:00</t>
        </is>
      </c>
      <c r="I500" s="4" t="inlineStr">
        <is>
          <t>12:55:00</t>
        </is>
      </c>
      <c r="J500" s="4" t="inlineStr">
        <is>
          <t>320</t>
        </is>
      </c>
      <c r="L500" s="4" t="inlineStr">
        <is>
          <t>01:20:00</t>
        </is>
      </c>
      <c r="M500" s="5" t="n"/>
      <c r="O500" s="5" t="n"/>
      <c r="Q500" s="4">
        <f>B500</f>
        <v/>
      </c>
      <c r="R500" s="4">
        <f>C500</f>
        <v/>
      </c>
      <c r="S500" s="4">
        <f>D500</f>
        <v/>
      </c>
      <c r="T500" s="4">
        <f>E500&amp;"/"&amp;E501</f>
        <v/>
      </c>
      <c r="U500" s="4">
        <f>F500&amp;"-"&amp;G500&amp;"-"&amp;F500</f>
        <v/>
      </c>
      <c r="V500" s="4">
        <f>IF($M$500="","",$M$500)</f>
        <v/>
      </c>
      <c r="W500" s="4">
        <f>IF($O$500="","",$O$500)</f>
        <v/>
      </c>
      <c r="X500" s="4">
        <f>J500</f>
        <v/>
      </c>
    </row>
    <row r="501">
      <c r="B501" s="4" t="inlineStr">
        <is>
          <t>644_0</t>
        </is>
      </c>
      <c r="C501" s="4" t="inlineStr">
        <is>
          <t>07/09/2026</t>
        </is>
      </c>
      <c r="D501" s="4" t="inlineStr">
        <is>
          <t>lunes</t>
        </is>
      </c>
      <c r="E501" s="4" t="inlineStr">
        <is>
          <t>2298</t>
        </is>
      </c>
      <c r="F501" s="4" t="inlineStr">
        <is>
          <t>CJA</t>
        </is>
      </c>
      <c r="G501" s="4" t="inlineStr">
        <is>
          <t>LIM</t>
        </is>
      </c>
      <c r="H501" s="4" t="inlineStr">
        <is>
          <t>13:45:00</t>
        </is>
      </c>
      <c r="I501" s="4" t="inlineStr">
        <is>
          <t>14:55:00</t>
        </is>
      </c>
      <c r="J501" s="4" t="inlineStr">
        <is>
          <t>320</t>
        </is>
      </c>
      <c r="K501">
        <f>TEXT(TIMEVALUE(H501)-TIMEVALUE(I500)+(TIMEVALUE(H501)&lt;TIMEVALUE(I500)),"[h]:mm")</f>
        <v/>
      </c>
      <c r="L501" s="4" t="inlineStr">
        <is>
          <t>01:10:00</t>
        </is>
      </c>
      <c r="O501">
        <f>"LIM-"&amp;G500&amp;"-LIM   LA "&amp;E500&amp;" ("&amp;LEFT(H500,5)&amp;"-"&amp;LEFT(I500,5)&amp;" hrs)  /  LA "&amp;E501&amp;" ("&amp;LEFT(H501,5)&amp;"-"&amp;LEFT(I501,5)&amp;" hrs)"</f>
        <v/>
      </c>
    </row>
    <row r="502">
      <c r="J502" s="7" t="inlineStr">
        <is>
          <t>PSV total:</t>
        </is>
      </c>
      <c r="K502" s="8">
        <f>TEXT(TIMEVALUE(I501)-TIMEVALUE(H500)+(I501&lt;H500),"[h]:mm")</f>
        <v/>
      </c>
    </row>
    <row r="504">
      <c r="B504" s="3" t="inlineStr">
        <is>
          <t>Pairing ID</t>
        </is>
      </c>
      <c r="C504" s="3" t="inlineStr">
        <is>
          <t>FECHA REAL</t>
        </is>
      </c>
      <c r="D504" s="3" t="inlineStr">
        <is>
          <t>Day of Week</t>
        </is>
      </c>
      <c r="E504" s="3" t="inlineStr">
        <is>
          <t>Flight No</t>
        </is>
      </c>
      <c r="F504" s="3" t="inlineStr">
        <is>
          <t>Dep Stn</t>
        </is>
      </c>
      <c r="G504" s="3" t="inlineStr">
        <is>
          <t>Arr Stn</t>
        </is>
      </c>
      <c r="H504" s="3" t="inlineStr">
        <is>
          <t>STD</t>
        </is>
      </c>
      <c r="I504" s="3" t="inlineStr">
        <is>
          <t>STA</t>
        </is>
      </c>
      <c r="J504" s="3" t="inlineStr">
        <is>
          <t>subflota</t>
        </is>
      </c>
      <c r="K504" s="3" t="inlineStr">
        <is>
          <t>Conexion</t>
        </is>
      </c>
      <c r="L504" s="3" t="inlineStr">
        <is>
          <t>HBT</t>
        </is>
      </c>
    </row>
    <row r="505">
      <c r="B505" s="4" t="inlineStr">
        <is>
          <t>648_0</t>
        </is>
      </c>
      <c r="C505" s="4" t="inlineStr">
        <is>
          <t>07/09/2026</t>
        </is>
      </c>
      <c r="D505" s="4" t="inlineStr">
        <is>
          <t>lunes</t>
        </is>
      </c>
      <c r="E505" s="4" t="inlineStr">
        <is>
          <t>2061</t>
        </is>
      </c>
      <c r="F505" s="4" t="inlineStr">
        <is>
          <t>LIM</t>
        </is>
      </c>
      <c r="G505" s="4" t="inlineStr">
        <is>
          <t>CUZ</t>
        </is>
      </c>
      <c r="H505" s="4" t="inlineStr">
        <is>
          <t>11:40:00</t>
        </is>
      </c>
      <c r="I505" s="4" t="inlineStr">
        <is>
          <t>13:00:00</t>
        </is>
      </c>
      <c r="J505" s="4" t="inlineStr">
        <is>
          <t>320</t>
        </is>
      </c>
      <c r="L505" s="4" t="inlineStr">
        <is>
          <t>01:20:00</t>
        </is>
      </c>
      <c r="M505" s="5" t="n"/>
      <c r="O505" s="5" t="n"/>
      <c r="Q505" s="4">
        <f>B505</f>
        <v/>
      </c>
      <c r="R505" s="4">
        <f>C505</f>
        <v/>
      </c>
      <c r="S505" s="4">
        <f>D505</f>
        <v/>
      </c>
      <c r="T505" s="4">
        <f>E505&amp;"/"&amp;E506</f>
        <v/>
      </c>
      <c r="U505" s="4">
        <f>F505&amp;"-"&amp;G505&amp;"-"&amp;F505</f>
        <v/>
      </c>
      <c r="V505" s="4">
        <f>IF($M$505="","",$M$505)</f>
        <v/>
      </c>
      <c r="W505" s="4">
        <f>IF($O$505="","",$O$505)</f>
        <v/>
      </c>
      <c r="X505" s="4">
        <f>J505</f>
        <v/>
      </c>
    </row>
    <row r="506">
      <c r="B506" s="4" t="inlineStr">
        <is>
          <t>648_0</t>
        </is>
      </c>
      <c r="C506" s="4" t="inlineStr">
        <is>
          <t>07/09/2026</t>
        </is>
      </c>
      <c r="D506" s="4" t="inlineStr">
        <is>
          <t>lunes</t>
        </is>
      </c>
      <c r="E506" s="4" t="inlineStr">
        <is>
          <t>2062</t>
        </is>
      </c>
      <c r="F506" s="4" t="inlineStr">
        <is>
          <t>CUZ</t>
        </is>
      </c>
      <c r="G506" s="4" t="inlineStr">
        <is>
          <t>LIM</t>
        </is>
      </c>
      <c r="H506" s="4" t="inlineStr">
        <is>
          <t>13:40:00</t>
        </is>
      </c>
      <c r="I506" s="4" t="inlineStr">
        <is>
          <t>15:15:00</t>
        </is>
      </c>
      <c r="J506" s="4" t="inlineStr">
        <is>
          <t>320</t>
        </is>
      </c>
      <c r="K506">
        <f>TEXT(TIMEVALUE(H506)-TIMEVALUE(I505)+(TIMEVALUE(H506)&lt;TIMEVALUE(I505)),"[h]:mm")</f>
        <v/>
      </c>
      <c r="L506" s="4" t="inlineStr">
        <is>
          <t>01:35:00</t>
        </is>
      </c>
      <c r="O506">
        <f>"LIM-"&amp;G505&amp;"-LIM   LA "&amp;E505&amp;" ("&amp;LEFT(H505,5)&amp;"-"&amp;LEFT(I505,5)&amp;" hrs)  /  LA "&amp;E506&amp;" ("&amp;LEFT(H506,5)&amp;"-"&amp;LEFT(I506,5)&amp;" hrs)"</f>
        <v/>
      </c>
    </row>
    <row r="507">
      <c r="B507" s="4" t="inlineStr">
        <is>
          <t>675_0</t>
        </is>
      </c>
      <c r="C507" s="4" t="inlineStr">
        <is>
          <t>07/09/2026</t>
        </is>
      </c>
      <c r="D507" s="4" t="inlineStr">
        <is>
          <t>lunes</t>
        </is>
      </c>
      <c r="E507" s="4" t="inlineStr">
        <is>
          <t>2276</t>
        </is>
      </c>
      <c r="F507" s="4" t="inlineStr">
        <is>
          <t>LIM</t>
        </is>
      </c>
      <c r="G507" s="4" t="inlineStr">
        <is>
          <t>CUZ</t>
        </is>
      </c>
      <c r="H507" s="4" t="inlineStr">
        <is>
          <t>16:35:00</t>
        </is>
      </c>
      <c r="I507" s="4" t="inlineStr">
        <is>
          <t>17:55:00</t>
        </is>
      </c>
      <c r="J507" s="4" t="inlineStr">
        <is>
          <t>320</t>
        </is>
      </c>
      <c r="K507" s="6">
        <f>TEXT(TIMEVALUE(H507)-TIMEVALUE(I506)+(TIMEVALUE(H507)&lt;TIMEVALUE(I506)),"[h]:mm")</f>
        <v/>
      </c>
      <c r="L507" s="4" t="inlineStr">
        <is>
          <t>01:20:00</t>
        </is>
      </c>
      <c r="M507">
        <f>IF($M$505="","",$M$505)</f>
        <v/>
      </c>
      <c r="O507">
        <f>IF($O$505="","",$O$505)</f>
        <v/>
      </c>
      <c r="Q507" s="4">
        <f>B507</f>
        <v/>
      </c>
      <c r="R507" s="4">
        <f>C507</f>
        <v/>
      </c>
      <c r="S507" s="4">
        <f>D507</f>
        <v/>
      </c>
      <c r="T507" s="4">
        <f>E507&amp;"/"&amp;E508</f>
        <v/>
      </c>
      <c r="U507" s="4">
        <f>F507&amp;"-"&amp;G507&amp;"-"&amp;F507</f>
        <v/>
      </c>
      <c r="V507" s="4">
        <f>IF($M$505="","",$M$505)</f>
        <v/>
      </c>
      <c r="W507" s="4">
        <f>IF($O$505="","",$O$505)</f>
        <v/>
      </c>
      <c r="X507" s="4">
        <f>J507</f>
        <v/>
      </c>
    </row>
    <row r="508">
      <c r="B508" s="4" t="inlineStr">
        <is>
          <t>675_0</t>
        </is>
      </c>
      <c r="C508" s="4" t="inlineStr">
        <is>
          <t>07/09/2026</t>
        </is>
      </c>
      <c r="D508" s="4" t="inlineStr">
        <is>
          <t>lunes</t>
        </is>
      </c>
      <c r="E508" s="4" t="inlineStr">
        <is>
          <t>2277</t>
        </is>
      </c>
      <c r="F508" s="4" t="inlineStr">
        <is>
          <t>CUZ</t>
        </is>
      </c>
      <c r="G508" s="4" t="inlineStr">
        <is>
          <t>LIM</t>
        </is>
      </c>
      <c r="H508" s="4" t="inlineStr">
        <is>
          <t>18:50:00</t>
        </is>
      </c>
      <c r="I508" s="4" t="inlineStr">
        <is>
          <t>20:25:00</t>
        </is>
      </c>
      <c r="J508" s="4" t="inlineStr">
        <is>
          <t>320</t>
        </is>
      </c>
      <c r="K508">
        <f>TEXT(TIMEVALUE(H508)-TIMEVALUE(I507)+(TIMEVALUE(H508)&lt;TIMEVALUE(I507)),"[h]:mm")</f>
        <v/>
      </c>
      <c r="L508" s="4" t="inlineStr">
        <is>
          <t>01:35:00</t>
        </is>
      </c>
      <c r="O508">
        <f>"LIM-"&amp;G507&amp;"-LIM   LA "&amp;E507&amp;" ("&amp;LEFT(H507,5)&amp;"-"&amp;LEFT(I507,5)&amp;" hrs)  /  LA "&amp;E508&amp;" ("&amp;LEFT(H508,5)&amp;"-"&amp;LEFT(I508,5)&amp;" hrs)"</f>
        <v/>
      </c>
    </row>
    <row r="509">
      <c r="J509" s="7" t="inlineStr">
        <is>
          <t>PSV total:</t>
        </is>
      </c>
      <c r="K509" s="8">
        <f>TEXT(TIMEVALUE(I508)-TIMEVALUE(H505)+(I508&lt;H505),"[h]:mm")</f>
        <v/>
      </c>
    </row>
    <row r="511">
      <c r="B511" s="3" t="inlineStr">
        <is>
          <t>Pairing ID</t>
        </is>
      </c>
      <c r="C511" s="3" t="inlineStr">
        <is>
          <t>FECHA REAL</t>
        </is>
      </c>
      <c r="D511" s="3" t="inlineStr">
        <is>
          <t>Day of Week</t>
        </is>
      </c>
      <c r="E511" s="3" t="inlineStr">
        <is>
          <t>Flight No</t>
        </is>
      </c>
      <c r="F511" s="3" t="inlineStr">
        <is>
          <t>Dep Stn</t>
        </is>
      </c>
      <c r="G511" s="3" t="inlineStr">
        <is>
          <t>Arr Stn</t>
        </is>
      </c>
      <c r="H511" s="3" t="inlineStr">
        <is>
          <t>STD</t>
        </is>
      </c>
      <c r="I511" s="3" t="inlineStr">
        <is>
          <t>STA</t>
        </is>
      </c>
      <c r="J511" s="3" t="inlineStr">
        <is>
          <t>subflota</t>
        </is>
      </c>
      <c r="K511" s="3" t="inlineStr">
        <is>
          <t>Conexion</t>
        </is>
      </c>
      <c r="L511" s="3" t="inlineStr">
        <is>
          <t>HBT</t>
        </is>
      </c>
    </row>
    <row r="512">
      <c r="B512" s="4" t="inlineStr">
        <is>
          <t>647_0</t>
        </is>
      </c>
      <c r="C512" s="4" t="inlineStr">
        <is>
          <t>07/09/2026</t>
        </is>
      </c>
      <c r="D512" s="4" t="inlineStr">
        <is>
          <t>lunes</t>
        </is>
      </c>
      <c r="E512" s="4" t="inlineStr">
        <is>
          <t>2316</t>
        </is>
      </c>
      <c r="F512" s="4" t="inlineStr">
        <is>
          <t>LIM</t>
        </is>
      </c>
      <c r="G512" s="4" t="inlineStr">
        <is>
          <t>PIU</t>
        </is>
      </c>
      <c r="H512" s="4" t="inlineStr">
        <is>
          <t>11:40:00</t>
        </is>
      </c>
      <c r="I512" s="4" t="inlineStr">
        <is>
          <t>13:25:00</t>
        </is>
      </c>
      <c r="J512" s="4" t="inlineStr">
        <is>
          <t>320</t>
        </is>
      </c>
      <c r="L512" s="4" t="inlineStr">
        <is>
          <t>01:45:00</t>
        </is>
      </c>
      <c r="M512" s="5" t="n"/>
      <c r="O512" s="5" t="n"/>
      <c r="Q512" s="4">
        <f>B512</f>
        <v/>
      </c>
      <c r="R512" s="4">
        <f>C512</f>
        <v/>
      </c>
      <c r="S512" s="4">
        <f>D512</f>
        <v/>
      </c>
      <c r="T512" s="4">
        <f>E512&amp;"/"&amp;E513</f>
        <v/>
      </c>
      <c r="U512" s="4">
        <f>F512&amp;"-"&amp;G512&amp;"-"&amp;F512</f>
        <v/>
      </c>
      <c r="V512" s="4">
        <f>IF($M$512="","",$M$512)</f>
        <v/>
      </c>
      <c r="W512" s="4">
        <f>IF($O$512="","",$O$512)</f>
        <v/>
      </c>
      <c r="X512" s="4">
        <f>J512</f>
        <v/>
      </c>
    </row>
    <row r="513">
      <c r="B513" s="4" t="inlineStr">
        <is>
          <t>647_0</t>
        </is>
      </c>
      <c r="C513" s="4" t="inlineStr">
        <is>
          <t>07/09/2026</t>
        </is>
      </c>
      <c r="D513" s="4" t="inlineStr">
        <is>
          <t>lunes</t>
        </is>
      </c>
      <c r="E513" s="4" t="inlineStr">
        <is>
          <t>2317</t>
        </is>
      </c>
      <c r="F513" s="4" t="inlineStr">
        <is>
          <t>PIU</t>
        </is>
      </c>
      <c r="G513" s="4" t="inlineStr">
        <is>
          <t>LIM</t>
        </is>
      </c>
      <c r="H513" s="4" t="inlineStr">
        <is>
          <t>14:05:00</t>
        </is>
      </c>
      <c r="I513" s="4" t="inlineStr">
        <is>
          <t>15:40:00</t>
        </is>
      </c>
      <c r="J513" s="4" t="inlineStr">
        <is>
          <t>320</t>
        </is>
      </c>
      <c r="K513">
        <f>TEXT(TIMEVALUE(H513)-TIMEVALUE(I512)+(TIMEVALUE(H513)&lt;TIMEVALUE(I512)),"[h]:mm")</f>
        <v/>
      </c>
      <c r="L513" s="4" t="inlineStr">
        <is>
          <t>01:35:00</t>
        </is>
      </c>
      <c r="O513">
        <f>"LIM-"&amp;G512&amp;"-LIM   LA "&amp;E512&amp;" ("&amp;LEFT(H512,5)&amp;"-"&amp;LEFT(I512,5)&amp;" hrs)  /  LA "&amp;E513&amp;" ("&amp;LEFT(H513,5)&amp;"-"&amp;LEFT(I513,5)&amp;" hrs)"</f>
        <v/>
      </c>
    </row>
    <row r="514">
      <c r="B514" s="4" t="inlineStr">
        <is>
          <t>676_0</t>
        </is>
      </c>
      <c r="C514" s="4" t="inlineStr">
        <is>
          <t>07/09/2026</t>
        </is>
      </c>
      <c r="D514" s="4" t="inlineStr">
        <is>
          <t>lunes</t>
        </is>
      </c>
      <c r="E514" s="4" t="inlineStr">
        <is>
          <t>2304</t>
        </is>
      </c>
      <c r="F514" s="4" t="inlineStr">
        <is>
          <t>LIM</t>
        </is>
      </c>
      <c r="G514" s="4" t="inlineStr">
        <is>
          <t>PIU</t>
        </is>
      </c>
      <c r="H514" s="4" t="inlineStr">
        <is>
          <t>16:55:00</t>
        </is>
      </c>
      <c r="I514" s="4" t="inlineStr">
        <is>
          <t>18:35:00</t>
        </is>
      </c>
      <c r="J514" s="4" t="inlineStr">
        <is>
          <t>320</t>
        </is>
      </c>
      <c r="K514" s="6">
        <f>TEXT(TIMEVALUE(H514)-TIMEVALUE(I513)+(TIMEVALUE(H514)&lt;TIMEVALUE(I513)),"[h]:mm")</f>
        <v/>
      </c>
      <c r="L514" s="4" t="inlineStr">
        <is>
          <t>01:40:00</t>
        </is>
      </c>
      <c r="M514">
        <f>IF($M$512="","",$M$512)</f>
        <v/>
      </c>
      <c r="O514">
        <f>IF($O$512="","",$O$512)</f>
        <v/>
      </c>
      <c r="Q514" s="4">
        <f>B514</f>
        <v/>
      </c>
      <c r="R514" s="4">
        <f>C514</f>
        <v/>
      </c>
      <c r="S514" s="4">
        <f>D514</f>
        <v/>
      </c>
      <c r="T514" s="4">
        <f>E514&amp;"/"&amp;E515</f>
        <v/>
      </c>
      <c r="U514" s="4">
        <f>F514&amp;"-"&amp;G514&amp;"-"&amp;F514</f>
        <v/>
      </c>
      <c r="V514" s="4">
        <f>IF($M$512="","",$M$512)</f>
        <v/>
      </c>
      <c r="W514" s="4">
        <f>IF($O$512="","",$O$512)</f>
        <v/>
      </c>
      <c r="X514" s="4">
        <f>J514</f>
        <v/>
      </c>
    </row>
    <row r="515">
      <c r="B515" s="4" t="inlineStr">
        <is>
          <t>676_0</t>
        </is>
      </c>
      <c r="C515" s="4" t="inlineStr">
        <is>
          <t>07/09/2026</t>
        </is>
      </c>
      <c r="D515" s="4" t="inlineStr">
        <is>
          <t>lunes</t>
        </is>
      </c>
      <c r="E515" s="4" t="inlineStr">
        <is>
          <t>2305</t>
        </is>
      </c>
      <c r="F515" s="4" t="inlineStr">
        <is>
          <t>PIU</t>
        </is>
      </c>
      <c r="G515" s="4" t="inlineStr">
        <is>
          <t>LIM</t>
        </is>
      </c>
      <c r="H515" s="4" t="inlineStr">
        <is>
          <t>19:10:00</t>
        </is>
      </c>
      <c r="I515" s="4" t="inlineStr">
        <is>
          <t>20:40:00</t>
        </is>
      </c>
      <c r="J515" s="4" t="inlineStr">
        <is>
          <t>320</t>
        </is>
      </c>
      <c r="K515">
        <f>TEXT(TIMEVALUE(H515)-TIMEVALUE(I514)+(TIMEVALUE(H515)&lt;TIMEVALUE(I514)),"[h]:mm")</f>
        <v/>
      </c>
      <c r="L515" s="4" t="inlineStr">
        <is>
          <t>01:30:00</t>
        </is>
      </c>
      <c r="O515">
        <f>"LIM-"&amp;G514&amp;"-LIM   LA "&amp;E514&amp;" ("&amp;LEFT(H514,5)&amp;"-"&amp;LEFT(I514,5)&amp;" hrs)  /  LA "&amp;E515&amp;" ("&amp;LEFT(H515,5)&amp;"-"&amp;LEFT(I515,5)&amp;" hrs)"</f>
        <v/>
      </c>
    </row>
    <row r="516">
      <c r="J516" s="7" t="inlineStr">
        <is>
          <t>PSV total:</t>
        </is>
      </c>
      <c r="K516" s="8">
        <f>TEXT(TIMEVALUE(I515)-TIMEVALUE(H512)+(I515&lt;H512),"[h]:mm")</f>
        <v/>
      </c>
    </row>
    <row r="518">
      <c r="B518" s="3" t="inlineStr">
        <is>
          <t>Pairing ID</t>
        </is>
      </c>
      <c r="C518" s="3" t="inlineStr">
        <is>
          <t>FECHA REAL</t>
        </is>
      </c>
      <c r="D518" s="3" t="inlineStr">
        <is>
          <t>Day of Week</t>
        </is>
      </c>
      <c r="E518" s="3" t="inlineStr">
        <is>
          <t>Flight No</t>
        </is>
      </c>
      <c r="F518" s="3" t="inlineStr">
        <is>
          <t>Dep Stn</t>
        </is>
      </c>
      <c r="G518" s="3" t="inlineStr">
        <is>
          <t>Arr Stn</t>
        </is>
      </c>
      <c r="H518" s="3" t="inlineStr">
        <is>
          <t>STD</t>
        </is>
      </c>
      <c r="I518" s="3" t="inlineStr">
        <is>
          <t>STA</t>
        </is>
      </c>
      <c r="J518" s="3" t="inlineStr">
        <is>
          <t>subflota</t>
        </is>
      </c>
      <c r="K518" s="3" t="inlineStr">
        <is>
          <t>Conexion</t>
        </is>
      </c>
      <c r="L518" s="3" t="inlineStr">
        <is>
          <t>HBT</t>
        </is>
      </c>
    </row>
    <row r="519">
      <c r="B519" s="4" t="inlineStr">
        <is>
          <t>654_0</t>
        </is>
      </c>
      <c r="C519" s="4" t="inlineStr">
        <is>
          <t>07/09/2026</t>
        </is>
      </c>
      <c r="D519" s="4" t="inlineStr">
        <is>
          <t>lunes</t>
        </is>
      </c>
      <c r="E519" s="4" t="inlineStr">
        <is>
          <t>2270</t>
        </is>
      </c>
      <c r="F519" s="4" t="inlineStr">
        <is>
          <t>LIM</t>
        </is>
      </c>
      <c r="G519" s="4" t="inlineStr">
        <is>
          <t>CIX</t>
        </is>
      </c>
      <c r="H519" s="4" t="inlineStr">
        <is>
          <t>13:00:00</t>
        </is>
      </c>
      <c r="I519" s="4" t="inlineStr">
        <is>
          <t>14:30:00</t>
        </is>
      </c>
      <c r="J519" s="4" t="inlineStr">
        <is>
          <t>320</t>
        </is>
      </c>
      <c r="L519" s="4" t="inlineStr">
        <is>
          <t>01:30:00</t>
        </is>
      </c>
      <c r="M519" s="5" t="n"/>
      <c r="O519" s="5" t="n"/>
      <c r="Q519" s="4">
        <f>B519</f>
        <v/>
      </c>
      <c r="R519" s="4">
        <f>C519</f>
        <v/>
      </c>
      <c r="S519" s="4">
        <f>D519</f>
        <v/>
      </c>
      <c r="T519" s="4">
        <f>E519&amp;"/"&amp;E520</f>
        <v/>
      </c>
      <c r="U519" s="4">
        <f>F519&amp;"-"&amp;G519&amp;"-"&amp;F519</f>
        <v/>
      </c>
      <c r="V519" s="4">
        <f>IF($M$519="","",$M$519)</f>
        <v/>
      </c>
      <c r="W519" s="4">
        <f>IF($O$519="","",$O$519)</f>
        <v/>
      </c>
      <c r="X519" s="4">
        <f>J519</f>
        <v/>
      </c>
    </row>
    <row r="520">
      <c r="B520" s="4" t="inlineStr">
        <is>
          <t>654_0</t>
        </is>
      </c>
      <c r="C520" s="4" t="inlineStr">
        <is>
          <t>07/09/2026</t>
        </is>
      </c>
      <c r="D520" s="4" t="inlineStr">
        <is>
          <t>lunes</t>
        </is>
      </c>
      <c r="E520" s="4" t="inlineStr">
        <is>
          <t>2271</t>
        </is>
      </c>
      <c r="F520" s="4" t="inlineStr">
        <is>
          <t>CIX</t>
        </is>
      </c>
      <c r="G520" s="4" t="inlineStr">
        <is>
          <t>LIM</t>
        </is>
      </c>
      <c r="H520" s="4" t="inlineStr">
        <is>
          <t>15:05:00</t>
        </is>
      </c>
      <c r="I520" s="4" t="inlineStr">
        <is>
          <t>16:20:00</t>
        </is>
      </c>
      <c r="J520" s="4" t="inlineStr">
        <is>
          <t>320</t>
        </is>
      </c>
      <c r="K520">
        <f>TEXT(TIMEVALUE(H520)-TIMEVALUE(I519)+(TIMEVALUE(H520)&lt;TIMEVALUE(I519)),"[h]:mm")</f>
        <v/>
      </c>
      <c r="L520" s="4" t="inlineStr">
        <is>
          <t>01:15:00</t>
        </is>
      </c>
      <c r="O520">
        <f>"LIM-"&amp;G519&amp;"-LIM   LA "&amp;E519&amp;" ("&amp;LEFT(H519,5)&amp;"-"&amp;LEFT(I519,5)&amp;" hrs)  /  LA "&amp;E520&amp;" ("&amp;LEFT(H520,5)&amp;"-"&amp;LEFT(I520,5)&amp;" hrs)"</f>
        <v/>
      </c>
    </row>
    <row r="521">
      <c r="J521" s="7" t="inlineStr">
        <is>
          <t>PSV total:</t>
        </is>
      </c>
      <c r="K521" s="8">
        <f>TEXT(TIMEVALUE(I520)-TIMEVALUE(H519)+(I520&lt;H519),"[h]:mm")</f>
        <v/>
      </c>
    </row>
    <row r="523">
      <c r="B523" s="3" t="inlineStr">
        <is>
          <t>Pairing ID</t>
        </is>
      </c>
      <c r="C523" s="3" t="inlineStr">
        <is>
          <t>FECHA REAL</t>
        </is>
      </c>
      <c r="D523" s="3" t="inlineStr">
        <is>
          <t>Day of Week</t>
        </is>
      </c>
      <c r="E523" s="3" t="inlineStr">
        <is>
          <t>Flight No</t>
        </is>
      </c>
      <c r="F523" s="3" t="inlineStr">
        <is>
          <t>Dep Stn</t>
        </is>
      </c>
      <c r="G523" s="3" t="inlineStr">
        <is>
          <t>Arr Stn</t>
        </is>
      </c>
      <c r="H523" s="3" t="inlineStr">
        <is>
          <t>STD</t>
        </is>
      </c>
      <c r="I523" s="3" t="inlineStr">
        <is>
          <t>STA</t>
        </is>
      </c>
      <c r="J523" s="3" t="inlineStr">
        <is>
          <t>subflota</t>
        </is>
      </c>
      <c r="K523" s="3" t="inlineStr">
        <is>
          <t>Conexion</t>
        </is>
      </c>
      <c r="L523" s="3" t="inlineStr">
        <is>
          <t>HBT</t>
        </is>
      </c>
    </row>
    <row r="524">
      <c r="B524" s="4" t="inlineStr">
        <is>
          <t>658_0</t>
        </is>
      </c>
      <c r="C524" s="4" t="inlineStr">
        <is>
          <t>07/09/2026</t>
        </is>
      </c>
      <c r="D524" s="4" t="inlineStr">
        <is>
          <t>lunes</t>
        </is>
      </c>
      <c r="E524" s="4" t="inlineStr">
        <is>
          <t>2067</t>
        </is>
      </c>
      <c r="F524" s="4" t="inlineStr">
        <is>
          <t>LIM</t>
        </is>
      </c>
      <c r="G524" s="4" t="inlineStr">
        <is>
          <t>TCQ</t>
        </is>
      </c>
      <c r="H524" s="4" t="inlineStr">
        <is>
          <t>13:45:00</t>
        </is>
      </c>
      <c r="I524" s="4" t="inlineStr">
        <is>
          <t>15:35:00</t>
        </is>
      </c>
      <c r="J524" s="4" t="inlineStr">
        <is>
          <t>320</t>
        </is>
      </c>
      <c r="L524" s="4" t="inlineStr">
        <is>
          <t>01:50:00</t>
        </is>
      </c>
      <c r="M524" s="5" t="n"/>
      <c r="O524" s="5" t="n"/>
      <c r="Q524" s="4">
        <f>B524</f>
        <v/>
      </c>
      <c r="R524" s="4">
        <f>C524</f>
        <v/>
      </c>
      <c r="S524" s="4">
        <f>D524</f>
        <v/>
      </c>
      <c r="T524" s="4">
        <f>E524&amp;"/"&amp;E525</f>
        <v/>
      </c>
      <c r="U524" s="4">
        <f>F524&amp;"-"&amp;G524&amp;"-"&amp;F524</f>
        <v/>
      </c>
      <c r="V524" s="4">
        <f>IF($M$524="","",$M$524)</f>
        <v/>
      </c>
      <c r="W524" s="4">
        <f>IF($O$524="","",$O$524)</f>
        <v/>
      </c>
      <c r="X524" s="4">
        <f>J524</f>
        <v/>
      </c>
    </row>
    <row r="525">
      <c r="B525" s="4" t="inlineStr">
        <is>
          <t>658_0</t>
        </is>
      </c>
      <c r="C525" s="4" t="inlineStr">
        <is>
          <t>07/09/2026</t>
        </is>
      </c>
      <c r="D525" s="4" t="inlineStr">
        <is>
          <t>lunes</t>
        </is>
      </c>
      <c r="E525" s="4" t="inlineStr">
        <is>
          <t>2068</t>
        </is>
      </c>
      <c r="F525" s="4" t="inlineStr">
        <is>
          <t>TCQ</t>
        </is>
      </c>
      <c r="G525" s="4" t="inlineStr">
        <is>
          <t>LIM</t>
        </is>
      </c>
      <c r="H525" s="4" t="inlineStr">
        <is>
          <t>16:20:00</t>
        </is>
      </c>
      <c r="I525" s="4" t="inlineStr">
        <is>
          <t>18:15:00</t>
        </is>
      </c>
      <c r="J525" s="4" t="inlineStr">
        <is>
          <t>320</t>
        </is>
      </c>
      <c r="K525">
        <f>TEXT(TIMEVALUE(H525)-TIMEVALUE(I524)+(TIMEVALUE(H525)&lt;TIMEVALUE(I524)),"[h]:mm")</f>
        <v/>
      </c>
      <c r="L525" s="4" t="inlineStr">
        <is>
          <t>01:55:00</t>
        </is>
      </c>
      <c r="O525">
        <f>"LIM-"&amp;G524&amp;"-LIM   LA "&amp;E524&amp;" ("&amp;LEFT(H524,5)&amp;"-"&amp;LEFT(I524,5)&amp;" hrs)  /  LA "&amp;E525&amp;" ("&amp;LEFT(H525,5)&amp;"-"&amp;LEFT(I525,5)&amp;" hrs)"</f>
        <v/>
      </c>
    </row>
    <row r="526">
      <c r="J526" s="7" t="inlineStr">
        <is>
          <t>PSV total:</t>
        </is>
      </c>
      <c r="K526" s="8">
        <f>TEXT(TIMEVALUE(I525)-TIMEVALUE(H524)+(I525&lt;H524),"[h]:mm")</f>
        <v/>
      </c>
    </row>
    <row r="528">
      <c r="B528" s="3" t="inlineStr">
        <is>
          <t>Pairing ID</t>
        </is>
      </c>
      <c r="C528" s="3" t="inlineStr">
        <is>
          <t>FECHA REAL</t>
        </is>
      </c>
      <c r="D528" s="3" t="inlineStr">
        <is>
          <t>Day of Week</t>
        </is>
      </c>
      <c r="E528" s="3" t="inlineStr">
        <is>
          <t>Flight No</t>
        </is>
      </c>
      <c r="F528" s="3" t="inlineStr">
        <is>
          <t>Dep Stn</t>
        </is>
      </c>
      <c r="G528" s="3" t="inlineStr">
        <is>
          <t>Arr Stn</t>
        </is>
      </c>
      <c r="H528" s="3" t="inlineStr">
        <is>
          <t>STD</t>
        </is>
      </c>
      <c r="I528" s="3" t="inlineStr">
        <is>
          <t>STA</t>
        </is>
      </c>
      <c r="J528" s="3" t="inlineStr">
        <is>
          <t>subflota</t>
        </is>
      </c>
      <c r="K528" s="3" t="inlineStr">
        <is>
          <t>Conexion</t>
        </is>
      </c>
      <c r="L528" s="3" t="inlineStr">
        <is>
          <t>HBT</t>
        </is>
      </c>
    </row>
    <row r="529">
      <c r="B529" s="4" t="inlineStr">
        <is>
          <t>660_0</t>
        </is>
      </c>
      <c r="C529" s="4" t="inlineStr">
        <is>
          <t>07/09/2026</t>
        </is>
      </c>
      <c r="D529" s="4" t="inlineStr">
        <is>
          <t>lunes</t>
        </is>
      </c>
      <c r="E529" s="4" t="inlineStr">
        <is>
          <t>2087</t>
        </is>
      </c>
      <c r="F529" s="4" t="inlineStr">
        <is>
          <t>LIM</t>
        </is>
      </c>
      <c r="G529" s="4" t="inlineStr">
        <is>
          <t>TPP</t>
        </is>
      </c>
      <c r="H529" s="4" t="inlineStr">
        <is>
          <t>14:05:00</t>
        </is>
      </c>
      <c r="I529" s="4" t="inlineStr">
        <is>
          <t>15:30:00</t>
        </is>
      </c>
      <c r="J529" s="4" t="inlineStr">
        <is>
          <t>320</t>
        </is>
      </c>
      <c r="L529" s="4" t="inlineStr">
        <is>
          <t>01:25:00</t>
        </is>
      </c>
      <c r="M529" s="5" t="n"/>
      <c r="O529" s="5" t="n"/>
      <c r="Q529" s="4">
        <f>B529</f>
        <v/>
      </c>
      <c r="R529" s="4">
        <f>C529</f>
        <v/>
      </c>
      <c r="S529" s="4">
        <f>D529</f>
        <v/>
      </c>
      <c r="T529" s="4">
        <f>E529&amp;"/"&amp;E530</f>
        <v/>
      </c>
      <c r="U529" s="4">
        <f>F529&amp;"-"&amp;G529&amp;"-"&amp;F529</f>
        <v/>
      </c>
      <c r="V529" s="4">
        <f>IF($M$529="","",$M$529)</f>
        <v/>
      </c>
      <c r="W529" s="4">
        <f>IF($O$529="","",$O$529)</f>
        <v/>
      </c>
      <c r="X529" s="4">
        <f>J529</f>
        <v/>
      </c>
    </row>
    <row r="530">
      <c r="B530" s="4" t="inlineStr">
        <is>
          <t>660_0</t>
        </is>
      </c>
      <c r="C530" s="4" t="inlineStr">
        <is>
          <t>07/09/2026</t>
        </is>
      </c>
      <c r="D530" s="4" t="inlineStr">
        <is>
          <t>lunes</t>
        </is>
      </c>
      <c r="E530" s="4" t="inlineStr">
        <is>
          <t>2088</t>
        </is>
      </c>
      <c r="F530" s="4" t="inlineStr">
        <is>
          <t>TPP</t>
        </is>
      </c>
      <c r="G530" s="4" t="inlineStr">
        <is>
          <t>LIM</t>
        </is>
      </c>
      <c r="H530" s="4" t="inlineStr">
        <is>
          <t>16:05:00</t>
        </is>
      </c>
      <c r="I530" s="4" t="inlineStr">
        <is>
          <t>17:30:00</t>
        </is>
      </c>
      <c r="J530" s="4" t="inlineStr">
        <is>
          <t>320</t>
        </is>
      </c>
      <c r="K530">
        <f>TEXT(TIMEVALUE(H530)-TIMEVALUE(I529)+(TIMEVALUE(H530)&lt;TIMEVALUE(I529)),"[h]:mm")</f>
        <v/>
      </c>
      <c r="L530" s="4" t="inlineStr">
        <is>
          <t>01:25:00</t>
        </is>
      </c>
      <c r="O530">
        <f>"LIM-"&amp;G529&amp;"-LIM   LA "&amp;E529&amp;" ("&amp;LEFT(H529,5)&amp;"-"&amp;LEFT(I529,5)&amp;" hrs)  /  LA "&amp;E530&amp;" ("&amp;LEFT(H530,5)&amp;"-"&amp;LEFT(I530,5)&amp;" hrs)"</f>
        <v/>
      </c>
    </row>
    <row r="531">
      <c r="J531" s="7" t="inlineStr">
        <is>
          <t>PSV total:</t>
        </is>
      </c>
      <c r="K531" s="8">
        <f>TEXT(TIMEVALUE(I530)-TIMEVALUE(H529)+(I530&lt;H529),"[h]:mm")</f>
        <v/>
      </c>
    </row>
    <row r="533">
      <c r="B533" s="3" t="inlineStr">
        <is>
          <t>Pairing ID</t>
        </is>
      </c>
      <c r="C533" s="3" t="inlineStr">
        <is>
          <t>FECHA REAL</t>
        </is>
      </c>
      <c r="D533" s="3" t="inlineStr">
        <is>
          <t>Day of Week</t>
        </is>
      </c>
      <c r="E533" s="3" t="inlineStr">
        <is>
          <t>Flight No</t>
        </is>
      </c>
      <c r="F533" s="3" t="inlineStr">
        <is>
          <t>Dep Stn</t>
        </is>
      </c>
      <c r="G533" s="3" t="inlineStr">
        <is>
          <t>Arr Stn</t>
        </is>
      </c>
      <c r="H533" s="3" t="inlineStr">
        <is>
          <t>STD</t>
        </is>
      </c>
      <c r="I533" s="3" t="inlineStr">
        <is>
          <t>STA</t>
        </is>
      </c>
      <c r="J533" s="3" t="inlineStr">
        <is>
          <t>subflota</t>
        </is>
      </c>
      <c r="K533" s="3" t="inlineStr">
        <is>
          <t>Conexion</t>
        </is>
      </c>
      <c r="L533" s="3" t="inlineStr">
        <is>
          <t>HBT</t>
        </is>
      </c>
    </row>
    <row r="534">
      <c r="B534" s="4" t="inlineStr">
        <is>
          <t>661_0</t>
        </is>
      </c>
      <c r="C534" s="4" t="inlineStr">
        <is>
          <t>07/09/2026</t>
        </is>
      </c>
      <c r="D534" s="4" t="inlineStr">
        <is>
          <t>lunes</t>
        </is>
      </c>
      <c r="E534" s="4" t="inlineStr">
        <is>
          <t>2295</t>
        </is>
      </c>
      <c r="F534" s="4" t="inlineStr">
        <is>
          <t>LIM</t>
        </is>
      </c>
      <c r="G534" s="4" t="inlineStr">
        <is>
          <t>CJA</t>
        </is>
      </c>
      <c r="H534" s="4" t="inlineStr">
        <is>
          <t>14:10:00</t>
        </is>
      </c>
      <c r="I534" s="4" t="inlineStr">
        <is>
          <t>15:30:00</t>
        </is>
      </c>
      <c r="J534" s="4" t="inlineStr">
        <is>
          <t>320</t>
        </is>
      </c>
      <c r="L534" s="4" t="inlineStr">
        <is>
          <t>01:20:00</t>
        </is>
      </c>
      <c r="M534" s="5" t="n"/>
      <c r="O534" s="5" t="n"/>
      <c r="Q534" s="4">
        <f>B534</f>
        <v/>
      </c>
      <c r="R534" s="4">
        <f>C534</f>
        <v/>
      </c>
      <c r="S534" s="4">
        <f>D534</f>
        <v/>
      </c>
      <c r="T534" s="4">
        <f>E534&amp;"/"&amp;E535</f>
        <v/>
      </c>
      <c r="U534" s="4">
        <f>F534&amp;"-"&amp;G534&amp;"-"&amp;F534</f>
        <v/>
      </c>
      <c r="V534" s="4">
        <f>IF($M$534="","",$M$534)</f>
        <v/>
      </c>
      <c r="W534" s="4">
        <f>IF($O$534="","",$O$534)</f>
        <v/>
      </c>
      <c r="X534" s="4">
        <f>J534</f>
        <v/>
      </c>
    </row>
    <row r="535">
      <c r="B535" s="4" t="inlineStr">
        <is>
          <t>661_0</t>
        </is>
      </c>
      <c r="C535" s="4" t="inlineStr">
        <is>
          <t>07/09/2026</t>
        </is>
      </c>
      <c r="D535" s="4" t="inlineStr">
        <is>
          <t>lunes</t>
        </is>
      </c>
      <c r="E535" s="4" t="inlineStr">
        <is>
          <t>2294</t>
        </is>
      </c>
      <c r="F535" s="4" t="inlineStr">
        <is>
          <t>CJA</t>
        </is>
      </c>
      <c r="G535" s="4" t="inlineStr">
        <is>
          <t>LIM</t>
        </is>
      </c>
      <c r="H535" s="4" t="inlineStr">
        <is>
          <t>16:10:00</t>
        </is>
      </c>
      <c r="I535" s="4" t="inlineStr">
        <is>
          <t>17:15:00</t>
        </is>
      </c>
      <c r="J535" s="4" t="inlineStr">
        <is>
          <t>320</t>
        </is>
      </c>
      <c r="K535">
        <f>TEXT(TIMEVALUE(H535)-TIMEVALUE(I534)+(TIMEVALUE(H535)&lt;TIMEVALUE(I534)),"[h]:mm")</f>
        <v/>
      </c>
      <c r="L535" s="4" t="inlineStr">
        <is>
          <t>01:05:00</t>
        </is>
      </c>
      <c r="O535">
        <f>"LIM-"&amp;G534&amp;"-LIM   LA "&amp;E534&amp;" ("&amp;LEFT(H534,5)&amp;"-"&amp;LEFT(I534,5)&amp;" hrs)  /  LA "&amp;E535&amp;" ("&amp;LEFT(H535,5)&amp;"-"&amp;LEFT(I535,5)&amp;" hrs)"</f>
        <v/>
      </c>
    </row>
    <row r="536">
      <c r="B536" s="4" t="inlineStr">
        <is>
          <t>677_0</t>
        </is>
      </c>
      <c r="C536" s="4" t="inlineStr">
        <is>
          <t>07/09/2026</t>
        </is>
      </c>
      <c r="D536" s="4" t="inlineStr">
        <is>
          <t>lunes</t>
        </is>
      </c>
      <c r="E536" s="4" t="inlineStr">
        <is>
          <t>2223</t>
        </is>
      </c>
      <c r="F536" s="4" t="inlineStr">
        <is>
          <t>LIM</t>
        </is>
      </c>
      <c r="G536" s="4" t="inlineStr">
        <is>
          <t>CUZ</t>
        </is>
      </c>
      <c r="H536" s="4" t="inlineStr">
        <is>
          <t>18:15:00</t>
        </is>
      </c>
      <c r="I536" s="4" t="inlineStr">
        <is>
          <t>19:40:00</t>
        </is>
      </c>
      <c r="J536" s="4" t="inlineStr">
        <is>
          <t>320</t>
        </is>
      </c>
      <c r="K536" s="6">
        <f>TEXT(TIMEVALUE(H536)-TIMEVALUE(I535)+(TIMEVALUE(H536)&lt;TIMEVALUE(I535)),"[h]:mm")</f>
        <v/>
      </c>
      <c r="L536" s="4" t="inlineStr">
        <is>
          <t>01:25:00</t>
        </is>
      </c>
      <c r="M536">
        <f>IF($M$534="","",$M$534)</f>
        <v/>
      </c>
      <c r="O536">
        <f>IF($O$534="","",$O$534)</f>
        <v/>
      </c>
      <c r="Q536" s="4">
        <f>B536</f>
        <v/>
      </c>
      <c r="R536" s="4">
        <f>C536</f>
        <v/>
      </c>
      <c r="S536" s="4">
        <f>D536</f>
        <v/>
      </c>
      <c r="T536" s="4">
        <f>E536&amp;"/"&amp;E537</f>
        <v/>
      </c>
      <c r="U536" s="4">
        <f>F536&amp;"-"&amp;G536&amp;"-"&amp;F536</f>
        <v/>
      </c>
      <c r="V536" s="4">
        <f>IF($M$534="","",$M$534)</f>
        <v/>
      </c>
      <c r="W536" s="4">
        <f>IF($O$534="","",$O$534)</f>
        <v/>
      </c>
      <c r="X536" s="4">
        <f>J536</f>
        <v/>
      </c>
    </row>
    <row r="537">
      <c r="B537" s="4" t="inlineStr">
        <is>
          <t>677_0</t>
        </is>
      </c>
      <c r="C537" s="4" t="inlineStr">
        <is>
          <t>07/09/2026</t>
        </is>
      </c>
      <c r="D537" s="4" t="inlineStr">
        <is>
          <t>lunes</t>
        </is>
      </c>
      <c r="E537" s="4" t="inlineStr">
        <is>
          <t>2224</t>
        </is>
      </c>
      <c r="F537" s="4" t="inlineStr">
        <is>
          <t>CUZ</t>
        </is>
      </c>
      <c r="G537" s="4" t="inlineStr">
        <is>
          <t>LIM</t>
        </is>
      </c>
      <c r="H537" s="4" t="inlineStr">
        <is>
          <t>21:20:00</t>
        </is>
      </c>
      <c r="I537" s="4" t="inlineStr">
        <is>
          <t>22:55:00</t>
        </is>
      </c>
      <c r="J537" s="4" t="inlineStr">
        <is>
          <t>320</t>
        </is>
      </c>
      <c r="K537">
        <f>TEXT(TIMEVALUE(H537)-TIMEVALUE(I536)+(TIMEVALUE(H537)&lt;TIMEVALUE(I536)),"[h]:mm")</f>
        <v/>
      </c>
      <c r="L537" s="4" t="inlineStr">
        <is>
          <t>01:35:00</t>
        </is>
      </c>
      <c r="O537">
        <f>"LIM-"&amp;G536&amp;"-LIM   LA "&amp;E536&amp;" ("&amp;LEFT(H536,5)&amp;"-"&amp;LEFT(I536,5)&amp;" hrs)  /  LA "&amp;E537&amp;" ("&amp;LEFT(H537,5)&amp;"-"&amp;LEFT(I537,5)&amp;" hrs)"</f>
        <v/>
      </c>
    </row>
    <row r="538">
      <c r="J538" s="7" t="inlineStr">
        <is>
          <t>PSV total:</t>
        </is>
      </c>
      <c r="K538" s="8">
        <f>TEXT(TIMEVALUE(I537)-TIMEVALUE(H534)+(I537&lt;H534),"[h]:mm")</f>
        <v/>
      </c>
    </row>
    <row r="540">
      <c r="B540" s="3" t="inlineStr">
        <is>
          <t>Pairing ID</t>
        </is>
      </c>
      <c r="C540" s="3" t="inlineStr">
        <is>
          <t>FECHA REAL</t>
        </is>
      </c>
      <c r="D540" s="3" t="inlineStr">
        <is>
          <t>Day of Week</t>
        </is>
      </c>
      <c r="E540" s="3" t="inlineStr">
        <is>
          <t>Flight No</t>
        </is>
      </c>
      <c r="F540" s="3" t="inlineStr">
        <is>
          <t>Dep Stn</t>
        </is>
      </c>
      <c r="G540" s="3" t="inlineStr">
        <is>
          <t>Arr Stn</t>
        </is>
      </c>
      <c r="H540" s="3" t="inlineStr">
        <is>
          <t>STD</t>
        </is>
      </c>
      <c r="I540" s="3" t="inlineStr">
        <is>
          <t>STA</t>
        </is>
      </c>
      <c r="J540" s="3" t="inlineStr">
        <is>
          <t>subflota</t>
        </is>
      </c>
      <c r="K540" s="3" t="inlineStr">
        <is>
          <t>Conexion</t>
        </is>
      </c>
      <c r="L540" s="3" t="inlineStr">
        <is>
          <t>HBT</t>
        </is>
      </c>
    </row>
    <row r="541">
      <c r="B541" s="4" t="inlineStr">
        <is>
          <t>665_0</t>
        </is>
      </c>
      <c r="C541" s="4" t="inlineStr">
        <is>
          <t>07/09/2026</t>
        </is>
      </c>
      <c r="D541" s="4" t="inlineStr">
        <is>
          <t>lunes</t>
        </is>
      </c>
      <c r="E541" s="4" t="inlineStr">
        <is>
          <t>2264</t>
        </is>
      </c>
      <c r="F541" s="4" t="inlineStr">
        <is>
          <t>LIM</t>
        </is>
      </c>
      <c r="G541" s="4" t="inlineStr">
        <is>
          <t>PEM</t>
        </is>
      </c>
      <c r="H541" s="4" t="inlineStr">
        <is>
          <t>14:55:00</t>
        </is>
      </c>
      <c r="I541" s="4" t="inlineStr">
        <is>
          <t>16:40:00</t>
        </is>
      </c>
      <c r="J541" s="4" t="inlineStr">
        <is>
          <t>320</t>
        </is>
      </c>
      <c r="L541" s="4" t="inlineStr">
        <is>
          <t>01:45:00</t>
        </is>
      </c>
      <c r="M541" s="5" t="n"/>
      <c r="O541" s="5" t="n"/>
      <c r="Q541" s="4">
        <f>B541</f>
        <v/>
      </c>
      <c r="R541" s="4">
        <f>C541</f>
        <v/>
      </c>
      <c r="S541" s="4">
        <f>D541</f>
        <v/>
      </c>
      <c r="T541" s="4">
        <f>E541&amp;"/"&amp;E542</f>
        <v/>
      </c>
      <c r="U541" s="4">
        <f>F541&amp;"-"&amp;G541&amp;"-"&amp;F541</f>
        <v/>
      </c>
      <c r="V541" s="4">
        <f>IF($M$541="","",$M$541)</f>
        <v/>
      </c>
      <c r="W541" s="4">
        <f>IF($O$541="","",$O$541)</f>
        <v/>
      </c>
      <c r="X541" s="4">
        <f>J541</f>
        <v/>
      </c>
    </row>
    <row r="542">
      <c r="B542" s="4" t="inlineStr">
        <is>
          <t>665_0</t>
        </is>
      </c>
      <c r="C542" s="4" t="inlineStr">
        <is>
          <t>07/09/2026</t>
        </is>
      </c>
      <c r="D542" s="4" t="inlineStr">
        <is>
          <t>lunes</t>
        </is>
      </c>
      <c r="E542" s="4" t="inlineStr">
        <is>
          <t>2265</t>
        </is>
      </c>
      <c r="F542" s="4" t="inlineStr">
        <is>
          <t>PEM</t>
        </is>
      </c>
      <c r="G542" s="4" t="inlineStr">
        <is>
          <t>LIM</t>
        </is>
      </c>
      <c r="H542" s="4" t="inlineStr">
        <is>
          <t>17:20:00</t>
        </is>
      </c>
      <c r="I542" s="4" t="inlineStr">
        <is>
          <t>18:55:00</t>
        </is>
      </c>
      <c r="J542" s="4" t="inlineStr">
        <is>
          <t>320</t>
        </is>
      </c>
      <c r="K542">
        <f>TEXT(TIMEVALUE(H542)-TIMEVALUE(I541)+(TIMEVALUE(H542)&lt;TIMEVALUE(I541)),"[h]:mm")</f>
        <v/>
      </c>
      <c r="L542" s="4" t="inlineStr">
        <is>
          <t>01:35:00</t>
        </is>
      </c>
      <c r="O542">
        <f>"LIM-"&amp;G541&amp;"-LIM   LA "&amp;E541&amp;" ("&amp;LEFT(H541,5)&amp;"-"&amp;LEFT(I541,5)&amp;" hrs)  /  LA "&amp;E542&amp;" ("&amp;LEFT(H542,5)&amp;"-"&amp;LEFT(I542,5)&amp;" hrs)"</f>
        <v/>
      </c>
    </row>
    <row r="543">
      <c r="J543" s="7" t="inlineStr">
        <is>
          <t>PSV total:</t>
        </is>
      </c>
      <c r="K543" s="8">
        <f>TEXT(TIMEVALUE(I542)-TIMEVALUE(H541)+(I542&lt;H541),"[h]:mm")</f>
        <v/>
      </c>
    </row>
    <row r="545">
      <c r="B545" s="3" t="inlineStr">
        <is>
          <t>Pairing ID</t>
        </is>
      </c>
      <c r="C545" s="3" t="inlineStr">
        <is>
          <t>FECHA REAL</t>
        </is>
      </c>
      <c r="D545" s="3" t="inlineStr">
        <is>
          <t>Day of Week</t>
        </is>
      </c>
      <c r="E545" s="3" t="inlineStr">
        <is>
          <t>Flight No</t>
        </is>
      </c>
      <c r="F545" s="3" t="inlineStr">
        <is>
          <t>Dep Stn</t>
        </is>
      </c>
      <c r="G545" s="3" t="inlineStr">
        <is>
          <t>Arr Stn</t>
        </is>
      </c>
      <c r="H545" s="3" t="inlineStr">
        <is>
          <t>STD</t>
        </is>
      </c>
      <c r="I545" s="3" t="inlineStr">
        <is>
          <t>STA</t>
        </is>
      </c>
      <c r="J545" s="3" t="inlineStr">
        <is>
          <t>subflota</t>
        </is>
      </c>
      <c r="K545" s="3" t="inlineStr">
        <is>
          <t>Conexion</t>
        </is>
      </c>
      <c r="L545" s="3" t="inlineStr">
        <is>
          <t>HBT</t>
        </is>
      </c>
    </row>
    <row r="546">
      <c r="B546" s="4" t="inlineStr">
        <is>
          <t>666_0</t>
        </is>
      </c>
      <c r="C546" s="4" t="inlineStr">
        <is>
          <t>07/09/2026</t>
        </is>
      </c>
      <c r="D546" s="4" t="inlineStr">
        <is>
          <t>lunes</t>
        </is>
      </c>
      <c r="E546" s="4" t="inlineStr">
        <is>
          <t>2248</t>
        </is>
      </c>
      <c r="F546" s="4" t="inlineStr">
        <is>
          <t>LIM</t>
        </is>
      </c>
      <c r="G546" s="4" t="inlineStr">
        <is>
          <t>CUZ</t>
        </is>
      </c>
      <c r="H546" s="4" t="inlineStr">
        <is>
          <t>15:00:00</t>
        </is>
      </c>
      <c r="I546" s="4" t="inlineStr">
        <is>
          <t>16:20:00</t>
        </is>
      </c>
      <c r="J546" s="4" t="inlineStr">
        <is>
          <t>320</t>
        </is>
      </c>
      <c r="L546" s="4" t="inlineStr">
        <is>
          <t>01:20:00</t>
        </is>
      </c>
      <c r="M546" s="5" t="n"/>
      <c r="O546" s="5" t="n"/>
      <c r="Q546" s="4">
        <f>B546</f>
        <v/>
      </c>
      <c r="R546" s="4">
        <f>C546</f>
        <v/>
      </c>
      <c r="S546" s="4">
        <f>D546</f>
        <v/>
      </c>
      <c r="T546" s="4">
        <f>E546&amp;"/"&amp;E547</f>
        <v/>
      </c>
      <c r="U546" s="4">
        <f>F546&amp;"-"&amp;G546&amp;"-"&amp;F546</f>
        <v/>
      </c>
      <c r="V546" s="4">
        <f>IF($M$546="","",$M$546)</f>
        <v/>
      </c>
      <c r="W546" s="4">
        <f>IF($O$546="","",$O$546)</f>
        <v/>
      </c>
      <c r="X546" s="4">
        <f>J546</f>
        <v/>
      </c>
    </row>
    <row r="547">
      <c r="B547" s="4" t="inlineStr">
        <is>
          <t>666_0</t>
        </is>
      </c>
      <c r="C547" s="4" t="inlineStr">
        <is>
          <t>07/09/2026</t>
        </is>
      </c>
      <c r="D547" s="4" t="inlineStr">
        <is>
          <t>lunes</t>
        </is>
      </c>
      <c r="E547" s="4" t="inlineStr">
        <is>
          <t>2249</t>
        </is>
      </c>
      <c r="F547" s="4" t="inlineStr">
        <is>
          <t>CUZ</t>
        </is>
      </c>
      <c r="G547" s="4" t="inlineStr">
        <is>
          <t>LIM</t>
        </is>
      </c>
      <c r="H547" s="4" t="inlineStr">
        <is>
          <t>17:00:00</t>
        </is>
      </c>
      <c r="I547" s="4" t="inlineStr">
        <is>
          <t>18:35:00</t>
        </is>
      </c>
      <c r="J547" s="4" t="inlineStr">
        <is>
          <t>320</t>
        </is>
      </c>
      <c r="K547">
        <f>TEXT(TIMEVALUE(H547)-TIMEVALUE(I546)+(TIMEVALUE(H547)&lt;TIMEVALUE(I546)),"[h]:mm")</f>
        <v/>
      </c>
      <c r="L547" s="4" t="inlineStr">
        <is>
          <t>01:35:00</t>
        </is>
      </c>
      <c r="O547">
        <f>"LIM-"&amp;G546&amp;"-LIM   LA "&amp;E546&amp;" ("&amp;LEFT(H546,5)&amp;"-"&amp;LEFT(I546,5)&amp;" hrs)  /  LA "&amp;E547&amp;" ("&amp;LEFT(H547,5)&amp;"-"&amp;LEFT(I547,5)&amp;" hrs)"</f>
        <v/>
      </c>
    </row>
    <row r="548">
      <c r="J548" s="7" t="inlineStr">
        <is>
          <t>PSV total:</t>
        </is>
      </c>
      <c r="K548" s="8">
        <f>TEXT(TIMEVALUE(I547)-TIMEVALUE(H546)+(I547&lt;H546),"[h]:mm")</f>
        <v/>
      </c>
    </row>
    <row r="550">
      <c r="B550" s="3" t="inlineStr">
        <is>
          <t>Pairing ID</t>
        </is>
      </c>
      <c r="C550" s="3" t="inlineStr">
        <is>
          <t>FECHA REAL</t>
        </is>
      </c>
      <c r="D550" s="3" t="inlineStr">
        <is>
          <t>Day of Week</t>
        </is>
      </c>
      <c r="E550" s="3" t="inlineStr">
        <is>
          <t>Flight No</t>
        </is>
      </c>
      <c r="F550" s="3" t="inlineStr">
        <is>
          <t>Dep Stn</t>
        </is>
      </c>
      <c r="G550" s="3" t="inlineStr">
        <is>
          <t>Arr Stn</t>
        </is>
      </c>
      <c r="H550" s="3" t="inlineStr">
        <is>
          <t>STD</t>
        </is>
      </c>
      <c r="I550" s="3" t="inlineStr">
        <is>
          <t>STA</t>
        </is>
      </c>
      <c r="J550" s="3" t="inlineStr">
        <is>
          <t>subflota</t>
        </is>
      </c>
      <c r="K550" s="3" t="inlineStr">
        <is>
          <t>Conexion</t>
        </is>
      </c>
      <c r="L550" s="3" t="inlineStr">
        <is>
          <t>HBT</t>
        </is>
      </c>
    </row>
    <row r="551">
      <c r="B551" s="4" t="inlineStr">
        <is>
          <t>670_0</t>
        </is>
      </c>
      <c r="C551" s="4" t="inlineStr">
        <is>
          <t>07/09/2026</t>
        </is>
      </c>
      <c r="D551" s="4" t="inlineStr">
        <is>
          <t>lunes</t>
        </is>
      </c>
      <c r="E551" s="4" t="inlineStr">
        <is>
          <t>2297</t>
        </is>
      </c>
      <c r="F551" s="4" t="inlineStr">
        <is>
          <t>LIM</t>
        </is>
      </c>
      <c r="G551" s="4" t="inlineStr">
        <is>
          <t>CJA</t>
        </is>
      </c>
      <c r="H551" s="4" t="inlineStr">
        <is>
          <t>15:15:00</t>
        </is>
      </c>
      <c r="I551" s="4" t="inlineStr">
        <is>
          <t>16:35:00</t>
        </is>
      </c>
      <c r="J551" s="4" t="inlineStr">
        <is>
          <t>320</t>
        </is>
      </c>
      <c r="L551" s="4" t="inlineStr">
        <is>
          <t>01:20:00</t>
        </is>
      </c>
      <c r="M551" s="5" t="n"/>
      <c r="O551" s="5" t="n"/>
      <c r="Q551" s="4">
        <f>B551</f>
        <v/>
      </c>
      <c r="R551" s="4">
        <f>C551</f>
        <v/>
      </c>
      <c r="S551" s="4">
        <f>D551</f>
        <v/>
      </c>
      <c r="T551" s="4">
        <f>E551&amp;"/"&amp;E552</f>
        <v/>
      </c>
      <c r="U551" s="4">
        <f>F551&amp;"-"&amp;G551&amp;"-"&amp;F551</f>
        <v/>
      </c>
      <c r="V551" s="4">
        <f>IF($M$551="","",$M$551)</f>
        <v/>
      </c>
      <c r="W551" s="4">
        <f>IF($O$551="","",$O$551)</f>
        <v/>
      </c>
      <c r="X551" s="4">
        <f>J551</f>
        <v/>
      </c>
    </row>
    <row r="552">
      <c r="B552" s="4" t="inlineStr">
        <is>
          <t>670_0</t>
        </is>
      </c>
      <c r="C552" s="4" t="inlineStr">
        <is>
          <t>07/09/2026</t>
        </is>
      </c>
      <c r="D552" s="4" t="inlineStr">
        <is>
          <t>lunes</t>
        </is>
      </c>
      <c r="E552" s="4" t="inlineStr">
        <is>
          <t>2296</t>
        </is>
      </c>
      <c r="F552" s="4" t="inlineStr">
        <is>
          <t>CJA</t>
        </is>
      </c>
      <c r="G552" s="4" t="inlineStr">
        <is>
          <t>LIM</t>
        </is>
      </c>
      <c r="H552" s="4" t="inlineStr">
        <is>
          <t>17:20:00</t>
        </is>
      </c>
      <c r="I552" s="4" t="inlineStr">
        <is>
          <t>18:25:00</t>
        </is>
      </c>
      <c r="J552" s="4" t="inlineStr">
        <is>
          <t>320</t>
        </is>
      </c>
      <c r="K552">
        <f>TEXT(TIMEVALUE(H552)-TIMEVALUE(I551)+(TIMEVALUE(H552)&lt;TIMEVALUE(I551)),"[h]:mm")</f>
        <v/>
      </c>
      <c r="L552" s="4" t="inlineStr">
        <is>
          <t>01:05:00</t>
        </is>
      </c>
      <c r="O552">
        <f>"LIM-"&amp;G551&amp;"-LIM   LA "&amp;E551&amp;" ("&amp;LEFT(H551,5)&amp;"-"&amp;LEFT(I551,5)&amp;" hrs)  /  LA "&amp;E552&amp;" ("&amp;LEFT(H552,5)&amp;"-"&amp;LEFT(I552,5)&amp;" hrs)"</f>
        <v/>
      </c>
    </row>
    <row r="553">
      <c r="J553" s="7" t="inlineStr">
        <is>
          <t>PSV total:</t>
        </is>
      </c>
      <c r="K553" s="8">
        <f>TEXT(TIMEVALUE(I552)-TIMEVALUE(H551)+(I552&lt;H551),"[h]:mm")</f>
        <v/>
      </c>
    </row>
    <row r="555">
      <c r="B555" s="3" t="inlineStr">
        <is>
          <t>Pairing ID</t>
        </is>
      </c>
      <c r="C555" s="3" t="inlineStr">
        <is>
          <t>FECHA REAL</t>
        </is>
      </c>
      <c r="D555" s="3" t="inlineStr">
        <is>
          <t>Day of Week</t>
        </is>
      </c>
      <c r="E555" s="3" t="inlineStr">
        <is>
          <t>Flight No</t>
        </is>
      </c>
      <c r="F555" s="3" t="inlineStr">
        <is>
          <t>Dep Stn</t>
        </is>
      </c>
      <c r="G555" s="3" t="inlineStr">
        <is>
          <t>Arr Stn</t>
        </is>
      </c>
      <c r="H555" s="3" t="inlineStr">
        <is>
          <t>STD</t>
        </is>
      </c>
      <c r="I555" s="3" t="inlineStr">
        <is>
          <t>STA</t>
        </is>
      </c>
      <c r="J555" s="3" t="inlineStr">
        <is>
          <t>subflota</t>
        </is>
      </c>
      <c r="K555" s="3" t="inlineStr">
        <is>
          <t>Conexion</t>
        </is>
      </c>
      <c r="L555" s="3" t="inlineStr">
        <is>
          <t>HBT</t>
        </is>
      </c>
    </row>
    <row r="556">
      <c r="B556" s="4" t="inlineStr">
        <is>
          <t>672_0</t>
        </is>
      </c>
      <c r="C556" s="4" t="inlineStr">
        <is>
          <t>07/09/2026</t>
        </is>
      </c>
      <c r="D556" s="4" t="inlineStr">
        <is>
          <t>lunes</t>
        </is>
      </c>
      <c r="E556" s="4" t="inlineStr">
        <is>
          <t>2312</t>
        </is>
      </c>
      <c r="F556" s="4" t="inlineStr">
        <is>
          <t>LIM</t>
        </is>
      </c>
      <c r="G556" s="4" t="inlineStr">
        <is>
          <t>CIX</t>
        </is>
      </c>
      <c r="H556" s="4" t="inlineStr">
        <is>
          <t>15:35:00</t>
        </is>
      </c>
      <c r="I556" s="4" t="inlineStr">
        <is>
          <t>17:05:00</t>
        </is>
      </c>
      <c r="J556" s="4" t="inlineStr">
        <is>
          <t>319</t>
        </is>
      </c>
      <c r="L556" s="4" t="inlineStr">
        <is>
          <t>01:30:00</t>
        </is>
      </c>
      <c r="M556" s="5" t="n"/>
      <c r="O556" s="5" t="n"/>
      <c r="Q556" s="4">
        <f>B556</f>
        <v/>
      </c>
      <c r="R556" s="4">
        <f>C556</f>
        <v/>
      </c>
      <c r="S556" s="4">
        <f>D556</f>
        <v/>
      </c>
      <c r="T556" s="4">
        <f>E556&amp;"/"&amp;E557</f>
        <v/>
      </c>
      <c r="U556" s="4">
        <f>F556&amp;"-"&amp;G556&amp;"-"&amp;F556</f>
        <v/>
      </c>
      <c r="V556" s="4">
        <f>IF($M$556="","",$M$556)</f>
        <v/>
      </c>
      <c r="W556" s="4">
        <f>IF($O$556="","",$O$556)</f>
        <v/>
      </c>
      <c r="X556" s="4">
        <f>J556</f>
        <v/>
      </c>
    </row>
    <row r="557">
      <c r="B557" s="4" t="inlineStr">
        <is>
          <t>672_0</t>
        </is>
      </c>
      <c r="C557" s="4" t="inlineStr">
        <is>
          <t>07/09/2026</t>
        </is>
      </c>
      <c r="D557" s="4" t="inlineStr">
        <is>
          <t>lunes</t>
        </is>
      </c>
      <c r="E557" s="4" t="inlineStr">
        <is>
          <t>2313</t>
        </is>
      </c>
      <c r="F557" s="4" t="inlineStr">
        <is>
          <t>CIX</t>
        </is>
      </c>
      <c r="G557" s="4" t="inlineStr">
        <is>
          <t>LIM</t>
        </is>
      </c>
      <c r="H557" s="4" t="inlineStr">
        <is>
          <t>17:50:00</t>
        </is>
      </c>
      <c r="I557" s="4" t="inlineStr">
        <is>
          <t>19:10:00</t>
        </is>
      </c>
      <c r="J557" s="4" t="inlineStr">
        <is>
          <t>319</t>
        </is>
      </c>
      <c r="K557">
        <f>TEXT(TIMEVALUE(H557)-TIMEVALUE(I556)+(TIMEVALUE(H557)&lt;TIMEVALUE(I556)),"[h]:mm")</f>
        <v/>
      </c>
      <c r="L557" s="4" t="inlineStr">
        <is>
          <t>01:20:00</t>
        </is>
      </c>
      <c r="O557">
        <f>"LIM-"&amp;G556&amp;"-LIM   LA "&amp;E556&amp;" ("&amp;LEFT(H556,5)&amp;"-"&amp;LEFT(I556,5)&amp;" hrs)  /  LA "&amp;E557&amp;" ("&amp;LEFT(H557,5)&amp;"-"&amp;LEFT(I557,5)&amp;" hrs)"</f>
        <v/>
      </c>
    </row>
    <row r="558">
      <c r="J558" s="7" t="inlineStr">
        <is>
          <t>PSV total:</t>
        </is>
      </c>
      <c r="K558" s="8">
        <f>TEXT(TIMEVALUE(I557)-TIMEVALUE(H556)+(I557&lt;H556),"[h]:mm")</f>
        <v/>
      </c>
    </row>
    <row r="560">
      <c r="B560" s="3" t="inlineStr">
        <is>
          <t>Pairing ID</t>
        </is>
      </c>
      <c r="C560" s="3" t="inlineStr">
        <is>
          <t>FECHA REAL</t>
        </is>
      </c>
      <c r="D560" s="3" t="inlineStr">
        <is>
          <t>Day of Week</t>
        </is>
      </c>
      <c r="E560" s="3" t="inlineStr">
        <is>
          <t>Flight No</t>
        </is>
      </c>
      <c r="F560" s="3" t="inlineStr">
        <is>
          <t>Dep Stn</t>
        </is>
      </c>
      <c r="G560" s="3" t="inlineStr">
        <is>
          <t>Arr Stn</t>
        </is>
      </c>
      <c r="H560" s="3" t="inlineStr">
        <is>
          <t>STD</t>
        </is>
      </c>
      <c r="I560" s="3" t="inlineStr">
        <is>
          <t>STA</t>
        </is>
      </c>
      <c r="J560" s="3" t="inlineStr">
        <is>
          <t>subflota</t>
        </is>
      </c>
      <c r="K560" s="3" t="inlineStr">
        <is>
          <t>Conexion</t>
        </is>
      </c>
      <c r="L560" s="3" t="inlineStr">
        <is>
          <t>HBT</t>
        </is>
      </c>
    </row>
    <row r="561">
      <c r="B561" s="4" t="inlineStr">
        <is>
          <t>716_0</t>
        </is>
      </c>
      <c r="C561" s="4" t="inlineStr">
        <is>
          <t>08/09/2026</t>
        </is>
      </c>
      <c r="D561" s="4" t="inlineStr">
        <is>
          <t>martes</t>
        </is>
      </c>
      <c r="E561" s="4" t="inlineStr">
        <is>
          <t>2013</t>
        </is>
      </c>
      <c r="F561" s="4" t="inlineStr">
        <is>
          <t>LIM</t>
        </is>
      </c>
      <c r="G561" s="4" t="inlineStr">
        <is>
          <t>CUZ</t>
        </is>
      </c>
      <c r="H561" s="4" t="inlineStr">
        <is>
          <t>08:35:00</t>
        </is>
      </c>
      <c r="I561" s="4" t="inlineStr">
        <is>
          <t>09:55:00</t>
        </is>
      </c>
      <c r="J561" s="4" t="inlineStr">
        <is>
          <t>319</t>
        </is>
      </c>
      <c r="L561" s="4" t="inlineStr">
        <is>
          <t>01:20:00</t>
        </is>
      </c>
      <c r="M561" s="5" t="n"/>
      <c r="O561" s="5" t="n"/>
      <c r="Q561" s="4">
        <f>B561</f>
        <v/>
      </c>
      <c r="R561" s="4">
        <f>C561</f>
        <v/>
      </c>
      <c r="S561" s="4">
        <f>D561</f>
        <v/>
      </c>
      <c r="T561" s="4">
        <f>E561&amp;"/"&amp;E562</f>
        <v/>
      </c>
      <c r="U561" s="4">
        <f>F561&amp;"-"&amp;G561&amp;"-"&amp;F561</f>
        <v/>
      </c>
      <c r="V561" s="4">
        <f>IF($M$561="","",$M$561)</f>
        <v/>
      </c>
      <c r="W561" s="4">
        <f>IF($O$561="","",$O$561)</f>
        <v/>
      </c>
      <c r="X561" s="4">
        <f>J561</f>
        <v/>
      </c>
    </row>
    <row r="562">
      <c r="B562" s="4" t="inlineStr">
        <is>
          <t>716_0</t>
        </is>
      </c>
      <c r="C562" s="4" t="inlineStr">
        <is>
          <t>08/09/2026</t>
        </is>
      </c>
      <c r="D562" s="4" t="inlineStr">
        <is>
          <t>martes</t>
        </is>
      </c>
      <c r="E562" s="4" t="inlineStr">
        <is>
          <t>2014</t>
        </is>
      </c>
      <c r="F562" s="4" t="inlineStr">
        <is>
          <t>CUZ</t>
        </is>
      </c>
      <c r="G562" s="4" t="inlineStr">
        <is>
          <t>LIM</t>
        </is>
      </c>
      <c r="H562" s="4" t="inlineStr">
        <is>
          <t>10:40:00</t>
        </is>
      </c>
      <c r="I562" s="4" t="inlineStr">
        <is>
          <t>12:15:00</t>
        </is>
      </c>
      <c r="J562" s="4" t="inlineStr">
        <is>
          <t>319</t>
        </is>
      </c>
      <c r="K562">
        <f>TEXT(TIMEVALUE(H562)-TIMEVALUE(I561)+(TIMEVALUE(H562)&lt;TIMEVALUE(I561)),"[h]:mm")</f>
        <v/>
      </c>
      <c r="L562" s="4" t="inlineStr">
        <is>
          <t>01:35:00</t>
        </is>
      </c>
      <c r="O562">
        <f>"LIM-"&amp;G561&amp;"-LIM   LA "&amp;E561&amp;" ("&amp;LEFT(H561,5)&amp;"-"&amp;LEFT(I561,5)&amp;" hrs)  /  LA "&amp;E562&amp;" ("&amp;LEFT(H562,5)&amp;"-"&amp;LEFT(I562,5)&amp;" hrs)"</f>
        <v/>
      </c>
    </row>
    <row r="563">
      <c r="J563" s="7" t="inlineStr">
        <is>
          <t>PSV total:</t>
        </is>
      </c>
      <c r="K563" s="8">
        <f>TEXT(TIMEVALUE(I562)-TIMEVALUE(H561)+(I562&lt;H561),"[h]:mm")</f>
        <v/>
      </c>
    </row>
    <row r="565">
      <c r="B565" s="3" t="inlineStr">
        <is>
          <t>Pairing ID</t>
        </is>
      </c>
      <c r="C565" s="3" t="inlineStr">
        <is>
          <t>FECHA REAL</t>
        </is>
      </c>
      <c r="D565" s="3" t="inlineStr">
        <is>
          <t>Day of Week</t>
        </is>
      </c>
      <c r="E565" s="3" t="inlineStr">
        <is>
          <t>Flight No</t>
        </is>
      </c>
      <c r="F565" s="3" t="inlineStr">
        <is>
          <t>Dep Stn</t>
        </is>
      </c>
      <c r="G565" s="3" t="inlineStr">
        <is>
          <t>Arr Stn</t>
        </is>
      </c>
      <c r="H565" s="3" t="inlineStr">
        <is>
          <t>STD</t>
        </is>
      </c>
      <c r="I565" s="3" t="inlineStr">
        <is>
          <t>STA</t>
        </is>
      </c>
      <c r="J565" s="3" t="inlineStr">
        <is>
          <t>subflota</t>
        </is>
      </c>
      <c r="K565" s="3" t="inlineStr">
        <is>
          <t>Conexion</t>
        </is>
      </c>
      <c r="L565" s="3" t="inlineStr">
        <is>
          <t>HBT</t>
        </is>
      </c>
    </row>
    <row r="566">
      <c r="B566" s="4" t="inlineStr">
        <is>
          <t>723_0</t>
        </is>
      </c>
      <c r="C566" s="4" t="inlineStr">
        <is>
          <t>08/09/2026</t>
        </is>
      </c>
      <c r="D566" s="4" t="inlineStr">
        <is>
          <t>martes</t>
        </is>
      </c>
      <c r="E566" s="4" t="inlineStr">
        <is>
          <t>2015</t>
        </is>
      </c>
      <c r="F566" s="4" t="inlineStr">
        <is>
          <t>LIM</t>
        </is>
      </c>
      <c r="G566" s="4" t="inlineStr">
        <is>
          <t>PIU</t>
        </is>
      </c>
      <c r="H566" s="4" t="inlineStr">
        <is>
          <t>10:55:00</t>
        </is>
      </c>
      <c r="I566" s="4" t="inlineStr">
        <is>
          <t>12:40:00</t>
        </is>
      </c>
      <c r="J566" s="4" t="inlineStr">
        <is>
          <t>320</t>
        </is>
      </c>
      <c r="L566" s="4" t="inlineStr">
        <is>
          <t>01:45:00</t>
        </is>
      </c>
      <c r="M566" s="5" t="n"/>
      <c r="O566" s="5" t="n"/>
      <c r="Q566" s="4">
        <f>B566</f>
        <v/>
      </c>
      <c r="R566" s="4">
        <f>C566</f>
        <v/>
      </c>
      <c r="S566" s="4">
        <f>D566</f>
        <v/>
      </c>
      <c r="T566" s="4">
        <f>E566&amp;"/"&amp;E567</f>
        <v/>
      </c>
      <c r="U566" s="4">
        <f>F566&amp;"-"&amp;G566&amp;"-"&amp;F566</f>
        <v/>
      </c>
      <c r="V566" s="4">
        <f>IF($M$566="","",$M$566)</f>
        <v/>
      </c>
      <c r="W566" s="4">
        <f>IF($O$566="","",$O$566)</f>
        <v/>
      </c>
      <c r="X566" s="4">
        <f>J566</f>
        <v/>
      </c>
    </row>
    <row r="567">
      <c r="B567" s="4" t="inlineStr">
        <is>
          <t>723_0</t>
        </is>
      </c>
      <c r="C567" s="4" t="inlineStr">
        <is>
          <t>08/09/2026</t>
        </is>
      </c>
      <c r="D567" s="4" t="inlineStr">
        <is>
          <t>martes</t>
        </is>
      </c>
      <c r="E567" s="4" t="inlineStr">
        <is>
          <t>2016</t>
        </is>
      </c>
      <c r="F567" s="4" t="inlineStr">
        <is>
          <t>PIU</t>
        </is>
      </c>
      <c r="G567" s="4" t="inlineStr">
        <is>
          <t>LIM</t>
        </is>
      </c>
      <c r="H567" s="4" t="inlineStr">
        <is>
          <t>13:20:00</t>
        </is>
      </c>
      <c r="I567" s="4" t="inlineStr">
        <is>
          <t>14:55:00</t>
        </is>
      </c>
      <c r="J567" s="4" t="inlineStr">
        <is>
          <t>320</t>
        </is>
      </c>
      <c r="K567">
        <f>TEXT(TIMEVALUE(H567)-TIMEVALUE(I566)+(TIMEVALUE(H567)&lt;TIMEVALUE(I566)),"[h]:mm")</f>
        <v/>
      </c>
      <c r="L567" s="4" t="inlineStr">
        <is>
          <t>01:35:00</t>
        </is>
      </c>
      <c r="O567">
        <f>"LIM-"&amp;G566&amp;"-LIM   LA "&amp;E566&amp;" ("&amp;LEFT(H566,5)&amp;"-"&amp;LEFT(I566,5)&amp;" hrs)  /  LA "&amp;E567&amp;" ("&amp;LEFT(H567,5)&amp;"-"&amp;LEFT(I567,5)&amp;" hrs)"</f>
        <v/>
      </c>
    </row>
    <row r="568">
      <c r="B568" s="4" t="inlineStr">
        <is>
          <t>751_0</t>
        </is>
      </c>
      <c r="C568" s="4" t="inlineStr">
        <is>
          <t>08/09/2026</t>
        </is>
      </c>
      <c r="D568" s="4" t="inlineStr">
        <is>
          <t>martes</t>
        </is>
      </c>
      <c r="E568" s="4" t="inlineStr">
        <is>
          <t>2053</t>
        </is>
      </c>
      <c r="F568" s="4" t="inlineStr">
        <is>
          <t>LIM</t>
        </is>
      </c>
      <c r="G568" s="4" t="inlineStr">
        <is>
          <t>TBP</t>
        </is>
      </c>
      <c r="H568" s="4" t="inlineStr">
        <is>
          <t>16:20:00</t>
        </is>
      </c>
      <c r="I568" s="4" t="inlineStr">
        <is>
          <t>18:10:00</t>
        </is>
      </c>
      <c r="J568" s="4" t="inlineStr">
        <is>
          <t>320</t>
        </is>
      </c>
      <c r="K568" s="6">
        <f>TEXT(TIMEVALUE(H568)-TIMEVALUE(I567)+(TIMEVALUE(H568)&lt;TIMEVALUE(I567)),"[h]:mm")</f>
        <v/>
      </c>
      <c r="L568" s="4" t="inlineStr">
        <is>
          <t>01:50:00</t>
        </is>
      </c>
      <c r="M568">
        <f>IF($M$566="","",$M$566)</f>
        <v/>
      </c>
      <c r="O568">
        <f>IF($O$566="","",$O$566)</f>
        <v/>
      </c>
      <c r="Q568" s="4">
        <f>B568</f>
        <v/>
      </c>
      <c r="R568" s="4">
        <f>C568</f>
        <v/>
      </c>
      <c r="S568" s="4">
        <f>D568</f>
        <v/>
      </c>
      <c r="T568" s="4">
        <f>E568&amp;"/"&amp;E569</f>
        <v/>
      </c>
      <c r="U568" s="4">
        <f>F568&amp;"-"&amp;G568&amp;"-"&amp;F568</f>
        <v/>
      </c>
      <c r="V568" s="4">
        <f>IF($M$566="","",$M$566)</f>
        <v/>
      </c>
      <c r="W568" s="4">
        <f>IF($O$566="","",$O$566)</f>
        <v/>
      </c>
      <c r="X568" s="4">
        <f>J568</f>
        <v/>
      </c>
    </row>
    <row r="569">
      <c r="B569" s="4" t="inlineStr">
        <is>
          <t>751_0</t>
        </is>
      </c>
      <c r="C569" s="4" t="inlineStr">
        <is>
          <t>08/09/2026</t>
        </is>
      </c>
      <c r="D569" s="4" t="inlineStr">
        <is>
          <t>martes</t>
        </is>
      </c>
      <c r="E569" s="4" t="inlineStr">
        <is>
          <t>2054</t>
        </is>
      </c>
      <c r="F569" s="4" t="inlineStr">
        <is>
          <t>TBP</t>
        </is>
      </c>
      <c r="G569" s="4" t="inlineStr">
        <is>
          <t>LIM</t>
        </is>
      </c>
      <c r="H569" s="4" t="inlineStr">
        <is>
          <t>18:50:00</t>
        </is>
      </c>
      <c r="I569" s="4" t="inlineStr">
        <is>
          <t>20:30:00</t>
        </is>
      </c>
      <c r="J569" s="4" t="inlineStr">
        <is>
          <t>320</t>
        </is>
      </c>
      <c r="K569">
        <f>TEXT(TIMEVALUE(H569)-TIMEVALUE(I568)+(TIMEVALUE(H569)&lt;TIMEVALUE(I568)),"[h]:mm")</f>
        <v/>
      </c>
      <c r="L569" s="4" t="inlineStr">
        <is>
          <t>01:40:00</t>
        </is>
      </c>
      <c r="O569">
        <f>"LIM-"&amp;G568&amp;"-LIM   LA "&amp;E568&amp;" ("&amp;LEFT(H568,5)&amp;"-"&amp;LEFT(I568,5)&amp;" hrs)  /  LA "&amp;E569&amp;" ("&amp;LEFT(H569,5)&amp;"-"&amp;LEFT(I569,5)&amp;" hrs)"</f>
        <v/>
      </c>
    </row>
    <row r="570">
      <c r="J570" s="7" t="inlineStr">
        <is>
          <t>PSV total:</t>
        </is>
      </c>
      <c r="K570" s="8">
        <f>TEXT(TIMEVALUE(I569)-TIMEVALUE(H566)+(I569&lt;H566),"[h]:mm")</f>
        <v/>
      </c>
    </row>
    <row r="572">
      <c r="B572" s="3" t="inlineStr">
        <is>
          <t>Pairing ID</t>
        </is>
      </c>
      <c r="C572" s="3" t="inlineStr">
        <is>
          <t>FECHA REAL</t>
        </is>
      </c>
      <c r="D572" s="3" t="inlineStr">
        <is>
          <t>Day of Week</t>
        </is>
      </c>
      <c r="E572" s="3" t="inlineStr">
        <is>
          <t>Flight No</t>
        </is>
      </c>
      <c r="F572" s="3" t="inlineStr">
        <is>
          <t>Dep Stn</t>
        </is>
      </c>
      <c r="G572" s="3" t="inlineStr">
        <is>
          <t>Arr Stn</t>
        </is>
      </c>
      <c r="H572" s="3" t="inlineStr">
        <is>
          <t>STD</t>
        </is>
      </c>
      <c r="I572" s="3" t="inlineStr">
        <is>
          <t>STA</t>
        </is>
      </c>
      <c r="J572" s="3" t="inlineStr">
        <is>
          <t>subflota</t>
        </is>
      </c>
      <c r="K572" s="3" t="inlineStr">
        <is>
          <t>Conexion</t>
        </is>
      </c>
      <c r="L572" s="3" t="inlineStr">
        <is>
          <t>HBT</t>
        </is>
      </c>
    </row>
    <row r="573">
      <c r="B573" s="4" t="inlineStr">
        <is>
          <t>728_0</t>
        </is>
      </c>
      <c r="C573" s="4" t="inlineStr">
        <is>
          <t>08/09/2026</t>
        </is>
      </c>
      <c r="D573" s="4" t="inlineStr">
        <is>
          <t>martes</t>
        </is>
      </c>
      <c r="E573" s="4" t="inlineStr">
        <is>
          <t>2061</t>
        </is>
      </c>
      <c r="F573" s="4" t="inlineStr">
        <is>
          <t>LIM</t>
        </is>
      </c>
      <c r="G573" s="4" t="inlineStr">
        <is>
          <t>CUZ</t>
        </is>
      </c>
      <c r="H573" s="4" t="inlineStr">
        <is>
          <t>11:40:00</t>
        </is>
      </c>
      <c r="I573" s="4" t="inlineStr">
        <is>
          <t>13:00:00</t>
        </is>
      </c>
      <c r="J573" s="4" t="inlineStr">
        <is>
          <t>320</t>
        </is>
      </c>
      <c r="L573" s="4" t="inlineStr">
        <is>
          <t>01:20:00</t>
        </is>
      </c>
      <c r="M573" s="5" t="n"/>
      <c r="O573" s="5" t="n"/>
      <c r="Q573" s="4">
        <f>B573</f>
        <v/>
      </c>
      <c r="R573" s="4">
        <f>C573</f>
        <v/>
      </c>
      <c r="S573" s="4">
        <f>D573</f>
        <v/>
      </c>
      <c r="T573" s="4">
        <f>E573&amp;"/"&amp;E574</f>
        <v/>
      </c>
      <c r="U573" s="4">
        <f>F573&amp;"-"&amp;G573&amp;"-"&amp;F573</f>
        <v/>
      </c>
      <c r="V573" s="4">
        <f>IF($M$573="","",$M$573)</f>
        <v/>
      </c>
      <c r="W573" s="4">
        <f>IF($O$573="","",$O$573)</f>
        <v/>
      </c>
      <c r="X573" s="4">
        <f>J573</f>
        <v/>
      </c>
    </row>
    <row r="574">
      <c r="B574" s="4" t="inlineStr">
        <is>
          <t>728_0</t>
        </is>
      </c>
      <c r="C574" s="4" t="inlineStr">
        <is>
          <t>08/09/2026</t>
        </is>
      </c>
      <c r="D574" s="4" t="inlineStr">
        <is>
          <t>martes</t>
        </is>
      </c>
      <c r="E574" s="4" t="inlineStr">
        <is>
          <t>2062</t>
        </is>
      </c>
      <c r="F574" s="4" t="inlineStr">
        <is>
          <t>CUZ</t>
        </is>
      </c>
      <c r="G574" s="4" t="inlineStr">
        <is>
          <t>LIM</t>
        </is>
      </c>
      <c r="H574" s="4" t="inlineStr">
        <is>
          <t>13:40:00</t>
        </is>
      </c>
      <c r="I574" s="4" t="inlineStr">
        <is>
          <t>15:15:00</t>
        </is>
      </c>
      <c r="J574" s="4" t="inlineStr">
        <is>
          <t>320</t>
        </is>
      </c>
      <c r="K574">
        <f>TEXT(TIMEVALUE(H574)-TIMEVALUE(I573)+(TIMEVALUE(H574)&lt;TIMEVALUE(I573)),"[h]:mm")</f>
        <v/>
      </c>
      <c r="L574" s="4" t="inlineStr">
        <is>
          <t>01:35:00</t>
        </is>
      </c>
      <c r="O574">
        <f>"LIM-"&amp;G573&amp;"-LIM   LA "&amp;E573&amp;" ("&amp;LEFT(H573,5)&amp;"-"&amp;LEFT(I573,5)&amp;" hrs)  /  LA "&amp;E574&amp;" ("&amp;LEFT(H574,5)&amp;"-"&amp;LEFT(I574,5)&amp;" hrs)"</f>
        <v/>
      </c>
    </row>
    <row r="575">
      <c r="B575" s="4" t="inlineStr">
        <is>
          <t>752_0</t>
        </is>
      </c>
      <c r="C575" s="4" t="inlineStr">
        <is>
          <t>08/09/2026</t>
        </is>
      </c>
      <c r="D575" s="4" t="inlineStr">
        <is>
          <t>martes</t>
        </is>
      </c>
      <c r="E575" s="4" t="inlineStr">
        <is>
          <t>2053</t>
        </is>
      </c>
      <c r="F575" s="4" t="inlineStr">
        <is>
          <t>LIM</t>
        </is>
      </c>
      <c r="G575" s="4" t="inlineStr">
        <is>
          <t>TBP</t>
        </is>
      </c>
      <c r="H575" s="4" t="inlineStr">
        <is>
          <t>16:20:00</t>
        </is>
      </c>
      <c r="I575" s="4" t="inlineStr">
        <is>
          <t>18:10:00</t>
        </is>
      </c>
      <c r="J575" s="4" t="inlineStr">
        <is>
          <t>320</t>
        </is>
      </c>
      <c r="K575" s="6">
        <f>TEXT(TIMEVALUE(H575)-TIMEVALUE(I574)+(TIMEVALUE(H575)&lt;TIMEVALUE(I574)),"[h]:mm")</f>
        <v/>
      </c>
      <c r="L575" s="4" t="inlineStr">
        <is>
          <t>01:50:00</t>
        </is>
      </c>
      <c r="M575">
        <f>IF($M$573="","",$M$573)</f>
        <v/>
      </c>
      <c r="O575">
        <f>IF($O$573="","",$O$573)</f>
        <v/>
      </c>
      <c r="Q575" s="4">
        <f>B575</f>
        <v/>
      </c>
      <c r="R575" s="4">
        <f>C575</f>
        <v/>
      </c>
      <c r="S575" s="4">
        <f>D575</f>
        <v/>
      </c>
      <c r="T575" s="4">
        <f>E575&amp;"/"&amp;E576</f>
        <v/>
      </c>
      <c r="U575" s="4">
        <f>F575&amp;"-"&amp;G575&amp;"-"&amp;F575</f>
        <v/>
      </c>
      <c r="V575" s="4">
        <f>IF($M$573="","",$M$573)</f>
        <v/>
      </c>
      <c r="W575" s="4">
        <f>IF($O$573="","",$O$573)</f>
        <v/>
      </c>
      <c r="X575" s="4">
        <f>J575</f>
        <v/>
      </c>
    </row>
    <row r="576">
      <c r="B576" s="4" t="inlineStr">
        <is>
          <t>752_0</t>
        </is>
      </c>
      <c r="C576" s="4" t="inlineStr">
        <is>
          <t>08/09/2026</t>
        </is>
      </c>
      <c r="D576" s="4" t="inlineStr">
        <is>
          <t>martes</t>
        </is>
      </c>
      <c r="E576" s="4" t="inlineStr">
        <is>
          <t>2054</t>
        </is>
      </c>
      <c r="F576" s="4" t="inlineStr">
        <is>
          <t>TBP</t>
        </is>
      </c>
      <c r="G576" s="4" t="inlineStr">
        <is>
          <t>LIM</t>
        </is>
      </c>
      <c r="H576" s="4" t="inlineStr">
        <is>
          <t>18:50:00</t>
        </is>
      </c>
      <c r="I576" s="4" t="inlineStr">
        <is>
          <t>20:30:00</t>
        </is>
      </c>
      <c r="J576" s="4" t="inlineStr">
        <is>
          <t>320</t>
        </is>
      </c>
      <c r="K576">
        <f>TEXT(TIMEVALUE(H576)-TIMEVALUE(I575)+(TIMEVALUE(H576)&lt;TIMEVALUE(I575)),"[h]:mm")</f>
        <v/>
      </c>
      <c r="L576" s="4" t="inlineStr">
        <is>
          <t>01:40:00</t>
        </is>
      </c>
      <c r="O576">
        <f>"LIM-"&amp;G575&amp;"-LIM   LA "&amp;E575&amp;" ("&amp;LEFT(H575,5)&amp;"-"&amp;LEFT(I575,5)&amp;" hrs)  /  LA "&amp;E576&amp;" ("&amp;LEFT(H576,5)&amp;"-"&amp;LEFT(I576,5)&amp;" hrs)"</f>
        <v/>
      </c>
    </row>
    <row r="577">
      <c r="J577" s="7" t="inlineStr">
        <is>
          <t>PSV total:</t>
        </is>
      </c>
      <c r="K577" s="8">
        <f>TEXT(TIMEVALUE(I576)-TIMEVALUE(H573)+(I576&lt;H573),"[h]:mm")</f>
        <v/>
      </c>
    </row>
    <row r="579">
      <c r="B579" s="3" t="inlineStr">
        <is>
          <t>Pairing ID</t>
        </is>
      </c>
      <c r="C579" s="3" t="inlineStr">
        <is>
          <t>FECHA REAL</t>
        </is>
      </c>
      <c r="D579" s="3" t="inlineStr">
        <is>
          <t>Day of Week</t>
        </is>
      </c>
      <c r="E579" s="3" t="inlineStr">
        <is>
          <t>Flight No</t>
        </is>
      </c>
      <c r="F579" s="3" t="inlineStr">
        <is>
          <t>Dep Stn</t>
        </is>
      </c>
      <c r="G579" s="3" t="inlineStr">
        <is>
          <t>Arr Stn</t>
        </is>
      </c>
      <c r="H579" s="3" t="inlineStr">
        <is>
          <t>STD</t>
        </is>
      </c>
      <c r="I579" s="3" t="inlineStr">
        <is>
          <t>STA</t>
        </is>
      </c>
      <c r="J579" s="3" t="inlineStr">
        <is>
          <t>subflota</t>
        </is>
      </c>
      <c r="K579" s="3" t="inlineStr">
        <is>
          <t>Conexion</t>
        </is>
      </c>
      <c r="L579" s="3" t="inlineStr">
        <is>
          <t>HBT</t>
        </is>
      </c>
    </row>
    <row r="580">
      <c r="B580" s="4" t="inlineStr">
        <is>
          <t>733_0</t>
        </is>
      </c>
      <c r="C580" s="4" t="inlineStr">
        <is>
          <t>08/09/2026</t>
        </is>
      </c>
      <c r="D580" s="4" t="inlineStr">
        <is>
          <t>martes</t>
        </is>
      </c>
      <c r="E580" s="4" t="inlineStr">
        <is>
          <t>2308</t>
        </is>
      </c>
      <c r="F580" s="4" t="inlineStr">
        <is>
          <t>LIM</t>
        </is>
      </c>
      <c r="G580" s="4" t="inlineStr">
        <is>
          <t>PIU</t>
        </is>
      </c>
      <c r="H580" s="4" t="inlineStr">
        <is>
          <t>12:50:00</t>
        </is>
      </c>
      <c r="I580" s="4" t="inlineStr">
        <is>
          <t>14:35:00</t>
        </is>
      </c>
      <c r="J580" s="4" t="inlineStr">
        <is>
          <t>320</t>
        </is>
      </c>
      <c r="L580" s="4" t="inlineStr">
        <is>
          <t>01:45:00</t>
        </is>
      </c>
      <c r="M580" s="5" t="n"/>
      <c r="O580" s="5" t="n"/>
      <c r="Q580" s="4">
        <f>B580</f>
        <v/>
      </c>
      <c r="R580" s="4">
        <f>C580</f>
        <v/>
      </c>
      <c r="S580" s="4">
        <f>D580</f>
        <v/>
      </c>
      <c r="T580" s="4">
        <f>E580&amp;"/"&amp;E581</f>
        <v/>
      </c>
      <c r="U580" s="4">
        <f>F580&amp;"-"&amp;G580&amp;"-"&amp;F580</f>
        <v/>
      </c>
      <c r="V580" s="4">
        <f>IF($M$580="","",$M$580)</f>
        <v/>
      </c>
      <c r="W580" s="4">
        <f>IF($O$580="","",$O$580)</f>
        <v/>
      </c>
      <c r="X580" s="4">
        <f>J580</f>
        <v/>
      </c>
    </row>
    <row r="581">
      <c r="B581" s="4" t="inlineStr">
        <is>
          <t>733_0</t>
        </is>
      </c>
      <c r="C581" s="4" t="inlineStr">
        <is>
          <t>08/09/2026</t>
        </is>
      </c>
      <c r="D581" s="4" t="inlineStr">
        <is>
          <t>martes</t>
        </is>
      </c>
      <c r="E581" s="4" t="inlineStr">
        <is>
          <t>2309</t>
        </is>
      </c>
      <c r="F581" s="4" t="inlineStr">
        <is>
          <t>PIU</t>
        </is>
      </c>
      <c r="G581" s="4" t="inlineStr">
        <is>
          <t>LIM</t>
        </is>
      </c>
      <c r="H581" s="4" t="inlineStr">
        <is>
          <t>15:25:00</t>
        </is>
      </c>
      <c r="I581" s="4" t="inlineStr">
        <is>
          <t>16:55:00</t>
        </is>
      </c>
      <c r="J581" s="4" t="inlineStr">
        <is>
          <t>320</t>
        </is>
      </c>
      <c r="K581">
        <f>TEXT(TIMEVALUE(H581)-TIMEVALUE(I580)+(TIMEVALUE(H581)&lt;TIMEVALUE(I580)),"[h]:mm")</f>
        <v/>
      </c>
      <c r="L581" s="4" t="inlineStr">
        <is>
          <t>01:30:00</t>
        </is>
      </c>
      <c r="O581">
        <f>"LIM-"&amp;G580&amp;"-LIM   LA "&amp;E580&amp;" ("&amp;LEFT(H580,5)&amp;"-"&amp;LEFT(I580,5)&amp;" hrs)  /  LA "&amp;E581&amp;" ("&amp;LEFT(H581,5)&amp;"-"&amp;LEFT(I581,5)&amp;" hrs)"</f>
        <v/>
      </c>
    </row>
    <row r="582">
      <c r="J582" s="7" t="inlineStr">
        <is>
          <t>PSV total:</t>
        </is>
      </c>
      <c r="K582" s="8">
        <f>TEXT(TIMEVALUE(I581)-TIMEVALUE(H580)+(I581&lt;H580),"[h]:mm")</f>
        <v/>
      </c>
    </row>
    <row r="584">
      <c r="B584" s="3" t="inlineStr">
        <is>
          <t>Pairing ID</t>
        </is>
      </c>
      <c r="C584" s="3" t="inlineStr">
        <is>
          <t>FECHA REAL</t>
        </is>
      </c>
      <c r="D584" s="3" t="inlineStr">
        <is>
          <t>Day of Week</t>
        </is>
      </c>
      <c r="E584" s="3" t="inlineStr">
        <is>
          <t>Flight No</t>
        </is>
      </c>
      <c r="F584" s="3" t="inlineStr">
        <is>
          <t>Dep Stn</t>
        </is>
      </c>
      <c r="G584" s="3" t="inlineStr">
        <is>
          <t>Arr Stn</t>
        </is>
      </c>
      <c r="H584" s="3" t="inlineStr">
        <is>
          <t>STD</t>
        </is>
      </c>
      <c r="I584" s="3" t="inlineStr">
        <is>
          <t>STA</t>
        </is>
      </c>
      <c r="J584" s="3" t="inlineStr">
        <is>
          <t>subflota</t>
        </is>
      </c>
      <c r="K584" s="3" t="inlineStr">
        <is>
          <t>Conexion</t>
        </is>
      </c>
      <c r="L584" s="3" t="inlineStr">
        <is>
          <t>HBT</t>
        </is>
      </c>
    </row>
    <row r="585">
      <c r="B585" s="4" t="inlineStr">
        <is>
          <t>738_0</t>
        </is>
      </c>
      <c r="C585" s="4" t="inlineStr">
        <is>
          <t>08/09/2026</t>
        </is>
      </c>
      <c r="D585" s="4" t="inlineStr">
        <is>
          <t>martes</t>
        </is>
      </c>
      <c r="E585" s="4" t="inlineStr">
        <is>
          <t>2067</t>
        </is>
      </c>
      <c r="F585" s="4" t="inlineStr">
        <is>
          <t>LIM</t>
        </is>
      </c>
      <c r="G585" s="4" t="inlineStr">
        <is>
          <t>TCQ</t>
        </is>
      </c>
      <c r="H585" s="4" t="inlineStr">
        <is>
          <t>13:45:00</t>
        </is>
      </c>
      <c r="I585" s="4" t="inlineStr">
        <is>
          <t>15:35:00</t>
        </is>
      </c>
      <c r="J585" s="4" t="inlineStr">
        <is>
          <t>320</t>
        </is>
      </c>
      <c r="L585" s="4" t="inlineStr">
        <is>
          <t>01:50:00</t>
        </is>
      </c>
      <c r="M585" s="5" t="n"/>
      <c r="O585" s="5" t="n"/>
      <c r="Q585" s="4">
        <f>B585</f>
        <v/>
      </c>
      <c r="R585" s="4">
        <f>C585</f>
        <v/>
      </c>
      <c r="S585" s="4">
        <f>D585</f>
        <v/>
      </c>
      <c r="T585" s="4">
        <f>E585&amp;"/"&amp;E586</f>
        <v/>
      </c>
      <c r="U585" s="4">
        <f>F585&amp;"-"&amp;G585&amp;"-"&amp;F585</f>
        <v/>
      </c>
      <c r="V585" s="4">
        <f>IF($M$585="","",$M$585)</f>
        <v/>
      </c>
      <c r="W585" s="4">
        <f>IF($O$585="","",$O$585)</f>
        <v/>
      </c>
      <c r="X585" s="4">
        <f>J585</f>
        <v/>
      </c>
    </row>
    <row r="586">
      <c r="B586" s="4" t="inlineStr">
        <is>
          <t>738_0</t>
        </is>
      </c>
      <c r="C586" s="4" t="inlineStr">
        <is>
          <t>08/09/2026</t>
        </is>
      </c>
      <c r="D586" s="4" t="inlineStr">
        <is>
          <t>martes</t>
        </is>
      </c>
      <c r="E586" s="4" t="inlineStr">
        <is>
          <t>2068</t>
        </is>
      </c>
      <c r="F586" s="4" t="inlineStr">
        <is>
          <t>TCQ</t>
        </is>
      </c>
      <c r="G586" s="4" t="inlineStr">
        <is>
          <t>LIM</t>
        </is>
      </c>
      <c r="H586" s="4" t="inlineStr">
        <is>
          <t>16:20:00</t>
        </is>
      </c>
      <c r="I586" s="4" t="inlineStr">
        <is>
          <t>18:15:00</t>
        </is>
      </c>
      <c r="J586" s="4" t="inlineStr">
        <is>
          <t>320</t>
        </is>
      </c>
      <c r="K586">
        <f>TEXT(TIMEVALUE(H586)-TIMEVALUE(I585)+(TIMEVALUE(H586)&lt;TIMEVALUE(I585)),"[h]:mm")</f>
        <v/>
      </c>
      <c r="L586" s="4" t="inlineStr">
        <is>
          <t>01:55:00</t>
        </is>
      </c>
      <c r="O586">
        <f>"LIM-"&amp;G585&amp;"-LIM   LA "&amp;E585&amp;" ("&amp;LEFT(H585,5)&amp;"-"&amp;LEFT(I585,5)&amp;" hrs)  /  LA "&amp;E586&amp;" ("&amp;LEFT(H586,5)&amp;"-"&amp;LEFT(I586,5)&amp;" hrs)"</f>
        <v/>
      </c>
    </row>
    <row r="587">
      <c r="J587" s="7" t="inlineStr">
        <is>
          <t>PSV total:</t>
        </is>
      </c>
      <c r="K587" s="8">
        <f>TEXT(TIMEVALUE(I586)-TIMEVALUE(H585)+(I586&lt;H585),"[h]:mm")</f>
        <v/>
      </c>
    </row>
    <row r="589">
      <c r="B589" s="3" t="inlineStr">
        <is>
          <t>Pairing ID</t>
        </is>
      </c>
      <c r="C589" s="3" t="inlineStr">
        <is>
          <t>FECHA REAL</t>
        </is>
      </c>
      <c r="D589" s="3" t="inlineStr">
        <is>
          <t>Day of Week</t>
        </is>
      </c>
      <c r="E589" s="3" t="inlineStr">
        <is>
          <t>Flight No</t>
        </is>
      </c>
      <c r="F589" s="3" t="inlineStr">
        <is>
          <t>Dep Stn</t>
        </is>
      </c>
      <c r="G589" s="3" t="inlineStr">
        <is>
          <t>Arr Stn</t>
        </is>
      </c>
      <c r="H589" s="3" t="inlineStr">
        <is>
          <t>STD</t>
        </is>
      </c>
      <c r="I589" s="3" t="inlineStr">
        <is>
          <t>STA</t>
        </is>
      </c>
      <c r="J589" s="3" t="inlineStr">
        <is>
          <t>subflota</t>
        </is>
      </c>
      <c r="K589" s="3" t="inlineStr">
        <is>
          <t>Conexion</t>
        </is>
      </c>
      <c r="L589" s="3" t="inlineStr">
        <is>
          <t>HBT</t>
        </is>
      </c>
    </row>
    <row r="590">
      <c r="B590" s="4" t="inlineStr">
        <is>
          <t>740_0</t>
        </is>
      </c>
      <c r="C590" s="4" t="inlineStr">
        <is>
          <t>08/09/2026</t>
        </is>
      </c>
      <c r="D590" s="4" t="inlineStr">
        <is>
          <t>martes</t>
        </is>
      </c>
      <c r="E590" s="4" t="inlineStr">
        <is>
          <t>2087</t>
        </is>
      </c>
      <c r="F590" s="4" t="inlineStr">
        <is>
          <t>LIM</t>
        </is>
      </c>
      <c r="G590" s="4" t="inlineStr">
        <is>
          <t>TPP</t>
        </is>
      </c>
      <c r="H590" s="4" t="inlineStr">
        <is>
          <t>14:05:00</t>
        </is>
      </c>
      <c r="I590" s="4" t="inlineStr">
        <is>
          <t>15:30:00</t>
        </is>
      </c>
      <c r="J590" s="4" t="inlineStr">
        <is>
          <t>320</t>
        </is>
      </c>
      <c r="L590" s="4" t="inlineStr">
        <is>
          <t>01:25:00</t>
        </is>
      </c>
      <c r="M590" s="5" t="n"/>
      <c r="O590" s="5" t="n"/>
      <c r="Q590" s="4">
        <f>B590</f>
        <v/>
      </c>
      <c r="R590" s="4">
        <f>C590</f>
        <v/>
      </c>
      <c r="S590" s="4">
        <f>D590</f>
        <v/>
      </c>
      <c r="T590" s="4">
        <f>E590&amp;"/"&amp;E591</f>
        <v/>
      </c>
      <c r="U590" s="4">
        <f>F590&amp;"-"&amp;G590&amp;"-"&amp;F590</f>
        <v/>
      </c>
      <c r="V590" s="4">
        <f>IF($M$590="","",$M$590)</f>
        <v/>
      </c>
      <c r="W590" s="4">
        <f>IF($O$590="","",$O$590)</f>
        <v/>
      </c>
      <c r="X590" s="4">
        <f>J590</f>
        <v/>
      </c>
    </row>
    <row r="591">
      <c r="B591" s="4" t="inlineStr">
        <is>
          <t>740_0</t>
        </is>
      </c>
      <c r="C591" s="4" t="inlineStr">
        <is>
          <t>08/09/2026</t>
        </is>
      </c>
      <c r="D591" s="4" t="inlineStr">
        <is>
          <t>martes</t>
        </is>
      </c>
      <c r="E591" s="4" t="inlineStr">
        <is>
          <t>2088</t>
        </is>
      </c>
      <c r="F591" s="4" t="inlineStr">
        <is>
          <t>TPP</t>
        </is>
      </c>
      <c r="G591" s="4" t="inlineStr">
        <is>
          <t>LIM</t>
        </is>
      </c>
      <c r="H591" s="4" t="inlineStr">
        <is>
          <t>16:05:00</t>
        </is>
      </c>
      <c r="I591" s="4" t="inlineStr">
        <is>
          <t>17:30:00</t>
        </is>
      </c>
      <c r="J591" s="4" t="inlineStr">
        <is>
          <t>320</t>
        </is>
      </c>
      <c r="K591">
        <f>TEXT(TIMEVALUE(H591)-TIMEVALUE(I590)+(TIMEVALUE(H591)&lt;TIMEVALUE(I590)),"[h]:mm")</f>
        <v/>
      </c>
      <c r="L591" s="4" t="inlineStr">
        <is>
          <t>01:25:00</t>
        </is>
      </c>
      <c r="O591">
        <f>"LIM-"&amp;G590&amp;"-LIM   LA "&amp;E590&amp;" ("&amp;LEFT(H590,5)&amp;"-"&amp;LEFT(I590,5)&amp;" hrs)  /  LA "&amp;E591&amp;" ("&amp;LEFT(H591,5)&amp;"-"&amp;LEFT(I591,5)&amp;" hrs)"</f>
        <v/>
      </c>
    </row>
    <row r="592">
      <c r="J592" s="7" t="inlineStr">
        <is>
          <t>PSV total:</t>
        </is>
      </c>
      <c r="K592" s="8">
        <f>TEXT(TIMEVALUE(I591)-TIMEVALUE(H590)+(I591&lt;H590),"[h]:mm")</f>
        <v/>
      </c>
    </row>
    <row r="594">
      <c r="B594" s="3" t="inlineStr">
        <is>
          <t>Pairing ID</t>
        </is>
      </c>
      <c r="C594" s="3" t="inlineStr">
        <is>
          <t>FECHA REAL</t>
        </is>
      </c>
      <c r="D594" s="3" t="inlineStr">
        <is>
          <t>Day of Week</t>
        </is>
      </c>
      <c r="E594" s="3" t="inlineStr">
        <is>
          <t>Flight No</t>
        </is>
      </c>
      <c r="F594" s="3" t="inlineStr">
        <is>
          <t>Dep Stn</t>
        </is>
      </c>
      <c r="G594" s="3" t="inlineStr">
        <is>
          <t>Arr Stn</t>
        </is>
      </c>
      <c r="H594" s="3" t="inlineStr">
        <is>
          <t>STD</t>
        </is>
      </c>
      <c r="I594" s="3" t="inlineStr">
        <is>
          <t>STA</t>
        </is>
      </c>
      <c r="J594" s="3" t="inlineStr">
        <is>
          <t>subflota</t>
        </is>
      </c>
      <c r="K594" s="3" t="inlineStr">
        <is>
          <t>Conexion</t>
        </is>
      </c>
      <c r="L594" s="3" t="inlineStr">
        <is>
          <t>HBT</t>
        </is>
      </c>
    </row>
    <row r="595">
      <c r="B595" s="4" t="inlineStr">
        <is>
          <t>741_0</t>
        </is>
      </c>
      <c r="C595" s="4" t="inlineStr">
        <is>
          <t>08/09/2026</t>
        </is>
      </c>
      <c r="D595" s="4" t="inlineStr">
        <is>
          <t>martes</t>
        </is>
      </c>
      <c r="E595" s="4" t="inlineStr">
        <is>
          <t>2295</t>
        </is>
      </c>
      <c r="F595" s="4" t="inlineStr">
        <is>
          <t>LIM</t>
        </is>
      </c>
      <c r="G595" s="4" t="inlineStr">
        <is>
          <t>CJA</t>
        </is>
      </c>
      <c r="H595" s="4" t="inlineStr">
        <is>
          <t>14:10:00</t>
        </is>
      </c>
      <c r="I595" s="4" t="inlineStr">
        <is>
          <t>15:30:00</t>
        </is>
      </c>
      <c r="J595" s="4" t="inlineStr">
        <is>
          <t>319</t>
        </is>
      </c>
      <c r="L595" s="4" t="inlineStr">
        <is>
          <t>01:20:00</t>
        </is>
      </c>
      <c r="M595" s="5" t="n"/>
      <c r="O595" s="5" t="n"/>
      <c r="Q595" s="4">
        <f>B595</f>
        <v/>
      </c>
      <c r="R595" s="4">
        <f>C595</f>
        <v/>
      </c>
      <c r="S595" s="4">
        <f>D595</f>
        <v/>
      </c>
      <c r="T595" s="4">
        <f>E595&amp;"/"&amp;E596</f>
        <v/>
      </c>
      <c r="U595" s="4">
        <f>F595&amp;"-"&amp;G595&amp;"-"&amp;F595</f>
        <v/>
      </c>
      <c r="V595" s="4">
        <f>IF($M$595="","",$M$595)</f>
        <v/>
      </c>
      <c r="W595" s="4">
        <f>IF($O$595="","",$O$595)</f>
        <v/>
      </c>
      <c r="X595" s="4">
        <f>J595</f>
        <v/>
      </c>
    </row>
    <row r="596">
      <c r="B596" s="4" t="inlineStr">
        <is>
          <t>741_0</t>
        </is>
      </c>
      <c r="C596" s="4" t="inlineStr">
        <is>
          <t>08/09/2026</t>
        </is>
      </c>
      <c r="D596" s="4" t="inlineStr">
        <is>
          <t>martes</t>
        </is>
      </c>
      <c r="E596" s="4" t="inlineStr">
        <is>
          <t>2294</t>
        </is>
      </c>
      <c r="F596" s="4" t="inlineStr">
        <is>
          <t>CJA</t>
        </is>
      </c>
      <c r="G596" s="4" t="inlineStr">
        <is>
          <t>LIM</t>
        </is>
      </c>
      <c r="H596" s="4" t="inlineStr">
        <is>
          <t>16:10:00</t>
        </is>
      </c>
      <c r="I596" s="4" t="inlineStr">
        <is>
          <t>17:15:00</t>
        </is>
      </c>
      <c r="J596" s="4" t="inlineStr">
        <is>
          <t>319</t>
        </is>
      </c>
      <c r="K596">
        <f>TEXT(TIMEVALUE(H596)-TIMEVALUE(I595)+(TIMEVALUE(H596)&lt;TIMEVALUE(I595)),"[h]:mm")</f>
        <v/>
      </c>
      <c r="L596" s="4" t="inlineStr">
        <is>
          <t>01:05:00</t>
        </is>
      </c>
      <c r="O596">
        <f>"LIM-"&amp;G595&amp;"-LIM   LA "&amp;E595&amp;" ("&amp;LEFT(H595,5)&amp;"-"&amp;LEFT(I595,5)&amp;" hrs)  /  LA "&amp;E596&amp;" ("&amp;LEFT(H596,5)&amp;"-"&amp;LEFT(I596,5)&amp;" hrs)"</f>
        <v/>
      </c>
    </row>
    <row r="597">
      <c r="J597" s="7" t="inlineStr">
        <is>
          <t>PSV total:</t>
        </is>
      </c>
      <c r="K597" s="8">
        <f>TEXT(TIMEVALUE(I596)-TIMEVALUE(H595)+(I596&lt;H595),"[h]:mm")</f>
        <v/>
      </c>
    </row>
    <row r="599">
      <c r="B599" s="3" t="inlineStr">
        <is>
          <t>Pairing ID</t>
        </is>
      </c>
      <c r="C599" s="3" t="inlineStr">
        <is>
          <t>FECHA REAL</t>
        </is>
      </c>
      <c r="D599" s="3" t="inlineStr">
        <is>
          <t>Day of Week</t>
        </is>
      </c>
      <c r="E599" s="3" t="inlineStr">
        <is>
          <t>Flight No</t>
        </is>
      </c>
      <c r="F599" s="3" t="inlineStr">
        <is>
          <t>Dep Stn</t>
        </is>
      </c>
      <c r="G599" s="3" t="inlineStr">
        <is>
          <t>Arr Stn</t>
        </is>
      </c>
      <c r="H599" s="3" t="inlineStr">
        <is>
          <t>STD</t>
        </is>
      </c>
      <c r="I599" s="3" t="inlineStr">
        <is>
          <t>STA</t>
        </is>
      </c>
      <c r="J599" s="3" t="inlineStr">
        <is>
          <t>subflota</t>
        </is>
      </c>
      <c r="K599" s="3" t="inlineStr">
        <is>
          <t>Conexion</t>
        </is>
      </c>
      <c r="L599" s="3" t="inlineStr">
        <is>
          <t>HBT</t>
        </is>
      </c>
    </row>
    <row r="600">
      <c r="B600" s="4" t="inlineStr">
        <is>
          <t>743_0</t>
        </is>
      </c>
      <c r="C600" s="4" t="inlineStr">
        <is>
          <t>08/09/2026</t>
        </is>
      </c>
      <c r="D600" s="4" t="inlineStr">
        <is>
          <t>martes</t>
        </is>
      </c>
      <c r="E600" s="4" t="inlineStr">
        <is>
          <t>2338</t>
        </is>
      </c>
      <c r="F600" s="4" t="inlineStr">
        <is>
          <t>LIM</t>
        </is>
      </c>
      <c r="G600" s="4" t="inlineStr">
        <is>
          <t>PIU</t>
        </is>
      </c>
      <c r="H600" s="4" t="inlineStr">
        <is>
          <t>15:00:00</t>
        </is>
      </c>
      <c r="I600" s="4" t="inlineStr">
        <is>
          <t>16:45:00</t>
        </is>
      </c>
      <c r="J600" s="4" t="inlineStr">
        <is>
          <t>320</t>
        </is>
      </c>
      <c r="L600" s="4" t="inlineStr">
        <is>
          <t>01:45:00</t>
        </is>
      </c>
      <c r="M600" s="5" t="n"/>
      <c r="O600" s="5" t="n"/>
      <c r="Q600" s="4">
        <f>B600</f>
        <v/>
      </c>
      <c r="R600" s="4">
        <f>C600</f>
        <v/>
      </c>
      <c r="S600" s="4">
        <f>D600</f>
        <v/>
      </c>
      <c r="T600" s="4">
        <f>E600&amp;"/"&amp;E601</f>
        <v/>
      </c>
      <c r="U600" s="4">
        <f>F600&amp;"-"&amp;G600&amp;"-"&amp;F600</f>
        <v/>
      </c>
      <c r="V600" s="4">
        <f>IF($M$600="","",$M$600)</f>
        <v/>
      </c>
      <c r="W600" s="4">
        <f>IF($O$600="","",$O$600)</f>
        <v/>
      </c>
      <c r="X600" s="4">
        <f>J600</f>
        <v/>
      </c>
    </row>
    <row r="601">
      <c r="B601" s="4" t="inlineStr">
        <is>
          <t>743_0</t>
        </is>
      </c>
      <c r="C601" s="4" t="inlineStr">
        <is>
          <t>08/09/2026</t>
        </is>
      </c>
      <c r="D601" s="4" t="inlineStr">
        <is>
          <t>martes</t>
        </is>
      </c>
      <c r="E601" s="4" t="inlineStr">
        <is>
          <t>2339</t>
        </is>
      </c>
      <c r="F601" s="4" t="inlineStr">
        <is>
          <t>PIU</t>
        </is>
      </c>
      <c r="G601" s="4" t="inlineStr">
        <is>
          <t>LIM</t>
        </is>
      </c>
      <c r="H601" s="4" t="inlineStr">
        <is>
          <t>17:20:00</t>
        </is>
      </c>
      <c r="I601" s="4" t="inlineStr">
        <is>
          <t>18:50:00</t>
        </is>
      </c>
      <c r="J601" s="4" t="inlineStr">
        <is>
          <t>320</t>
        </is>
      </c>
      <c r="K601">
        <f>TEXT(TIMEVALUE(H601)-TIMEVALUE(I600)+(TIMEVALUE(H601)&lt;TIMEVALUE(I600)),"[h]:mm")</f>
        <v/>
      </c>
      <c r="L601" s="4" t="inlineStr">
        <is>
          <t>01:30:00</t>
        </is>
      </c>
      <c r="O601">
        <f>"LIM-"&amp;G600&amp;"-LIM   LA "&amp;E600&amp;" ("&amp;LEFT(H600,5)&amp;"-"&amp;LEFT(I600,5)&amp;" hrs)  /  LA "&amp;E601&amp;" ("&amp;LEFT(H601,5)&amp;"-"&amp;LEFT(I601,5)&amp;" hrs)"</f>
        <v/>
      </c>
    </row>
    <row r="602">
      <c r="J602" s="7" t="inlineStr">
        <is>
          <t>PSV total:</t>
        </is>
      </c>
      <c r="K602" s="8">
        <f>TEXT(TIMEVALUE(I601)-TIMEVALUE(H600)+(I601&lt;H600),"[h]:mm")</f>
        <v/>
      </c>
    </row>
    <row r="604">
      <c r="B604" s="3" t="inlineStr">
        <is>
          <t>Pairing ID</t>
        </is>
      </c>
      <c r="C604" s="3" t="inlineStr">
        <is>
          <t>FECHA REAL</t>
        </is>
      </c>
      <c r="D604" s="3" t="inlineStr">
        <is>
          <t>Day of Week</t>
        </is>
      </c>
      <c r="E604" s="3" t="inlineStr">
        <is>
          <t>Flight No</t>
        </is>
      </c>
      <c r="F604" s="3" t="inlineStr">
        <is>
          <t>Dep Stn</t>
        </is>
      </c>
      <c r="G604" s="3" t="inlineStr">
        <is>
          <t>Arr Stn</t>
        </is>
      </c>
      <c r="H604" s="3" t="inlineStr">
        <is>
          <t>STD</t>
        </is>
      </c>
      <c r="I604" s="3" t="inlineStr">
        <is>
          <t>STA</t>
        </is>
      </c>
      <c r="J604" s="3" t="inlineStr">
        <is>
          <t>subflota</t>
        </is>
      </c>
      <c r="K604" s="3" t="inlineStr">
        <is>
          <t>Conexion</t>
        </is>
      </c>
      <c r="L604" s="3" t="inlineStr">
        <is>
          <t>HBT</t>
        </is>
      </c>
    </row>
    <row r="605">
      <c r="B605" s="4" t="inlineStr">
        <is>
          <t>745_0</t>
        </is>
      </c>
      <c r="C605" s="4" t="inlineStr">
        <is>
          <t>08/09/2026</t>
        </is>
      </c>
      <c r="D605" s="4" t="inlineStr">
        <is>
          <t>martes</t>
        </is>
      </c>
      <c r="E605" s="4" t="inlineStr">
        <is>
          <t>2297</t>
        </is>
      </c>
      <c r="F605" s="4" t="inlineStr">
        <is>
          <t>LIM</t>
        </is>
      </c>
      <c r="G605" s="4" t="inlineStr">
        <is>
          <t>CJA</t>
        </is>
      </c>
      <c r="H605" s="4" t="inlineStr">
        <is>
          <t>15:15:00</t>
        </is>
      </c>
      <c r="I605" s="4" t="inlineStr">
        <is>
          <t>16:35:00</t>
        </is>
      </c>
      <c r="J605" s="4" t="inlineStr">
        <is>
          <t>319</t>
        </is>
      </c>
      <c r="L605" s="4" t="inlineStr">
        <is>
          <t>01:20:00</t>
        </is>
      </c>
      <c r="M605" s="5" t="n"/>
      <c r="O605" s="5" t="n"/>
      <c r="Q605" s="4">
        <f>B605</f>
        <v/>
      </c>
      <c r="R605" s="4">
        <f>C605</f>
        <v/>
      </c>
      <c r="S605" s="4">
        <f>D605</f>
        <v/>
      </c>
      <c r="T605" s="4">
        <f>E605&amp;"/"&amp;E606</f>
        <v/>
      </c>
      <c r="U605" s="4">
        <f>F605&amp;"-"&amp;G605&amp;"-"&amp;F605</f>
        <v/>
      </c>
      <c r="V605" s="4">
        <f>IF($M$605="","",$M$605)</f>
        <v/>
      </c>
      <c r="W605" s="4">
        <f>IF($O$605="","",$O$605)</f>
        <v/>
      </c>
      <c r="X605" s="4">
        <f>J605</f>
        <v/>
      </c>
    </row>
    <row r="606">
      <c r="B606" s="4" t="inlineStr">
        <is>
          <t>745_0</t>
        </is>
      </c>
      <c r="C606" s="4" t="inlineStr">
        <is>
          <t>08/09/2026</t>
        </is>
      </c>
      <c r="D606" s="4" t="inlineStr">
        <is>
          <t>martes</t>
        </is>
      </c>
      <c r="E606" s="4" t="inlineStr">
        <is>
          <t>2296</t>
        </is>
      </c>
      <c r="F606" s="4" t="inlineStr">
        <is>
          <t>CJA</t>
        </is>
      </c>
      <c r="G606" s="4" t="inlineStr">
        <is>
          <t>LIM</t>
        </is>
      </c>
      <c r="H606" s="4" t="inlineStr">
        <is>
          <t>17:20:00</t>
        </is>
      </c>
      <c r="I606" s="4" t="inlineStr">
        <is>
          <t>18:25:00</t>
        </is>
      </c>
      <c r="J606" s="4" t="inlineStr">
        <is>
          <t>319</t>
        </is>
      </c>
      <c r="K606">
        <f>TEXT(TIMEVALUE(H606)-TIMEVALUE(I605)+(TIMEVALUE(H606)&lt;TIMEVALUE(I605)),"[h]:mm")</f>
        <v/>
      </c>
      <c r="L606" s="4" t="inlineStr">
        <is>
          <t>01:05:00</t>
        </is>
      </c>
      <c r="O606">
        <f>"LIM-"&amp;G605&amp;"-LIM   LA "&amp;E605&amp;" ("&amp;LEFT(H605,5)&amp;"-"&amp;LEFT(I605,5)&amp;" hrs)  /  LA "&amp;E606&amp;" ("&amp;LEFT(H606,5)&amp;"-"&amp;LEFT(I606,5)&amp;" hrs)"</f>
        <v/>
      </c>
    </row>
    <row r="607">
      <c r="J607" s="7" t="inlineStr">
        <is>
          <t>PSV total:</t>
        </is>
      </c>
      <c r="K607" s="8">
        <f>TEXT(TIMEVALUE(I606)-TIMEVALUE(H605)+(I606&lt;H605),"[h]:mm")</f>
        <v/>
      </c>
    </row>
    <row r="609">
      <c r="B609" s="3" t="inlineStr">
        <is>
          <t>Pairing ID</t>
        </is>
      </c>
      <c r="C609" s="3" t="inlineStr">
        <is>
          <t>FECHA REAL</t>
        </is>
      </c>
      <c r="D609" s="3" t="inlineStr">
        <is>
          <t>Day of Week</t>
        </is>
      </c>
      <c r="E609" s="3" t="inlineStr">
        <is>
          <t>Flight No</t>
        </is>
      </c>
      <c r="F609" s="3" t="inlineStr">
        <is>
          <t>Dep Stn</t>
        </is>
      </c>
      <c r="G609" s="3" t="inlineStr">
        <is>
          <t>Arr Stn</t>
        </is>
      </c>
      <c r="H609" s="3" t="inlineStr">
        <is>
          <t>STD</t>
        </is>
      </c>
      <c r="I609" s="3" t="inlineStr">
        <is>
          <t>STA</t>
        </is>
      </c>
      <c r="J609" s="3" t="inlineStr">
        <is>
          <t>subflota</t>
        </is>
      </c>
      <c r="K609" s="3" t="inlineStr">
        <is>
          <t>Conexion</t>
        </is>
      </c>
      <c r="L609" s="3" t="inlineStr">
        <is>
          <t>HBT</t>
        </is>
      </c>
    </row>
    <row r="610">
      <c r="B610" s="4" t="inlineStr">
        <is>
          <t>748_0</t>
        </is>
      </c>
      <c r="C610" s="4" t="inlineStr">
        <is>
          <t>08/09/2026</t>
        </is>
      </c>
      <c r="D610" s="4" t="inlineStr">
        <is>
          <t>martes</t>
        </is>
      </c>
      <c r="E610" s="4" t="inlineStr">
        <is>
          <t>2312</t>
        </is>
      </c>
      <c r="F610" s="4" t="inlineStr">
        <is>
          <t>LIM</t>
        </is>
      </c>
      <c r="G610" s="4" t="inlineStr">
        <is>
          <t>CIX</t>
        </is>
      </c>
      <c r="H610" s="4" t="inlineStr">
        <is>
          <t>15:35:00</t>
        </is>
      </c>
      <c r="I610" s="4" t="inlineStr">
        <is>
          <t>17:05:00</t>
        </is>
      </c>
      <c r="J610" s="4" t="inlineStr">
        <is>
          <t>320</t>
        </is>
      </c>
      <c r="L610" s="4" t="inlineStr">
        <is>
          <t>01:30:00</t>
        </is>
      </c>
      <c r="M610" s="5" t="n"/>
      <c r="O610" s="5" t="n"/>
      <c r="Q610" s="4">
        <f>B610</f>
        <v/>
      </c>
      <c r="R610" s="4">
        <f>C610</f>
        <v/>
      </c>
      <c r="S610" s="4">
        <f>D610</f>
        <v/>
      </c>
      <c r="T610" s="4">
        <f>E610&amp;"/"&amp;E611</f>
        <v/>
      </c>
      <c r="U610" s="4">
        <f>F610&amp;"-"&amp;G610&amp;"-"&amp;F610</f>
        <v/>
      </c>
      <c r="V610" s="4">
        <f>IF($M$610="","",$M$610)</f>
        <v/>
      </c>
      <c r="W610" s="4">
        <f>IF($O$610="","",$O$610)</f>
        <v/>
      </c>
      <c r="X610" s="4">
        <f>J610</f>
        <v/>
      </c>
    </row>
    <row r="611">
      <c r="B611" s="4" t="inlineStr">
        <is>
          <t>748_0</t>
        </is>
      </c>
      <c r="C611" s="4" t="inlineStr">
        <is>
          <t>08/09/2026</t>
        </is>
      </c>
      <c r="D611" s="4" t="inlineStr">
        <is>
          <t>martes</t>
        </is>
      </c>
      <c r="E611" s="4" t="inlineStr">
        <is>
          <t>2313</t>
        </is>
      </c>
      <c r="F611" s="4" t="inlineStr">
        <is>
          <t>CIX</t>
        </is>
      </c>
      <c r="G611" s="4" t="inlineStr">
        <is>
          <t>LIM</t>
        </is>
      </c>
      <c r="H611" s="4" t="inlineStr">
        <is>
          <t>17:50:00</t>
        </is>
      </c>
      <c r="I611" s="4" t="inlineStr">
        <is>
          <t>19:10:00</t>
        </is>
      </c>
      <c r="J611" s="4" t="inlineStr">
        <is>
          <t>320</t>
        </is>
      </c>
      <c r="K611">
        <f>TEXT(TIMEVALUE(H611)-TIMEVALUE(I610)+(TIMEVALUE(H611)&lt;TIMEVALUE(I610)),"[h]:mm")</f>
        <v/>
      </c>
      <c r="L611" s="4" t="inlineStr">
        <is>
          <t>01:20:00</t>
        </is>
      </c>
      <c r="O611">
        <f>"LIM-"&amp;G610&amp;"-LIM   LA "&amp;E610&amp;" ("&amp;LEFT(H610,5)&amp;"-"&amp;LEFT(I610,5)&amp;" hrs)  /  LA "&amp;E611&amp;" ("&amp;LEFT(H611,5)&amp;"-"&amp;LEFT(I611,5)&amp;" hrs)"</f>
        <v/>
      </c>
    </row>
    <row r="612">
      <c r="J612" s="7" t="inlineStr">
        <is>
          <t>PSV total:</t>
        </is>
      </c>
      <c r="K612" s="8">
        <f>TEXT(TIMEVALUE(I611)-TIMEVALUE(H610)+(I611&lt;H610),"[h]:mm")</f>
        <v/>
      </c>
    </row>
    <row r="614">
      <c r="B614" s="3" t="inlineStr">
        <is>
          <t>Pairing ID</t>
        </is>
      </c>
      <c r="C614" s="3" t="inlineStr">
        <is>
          <t>FECHA REAL</t>
        </is>
      </c>
      <c r="D614" s="3" t="inlineStr">
        <is>
          <t>Day of Week</t>
        </is>
      </c>
      <c r="E614" s="3" t="inlineStr">
        <is>
          <t>Flight No</t>
        </is>
      </c>
      <c r="F614" s="3" t="inlineStr">
        <is>
          <t>Dep Stn</t>
        </is>
      </c>
      <c r="G614" s="3" t="inlineStr">
        <is>
          <t>Arr Stn</t>
        </is>
      </c>
      <c r="H614" s="3" t="inlineStr">
        <is>
          <t>STD</t>
        </is>
      </c>
      <c r="I614" s="3" t="inlineStr">
        <is>
          <t>STA</t>
        </is>
      </c>
      <c r="J614" s="3" t="inlineStr">
        <is>
          <t>subflota</t>
        </is>
      </c>
      <c r="K614" s="3" t="inlineStr">
        <is>
          <t>Conexion</t>
        </is>
      </c>
      <c r="L614" s="3" t="inlineStr">
        <is>
          <t>HBT</t>
        </is>
      </c>
    </row>
    <row r="615">
      <c r="B615" s="4" t="inlineStr">
        <is>
          <t>747_0</t>
        </is>
      </c>
      <c r="C615" s="4" t="inlineStr">
        <is>
          <t>08/09/2026</t>
        </is>
      </c>
      <c r="D615" s="4" t="inlineStr">
        <is>
          <t>martes</t>
        </is>
      </c>
      <c r="E615" s="4" t="inlineStr">
        <is>
          <t>2312</t>
        </is>
      </c>
      <c r="F615" s="4" t="inlineStr">
        <is>
          <t>LIM</t>
        </is>
      </c>
      <c r="G615" s="4" t="inlineStr">
        <is>
          <t>CIX</t>
        </is>
      </c>
      <c r="H615" s="4" t="inlineStr">
        <is>
          <t>15:35:00</t>
        </is>
      </c>
      <c r="I615" s="4" t="inlineStr">
        <is>
          <t>17:05:00</t>
        </is>
      </c>
      <c r="J615" s="4" t="inlineStr">
        <is>
          <t>320</t>
        </is>
      </c>
      <c r="L615" s="4" t="inlineStr">
        <is>
          <t>01:30:00</t>
        </is>
      </c>
      <c r="M615" s="5" t="n"/>
      <c r="O615" s="5" t="n"/>
      <c r="Q615" s="4">
        <f>B615</f>
        <v/>
      </c>
      <c r="R615" s="4">
        <f>C615</f>
        <v/>
      </c>
      <c r="S615" s="4">
        <f>D615</f>
        <v/>
      </c>
      <c r="T615" s="4">
        <f>E615&amp;"/"&amp;E616</f>
        <v/>
      </c>
      <c r="U615" s="4">
        <f>F615&amp;"-"&amp;G615&amp;"-"&amp;F615</f>
        <v/>
      </c>
      <c r="V615" s="4">
        <f>IF($M$615="","",$M$615)</f>
        <v/>
      </c>
      <c r="W615" s="4">
        <f>IF($O$615="","",$O$615)</f>
        <v/>
      </c>
      <c r="X615" s="4">
        <f>J615</f>
        <v/>
      </c>
    </row>
    <row r="616">
      <c r="B616" s="4" t="inlineStr">
        <is>
          <t>747_0</t>
        </is>
      </c>
      <c r="C616" s="4" t="inlineStr">
        <is>
          <t>08/09/2026</t>
        </is>
      </c>
      <c r="D616" s="4" t="inlineStr">
        <is>
          <t>martes</t>
        </is>
      </c>
      <c r="E616" s="4" t="inlineStr">
        <is>
          <t>2313</t>
        </is>
      </c>
      <c r="F616" s="4" t="inlineStr">
        <is>
          <t>CIX</t>
        </is>
      </c>
      <c r="G616" s="4" t="inlineStr">
        <is>
          <t>LIM</t>
        </is>
      </c>
      <c r="H616" s="4" t="inlineStr">
        <is>
          <t>17:50:00</t>
        </is>
      </c>
      <c r="I616" s="4" t="inlineStr">
        <is>
          <t>19:10:00</t>
        </is>
      </c>
      <c r="J616" s="4" t="inlineStr">
        <is>
          <t>320</t>
        </is>
      </c>
      <c r="K616">
        <f>TEXT(TIMEVALUE(H616)-TIMEVALUE(I615)+(TIMEVALUE(H616)&lt;TIMEVALUE(I615)),"[h]:mm")</f>
        <v/>
      </c>
      <c r="L616" s="4" t="inlineStr">
        <is>
          <t>01:20:00</t>
        </is>
      </c>
      <c r="O616">
        <f>"LIM-"&amp;G615&amp;"-LIM   LA "&amp;E615&amp;" ("&amp;LEFT(H615,5)&amp;"-"&amp;LEFT(I615,5)&amp;" hrs)  /  LA "&amp;E616&amp;" ("&amp;LEFT(H616,5)&amp;"-"&amp;LEFT(I616,5)&amp;" hrs)"</f>
        <v/>
      </c>
    </row>
    <row r="617">
      <c r="J617" s="7" t="inlineStr">
        <is>
          <t>PSV total:</t>
        </is>
      </c>
      <c r="K617" s="8">
        <f>TEXT(TIMEVALUE(I616)-TIMEVALUE(H615)+(I616&lt;H615),"[h]:mm")</f>
        <v/>
      </c>
    </row>
    <row r="619">
      <c r="B619" s="3" t="inlineStr">
        <is>
          <t>Pairing ID</t>
        </is>
      </c>
      <c r="C619" s="3" t="inlineStr">
        <is>
          <t>FECHA REAL</t>
        </is>
      </c>
      <c r="D619" s="3" t="inlineStr">
        <is>
          <t>Day of Week</t>
        </is>
      </c>
      <c r="E619" s="3" t="inlineStr">
        <is>
          <t>Flight No</t>
        </is>
      </c>
      <c r="F619" s="3" t="inlineStr">
        <is>
          <t>Dep Stn</t>
        </is>
      </c>
      <c r="G619" s="3" t="inlineStr">
        <is>
          <t>Arr Stn</t>
        </is>
      </c>
      <c r="H619" s="3" t="inlineStr">
        <is>
          <t>STD</t>
        </is>
      </c>
      <c r="I619" s="3" t="inlineStr">
        <is>
          <t>STA</t>
        </is>
      </c>
      <c r="J619" s="3" t="inlineStr">
        <is>
          <t>subflota</t>
        </is>
      </c>
      <c r="K619" s="3" t="inlineStr">
        <is>
          <t>Conexion</t>
        </is>
      </c>
      <c r="L619" s="3" t="inlineStr">
        <is>
          <t>HBT</t>
        </is>
      </c>
    </row>
    <row r="620">
      <c r="B620" s="4" t="inlineStr">
        <is>
          <t>749_0</t>
        </is>
      </c>
      <c r="C620" s="4" t="inlineStr">
        <is>
          <t>08/09/2026</t>
        </is>
      </c>
      <c r="D620" s="4" t="inlineStr">
        <is>
          <t>martes</t>
        </is>
      </c>
      <c r="E620" s="4" t="inlineStr">
        <is>
          <t>2301</t>
        </is>
      </c>
      <c r="F620" s="4" t="inlineStr">
        <is>
          <t>LIM</t>
        </is>
      </c>
      <c r="G620" s="4" t="inlineStr">
        <is>
          <t>TPP</t>
        </is>
      </c>
      <c r="H620" s="4" t="inlineStr">
        <is>
          <t>15:40:00</t>
        </is>
      </c>
      <c r="I620" s="4" t="inlineStr">
        <is>
          <t>17:05:00</t>
        </is>
      </c>
      <c r="J620" s="4" t="inlineStr">
        <is>
          <t>320</t>
        </is>
      </c>
      <c r="L620" s="4" t="inlineStr">
        <is>
          <t>01:25:00</t>
        </is>
      </c>
      <c r="M620" s="5" t="n"/>
      <c r="O620" s="5" t="n"/>
      <c r="Q620" s="4">
        <f>B620</f>
        <v/>
      </c>
      <c r="R620" s="4">
        <f>C620</f>
        <v/>
      </c>
      <c r="S620" s="4">
        <f>D620</f>
        <v/>
      </c>
      <c r="T620" s="4">
        <f>E620&amp;"/"&amp;E621</f>
        <v/>
      </c>
      <c r="U620" s="4">
        <f>F620&amp;"-"&amp;G620&amp;"-"&amp;F620</f>
        <v/>
      </c>
      <c r="V620" s="4">
        <f>IF($M$620="","",$M$620)</f>
        <v/>
      </c>
      <c r="W620" s="4">
        <f>IF($O$620="","",$O$620)</f>
        <v/>
      </c>
      <c r="X620" s="4">
        <f>J620</f>
        <v/>
      </c>
    </row>
    <row r="621">
      <c r="B621" s="4" t="inlineStr">
        <is>
          <t>749_0</t>
        </is>
      </c>
      <c r="C621" s="4" t="inlineStr">
        <is>
          <t>08/09/2026</t>
        </is>
      </c>
      <c r="D621" s="4" t="inlineStr">
        <is>
          <t>martes</t>
        </is>
      </c>
      <c r="E621" s="4" t="inlineStr">
        <is>
          <t>2300</t>
        </is>
      </c>
      <c r="F621" s="4" t="inlineStr">
        <is>
          <t>TPP</t>
        </is>
      </c>
      <c r="G621" s="4" t="inlineStr">
        <is>
          <t>LIM</t>
        </is>
      </c>
      <c r="H621" s="4" t="inlineStr">
        <is>
          <t>17:50:00</t>
        </is>
      </c>
      <c r="I621" s="4" t="inlineStr">
        <is>
          <t>19:15:00</t>
        </is>
      </c>
      <c r="J621" s="4" t="inlineStr">
        <is>
          <t>320</t>
        </is>
      </c>
      <c r="K621">
        <f>TEXT(TIMEVALUE(H621)-TIMEVALUE(I620)+(TIMEVALUE(H621)&lt;TIMEVALUE(I620)),"[h]:mm")</f>
        <v/>
      </c>
      <c r="L621" s="4" t="inlineStr">
        <is>
          <t>01:25:00</t>
        </is>
      </c>
      <c r="O621">
        <f>"LIM-"&amp;G620&amp;"-LIM   LA "&amp;E620&amp;" ("&amp;LEFT(H620,5)&amp;"-"&amp;LEFT(I620,5)&amp;" hrs)  /  LA "&amp;E621&amp;" ("&amp;LEFT(H621,5)&amp;"-"&amp;LEFT(I621,5)&amp;" hrs)"</f>
        <v/>
      </c>
    </row>
    <row r="622">
      <c r="J622" s="7" t="inlineStr">
        <is>
          <t>PSV total:</t>
        </is>
      </c>
      <c r="K622" s="8">
        <f>TEXT(TIMEVALUE(I621)-TIMEVALUE(H620)+(I621&lt;H620),"[h]:mm")</f>
        <v/>
      </c>
    </row>
    <row r="624">
      <c r="B624" s="3" t="inlineStr">
        <is>
          <t>Pairing ID</t>
        </is>
      </c>
      <c r="C624" s="3" t="inlineStr">
        <is>
          <t>FECHA REAL</t>
        </is>
      </c>
      <c r="D624" s="3" t="inlineStr">
        <is>
          <t>Day of Week</t>
        </is>
      </c>
      <c r="E624" s="3" t="inlineStr">
        <is>
          <t>Flight No</t>
        </is>
      </c>
      <c r="F624" s="3" t="inlineStr">
        <is>
          <t>Dep Stn</t>
        </is>
      </c>
      <c r="G624" s="3" t="inlineStr">
        <is>
          <t>Arr Stn</t>
        </is>
      </c>
      <c r="H624" s="3" t="inlineStr">
        <is>
          <t>STD</t>
        </is>
      </c>
      <c r="I624" s="3" t="inlineStr">
        <is>
          <t>STA</t>
        </is>
      </c>
      <c r="J624" s="3" t="inlineStr">
        <is>
          <t>subflota</t>
        </is>
      </c>
      <c r="K624" s="3" t="inlineStr">
        <is>
          <t>Conexion</t>
        </is>
      </c>
      <c r="L624" s="3" t="inlineStr">
        <is>
          <t>HBT</t>
        </is>
      </c>
    </row>
    <row r="625">
      <c r="B625" s="4" t="inlineStr">
        <is>
          <t>754_0</t>
        </is>
      </c>
      <c r="C625" s="4" t="inlineStr">
        <is>
          <t>08/09/2026</t>
        </is>
      </c>
      <c r="D625" s="4" t="inlineStr">
        <is>
          <t>martes</t>
        </is>
      </c>
      <c r="E625" s="4" t="inlineStr">
        <is>
          <t>2215</t>
        </is>
      </c>
      <c r="F625" s="4" t="inlineStr">
        <is>
          <t>LIM</t>
        </is>
      </c>
      <c r="G625" s="4" t="inlineStr">
        <is>
          <t>TCQ</t>
        </is>
      </c>
      <c r="H625" s="4" t="inlineStr">
        <is>
          <t>16:30:00</t>
        </is>
      </c>
      <c r="I625" s="4" t="inlineStr">
        <is>
          <t>18:20:00</t>
        </is>
      </c>
      <c r="J625" s="4" t="inlineStr">
        <is>
          <t>320</t>
        </is>
      </c>
      <c r="L625" s="4" t="inlineStr">
        <is>
          <t>01:50:00</t>
        </is>
      </c>
      <c r="M625" s="5" t="n"/>
      <c r="O625" s="5" t="n"/>
      <c r="Q625" s="4">
        <f>B625</f>
        <v/>
      </c>
      <c r="R625" s="4">
        <f>C625</f>
        <v/>
      </c>
      <c r="S625" s="4">
        <f>D625</f>
        <v/>
      </c>
      <c r="T625" s="4">
        <f>E625&amp;"/"&amp;E626</f>
        <v/>
      </c>
      <c r="U625" s="4">
        <f>F625&amp;"-"&amp;G625&amp;"-"&amp;F625</f>
        <v/>
      </c>
      <c r="V625" s="4">
        <f>IF($M$625="","",$M$625)</f>
        <v/>
      </c>
      <c r="W625" s="4">
        <f>IF($O$625="","",$O$625)</f>
        <v/>
      </c>
      <c r="X625" s="4">
        <f>J625</f>
        <v/>
      </c>
    </row>
    <row r="626">
      <c r="B626" s="4" t="inlineStr">
        <is>
          <t>754_0</t>
        </is>
      </c>
      <c r="C626" s="4" t="inlineStr">
        <is>
          <t>08/09/2026</t>
        </is>
      </c>
      <c r="D626" s="4" t="inlineStr">
        <is>
          <t>martes</t>
        </is>
      </c>
      <c r="E626" s="4" t="inlineStr">
        <is>
          <t>2216</t>
        </is>
      </c>
      <c r="F626" s="4" t="inlineStr">
        <is>
          <t>TCQ</t>
        </is>
      </c>
      <c r="G626" s="4" t="inlineStr">
        <is>
          <t>LIM</t>
        </is>
      </c>
      <c r="H626" s="4" t="inlineStr">
        <is>
          <t>18:55:00</t>
        </is>
      </c>
      <c r="I626" s="4" t="inlineStr">
        <is>
          <t>20:50:00</t>
        </is>
      </c>
      <c r="J626" s="4" t="inlineStr">
        <is>
          <t>320</t>
        </is>
      </c>
      <c r="K626">
        <f>TEXT(TIMEVALUE(H626)-TIMEVALUE(I625)+(TIMEVALUE(H626)&lt;TIMEVALUE(I625)),"[h]:mm")</f>
        <v/>
      </c>
      <c r="L626" s="4" t="inlineStr">
        <is>
          <t>01:55:00</t>
        </is>
      </c>
      <c r="O626">
        <f>"LIM-"&amp;G625&amp;"-LIM   LA "&amp;E625&amp;" ("&amp;LEFT(H625,5)&amp;"-"&amp;LEFT(I625,5)&amp;" hrs)  /  LA "&amp;E626&amp;" ("&amp;LEFT(H626,5)&amp;"-"&amp;LEFT(I626,5)&amp;" hrs)"</f>
        <v/>
      </c>
    </row>
    <row r="627">
      <c r="J627" s="7" t="inlineStr">
        <is>
          <t>PSV total:</t>
        </is>
      </c>
      <c r="K627" s="8">
        <f>TEXT(TIMEVALUE(I626)-TIMEVALUE(H625)+(I626&lt;H625),"[h]:mm")</f>
        <v/>
      </c>
    </row>
    <row r="629">
      <c r="B629" s="3" t="inlineStr">
        <is>
          <t>Pairing ID</t>
        </is>
      </c>
      <c r="C629" s="3" t="inlineStr">
        <is>
          <t>FECHA REAL</t>
        </is>
      </c>
      <c r="D629" s="3" t="inlineStr">
        <is>
          <t>Day of Week</t>
        </is>
      </c>
      <c r="E629" s="3" t="inlineStr">
        <is>
          <t>Flight No</t>
        </is>
      </c>
      <c r="F629" s="3" t="inlineStr">
        <is>
          <t>Dep Stn</t>
        </is>
      </c>
      <c r="G629" s="3" t="inlineStr">
        <is>
          <t>Arr Stn</t>
        </is>
      </c>
      <c r="H629" s="3" t="inlineStr">
        <is>
          <t>STD</t>
        </is>
      </c>
      <c r="I629" s="3" t="inlineStr">
        <is>
          <t>STA</t>
        </is>
      </c>
      <c r="J629" s="3" t="inlineStr">
        <is>
          <t>subflota</t>
        </is>
      </c>
      <c r="K629" s="3" t="inlineStr">
        <is>
          <t>Conexion</t>
        </is>
      </c>
      <c r="L629" s="3" t="inlineStr">
        <is>
          <t>HBT</t>
        </is>
      </c>
    </row>
    <row r="630">
      <c r="B630" s="4" t="inlineStr">
        <is>
          <t>753_0</t>
        </is>
      </c>
      <c r="C630" s="4" t="inlineStr">
        <is>
          <t>08/09/2026</t>
        </is>
      </c>
      <c r="D630" s="4" t="inlineStr">
        <is>
          <t>martes</t>
        </is>
      </c>
      <c r="E630" s="4" t="inlineStr">
        <is>
          <t>2215</t>
        </is>
      </c>
      <c r="F630" s="4" t="inlineStr">
        <is>
          <t>LIM</t>
        </is>
      </c>
      <c r="G630" s="4" t="inlineStr">
        <is>
          <t>TCQ</t>
        </is>
      </c>
      <c r="H630" s="4" t="inlineStr">
        <is>
          <t>16:30:00</t>
        </is>
      </c>
      <c r="I630" s="4" t="inlineStr">
        <is>
          <t>18:20:00</t>
        </is>
      </c>
      <c r="J630" s="4" t="inlineStr">
        <is>
          <t>320</t>
        </is>
      </c>
      <c r="L630" s="4" t="inlineStr">
        <is>
          <t>01:50:00</t>
        </is>
      </c>
      <c r="M630" s="5" t="n"/>
      <c r="O630" s="5" t="n"/>
      <c r="Q630" s="4">
        <f>B630</f>
        <v/>
      </c>
      <c r="R630" s="4">
        <f>C630</f>
        <v/>
      </c>
      <c r="S630" s="4">
        <f>D630</f>
        <v/>
      </c>
      <c r="T630" s="4">
        <f>E630&amp;"/"&amp;E631</f>
        <v/>
      </c>
      <c r="U630" s="4">
        <f>F630&amp;"-"&amp;G630&amp;"-"&amp;F630</f>
        <v/>
      </c>
      <c r="V630" s="4">
        <f>IF($M$630="","",$M$630)</f>
        <v/>
      </c>
      <c r="W630" s="4">
        <f>IF($O$630="","",$O$630)</f>
        <v/>
      </c>
      <c r="X630" s="4">
        <f>J630</f>
        <v/>
      </c>
    </row>
    <row r="631">
      <c r="B631" s="4" t="inlineStr">
        <is>
          <t>753_0</t>
        </is>
      </c>
      <c r="C631" s="4" t="inlineStr">
        <is>
          <t>08/09/2026</t>
        </is>
      </c>
      <c r="D631" s="4" t="inlineStr">
        <is>
          <t>martes</t>
        </is>
      </c>
      <c r="E631" s="4" t="inlineStr">
        <is>
          <t>2216</t>
        </is>
      </c>
      <c r="F631" s="4" t="inlineStr">
        <is>
          <t>TCQ</t>
        </is>
      </c>
      <c r="G631" s="4" t="inlineStr">
        <is>
          <t>LIM</t>
        </is>
      </c>
      <c r="H631" s="4" t="inlineStr">
        <is>
          <t>18:55:00</t>
        </is>
      </c>
      <c r="I631" s="4" t="inlineStr">
        <is>
          <t>20:50:00</t>
        </is>
      </c>
      <c r="J631" s="4" t="inlineStr">
        <is>
          <t>320</t>
        </is>
      </c>
      <c r="K631">
        <f>TEXT(TIMEVALUE(H631)-TIMEVALUE(I630)+(TIMEVALUE(H631)&lt;TIMEVALUE(I630)),"[h]:mm")</f>
        <v/>
      </c>
      <c r="L631" s="4" t="inlineStr">
        <is>
          <t>01:55:00</t>
        </is>
      </c>
      <c r="O631">
        <f>"LIM-"&amp;G630&amp;"-LIM   LA "&amp;E630&amp;" ("&amp;LEFT(H630,5)&amp;"-"&amp;LEFT(I630,5)&amp;" hrs)  /  LA "&amp;E631&amp;" ("&amp;LEFT(H631,5)&amp;"-"&amp;LEFT(I631,5)&amp;" hrs)"</f>
        <v/>
      </c>
    </row>
    <row r="632">
      <c r="J632" s="7" t="inlineStr">
        <is>
          <t>PSV total:</t>
        </is>
      </c>
      <c r="K632" s="8">
        <f>TEXT(TIMEVALUE(I631)-TIMEVALUE(H630)+(I631&lt;H630),"[h]:mm")</f>
        <v/>
      </c>
    </row>
    <row r="634">
      <c r="B634" s="3" t="inlineStr">
        <is>
          <t>Pairing ID</t>
        </is>
      </c>
      <c r="C634" s="3" t="inlineStr">
        <is>
          <t>FECHA REAL</t>
        </is>
      </c>
      <c r="D634" s="3" t="inlineStr">
        <is>
          <t>Day of Week</t>
        </is>
      </c>
      <c r="E634" s="3" t="inlineStr">
        <is>
          <t>Flight No</t>
        </is>
      </c>
      <c r="F634" s="3" t="inlineStr">
        <is>
          <t>Dep Stn</t>
        </is>
      </c>
      <c r="G634" s="3" t="inlineStr">
        <is>
          <t>Arr Stn</t>
        </is>
      </c>
      <c r="H634" s="3" t="inlineStr">
        <is>
          <t>STD</t>
        </is>
      </c>
      <c r="I634" s="3" t="inlineStr">
        <is>
          <t>STA</t>
        </is>
      </c>
      <c r="J634" s="3" t="inlineStr">
        <is>
          <t>subflota</t>
        </is>
      </c>
      <c r="K634" s="3" t="inlineStr">
        <is>
          <t>Conexion</t>
        </is>
      </c>
      <c r="L634" s="3" t="inlineStr">
        <is>
          <t>HBT</t>
        </is>
      </c>
    </row>
    <row r="635">
      <c r="B635" s="4" t="inlineStr">
        <is>
          <t>755_0</t>
        </is>
      </c>
      <c r="C635" s="4" t="inlineStr">
        <is>
          <t>08/09/2026</t>
        </is>
      </c>
      <c r="D635" s="4" t="inlineStr">
        <is>
          <t>martes</t>
        </is>
      </c>
      <c r="E635" s="4" t="inlineStr">
        <is>
          <t>2276</t>
        </is>
      </c>
      <c r="F635" s="4" t="inlineStr">
        <is>
          <t>LIM</t>
        </is>
      </c>
      <c r="G635" s="4" t="inlineStr">
        <is>
          <t>CUZ</t>
        </is>
      </c>
      <c r="H635" s="4" t="inlineStr">
        <is>
          <t>16:35:00</t>
        </is>
      </c>
      <c r="I635" s="4" t="inlineStr">
        <is>
          <t>17:55:00</t>
        </is>
      </c>
      <c r="J635" s="4" t="inlineStr">
        <is>
          <t>320</t>
        </is>
      </c>
      <c r="L635" s="4" t="inlineStr">
        <is>
          <t>01:20:00</t>
        </is>
      </c>
      <c r="M635" s="5" t="n"/>
      <c r="O635" s="5" t="n"/>
      <c r="Q635" s="4">
        <f>B635</f>
        <v/>
      </c>
      <c r="R635" s="4">
        <f>C635</f>
        <v/>
      </c>
      <c r="S635" s="4">
        <f>D635</f>
        <v/>
      </c>
      <c r="T635" s="4">
        <f>E635&amp;"/"&amp;E636</f>
        <v/>
      </c>
      <c r="U635" s="4">
        <f>F635&amp;"-"&amp;G635&amp;"-"&amp;F635</f>
        <v/>
      </c>
      <c r="V635" s="4">
        <f>IF($M$635="","",$M$635)</f>
        <v/>
      </c>
      <c r="W635" s="4">
        <f>IF($O$635="","",$O$635)</f>
        <v/>
      </c>
      <c r="X635" s="4">
        <f>J635</f>
        <v/>
      </c>
    </row>
    <row r="636">
      <c r="B636" s="4" t="inlineStr">
        <is>
          <t>755_0</t>
        </is>
      </c>
      <c r="C636" s="4" t="inlineStr">
        <is>
          <t>08/09/2026</t>
        </is>
      </c>
      <c r="D636" s="4" t="inlineStr">
        <is>
          <t>martes</t>
        </is>
      </c>
      <c r="E636" s="4" t="inlineStr">
        <is>
          <t>2277</t>
        </is>
      </c>
      <c r="F636" s="4" t="inlineStr">
        <is>
          <t>CUZ</t>
        </is>
      </c>
      <c r="G636" s="4" t="inlineStr">
        <is>
          <t>LIM</t>
        </is>
      </c>
      <c r="H636" s="4" t="inlineStr">
        <is>
          <t>18:50:00</t>
        </is>
      </c>
      <c r="I636" s="4" t="inlineStr">
        <is>
          <t>20:25:00</t>
        </is>
      </c>
      <c r="J636" s="4" t="inlineStr">
        <is>
          <t>320</t>
        </is>
      </c>
      <c r="K636">
        <f>TEXT(TIMEVALUE(H636)-TIMEVALUE(I635)+(TIMEVALUE(H636)&lt;TIMEVALUE(I635)),"[h]:mm")</f>
        <v/>
      </c>
      <c r="L636" s="4" t="inlineStr">
        <is>
          <t>01:35:00</t>
        </is>
      </c>
      <c r="O636">
        <f>"LIM-"&amp;G635&amp;"-LIM   LA "&amp;E635&amp;" ("&amp;LEFT(H635,5)&amp;"-"&amp;LEFT(I635,5)&amp;" hrs)  /  LA "&amp;E636&amp;" ("&amp;LEFT(H636,5)&amp;"-"&amp;LEFT(I636,5)&amp;" hrs)"</f>
        <v/>
      </c>
    </row>
    <row r="637">
      <c r="J637" s="7" t="inlineStr">
        <is>
          <t>PSV total:</t>
        </is>
      </c>
      <c r="K637" s="8">
        <f>TEXT(TIMEVALUE(I636)-TIMEVALUE(H635)+(I636&lt;H635),"[h]:mm")</f>
        <v/>
      </c>
    </row>
    <row r="639">
      <c r="B639" s="3" t="inlineStr">
        <is>
          <t>Pairing ID</t>
        </is>
      </c>
      <c r="C639" s="3" t="inlineStr">
        <is>
          <t>FECHA REAL</t>
        </is>
      </c>
      <c r="D639" s="3" t="inlineStr">
        <is>
          <t>Day of Week</t>
        </is>
      </c>
      <c r="E639" s="3" t="inlineStr">
        <is>
          <t>Flight No</t>
        </is>
      </c>
      <c r="F639" s="3" t="inlineStr">
        <is>
          <t>Dep Stn</t>
        </is>
      </c>
      <c r="G639" s="3" t="inlineStr">
        <is>
          <t>Arr Stn</t>
        </is>
      </c>
      <c r="H639" s="3" t="inlineStr">
        <is>
          <t>STD</t>
        </is>
      </c>
      <c r="I639" s="3" t="inlineStr">
        <is>
          <t>STA</t>
        </is>
      </c>
      <c r="J639" s="3" t="inlineStr">
        <is>
          <t>subflota</t>
        </is>
      </c>
      <c r="K639" s="3" t="inlineStr">
        <is>
          <t>Conexion</t>
        </is>
      </c>
      <c r="L639" s="3" t="inlineStr">
        <is>
          <t>HBT</t>
        </is>
      </c>
    </row>
    <row r="640">
      <c r="B640" s="4" t="inlineStr">
        <is>
          <t>757_0</t>
        </is>
      </c>
      <c r="C640" s="4" t="inlineStr">
        <is>
          <t>08/09/2026</t>
        </is>
      </c>
      <c r="D640" s="4" t="inlineStr">
        <is>
          <t>martes</t>
        </is>
      </c>
      <c r="E640" s="4" t="inlineStr">
        <is>
          <t>2213</t>
        </is>
      </c>
      <c r="F640" s="4" t="inlineStr">
        <is>
          <t>LIM</t>
        </is>
      </c>
      <c r="G640" s="4" t="inlineStr">
        <is>
          <t>CIX</t>
        </is>
      </c>
      <c r="H640" s="4" t="inlineStr">
        <is>
          <t>17:20:00</t>
        </is>
      </c>
      <c r="I640" s="4" t="inlineStr">
        <is>
          <t>18:50:00</t>
        </is>
      </c>
      <c r="J640" s="4" t="inlineStr">
        <is>
          <t>320</t>
        </is>
      </c>
      <c r="L640" s="4" t="inlineStr">
        <is>
          <t>01:30:00</t>
        </is>
      </c>
      <c r="M640" s="5" t="n"/>
      <c r="O640" s="5" t="n"/>
      <c r="Q640" s="4">
        <f>B640</f>
        <v/>
      </c>
      <c r="R640" s="4">
        <f>C640</f>
        <v/>
      </c>
      <c r="S640" s="4">
        <f>D640</f>
        <v/>
      </c>
      <c r="T640" s="4">
        <f>E640&amp;"/"&amp;E641</f>
        <v/>
      </c>
      <c r="U640" s="4">
        <f>F640&amp;"-"&amp;G640&amp;"-"&amp;F640</f>
        <v/>
      </c>
      <c r="V640" s="4">
        <f>IF($M$640="","",$M$640)</f>
        <v/>
      </c>
      <c r="W640" s="4">
        <f>IF($O$640="","",$O$640)</f>
        <v/>
      </c>
      <c r="X640" s="4">
        <f>J640</f>
        <v/>
      </c>
    </row>
    <row r="641">
      <c r="B641" s="4" t="inlineStr">
        <is>
          <t>757_0</t>
        </is>
      </c>
      <c r="C641" s="4" t="inlineStr">
        <is>
          <t>08/09/2026</t>
        </is>
      </c>
      <c r="D641" s="4" t="inlineStr">
        <is>
          <t>martes</t>
        </is>
      </c>
      <c r="E641" s="4" t="inlineStr">
        <is>
          <t>2214</t>
        </is>
      </c>
      <c r="F641" s="4" t="inlineStr">
        <is>
          <t>CIX</t>
        </is>
      </c>
      <c r="G641" s="4" t="inlineStr">
        <is>
          <t>LIM</t>
        </is>
      </c>
      <c r="H641" s="4" t="inlineStr">
        <is>
          <t>19:25:00</t>
        </is>
      </c>
      <c r="I641" s="4" t="inlineStr">
        <is>
          <t>20:40:00</t>
        </is>
      </c>
      <c r="J641" s="4" t="inlineStr">
        <is>
          <t>320</t>
        </is>
      </c>
      <c r="K641">
        <f>TEXT(TIMEVALUE(H641)-TIMEVALUE(I640)+(TIMEVALUE(H641)&lt;TIMEVALUE(I640)),"[h]:mm")</f>
        <v/>
      </c>
      <c r="L641" s="4" t="inlineStr">
        <is>
          <t>01:15:00</t>
        </is>
      </c>
      <c r="O641">
        <f>"LIM-"&amp;G640&amp;"-LIM   LA "&amp;E640&amp;" ("&amp;LEFT(H640,5)&amp;"-"&amp;LEFT(I640,5)&amp;" hrs)  /  LA "&amp;E641&amp;" ("&amp;LEFT(H641,5)&amp;"-"&amp;LEFT(I641,5)&amp;" hrs)"</f>
        <v/>
      </c>
    </row>
    <row r="642">
      <c r="J642" s="7" t="inlineStr">
        <is>
          <t>PSV total:</t>
        </is>
      </c>
      <c r="K642" s="8">
        <f>TEXT(TIMEVALUE(I641)-TIMEVALUE(H640)+(I641&lt;H640),"[h]:mm")</f>
        <v/>
      </c>
    </row>
    <row r="644">
      <c r="B644" s="3" t="inlineStr">
        <is>
          <t>Pairing ID</t>
        </is>
      </c>
      <c r="C644" s="3" t="inlineStr">
        <is>
          <t>FECHA REAL</t>
        </is>
      </c>
      <c r="D644" s="3" t="inlineStr">
        <is>
          <t>Day of Week</t>
        </is>
      </c>
      <c r="E644" s="3" t="inlineStr">
        <is>
          <t>Flight No</t>
        </is>
      </c>
      <c r="F644" s="3" t="inlineStr">
        <is>
          <t>Dep Stn</t>
        </is>
      </c>
      <c r="G644" s="3" t="inlineStr">
        <is>
          <t>Arr Stn</t>
        </is>
      </c>
      <c r="H644" s="3" t="inlineStr">
        <is>
          <t>STD</t>
        </is>
      </c>
      <c r="I644" s="3" t="inlineStr">
        <is>
          <t>STA</t>
        </is>
      </c>
      <c r="J644" s="3" t="inlineStr">
        <is>
          <t>subflota</t>
        </is>
      </c>
      <c r="K644" s="3" t="inlineStr">
        <is>
          <t>Conexion</t>
        </is>
      </c>
      <c r="L644" s="3" t="inlineStr">
        <is>
          <t>HBT</t>
        </is>
      </c>
    </row>
    <row r="645">
      <c r="B645" s="4" t="inlineStr">
        <is>
          <t>807_0</t>
        </is>
      </c>
      <c r="C645" s="4" t="inlineStr">
        <is>
          <t>09/09/2026</t>
        </is>
      </c>
      <c r="D645" s="4" t="inlineStr">
        <is>
          <t>miércoles</t>
        </is>
      </c>
      <c r="E645" s="4" t="inlineStr">
        <is>
          <t>2061</t>
        </is>
      </c>
      <c r="F645" s="4" t="inlineStr">
        <is>
          <t>LIM</t>
        </is>
      </c>
      <c r="G645" s="4" t="inlineStr">
        <is>
          <t>CUZ</t>
        </is>
      </c>
      <c r="H645" s="4" t="inlineStr">
        <is>
          <t>11:40:00</t>
        </is>
      </c>
      <c r="I645" s="4" t="inlineStr">
        <is>
          <t>13:00:00</t>
        </is>
      </c>
      <c r="J645" s="4" t="inlineStr">
        <is>
          <t>320</t>
        </is>
      </c>
      <c r="L645" s="4" t="inlineStr">
        <is>
          <t>01:20:00</t>
        </is>
      </c>
      <c r="M645" s="5" t="n"/>
      <c r="O645" s="5" t="n"/>
      <c r="Q645" s="4">
        <f>B645</f>
        <v/>
      </c>
      <c r="R645" s="4">
        <f>C645</f>
        <v/>
      </c>
      <c r="S645" s="4">
        <f>D645</f>
        <v/>
      </c>
      <c r="T645" s="4">
        <f>E645&amp;"/"&amp;E646</f>
        <v/>
      </c>
      <c r="U645" s="4">
        <f>F645&amp;"-"&amp;G645&amp;"-"&amp;F645</f>
        <v/>
      </c>
      <c r="V645" s="4">
        <f>IF($M$645="","",$M$645)</f>
        <v/>
      </c>
      <c r="W645" s="4">
        <f>IF($O$645="","",$O$645)</f>
        <v/>
      </c>
      <c r="X645" s="4">
        <f>J645</f>
        <v/>
      </c>
    </row>
    <row r="646">
      <c r="B646" s="4" t="inlineStr">
        <is>
          <t>807_0</t>
        </is>
      </c>
      <c r="C646" s="4" t="inlineStr">
        <is>
          <t>09/09/2026</t>
        </is>
      </c>
      <c r="D646" s="4" t="inlineStr">
        <is>
          <t>miércoles</t>
        </is>
      </c>
      <c r="E646" s="4" t="inlineStr">
        <is>
          <t>2062</t>
        </is>
      </c>
      <c r="F646" s="4" t="inlineStr">
        <is>
          <t>CUZ</t>
        </is>
      </c>
      <c r="G646" s="4" t="inlineStr">
        <is>
          <t>LIM</t>
        </is>
      </c>
      <c r="H646" s="4" t="inlineStr">
        <is>
          <t>13:40:00</t>
        </is>
      </c>
      <c r="I646" s="4" t="inlineStr">
        <is>
          <t>15:15:00</t>
        </is>
      </c>
      <c r="J646" s="4" t="inlineStr">
        <is>
          <t>320</t>
        </is>
      </c>
      <c r="K646">
        <f>TEXT(TIMEVALUE(H646)-TIMEVALUE(I645)+(TIMEVALUE(H646)&lt;TIMEVALUE(I645)),"[h]:mm")</f>
        <v/>
      </c>
      <c r="L646" s="4" t="inlineStr">
        <is>
          <t>01:35:00</t>
        </is>
      </c>
      <c r="O646">
        <f>"LIM-"&amp;G645&amp;"-LIM   LA "&amp;E645&amp;" ("&amp;LEFT(H645,5)&amp;"-"&amp;LEFT(I645,5)&amp;" hrs)  /  LA "&amp;E646&amp;" ("&amp;LEFT(H646,5)&amp;"-"&amp;LEFT(I646,5)&amp;" hrs)"</f>
        <v/>
      </c>
    </row>
    <row r="647">
      <c r="B647" s="4" t="inlineStr">
        <is>
          <t>837_0</t>
        </is>
      </c>
      <c r="C647" s="4" t="inlineStr">
        <is>
          <t>09/09/2026</t>
        </is>
      </c>
      <c r="D647" s="4" t="inlineStr">
        <is>
          <t>miércoles</t>
        </is>
      </c>
      <c r="E647" s="4" t="inlineStr">
        <is>
          <t>2127</t>
        </is>
      </c>
      <c r="F647" s="4" t="inlineStr">
        <is>
          <t>LIM</t>
        </is>
      </c>
      <c r="G647" s="4" t="inlineStr">
        <is>
          <t>CUZ</t>
        </is>
      </c>
      <c r="H647" s="4" t="inlineStr">
        <is>
          <t>16:10:00</t>
        </is>
      </c>
      <c r="I647" s="4" t="inlineStr">
        <is>
          <t>17:30:00</t>
        </is>
      </c>
      <c r="J647" s="4" t="inlineStr">
        <is>
          <t>320</t>
        </is>
      </c>
      <c r="K647" s="6">
        <f>TEXT(TIMEVALUE(H647)-TIMEVALUE(I646)+(TIMEVALUE(H647)&lt;TIMEVALUE(I646)),"[h]:mm")</f>
        <v/>
      </c>
      <c r="L647" s="4" t="inlineStr">
        <is>
          <t>01:20:00</t>
        </is>
      </c>
      <c r="M647">
        <f>IF($M$645="","",$M$645)</f>
        <v/>
      </c>
      <c r="O647">
        <f>IF($O$645="","",$O$645)</f>
        <v/>
      </c>
      <c r="Q647" s="4">
        <f>B647</f>
        <v/>
      </c>
      <c r="R647" s="4">
        <f>C647</f>
        <v/>
      </c>
      <c r="S647" s="4">
        <f>D647</f>
        <v/>
      </c>
      <c r="T647" s="4">
        <f>E647&amp;"/"&amp;E648</f>
        <v/>
      </c>
      <c r="U647" s="4">
        <f>F647&amp;"-"&amp;G647&amp;"-"&amp;F647</f>
        <v/>
      </c>
      <c r="V647" s="4">
        <f>IF($M$645="","",$M$645)</f>
        <v/>
      </c>
      <c r="W647" s="4">
        <f>IF($O$645="","",$O$645)</f>
        <v/>
      </c>
      <c r="X647" s="4">
        <f>J647</f>
        <v/>
      </c>
    </row>
    <row r="648">
      <c r="B648" s="4" t="inlineStr">
        <is>
          <t>837_0</t>
        </is>
      </c>
      <c r="C648" s="4" t="inlineStr">
        <is>
          <t>09/09/2026</t>
        </is>
      </c>
      <c r="D648" s="4" t="inlineStr">
        <is>
          <t>miércoles</t>
        </is>
      </c>
      <c r="E648" s="4" t="inlineStr">
        <is>
          <t>2026</t>
        </is>
      </c>
      <c r="F648" s="4" t="inlineStr">
        <is>
          <t>CUZ</t>
        </is>
      </c>
      <c r="G648" s="4" t="inlineStr">
        <is>
          <t>LIM</t>
        </is>
      </c>
      <c r="H648" s="4" t="inlineStr">
        <is>
          <t>18:10:00</t>
        </is>
      </c>
      <c r="I648" s="4" t="inlineStr">
        <is>
          <t>19:50:00</t>
        </is>
      </c>
      <c r="J648" s="4" t="inlineStr">
        <is>
          <t>320</t>
        </is>
      </c>
      <c r="K648">
        <f>TEXT(TIMEVALUE(H648)-TIMEVALUE(I647)+(TIMEVALUE(H648)&lt;TIMEVALUE(I647)),"[h]:mm")</f>
        <v/>
      </c>
      <c r="L648" s="4" t="inlineStr">
        <is>
          <t>01:40:00</t>
        </is>
      </c>
      <c r="O648">
        <f>"LIM-"&amp;G647&amp;"-LIM   LA "&amp;E647&amp;" ("&amp;LEFT(H647,5)&amp;"-"&amp;LEFT(I647,5)&amp;" hrs)  /  LA "&amp;E648&amp;" ("&amp;LEFT(H648,5)&amp;"-"&amp;LEFT(I648,5)&amp;" hrs)"</f>
        <v/>
      </c>
    </row>
    <row r="649">
      <c r="J649" s="7" t="inlineStr">
        <is>
          <t>PSV total:</t>
        </is>
      </c>
      <c r="K649" s="8">
        <f>TEXT(TIMEVALUE(I648)-TIMEVALUE(H645)+(I648&lt;H645),"[h]:mm")</f>
        <v/>
      </c>
    </row>
    <row r="651">
      <c r="B651" s="3" t="inlineStr">
        <is>
          <t>Pairing ID</t>
        </is>
      </c>
      <c r="C651" s="3" t="inlineStr">
        <is>
          <t>FECHA REAL</t>
        </is>
      </c>
      <c r="D651" s="3" t="inlineStr">
        <is>
          <t>Day of Week</t>
        </is>
      </c>
      <c r="E651" s="3" t="inlineStr">
        <is>
          <t>Flight No</t>
        </is>
      </c>
      <c r="F651" s="3" t="inlineStr">
        <is>
          <t>Dep Stn</t>
        </is>
      </c>
      <c r="G651" s="3" t="inlineStr">
        <is>
          <t>Arr Stn</t>
        </is>
      </c>
      <c r="H651" s="3" t="inlineStr">
        <is>
          <t>STD</t>
        </is>
      </c>
      <c r="I651" s="3" t="inlineStr">
        <is>
          <t>STA</t>
        </is>
      </c>
      <c r="J651" s="3" t="inlineStr">
        <is>
          <t>subflota</t>
        </is>
      </c>
      <c r="K651" s="3" t="inlineStr">
        <is>
          <t>Conexion</t>
        </is>
      </c>
      <c r="L651" s="3" t="inlineStr">
        <is>
          <t>HBT</t>
        </is>
      </c>
    </row>
    <row r="652">
      <c r="B652" s="4" t="inlineStr">
        <is>
          <t>810_0</t>
        </is>
      </c>
      <c r="C652" s="4" t="inlineStr">
        <is>
          <t>09/09/2026</t>
        </is>
      </c>
      <c r="D652" s="4" t="inlineStr">
        <is>
          <t>miércoles</t>
        </is>
      </c>
      <c r="E652" s="4" t="inlineStr">
        <is>
          <t>2023</t>
        </is>
      </c>
      <c r="F652" s="4" t="inlineStr">
        <is>
          <t>LIM</t>
        </is>
      </c>
      <c r="G652" s="4" t="inlineStr">
        <is>
          <t>PEM</t>
        </is>
      </c>
      <c r="H652" s="4" t="inlineStr">
        <is>
          <t>12:15:00</t>
        </is>
      </c>
      <c r="I652" s="4" t="inlineStr">
        <is>
          <t>13:55:00</t>
        </is>
      </c>
      <c r="J652" s="4" t="inlineStr">
        <is>
          <t>319</t>
        </is>
      </c>
      <c r="L652" s="4" t="inlineStr">
        <is>
          <t>01:40:00</t>
        </is>
      </c>
      <c r="M652" s="5" t="n"/>
      <c r="O652" s="5" t="n"/>
      <c r="Q652" s="4">
        <f>B652</f>
        <v/>
      </c>
      <c r="R652" s="4">
        <f>C652</f>
        <v/>
      </c>
      <c r="S652" s="4">
        <f>D652</f>
        <v/>
      </c>
      <c r="T652" s="4">
        <f>E652&amp;"/"&amp;E653</f>
        <v/>
      </c>
      <c r="U652" s="4">
        <f>F652&amp;"-"&amp;G652&amp;"-"&amp;F652</f>
        <v/>
      </c>
      <c r="V652" s="4">
        <f>IF($M$652="","",$M$652)</f>
        <v/>
      </c>
      <c r="W652" s="4">
        <f>IF($O$652="","",$O$652)</f>
        <v/>
      </c>
      <c r="X652" s="4">
        <f>J652</f>
        <v/>
      </c>
    </row>
    <row r="653">
      <c r="B653" s="4" t="inlineStr">
        <is>
          <t>810_0</t>
        </is>
      </c>
      <c r="C653" s="4" t="inlineStr">
        <is>
          <t>09/09/2026</t>
        </is>
      </c>
      <c r="D653" s="4" t="inlineStr">
        <is>
          <t>miércoles</t>
        </is>
      </c>
      <c r="E653" s="4" t="inlineStr">
        <is>
          <t>2024</t>
        </is>
      </c>
      <c r="F653" s="4" t="inlineStr">
        <is>
          <t>PEM</t>
        </is>
      </c>
      <c r="G653" s="4" t="inlineStr">
        <is>
          <t>LIM</t>
        </is>
      </c>
      <c r="H653" s="4" t="inlineStr">
        <is>
          <t>14:35:00</t>
        </is>
      </c>
      <c r="I653" s="4" t="inlineStr">
        <is>
          <t>16:10:00</t>
        </is>
      </c>
      <c r="J653" s="4" t="inlineStr">
        <is>
          <t>319</t>
        </is>
      </c>
      <c r="K653">
        <f>TEXT(TIMEVALUE(H653)-TIMEVALUE(I652)+(TIMEVALUE(H653)&lt;TIMEVALUE(I652)),"[h]:mm")</f>
        <v/>
      </c>
      <c r="L653" s="4" t="inlineStr">
        <is>
          <t>01:35:00</t>
        </is>
      </c>
      <c r="O653">
        <f>"LIM-"&amp;G652&amp;"-LIM   LA "&amp;E652&amp;" ("&amp;LEFT(H652,5)&amp;"-"&amp;LEFT(I652,5)&amp;" hrs)  /  LA "&amp;E653&amp;" ("&amp;LEFT(H653,5)&amp;"-"&amp;LEFT(I653,5)&amp;" hrs)"</f>
        <v/>
      </c>
    </row>
    <row r="654">
      <c r="J654" s="7" t="inlineStr">
        <is>
          <t>PSV total:</t>
        </is>
      </c>
      <c r="K654" s="8">
        <f>TEXT(TIMEVALUE(I653)-TIMEVALUE(H652)+(I653&lt;H652),"[h]:mm")</f>
        <v/>
      </c>
    </row>
    <row r="656">
      <c r="B656" s="3" t="inlineStr">
        <is>
          <t>Pairing ID</t>
        </is>
      </c>
      <c r="C656" s="3" t="inlineStr">
        <is>
          <t>FECHA REAL</t>
        </is>
      </c>
      <c r="D656" s="3" t="inlineStr">
        <is>
          <t>Day of Week</t>
        </is>
      </c>
      <c r="E656" s="3" t="inlineStr">
        <is>
          <t>Flight No</t>
        </is>
      </c>
      <c r="F656" s="3" t="inlineStr">
        <is>
          <t>Dep Stn</t>
        </is>
      </c>
      <c r="G656" s="3" t="inlineStr">
        <is>
          <t>Arr Stn</t>
        </is>
      </c>
      <c r="H656" s="3" t="inlineStr">
        <is>
          <t>STD</t>
        </is>
      </c>
      <c r="I656" s="3" t="inlineStr">
        <is>
          <t>STA</t>
        </is>
      </c>
      <c r="J656" s="3" t="inlineStr">
        <is>
          <t>subflota</t>
        </is>
      </c>
      <c r="K656" s="3" t="inlineStr">
        <is>
          <t>Conexion</t>
        </is>
      </c>
      <c r="L656" s="3" t="inlineStr">
        <is>
          <t>HBT</t>
        </is>
      </c>
    </row>
    <row r="657">
      <c r="B657" s="4" t="inlineStr">
        <is>
          <t>818_0</t>
        </is>
      </c>
      <c r="C657" s="4" t="inlineStr">
        <is>
          <t>09/09/2026</t>
        </is>
      </c>
      <c r="D657" s="4" t="inlineStr">
        <is>
          <t>miércoles</t>
        </is>
      </c>
      <c r="E657" s="4" t="inlineStr">
        <is>
          <t>2067</t>
        </is>
      </c>
      <c r="F657" s="4" t="inlineStr">
        <is>
          <t>LIM</t>
        </is>
      </c>
      <c r="G657" s="4" t="inlineStr">
        <is>
          <t>TCQ</t>
        </is>
      </c>
      <c r="H657" s="4" t="inlineStr">
        <is>
          <t>13:45:00</t>
        </is>
      </c>
      <c r="I657" s="4" t="inlineStr">
        <is>
          <t>15:35:00</t>
        </is>
      </c>
      <c r="J657" s="4" t="inlineStr">
        <is>
          <t>320</t>
        </is>
      </c>
      <c r="L657" s="4" t="inlineStr">
        <is>
          <t>01:50:00</t>
        </is>
      </c>
      <c r="M657" s="5" t="n"/>
      <c r="O657" s="5" t="n"/>
      <c r="Q657" s="4">
        <f>B657</f>
        <v/>
      </c>
      <c r="R657" s="4">
        <f>C657</f>
        <v/>
      </c>
      <c r="S657" s="4">
        <f>D657</f>
        <v/>
      </c>
      <c r="T657" s="4">
        <f>E657&amp;"/"&amp;E658</f>
        <v/>
      </c>
      <c r="U657" s="4">
        <f>F657&amp;"-"&amp;G657&amp;"-"&amp;F657</f>
        <v/>
      </c>
      <c r="V657" s="4">
        <f>IF($M$657="","",$M$657)</f>
        <v/>
      </c>
      <c r="W657" s="4">
        <f>IF($O$657="","",$O$657)</f>
        <v/>
      </c>
      <c r="X657" s="4">
        <f>J657</f>
        <v/>
      </c>
    </row>
    <row r="658">
      <c r="B658" s="4" t="inlineStr">
        <is>
          <t>818_0</t>
        </is>
      </c>
      <c r="C658" s="4" t="inlineStr">
        <is>
          <t>09/09/2026</t>
        </is>
      </c>
      <c r="D658" s="4" t="inlineStr">
        <is>
          <t>miércoles</t>
        </is>
      </c>
      <c r="E658" s="4" t="inlineStr">
        <is>
          <t>2068</t>
        </is>
      </c>
      <c r="F658" s="4" t="inlineStr">
        <is>
          <t>TCQ</t>
        </is>
      </c>
      <c r="G658" s="4" t="inlineStr">
        <is>
          <t>LIM</t>
        </is>
      </c>
      <c r="H658" s="4" t="inlineStr">
        <is>
          <t>16:20:00</t>
        </is>
      </c>
      <c r="I658" s="4" t="inlineStr">
        <is>
          <t>18:15:00</t>
        </is>
      </c>
      <c r="J658" s="4" t="inlineStr">
        <is>
          <t>320</t>
        </is>
      </c>
      <c r="K658">
        <f>TEXT(TIMEVALUE(H658)-TIMEVALUE(I657)+(TIMEVALUE(H658)&lt;TIMEVALUE(I657)),"[h]:mm")</f>
        <v/>
      </c>
      <c r="L658" s="4" t="inlineStr">
        <is>
          <t>01:55:00</t>
        </is>
      </c>
      <c r="O658">
        <f>"LIM-"&amp;G657&amp;"-LIM   LA "&amp;E657&amp;" ("&amp;LEFT(H657,5)&amp;"-"&amp;LEFT(I657,5)&amp;" hrs)  /  LA "&amp;E658&amp;" ("&amp;LEFT(H658,5)&amp;"-"&amp;LEFT(I658,5)&amp;" hrs)"</f>
        <v/>
      </c>
    </row>
    <row r="659">
      <c r="J659" s="7" t="inlineStr">
        <is>
          <t>PSV total:</t>
        </is>
      </c>
      <c r="K659" s="8">
        <f>TEXT(TIMEVALUE(I658)-TIMEVALUE(H657)+(I658&lt;H657),"[h]:mm")</f>
        <v/>
      </c>
    </row>
    <row r="661">
      <c r="B661" s="3" t="inlineStr">
        <is>
          <t>Pairing ID</t>
        </is>
      </c>
      <c r="C661" s="3" t="inlineStr">
        <is>
          <t>FECHA REAL</t>
        </is>
      </c>
      <c r="D661" s="3" t="inlineStr">
        <is>
          <t>Day of Week</t>
        </is>
      </c>
      <c r="E661" s="3" t="inlineStr">
        <is>
          <t>Flight No</t>
        </is>
      </c>
      <c r="F661" s="3" t="inlineStr">
        <is>
          <t>Dep Stn</t>
        </is>
      </c>
      <c r="G661" s="3" t="inlineStr">
        <is>
          <t>Arr Stn</t>
        </is>
      </c>
      <c r="H661" s="3" t="inlineStr">
        <is>
          <t>STD</t>
        </is>
      </c>
      <c r="I661" s="3" t="inlineStr">
        <is>
          <t>STA</t>
        </is>
      </c>
      <c r="J661" s="3" t="inlineStr">
        <is>
          <t>subflota</t>
        </is>
      </c>
      <c r="K661" s="3" t="inlineStr">
        <is>
          <t>Conexion</t>
        </is>
      </c>
      <c r="L661" s="3" t="inlineStr">
        <is>
          <t>HBT</t>
        </is>
      </c>
    </row>
    <row r="662">
      <c r="B662" s="4" t="inlineStr">
        <is>
          <t>819_0</t>
        </is>
      </c>
      <c r="C662" s="4" t="inlineStr">
        <is>
          <t>09/09/2026</t>
        </is>
      </c>
      <c r="D662" s="4" t="inlineStr">
        <is>
          <t>miércoles</t>
        </is>
      </c>
      <c r="E662" s="4" t="inlineStr">
        <is>
          <t>2232</t>
        </is>
      </c>
      <c r="F662" s="4" t="inlineStr">
        <is>
          <t>LIM</t>
        </is>
      </c>
      <c r="G662" s="4" t="inlineStr">
        <is>
          <t>CUZ</t>
        </is>
      </c>
      <c r="H662" s="4" t="inlineStr">
        <is>
          <t>13:55:00</t>
        </is>
      </c>
      <c r="I662" s="4" t="inlineStr">
        <is>
          <t>15:15:00</t>
        </is>
      </c>
      <c r="J662" s="4" t="inlineStr">
        <is>
          <t>320</t>
        </is>
      </c>
      <c r="L662" s="4" t="inlineStr">
        <is>
          <t>01:20:00</t>
        </is>
      </c>
      <c r="M662" s="5" t="n"/>
      <c r="O662" s="5" t="n"/>
      <c r="Q662" s="4">
        <f>B662</f>
        <v/>
      </c>
      <c r="R662" s="4">
        <f>C662</f>
        <v/>
      </c>
      <c r="S662" s="4">
        <f>D662</f>
        <v/>
      </c>
      <c r="T662" s="4">
        <f>E662&amp;"/"&amp;E663</f>
        <v/>
      </c>
      <c r="U662" s="4">
        <f>F662&amp;"-"&amp;G662&amp;"-"&amp;F662</f>
        <v/>
      </c>
      <c r="V662" s="4">
        <f>IF($M$662="","",$M$662)</f>
        <v/>
      </c>
      <c r="W662" s="4">
        <f>IF($O$662="","",$O$662)</f>
        <v/>
      </c>
      <c r="X662" s="4">
        <f>J662</f>
        <v/>
      </c>
    </row>
    <row r="663">
      <c r="B663" s="4" t="inlineStr">
        <is>
          <t>819_0</t>
        </is>
      </c>
      <c r="C663" s="4" t="inlineStr">
        <is>
          <t>09/09/2026</t>
        </is>
      </c>
      <c r="D663" s="4" t="inlineStr">
        <is>
          <t>miércoles</t>
        </is>
      </c>
      <c r="E663" s="4" t="inlineStr">
        <is>
          <t>2233</t>
        </is>
      </c>
      <c r="F663" s="4" t="inlineStr">
        <is>
          <t>CUZ</t>
        </is>
      </c>
      <c r="G663" s="4" t="inlineStr">
        <is>
          <t>LIM</t>
        </is>
      </c>
      <c r="H663" s="4" t="inlineStr">
        <is>
          <t>15:55:00</t>
        </is>
      </c>
      <c r="I663" s="4" t="inlineStr">
        <is>
          <t>17:35:00</t>
        </is>
      </c>
      <c r="J663" s="4" t="inlineStr">
        <is>
          <t>320</t>
        </is>
      </c>
      <c r="K663">
        <f>TEXT(TIMEVALUE(H663)-TIMEVALUE(I662)+(TIMEVALUE(H663)&lt;TIMEVALUE(I662)),"[h]:mm")</f>
        <v/>
      </c>
      <c r="L663" s="4" t="inlineStr">
        <is>
          <t>01:40:00</t>
        </is>
      </c>
      <c r="O663">
        <f>"LIM-"&amp;G662&amp;"-LIM   LA "&amp;E662&amp;" ("&amp;LEFT(H662,5)&amp;"-"&amp;LEFT(I662,5)&amp;" hrs)  /  LA "&amp;E663&amp;" ("&amp;LEFT(H663,5)&amp;"-"&amp;LEFT(I663,5)&amp;" hrs)"</f>
        <v/>
      </c>
    </row>
    <row r="664">
      <c r="J664" s="7" t="inlineStr">
        <is>
          <t>PSV total:</t>
        </is>
      </c>
      <c r="K664" s="8">
        <f>TEXT(TIMEVALUE(I663)-TIMEVALUE(H662)+(I663&lt;H662),"[h]:mm")</f>
        <v/>
      </c>
    </row>
    <row r="666">
      <c r="B666" s="3" t="inlineStr">
        <is>
          <t>Pairing ID</t>
        </is>
      </c>
      <c r="C666" s="3" t="inlineStr">
        <is>
          <t>FECHA REAL</t>
        </is>
      </c>
      <c r="D666" s="3" t="inlineStr">
        <is>
          <t>Day of Week</t>
        </is>
      </c>
      <c r="E666" s="3" t="inlineStr">
        <is>
          <t>Flight No</t>
        </is>
      </c>
      <c r="F666" s="3" t="inlineStr">
        <is>
          <t>Dep Stn</t>
        </is>
      </c>
      <c r="G666" s="3" t="inlineStr">
        <is>
          <t>Arr Stn</t>
        </is>
      </c>
      <c r="H666" s="3" t="inlineStr">
        <is>
          <t>STD</t>
        </is>
      </c>
      <c r="I666" s="3" t="inlineStr">
        <is>
          <t>STA</t>
        </is>
      </c>
      <c r="J666" s="3" t="inlineStr">
        <is>
          <t>subflota</t>
        </is>
      </c>
      <c r="K666" s="3" t="inlineStr">
        <is>
          <t>Conexion</t>
        </is>
      </c>
      <c r="L666" s="3" t="inlineStr">
        <is>
          <t>HBT</t>
        </is>
      </c>
    </row>
    <row r="667">
      <c r="B667" s="4" t="inlineStr">
        <is>
          <t>821_0</t>
        </is>
      </c>
      <c r="C667" s="4" t="inlineStr">
        <is>
          <t>09/09/2026</t>
        </is>
      </c>
      <c r="D667" s="4" t="inlineStr">
        <is>
          <t>miércoles</t>
        </is>
      </c>
      <c r="E667" s="4" t="inlineStr">
        <is>
          <t>2087</t>
        </is>
      </c>
      <c r="F667" s="4" t="inlineStr">
        <is>
          <t>LIM</t>
        </is>
      </c>
      <c r="G667" s="4" t="inlineStr">
        <is>
          <t>TPP</t>
        </is>
      </c>
      <c r="H667" s="4" t="inlineStr">
        <is>
          <t>14:05:00</t>
        </is>
      </c>
      <c r="I667" s="4" t="inlineStr">
        <is>
          <t>15:30:00</t>
        </is>
      </c>
      <c r="J667" s="4" t="inlineStr">
        <is>
          <t>320</t>
        </is>
      </c>
      <c r="L667" s="4" t="inlineStr">
        <is>
          <t>01:25:00</t>
        </is>
      </c>
      <c r="M667" s="5" t="n"/>
      <c r="O667" s="5" t="n"/>
      <c r="Q667" s="4">
        <f>B667</f>
        <v/>
      </c>
      <c r="R667" s="4">
        <f>C667</f>
        <v/>
      </c>
      <c r="S667" s="4">
        <f>D667</f>
        <v/>
      </c>
      <c r="T667" s="4">
        <f>E667&amp;"/"&amp;E668</f>
        <v/>
      </c>
      <c r="U667" s="4">
        <f>F667&amp;"-"&amp;G667&amp;"-"&amp;F667</f>
        <v/>
      </c>
      <c r="V667" s="4">
        <f>IF($M$667="","",$M$667)</f>
        <v/>
      </c>
      <c r="W667" s="4">
        <f>IF($O$667="","",$O$667)</f>
        <v/>
      </c>
      <c r="X667" s="4">
        <f>J667</f>
        <v/>
      </c>
    </row>
    <row r="668">
      <c r="B668" s="4" t="inlineStr">
        <is>
          <t>821_0</t>
        </is>
      </c>
      <c r="C668" s="4" t="inlineStr">
        <is>
          <t>09/09/2026</t>
        </is>
      </c>
      <c r="D668" s="4" t="inlineStr">
        <is>
          <t>miércoles</t>
        </is>
      </c>
      <c r="E668" s="4" t="inlineStr">
        <is>
          <t>2088</t>
        </is>
      </c>
      <c r="F668" s="4" t="inlineStr">
        <is>
          <t>TPP</t>
        </is>
      </c>
      <c r="G668" s="4" t="inlineStr">
        <is>
          <t>LIM</t>
        </is>
      </c>
      <c r="H668" s="4" t="inlineStr">
        <is>
          <t>16:05:00</t>
        </is>
      </c>
      <c r="I668" s="4" t="inlineStr">
        <is>
          <t>17:30:00</t>
        </is>
      </c>
      <c r="J668" s="4" t="inlineStr">
        <is>
          <t>320</t>
        </is>
      </c>
      <c r="K668">
        <f>TEXT(TIMEVALUE(H668)-TIMEVALUE(I667)+(TIMEVALUE(H668)&lt;TIMEVALUE(I667)),"[h]:mm")</f>
        <v/>
      </c>
      <c r="L668" s="4" t="inlineStr">
        <is>
          <t>01:25:00</t>
        </is>
      </c>
      <c r="O668">
        <f>"LIM-"&amp;G667&amp;"-LIM   LA "&amp;E667&amp;" ("&amp;LEFT(H667,5)&amp;"-"&amp;LEFT(I667,5)&amp;" hrs)  /  LA "&amp;E668&amp;" ("&amp;LEFT(H668,5)&amp;"-"&amp;LEFT(I668,5)&amp;" hrs)"</f>
        <v/>
      </c>
    </row>
    <row r="669">
      <c r="J669" s="7" t="inlineStr">
        <is>
          <t>PSV total:</t>
        </is>
      </c>
      <c r="K669" s="8">
        <f>TEXT(TIMEVALUE(I668)-TIMEVALUE(H667)+(I668&lt;H667),"[h]:mm")</f>
        <v/>
      </c>
    </row>
    <row r="671">
      <c r="B671" s="3" t="inlineStr">
        <is>
          <t>Pairing ID</t>
        </is>
      </c>
      <c r="C671" s="3" t="inlineStr">
        <is>
          <t>FECHA REAL</t>
        </is>
      </c>
      <c r="D671" s="3" t="inlineStr">
        <is>
          <t>Day of Week</t>
        </is>
      </c>
      <c r="E671" s="3" t="inlineStr">
        <is>
          <t>Flight No</t>
        </is>
      </c>
      <c r="F671" s="3" t="inlineStr">
        <is>
          <t>Dep Stn</t>
        </is>
      </c>
      <c r="G671" s="3" t="inlineStr">
        <is>
          <t>Arr Stn</t>
        </is>
      </c>
      <c r="H671" s="3" t="inlineStr">
        <is>
          <t>STD</t>
        </is>
      </c>
      <c r="I671" s="3" t="inlineStr">
        <is>
          <t>STA</t>
        </is>
      </c>
      <c r="J671" s="3" t="inlineStr">
        <is>
          <t>subflota</t>
        </is>
      </c>
      <c r="K671" s="3" t="inlineStr">
        <is>
          <t>Conexion</t>
        </is>
      </c>
      <c r="L671" s="3" t="inlineStr">
        <is>
          <t>HBT</t>
        </is>
      </c>
    </row>
    <row r="672">
      <c r="B672" s="4" t="inlineStr">
        <is>
          <t>820_0</t>
        </is>
      </c>
      <c r="C672" s="4" t="inlineStr">
        <is>
          <t>09/09/2026</t>
        </is>
      </c>
      <c r="D672" s="4" t="inlineStr">
        <is>
          <t>miércoles</t>
        </is>
      </c>
      <c r="E672" s="4" t="inlineStr">
        <is>
          <t>2087</t>
        </is>
      </c>
      <c r="F672" s="4" t="inlineStr">
        <is>
          <t>LIM</t>
        </is>
      </c>
      <c r="G672" s="4" t="inlineStr">
        <is>
          <t>TPP</t>
        </is>
      </c>
      <c r="H672" s="4" t="inlineStr">
        <is>
          <t>14:05:00</t>
        </is>
      </c>
      <c r="I672" s="4" t="inlineStr">
        <is>
          <t>15:30:00</t>
        </is>
      </c>
      <c r="J672" s="4" t="inlineStr">
        <is>
          <t>320</t>
        </is>
      </c>
      <c r="L672" s="4" t="inlineStr">
        <is>
          <t>01:25:00</t>
        </is>
      </c>
      <c r="M672" s="5" t="n"/>
      <c r="O672" s="5" t="n"/>
      <c r="Q672" s="4">
        <f>B672</f>
        <v/>
      </c>
      <c r="R672" s="4">
        <f>C672</f>
        <v/>
      </c>
      <c r="S672" s="4">
        <f>D672</f>
        <v/>
      </c>
      <c r="T672" s="4">
        <f>E672&amp;"/"&amp;E673</f>
        <v/>
      </c>
      <c r="U672" s="4">
        <f>F672&amp;"-"&amp;G672&amp;"-"&amp;F672</f>
        <v/>
      </c>
      <c r="V672" s="4">
        <f>IF($M$672="","",$M$672)</f>
        <v/>
      </c>
      <c r="W672" s="4">
        <f>IF($O$672="","",$O$672)</f>
        <v/>
      </c>
      <c r="X672" s="4">
        <f>J672</f>
        <v/>
      </c>
    </row>
    <row r="673">
      <c r="B673" s="4" t="inlineStr">
        <is>
          <t>820_0</t>
        </is>
      </c>
      <c r="C673" s="4" t="inlineStr">
        <is>
          <t>09/09/2026</t>
        </is>
      </c>
      <c r="D673" s="4" t="inlineStr">
        <is>
          <t>miércoles</t>
        </is>
      </c>
      <c r="E673" s="4" t="inlineStr">
        <is>
          <t>2088</t>
        </is>
      </c>
      <c r="F673" s="4" t="inlineStr">
        <is>
          <t>TPP</t>
        </is>
      </c>
      <c r="G673" s="4" t="inlineStr">
        <is>
          <t>LIM</t>
        </is>
      </c>
      <c r="H673" s="4" t="inlineStr">
        <is>
          <t>16:05:00</t>
        </is>
      </c>
      <c r="I673" s="4" t="inlineStr">
        <is>
          <t>17:30:00</t>
        </is>
      </c>
      <c r="J673" s="4" t="inlineStr">
        <is>
          <t>320</t>
        </is>
      </c>
      <c r="K673">
        <f>TEXT(TIMEVALUE(H673)-TIMEVALUE(I672)+(TIMEVALUE(H673)&lt;TIMEVALUE(I672)),"[h]:mm")</f>
        <v/>
      </c>
      <c r="L673" s="4" t="inlineStr">
        <is>
          <t>01:25:00</t>
        </is>
      </c>
      <c r="O673">
        <f>"LIM-"&amp;G672&amp;"-LIM   LA "&amp;E672&amp;" ("&amp;LEFT(H672,5)&amp;"-"&amp;LEFT(I672,5)&amp;" hrs)  /  LA "&amp;E673&amp;" ("&amp;LEFT(H673,5)&amp;"-"&amp;LEFT(I673,5)&amp;" hrs)"</f>
        <v/>
      </c>
    </row>
    <row r="674">
      <c r="J674" s="7" t="inlineStr">
        <is>
          <t>PSV total:</t>
        </is>
      </c>
      <c r="K674" s="8">
        <f>TEXT(TIMEVALUE(I673)-TIMEVALUE(H672)+(I673&lt;H672),"[h]:mm")</f>
        <v/>
      </c>
    </row>
    <row r="676">
      <c r="B676" s="3" t="inlineStr">
        <is>
          <t>Pairing ID</t>
        </is>
      </c>
      <c r="C676" s="3" t="inlineStr">
        <is>
          <t>FECHA REAL</t>
        </is>
      </c>
      <c r="D676" s="3" t="inlineStr">
        <is>
          <t>Day of Week</t>
        </is>
      </c>
      <c r="E676" s="3" t="inlineStr">
        <is>
          <t>Flight No</t>
        </is>
      </c>
      <c r="F676" s="3" t="inlineStr">
        <is>
          <t>Dep Stn</t>
        </is>
      </c>
      <c r="G676" s="3" t="inlineStr">
        <is>
          <t>Arr Stn</t>
        </is>
      </c>
      <c r="H676" s="3" t="inlineStr">
        <is>
          <t>STD</t>
        </is>
      </c>
      <c r="I676" s="3" t="inlineStr">
        <is>
          <t>STA</t>
        </is>
      </c>
      <c r="J676" s="3" t="inlineStr">
        <is>
          <t>subflota</t>
        </is>
      </c>
      <c r="K676" s="3" t="inlineStr">
        <is>
          <t>Conexion</t>
        </is>
      </c>
      <c r="L676" s="3" t="inlineStr">
        <is>
          <t>HBT</t>
        </is>
      </c>
    </row>
    <row r="677">
      <c r="B677" s="4" t="inlineStr">
        <is>
          <t>822_0</t>
        </is>
      </c>
      <c r="C677" s="4" t="inlineStr">
        <is>
          <t>09/09/2026</t>
        </is>
      </c>
      <c r="D677" s="4" t="inlineStr">
        <is>
          <t>miércoles</t>
        </is>
      </c>
      <c r="E677" s="4" t="inlineStr">
        <is>
          <t>2295</t>
        </is>
      </c>
      <c r="F677" s="4" t="inlineStr">
        <is>
          <t>LIM</t>
        </is>
      </c>
      <c r="G677" s="4" t="inlineStr">
        <is>
          <t>CJA</t>
        </is>
      </c>
      <c r="H677" s="4" t="inlineStr">
        <is>
          <t>14:10:00</t>
        </is>
      </c>
      <c r="I677" s="4" t="inlineStr">
        <is>
          <t>15:30:00</t>
        </is>
      </c>
      <c r="J677" s="4" t="inlineStr">
        <is>
          <t>319</t>
        </is>
      </c>
      <c r="L677" s="4" t="inlineStr">
        <is>
          <t>01:20:00</t>
        </is>
      </c>
      <c r="M677" s="5" t="n"/>
      <c r="O677" s="5" t="n"/>
      <c r="Q677" s="4">
        <f>B677</f>
        <v/>
      </c>
      <c r="R677" s="4">
        <f>C677</f>
        <v/>
      </c>
      <c r="S677" s="4">
        <f>D677</f>
        <v/>
      </c>
      <c r="T677" s="4">
        <f>E677&amp;"/"&amp;E678</f>
        <v/>
      </c>
      <c r="U677" s="4">
        <f>F677&amp;"-"&amp;G677&amp;"-"&amp;F677</f>
        <v/>
      </c>
      <c r="V677" s="4">
        <f>IF($M$677="","",$M$677)</f>
        <v/>
      </c>
      <c r="W677" s="4">
        <f>IF($O$677="","",$O$677)</f>
        <v/>
      </c>
      <c r="X677" s="4">
        <f>J677</f>
        <v/>
      </c>
    </row>
    <row r="678">
      <c r="B678" s="4" t="inlineStr">
        <is>
          <t>822_0</t>
        </is>
      </c>
      <c r="C678" s="4" t="inlineStr">
        <is>
          <t>09/09/2026</t>
        </is>
      </c>
      <c r="D678" s="4" t="inlineStr">
        <is>
          <t>miércoles</t>
        </is>
      </c>
      <c r="E678" s="4" t="inlineStr">
        <is>
          <t>2294</t>
        </is>
      </c>
      <c r="F678" s="4" t="inlineStr">
        <is>
          <t>CJA</t>
        </is>
      </c>
      <c r="G678" s="4" t="inlineStr">
        <is>
          <t>LIM</t>
        </is>
      </c>
      <c r="H678" s="4" t="inlineStr">
        <is>
          <t>16:10:00</t>
        </is>
      </c>
      <c r="I678" s="4" t="inlineStr">
        <is>
          <t>17:15:00</t>
        </is>
      </c>
      <c r="J678" s="4" t="inlineStr">
        <is>
          <t>319</t>
        </is>
      </c>
      <c r="K678">
        <f>TEXT(TIMEVALUE(H678)-TIMEVALUE(I677)+(TIMEVALUE(H678)&lt;TIMEVALUE(I677)),"[h]:mm")</f>
        <v/>
      </c>
      <c r="L678" s="4" t="inlineStr">
        <is>
          <t>01:05:00</t>
        </is>
      </c>
      <c r="O678">
        <f>"LIM-"&amp;G677&amp;"-LIM   LA "&amp;E677&amp;" ("&amp;LEFT(H677,5)&amp;"-"&amp;LEFT(I677,5)&amp;" hrs)  /  LA "&amp;E678&amp;" ("&amp;LEFT(H678,5)&amp;"-"&amp;LEFT(I678,5)&amp;" hrs)"</f>
        <v/>
      </c>
    </row>
    <row r="679">
      <c r="B679" s="4" t="inlineStr">
        <is>
          <t>843_0</t>
        </is>
      </c>
      <c r="C679" s="4" t="inlineStr">
        <is>
          <t>09/09/2026</t>
        </is>
      </c>
      <c r="D679" s="4" t="inlineStr">
        <is>
          <t>miércoles</t>
        </is>
      </c>
      <c r="E679" s="4" t="inlineStr">
        <is>
          <t>2310</t>
        </is>
      </c>
      <c r="F679" s="4" t="inlineStr">
        <is>
          <t>LIM</t>
        </is>
      </c>
      <c r="G679" s="4" t="inlineStr">
        <is>
          <t>CIX</t>
        </is>
      </c>
      <c r="H679" s="4" t="inlineStr">
        <is>
          <t>18:20:00</t>
        </is>
      </c>
      <c r="I679" s="4" t="inlineStr">
        <is>
          <t>19:45:00</t>
        </is>
      </c>
      <c r="J679" s="4" t="inlineStr">
        <is>
          <t>320</t>
        </is>
      </c>
      <c r="K679" s="6">
        <f>TEXT(TIMEVALUE(H679)-TIMEVALUE(I678)+(TIMEVALUE(H679)&lt;TIMEVALUE(I678)),"[h]:mm")</f>
        <v/>
      </c>
      <c r="L679" s="4" t="inlineStr">
        <is>
          <t>01:25:00</t>
        </is>
      </c>
      <c r="M679">
        <f>IF($M$677="","",$M$677)</f>
        <v/>
      </c>
      <c r="O679">
        <f>IF($O$677="","",$O$677)</f>
        <v/>
      </c>
      <c r="Q679" s="4">
        <f>B679</f>
        <v/>
      </c>
      <c r="R679" s="4">
        <f>C679</f>
        <v/>
      </c>
      <c r="S679" s="4">
        <f>D679</f>
        <v/>
      </c>
      <c r="T679" s="4">
        <f>E679&amp;"/"&amp;E680</f>
        <v/>
      </c>
      <c r="U679" s="4">
        <f>F679&amp;"-"&amp;G679&amp;"-"&amp;F679</f>
        <v/>
      </c>
      <c r="V679" s="4">
        <f>IF($M$677="","",$M$677)</f>
        <v/>
      </c>
      <c r="W679" s="4">
        <f>IF($O$677="","",$O$677)</f>
        <v/>
      </c>
      <c r="X679" s="4">
        <f>J679</f>
        <v/>
      </c>
    </row>
    <row r="680">
      <c r="B680" s="4" t="inlineStr">
        <is>
          <t>843_0</t>
        </is>
      </c>
      <c r="C680" s="4" t="inlineStr">
        <is>
          <t>09/09/2026</t>
        </is>
      </c>
      <c r="D680" s="4" t="inlineStr">
        <is>
          <t>miércoles</t>
        </is>
      </c>
      <c r="E680" s="4" t="inlineStr">
        <is>
          <t>2311</t>
        </is>
      </c>
      <c r="F680" s="4" t="inlineStr">
        <is>
          <t>CIX</t>
        </is>
      </c>
      <c r="G680" s="4" t="inlineStr">
        <is>
          <t>LIM</t>
        </is>
      </c>
      <c r="H680" s="4" t="inlineStr">
        <is>
          <t>20:20:00</t>
        </is>
      </c>
      <c r="I680" s="4" t="inlineStr">
        <is>
          <t>21:35:00</t>
        </is>
      </c>
      <c r="J680" s="4" t="inlineStr">
        <is>
          <t>320</t>
        </is>
      </c>
      <c r="K680">
        <f>TEXT(TIMEVALUE(H680)-TIMEVALUE(I679)+(TIMEVALUE(H680)&lt;TIMEVALUE(I679)),"[h]:mm")</f>
        <v/>
      </c>
      <c r="L680" s="4" t="inlineStr">
        <is>
          <t>01:15:00</t>
        </is>
      </c>
      <c r="O680">
        <f>"LIM-"&amp;G679&amp;"-LIM   LA "&amp;E679&amp;" ("&amp;LEFT(H679,5)&amp;"-"&amp;LEFT(I679,5)&amp;" hrs)  /  LA "&amp;E680&amp;" ("&amp;LEFT(H680,5)&amp;"-"&amp;LEFT(I680,5)&amp;" hrs)"</f>
        <v/>
      </c>
    </row>
    <row r="681">
      <c r="J681" s="7" t="inlineStr">
        <is>
          <t>PSV total:</t>
        </is>
      </c>
      <c r="K681" s="8">
        <f>TEXT(TIMEVALUE(I680)-TIMEVALUE(H677)+(I680&lt;H677),"[h]:mm")</f>
        <v/>
      </c>
    </row>
    <row r="683">
      <c r="B683" s="3" t="inlineStr">
        <is>
          <t>Pairing ID</t>
        </is>
      </c>
      <c r="C683" s="3" t="inlineStr">
        <is>
          <t>FECHA REAL</t>
        </is>
      </c>
      <c r="D683" s="3" t="inlineStr">
        <is>
          <t>Day of Week</t>
        </is>
      </c>
      <c r="E683" s="3" t="inlineStr">
        <is>
          <t>Flight No</t>
        </is>
      </c>
      <c r="F683" s="3" t="inlineStr">
        <is>
          <t>Dep Stn</t>
        </is>
      </c>
      <c r="G683" s="3" t="inlineStr">
        <is>
          <t>Arr Stn</t>
        </is>
      </c>
      <c r="H683" s="3" t="inlineStr">
        <is>
          <t>STD</t>
        </is>
      </c>
      <c r="I683" s="3" t="inlineStr">
        <is>
          <t>STA</t>
        </is>
      </c>
      <c r="J683" s="3" t="inlineStr">
        <is>
          <t>subflota</t>
        </is>
      </c>
      <c r="K683" s="3" t="inlineStr">
        <is>
          <t>Conexion</t>
        </is>
      </c>
      <c r="L683" s="3" t="inlineStr">
        <is>
          <t>HBT</t>
        </is>
      </c>
    </row>
    <row r="684">
      <c r="B684" s="4" t="inlineStr">
        <is>
          <t>825_0</t>
        </is>
      </c>
      <c r="C684" s="4" t="inlineStr">
        <is>
          <t>09/09/2026</t>
        </is>
      </c>
      <c r="D684" s="4" t="inlineStr">
        <is>
          <t>miércoles</t>
        </is>
      </c>
      <c r="E684" s="4" t="inlineStr">
        <is>
          <t>2022</t>
        </is>
      </c>
      <c r="F684" s="4" t="inlineStr">
        <is>
          <t>LIM</t>
        </is>
      </c>
      <c r="G684" s="4" t="inlineStr">
        <is>
          <t>CUZ</t>
        </is>
      </c>
      <c r="H684" s="4" t="inlineStr">
        <is>
          <t>14:30:00</t>
        </is>
      </c>
      <c r="I684" s="4" t="inlineStr">
        <is>
          <t>15:50:00</t>
        </is>
      </c>
      <c r="J684" s="4" t="inlineStr">
        <is>
          <t>320</t>
        </is>
      </c>
      <c r="L684" s="4" t="inlineStr">
        <is>
          <t>01:20:00</t>
        </is>
      </c>
      <c r="M684" s="5" t="n"/>
      <c r="O684" s="5" t="n"/>
      <c r="Q684" s="4">
        <f>B684</f>
        <v/>
      </c>
      <c r="R684" s="4">
        <f>C684</f>
        <v/>
      </c>
      <c r="S684" s="4">
        <f>D684</f>
        <v/>
      </c>
      <c r="T684" s="4">
        <f>E684&amp;"/"&amp;E685</f>
        <v/>
      </c>
      <c r="U684" s="4">
        <f>F684&amp;"-"&amp;G684&amp;"-"&amp;F684</f>
        <v/>
      </c>
      <c r="V684" s="4">
        <f>IF($M$684="","",$M$684)</f>
        <v/>
      </c>
      <c r="W684" s="4">
        <f>IF($O$684="","",$O$684)</f>
        <v/>
      </c>
      <c r="X684" s="4">
        <f>J684</f>
        <v/>
      </c>
    </row>
    <row r="685">
      <c r="B685" s="4" t="inlineStr">
        <is>
          <t>825_0</t>
        </is>
      </c>
      <c r="C685" s="4" t="inlineStr">
        <is>
          <t>09/09/2026</t>
        </is>
      </c>
      <c r="D685" s="4" t="inlineStr">
        <is>
          <t>miércoles</t>
        </is>
      </c>
      <c r="E685" s="4" t="inlineStr">
        <is>
          <t>2025</t>
        </is>
      </c>
      <c r="F685" s="4" t="inlineStr">
        <is>
          <t>CUZ</t>
        </is>
      </c>
      <c r="G685" s="4" t="inlineStr">
        <is>
          <t>LIM</t>
        </is>
      </c>
      <c r="H685" s="4" t="inlineStr">
        <is>
          <t>16:35:00</t>
        </is>
      </c>
      <c r="I685" s="4" t="inlineStr">
        <is>
          <t>18:10:00</t>
        </is>
      </c>
      <c r="J685" s="4" t="inlineStr">
        <is>
          <t>320</t>
        </is>
      </c>
      <c r="K685">
        <f>TEXT(TIMEVALUE(H685)-TIMEVALUE(I684)+(TIMEVALUE(H685)&lt;TIMEVALUE(I684)),"[h]:mm")</f>
        <v/>
      </c>
      <c r="L685" s="4" t="inlineStr">
        <is>
          <t>01:35:00</t>
        </is>
      </c>
      <c r="O685">
        <f>"LIM-"&amp;G684&amp;"-LIM   LA "&amp;E684&amp;" ("&amp;LEFT(H684,5)&amp;"-"&amp;LEFT(I684,5)&amp;" hrs)  /  LA "&amp;E685&amp;" ("&amp;LEFT(H685,5)&amp;"-"&amp;LEFT(I685,5)&amp;" hrs)"</f>
        <v/>
      </c>
    </row>
    <row r="686">
      <c r="J686" s="7" t="inlineStr">
        <is>
          <t>PSV total:</t>
        </is>
      </c>
      <c r="K686" s="8">
        <f>TEXT(TIMEVALUE(I685)-TIMEVALUE(H684)+(I685&lt;H684),"[h]:mm")</f>
        <v/>
      </c>
    </row>
    <row r="688">
      <c r="B688" s="3" t="inlineStr">
        <is>
          <t>Pairing ID</t>
        </is>
      </c>
      <c r="C688" s="3" t="inlineStr">
        <is>
          <t>FECHA REAL</t>
        </is>
      </c>
      <c r="D688" s="3" t="inlineStr">
        <is>
          <t>Day of Week</t>
        </is>
      </c>
      <c r="E688" s="3" t="inlineStr">
        <is>
          <t>Flight No</t>
        </is>
      </c>
      <c r="F688" s="3" t="inlineStr">
        <is>
          <t>Dep Stn</t>
        </is>
      </c>
      <c r="G688" s="3" t="inlineStr">
        <is>
          <t>Arr Stn</t>
        </is>
      </c>
      <c r="H688" s="3" t="inlineStr">
        <is>
          <t>STD</t>
        </is>
      </c>
      <c r="I688" s="3" t="inlineStr">
        <is>
          <t>STA</t>
        </is>
      </c>
      <c r="J688" s="3" t="inlineStr">
        <is>
          <t>subflota</t>
        </is>
      </c>
      <c r="K688" s="3" t="inlineStr">
        <is>
          <t>Conexion</t>
        </is>
      </c>
      <c r="L688" s="3" t="inlineStr">
        <is>
          <t>HBT</t>
        </is>
      </c>
    </row>
    <row r="689">
      <c r="B689" s="4" t="inlineStr">
        <is>
          <t>826_0</t>
        </is>
      </c>
      <c r="C689" s="4" t="inlineStr">
        <is>
          <t>09/09/2026</t>
        </is>
      </c>
      <c r="D689" s="4" t="inlineStr">
        <is>
          <t>miércoles</t>
        </is>
      </c>
      <c r="E689" s="4" t="inlineStr">
        <is>
          <t>2282</t>
        </is>
      </c>
      <c r="F689" s="4" t="inlineStr">
        <is>
          <t>LIM</t>
        </is>
      </c>
      <c r="G689" s="4" t="inlineStr">
        <is>
          <t>CIX</t>
        </is>
      </c>
      <c r="H689" s="4" t="inlineStr">
        <is>
          <t>14:45:00</t>
        </is>
      </c>
      <c r="I689" s="4" t="inlineStr">
        <is>
          <t>16:15:00</t>
        </is>
      </c>
      <c r="J689" s="4" t="inlineStr">
        <is>
          <t>319</t>
        </is>
      </c>
      <c r="L689" s="4" t="inlineStr">
        <is>
          <t>01:30:00</t>
        </is>
      </c>
      <c r="M689" s="5" t="n"/>
      <c r="O689" s="5" t="n"/>
      <c r="Q689" s="4">
        <f>B689</f>
        <v/>
      </c>
      <c r="R689" s="4">
        <f>C689</f>
        <v/>
      </c>
      <c r="S689" s="4">
        <f>D689</f>
        <v/>
      </c>
      <c r="T689" s="4">
        <f>E689&amp;"/"&amp;E690</f>
        <v/>
      </c>
      <c r="U689" s="4">
        <f>F689&amp;"-"&amp;G689&amp;"-"&amp;F689</f>
        <v/>
      </c>
      <c r="V689" s="4">
        <f>IF($M$689="","",$M$689)</f>
        <v/>
      </c>
      <c r="W689" s="4">
        <f>IF($O$689="","",$O$689)</f>
        <v/>
      </c>
      <c r="X689" s="4">
        <f>J689</f>
        <v/>
      </c>
    </row>
    <row r="690">
      <c r="B690" s="4" t="inlineStr">
        <is>
          <t>826_0</t>
        </is>
      </c>
      <c r="C690" s="4" t="inlineStr">
        <is>
          <t>09/09/2026</t>
        </is>
      </c>
      <c r="D690" s="4" t="inlineStr">
        <is>
          <t>miércoles</t>
        </is>
      </c>
      <c r="E690" s="4" t="inlineStr">
        <is>
          <t>2283</t>
        </is>
      </c>
      <c r="F690" s="4" t="inlineStr">
        <is>
          <t>CIX</t>
        </is>
      </c>
      <c r="G690" s="4" t="inlineStr">
        <is>
          <t>LIM</t>
        </is>
      </c>
      <c r="H690" s="4" t="inlineStr">
        <is>
          <t>16:50:00</t>
        </is>
      </c>
      <c r="I690" s="4" t="inlineStr">
        <is>
          <t>18:10:00</t>
        </is>
      </c>
      <c r="J690" s="4" t="inlineStr">
        <is>
          <t>319</t>
        </is>
      </c>
      <c r="K690">
        <f>TEXT(TIMEVALUE(H690)-TIMEVALUE(I689)+(TIMEVALUE(H690)&lt;TIMEVALUE(I689)),"[h]:mm")</f>
        <v/>
      </c>
      <c r="L690" s="4" t="inlineStr">
        <is>
          <t>01:20:00</t>
        </is>
      </c>
      <c r="O690">
        <f>"LIM-"&amp;G689&amp;"-LIM   LA "&amp;E689&amp;" ("&amp;LEFT(H689,5)&amp;"-"&amp;LEFT(I689,5)&amp;" hrs)  /  LA "&amp;E690&amp;" ("&amp;LEFT(H690,5)&amp;"-"&amp;LEFT(I690,5)&amp;" hrs)"</f>
        <v/>
      </c>
    </row>
    <row r="691">
      <c r="J691" s="7" t="inlineStr">
        <is>
          <t>PSV total:</t>
        </is>
      </c>
      <c r="K691" s="8">
        <f>TEXT(TIMEVALUE(I690)-TIMEVALUE(H689)+(I690&lt;H689),"[h]:mm")</f>
        <v/>
      </c>
    </row>
    <row r="693">
      <c r="B693" s="3" t="inlineStr">
        <is>
          <t>Pairing ID</t>
        </is>
      </c>
      <c r="C693" s="3" t="inlineStr">
        <is>
          <t>FECHA REAL</t>
        </is>
      </c>
      <c r="D693" s="3" t="inlineStr">
        <is>
          <t>Day of Week</t>
        </is>
      </c>
      <c r="E693" s="3" t="inlineStr">
        <is>
          <t>Flight No</t>
        </is>
      </c>
      <c r="F693" s="3" t="inlineStr">
        <is>
          <t>Dep Stn</t>
        </is>
      </c>
      <c r="G693" s="3" t="inlineStr">
        <is>
          <t>Arr Stn</t>
        </is>
      </c>
      <c r="H693" s="3" t="inlineStr">
        <is>
          <t>STD</t>
        </is>
      </c>
      <c r="I693" s="3" t="inlineStr">
        <is>
          <t>STA</t>
        </is>
      </c>
      <c r="J693" s="3" t="inlineStr">
        <is>
          <t>subflota</t>
        </is>
      </c>
      <c r="K693" s="3" t="inlineStr">
        <is>
          <t>Conexion</t>
        </is>
      </c>
      <c r="L693" s="3" t="inlineStr">
        <is>
          <t>HBT</t>
        </is>
      </c>
    </row>
    <row r="694">
      <c r="B694" s="4" t="inlineStr">
        <is>
          <t>827_0</t>
        </is>
      </c>
      <c r="C694" s="4" t="inlineStr">
        <is>
          <t>09/09/2026</t>
        </is>
      </c>
      <c r="D694" s="4" t="inlineStr">
        <is>
          <t>miércoles</t>
        </is>
      </c>
      <c r="E694" s="4" t="inlineStr">
        <is>
          <t>2338</t>
        </is>
      </c>
      <c r="F694" s="4" t="inlineStr">
        <is>
          <t>LIM</t>
        </is>
      </c>
      <c r="G694" s="4" t="inlineStr">
        <is>
          <t>PIU</t>
        </is>
      </c>
      <c r="H694" s="4" t="inlineStr">
        <is>
          <t>15:00:00</t>
        </is>
      </c>
      <c r="I694" s="4" t="inlineStr">
        <is>
          <t>16:45:00</t>
        </is>
      </c>
      <c r="J694" s="4" t="inlineStr">
        <is>
          <t>319</t>
        </is>
      </c>
      <c r="L694" s="4" t="inlineStr">
        <is>
          <t>01:45:00</t>
        </is>
      </c>
      <c r="M694" s="5" t="n"/>
      <c r="O694" s="5" t="n"/>
      <c r="Q694" s="4">
        <f>B694</f>
        <v/>
      </c>
      <c r="R694" s="4">
        <f>C694</f>
        <v/>
      </c>
      <c r="S694" s="4">
        <f>D694</f>
        <v/>
      </c>
      <c r="T694" s="4">
        <f>E694&amp;"/"&amp;E695</f>
        <v/>
      </c>
      <c r="U694" s="4">
        <f>F694&amp;"-"&amp;G694&amp;"-"&amp;F694</f>
        <v/>
      </c>
      <c r="V694" s="4">
        <f>IF($M$694="","",$M$694)</f>
        <v/>
      </c>
      <c r="W694" s="4">
        <f>IF($O$694="","",$O$694)</f>
        <v/>
      </c>
      <c r="X694" s="4">
        <f>J694</f>
        <v/>
      </c>
    </row>
    <row r="695">
      <c r="B695" s="4" t="inlineStr">
        <is>
          <t>827_0</t>
        </is>
      </c>
      <c r="C695" s="4" t="inlineStr">
        <is>
          <t>09/09/2026</t>
        </is>
      </c>
      <c r="D695" s="4" t="inlineStr">
        <is>
          <t>miércoles</t>
        </is>
      </c>
      <c r="E695" s="4" t="inlineStr">
        <is>
          <t>2339</t>
        </is>
      </c>
      <c r="F695" s="4" t="inlineStr">
        <is>
          <t>PIU</t>
        </is>
      </c>
      <c r="G695" s="4" t="inlineStr">
        <is>
          <t>LIM</t>
        </is>
      </c>
      <c r="H695" s="4" t="inlineStr">
        <is>
          <t>17:20:00</t>
        </is>
      </c>
      <c r="I695" s="4" t="inlineStr">
        <is>
          <t>18:50:00</t>
        </is>
      </c>
      <c r="J695" s="4" t="inlineStr">
        <is>
          <t>319</t>
        </is>
      </c>
      <c r="K695">
        <f>TEXT(TIMEVALUE(H695)-TIMEVALUE(I694)+(TIMEVALUE(H695)&lt;TIMEVALUE(I694)),"[h]:mm")</f>
        <v/>
      </c>
      <c r="L695" s="4" t="inlineStr">
        <is>
          <t>01:30:00</t>
        </is>
      </c>
      <c r="O695">
        <f>"LIM-"&amp;G694&amp;"-LIM   LA "&amp;E694&amp;" ("&amp;LEFT(H694,5)&amp;"-"&amp;LEFT(I694,5)&amp;" hrs)  /  LA "&amp;E695&amp;" ("&amp;LEFT(H695,5)&amp;"-"&amp;LEFT(I695,5)&amp;" hrs)"</f>
        <v/>
      </c>
    </row>
    <row r="696">
      <c r="J696" s="7" t="inlineStr">
        <is>
          <t>PSV total:</t>
        </is>
      </c>
      <c r="K696" s="8">
        <f>TEXT(TIMEVALUE(I695)-TIMEVALUE(H694)+(I695&lt;H694),"[h]:mm")</f>
        <v/>
      </c>
    </row>
    <row r="698">
      <c r="B698" s="3" t="inlineStr">
        <is>
          <t>Pairing ID</t>
        </is>
      </c>
      <c r="C698" s="3" t="inlineStr">
        <is>
          <t>FECHA REAL</t>
        </is>
      </c>
      <c r="D698" s="3" t="inlineStr">
        <is>
          <t>Day of Week</t>
        </is>
      </c>
      <c r="E698" s="3" t="inlineStr">
        <is>
          <t>Flight No</t>
        </is>
      </c>
      <c r="F698" s="3" t="inlineStr">
        <is>
          <t>Dep Stn</t>
        </is>
      </c>
      <c r="G698" s="3" t="inlineStr">
        <is>
          <t>Arr Stn</t>
        </is>
      </c>
      <c r="H698" s="3" t="inlineStr">
        <is>
          <t>STD</t>
        </is>
      </c>
      <c r="I698" s="3" t="inlineStr">
        <is>
          <t>STA</t>
        </is>
      </c>
      <c r="J698" s="3" t="inlineStr">
        <is>
          <t>subflota</t>
        </is>
      </c>
      <c r="K698" s="3" t="inlineStr">
        <is>
          <t>Conexion</t>
        </is>
      </c>
      <c r="L698" s="3" t="inlineStr">
        <is>
          <t>HBT</t>
        </is>
      </c>
    </row>
    <row r="699">
      <c r="B699" s="4" t="inlineStr">
        <is>
          <t>830_0</t>
        </is>
      </c>
      <c r="C699" s="4" t="inlineStr">
        <is>
          <t>09/09/2026</t>
        </is>
      </c>
      <c r="D699" s="4" t="inlineStr">
        <is>
          <t>miércoles</t>
        </is>
      </c>
      <c r="E699" s="4" t="inlineStr">
        <is>
          <t>2297</t>
        </is>
      </c>
      <c r="F699" s="4" t="inlineStr">
        <is>
          <t>LIM</t>
        </is>
      </c>
      <c r="G699" s="4" t="inlineStr">
        <is>
          <t>CJA</t>
        </is>
      </c>
      <c r="H699" s="4" t="inlineStr">
        <is>
          <t>15:15:00</t>
        </is>
      </c>
      <c r="I699" s="4" t="inlineStr">
        <is>
          <t>16:35:00</t>
        </is>
      </c>
      <c r="J699" s="4" t="inlineStr">
        <is>
          <t>320</t>
        </is>
      </c>
      <c r="L699" s="4" t="inlineStr">
        <is>
          <t>01:20:00</t>
        </is>
      </c>
      <c r="M699" s="5" t="n"/>
      <c r="O699" s="5" t="n"/>
      <c r="Q699" s="4">
        <f>B699</f>
        <v/>
      </c>
      <c r="R699" s="4">
        <f>C699</f>
        <v/>
      </c>
      <c r="S699" s="4">
        <f>D699</f>
        <v/>
      </c>
      <c r="T699" s="4">
        <f>E699&amp;"/"&amp;E700</f>
        <v/>
      </c>
      <c r="U699" s="4">
        <f>F699&amp;"-"&amp;G699&amp;"-"&amp;F699</f>
        <v/>
      </c>
      <c r="V699" s="4">
        <f>IF($M$699="","",$M$699)</f>
        <v/>
      </c>
      <c r="W699" s="4">
        <f>IF($O$699="","",$O$699)</f>
        <v/>
      </c>
      <c r="X699" s="4">
        <f>J699</f>
        <v/>
      </c>
    </row>
    <row r="700">
      <c r="B700" s="4" t="inlineStr">
        <is>
          <t>830_0</t>
        </is>
      </c>
      <c r="C700" s="4" t="inlineStr">
        <is>
          <t>09/09/2026</t>
        </is>
      </c>
      <c r="D700" s="4" t="inlineStr">
        <is>
          <t>miércoles</t>
        </is>
      </c>
      <c r="E700" s="4" t="inlineStr">
        <is>
          <t>2296</t>
        </is>
      </c>
      <c r="F700" s="4" t="inlineStr">
        <is>
          <t>CJA</t>
        </is>
      </c>
      <c r="G700" s="4" t="inlineStr">
        <is>
          <t>LIM</t>
        </is>
      </c>
      <c r="H700" s="4" t="inlineStr">
        <is>
          <t>17:20:00</t>
        </is>
      </c>
      <c r="I700" s="4" t="inlineStr">
        <is>
          <t>18:25:00</t>
        </is>
      </c>
      <c r="J700" s="4" t="inlineStr">
        <is>
          <t>320</t>
        </is>
      </c>
      <c r="K700">
        <f>TEXT(TIMEVALUE(H700)-TIMEVALUE(I699)+(TIMEVALUE(H700)&lt;TIMEVALUE(I699)),"[h]:mm")</f>
        <v/>
      </c>
      <c r="L700" s="4" t="inlineStr">
        <is>
          <t>01:05:00</t>
        </is>
      </c>
      <c r="O700">
        <f>"LIM-"&amp;G699&amp;"-LIM   LA "&amp;E699&amp;" ("&amp;LEFT(H699,5)&amp;"-"&amp;LEFT(I699,5)&amp;" hrs)  /  LA "&amp;E700&amp;" ("&amp;LEFT(H700,5)&amp;"-"&amp;LEFT(I700,5)&amp;" hrs)"</f>
        <v/>
      </c>
    </row>
    <row r="701">
      <c r="J701" s="7" t="inlineStr">
        <is>
          <t>PSV total:</t>
        </is>
      </c>
      <c r="K701" s="8">
        <f>TEXT(TIMEVALUE(I700)-TIMEVALUE(H699)+(I700&lt;H699),"[h]:mm")</f>
        <v/>
      </c>
    </row>
    <row r="703">
      <c r="B703" s="3" t="inlineStr">
        <is>
          <t>Pairing ID</t>
        </is>
      </c>
      <c r="C703" s="3" t="inlineStr">
        <is>
          <t>FECHA REAL</t>
        </is>
      </c>
      <c r="D703" s="3" t="inlineStr">
        <is>
          <t>Day of Week</t>
        </is>
      </c>
      <c r="E703" s="3" t="inlineStr">
        <is>
          <t>Flight No</t>
        </is>
      </c>
      <c r="F703" s="3" t="inlineStr">
        <is>
          <t>Dep Stn</t>
        </is>
      </c>
      <c r="G703" s="3" t="inlineStr">
        <is>
          <t>Arr Stn</t>
        </is>
      </c>
      <c r="H703" s="3" t="inlineStr">
        <is>
          <t>STD</t>
        </is>
      </c>
      <c r="I703" s="3" t="inlineStr">
        <is>
          <t>STA</t>
        </is>
      </c>
      <c r="J703" s="3" t="inlineStr">
        <is>
          <t>subflota</t>
        </is>
      </c>
      <c r="K703" s="3" t="inlineStr">
        <is>
          <t>Conexion</t>
        </is>
      </c>
      <c r="L703" s="3" t="inlineStr">
        <is>
          <t>HBT</t>
        </is>
      </c>
    </row>
    <row r="704">
      <c r="B704" s="4" t="inlineStr">
        <is>
          <t>832_0</t>
        </is>
      </c>
      <c r="C704" s="4" t="inlineStr">
        <is>
          <t>09/09/2026</t>
        </is>
      </c>
      <c r="D704" s="4" t="inlineStr">
        <is>
          <t>miércoles</t>
        </is>
      </c>
      <c r="E704" s="4" t="inlineStr">
        <is>
          <t>2312</t>
        </is>
      </c>
      <c r="F704" s="4" t="inlineStr">
        <is>
          <t>LIM</t>
        </is>
      </c>
      <c r="G704" s="4" t="inlineStr">
        <is>
          <t>CIX</t>
        </is>
      </c>
      <c r="H704" s="4" t="inlineStr">
        <is>
          <t>15:35:00</t>
        </is>
      </c>
      <c r="I704" s="4" t="inlineStr">
        <is>
          <t>17:05:00</t>
        </is>
      </c>
      <c r="J704" s="4" t="inlineStr">
        <is>
          <t>320</t>
        </is>
      </c>
      <c r="L704" s="4" t="inlineStr">
        <is>
          <t>01:30:00</t>
        </is>
      </c>
      <c r="M704" s="5" t="n"/>
      <c r="O704" s="5" t="n"/>
      <c r="Q704" s="4">
        <f>B704</f>
        <v/>
      </c>
      <c r="R704" s="4">
        <f>C704</f>
        <v/>
      </c>
      <c r="S704" s="4">
        <f>D704</f>
        <v/>
      </c>
      <c r="T704" s="4">
        <f>E704&amp;"/"&amp;E705</f>
        <v/>
      </c>
      <c r="U704" s="4">
        <f>F704&amp;"-"&amp;G704&amp;"-"&amp;F704</f>
        <v/>
      </c>
      <c r="V704" s="4">
        <f>IF($M$704="","",$M$704)</f>
        <v/>
      </c>
      <c r="W704" s="4">
        <f>IF($O$704="","",$O$704)</f>
        <v/>
      </c>
      <c r="X704" s="4">
        <f>J704</f>
        <v/>
      </c>
    </row>
    <row r="705">
      <c r="B705" s="4" t="inlineStr">
        <is>
          <t>832_0</t>
        </is>
      </c>
      <c r="C705" s="4" t="inlineStr">
        <is>
          <t>09/09/2026</t>
        </is>
      </c>
      <c r="D705" s="4" t="inlineStr">
        <is>
          <t>miércoles</t>
        </is>
      </c>
      <c r="E705" s="4" t="inlineStr">
        <is>
          <t>2313</t>
        </is>
      </c>
      <c r="F705" s="4" t="inlineStr">
        <is>
          <t>CIX</t>
        </is>
      </c>
      <c r="G705" s="4" t="inlineStr">
        <is>
          <t>LIM</t>
        </is>
      </c>
      <c r="H705" s="4" t="inlineStr">
        <is>
          <t>17:50:00</t>
        </is>
      </c>
      <c r="I705" s="4" t="inlineStr">
        <is>
          <t>19:10:00</t>
        </is>
      </c>
      <c r="J705" s="4" t="inlineStr">
        <is>
          <t>320</t>
        </is>
      </c>
      <c r="K705">
        <f>TEXT(TIMEVALUE(H705)-TIMEVALUE(I704)+(TIMEVALUE(H705)&lt;TIMEVALUE(I704)),"[h]:mm")</f>
        <v/>
      </c>
      <c r="L705" s="4" t="inlineStr">
        <is>
          <t>01:20:00</t>
        </is>
      </c>
      <c r="O705">
        <f>"LIM-"&amp;G704&amp;"-LIM   LA "&amp;E704&amp;" ("&amp;LEFT(H704,5)&amp;"-"&amp;LEFT(I704,5)&amp;" hrs)  /  LA "&amp;E705&amp;" ("&amp;LEFT(H705,5)&amp;"-"&amp;LEFT(I705,5)&amp;" hrs)"</f>
        <v/>
      </c>
    </row>
    <row r="706">
      <c r="J706" s="7" t="inlineStr">
        <is>
          <t>PSV total:</t>
        </is>
      </c>
      <c r="K706" s="8">
        <f>TEXT(TIMEVALUE(I705)-TIMEVALUE(H704)+(I705&lt;H704),"[h]:mm")</f>
        <v/>
      </c>
    </row>
    <row r="708">
      <c r="B708" s="3" t="inlineStr">
        <is>
          <t>Pairing ID</t>
        </is>
      </c>
      <c r="C708" s="3" t="inlineStr">
        <is>
          <t>FECHA REAL</t>
        </is>
      </c>
      <c r="D708" s="3" t="inlineStr">
        <is>
          <t>Day of Week</t>
        </is>
      </c>
      <c r="E708" s="3" t="inlineStr">
        <is>
          <t>Flight No</t>
        </is>
      </c>
      <c r="F708" s="3" t="inlineStr">
        <is>
          <t>Dep Stn</t>
        </is>
      </c>
      <c r="G708" s="3" t="inlineStr">
        <is>
          <t>Arr Stn</t>
        </is>
      </c>
      <c r="H708" s="3" t="inlineStr">
        <is>
          <t>STD</t>
        </is>
      </c>
      <c r="I708" s="3" t="inlineStr">
        <is>
          <t>STA</t>
        </is>
      </c>
      <c r="J708" s="3" t="inlineStr">
        <is>
          <t>subflota</t>
        </is>
      </c>
      <c r="K708" s="3" t="inlineStr">
        <is>
          <t>Conexion</t>
        </is>
      </c>
      <c r="L708" s="3" t="inlineStr">
        <is>
          <t>HBT</t>
        </is>
      </c>
    </row>
    <row r="709">
      <c r="B709" s="4" t="inlineStr">
        <is>
          <t>833_0</t>
        </is>
      </c>
      <c r="C709" s="4" t="inlineStr">
        <is>
          <t>09/09/2026</t>
        </is>
      </c>
      <c r="D709" s="4" t="inlineStr">
        <is>
          <t>miércoles</t>
        </is>
      </c>
      <c r="E709" s="4" t="inlineStr">
        <is>
          <t>2312</t>
        </is>
      </c>
      <c r="F709" s="4" t="inlineStr">
        <is>
          <t>LIM</t>
        </is>
      </c>
      <c r="G709" s="4" t="inlineStr">
        <is>
          <t>CIX</t>
        </is>
      </c>
      <c r="H709" s="4" t="inlineStr">
        <is>
          <t>15:35:00</t>
        </is>
      </c>
      <c r="I709" s="4" t="inlineStr">
        <is>
          <t>17:05:00</t>
        </is>
      </c>
      <c r="J709" s="4" t="inlineStr">
        <is>
          <t>320</t>
        </is>
      </c>
      <c r="L709" s="4" t="inlineStr">
        <is>
          <t>01:30:00</t>
        </is>
      </c>
      <c r="M709" s="5" t="n"/>
      <c r="O709" s="5" t="n"/>
      <c r="Q709" s="4">
        <f>B709</f>
        <v/>
      </c>
      <c r="R709" s="4">
        <f>C709</f>
        <v/>
      </c>
      <c r="S709" s="4">
        <f>D709</f>
        <v/>
      </c>
      <c r="T709" s="4">
        <f>E709&amp;"/"&amp;E710</f>
        <v/>
      </c>
      <c r="U709" s="4">
        <f>F709&amp;"-"&amp;G709&amp;"-"&amp;F709</f>
        <v/>
      </c>
      <c r="V709" s="4">
        <f>IF($M$709="","",$M$709)</f>
        <v/>
      </c>
      <c r="W709" s="4">
        <f>IF($O$709="","",$O$709)</f>
        <v/>
      </c>
      <c r="X709" s="4">
        <f>J709</f>
        <v/>
      </c>
    </row>
    <row r="710">
      <c r="B710" s="4" t="inlineStr">
        <is>
          <t>833_0</t>
        </is>
      </c>
      <c r="C710" s="4" t="inlineStr">
        <is>
          <t>09/09/2026</t>
        </is>
      </c>
      <c r="D710" s="4" t="inlineStr">
        <is>
          <t>miércoles</t>
        </is>
      </c>
      <c r="E710" s="4" t="inlineStr">
        <is>
          <t>2313</t>
        </is>
      </c>
      <c r="F710" s="4" t="inlineStr">
        <is>
          <t>CIX</t>
        </is>
      </c>
      <c r="G710" s="4" t="inlineStr">
        <is>
          <t>LIM</t>
        </is>
      </c>
      <c r="H710" s="4" t="inlineStr">
        <is>
          <t>17:50:00</t>
        </is>
      </c>
      <c r="I710" s="4" t="inlineStr">
        <is>
          <t>19:10:00</t>
        </is>
      </c>
      <c r="J710" s="4" t="inlineStr">
        <is>
          <t>320</t>
        </is>
      </c>
      <c r="K710">
        <f>TEXT(TIMEVALUE(H710)-TIMEVALUE(I709)+(TIMEVALUE(H710)&lt;TIMEVALUE(I709)),"[h]:mm")</f>
        <v/>
      </c>
      <c r="L710" s="4" t="inlineStr">
        <is>
          <t>01:20:00</t>
        </is>
      </c>
      <c r="O710">
        <f>"LIM-"&amp;G709&amp;"-LIM   LA "&amp;E709&amp;" ("&amp;LEFT(H709,5)&amp;"-"&amp;LEFT(I709,5)&amp;" hrs)  /  LA "&amp;E710&amp;" ("&amp;LEFT(H710,5)&amp;"-"&amp;LEFT(I710,5)&amp;" hrs)"</f>
        <v/>
      </c>
    </row>
    <row r="711">
      <c r="J711" s="7" t="inlineStr">
        <is>
          <t>PSV total:</t>
        </is>
      </c>
      <c r="K711" s="8">
        <f>TEXT(TIMEVALUE(I710)-TIMEVALUE(H709)+(I710&lt;H709),"[h]:mm")</f>
        <v/>
      </c>
    </row>
    <row r="713">
      <c r="B713" s="3" t="inlineStr">
        <is>
          <t>Pairing ID</t>
        </is>
      </c>
      <c r="C713" s="3" t="inlineStr">
        <is>
          <t>FECHA REAL</t>
        </is>
      </c>
      <c r="D713" s="3" t="inlineStr">
        <is>
          <t>Day of Week</t>
        </is>
      </c>
      <c r="E713" s="3" t="inlineStr">
        <is>
          <t>Flight No</t>
        </is>
      </c>
      <c r="F713" s="3" t="inlineStr">
        <is>
          <t>Dep Stn</t>
        </is>
      </c>
      <c r="G713" s="3" t="inlineStr">
        <is>
          <t>Arr Stn</t>
        </is>
      </c>
      <c r="H713" s="3" t="inlineStr">
        <is>
          <t>STD</t>
        </is>
      </c>
      <c r="I713" s="3" t="inlineStr">
        <is>
          <t>STA</t>
        </is>
      </c>
      <c r="J713" s="3" t="inlineStr">
        <is>
          <t>subflota</t>
        </is>
      </c>
      <c r="K713" s="3" t="inlineStr">
        <is>
          <t>Conexion</t>
        </is>
      </c>
      <c r="L713" s="3" t="inlineStr">
        <is>
          <t>HBT</t>
        </is>
      </c>
    </row>
    <row r="714">
      <c r="B714" s="4" t="inlineStr">
        <is>
          <t>834_0</t>
        </is>
      </c>
      <c r="C714" s="4" t="inlineStr">
        <is>
          <t>09/09/2026</t>
        </is>
      </c>
      <c r="D714" s="4" t="inlineStr">
        <is>
          <t>miércoles</t>
        </is>
      </c>
      <c r="E714" s="4" t="inlineStr">
        <is>
          <t>2301</t>
        </is>
      </c>
      <c r="F714" s="4" t="inlineStr">
        <is>
          <t>LIM</t>
        </is>
      </c>
      <c r="G714" s="4" t="inlineStr">
        <is>
          <t>TPP</t>
        </is>
      </c>
      <c r="H714" s="4" t="inlineStr">
        <is>
          <t>15:40:00</t>
        </is>
      </c>
      <c r="I714" s="4" t="inlineStr">
        <is>
          <t>17:05:00</t>
        </is>
      </c>
      <c r="J714" s="4" t="inlineStr">
        <is>
          <t>320</t>
        </is>
      </c>
      <c r="L714" s="4" t="inlineStr">
        <is>
          <t>01:25:00</t>
        </is>
      </c>
      <c r="M714" s="5" t="n"/>
      <c r="O714" s="5" t="n"/>
      <c r="Q714" s="4">
        <f>B714</f>
        <v/>
      </c>
      <c r="R714" s="4">
        <f>C714</f>
        <v/>
      </c>
      <c r="S714" s="4">
        <f>D714</f>
        <v/>
      </c>
      <c r="T714" s="4">
        <f>E714&amp;"/"&amp;E715</f>
        <v/>
      </c>
      <c r="U714" s="4">
        <f>F714&amp;"-"&amp;G714&amp;"-"&amp;F714</f>
        <v/>
      </c>
      <c r="V714" s="4">
        <f>IF($M$714="","",$M$714)</f>
        <v/>
      </c>
      <c r="W714" s="4">
        <f>IF($O$714="","",$O$714)</f>
        <v/>
      </c>
      <c r="X714" s="4">
        <f>J714</f>
        <v/>
      </c>
    </row>
    <row r="715">
      <c r="B715" s="4" t="inlineStr">
        <is>
          <t>834_0</t>
        </is>
      </c>
      <c r="C715" s="4" t="inlineStr">
        <is>
          <t>09/09/2026</t>
        </is>
      </c>
      <c r="D715" s="4" t="inlineStr">
        <is>
          <t>miércoles</t>
        </is>
      </c>
      <c r="E715" s="4" t="inlineStr">
        <is>
          <t>2300</t>
        </is>
      </c>
      <c r="F715" s="4" t="inlineStr">
        <is>
          <t>TPP</t>
        </is>
      </c>
      <c r="G715" s="4" t="inlineStr">
        <is>
          <t>LIM</t>
        </is>
      </c>
      <c r="H715" s="4" t="inlineStr">
        <is>
          <t>17:50:00</t>
        </is>
      </c>
      <c r="I715" s="4" t="inlineStr">
        <is>
          <t>19:20:00</t>
        </is>
      </c>
      <c r="J715" s="4" t="inlineStr">
        <is>
          <t>320</t>
        </is>
      </c>
      <c r="K715">
        <f>TEXT(TIMEVALUE(H715)-TIMEVALUE(I714)+(TIMEVALUE(H715)&lt;TIMEVALUE(I714)),"[h]:mm")</f>
        <v/>
      </c>
      <c r="L715" s="4" t="inlineStr">
        <is>
          <t>01:30:00</t>
        </is>
      </c>
      <c r="O715">
        <f>"LIM-"&amp;G714&amp;"-LIM   LA "&amp;E714&amp;" ("&amp;LEFT(H714,5)&amp;"-"&amp;LEFT(I714,5)&amp;" hrs)  /  LA "&amp;E715&amp;" ("&amp;LEFT(H715,5)&amp;"-"&amp;LEFT(I715,5)&amp;" hrs)"</f>
        <v/>
      </c>
    </row>
    <row r="716">
      <c r="J716" s="7" t="inlineStr">
        <is>
          <t>PSV total:</t>
        </is>
      </c>
      <c r="K716" s="8">
        <f>TEXT(TIMEVALUE(I715)-TIMEVALUE(H714)+(I715&lt;H714),"[h]:mm")</f>
        <v/>
      </c>
    </row>
    <row r="718">
      <c r="B718" s="3" t="inlineStr">
        <is>
          <t>Pairing ID</t>
        </is>
      </c>
      <c r="C718" s="3" t="inlineStr">
        <is>
          <t>FECHA REAL</t>
        </is>
      </c>
      <c r="D718" s="3" t="inlineStr">
        <is>
          <t>Day of Week</t>
        </is>
      </c>
      <c r="E718" s="3" t="inlineStr">
        <is>
          <t>Flight No</t>
        </is>
      </c>
      <c r="F718" s="3" t="inlineStr">
        <is>
          <t>Dep Stn</t>
        </is>
      </c>
      <c r="G718" s="3" t="inlineStr">
        <is>
          <t>Arr Stn</t>
        </is>
      </c>
      <c r="H718" s="3" t="inlineStr">
        <is>
          <t>STD</t>
        </is>
      </c>
      <c r="I718" s="3" t="inlineStr">
        <is>
          <t>STA</t>
        </is>
      </c>
      <c r="J718" s="3" t="inlineStr">
        <is>
          <t>subflota</t>
        </is>
      </c>
      <c r="K718" s="3" t="inlineStr">
        <is>
          <t>Conexion</t>
        </is>
      </c>
      <c r="L718" s="3" t="inlineStr">
        <is>
          <t>HBT</t>
        </is>
      </c>
    </row>
    <row r="719">
      <c r="B719" s="4" t="inlineStr">
        <is>
          <t>838_0</t>
        </is>
      </c>
      <c r="C719" s="4" t="inlineStr">
        <is>
          <t>09/09/2026</t>
        </is>
      </c>
      <c r="D719" s="4" t="inlineStr">
        <is>
          <t>miércoles</t>
        </is>
      </c>
      <c r="E719" s="4" t="inlineStr">
        <is>
          <t>2053</t>
        </is>
      </c>
      <c r="F719" s="4" t="inlineStr">
        <is>
          <t>LIM</t>
        </is>
      </c>
      <c r="G719" s="4" t="inlineStr">
        <is>
          <t>TBP</t>
        </is>
      </c>
      <c r="H719" s="4" t="inlineStr">
        <is>
          <t>16:20:00</t>
        </is>
      </c>
      <c r="I719" s="4" t="inlineStr">
        <is>
          <t>18:10:00</t>
        </is>
      </c>
      <c r="J719" s="4" t="inlineStr">
        <is>
          <t>320</t>
        </is>
      </c>
      <c r="L719" s="4" t="inlineStr">
        <is>
          <t>01:50:00</t>
        </is>
      </c>
      <c r="M719" s="5" t="n"/>
      <c r="O719" s="5" t="n"/>
      <c r="Q719" s="4">
        <f>B719</f>
        <v/>
      </c>
      <c r="R719" s="4">
        <f>C719</f>
        <v/>
      </c>
      <c r="S719" s="4">
        <f>D719</f>
        <v/>
      </c>
      <c r="T719" s="4">
        <f>E719&amp;"/"&amp;E720</f>
        <v/>
      </c>
      <c r="U719" s="4">
        <f>F719&amp;"-"&amp;G719&amp;"-"&amp;F719</f>
        <v/>
      </c>
      <c r="V719" s="4">
        <f>IF($M$719="","",$M$719)</f>
        <v/>
      </c>
      <c r="W719" s="4">
        <f>IF($O$719="","",$O$719)</f>
        <v/>
      </c>
      <c r="X719" s="4">
        <f>J719</f>
        <v/>
      </c>
    </row>
    <row r="720">
      <c r="B720" s="4" t="inlineStr">
        <is>
          <t>838_0</t>
        </is>
      </c>
      <c r="C720" s="4" t="inlineStr">
        <is>
          <t>09/09/2026</t>
        </is>
      </c>
      <c r="D720" s="4" t="inlineStr">
        <is>
          <t>miércoles</t>
        </is>
      </c>
      <c r="E720" s="4" t="inlineStr">
        <is>
          <t>2054</t>
        </is>
      </c>
      <c r="F720" s="4" t="inlineStr">
        <is>
          <t>TBP</t>
        </is>
      </c>
      <c r="G720" s="4" t="inlineStr">
        <is>
          <t>LIM</t>
        </is>
      </c>
      <c r="H720" s="4" t="inlineStr">
        <is>
          <t>18:50:00</t>
        </is>
      </c>
      <c r="I720" s="4" t="inlineStr">
        <is>
          <t>20:30:00</t>
        </is>
      </c>
      <c r="J720" s="4" t="inlineStr">
        <is>
          <t>320</t>
        </is>
      </c>
      <c r="K720">
        <f>TEXT(TIMEVALUE(H720)-TIMEVALUE(I719)+(TIMEVALUE(H720)&lt;TIMEVALUE(I719)),"[h]:mm")</f>
        <v/>
      </c>
      <c r="L720" s="4" t="inlineStr">
        <is>
          <t>01:40:00</t>
        </is>
      </c>
      <c r="O720">
        <f>"LIM-"&amp;G719&amp;"-LIM   LA "&amp;E719&amp;" ("&amp;LEFT(H719,5)&amp;"-"&amp;LEFT(I719,5)&amp;" hrs)  /  LA "&amp;E720&amp;" ("&amp;LEFT(H720,5)&amp;"-"&amp;LEFT(I720,5)&amp;" hrs)"</f>
        <v/>
      </c>
    </row>
    <row r="721">
      <c r="J721" s="7" t="inlineStr">
        <is>
          <t>PSV total:</t>
        </is>
      </c>
      <c r="K721" s="8">
        <f>TEXT(TIMEVALUE(I720)-TIMEVALUE(H719)+(I720&lt;H719),"[h]:mm")</f>
        <v/>
      </c>
    </row>
    <row r="723">
      <c r="B723" s="3" t="inlineStr">
        <is>
          <t>Pairing ID</t>
        </is>
      </c>
      <c r="C723" s="3" t="inlineStr">
        <is>
          <t>FECHA REAL</t>
        </is>
      </c>
      <c r="D723" s="3" t="inlineStr">
        <is>
          <t>Day of Week</t>
        </is>
      </c>
      <c r="E723" s="3" t="inlineStr">
        <is>
          <t>Flight No</t>
        </is>
      </c>
      <c r="F723" s="3" t="inlineStr">
        <is>
          <t>Dep Stn</t>
        </is>
      </c>
      <c r="G723" s="3" t="inlineStr">
        <is>
          <t>Arr Stn</t>
        </is>
      </c>
      <c r="H723" s="3" t="inlineStr">
        <is>
          <t>STD</t>
        </is>
      </c>
      <c r="I723" s="3" t="inlineStr">
        <is>
          <t>STA</t>
        </is>
      </c>
      <c r="J723" s="3" t="inlineStr">
        <is>
          <t>subflota</t>
        </is>
      </c>
      <c r="K723" s="3" t="inlineStr">
        <is>
          <t>Conexion</t>
        </is>
      </c>
      <c r="L723" s="3" t="inlineStr">
        <is>
          <t>HBT</t>
        </is>
      </c>
    </row>
    <row r="724">
      <c r="B724" s="4" t="inlineStr">
        <is>
          <t>839_0</t>
        </is>
      </c>
      <c r="C724" s="4" t="inlineStr">
        <is>
          <t>09/09/2026</t>
        </is>
      </c>
      <c r="D724" s="4" t="inlineStr">
        <is>
          <t>miércoles</t>
        </is>
      </c>
      <c r="E724" s="4" t="inlineStr">
        <is>
          <t>2276</t>
        </is>
      </c>
      <c r="F724" s="4" t="inlineStr">
        <is>
          <t>LIM</t>
        </is>
      </c>
      <c r="G724" s="4" t="inlineStr">
        <is>
          <t>CUZ</t>
        </is>
      </c>
      <c r="H724" s="4" t="inlineStr">
        <is>
          <t>16:35:00</t>
        </is>
      </c>
      <c r="I724" s="4" t="inlineStr">
        <is>
          <t>17:55:00</t>
        </is>
      </c>
      <c r="J724" s="4" t="inlineStr">
        <is>
          <t>320</t>
        </is>
      </c>
      <c r="L724" s="4" t="inlineStr">
        <is>
          <t>01:20:00</t>
        </is>
      </c>
      <c r="M724" s="5" t="n"/>
      <c r="O724" s="5" t="n"/>
      <c r="Q724" s="4">
        <f>B724</f>
        <v/>
      </c>
      <c r="R724" s="4">
        <f>C724</f>
        <v/>
      </c>
      <c r="S724" s="4">
        <f>D724</f>
        <v/>
      </c>
      <c r="T724" s="4">
        <f>E724&amp;"/"&amp;E725</f>
        <v/>
      </c>
      <c r="U724" s="4">
        <f>F724&amp;"-"&amp;G724&amp;"-"&amp;F724</f>
        <v/>
      </c>
      <c r="V724" s="4">
        <f>IF($M$724="","",$M$724)</f>
        <v/>
      </c>
      <c r="W724" s="4">
        <f>IF($O$724="","",$O$724)</f>
        <v/>
      </c>
      <c r="X724" s="4">
        <f>J724</f>
        <v/>
      </c>
    </row>
    <row r="725">
      <c r="B725" s="4" t="inlineStr">
        <is>
          <t>839_0</t>
        </is>
      </c>
      <c r="C725" s="4" t="inlineStr">
        <is>
          <t>09/09/2026</t>
        </is>
      </c>
      <c r="D725" s="4" t="inlineStr">
        <is>
          <t>miércoles</t>
        </is>
      </c>
      <c r="E725" s="4" t="inlineStr">
        <is>
          <t>2277</t>
        </is>
      </c>
      <c r="F725" s="4" t="inlineStr">
        <is>
          <t>CUZ</t>
        </is>
      </c>
      <c r="G725" s="4" t="inlineStr">
        <is>
          <t>LIM</t>
        </is>
      </c>
      <c r="H725" s="4" t="inlineStr">
        <is>
          <t>18:50:00</t>
        </is>
      </c>
      <c r="I725" s="4" t="inlineStr">
        <is>
          <t>20:25:00</t>
        </is>
      </c>
      <c r="J725" s="4" t="inlineStr">
        <is>
          <t>320</t>
        </is>
      </c>
      <c r="K725">
        <f>TEXT(TIMEVALUE(H725)-TIMEVALUE(I724)+(TIMEVALUE(H725)&lt;TIMEVALUE(I724)),"[h]:mm")</f>
        <v/>
      </c>
      <c r="L725" s="4" t="inlineStr">
        <is>
          <t>01:35:00</t>
        </is>
      </c>
      <c r="O725">
        <f>"LIM-"&amp;G724&amp;"-LIM   LA "&amp;E724&amp;" ("&amp;LEFT(H724,5)&amp;"-"&amp;LEFT(I724,5)&amp;" hrs)  /  LA "&amp;E725&amp;" ("&amp;LEFT(H725,5)&amp;"-"&amp;LEFT(I725,5)&amp;" hrs)"</f>
        <v/>
      </c>
    </row>
    <row r="726">
      <c r="J726" s="7" t="inlineStr">
        <is>
          <t>PSV total:</t>
        </is>
      </c>
      <c r="K726" s="8">
        <f>TEXT(TIMEVALUE(I725)-TIMEVALUE(H724)+(I725&lt;H724),"[h]:mm")</f>
        <v/>
      </c>
    </row>
    <row r="728">
      <c r="B728" s="3" t="inlineStr">
        <is>
          <t>Pairing ID</t>
        </is>
      </c>
      <c r="C728" s="3" t="inlineStr">
        <is>
          <t>FECHA REAL</t>
        </is>
      </c>
      <c r="D728" s="3" t="inlineStr">
        <is>
          <t>Day of Week</t>
        </is>
      </c>
      <c r="E728" s="3" t="inlineStr">
        <is>
          <t>Flight No</t>
        </is>
      </c>
      <c r="F728" s="3" t="inlineStr">
        <is>
          <t>Dep Stn</t>
        </is>
      </c>
      <c r="G728" s="3" t="inlineStr">
        <is>
          <t>Arr Stn</t>
        </is>
      </c>
      <c r="H728" s="3" t="inlineStr">
        <is>
          <t>STD</t>
        </is>
      </c>
      <c r="I728" s="3" t="inlineStr">
        <is>
          <t>STA</t>
        </is>
      </c>
      <c r="J728" s="3" t="inlineStr">
        <is>
          <t>subflota</t>
        </is>
      </c>
      <c r="K728" s="3" t="inlineStr">
        <is>
          <t>Conexion</t>
        </is>
      </c>
      <c r="L728" s="3" t="inlineStr">
        <is>
          <t>HBT</t>
        </is>
      </c>
    </row>
    <row r="729">
      <c r="B729" s="4" t="inlineStr">
        <is>
          <t>840_0</t>
        </is>
      </c>
      <c r="C729" s="4" t="inlineStr">
        <is>
          <t>09/09/2026</t>
        </is>
      </c>
      <c r="D729" s="4" t="inlineStr">
        <is>
          <t>miércoles</t>
        </is>
      </c>
      <c r="E729" s="4" t="inlineStr">
        <is>
          <t>2276</t>
        </is>
      </c>
      <c r="F729" s="4" t="inlineStr">
        <is>
          <t>LIM</t>
        </is>
      </c>
      <c r="G729" s="4" t="inlineStr">
        <is>
          <t>CUZ</t>
        </is>
      </c>
      <c r="H729" s="4" t="inlineStr">
        <is>
          <t>16:35:00</t>
        </is>
      </c>
      <c r="I729" s="4" t="inlineStr">
        <is>
          <t>17:55:00</t>
        </is>
      </c>
      <c r="J729" s="4" t="inlineStr">
        <is>
          <t>320</t>
        </is>
      </c>
      <c r="L729" s="4" t="inlineStr">
        <is>
          <t>01:20:00</t>
        </is>
      </c>
      <c r="M729" s="5" t="n"/>
      <c r="O729" s="5" t="n"/>
      <c r="Q729" s="4">
        <f>B729</f>
        <v/>
      </c>
      <c r="R729" s="4">
        <f>C729</f>
        <v/>
      </c>
      <c r="S729" s="4">
        <f>D729</f>
        <v/>
      </c>
      <c r="T729" s="4">
        <f>E729&amp;"/"&amp;E730</f>
        <v/>
      </c>
      <c r="U729" s="4">
        <f>F729&amp;"-"&amp;G729&amp;"-"&amp;F729</f>
        <v/>
      </c>
      <c r="V729" s="4">
        <f>IF($M$729="","",$M$729)</f>
        <v/>
      </c>
      <c r="W729" s="4">
        <f>IF($O$729="","",$O$729)</f>
        <v/>
      </c>
      <c r="X729" s="4">
        <f>J729</f>
        <v/>
      </c>
    </row>
    <row r="730">
      <c r="B730" s="4" t="inlineStr">
        <is>
          <t>840_0</t>
        </is>
      </c>
      <c r="C730" s="4" t="inlineStr">
        <is>
          <t>09/09/2026</t>
        </is>
      </c>
      <c r="D730" s="4" t="inlineStr">
        <is>
          <t>miércoles</t>
        </is>
      </c>
      <c r="E730" s="4" t="inlineStr">
        <is>
          <t>2277</t>
        </is>
      </c>
      <c r="F730" s="4" t="inlineStr">
        <is>
          <t>CUZ</t>
        </is>
      </c>
      <c r="G730" s="4" t="inlineStr">
        <is>
          <t>LIM</t>
        </is>
      </c>
      <c r="H730" s="4" t="inlineStr">
        <is>
          <t>18:50:00</t>
        </is>
      </c>
      <c r="I730" s="4" t="inlineStr">
        <is>
          <t>20:25:00</t>
        </is>
      </c>
      <c r="J730" s="4" t="inlineStr">
        <is>
          <t>320</t>
        </is>
      </c>
      <c r="K730">
        <f>TEXT(TIMEVALUE(H730)-TIMEVALUE(I729)+(TIMEVALUE(H730)&lt;TIMEVALUE(I729)),"[h]:mm")</f>
        <v/>
      </c>
      <c r="L730" s="4" t="inlineStr">
        <is>
          <t>01:35:00</t>
        </is>
      </c>
      <c r="O730">
        <f>"LIM-"&amp;G729&amp;"-LIM   LA "&amp;E729&amp;" ("&amp;LEFT(H729,5)&amp;"-"&amp;LEFT(I729,5)&amp;" hrs)  /  LA "&amp;E730&amp;" ("&amp;LEFT(H730,5)&amp;"-"&amp;LEFT(I730,5)&amp;" hrs)"</f>
        <v/>
      </c>
    </row>
    <row r="731">
      <c r="J731" s="7" t="inlineStr">
        <is>
          <t>PSV total:</t>
        </is>
      </c>
      <c r="K731" s="8">
        <f>TEXT(TIMEVALUE(I730)-TIMEVALUE(H729)+(I730&lt;H729),"[h]:mm")</f>
        <v/>
      </c>
    </row>
    <row r="733">
      <c r="B733" s="3" t="inlineStr">
        <is>
          <t>Pairing ID</t>
        </is>
      </c>
      <c r="C733" s="3" t="inlineStr">
        <is>
          <t>FECHA REAL</t>
        </is>
      </c>
      <c r="D733" s="3" t="inlineStr">
        <is>
          <t>Day of Week</t>
        </is>
      </c>
      <c r="E733" s="3" t="inlineStr">
        <is>
          <t>Flight No</t>
        </is>
      </c>
      <c r="F733" s="3" t="inlineStr">
        <is>
          <t>Dep Stn</t>
        </is>
      </c>
      <c r="G733" s="3" t="inlineStr">
        <is>
          <t>Arr Stn</t>
        </is>
      </c>
      <c r="H733" s="3" t="inlineStr">
        <is>
          <t>STD</t>
        </is>
      </c>
      <c r="I733" s="3" t="inlineStr">
        <is>
          <t>STA</t>
        </is>
      </c>
      <c r="J733" s="3" t="inlineStr">
        <is>
          <t>subflota</t>
        </is>
      </c>
      <c r="K733" s="3" t="inlineStr">
        <is>
          <t>Conexion</t>
        </is>
      </c>
      <c r="L733" s="3" t="inlineStr">
        <is>
          <t>HBT</t>
        </is>
      </c>
    </row>
    <row r="734">
      <c r="B734" s="4" t="inlineStr">
        <is>
          <t>888_0</t>
        </is>
      </c>
      <c r="C734" s="4" t="inlineStr">
        <is>
          <t>10/09/2026</t>
        </is>
      </c>
      <c r="D734" s="4" t="inlineStr">
        <is>
          <t>jueves</t>
        </is>
      </c>
      <c r="E734" s="4" t="inlineStr">
        <is>
          <t>2007</t>
        </is>
      </c>
      <c r="F734" s="4" t="inlineStr">
        <is>
          <t>LIM</t>
        </is>
      </c>
      <c r="G734" s="4" t="inlineStr">
        <is>
          <t>CUZ</t>
        </is>
      </c>
      <c r="H734" s="4" t="inlineStr">
        <is>
          <t>09:10:00</t>
        </is>
      </c>
      <c r="I734" s="4" t="inlineStr">
        <is>
          <t>10:30:00</t>
        </is>
      </c>
      <c r="J734" s="4" t="inlineStr">
        <is>
          <t>319</t>
        </is>
      </c>
      <c r="L734" s="4" t="inlineStr">
        <is>
          <t>01:20:00</t>
        </is>
      </c>
      <c r="M734" s="5" t="n"/>
      <c r="O734" s="5" t="n"/>
      <c r="Q734" s="4">
        <f>B734</f>
        <v/>
      </c>
      <c r="R734" s="4">
        <f>C734</f>
        <v/>
      </c>
      <c r="S734" s="4">
        <f>D734</f>
        <v/>
      </c>
      <c r="T734" s="4">
        <f>E734&amp;"/"&amp;E735</f>
        <v/>
      </c>
      <c r="U734" s="4">
        <f>F734&amp;"-"&amp;G734&amp;"-"&amp;F734</f>
        <v/>
      </c>
      <c r="V734" s="4">
        <f>IF($M$734="","",$M$734)</f>
        <v/>
      </c>
      <c r="W734" s="4">
        <f>IF($O$734="","",$O$734)</f>
        <v/>
      </c>
      <c r="X734" s="4">
        <f>J734</f>
        <v/>
      </c>
    </row>
    <row r="735">
      <c r="B735" s="4" t="inlineStr">
        <is>
          <t>888_0</t>
        </is>
      </c>
      <c r="C735" s="4" t="inlineStr">
        <is>
          <t>10/09/2026</t>
        </is>
      </c>
      <c r="D735" s="4" t="inlineStr">
        <is>
          <t>jueves</t>
        </is>
      </c>
      <c r="E735" s="4" t="inlineStr">
        <is>
          <t>2008</t>
        </is>
      </c>
      <c r="F735" s="4" t="inlineStr">
        <is>
          <t>CUZ</t>
        </is>
      </c>
      <c r="G735" s="4" t="inlineStr">
        <is>
          <t>LIM</t>
        </is>
      </c>
      <c r="H735" s="4" t="inlineStr">
        <is>
          <t>11:20:00</t>
        </is>
      </c>
      <c r="I735" s="4" t="inlineStr">
        <is>
          <t>12:55:00</t>
        </is>
      </c>
      <c r="J735" s="4" t="inlineStr">
        <is>
          <t>319</t>
        </is>
      </c>
      <c r="K735">
        <f>TEXT(TIMEVALUE(H735)-TIMEVALUE(I734)+(TIMEVALUE(H735)&lt;TIMEVALUE(I734)),"[h]:mm")</f>
        <v/>
      </c>
      <c r="L735" s="4" t="inlineStr">
        <is>
          <t>01:35:00</t>
        </is>
      </c>
      <c r="O735">
        <f>"LIM-"&amp;G734&amp;"-LIM   LA "&amp;E734&amp;" ("&amp;LEFT(H734,5)&amp;"-"&amp;LEFT(I734,5)&amp;" hrs)  /  LA "&amp;E735&amp;" ("&amp;LEFT(H735,5)&amp;"-"&amp;LEFT(I735,5)&amp;" hrs)"</f>
        <v/>
      </c>
    </row>
    <row r="736">
      <c r="B736" s="4" t="inlineStr">
        <is>
          <t>912_0</t>
        </is>
      </c>
      <c r="C736" s="4" t="inlineStr">
        <is>
          <t>10/09/2026</t>
        </is>
      </c>
      <c r="D736" s="4" t="inlineStr">
        <is>
          <t>jueves</t>
        </is>
      </c>
      <c r="E736" s="4" t="inlineStr">
        <is>
          <t>2087</t>
        </is>
      </c>
      <c r="F736" s="4" t="inlineStr">
        <is>
          <t>LIM</t>
        </is>
      </c>
      <c r="G736" s="4" t="inlineStr">
        <is>
          <t>TPP</t>
        </is>
      </c>
      <c r="H736" s="4" t="inlineStr">
        <is>
          <t>14:05:00</t>
        </is>
      </c>
      <c r="I736" s="4" t="inlineStr">
        <is>
          <t>15:30:00</t>
        </is>
      </c>
      <c r="J736" s="4" t="inlineStr">
        <is>
          <t>319</t>
        </is>
      </c>
      <c r="K736" s="6">
        <f>TEXT(TIMEVALUE(H736)-TIMEVALUE(I735)+(TIMEVALUE(H736)&lt;TIMEVALUE(I735)),"[h]:mm")</f>
        <v/>
      </c>
      <c r="L736" s="4" t="inlineStr">
        <is>
          <t>01:25:00</t>
        </is>
      </c>
      <c r="M736">
        <f>IF($M$734="","",$M$734)</f>
        <v/>
      </c>
      <c r="O736">
        <f>IF($O$734="","",$O$734)</f>
        <v/>
      </c>
      <c r="Q736" s="4">
        <f>B736</f>
        <v/>
      </c>
      <c r="R736" s="4">
        <f>C736</f>
        <v/>
      </c>
      <c r="S736" s="4">
        <f>D736</f>
        <v/>
      </c>
      <c r="T736" s="4">
        <f>E736&amp;"/"&amp;E737</f>
        <v/>
      </c>
      <c r="U736" s="4">
        <f>F736&amp;"-"&amp;G736&amp;"-"&amp;F736</f>
        <v/>
      </c>
      <c r="V736" s="4">
        <f>IF($M$734="","",$M$734)</f>
        <v/>
      </c>
      <c r="W736" s="4">
        <f>IF($O$734="","",$O$734)</f>
        <v/>
      </c>
      <c r="X736" s="4">
        <f>J736</f>
        <v/>
      </c>
    </row>
    <row r="737">
      <c r="B737" s="4" t="inlineStr">
        <is>
          <t>912_0</t>
        </is>
      </c>
      <c r="C737" s="4" t="inlineStr">
        <is>
          <t>10/09/2026</t>
        </is>
      </c>
      <c r="D737" s="4" t="inlineStr">
        <is>
          <t>jueves</t>
        </is>
      </c>
      <c r="E737" s="4" t="inlineStr">
        <is>
          <t>2088</t>
        </is>
      </c>
      <c r="F737" s="4" t="inlineStr">
        <is>
          <t>TPP</t>
        </is>
      </c>
      <c r="G737" s="4" t="inlineStr">
        <is>
          <t>LIM</t>
        </is>
      </c>
      <c r="H737" s="4" t="inlineStr">
        <is>
          <t>16:05:00</t>
        </is>
      </c>
      <c r="I737" s="4" t="inlineStr">
        <is>
          <t>17:30:00</t>
        </is>
      </c>
      <c r="J737" s="4" t="inlineStr">
        <is>
          <t>319</t>
        </is>
      </c>
      <c r="K737">
        <f>TEXT(TIMEVALUE(H737)-TIMEVALUE(I736)+(TIMEVALUE(H737)&lt;TIMEVALUE(I736)),"[h]:mm")</f>
        <v/>
      </c>
      <c r="L737" s="4" t="inlineStr">
        <is>
          <t>01:25:00</t>
        </is>
      </c>
      <c r="O737">
        <f>"LIM-"&amp;G736&amp;"-LIM   LA "&amp;E736&amp;" ("&amp;LEFT(H736,5)&amp;"-"&amp;LEFT(I736,5)&amp;" hrs)  /  LA "&amp;E737&amp;" ("&amp;LEFT(H737,5)&amp;"-"&amp;LEFT(I737,5)&amp;" hrs)"</f>
        <v/>
      </c>
    </row>
    <row r="738">
      <c r="J738" s="7" t="inlineStr">
        <is>
          <t>PSV total:</t>
        </is>
      </c>
      <c r="K738" s="8">
        <f>TEXT(TIMEVALUE(I737)-TIMEVALUE(H734)+(I737&lt;H734),"[h]:mm")</f>
        <v/>
      </c>
    </row>
    <row r="740">
      <c r="B740" s="3" t="inlineStr">
        <is>
          <t>Pairing ID</t>
        </is>
      </c>
      <c r="C740" s="3" t="inlineStr">
        <is>
          <t>FECHA REAL</t>
        </is>
      </c>
      <c r="D740" s="3" t="inlineStr">
        <is>
          <t>Day of Week</t>
        </is>
      </c>
      <c r="E740" s="3" t="inlineStr">
        <is>
          <t>Flight No</t>
        </is>
      </c>
      <c r="F740" s="3" t="inlineStr">
        <is>
          <t>Dep Stn</t>
        </is>
      </c>
      <c r="G740" s="3" t="inlineStr">
        <is>
          <t>Arr Stn</t>
        </is>
      </c>
      <c r="H740" s="3" t="inlineStr">
        <is>
          <t>STD</t>
        </is>
      </c>
      <c r="I740" s="3" t="inlineStr">
        <is>
          <t>STA</t>
        </is>
      </c>
      <c r="J740" s="3" t="inlineStr">
        <is>
          <t>subflota</t>
        </is>
      </c>
      <c r="K740" s="3" t="inlineStr">
        <is>
          <t>Conexion</t>
        </is>
      </c>
      <c r="L740" s="3" t="inlineStr">
        <is>
          <t>HBT</t>
        </is>
      </c>
    </row>
    <row r="741">
      <c r="B741" s="4" t="inlineStr">
        <is>
          <t>893_0</t>
        </is>
      </c>
      <c r="C741" s="4" t="inlineStr">
        <is>
          <t>10/09/2026</t>
        </is>
      </c>
      <c r="D741" s="4" t="inlineStr">
        <is>
          <t>jueves</t>
        </is>
      </c>
      <c r="E741" s="4" t="inlineStr">
        <is>
          <t>2299</t>
        </is>
      </c>
      <c r="F741" s="4" t="inlineStr">
        <is>
          <t>LIM</t>
        </is>
      </c>
      <c r="G741" s="4" t="inlineStr">
        <is>
          <t>CJA</t>
        </is>
      </c>
      <c r="H741" s="4" t="inlineStr">
        <is>
          <t>11:35:00</t>
        </is>
      </c>
      <c r="I741" s="4" t="inlineStr">
        <is>
          <t>12:55:00</t>
        </is>
      </c>
      <c r="J741" s="4" t="inlineStr">
        <is>
          <t>320</t>
        </is>
      </c>
      <c r="L741" s="4" t="inlineStr">
        <is>
          <t>01:20:00</t>
        </is>
      </c>
      <c r="M741" s="5" t="n"/>
      <c r="O741" s="5" t="n"/>
      <c r="Q741" s="4">
        <f>B741</f>
        <v/>
      </c>
      <c r="R741" s="4">
        <f>C741</f>
        <v/>
      </c>
      <c r="S741" s="4">
        <f>D741</f>
        <v/>
      </c>
      <c r="T741" s="4">
        <f>E741&amp;"/"&amp;E742</f>
        <v/>
      </c>
      <c r="U741" s="4">
        <f>F741&amp;"-"&amp;G741&amp;"-"&amp;F741</f>
        <v/>
      </c>
      <c r="V741" s="4">
        <f>IF($M$741="","",$M$741)</f>
        <v/>
      </c>
      <c r="W741" s="4">
        <f>IF($O$741="","",$O$741)</f>
        <v/>
      </c>
      <c r="X741" s="4">
        <f>J741</f>
        <v/>
      </c>
    </row>
    <row r="742">
      <c r="B742" s="4" t="inlineStr">
        <is>
          <t>893_0</t>
        </is>
      </c>
      <c r="C742" s="4" t="inlineStr">
        <is>
          <t>10/09/2026</t>
        </is>
      </c>
      <c r="D742" s="4" t="inlineStr">
        <is>
          <t>jueves</t>
        </is>
      </c>
      <c r="E742" s="4" t="inlineStr">
        <is>
          <t>2298</t>
        </is>
      </c>
      <c r="F742" s="4" t="inlineStr">
        <is>
          <t>CJA</t>
        </is>
      </c>
      <c r="G742" s="4" t="inlineStr">
        <is>
          <t>LIM</t>
        </is>
      </c>
      <c r="H742" s="4" t="inlineStr">
        <is>
          <t>13:40:00</t>
        </is>
      </c>
      <c r="I742" s="4" t="inlineStr">
        <is>
          <t>14:50:00</t>
        </is>
      </c>
      <c r="J742" s="4" t="inlineStr">
        <is>
          <t>320</t>
        </is>
      </c>
      <c r="K742">
        <f>TEXT(TIMEVALUE(H742)-TIMEVALUE(I741)+(TIMEVALUE(H742)&lt;TIMEVALUE(I741)),"[h]:mm")</f>
        <v/>
      </c>
      <c r="L742" s="4" t="inlineStr">
        <is>
          <t>01:10:00</t>
        </is>
      </c>
      <c r="O742">
        <f>"LIM-"&amp;G741&amp;"-LIM   LA "&amp;E741&amp;" ("&amp;LEFT(H741,5)&amp;"-"&amp;LEFT(I741,5)&amp;" hrs)  /  LA "&amp;E742&amp;" ("&amp;LEFT(H742,5)&amp;"-"&amp;LEFT(I742,5)&amp;" hrs)"</f>
        <v/>
      </c>
    </row>
    <row r="743">
      <c r="J743" s="7" t="inlineStr">
        <is>
          <t>PSV total:</t>
        </is>
      </c>
      <c r="K743" s="8">
        <f>TEXT(TIMEVALUE(I742)-TIMEVALUE(H741)+(I742&lt;H741),"[h]:mm")</f>
        <v/>
      </c>
    </row>
    <row r="745">
      <c r="B745" s="3" t="inlineStr">
        <is>
          <t>Pairing ID</t>
        </is>
      </c>
      <c r="C745" s="3" t="inlineStr">
        <is>
          <t>FECHA REAL</t>
        </is>
      </c>
      <c r="D745" s="3" t="inlineStr">
        <is>
          <t>Day of Week</t>
        </is>
      </c>
      <c r="E745" s="3" t="inlineStr">
        <is>
          <t>Flight No</t>
        </is>
      </c>
      <c r="F745" s="3" t="inlineStr">
        <is>
          <t>Dep Stn</t>
        </is>
      </c>
      <c r="G745" s="3" t="inlineStr">
        <is>
          <t>Arr Stn</t>
        </is>
      </c>
      <c r="H745" s="3" t="inlineStr">
        <is>
          <t>STD</t>
        </is>
      </c>
      <c r="I745" s="3" t="inlineStr">
        <is>
          <t>STA</t>
        </is>
      </c>
      <c r="J745" s="3" t="inlineStr">
        <is>
          <t>subflota</t>
        </is>
      </c>
      <c r="K745" s="3" t="inlineStr">
        <is>
          <t>Conexion</t>
        </is>
      </c>
      <c r="L745" s="3" t="inlineStr">
        <is>
          <t>HBT</t>
        </is>
      </c>
    </row>
    <row r="746">
      <c r="B746" s="4" t="inlineStr">
        <is>
          <t>895_0</t>
        </is>
      </c>
      <c r="C746" s="4" t="inlineStr">
        <is>
          <t>10/09/2026</t>
        </is>
      </c>
      <c r="D746" s="4" t="inlineStr">
        <is>
          <t>jueves</t>
        </is>
      </c>
      <c r="E746" s="4" t="inlineStr">
        <is>
          <t>2061</t>
        </is>
      </c>
      <c r="F746" s="4" t="inlineStr">
        <is>
          <t>LIM</t>
        </is>
      </c>
      <c r="G746" s="4" t="inlineStr">
        <is>
          <t>CUZ</t>
        </is>
      </c>
      <c r="H746" s="4" t="inlineStr">
        <is>
          <t>11:40:00</t>
        </is>
      </c>
      <c r="I746" s="4" t="inlineStr">
        <is>
          <t>13:00:00</t>
        </is>
      </c>
      <c r="J746" s="4" t="inlineStr">
        <is>
          <t>320</t>
        </is>
      </c>
      <c r="L746" s="4" t="inlineStr">
        <is>
          <t>01:20:00</t>
        </is>
      </c>
      <c r="M746" s="5" t="n"/>
      <c r="O746" s="5" t="n"/>
      <c r="Q746" s="4">
        <f>B746</f>
        <v/>
      </c>
      <c r="R746" s="4">
        <f>C746</f>
        <v/>
      </c>
      <c r="S746" s="4">
        <f>D746</f>
        <v/>
      </c>
      <c r="T746" s="4">
        <f>E746&amp;"/"&amp;E747</f>
        <v/>
      </c>
      <c r="U746" s="4">
        <f>F746&amp;"-"&amp;G746&amp;"-"&amp;F746</f>
        <v/>
      </c>
      <c r="V746" s="4">
        <f>IF($M$746="","",$M$746)</f>
        <v/>
      </c>
      <c r="W746" s="4">
        <f>IF($O$746="","",$O$746)</f>
        <v/>
      </c>
      <c r="X746" s="4">
        <f>J746</f>
        <v/>
      </c>
    </row>
    <row r="747">
      <c r="B747" s="4" t="inlineStr">
        <is>
          <t>895_0</t>
        </is>
      </c>
      <c r="C747" s="4" t="inlineStr">
        <is>
          <t>10/09/2026</t>
        </is>
      </c>
      <c r="D747" s="4" t="inlineStr">
        <is>
          <t>jueves</t>
        </is>
      </c>
      <c r="E747" s="4" t="inlineStr">
        <is>
          <t>2062</t>
        </is>
      </c>
      <c r="F747" s="4" t="inlineStr">
        <is>
          <t>CUZ</t>
        </is>
      </c>
      <c r="G747" s="4" t="inlineStr">
        <is>
          <t>LIM</t>
        </is>
      </c>
      <c r="H747" s="4" t="inlineStr">
        <is>
          <t>13:40:00</t>
        </is>
      </c>
      <c r="I747" s="4" t="inlineStr">
        <is>
          <t>15:15:00</t>
        </is>
      </c>
      <c r="J747" s="4" t="inlineStr">
        <is>
          <t>320</t>
        </is>
      </c>
      <c r="K747">
        <f>TEXT(TIMEVALUE(H747)-TIMEVALUE(I746)+(TIMEVALUE(H747)&lt;TIMEVALUE(I746)),"[h]:mm")</f>
        <v/>
      </c>
      <c r="L747" s="4" t="inlineStr">
        <is>
          <t>01:35:00</t>
        </is>
      </c>
      <c r="O747">
        <f>"LIM-"&amp;G746&amp;"-LIM   LA "&amp;E746&amp;" ("&amp;LEFT(H746,5)&amp;"-"&amp;LEFT(I746,5)&amp;" hrs)  /  LA "&amp;E747&amp;" ("&amp;LEFT(H747,5)&amp;"-"&amp;LEFT(I747,5)&amp;" hrs)"</f>
        <v/>
      </c>
    </row>
    <row r="748">
      <c r="B748" s="4" t="inlineStr">
        <is>
          <t>922_0</t>
        </is>
      </c>
      <c r="C748" s="4" t="inlineStr">
        <is>
          <t>10/09/2026</t>
        </is>
      </c>
      <c r="D748" s="4" t="inlineStr">
        <is>
          <t>jueves</t>
        </is>
      </c>
      <c r="E748" s="4" t="inlineStr">
        <is>
          <t>2053</t>
        </is>
      </c>
      <c r="F748" s="4" t="inlineStr">
        <is>
          <t>LIM</t>
        </is>
      </c>
      <c r="G748" s="4" t="inlineStr">
        <is>
          <t>TBP</t>
        </is>
      </c>
      <c r="H748" s="4" t="inlineStr">
        <is>
          <t>16:20:00</t>
        </is>
      </c>
      <c r="I748" s="4" t="inlineStr">
        <is>
          <t>18:10:00</t>
        </is>
      </c>
      <c r="J748" s="4" t="inlineStr">
        <is>
          <t>320</t>
        </is>
      </c>
      <c r="K748" s="6">
        <f>TEXT(TIMEVALUE(H748)-TIMEVALUE(I747)+(TIMEVALUE(H748)&lt;TIMEVALUE(I747)),"[h]:mm")</f>
        <v/>
      </c>
      <c r="L748" s="4" t="inlineStr">
        <is>
          <t>01:50:00</t>
        </is>
      </c>
      <c r="M748">
        <f>IF($M$746="","",$M$746)</f>
        <v/>
      </c>
      <c r="O748">
        <f>IF($O$746="","",$O$746)</f>
        <v/>
      </c>
      <c r="Q748" s="4">
        <f>B748</f>
        <v/>
      </c>
      <c r="R748" s="4">
        <f>C748</f>
        <v/>
      </c>
      <c r="S748" s="4">
        <f>D748</f>
        <v/>
      </c>
      <c r="T748" s="4">
        <f>E748&amp;"/"&amp;E749</f>
        <v/>
      </c>
      <c r="U748" s="4">
        <f>F748&amp;"-"&amp;G748&amp;"-"&amp;F748</f>
        <v/>
      </c>
      <c r="V748" s="4">
        <f>IF($M$746="","",$M$746)</f>
        <v/>
      </c>
      <c r="W748" s="4">
        <f>IF($O$746="","",$O$746)</f>
        <v/>
      </c>
      <c r="X748" s="4">
        <f>J748</f>
        <v/>
      </c>
    </row>
    <row r="749">
      <c r="B749" s="4" t="inlineStr">
        <is>
          <t>922_0</t>
        </is>
      </c>
      <c r="C749" s="4" t="inlineStr">
        <is>
          <t>10/09/2026</t>
        </is>
      </c>
      <c r="D749" s="4" t="inlineStr">
        <is>
          <t>jueves</t>
        </is>
      </c>
      <c r="E749" s="4" t="inlineStr">
        <is>
          <t>2054</t>
        </is>
      </c>
      <c r="F749" s="4" t="inlineStr">
        <is>
          <t>TBP</t>
        </is>
      </c>
      <c r="G749" s="4" t="inlineStr">
        <is>
          <t>LIM</t>
        </is>
      </c>
      <c r="H749" s="4" t="inlineStr">
        <is>
          <t>18:50:00</t>
        </is>
      </c>
      <c r="I749" s="4" t="inlineStr">
        <is>
          <t>20:30:00</t>
        </is>
      </c>
      <c r="J749" s="4" t="inlineStr">
        <is>
          <t>320</t>
        </is>
      </c>
      <c r="K749">
        <f>TEXT(TIMEVALUE(H749)-TIMEVALUE(I748)+(TIMEVALUE(H749)&lt;TIMEVALUE(I748)),"[h]:mm")</f>
        <v/>
      </c>
      <c r="L749" s="4" t="inlineStr">
        <is>
          <t>01:40:00</t>
        </is>
      </c>
      <c r="O749">
        <f>"LIM-"&amp;G748&amp;"-LIM   LA "&amp;E748&amp;" ("&amp;LEFT(H748,5)&amp;"-"&amp;LEFT(I748,5)&amp;" hrs)  /  LA "&amp;E749&amp;" ("&amp;LEFT(H749,5)&amp;"-"&amp;LEFT(I749,5)&amp;" hrs)"</f>
        <v/>
      </c>
    </row>
    <row r="750">
      <c r="J750" s="7" t="inlineStr">
        <is>
          <t>PSV total:</t>
        </is>
      </c>
      <c r="K750" s="8">
        <f>TEXT(TIMEVALUE(I749)-TIMEVALUE(H746)+(I749&lt;H746),"[h]:mm")</f>
        <v/>
      </c>
    </row>
    <row r="752">
      <c r="B752" s="3" t="inlineStr">
        <is>
          <t>Pairing ID</t>
        </is>
      </c>
      <c r="C752" s="3" t="inlineStr">
        <is>
          <t>FECHA REAL</t>
        </is>
      </c>
      <c r="D752" s="3" t="inlineStr">
        <is>
          <t>Day of Week</t>
        </is>
      </c>
      <c r="E752" s="3" t="inlineStr">
        <is>
          <t>Flight No</t>
        </is>
      </c>
      <c r="F752" s="3" t="inlineStr">
        <is>
          <t>Dep Stn</t>
        </is>
      </c>
      <c r="G752" s="3" t="inlineStr">
        <is>
          <t>Arr Stn</t>
        </is>
      </c>
      <c r="H752" s="3" t="inlineStr">
        <is>
          <t>STD</t>
        </is>
      </c>
      <c r="I752" s="3" t="inlineStr">
        <is>
          <t>STA</t>
        </is>
      </c>
      <c r="J752" s="3" t="inlineStr">
        <is>
          <t>subflota</t>
        </is>
      </c>
      <c r="K752" s="3" t="inlineStr">
        <is>
          <t>Conexion</t>
        </is>
      </c>
      <c r="L752" s="3" t="inlineStr">
        <is>
          <t>HBT</t>
        </is>
      </c>
    </row>
    <row r="753">
      <c r="B753" s="4" t="inlineStr">
        <is>
          <t>903_0</t>
        </is>
      </c>
      <c r="C753" s="4" t="inlineStr">
        <is>
          <t>10/09/2026</t>
        </is>
      </c>
      <c r="D753" s="4" t="inlineStr">
        <is>
          <t>jueves</t>
        </is>
      </c>
      <c r="E753" s="4" t="inlineStr">
        <is>
          <t>2308</t>
        </is>
      </c>
      <c r="F753" s="4" t="inlineStr">
        <is>
          <t>LIM</t>
        </is>
      </c>
      <c r="G753" s="4" t="inlineStr">
        <is>
          <t>PIU</t>
        </is>
      </c>
      <c r="H753" s="4" t="inlineStr">
        <is>
          <t>12:50:00</t>
        </is>
      </c>
      <c r="I753" s="4" t="inlineStr">
        <is>
          <t>14:35:00</t>
        </is>
      </c>
      <c r="J753" s="4" t="inlineStr">
        <is>
          <t>320</t>
        </is>
      </c>
      <c r="L753" s="4" t="inlineStr">
        <is>
          <t>01:45:00</t>
        </is>
      </c>
      <c r="M753" s="5" t="n"/>
      <c r="O753" s="5" t="n"/>
      <c r="Q753" s="4">
        <f>B753</f>
        <v/>
      </c>
      <c r="R753" s="4">
        <f>C753</f>
        <v/>
      </c>
      <c r="S753" s="4">
        <f>D753</f>
        <v/>
      </c>
      <c r="T753" s="4">
        <f>E753&amp;"/"&amp;E754</f>
        <v/>
      </c>
      <c r="U753" s="4">
        <f>F753&amp;"-"&amp;G753&amp;"-"&amp;F753</f>
        <v/>
      </c>
      <c r="V753" s="4">
        <f>IF($M$753="","",$M$753)</f>
        <v/>
      </c>
      <c r="W753" s="4">
        <f>IF($O$753="","",$O$753)</f>
        <v/>
      </c>
      <c r="X753" s="4">
        <f>J753</f>
        <v/>
      </c>
    </row>
    <row r="754">
      <c r="B754" s="4" t="inlineStr">
        <is>
          <t>903_0</t>
        </is>
      </c>
      <c r="C754" s="4" t="inlineStr">
        <is>
          <t>10/09/2026</t>
        </is>
      </c>
      <c r="D754" s="4" t="inlineStr">
        <is>
          <t>jueves</t>
        </is>
      </c>
      <c r="E754" s="4" t="inlineStr">
        <is>
          <t>2309</t>
        </is>
      </c>
      <c r="F754" s="4" t="inlineStr">
        <is>
          <t>PIU</t>
        </is>
      </c>
      <c r="G754" s="4" t="inlineStr">
        <is>
          <t>LIM</t>
        </is>
      </c>
      <c r="H754" s="4" t="inlineStr">
        <is>
          <t>15:25:00</t>
        </is>
      </c>
      <c r="I754" s="4" t="inlineStr">
        <is>
          <t>16:55:00</t>
        </is>
      </c>
      <c r="J754" s="4" t="inlineStr">
        <is>
          <t>320</t>
        </is>
      </c>
      <c r="K754">
        <f>TEXT(TIMEVALUE(H754)-TIMEVALUE(I753)+(TIMEVALUE(H754)&lt;TIMEVALUE(I753)),"[h]:mm")</f>
        <v/>
      </c>
      <c r="L754" s="4" t="inlineStr">
        <is>
          <t>01:30:00</t>
        </is>
      </c>
      <c r="O754">
        <f>"LIM-"&amp;G753&amp;"-LIM   LA "&amp;E753&amp;" ("&amp;LEFT(H753,5)&amp;"-"&amp;LEFT(I753,5)&amp;" hrs)  /  LA "&amp;E754&amp;" ("&amp;LEFT(H754,5)&amp;"-"&amp;LEFT(I754,5)&amp;" hrs)"</f>
        <v/>
      </c>
    </row>
    <row r="755">
      <c r="J755" s="7" t="inlineStr">
        <is>
          <t>PSV total:</t>
        </is>
      </c>
      <c r="K755" s="8">
        <f>TEXT(TIMEVALUE(I754)-TIMEVALUE(H753)+(I754&lt;H753),"[h]:mm")</f>
        <v/>
      </c>
    </row>
    <row r="757">
      <c r="B757" s="3" t="inlineStr">
        <is>
          <t>Pairing ID</t>
        </is>
      </c>
      <c r="C757" s="3" t="inlineStr">
        <is>
          <t>FECHA REAL</t>
        </is>
      </c>
      <c r="D757" s="3" t="inlineStr">
        <is>
          <t>Day of Week</t>
        </is>
      </c>
      <c r="E757" s="3" t="inlineStr">
        <is>
          <t>Flight No</t>
        </is>
      </c>
      <c r="F757" s="3" t="inlineStr">
        <is>
          <t>Dep Stn</t>
        </is>
      </c>
      <c r="G757" s="3" t="inlineStr">
        <is>
          <t>Arr Stn</t>
        </is>
      </c>
      <c r="H757" s="3" t="inlineStr">
        <is>
          <t>STD</t>
        </is>
      </c>
      <c r="I757" s="3" t="inlineStr">
        <is>
          <t>STA</t>
        </is>
      </c>
      <c r="J757" s="3" t="inlineStr">
        <is>
          <t>subflota</t>
        </is>
      </c>
      <c r="K757" s="3" t="inlineStr">
        <is>
          <t>Conexion</t>
        </is>
      </c>
      <c r="L757" s="3" t="inlineStr">
        <is>
          <t>HBT</t>
        </is>
      </c>
    </row>
    <row r="758">
      <c r="B758" s="4" t="inlineStr">
        <is>
          <t>908_0</t>
        </is>
      </c>
      <c r="C758" s="4" t="inlineStr">
        <is>
          <t>10/09/2026</t>
        </is>
      </c>
      <c r="D758" s="4" t="inlineStr">
        <is>
          <t>jueves</t>
        </is>
      </c>
      <c r="E758" s="4" t="inlineStr">
        <is>
          <t>2067</t>
        </is>
      </c>
      <c r="F758" s="4" t="inlineStr">
        <is>
          <t>LIM</t>
        </is>
      </c>
      <c r="G758" s="4" t="inlineStr">
        <is>
          <t>TCQ</t>
        </is>
      </c>
      <c r="H758" s="4" t="inlineStr">
        <is>
          <t>13:45:00</t>
        </is>
      </c>
      <c r="I758" s="4" t="inlineStr">
        <is>
          <t>15:35:00</t>
        </is>
      </c>
      <c r="J758" s="4" t="inlineStr">
        <is>
          <t>320</t>
        </is>
      </c>
      <c r="L758" s="4" t="inlineStr">
        <is>
          <t>01:50:00</t>
        </is>
      </c>
      <c r="M758" s="5" t="n"/>
      <c r="O758" s="5" t="n"/>
      <c r="Q758" s="4">
        <f>B758</f>
        <v/>
      </c>
      <c r="R758" s="4">
        <f>C758</f>
        <v/>
      </c>
      <c r="S758" s="4">
        <f>D758</f>
        <v/>
      </c>
      <c r="T758" s="4">
        <f>E758&amp;"/"&amp;E759</f>
        <v/>
      </c>
      <c r="U758" s="4">
        <f>F758&amp;"-"&amp;G758&amp;"-"&amp;F758</f>
        <v/>
      </c>
      <c r="V758" s="4">
        <f>IF($M$758="","",$M$758)</f>
        <v/>
      </c>
      <c r="W758" s="4">
        <f>IF($O$758="","",$O$758)</f>
        <v/>
      </c>
      <c r="X758" s="4">
        <f>J758</f>
        <v/>
      </c>
    </row>
    <row r="759">
      <c r="B759" s="4" t="inlineStr">
        <is>
          <t>908_0</t>
        </is>
      </c>
      <c r="C759" s="4" t="inlineStr">
        <is>
          <t>10/09/2026</t>
        </is>
      </c>
      <c r="D759" s="4" t="inlineStr">
        <is>
          <t>jueves</t>
        </is>
      </c>
      <c r="E759" s="4" t="inlineStr">
        <is>
          <t>2068</t>
        </is>
      </c>
      <c r="F759" s="4" t="inlineStr">
        <is>
          <t>TCQ</t>
        </is>
      </c>
      <c r="G759" s="4" t="inlineStr">
        <is>
          <t>LIM</t>
        </is>
      </c>
      <c r="H759" s="4" t="inlineStr">
        <is>
          <t>16:20:00</t>
        </is>
      </c>
      <c r="I759" s="4" t="inlineStr">
        <is>
          <t>18:15:00</t>
        </is>
      </c>
      <c r="J759" s="4" t="inlineStr">
        <is>
          <t>320</t>
        </is>
      </c>
      <c r="K759">
        <f>TEXT(TIMEVALUE(H759)-TIMEVALUE(I758)+(TIMEVALUE(H759)&lt;TIMEVALUE(I758)),"[h]:mm")</f>
        <v/>
      </c>
      <c r="L759" s="4" t="inlineStr">
        <is>
          <t>01:55:00</t>
        </is>
      </c>
      <c r="O759">
        <f>"LIM-"&amp;G758&amp;"-LIM   LA "&amp;E758&amp;" ("&amp;LEFT(H758,5)&amp;"-"&amp;LEFT(I758,5)&amp;" hrs)  /  LA "&amp;E759&amp;" ("&amp;LEFT(H759,5)&amp;"-"&amp;LEFT(I759,5)&amp;" hrs)"</f>
        <v/>
      </c>
    </row>
    <row r="760">
      <c r="J760" s="7" t="inlineStr">
        <is>
          <t>PSV total:</t>
        </is>
      </c>
      <c r="K760" s="8">
        <f>TEXT(TIMEVALUE(I759)-TIMEVALUE(H758)+(I759&lt;H758),"[h]:mm")</f>
        <v/>
      </c>
    </row>
    <row r="762">
      <c r="B762" s="3" t="inlineStr">
        <is>
          <t>Pairing ID</t>
        </is>
      </c>
      <c r="C762" s="3" t="inlineStr">
        <is>
          <t>FECHA REAL</t>
        </is>
      </c>
      <c r="D762" s="3" t="inlineStr">
        <is>
          <t>Day of Week</t>
        </is>
      </c>
      <c r="E762" s="3" t="inlineStr">
        <is>
          <t>Flight No</t>
        </is>
      </c>
      <c r="F762" s="3" t="inlineStr">
        <is>
          <t>Dep Stn</t>
        </is>
      </c>
      <c r="G762" s="3" t="inlineStr">
        <is>
          <t>Arr Stn</t>
        </is>
      </c>
      <c r="H762" s="3" t="inlineStr">
        <is>
          <t>STD</t>
        </is>
      </c>
      <c r="I762" s="3" t="inlineStr">
        <is>
          <t>STA</t>
        </is>
      </c>
      <c r="J762" s="3" t="inlineStr">
        <is>
          <t>subflota</t>
        </is>
      </c>
      <c r="K762" s="3" t="inlineStr">
        <is>
          <t>Conexion</t>
        </is>
      </c>
      <c r="L762" s="3" t="inlineStr">
        <is>
          <t>HBT</t>
        </is>
      </c>
    </row>
    <row r="763">
      <c r="B763" s="4" t="inlineStr">
        <is>
          <t>913_0</t>
        </is>
      </c>
      <c r="C763" s="4" t="inlineStr">
        <is>
          <t>10/09/2026</t>
        </is>
      </c>
      <c r="D763" s="4" t="inlineStr">
        <is>
          <t>jueves</t>
        </is>
      </c>
      <c r="E763" s="4" t="inlineStr">
        <is>
          <t>2282</t>
        </is>
      </c>
      <c r="F763" s="4" t="inlineStr">
        <is>
          <t>LIM</t>
        </is>
      </c>
      <c r="G763" s="4" t="inlineStr">
        <is>
          <t>CIX</t>
        </is>
      </c>
      <c r="H763" s="4" t="inlineStr">
        <is>
          <t>14:35:00</t>
        </is>
      </c>
      <c r="I763" s="4" t="inlineStr">
        <is>
          <t>16:05:00</t>
        </is>
      </c>
      <c r="J763" s="4" t="inlineStr">
        <is>
          <t>320</t>
        </is>
      </c>
      <c r="L763" s="4" t="inlineStr">
        <is>
          <t>01:30:00</t>
        </is>
      </c>
      <c r="M763" s="5" t="n"/>
      <c r="O763" s="5" t="n"/>
      <c r="Q763" s="4">
        <f>B763</f>
        <v/>
      </c>
      <c r="R763" s="4">
        <f>C763</f>
        <v/>
      </c>
      <c r="S763" s="4">
        <f>D763</f>
        <v/>
      </c>
      <c r="T763" s="4">
        <f>E763&amp;"/"&amp;E764</f>
        <v/>
      </c>
      <c r="U763" s="4">
        <f>F763&amp;"-"&amp;G763&amp;"-"&amp;F763</f>
        <v/>
      </c>
      <c r="V763" s="4">
        <f>IF($M$763="","",$M$763)</f>
        <v/>
      </c>
      <c r="W763" s="4">
        <f>IF($O$763="","",$O$763)</f>
        <v/>
      </c>
      <c r="X763" s="4">
        <f>J763</f>
        <v/>
      </c>
    </row>
    <row r="764">
      <c r="B764" s="4" t="inlineStr">
        <is>
          <t>913_0</t>
        </is>
      </c>
      <c r="C764" s="4" t="inlineStr">
        <is>
          <t>10/09/2026</t>
        </is>
      </c>
      <c r="D764" s="4" t="inlineStr">
        <is>
          <t>jueves</t>
        </is>
      </c>
      <c r="E764" s="4" t="inlineStr">
        <is>
          <t>2283</t>
        </is>
      </c>
      <c r="F764" s="4" t="inlineStr">
        <is>
          <t>CIX</t>
        </is>
      </c>
      <c r="G764" s="4" t="inlineStr">
        <is>
          <t>LIM</t>
        </is>
      </c>
      <c r="H764" s="4" t="inlineStr">
        <is>
          <t>16:50:00</t>
        </is>
      </c>
      <c r="I764" s="4" t="inlineStr">
        <is>
          <t>18:10:00</t>
        </is>
      </c>
      <c r="J764" s="4" t="inlineStr">
        <is>
          <t>320</t>
        </is>
      </c>
      <c r="K764">
        <f>TEXT(TIMEVALUE(H764)-TIMEVALUE(I763)+(TIMEVALUE(H764)&lt;TIMEVALUE(I763)),"[h]:mm")</f>
        <v/>
      </c>
      <c r="L764" s="4" t="inlineStr">
        <is>
          <t>01:20:00</t>
        </is>
      </c>
      <c r="O764">
        <f>"LIM-"&amp;G763&amp;"-LIM   LA "&amp;E763&amp;" ("&amp;LEFT(H763,5)&amp;"-"&amp;LEFT(I763,5)&amp;" hrs)  /  LA "&amp;E764&amp;" ("&amp;LEFT(H764,5)&amp;"-"&amp;LEFT(I764,5)&amp;" hrs)"</f>
        <v/>
      </c>
    </row>
    <row r="765">
      <c r="J765" s="7" t="inlineStr">
        <is>
          <t>PSV total:</t>
        </is>
      </c>
      <c r="K765" s="8">
        <f>TEXT(TIMEVALUE(I764)-TIMEVALUE(H763)+(I764&lt;H763),"[h]:mm")</f>
        <v/>
      </c>
    </row>
    <row r="767">
      <c r="B767" s="3" t="inlineStr">
        <is>
          <t>Pairing ID</t>
        </is>
      </c>
      <c r="C767" s="3" t="inlineStr">
        <is>
          <t>FECHA REAL</t>
        </is>
      </c>
      <c r="D767" s="3" t="inlineStr">
        <is>
          <t>Day of Week</t>
        </is>
      </c>
      <c r="E767" s="3" t="inlineStr">
        <is>
          <t>Flight No</t>
        </is>
      </c>
      <c r="F767" s="3" t="inlineStr">
        <is>
          <t>Dep Stn</t>
        </is>
      </c>
      <c r="G767" s="3" t="inlineStr">
        <is>
          <t>Arr Stn</t>
        </is>
      </c>
      <c r="H767" s="3" t="inlineStr">
        <is>
          <t>STD</t>
        </is>
      </c>
      <c r="I767" s="3" t="inlineStr">
        <is>
          <t>STA</t>
        </is>
      </c>
      <c r="J767" s="3" t="inlineStr">
        <is>
          <t>subflota</t>
        </is>
      </c>
      <c r="K767" s="3" t="inlineStr">
        <is>
          <t>Conexion</t>
        </is>
      </c>
      <c r="L767" s="3" t="inlineStr">
        <is>
          <t>HBT</t>
        </is>
      </c>
    </row>
    <row r="768">
      <c r="B768" s="4" t="inlineStr">
        <is>
          <t>914_0</t>
        </is>
      </c>
      <c r="C768" s="4" t="inlineStr">
        <is>
          <t>10/09/2026</t>
        </is>
      </c>
      <c r="D768" s="4" t="inlineStr">
        <is>
          <t>jueves</t>
        </is>
      </c>
      <c r="E768" s="4" t="inlineStr">
        <is>
          <t>2338</t>
        </is>
      </c>
      <c r="F768" s="4" t="inlineStr">
        <is>
          <t>LIM</t>
        </is>
      </c>
      <c r="G768" s="4" t="inlineStr">
        <is>
          <t>PIU</t>
        </is>
      </c>
      <c r="H768" s="4" t="inlineStr">
        <is>
          <t>15:00:00</t>
        </is>
      </c>
      <c r="I768" s="4" t="inlineStr">
        <is>
          <t>16:45:00</t>
        </is>
      </c>
      <c r="J768" s="4" t="inlineStr">
        <is>
          <t>320</t>
        </is>
      </c>
      <c r="L768" s="4" t="inlineStr">
        <is>
          <t>01:45:00</t>
        </is>
      </c>
      <c r="M768" s="5" t="n"/>
      <c r="O768" s="5" t="n"/>
      <c r="Q768" s="4">
        <f>B768</f>
        <v/>
      </c>
      <c r="R768" s="4">
        <f>C768</f>
        <v/>
      </c>
      <c r="S768" s="4">
        <f>D768</f>
        <v/>
      </c>
      <c r="T768" s="4">
        <f>E768&amp;"/"&amp;E769</f>
        <v/>
      </c>
      <c r="U768" s="4">
        <f>F768&amp;"-"&amp;G768&amp;"-"&amp;F768</f>
        <v/>
      </c>
      <c r="V768" s="4">
        <f>IF($M$768="","",$M$768)</f>
        <v/>
      </c>
      <c r="W768" s="4">
        <f>IF($O$768="","",$O$768)</f>
        <v/>
      </c>
      <c r="X768" s="4">
        <f>J768</f>
        <v/>
      </c>
    </row>
    <row r="769">
      <c r="B769" s="4" t="inlineStr">
        <is>
          <t>914_0</t>
        </is>
      </c>
      <c r="C769" s="4" t="inlineStr">
        <is>
          <t>10/09/2026</t>
        </is>
      </c>
      <c r="D769" s="4" t="inlineStr">
        <is>
          <t>jueves</t>
        </is>
      </c>
      <c r="E769" s="4" t="inlineStr">
        <is>
          <t>2339</t>
        </is>
      </c>
      <c r="F769" s="4" t="inlineStr">
        <is>
          <t>PIU</t>
        </is>
      </c>
      <c r="G769" s="4" t="inlineStr">
        <is>
          <t>LIM</t>
        </is>
      </c>
      <c r="H769" s="4" t="inlineStr">
        <is>
          <t>17:20:00</t>
        </is>
      </c>
      <c r="I769" s="4" t="inlineStr">
        <is>
          <t>18:50:00</t>
        </is>
      </c>
      <c r="J769" s="4" t="inlineStr">
        <is>
          <t>320</t>
        </is>
      </c>
      <c r="K769">
        <f>TEXT(TIMEVALUE(H769)-TIMEVALUE(I768)+(TIMEVALUE(H769)&lt;TIMEVALUE(I768)),"[h]:mm")</f>
        <v/>
      </c>
      <c r="L769" s="4" t="inlineStr">
        <is>
          <t>01:30:00</t>
        </is>
      </c>
      <c r="O769">
        <f>"LIM-"&amp;G768&amp;"-LIM   LA "&amp;E768&amp;" ("&amp;LEFT(H768,5)&amp;"-"&amp;LEFT(I768,5)&amp;" hrs)  /  LA "&amp;E769&amp;" ("&amp;LEFT(H769,5)&amp;"-"&amp;LEFT(I769,5)&amp;" hrs)"</f>
        <v/>
      </c>
    </row>
    <row r="770">
      <c r="J770" s="7" t="inlineStr">
        <is>
          <t>PSV total:</t>
        </is>
      </c>
      <c r="K770" s="8">
        <f>TEXT(TIMEVALUE(I769)-TIMEVALUE(H768)+(I769&lt;H768),"[h]:mm")</f>
        <v/>
      </c>
    </row>
    <row r="772">
      <c r="B772" s="3" t="inlineStr">
        <is>
          <t>Pairing ID</t>
        </is>
      </c>
      <c r="C772" s="3" t="inlineStr">
        <is>
          <t>FECHA REAL</t>
        </is>
      </c>
      <c r="D772" s="3" t="inlineStr">
        <is>
          <t>Day of Week</t>
        </is>
      </c>
      <c r="E772" s="3" t="inlineStr">
        <is>
          <t>Flight No</t>
        </is>
      </c>
      <c r="F772" s="3" t="inlineStr">
        <is>
          <t>Dep Stn</t>
        </is>
      </c>
      <c r="G772" s="3" t="inlineStr">
        <is>
          <t>Arr Stn</t>
        </is>
      </c>
      <c r="H772" s="3" t="inlineStr">
        <is>
          <t>STD</t>
        </is>
      </c>
      <c r="I772" s="3" t="inlineStr">
        <is>
          <t>STA</t>
        </is>
      </c>
      <c r="J772" s="3" t="inlineStr">
        <is>
          <t>subflota</t>
        </is>
      </c>
      <c r="K772" s="3" t="inlineStr">
        <is>
          <t>Conexion</t>
        </is>
      </c>
      <c r="L772" s="3" t="inlineStr">
        <is>
          <t>HBT</t>
        </is>
      </c>
    </row>
    <row r="773">
      <c r="B773" s="4" t="inlineStr">
        <is>
          <t>917_0</t>
        </is>
      </c>
      <c r="C773" s="4" t="inlineStr">
        <is>
          <t>10/09/2026</t>
        </is>
      </c>
      <c r="D773" s="4" t="inlineStr">
        <is>
          <t>jueves</t>
        </is>
      </c>
      <c r="E773" s="4" t="inlineStr">
        <is>
          <t>2297</t>
        </is>
      </c>
      <c r="F773" s="4" t="inlineStr">
        <is>
          <t>LIM</t>
        </is>
      </c>
      <c r="G773" s="4" t="inlineStr">
        <is>
          <t>CJA</t>
        </is>
      </c>
      <c r="H773" s="4" t="inlineStr">
        <is>
          <t>15:15:00</t>
        </is>
      </c>
      <c r="I773" s="4" t="inlineStr">
        <is>
          <t>16:35:00</t>
        </is>
      </c>
      <c r="J773" s="4" t="inlineStr">
        <is>
          <t>320</t>
        </is>
      </c>
      <c r="L773" s="4" t="inlineStr">
        <is>
          <t>01:20:00</t>
        </is>
      </c>
      <c r="M773" s="5" t="n"/>
      <c r="O773" s="5" t="n"/>
      <c r="Q773" s="4">
        <f>B773</f>
        <v/>
      </c>
      <c r="R773" s="4">
        <f>C773</f>
        <v/>
      </c>
      <c r="S773" s="4">
        <f>D773</f>
        <v/>
      </c>
      <c r="T773" s="4">
        <f>E773&amp;"/"&amp;E774</f>
        <v/>
      </c>
      <c r="U773" s="4">
        <f>F773&amp;"-"&amp;G773&amp;"-"&amp;F773</f>
        <v/>
      </c>
      <c r="V773" s="4">
        <f>IF($M$773="","",$M$773)</f>
        <v/>
      </c>
      <c r="W773" s="4">
        <f>IF($O$773="","",$O$773)</f>
        <v/>
      </c>
      <c r="X773" s="4">
        <f>J773</f>
        <v/>
      </c>
    </row>
    <row r="774">
      <c r="B774" s="4" t="inlineStr">
        <is>
          <t>917_0</t>
        </is>
      </c>
      <c r="C774" s="4" t="inlineStr">
        <is>
          <t>10/09/2026</t>
        </is>
      </c>
      <c r="D774" s="4" t="inlineStr">
        <is>
          <t>jueves</t>
        </is>
      </c>
      <c r="E774" s="4" t="inlineStr">
        <is>
          <t>2296</t>
        </is>
      </c>
      <c r="F774" s="4" t="inlineStr">
        <is>
          <t>CJA</t>
        </is>
      </c>
      <c r="G774" s="4" t="inlineStr">
        <is>
          <t>LIM</t>
        </is>
      </c>
      <c r="H774" s="4" t="inlineStr">
        <is>
          <t>17:20:00</t>
        </is>
      </c>
      <c r="I774" s="4" t="inlineStr">
        <is>
          <t>18:25:00</t>
        </is>
      </c>
      <c r="J774" s="4" t="inlineStr">
        <is>
          <t>320</t>
        </is>
      </c>
      <c r="K774">
        <f>TEXT(TIMEVALUE(H774)-TIMEVALUE(I773)+(TIMEVALUE(H774)&lt;TIMEVALUE(I773)),"[h]:mm")</f>
        <v/>
      </c>
      <c r="L774" s="4" t="inlineStr">
        <is>
          <t>01:05:00</t>
        </is>
      </c>
      <c r="O774">
        <f>"LIM-"&amp;G773&amp;"-LIM   LA "&amp;E773&amp;" ("&amp;LEFT(H773,5)&amp;"-"&amp;LEFT(I773,5)&amp;" hrs)  /  LA "&amp;E774&amp;" ("&amp;LEFT(H774,5)&amp;"-"&amp;LEFT(I774,5)&amp;" hrs)"</f>
        <v/>
      </c>
    </row>
    <row r="775">
      <c r="J775" s="7" t="inlineStr">
        <is>
          <t>PSV total:</t>
        </is>
      </c>
      <c r="K775" s="8">
        <f>TEXT(TIMEVALUE(I774)-TIMEVALUE(H773)+(I774&lt;H773),"[h]:mm")</f>
        <v/>
      </c>
    </row>
    <row r="777">
      <c r="B777" s="3" t="inlineStr">
        <is>
          <t>Pairing ID</t>
        </is>
      </c>
      <c r="C777" s="3" t="inlineStr">
        <is>
          <t>FECHA REAL</t>
        </is>
      </c>
      <c r="D777" s="3" t="inlineStr">
        <is>
          <t>Day of Week</t>
        </is>
      </c>
      <c r="E777" s="3" t="inlineStr">
        <is>
          <t>Flight No</t>
        </is>
      </c>
      <c r="F777" s="3" t="inlineStr">
        <is>
          <t>Dep Stn</t>
        </is>
      </c>
      <c r="G777" s="3" t="inlineStr">
        <is>
          <t>Arr Stn</t>
        </is>
      </c>
      <c r="H777" s="3" t="inlineStr">
        <is>
          <t>STD</t>
        </is>
      </c>
      <c r="I777" s="3" t="inlineStr">
        <is>
          <t>STA</t>
        </is>
      </c>
      <c r="J777" s="3" t="inlineStr">
        <is>
          <t>subflota</t>
        </is>
      </c>
      <c r="K777" s="3" t="inlineStr">
        <is>
          <t>Conexion</t>
        </is>
      </c>
      <c r="L777" s="3" t="inlineStr">
        <is>
          <t>HBT</t>
        </is>
      </c>
    </row>
    <row r="778">
      <c r="B778" s="4" t="inlineStr">
        <is>
          <t>919_0</t>
        </is>
      </c>
      <c r="C778" s="4" t="inlineStr">
        <is>
          <t>10/09/2026</t>
        </is>
      </c>
      <c r="D778" s="4" t="inlineStr">
        <is>
          <t>jueves</t>
        </is>
      </c>
      <c r="E778" s="4" t="inlineStr">
        <is>
          <t>2312</t>
        </is>
      </c>
      <c r="F778" s="4" t="inlineStr">
        <is>
          <t>LIM</t>
        </is>
      </c>
      <c r="G778" s="4" t="inlineStr">
        <is>
          <t>CIX</t>
        </is>
      </c>
      <c r="H778" s="4" t="inlineStr">
        <is>
          <t>15:35:00</t>
        </is>
      </c>
      <c r="I778" s="4" t="inlineStr">
        <is>
          <t>17:05:00</t>
        </is>
      </c>
      <c r="J778" s="4" t="inlineStr">
        <is>
          <t>320</t>
        </is>
      </c>
      <c r="L778" s="4" t="inlineStr">
        <is>
          <t>01:30:00</t>
        </is>
      </c>
      <c r="M778" s="5" t="n"/>
      <c r="O778" s="5" t="n"/>
      <c r="Q778" s="4">
        <f>B778</f>
        <v/>
      </c>
      <c r="R778" s="4">
        <f>C778</f>
        <v/>
      </c>
      <c r="S778" s="4">
        <f>D778</f>
        <v/>
      </c>
      <c r="T778" s="4">
        <f>E778&amp;"/"&amp;E779</f>
        <v/>
      </c>
      <c r="U778" s="4">
        <f>F778&amp;"-"&amp;G778&amp;"-"&amp;F778</f>
        <v/>
      </c>
      <c r="V778" s="4">
        <f>IF($M$778="","",$M$778)</f>
        <v/>
      </c>
      <c r="W778" s="4">
        <f>IF($O$778="","",$O$778)</f>
        <v/>
      </c>
      <c r="X778" s="4">
        <f>J778</f>
        <v/>
      </c>
    </row>
    <row r="779">
      <c r="B779" s="4" t="inlineStr">
        <is>
          <t>919_0</t>
        </is>
      </c>
      <c r="C779" s="4" t="inlineStr">
        <is>
          <t>10/09/2026</t>
        </is>
      </c>
      <c r="D779" s="4" t="inlineStr">
        <is>
          <t>jueves</t>
        </is>
      </c>
      <c r="E779" s="4" t="inlineStr">
        <is>
          <t>2313</t>
        </is>
      </c>
      <c r="F779" s="4" t="inlineStr">
        <is>
          <t>CIX</t>
        </is>
      </c>
      <c r="G779" s="4" t="inlineStr">
        <is>
          <t>LIM</t>
        </is>
      </c>
      <c r="H779" s="4" t="inlineStr">
        <is>
          <t>17:50:00</t>
        </is>
      </c>
      <c r="I779" s="4" t="inlineStr">
        <is>
          <t>19:10:00</t>
        </is>
      </c>
      <c r="J779" s="4" t="inlineStr">
        <is>
          <t>320</t>
        </is>
      </c>
      <c r="K779">
        <f>TEXT(TIMEVALUE(H779)-TIMEVALUE(I778)+(TIMEVALUE(H779)&lt;TIMEVALUE(I778)),"[h]:mm")</f>
        <v/>
      </c>
      <c r="L779" s="4" t="inlineStr">
        <is>
          <t>01:20:00</t>
        </is>
      </c>
      <c r="O779">
        <f>"LIM-"&amp;G778&amp;"-LIM   LA "&amp;E778&amp;" ("&amp;LEFT(H778,5)&amp;"-"&amp;LEFT(I778,5)&amp;" hrs)  /  LA "&amp;E779&amp;" ("&amp;LEFT(H779,5)&amp;"-"&amp;LEFT(I779,5)&amp;" hrs)"</f>
        <v/>
      </c>
    </row>
    <row r="780">
      <c r="J780" s="7" t="inlineStr">
        <is>
          <t>PSV total:</t>
        </is>
      </c>
      <c r="K780" s="8">
        <f>TEXT(TIMEVALUE(I779)-TIMEVALUE(H778)+(I779&lt;H778),"[h]:mm")</f>
        <v/>
      </c>
    </row>
    <row r="782">
      <c r="B782" s="3" t="inlineStr">
        <is>
          <t>Pairing ID</t>
        </is>
      </c>
      <c r="C782" s="3" t="inlineStr">
        <is>
          <t>FECHA REAL</t>
        </is>
      </c>
      <c r="D782" s="3" t="inlineStr">
        <is>
          <t>Day of Week</t>
        </is>
      </c>
      <c r="E782" s="3" t="inlineStr">
        <is>
          <t>Flight No</t>
        </is>
      </c>
      <c r="F782" s="3" t="inlineStr">
        <is>
          <t>Dep Stn</t>
        </is>
      </c>
      <c r="G782" s="3" t="inlineStr">
        <is>
          <t>Arr Stn</t>
        </is>
      </c>
      <c r="H782" s="3" t="inlineStr">
        <is>
          <t>STD</t>
        </is>
      </c>
      <c r="I782" s="3" t="inlineStr">
        <is>
          <t>STA</t>
        </is>
      </c>
      <c r="J782" s="3" t="inlineStr">
        <is>
          <t>subflota</t>
        </is>
      </c>
      <c r="K782" s="3" t="inlineStr">
        <is>
          <t>Conexion</t>
        </is>
      </c>
      <c r="L782" s="3" t="inlineStr">
        <is>
          <t>HBT</t>
        </is>
      </c>
    </row>
    <row r="783">
      <c r="B783" s="4" t="inlineStr">
        <is>
          <t>920_0</t>
        </is>
      </c>
      <c r="C783" s="4" t="inlineStr">
        <is>
          <t>10/09/2026</t>
        </is>
      </c>
      <c r="D783" s="4" t="inlineStr">
        <is>
          <t>jueves</t>
        </is>
      </c>
      <c r="E783" s="4" t="inlineStr">
        <is>
          <t>2301</t>
        </is>
      </c>
      <c r="F783" s="4" t="inlineStr">
        <is>
          <t>LIM</t>
        </is>
      </c>
      <c r="G783" s="4" t="inlineStr">
        <is>
          <t>TPP</t>
        </is>
      </c>
      <c r="H783" s="4" t="inlineStr">
        <is>
          <t>15:40:00</t>
        </is>
      </c>
      <c r="I783" s="4" t="inlineStr">
        <is>
          <t>17:05:00</t>
        </is>
      </c>
      <c r="J783" s="4" t="inlineStr">
        <is>
          <t>320</t>
        </is>
      </c>
      <c r="L783" s="4" t="inlineStr">
        <is>
          <t>01:25:00</t>
        </is>
      </c>
      <c r="M783" s="5" t="n"/>
      <c r="O783" s="5" t="n"/>
      <c r="Q783" s="4">
        <f>B783</f>
        <v/>
      </c>
      <c r="R783" s="4">
        <f>C783</f>
        <v/>
      </c>
      <c r="S783" s="4">
        <f>D783</f>
        <v/>
      </c>
      <c r="T783" s="4">
        <f>E783&amp;"/"&amp;E784</f>
        <v/>
      </c>
      <c r="U783" s="4">
        <f>F783&amp;"-"&amp;G783&amp;"-"&amp;F783</f>
        <v/>
      </c>
      <c r="V783" s="4">
        <f>IF($M$783="","",$M$783)</f>
        <v/>
      </c>
      <c r="W783" s="4">
        <f>IF($O$783="","",$O$783)</f>
        <v/>
      </c>
      <c r="X783" s="4">
        <f>J783</f>
        <v/>
      </c>
    </row>
    <row r="784">
      <c r="B784" s="4" t="inlineStr">
        <is>
          <t>920_0</t>
        </is>
      </c>
      <c r="C784" s="4" t="inlineStr">
        <is>
          <t>10/09/2026</t>
        </is>
      </c>
      <c r="D784" s="4" t="inlineStr">
        <is>
          <t>jueves</t>
        </is>
      </c>
      <c r="E784" s="4" t="inlineStr">
        <is>
          <t>2300</t>
        </is>
      </c>
      <c r="F784" s="4" t="inlineStr">
        <is>
          <t>TPP</t>
        </is>
      </c>
      <c r="G784" s="4" t="inlineStr">
        <is>
          <t>LIM</t>
        </is>
      </c>
      <c r="H784" s="4" t="inlineStr">
        <is>
          <t>17:50:00</t>
        </is>
      </c>
      <c r="I784" s="4" t="inlineStr">
        <is>
          <t>19:20:00</t>
        </is>
      </c>
      <c r="J784" s="4" t="inlineStr">
        <is>
          <t>320</t>
        </is>
      </c>
      <c r="K784">
        <f>TEXT(TIMEVALUE(H784)-TIMEVALUE(I783)+(TIMEVALUE(H784)&lt;TIMEVALUE(I783)),"[h]:mm")</f>
        <v/>
      </c>
      <c r="L784" s="4" t="inlineStr">
        <is>
          <t>01:30:00</t>
        </is>
      </c>
      <c r="O784">
        <f>"LIM-"&amp;G783&amp;"-LIM   LA "&amp;E783&amp;" ("&amp;LEFT(H783,5)&amp;"-"&amp;LEFT(I783,5)&amp;" hrs)  /  LA "&amp;E784&amp;" ("&amp;LEFT(H784,5)&amp;"-"&amp;LEFT(I784,5)&amp;" hrs)"</f>
        <v/>
      </c>
    </row>
    <row r="785">
      <c r="J785" s="7" t="inlineStr">
        <is>
          <t>PSV total:</t>
        </is>
      </c>
      <c r="K785" s="8">
        <f>TEXT(TIMEVALUE(I784)-TIMEVALUE(H783)+(I784&lt;H783),"[h]:mm")</f>
        <v/>
      </c>
    </row>
    <row r="787">
      <c r="B787" s="3" t="inlineStr">
        <is>
          <t>Pairing ID</t>
        </is>
      </c>
      <c r="C787" s="3" t="inlineStr">
        <is>
          <t>FECHA REAL</t>
        </is>
      </c>
      <c r="D787" s="3" t="inlineStr">
        <is>
          <t>Day of Week</t>
        </is>
      </c>
      <c r="E787" s="3" t="inlineStr">
        <is>
          <t>Flight No</t>
        </is>
      </c>
      <c r="F787" s="3" t="inlineStr">
        <is>
          <t>Dep Stn</t>
        </is>
      </c>
      <c r="G787" s="3" t="inlineStr">
        <is>
          <t>Arr Stn</t>
        </is>
      </c>
      <c r="H787" s="3" t="inlineStr">
        <is>
          <t>STD</t>
        </is>
      </c>
      <c r="I787" s="3" t="inlineStr">
        <is>
          <t>STA</t>
        </is>
      </c>
      <c r="J787" s="3" t="inlineStr">
        <is>
          <t>subflota</t>
        </is>
      </c>
      <c r="K787" s="3" t="inlineStr">
        <is>
          <t>Conexion</t>
        </is>
      </c>
      <c r="L787" s="3" t="inlineStr">
        <is>
          <t>HBT</t>
        </is>
      </c>
    </row>
    <row r="788">
      <c r="B788" s="4" t="inlineStr">
        <is>
          <t>923_0</t>
        </is>
      </c>
      <c r="C788" s="4" t="inlineStr">
        <is>
          <t>10/09/2026</t>
        </is>
      </c>
      <c r="D788" s="4" t="inlineStr">
        <is>
          <t>jueves</t>
        </is>
      </c>
      <c r="E788" s="4" t="inlineStr">
        <is>
          <t>2276</t>
        </is>
      </c>
      <c r="F788" s="4" t="inlineStr">
        <is>
          <t>LIM</t>
        </is>
      </c>
      <c r="G788" s="4" t="inlineStr">
        <is>
          <t>CUZ</t>
        </is>
      </c>
      <c r="H788" s="4" t="inlineStr">
        <is>
          <t>16:35:00</t>
        </is>
      </c>
      <c r="I788" s="4" t="inlineStr">
        <is>
          <t>17:55:00</t>
        </is>
      </c>
      <c r="J788" s="4" t="inlineStr">
        <is>
          <t>320</t>
        </is>
      </c>
      <c r="L788" s="4" t="inlineStr">
        <is>
          <t>01:20:00</t>
        </is>
      </c>
      <c r="M788" s="5" t="n"/>
      <c r="O788" s="5" t="n"/>
      <c r="Q788" s="4">
        <f>B788</f>
        <v/>
      </c>
      <c r="R788" s="4">
        <f>C788</f>
        <v/>
      </c>
      <c r="S788" s="4">
        <f>D788</f>
        <v/>
      </c>
      <c r="T788" s="4">
        <f>E788&amp;"/"&amp;E789</f>
        <v/>
      </c>
      <c r="U788" s="4">
        <f>F788&amp;"-"&amp;G788&amp;"-"&amp;F788</f>
        <v/>
      </c>
      <c r="V788" s="4">
        <f>IF($M$788="","",$M$788)</f>
        <v/>
      </c>
      <c r="W788" s="4">
        <f>IF($O$788="","",$O$788)</f>
        <v/>
      </c>
      <c r="X788" s="4">
        <f>J788</f>
        <v/>
      </c>
    </row>
    <row r="789">
      <c r="B789" s="4" t="inlineStr">
        <is>
          <t>923_0</t>
        </is>
      </c>
      <c r="C789" s="4" t="inlineStr">
        <is>
          <t>10/09/2026</t>
        </is>
      </c>
      <c r="D789" s="4" t="inlineStr">
        <is>
          <t>jueves</t>
        </is>
      </c>
      <c r="E789" s="4" t="inlineStr">
        <is>
          <t>2277</t>
        </is>
      </c>
      <c r="F789" s="4" t="inlineStr">
        <is>
          <t>CUZ</t>
        </is>
      </c>
      <c r="G789" s="4" t="inlineStr">
        <is>
          <t>LIM</t>
        </is>
      </c>
      <c r="H789" s="4" t="inlineStr">
        <is>
          <t>18:50:00</t>
        </is>
      </c>
      <c r="I789" s="4" t="inlineStr">
        <is>
          <t>20:25:00</t>
        </is>
      </c>
      <c r="J789" s="4" t="inlineStr">
        <is>
          <t>320</t>
        </is>
      </c>
      <c r="K789">
        <f>TEXT(TIMEVALUE(H789)-TIMEVALUE(I788)+(TIMEVALUE(H789)&lt;TIMEVALUE(I788)),"[h]:mm")</f>
        <v/>
      </c>
      <c r="L789" s="4" t="inlineStr">
        <is>
          <t>01:35:00</t>
        </is>
      </c>
      <c r="O789">
        <f>"LIM-"&amp;G788&amp;"-LIM   LA "&amp;E788&amp;" ("&amp;LEFT(H788,5)&amp;"-"&amp;LEFT(I788,5)&amp;" hrs)  /  LA "&amp;E789&amp;" ("&amp;LEFT(H789,5)&amp;"-"&amp;LEFT(I789,5)&amp;" hrs)"</f>
        <v/>
      </c>
    </row>
    <row r="790">
      <c r="J790" s="7" t="inlineStr">
        <is>
          <t>PSV total:</t>
        </is>
      </c>
      <c r="K790" s="8">
        <f>TEXT(TIMEVALUE(I789)-TIMEVALUE(H788)+(I789&lt;H788),"[h]:mm")</f>
        <v/>
      </c>
    </row>
    <row r="792">
      <c r="B792" s="3" t="inlineStr">
        <is>
          <t>Pairing ID</t>
        </is>
      </c>
      <c r="C792" s="3" t="inlineStr">
        <is>
          <t>FECHA REAL</t>
        </is>
      </c>
      <c r="D792" s="3" t="inlineStr">
        <is>
          <t>Day of Week</t>
        </is>
      </c>
      <c r="E792" s="3" t="inlineStr">
        <is>
          <t>Flight No</t>
        </is>
      </c>
      <c r="F792" s="3" t="inlineStr">
        <is>
          <t>Dep Stn</t>
        </is>
      </c>
      <c r="G792" s="3" t="inlineStr">
        <is>
          <t>Arr Stn</t>
        </is>
      </c>
      <c r="H792" s="3" t="inlineStr">
        <is>
          <t>STD</t>
        </is>
      </c>
      <c r="I792" s="3" t="inlineStr">
        <is>
          <t>STA</t>
        </is>
      </c>
      <c r="J792" s="3" t="inlineStr">
        <is>
          <t>subflota</t>
        </is>
      </c>
      <c r="K792" s="3" t="inlineStr">
        <is>
          <t>Conexion</t>
        </is>
      </c>
      <c r="L792" s="3" t="inlineStr">
        <is>
          <t>HBT</t>
        </is>
      </c>
    </row>
    <row r="793">
      <c r="B793" s="4" t="inlineStr">
        <is>
          <t>966_0</t>
        </is>
      </c>
      <c r="C793" s="4" t="inlineStr">
        <is>
          <t>11/09/2026</t>
        </is>
      </c>
      <c r="D793" s="4" t="inlineStr">
        <is>
          <t>viernes</t>
        </is>
      </c>
      <c r="E793" s="4" t="inlineStr">
        <is>
          <t>2013</t>
        </is>
      </c>
      <c r="F793" s="4" t="inlineStr">
        <is>
          <t>LIM</t>
        </is>
      </c>
      <c r="G793" s="4" t="inlineStr">
        <is>
          <t>CUZ</t>
        </is>
      </c>
      <c r="H793" s="4" t="inlineStr">
        <is>
          <t>08:35:00</t>
        </is>
      </c>
      <c r="I793" s="4" t="inlineStr">
        <is>
          <t>09:55:00</t>
        </is>
      </c>
      <c r="J793" s="4" t="inlineStr">
        <is>
          <t>319</t>
        </is>
      </c>
      <c r="L793" s="4" t="inlineStr">
        <is>
          <t>01:20:00</t>
        </is>
      </c>
      <c r="M793" s="5" t="n"/>
      <c r="O793" s="5" t="n"/>
      <c r="Q793" s="4">
        <f>B793</f>
        <v/>
      </c>
      <c r="R793" s="4">
        <f>C793</f>
        <v/>
      </c>
      <c r="S793" s="4">
        <f>D793</f>
        <v/>
      </c>
      <c r="T793" s="4">
        <f>E793&amp;"/"&amp;E794</f>
        <v/>
      </c>
      <c r="U793" s="4">
        <f>F793&amp;"-"&amp;G793&amp;"-"&amp;F793</f>
        <v/>
      </c>
      <c r="V793" s="4">
        <f>IF($M$793="","",$M$793)</f>
        <v/>
      </c>
      <c r="W793" s="4">
        <f>IF($O$793="","",$O$793)</f>
        <v/>
      </c>
      <c r="X793" s="4">
        <f>J793</f>
        <v/>
      </c>
    </row>
    <row r="794">
      <c r="B794" s="4" t="inlineStr">
        <is>
          <t>966_0</t>
        </is>
      </c>
      <c r="C794" s="4" t="inlineStr">
        <is>
          <t>11/09/2026</t>
        </is>
      </c>
      <c r="D794" s="4" t="inlineStr">
        <is>
          <t>viernes</t>
        </is>
      </c>
      <c r="E794" s="4" t="inlineStr">
        <is>
          <t>2014</t>
        </is>
      </c>
      <c r="F794" s="4" t="inlineStr">
        <is>
          <t>CUZ</t>
        </is>
      </c>
      <c r="G794" s="4" t="inlineStr">
        <is>
          <t>LIM</t>
        </is>
      </c>
      <c r="H794" s="4" t="inlineStr">
        <is>
          <t>10:40:00</t>
        </is>
      </c>
      <c r="I794" s="4" t="inlineStr">
        <is>
          <t>12:15:00</t>
        </is>
      </c>
      <c r="J794" s="4" t="inlineStr">
        <is>
          <t>319</t>
        </is>
      </c>
      <c r="K794">
        <f>TEXT(TIMEVALUE(H794)-TIMEVALUE(I793)+(TIMEVALUE(H794)&lt;TIMEVALUE(I793)),"[h]:mm")</f>
        <v/>
      </c>
      <c r="L794" s="4" t="inlineStr">
        <is>
          <t>01:35:00</t>
        </is>
      </c>
      <c r="O794">
        <f>"LIM-"&amp;G793&amp;"-LIM   LA "&amp;E793&amp;" ("&amp;LEFT(H793,5)&amp;"-"&amp;LEFT(I793,5)&amp;" hrs)  /  LA "&amp;E794&amp;" ("&amp;LEFT(H794,5)&amp;"-"&amp;LEFT(I794,5)&amp;" hrs)"</f>
        <v/>
      </c>
    </row>
    <row r="795">
      <c r="J795" s="7" t="inlineStr">
        <is>
          <t>PSV total:</t>
        </is>
      </c>
      <c r="K795" s="8">
        <f>TEXT(TIMEVALUE(I794)-TIMEVALUE(H793)+(I794&lt;H793),"[h]:mm")</f>
        <v/>
      </c>
    </row>
    <row r="797">
      <c r="B797" s="3" t="inlineStr">
        <is>
          <t>Pairing ID</t>
        </is>
      </c>
      <c r="C797" s="3" t="inlineStr">
        <is>
          <t>FECHA REAL</t>
        </is>
      </c>
      <c r="D797" s="3" t="inlineStr">
        <is>
          <t>Day of Week</t>
        </is>
      </c>
      <c r="E797" s="3" t="inlineStr">
        <is>
          <t>Flight No</t>
        </is>
      </c>
      <c r="F797" s="3" t="inlineStr">
        <is>
          <t>Dep Stn</t>
        </is>
      </c>
      <c r="G797" s="3" t="inlineStr">
        <is>
          <t>Arr Stn</t>
        </is>
      </c>
      <c r="H797" s="3" t="inlineStr">
        <is>
          <t>STD</t>
        </is>
      </c>
      <c r="I797" s="3" t="inlineStr">
        <is>
          <t>STA</t>
        </is>
      </c>
      <c r="J797" s="3" t="inlineStr">
        <is>
          <t>subflota</t>
        </is>
      </c>
      <c r="K797" s="3" t="inlineStr">
        <is>
          <t>Conexion</t>
        </is>
      </c>
      <c r="L797" s="3" t="inlineStr">
        <is>
          <t>HBT</t>
        </is>
      </c>
    </row>
    <row r="798">
      <c r="B798" s="4" t="inlineStr">
        <is>
          <t>973_0</t>
        </is>
      </c>
      <c r="C798" s="4" t="inlineStr">
        <is>
          <t>11/09/2026</t>
        </is>
      </c>
      <c r="D798" s="4" t="inlineStr">
        <is>
          <t>viernes</t>
        </is>
      </c>
      <c r="E798" s="4" t="inlineStr">
        <is>
          <t>2071</t>
        </is>
      </c>
      <c r="F798" s="4" t="inlineStr">
        <is>
          <t>LIM</t>
        </is>
      </c>
      <c r="G798" s="4" t="inlineStr">
        <is>
          <t>TCQ</t>
        </is>
      </c>
      <c r="H798" s="4" t="inlineStr">
        <is>
          <t>10:30:00</t>
        </is>
      </c>
      <c r="I798" s="4" t="inlineStr">
        <is>
          <t>12:25:00</t>
        </is>
      </c>
      <c r="J798" s="4" t="inlineStr">
        <is>
          <t>320</t>
        </is>
      </c>
      <c r="L798" s="4" t="inlineStr">
        <is>
          <t>01:55:00</t>
        </is>
      </c>
      <c r="M798" s="5" t="n"/>
      <c r="O798" s="5" t="n"/>
      <c r="Q798" s="4">
        <f>B798</f>
        <v/>
      </c>
      <c r="R798" s="4">
        <f>C798</f>
        <v/>
      </c>
      <c r="S798" s="4">
        <f>D798</f>
        <v/>
      </c>
      <c r="T798" s="4">
        <f>E798&amp;"/"&amp;E799</f>
        <v/>
      </c>
      <c r="U798" s="4">
        <f>F798&amp;"-"&amp;G798&amp;"-"&amp;F798</f>
        <v/>
      </c>
      <c r="V798" s="4">
        <f>IF($M$798="","",$M$798)</f>
        <v/>
      </c>
      <c r="W798" s="4">
        <f>IF($O$798="","",$O$798)</f>
        <v/>
      </c>
      <c r="X798" s="4">
        <f>J798</f>
        <v/>
      </c>
    </row>
    <row r="799">
      <c r="B799" s="4" t="inlineStr">
        <is>
          <t>973_0</t>
        </is>
      </c>
      <c r="C799" s="4" t="inlineStr">
        <is>
          <t>11/09/2026</t>
        </is>
      </c>
      <c r="D799" s="4" t="inlineStr">
        <is>
          <t>viernes</t>
        </is>
      </c>
      <c r="E799" s="4" t="inlineStr">
        <is>
          <t>2072</t>
        </is>
      </c>
      <c r="F799" s="4" t="inlineStr">
        <is>
          <t>TCQ</t>
        </is>
      </c>
      <c r="G799" s="4" t="inlineStr">
        <is>
          <t>LIM</t>
        </is>
      </c>
      <c r="H799" s="4" t="inlineStr">
        <is>
          <t>13:00:00</t>
        </is>
      </c>
      <c r="I799" s="4" t="inlineStr">
        <is>
          <t>14:55:00</t>
        </is>
      </c>
      <c r="J799" s="4" t="inlineStr">
        <is>
          <t>320</t>
        </is>
      </c>
      <c r="K799">
        <f>TEXT(TIMEVALUE(H799)-TIMEVALUE(I798)+(TIMEVALUE(H799)&lt;TIMEVALUE(I798)),"[h]:mm")</f>
        <v/>
      </c>
      <c r="L799" s="4" t="inlineStr">
        <is>
          <t>01:55:00</t>
        </is>
      </c>
      <c r="O799">
        <f>"LIM-"&amp;G798&amp;"-LIM   LA "&amp;E798&amp;" ("&amp;LEFT(H798,5)&amp;"-"&amp;LEFT(I798,5)&amp;" hrs)  /  LA "&amp;E799&amp;" ("&amp;LEFT(H799,5)&amp;"-"&amp;LEFT(I799,5)&amp;" hrs)"</f>
        <v/>
      </c>
    </row>
    <row r="800">
      <c r="B800" s="4" t="inlineStr">
        <is>
          <t>1005_0</t>
        </is>
      </c>
      <c r="C800" s="4" t="inlineStr">
        <is>
          <t>11/09/2026</t>
        </is>
      </c>
      <c r="D800" s="4" t="inlineStr">
        <is>
          <t>viernes</t>
        </is>
      </c>
      <c r="E800" s="4" t="inlineStr">
        <is>
          <t>2127</t>
        </is>
      </c>
      <c r="F800" s="4" t="inlineStr">
        <is>
          <t>LIM</t>
        </is>
      </c>
      <c r="G800" s="4" t="inlineStr">
        <is>
          <t>CUZ</t>
        </is>
      </c>
      <c r="H800" s="4" t="inlineStr">
        <is>
          <t>16:10:00</t>
        </is>
      </c>
      <c r="I800" s="4" t="inlineStr">
        <is>
          <t>17:30:00</t>
        </is>
      </c>
      <c r="J800" s="4" t="inlineStr">
        <is>
          <t>320</t>
        </is>
      </c>
      <c r="K800" s="6">
        <f>TEXT(TIMEVALUE(H800)-TIMEVALUE(I799)+(TIMEVALUE(H800)&lt;TIMEVALUE(I799)),"[h]:mm")</f>
        <v/>
      </c>
      <c r="L800" s="4" t="inlineStr">
        <is>
          <t>01:20:00</t>
        </is>
      </c>
      <c r="M800">
        <f>IF($M$798="","",$M$798)</f>
        <v/>
      </c>
      <c r="O800">
        <f>IF($O$798="","",$O$798)</f>
        <v/>
      </c>
      <c r="Q800" s="4">
        <f>B800</f>
        <v/>
      </c>
      <c r="R800" s="4">
        <f>C800</f>
        <v/>
      </c>
      <c r="S800" s="4">
        <f>D800</f>
        <v/>
      </c>
      <c r="T800" s="4">
        <f>E800&amp;"/"&amp;E801</f>
        <v/>
      </c>
      <c r="U800" s="4">
        <f>F800&amp;"-"&amp;G800&amp;"-"&amp;F800</f>
        <v/>
      </c>
      <c r="V800" s="4">
        <f>IF($M$798="","",$M$798)</f>
        <v/>
      </c>
      <c r="W800" s="4">
        <f>IF($O$798="","",$O$798)</f>
        <v/>
      </c>
      <c r="X800" s="4">
        <f>J800</f>
        <v/>
      </c>
    </row>
    <row r="801">
      <c r="B801" s="4" t="inlineStr">
        <is>
          <t>1005_0</t>
        </is>
      </c>
      <c r="C801" s="4" t="inlineStr">
        <is>
          <t>11/09/2026</t>
        </is>
      </c>
      <c r="D801" s="4" t="inlineStr">
        <is>
          <t>viernes</t>
        </is>
      </c>
      <c r="E801" s="4" t="inlineStr">
        <is>
          <t>2026</t>
        </is>
      </c>
      <c r="F801" s="4" t="inlineStr">
        <is>
          <t>CUZ</t>
        </is>
      </c>
      <c r="G801" s="4" t="inlineStr">
        <is>
          <t>LIM</t>
        </is>
      </c>
      <c r="H801" s="4" t="inlineStr">
        <is>
          <t>18:10:00</t>
        </is>
      </c>
      <c r="I801" s="4" t="inlineStr">
        <is>
          <t>19:50:00</t>
        </is>
      </c>
      <c r="J801" s="4" t="inlineStr">
        <is>
          <t>320</t>
        </is>
      </c>
      <c r="K801">
        <f>TEXT(TIMEVALUE(H801)-TIMEVALUE(I800)+(TIMEVALUE(H801)&lt;TIMEVALUE(I800)),"[h]:mm")</f>
        <v/>
      </c>
      <c r="L801" s="4" t="inlineStr">
        <is>
          <t>01:40:00</t>
        </is>
      </c>
      <c r="O801">
        <f>"LIM-"&amp;G800&amp;"-LIM   LA "&amp;E800&amp;" ("&amp;LEFT(H800,5)&amp;"-"&amp;LEFT(I800,5)&amp;" hrs)  /  LA "&amp;E801&amp;" ("&amp;LEFT(H801,5)&amp;"-"&amp;LEFT(I801,5)&amp;" hrs)"</f>
        <v/>
      </c>
    </row>
    <row r="802">
      <c r="J802" s="7" t="inlineStr">
        <is>
          <t>PSV total:</t>
        </is>
      </c>
      <c r="K802" s="8">
        <f>TEXT(TIMEVALUE(I801)-TIMEVALUE(H798)+(I801&lt;H798),"[h]:mm")</f>
        <v/>
      </c>
    </row>
    <row r="804">
      <c r="B804" s="3" t="inlineStr">
        <is>
          <t>Pairing ID</t>
        </is>
      </c>
      <c r="C804" s="3" t="inlineStr">
        <is>
          <t>FECHA REAL</t>
        </is>
      </c>
      <c r="D804" s="3" t="inlineStr">
        <is>
          <t>Day of Week</t>
        </is>
      </c>
      <c r="E804" s="3" t="inlineStr">
        <is>
          <t>Flight No</t>
        </is>
      </c>
      <c r="F804" s="3" t="inlineStr">
        <is>
          <t>Dep Stn</t>
        </is>
      </c>
      <c r="G804" s="3" t="inlineStr">
        <is>
          <t>Arr Stn</t>
        </is>
      </c>
      <c r="H804" s="3" t="inlineStr">
        <is>
          <t>STD</t>
        </is>
      </c>
      <c r="I804" s="3" t="inlineStr">
        <is>
          <t>STA</t>
        </is>
      </c>
      <c r="J804" s="3" t="inlineStr">
        <is>
          <t>subflota</t>
        </is>
      </c>
      <c r="K804" s="3" t="inlineStr">
        <is>
          <t>Conexion</t>
        </is>
      </c>
      <c r="L804" s="3" t="inlineStr">
        <is>
          <t>HBT</t>
        </is>
      </c>
    </row>
    <row r="805">
      <c r="B805" s="4" t="inlineStr">
        <is>
          <t>979_0</t>
        </is>
      </c>
      <c r="C805" s="4" t="inlineStr">
        <is>
          <t>11/09/2026</t>
        </is>
      </c>
      <c r="D805" s="4" t="inlineStr">
        <is>
          <t>viernes</t>
        </is>
      </c>
      <c r="E805" s="4" t="inlineStr">
        <is>
          <t>2356</t>
        </is>
      </c>
      <c r="F805" s="4" t="inlineStr">
        <is>
          <t>LIM</t>
        </is>
      </c>
      <c r="G805" s="4" t="inlineStr">
        <is>
          <t>CUZ</t>
        </is>
      </c>
      <c r="H805" s="4" t="inlineStr">
        <is>
          <t>12:10:00</t>
        </is>
      </c>
      <c r="I805" s="4" t="inlineStr">
        <is>
          <t>13:35:00</t>
        </is>
      </c>
      <c r="J805" s="4" t="inlineStr">
        <is>
          <t>320</t>
        </is>
      </c>
      <c r="L805" s="4" t="inlineStr">
        <is>
          <t>01:25:00</t>
        </is>
      </c>
      <c r="M805" s="5" t="n"/>
      <c r="O805" s="5" t="n"/>
      <c r="Q805" s="4">
        <f>B805</f>
        <v/>
      </c>
      <c r="R805" s="4">
        <f>C805</f>
        <v/>
      </c>
      <c r="S805" s="4">
        <f>D805</f>
        <v/>
      </c>
      <c r="T805" s="4">
        <f>E805&amp;"/"&amp;E806</f>
        <v/>
      </c>
      <c r="U805" s="4">
        <f>F805&amp;"-"&amp;G805&amp;"-"&amp;F805</f>
        <v/>
      </c>
      <c r="V805" s="4">
        <f>IF($M$805="","",$M$805)</f>
        <v/>
      </c>
      <c r="W805" s="4">
        <f>IF($O$805="","",$O$805)</f>
        <v/>
      </c>
      <c r="X805" s="4">
        <f>J805</f>
        <v/>
      </c>
    </row>
    <row r="806">
      <c r="B806" s="4" t="inlineStr">
        <is>
          <t>979_0</t>
        </is>
      </c>
      <c r="C806" s="4" t="inlineStr">
        <is>
          <t>11/09/2026</t>
        </is>
      </c>
      <c r="D806" s="4" t="inlineStr">
        <is>
          <t>viernes</t>
        </is>
      </c>
      <c r="E806" s="4" t="inlineStr">
        <is>
          <t>2357</t>
        </is>
      </c>
      <c r="F806" s="4" t="inlineStr">
        <is>
          <t>CUZ</t>
        </is>
      </c>
      <c r="G806" s="4" t="inlineStr">
        <is>
          <t>LIM</t>
        </is>
      </c>
      <c r="H806" s="4" t="inlineStr">
        <is>
          <t>14:15:00</t>
        </is>
      </c>
      <c r="I806" s="4" t="inlineStr">
        <is>
          <t>15:50:00</t>
        </is>
      </c>
      <c r="J806" s="4" t="inlineStr">
        <is>
          <t>320</t>
        </is>
      </c>
      <c r="K806">
        <f>TEXT(TIMEVALUE(H806)-TIMEVALUE(I805)+(TIMEVALUE(H806)&lt;TIMEVALUE(I805)),"[h]:mm")</f>
        <v/>
      </c>
      <c r="L806" s="4" t="inlineStr">
        <is>
          <t>01:35:00</t>
        </is>
      </c>
      <c r="O806">
        <f>"LIM-"&amp;G805&amp;"-LIM   LA "&amp;E805&amp;" ("&amp;LEFT(H805,5)&amp;"-"&amp;LEFT(I805,5)&amp;" hrs)  /  LA "&amp;E806&amp;" ("&amp;LEFT(H806,5)&amp;"-"&amp;LEFT(I806,5)&amp;" hrs)"</f>
        <v/>
      </c>
    </row>
    <row r="807">
      <c r="J807" s="7" t="inlineStr">
        <is>
          <t>PSV total:</t>
        </is>
      </c>
      <c r="K807" s="8">
        <f>TEXT(TIMEVALUE(I806)-TIMEVALUE(H805)+(I806&lt;H805),"[h]:mm")</f>
        <v/>
      </c>
    </row>
    <row r="809">
      <c r="B809" s="3" t="inlineStr">
        <is>
          <t>Pairing ID</t>
        </is>
      </c>
      <c r="C809" s="3" t="inlineStr">
        <is>
          <t>FECHA REAL</t>
        </is>
      </c>
      <c r="D809" s="3" t="inlineStr">
        <is>
          <t>Day of Week</t>
        </is>
      </c>
      <c r="E809" s="3" t="inlineStr">
        <is>
          <t>Flight No</t>
        </is>
      </c>
      <c r="F809" s="3" t="inlineStr">
        <is>
          <t>Dep Stn</t>
        </is>
      </c>
      <c r="G809" s="3" t="inlineStr">
        <is>
          <t>Arr Stn</t>
        </is>
      </c>
      <c r="H809" s="3" t="inlineStr">
        <is>
          <t>STD</t>
        </is>
      </c>
      <c r="I809" s="3" t="inlineStr">
        <is>
          <t>STA</t>
        </is>
      </c>
      <c r="J809" s="3" t="inlineStr">
        <is>
          <t>subflota</t>
        </is>
      </c>
      <c r="K809" s="3" t="inlineStr">
        <is>
          <t>Conexion</t>
        </is>
      </c>
      <c r="L809" s="3" t="inlineStr">
        <is>
          <t>HBT</t>
        </is>
      </c>
    </row>
    <row r="810">
      <c r="B810" s="4" t="inlineStr">
        <is>
          <t>980_0</t>
        </is>
      </c>
      <c r="C810" s="4" t="inlineStr">
        <is>
          <t>11/09/2026</t>
        </is>
      </c>
      <c r="D810" s="4" t="inlineStr">
        <is>
          <t>viernes</t>
        </is>
      </c>
      <c r="E810" s="4" t="inlineStr">
        <is>
          <t>2356</t>
        </is>
      </c>
      <c r="F810" s="4" t="inlineStr">
        <is>
          <t>LIM</t>
        </is>
      </c>
      <c r="G810" s="4" t="inlineStr">
        <is>
          <t>CUZ</t>
        </is>
      </c>
      <c r="H810" s="4" t="inlineStr">
        <is>
          <t>12:10:00</t>
        </is>
      </c>
      <c r="I810" s="4" t="inlineStr">
        <is>
          <t>13:35:00</t>
        </is>
      </c>
      <c r="J810" s="4" t="inlineStr">
        <is>
          <t>320</t>
        </is>
      </c>
      <c r="L810" s="4" t="inlineStr">
        <is>
          <t>01:25:00</t>
        </is>
      </c>
      <c r="M810" s="5" t="n"/>
      <c r="O810" s="5" t="n"/>
      <c r="Q810" s="4">
        <f>B810</f>
        <v/>
      </c>
      <c r="R810" s="4">
        <f>C810</f>
        <v/>
      </c>
      <c r="S810" s="4">
        <f>D810</f>
        <v/>
      </c>
      <c r="T810" s="4">
        <f>E810&amp;"/"&amp;E811</f>
        <v/>
      </c>
      <c r="U810" s="4">
        <f>F810&amp;"-"&amp;G810&amp;"-"&amp;F810</f>
        <v/>
      </c>
      <c r="V810" s="4">
        <f>IF($M$810="","",$M$810)</f>
        <v/>
      </c>
      <c r="W810" s="4">
        <f>IF($O$810="","",$O$810)</f>
        <v/>
      </c>
      <c r="X810" s="4">
        <f>J810</f>
        <v/>
      </c>
    </row>
    <row r="811">
      <c r="B811" s="4" t="inlineStr">
        <is>
          <t>980_0</t>
        </is>
      </c>
      <c r="C811" s="4" t="inlineStr">
        <is>
          <t>11/09/2026</t>
        </is>
      </c>
      <c r="D811" s="4" t="inlineStr">
        <is>
          <t>viernes</t>
        </is>
      </c>
      <c r="E811" s="4" t="inlineStr">
        <is>
          <t>2357</t>
        </is>
      </c>
      <c r="F811" s="4" t="inlineStr">
        <is>
          <t>CUZ</t>
        </is>
      </c>
      <c r="G811" s="4" t="inlineStr">
        <is>
          <t>LIM</t>
        </is>
      </c>
      <c r="H811" s="4" t="inlineStr">
        <is>
          <t>14:15:00</t>
        </is>
      </c>
      <c r="I811" s="4" t="inlineStr">
        <is>
          <t>15:50:00</t>
        </is>
      </c>
      <c r="J811" s="4" t="inlineStr">
        <is>
          <t>320</t>
        </is>
      </c>
      <c r="K811">
        <f>TEXT(TIMEVALUE(H811)-TIMEVALUE(I810)+(TIMEVALUE(H811)&lt;TIMEVALUE(I810)),"[h]:mm")</f>
        <v/>
      </c>
      <c r="L811" s="4" t="inlineStr">
        <is>
          <t>01:35:00</t>
        </is>
      </c>
      <c r="O811">
        <f>"LIM-"&amp;G810&amp;"-LIM   LA "&amp;E810&amp;" ("&amp;LEFT(H810,5)&amp;"-"&amp;LEFT(I810,5)&amp;" hrs)  /  LA "&amp;E811&amp;" ("&amp;LEFT(H811,5)&amp;"-"&amp;LEFT(I811,5)&amp;" hrs)"</f>
        <v/>
      </c>
    </row>
    <row r="812">
      <c r="J812" s="7" t="inlineStr">
        <is>
          <t>PSV total:</t>
        </is>
      </c>
      <c r="K812" s="8">
        <f>TEXT(TIMEVALUE(I811)-TIMEVALUE(H810)+(I811&lt;H810),"[h]:mm")</f>
        <v/>
      </c>
    </row>
    <row r="814">
      <c r="B814" s="3" t="inlineStr">
        <is>
          <t>Pairing ID</t>
        </is>
      </c>
      <c r="C814" s="3" t="inlineStr">
        <is>
          <t>FECHA REAL</t>
        </is>
      </c>
      <c r="D814" s="3" t="inlineStr">
        <is>
          <t>Day of Week</t>
        </is>
      </c>
      <c r="E814" s="3" t="inlineStr">
        <is>
          <t>Flight No</t>
        </is>
      </c>
      <c r="F814" s="3" t="inlineStr">
        <is>
          <t>Dep Stn</t>
        </is>
      </c>
      <c r="G814" s="3" t="inlineStr">
        <is>
          <t>Arr Stn</t>
        </is>
      </c>
      <c r="H814" s="3" t="inlineStr">
        <is>
          <t>STD</t>
        </is>
      </c>
      <c r="I814" s="3" t="inlineStr">
        <is>
          <t>STA</t>
        </is>
      </c>
      <c r="J814" s="3" t="inlineStr">
        <is>
          <t>subflota</t>
        </is>
      </c>
      <c r="K814" s="3" t="inlineStr">
        <is>
          <t>Conexion</t>
        </is>
      </c>
      <c r="L814" s="3" t="inlineStr">
        <is>
          <t>HBT</t>
        </is>
      </c>
    </row>
    <row r="815">
      <c r="B815" s="4" t="inlineStr">
        <is>
          <t>989_0</t>
        </is>
      </c>
      <c r="C815" s="4" t="inlineStr">
        <is>
          <t>11/09/2026</t>
        </is>
      </c>
      <c r="D815" s="4" t="inlineStr">
        <is>
          <t>viernes</t>
        </is>
      </c>
      <c r="E815" s="4" t="inlineStr">
        <is>
          <t>2067</t>
        </is>
      </c>
      <c r="F815" s="4" t="inlineStr">
        <is>
          <t>LIM</t>
        </is>
      </c>
      <c r="G815" s="4" t="inlineStr">
        <is>
          <t>TCQ</t>
        </is>
      </c>
      <c r="H815" s="4" t="inlineStr">
        <is>
          <t>13:45:00</t>
        </is>
      </c>
      <c r="I815" s="4" t="inlineStr">
        <is>
          <t>15:35:00</t>
        </is>
      </c>
      <c r="J815" s="4" t="inlineStr">
        <is>
          <t>320</t>
        </is>
      </c>
      <c r="L815" s="4" t="inlineStr">
        <is>
          <t>01:50:00</t>
        </is>
      </c>
      <c r="M815" s="5" t="n"/>
      <c r="O815" s="5" t="n"/>
      <c r="Q815" s="4">
        <f>B815</f>
        <v/>
      </c>
      <c r="R815" s="4">
        <f>C815</f>
        <v/>
      </c>
      <c r="S815" s="4">
        <f>D815</f>
        <v/>
      </c>
      <c r="T815" s="4">
        <f>E815&amp;"/"&amp;E816</f>
        <v/>
      </c>
      <c r="U815" s="4">
        <f>F815&amp;"-"&amp;G815&amp;"-"&amp;F815</f>
        <v/>
      </c>
      <c r="V815" s="4">
        <f>IF($M$815="","",$M$815)</f>
        <v/>
      </c>
      <c r="W815" s="4">
        <f>IF($O$815="","",$O$815)</f>
        <v/>
      </c>
      <c r="X815" s="4">
        <f>J815</f>
        <v/>
      </c>
    </row>
    <row r="816">
      <c r="B816" s="4" t="inlineStr">
        <is>
          <t>989_0</t>
        </is>
      </c>
      <c r="C816" s="4" t="inlineStr">
        <is>
          <t>11/09/2026</t>
        </is>
      </c>
      <c r="D816" s="4" t="inlineStr">
        <is>
          <t>viernes</t>
        </is>
      </c>
      <c r="E816" s="4" t="inlineStr">
        <is>
          <t>2068</t>
        </is>
      </c>
      <c r="F816" s="4" t="inlineStr">
        <is>
          <t>TCQ</t>
        </is>
      </c>
      <c r="G816" s="4" t="inlineStr">
        <is>
          <t>LIM</t>
        </is>
      </c>
      <c r="H816" s="4" t="inlineStr">
        <is>
          <t>16:20:00</t>
        </is>
      </c>
      <c r="I816" s="4" t="inlineStr">
        <is>
          <t>18:15:00</t>
        </is>
      </c>
      <c r="J816" s="4" t="inlineStr">
        <is>
          <t>320</t>
        </is>
      </c>
      <c r="K816">
        <f>TEXT(TIMEVALUE(H816)-TIMEVALUE(I815)+(TIMEVALUE(H816)&lt;TIMEVALUE(I815)),"[h]:mm")</f>
        <v/>
      </c>
      <c r="L816" s="4" t="inlineStr">
        <is>
          <t>01:55:00</t>
        </is>
      </c>
      <c r="O816">
        <f>"LIM-"&amp;G815&amp;"-LIM   LA "&amp;E815&amp;" ("&amp;LEFT(H815,5)&amp;"-"&amp;LEFT(I815,5)&amp;" hrs)  /  LA "&amp;E816&amp;" ("&amp;LEFT(H816,5)&amp;"-"&amp;LEFT(I816,5)&amp;" hrs)"</f>
        <v/>
      </c>
    </row>
    <row r="817">
      <c r="J817" s="7" t="inlineStr">
        <is>
          <t>PSV total:</t>
        </is>
      </c>
      <c r="K817" s="8">
        <f>TEXT(TIMEVALUE(I816)-TIMEVALUE(H815)+(I816&lt;H815),"[h]:mm")</f>
        <v/>
      </c>
    </row>
    <row r="819">
      <c r="B819" s="3" t="inlineStr">
        <is>
          <t>Pairing ID</t>
        </is>
      </c>
      <c r="C819" s="3" t="inlineStr">
        <is>
          <t>FECHA REAL</t>
        </is>
      </c>
      <c r="D819" s="3" t="inlineStr">
        <is>
          <t>Day of Week</t>
        </is>
      </c>
      <c r="E819" s="3" t="inlineStr">
        <is>
          <t>Flight No</t>
        </is>
      </c>
      <c r="F819" s="3" t="inlineStr">
        <is>
          <t>Dep Stn</t>
        </is>
      </c>
      <c r="G819" s="3" t="inlineStr">
        <is>
          <t>Arr Stn</t>
        </is>
      </c>
      <c r="H819" s="3" t="inlineStr">
        <is>
          <t>STD</t>
        </is>
      </c>
      <c r="I819" s="3" t="inlineStr">
        <is>
          <t>STA</t>
        </is>
      </c>
      <c r="J819" s="3" t="inlineStr">
        <is>
          <t>subflota</t>
        </is>
      </c>
      <c r="K819" s="3" t="inlineStr">
        <is>
          <t>Conexion</t>
        </is>
      </c>
      <c r="L819" s="3" t="inlineStr">
        <is>
          <t>HBT</t>
        </is>
      </c>
    </row>
    <row r="820">
      <c r="B820" s="4" t="inlineStr">
        <is>
          <t>991_0</t>
        </is>
      </c>
      <c r="C820" s="4" t="inlineStr">
        <is>
          <t>11/09/2026</t>
        </is>
      </c>
      <c r="D820" s="4" t="inlineStr">
        <is>
          <t>viernes</t>
        </is>
      </c>
      <c r="E820" s="4" t="inlineStr">
        <is>
          <t>2087</t>
        </is>
      </c>
      <c r="F820" s="4" t="inlineStr">
        <is>
          <t>LIM</t>
        </is>
      </c>
      <c r="G820" s="4" t="inlineStr">
        <is>
          <t>TPP</t>
        </is>
      </c>
      <c r="H820" s="4" t="inlineStr">
        <is>
          <t>14:05:00</t>
        </is>
      </c>
      <c r="I820" s="4" t="inlineStr">
        <is>
          <t>15:30:00</t>
        </is>
      </c>
      <c r="J820" s="4" t="inlineStr">
        <is>
          <t>320</t>
        </is>
      </c>
      <c r="L820" s="4" t="inlineStr">
        <is>
          <t>01:25:00</t>
        </is>
      </c>
      <c r="M820" s="5" t="n"/>
      <c r="O820" s="5" t="n"/>
      <c r="Q820" s="4">
        <f>B820</f>
        <v/>
      </c>
      <c r="R820" s="4">
        <f>C820</f>
        <v/>
      </c>
      <c r="S820" s="4">
        <f>D820</f>
        <v/>
      </c>
      <c r="T820" s="4">
        <f>E820&amp;"/"&amp;E821</f>
        <v/>
      </c>
      <c r="U820" s="4">
        <f>F820&amp;"-"&amp;G820&amp;"-"&amp;F820</f>
        <v/>
      </c>
      <c r="V820" s="4">
        <f>IF($M$820="","",$M$820)</f>
        <v/>
      </c>
      <c r="W820" s="4">
        <f>IF($O$820="","",$O$820)</f>
        <v/>
      </c>
      <c r="X820" s="4">
        <f>J820</f>
        <v/>
      </c>
    </row>
    <row r="821">
      <c r="B821" s="4" t="inlineStr">
        <is>
          <t>991_0</t>
        </is>
      </c>
      <c r="C821" s="4" t="inlineStr">
        <is>
          <t>11/09/2026</t>
        </is>
      </c>
      <c r="D821" s="4" t="inlineStr">
        <is>
          <t>viernes</t>
        </is>
      </c>
      <c r="E821" s="4" t="inlineStr">
        <is>
          <t>2088</t>
        </is>
      </c>
      <c r="F821" s="4" t="inlineStr">
        <is>
          <t>TPP</t>
        </is>
      </c>
      <c r="G821" s="4" t="inlineStr">
        <is>
          <t>LIM</t>
        </is>
      </c>
      <c r="H821" s="4" t="inlineStr">
        <is>
          <t>16:05:00</t>
        </is>
      </c>
      <c r="I821" s="4" t="inlineStr">
        <is>
          <t>17:30:00</t>
        </is>
      </c>
      <c r="J821" s="4" t="inlineStr">
        <is>
          <t>320</t>
        </is>
      </c>
      <c r="K821">
        <f>TEXT(TIMEVALUE(H821)-TIMEVALUE(I820)+(TIMEVALUE(H821)&lt;TIMEVALUE(I820)),"[h]:mm")</f>
        <v/>
      </c>
      <c r="L821" s="4" t="inlineStr">
        <is>
          <t>01:25:00</t>
        </is>
      </c>
      <c r="O821">
        <f>"LIM-"&amp;G820&amp;"-LIM   LA "&amp;E820&amp;" ("&amp;LEFT(H820,5)&amp;"-"&amp;LEFT(I820,5)&amp;" hrs)  /  LA "&amp;E821&amp;" ("&amp;LEFT(H821,5)&amp;"-"&amp;LEFT(I821,5)&amp;" hrs)"</f>
        <v/>
      </c>
    </row>
    <row r="822">
      <c r="B822" s="4" t="inlineStr">
        <is>
          <t>1015_0</t>
        </is>
      </c>
      <c r="C822" s="4" t="inlineStr">
        <is>
          <t>11/09/2026</t>
        </is>
      </c>
      <c r="D822" s="4" t="inlineStr">
        <is>
          <t>viernes</t>
        </is>
      </c>
      <c r="E822" s="4" t="inlineStr">
        <is>
          <t>2091</t>
        </is>
      </c>
      <c r="F822" s="4" t="inlineStr">
        <is>
          <t>LIM</t>
        </is>
      </c>
      <c r="G822" s="4" t="inlineStr">
        <is>
          <t>TPP</t>
        </is>
      </c>
      <c r="H822" s="4" t="inlineStr">
        <is>
          <t>18:30:00</t>
        </is>
      </c>
      <c r="I822" s="4" t="inlineStr">
        <is>
          <t>19:55:00</t>
        </is>
      </c>
      <c r="J822" s="4" t="inlineStr">
        <is>
          <t>320</t>
        </is>
      </c>
      <c r="K822" s="6">
        <f>TEXT(TIMEVALUE(H822)-TIMEVALUE(I821)+(TIMEVALUE(H822)&lt;TIMEVALUE(I821)),"[h]:mm")</f>
        <v/>
      </c>
      <c r="L822" s="4" t="inlineStr">
        <is>
          <t>01:25:00</t>
        </is>
      </c>
      <c r="M822">
        <f>IF($M$820="","",$M$820)</f>
        <v/>
      </c>
      <c r="O822">
        <f>IF($O$820="","",$O$820)</f>
        <v/>
      </c>
      <c r="Q822" s="4">
        <f>B822</f>
        <v/>
      </c>
      <c r="R822" s="4">
        <f>C822</f>
        <v/>
      </c>
      <c r="S822" s="4">
        <f>D822</f>
        <v/>
      </c>
      <c r="T822" s="4">
        <f>E822&amp;"/"&amp;E823</f>
        <v/>
      </c>
      <c r="U822" s="4">
        <f>F822&amp;"-"&amp;G822&amp;"-"&amp;F822</f>
        <v/>
      </c>
      <c r="V822" s="4">
        <f>IF($M$820="","",$M$820)</f>
        <v/>
      </c>
      <c r="W822" s="4">
        <f>IF($O$820="","",$O$820)</f>
        <v/>
      </c>
      <c r="X822" s="4">
        <f>J822</f>
        <v/>
      </c>
    </row>
    <row r="823">
      <c r="B823" s="4" t="inlineStr">
        <is>
          <t>1015_0</t>
        </is>
      </c>
      <c r="C823" s="4" t="inlineStr">
        <is>
          <t>11/09/2026</t>
        </is>
      </c>
      <c r="D823" s="4" t="inlineStr">
        <is>
          <t>viernes</t>
        </is>
      </c>
      <c r="E823" s="4" t="inlineStr">
        <is>
          <t>2092</t>
        </is>
      </c>
      <c r="F823" s="4" t="inlineStr">
        <is>
          <t>TPP</t>
        </is>
      </c>
      <c r="G823" s="4" t="inlineStr">
        <is>
          <t>LIM</t>
        </is>
      </c>
      <c r="H823" s="4" t="inlineStr">
        <is>
          <t>20:30:00</t>
        </is>
      </c>
      <c r="I823" s="4" t="inlineStr">
        <is>
          <t>21:55:00</t>
        </is>
      </c>
      <c r="J823" s="4" t="inlineStr">
        <is>
          <t>320</t>
        </is>
      </c>
      <c r="K823">
        <f>TEXT(TIMEVALUE(H823)-TIMEVALUE(I822)+(TIMEVALUE(H823)&lt;TIMEVALUE(I822)),"[h]:mm")</f>
        <v/>
      </c>
      <c r="L823" s="4" t="inlineStr">
        <is>
          <t>01:25:00</t>
        </is>
      </c>
      <c r="O823">
        <f>"LIM-"&amp;G822&amp;"-LIM   LA "&amp;E822&amp;" ("&amp;LEFT(H822,5)&amp;"-"&amp;LEFT(I822,5)&amp;" hrs)  /  LA "&amp;E823&amp;" ("&amp;LEFT(H823,5)&amp;"-"&amp;LEFT(I823,5)&amp;" hrs)"</f>
        <v/>
      </c>
    </row>
    <row r="824">
      <c r="J824" s="7" t="inlineStr">
        <is>
          <t>PSV total:</t>
        </is>
      </c>
      <c r="K824" s="8">
        <f>TEXT(TIMEVALUE(I823)-TIMEVALUE(H820)+(I823&lt;H820),"[h]:mm")</f>
        <v/>
      </c>
    </row>
    <row r="826">
      <c r="B826" s="3" t="inlineStr">
        <is>
          <t>Pairing ID</t>
        </is>
      </c>
      <c r="C826" s="3" t="inlineStr">
        <is>
          <t>FECHA REAL</t>
        </is>
      </c>
      <c r="D826" s="3" t="inlineStr">
        <is>
          <t>Day of Week</t>
        </is>
      </c>
      <c r="E826" s="3" t="inlineStr">
        <is>
          <t>Flight No</t>
        </is>
      </c>
      <c r="F826" s="3" t="inlineStr">
        <is>
          <t>Dep Stn</t>
        </is>
      </c>
      <c r="G826" s="3" t="inlineStr">
        <is>
          <t>Arr Stn</t>
        </is>
      </c>
      <c r="H826" s="3" t="inlineStr">
        <is>
          <t>STD</t>
        </is>
      </c>
      <c r="I826" s="3" t="inlineStr">
        <is>
          <t>STA</t>
        </is>
      </c>
      <c r="J826" s="3" t="inlineStr">
        <is>
          <t>subflota</t>
        </is>
      </c>
      <c r="K826" s="3" t="inlineStr">
        <is>
          <t>Conexion</t>
        </is>
      </c>
      <c r="L826" s="3" t="inlineStr">
        <is>
          <t>HBT</t>
        </is>
      </c>
    </row>
    <row r="827">
      <c r="B827" s="4" t="inlineStr">
        <is>
          <t>992_0</t>
        </is>
      </c>
      <c r="C827" s="4" t="inlineStr">
        <is>
          <t>11/09/2026</t>
        </is>
      </c>
      <c r="D827" s="4" t="inlineStr">
        <is>
          <t>viernes</t>
        </is>
      </c>
      <c r="E827" s="4" t="inlineStr">
        <is>
          <t>2295</t>
        </is>
      </c>
      <c r="F827" s="4" t="inlineStr">
        <is>
          <t>LIM</t>
        </is>
      </c>
      <c r="G827" s="4" t="inlineStr">
        <is>
          <t>CJA</t>
        </is>
      </c>
      <c r="H827" s="4" t="inlineStr">
        <is>
          <t>14:10:00</t>
        </is>
      </c>
      <c r="I827" s="4" t="inlineStr">
        <is>
          <t>15:30:00</t>
        </is>
      </c>
      <c r="J827" s="4" t="inlineStr">
        <is>
          <t>320</t>
        </is>
      </c>
      <c r="L827" s="4" t="inlineStr">
        <is>
          <t>01:20:00</t>
        </is>
      </c>
      <c r="M827" s="5" t="n"/>
      <c r="O827" s="5" t="n"/>
      <c r="Q827" s="4">
        <f>B827</f>
        <v/>
      </c>
      <c r="R827" s="4">
        <f>C827</f>
        <v/>
      </c>
      <c r="S827" s="4">
        <f>D827</f>
        <v/>
      </c>
      <c r="T827" s="4">
        <f>E827&amp;"/"&amp;E828</f>
        <v/>
      </c>
      <c r="U827" s="4">
        <f>F827&amp;"-"&amp;G827&amp;"-"&amp;F827</f>
        <v/>
      </c>
      <c r="V827" s="4">
        <f>IF($M$827="","",$M$827)</f>
        <v/>
      </c>
      <c r="W827" s="4">
        <f>IF($O$827="","",$O$827)</f>
        <v/>
      </c>
      <c r="X827" s="4">
        <f>J827</f>
        <v/>
      </c>
    </row>
    <row r="828">
      <c r="B828" s="4" t="inlineStr">
        <is>
          <t>992_0</t>
        </is>
      </c>
      <c r="C828" s="4" t="inlineStr">
        <is>
          <t>11/09/2026</t>
        </is>
      </c>
      <c r="D828" s="4" t="inlineStr">
        <is>
          <t>viernes</t>
        </is>
      </c>
      <c r="E828" s="4" t="inlineStr">
        <is>
          <t>2294</t>
        </is>
      </c>
      <c r="F828" s="4" t="inlineStr">
        <is>
          <t>CJA</t>
        </is>
      </c>
      <c r="G828" s="4" t="inlineStr">
        <is>
          <t>LIM</t>
        </is>
      </c>
      <c r="H828" s="4" t="inlineStr">
        <is>
          <t>16:10:00</t>
        </is>
      </c>
      <c r="I828" s="4" t="inlineStr">
        <is>
          <t>17:15:00</t>
        </is>
      </c>
      <c r="J828" s="4" t="inlineStr">
        <is>
          <t>320</t>
        </is>
      </c>
      <c r="K828">
        <f>TEXT(TIMEVALUE(H828)-TIMEVALUE(I827)+(TIMEVALUE(H828)&lt;TIMEVALUE(I827)),"[h]:mm")</f>
        <v/>
      </c>
      <c r="L828" s="4" t="inlineStr">
        <is>
          <t>01:05:00</t>
        </is>
      </c>
      <c r="O828">
        <f>"LIM-"&amp;G827&amp;"-LIM   LA "&amp;E827&amp;" ("&amp;LEFT(H827,5)&amp;"-"&amp;LEFT(I827,5)&amp;" hrs)  /  LA "&amp;E828&amp;" ("&amp;LEFT(H828,5)&amp;"-"&amp;LEFT(I828,5)&amp;" hrs)"</f>
        <v/>
      </c>
    </row>
    <row r="829">
      <c r="B829" s="4" t="inlineStr">
        <is>
          <t>1014_0</t>
        </is>
      </c>
      <c r="C829" s="4" t="inlineStr">
        <is>
          <t>11/09/2026</t>
        </is>
      </c>
      <c r="D829" s="4" t="inlineStr">
        <is>
          <t>viernes</t>
        </is>
      </c>
      <c r="E829" s="4" t="inlineStr">
        <is>
          <t>2310</t>
        </is>
      </c>
      <c r="F829" s="4" t="inlineStr">
        <is>
          <t>LIM</t>
        </is>
      </c>
      <c r="G829" s="4" t="inlineStr">
        <is>
          <t>CIX</t>
        </is>
      </c>
      <c r="H829" s="4" t="inlineStr">
        <is>
          <t>18:20:00</t>
        </is>
      </c>
      <c r="I829" s="4" t="inlineStr">
        <is>
          <t>19:45:00</t>
        </is>
      </c>
      <c r="J829" s="4" t="inlineStr">
        <is>
          <t>320</t>
        </is>
      </c>
      <c r="K829" s="6">
        <f>TEXT(TIMEVALUE(H829)-TIMEVALUE(I828)+(TIMEVALUE(H829)&lt;TIMEVALUE(I828)),"[h]:mm")</f>
        <v/>
      </c>
      <c r="L829" s="4" t="inlineStr">
        <is>
          <t>01:25:00</t>
        </is>
      </c>
      <c r="M829">
        <f>IF($M$827="","",$M$827)</f>
        <v/>
      </c>
      <c r="O829">
        <f>IF($O$827="","",$O$827)</f>
        <v/>
      </c>
      <c r="Q829" s="4">
        <f>B829</f>
        <v/>
      </c>
      <c r="R829" s="4">
        <f>C829</f>
        <v/>
      </c>
      <c r="S829" s="4">
        <f>D829</f>
        <v/>
      </c>
      <c r="T829" s="4">
        <f>E829&amp;"/"&amp;E830</f>
        <v/>
      </c>
      <c r="U829" s="4">
        <f>F829&amp;"-"&amp;G829&amp;"-"&amp;F829</f>
        <v/>
      </c>
      <c r="V829" s="4">
        <f>IF($M$827="","",$M$827)</f>
        <v/>
      </c>
      <c r="W829" s="4">
        <f>IF($O$827="","",$O$827)</f>
        <v/>
      </c>
      <c r="X829" s="4">
        <f>J829</f>
        <v/>
      </c>
    </row>
    <row r="830">
      <c r="B830" s="4" t="inlineStr">
        <is>
          <t>1014_0</t>
        </is>
      </c>
      <c r="C830" s="4" t="inlineStr">
        <is>
          <t>11/09/2026</t>
        </is>
      </c>
      <c r="D830" s="4" t="inlineStr">
        <is>
          <t>viernes</t>
        </is>
      </c>
      <c r="E830" s="4" t="inlineStr">
        <is>
          <t>2311</t>
        </is>
      </c>
      <c r="F830" s="4" t="inlineStr">
        <is>
          <t>CIX</t>
        </is>
      </c>
      <c r="G830" s="4" t="inlineStr">
        <is>
          <t>LIM</t>
        </is>
      </c>
      <c r="H830" s="4" t="inlineStr">
        <is>
          <t>20:20:00</t>
        </is>
      </c>
      <c r="I830" s="4" t="inlineStr">
        <is>
          <t>21:35:00</t>
        </is>
      </c>
      <c r="J830" s="4" t="inlineStr">
        <is>
          <t>320</t>
        </is>
      </c>
      <c r="K830">
        <f>TEXT(TIMEVALUE(H830)-TIMEVALUE(I829)+(TIMEVALUE(H830)&lt;TIMEVALUE(I829)),"[h]:mm")</f>
        <v/>
      </c>
      <c r="L830" s="4" t="inlineStr">
        <is>
          <t>01:15:00</t>
        </is>
      </c>
      <c r="O830">
        <f>"LIM-"&amp;G829&amp;"-LIM   LA "&amp;E829&amp;" ("&amp;LEFT(H829,5)&amp;"-"&amp;LEFT(I829,5)&amp;" hrs)  /  LA "&amp;E830&amp;" ("&amp;LEFT(H830,5)&amp;"-"&amp;LEFT(I830,5)&amp;" hrs)"</f>
        <v/>
      </c>
    </row>
    <row r="831">
      <c r="J831" s="7" t="inlineStr">
        <is>
          <t>PSV total:</t>
        </is>
      </c>
      <c r="K831" s="8">
        <f>TEXT(TIMEVALUE(I830)-TIMEVALUE(H827)+(I830&lt;H827),"[h]:mm")</f>
        <v/>
      </c>
    </row>
    <row r="833">
      <c r="B833" s="3" t="inlineStr">
        <is>
          <t>Pairing ID</t>
        </is>
      </c>
      <c r="C833" s="3" t="inlineStr">
        <is>
          <t>FECHA REAL</t>
        </is>
      </c>
      <c r="D833" s="3" t="inlineStr">
        <is>
          <t>Day of Week</t>
        </is>
      </c>
      <c r="E833" s="3" t="inlineStr">
        <is>
          <t>Flight No</t>
        </is>
      </c>
      <c r="F833" s="3" t="inlineStr">
        <is>
          <t>Dep Stn</t>
        </is>
      </c>
      <c r="G833" s="3" t="inlineStr">
        <is>
          <t>Arr Stn</t>
        </is>
      </c>
      <c r="H833" s="3" t="inlineStr">
        <is>
          <t>STD</t>
        </is>
      </c>
      <c r="I833" s="3" t="inlineStr">
        <is>
          <t>STA</t>
        </is>
      </c>
      <c r="J833" s="3" t="inlineStr">
        <is>
          <t>subflota</t>
        </is>
      </c>
      <c r="K833" s="3" t="inlineStr">
        <is>
          <t>Conexion</t>
        </is>
      </c>
      <c r="L833" s="3" t="inlineStr">
        <is>
          <t>HBT</t>
        </is>
      </c>
    </row>
    <row r="834">
      <c r="B834" s="4" t="inlineStr">
        <is>
          <t>994_0</t>
        </is>
      </c>
      <c r="C834" s="4" t="inlineStr">
        <is>
          <t>11/09/2026</t>
        </is>
      </c>
      <c r="D834" s="4" t="inlineStr">
        <is>
          <t>viernes</t>
        </is>
      </c>
      <c r="E834" s="4" t="inlineStr">
        <is>
          <t>2338</t>
        </is>
      </c>
      <c r="F834" s="4" t="inlineStr">
        <is>
          <t>LIM</t>
        </is>
      </c>
      <c r="G834" s="4" t="inlineStr">
        <is>
          <t>PIU</t>
        </is>
      </c>
      <c r="H834" s="4" t="inlineStr">
        <is>
          <t>14:55:00</t>
        </is>
      </c>
      <c r="I834" s="4" t="inlineStr">
        <is>
          <t>16:45:00</t>
        </is>
      </c>
      <c r="J834" s="4" t="inlineStr">
        <is>
          <t>319</t>
        </is>
      </c>
      <c r="L834" s="4" t="inlineStr">
        <is>
          <t>01:50:00</t>
        </is>
      </c>
      <c r="M834" s="5" t="n"/>
      <c r="O834" s="5" t="n"/>
      <c r="Q834" s="4">
        <f>B834</f>
        <v/>
      </c>
      <c r="R834" s="4">
        <f>C834</f>
        <v/>
      </c>
      <c r="S834" s="4">
        <f>D834</f>
        <v/>
      </c>
      <c r="T834" s="4">
        <f>E834&amp;"/"&amp;E835</f>
        <v/>
      </c>
      <c r="U834" s="4">
        <f>F834&amp;"-"&amp;G834&amp;"-"&amp;F834</f>
        <v/>
      </c>
      <c r="V834" s="4">
        <f>IF($M$834="","",$M$834)</f>
        <v/>
      </c>
      <c r="W834" s="4">
        <f>IF($O$834="","",$O$834)</f>
        <v/>
      </c>
      <c r="X834" s="4">
        <f>J834</f>
        <v/>
      </c>
    </row>
    <row r="835">
      <c r="B835" s="4" t="inlineStr">
        <is>
          <t>994_0</t>
        </is>
      </c>
      <c r="C835" s="4" t="inlineStr">
        <is>
          <t>11/09/2026</t>
        </is>
      </c>
      <c r="D835" s="4" t="inlineStr">
        <is>
          <t>viernes</t>
        </is>
      </c>
      <c r="E835" s="4" t="inlineStr">
        <is>
          <t>2339</t>
        </is>
      </c>
      <c r="F835" s="4" t="inlineStr">
        <is>
          <t>PIU</t>
        </is>
      </c>
      <c r="G835" s="4" t="inlineStr">
        <is>
          <t>LIM</t>
        </is>
      </c>
      <c r="H835" s="4" t="inlineStr">
        <is>
          <t>17:20:00</t>
        </is>
      </c>
      <c r="I835" s="4" t="inlineStr">
        <is>
          <t>18:50:00</t>
        </is>
      </c>
      <c r="J835" s="4" t="inlineStr">
        <is>
          <t>319</t>
        </is>
      </c>
      <c r="K835">
        <f>TEXT(TIMEVALUE(H835)-TIMEVALUE(I834)+(TIMEVALUE(H835)&lt;TIMEVALUE(I834)),"[h]:mm")</f>
        <v/>
      </c>
      <c r="L835" s="4" t="inlineStr">
        <is>
          <t>01:30:00</t>
        </is>
      </c>
      <c r="O835">
        <f>"LIM-"&amp;G834&amp;"-LIM   LA "&amp;E834&amp;" ("&amp;LEFT(H834,5)&amp;"-"&amp;LEFT(I834,5)&amp;" hrs)  /  LA "&amp;E835&amp;" ("&amp;LEFT(H835,5)&amp;"-"&amp;LEFT(I835,5)&amp;" hrs)"</f>
        <v/>
      </c>
    </row>
    <row r="836">
      <c r="B836" s="4" t="inlineStr">
        <is>
          <t>1018_0</t>
        </is>
      </c>
      <c r="C836" s="4" t="inlineStr">
        <is>
          <t>11/09/2026</t>
        </is>
      </c>
      <c r="D836" s="4" t="inlineStr">
        <is>
          <t>viernes</t>
        </is>
      </c>
      <c r="E836" s="4" t="inlineStr">
        <is>
          <t>2278</t>
        </is>
      </c>
      <c r="F836" s="4" t="inlineStr">
        <is>
          <t>LIM</t>
        </is>
      </c>
      <c r="G836" s="4" t="inlineStr">
        <is>
          <t>CIX</t>
        </is>
      </c>
      <c r="H836" s="4" t="inlineStr">
        <is>
          <t>20:10:00</t>
        </is>
      </c>
      <c r="I836" s="4" t="inlineStr">
        <is>
          <t>21:40:00</t>
        </is>
      </c>
      <c r="J836" s="4" t="inlineStr">
        <is>
          <t>320</t>
        </is>
      </c>
      <c r="K836" s="6">
        <f>TEXT(TIMEVALUE(H836)-TIMEVALUE(I835)+(TIMEVALUE(H836)&lt;TIMEVALUE(I835)),"[h]:mm")</f>
        <v/>
      </c>
      <c r="L836" s="4" t="inlineStr">
        <is>
          <t>01:30:00</t>
        </is>
      </c>
      <c r="M836">
        <f>IF($M$834="","",$M$834)</f>
        <v/>
      </c>
      <c r="O836">
        <f>IF($O$834="","",$O$834)</f>
        <v/>
      </c>
      <c r="Q836" s="4">
        <f>B836</f>
        <v/>
      </c>
      <c r="R836" s="4">
        <f>C836</f>
        <v/>
      </c>
      <c r="S836" s="4">
        <f>D836</f>
        <v/>
      </c>
      <c r="T836" s="4">
        <f>E836&amp;"/"&amp;E837</f>
        <v/>
      </c>
      <c r="U836" s="4">
        <f>F836&amp;"-"&amp;G836&amp;"-"&amp;F836</f>
        <v/>
      </c>
      <c r="V836" s="4">
        <f>IF($M$834="","",$M$834)</f>
        <v/>
      </c>
      <c r="W836" s="4">
        <f>IF($O$834="","",$O$834)</f>
        <v/>
      </c>
      <c r="X836" s="4">
        <f>J836</f>
        <v/>
      </c>
    </row>
    <row r="837">
      <c r="B837" s="4" t="inlineStr">
        <is>
          <t>1018_0</t>
        </is>
      </c>
      <c r="C837" s="4" t="inlineStr">
        <is>
          <t>11/09/2026</t>
        </is>
      </c>
      <c r="D837" s="4" t="inlineStr">
        <is>
          <t>viernes</t>
        </is>
      </c>
      <c r="E837" s="4" t="inlineStr">
        <is>
          <t>2279</t>
        </is>
      </c>
      <c r="F837" s="4" t="inlineStr">
        <is>
          <t>CIX</t>
        </is>
      </c>
      <c r="G837" s="4" t="inlineStr">
        <is>
          <t>LIM</t>
        </is>
      </c>
      <c r="H837" s="4" t="inlineStr">
        <is>
          <t>22:15:00</t>
        </is>
      </c>
      <c r="I837" s="4" t="inlineStr">
        <is>
          <t>23:35:00</t>
        </is>
      </c>
      <c r="J837" s="4" t="inlineStr">
        <is>
          <t>320</t>
        </is>
      </c>
      <c r="K837">
        <f>TEXT(TIMEVALUE(H837)-TIMEVALUE(I836)+(TIMEVALUE(H837)&lt;TIMEVALUE(I836)),"[h]:mm")</f>
        <v/>
      </c>
      <c r="L837" s="4" t="inlineStr">
        <is>
          <t>01:20:00</t>
        </is>
      </c>
      <c r="O837">
        <f>"LIM-"&amp;G836&amp;"-LIM   LA "&amp;E836&amp;" ("&amp;LEFT(H836,5)&amp;"-"&amp;LEFT(I836,5)&amp;" hrs)  /  LA "&amp;E837&amp;" ("&amp;LEFT(H837,5)&amp;"-"&amp;LEFT(I837,5)&amp;" hrs)"</f>
        <v/>
      </c>
    </row>
    <row r="838">
      <c r="J838" s="7" t="inlineStr">
        <is>
          <t>PSV total:</t>
        </is>
      </c>
      <c r="K838" s="8">
        <f>TEXT(TIMEVALUE(I837)-TIMEVALUE(H834)+(I837&lt;H834),"[h]:mm")</f>
        <v/>
      </c>
    </row>
    <row r="840">
      <c r="B840" s="3" t="inlineStr">
        <is>
          <t>Pairing ID</t>
        </is>
      </c>
      <c r="C840" s="3" t="inlineStr">
        <is>
          <t>FECHA REAL</t>
        </is>
      </c>
      <c r="D840" s="3" t="inlineStr">
        <is>
          <t>Day of Week</t>
        </is>
      </c>
      <c r="E840" s="3" t="inlineStr">
        <is>
          <t>Flight No</t>
        </is>
      </c>
      <c r="F840" s="3" t="inlineStr">
        <is>
          <t>Dep Stn</t>
        </is>
      </c>
      <c r="G840" s="3" t="inlineStr">
        <is>
          <t>Arr Stn</t>
        </is>
      </c>
      <c r="H840" s="3" t="inlineStr">
        <is>
          <t>STD</t>
        </is>
      </c>
      <c r="I840" s="3" t="inlineStr">
        <is>
          <t>STA</t>
        </is>
      </c>
      <c r="J840" s="3" t="inlineStr">
        <is>
          <t>subflota</t>
        </is>
      </c>
      <c r="K840" s="3" t="inlineStr">
        <is>
          <t>Conexion</t>
        </is>
      </c>
      <c r="L840" s="3" t="inlineStr">
        <is>
          <t>HBT</t>
        </is>
      </c>
    </row>
    <row r="841">
      <c r="B841" s="4" t="inlineStr">
        <is>
          <t>995_0</t>
        </is>
      </c>
      <c r="C841" s="4" t="inlineStr">
        <is>
          <t>11/09/2026</t>
        </is>
      </c>
      <c r="D841" s="4" t="inlineStr">
        <is>
          <t>viernes</t>
        </is>
      </c>
      <c r="E841" s="4" t="inlineStr">
        <is>
          <t>2248</t>
        </is>
      </c>
      <c r="F841" s="4" t="inlineStr">
        <is>
          <t>LIM</t>
        </is>
      </c>
      <c r="G841" s="4" t="inlineStr">
        <is>
          <t>CUZ</t>
        </is>
      </c>
      <c r="H841" s="4" t="inlineStr">
        <is>
          <t>15:00:00</t>
        </is>
      </c>
      <c r="I841" s="4" t="inlineStr">
        <is>
          <t>16:20:00</t>
        </is>
      </c>
      <c r="J841" s="4" t="inlineStr">
        <is>
          <t>320</t>
        </is>
      </c>
      <c r="L841" s="4" t="inlineStr">
        <is>
          <t>01:20:00</t>
        </is>
      </c>
      <c r="M841" s="5" t="n"/>
      <c r="O841" s="5" t="n"/>
      <c r="Q841" s="4">
        <f>B841</f>
        <v/>
      </c>
      <c r="R841" s="4">
        <f>C841</f>
        <v/>
      </c>
      <c r="S841" s="4">
        <f>D841</f>
        <v/>
      </c>
      <c r="T841" s="4">
        <f>E841&amp;"/"&amp;E842</f>
        <v/>
      </c>
      <c r="U841" s="4">
        <f>F841&amp;"-"&amp;G841&amp;"-"&amp;F841</f>
        <v/>
      </c>
      <c r="V841" s="4">
        <f>IF($M$841="","",$M$841)</f>
        <v/>
      </c>
      <c r="W841" s="4">
        <f>IF($O$841="","",$O$841)</f>
        <v/>
      </c>
      <c r="X841" s="4">
        <f>J841</f>
        <v/>
      </c>
    </row>
    <row r="842">
      <c r="B842" s="4" t="inlineStr">
        <is>
          <t>995_0</t>
        </is>
      </c>
      <c r="C842" s="4" t="inlineStr">
        <is>
          <t>11/09/2026</t>
        </is>
      </c>
      <c r="D842" s="4" t="inlineStr">
        <is>
          <t>viernes</t>
        </is>
      </c>
      <c r="E842" s="4" t="inlineStr">
        <is>
          <t>2249</t>
        </is>
      </c>
      <c r="F842" s="4" t="inlineStr">
        <is>
          <t>CUZ</t>
        </is>
      </c>
      <c r="G842" s="4" t="inlineStr">
        <is>
          <t>LIM</t>
        </is>
      </c>
      <c r="H842" s="4" t="inlineStr">
        <is>
          <t>17:00:00</t>
        </is>
      </c>
      <c r="I842" s="4" t="inlineStr">
        <is>
          <t>18:35:00</t>
        </is>
      </c>
      <c r="J842" s="4" t="inlineStr">
        <is>
          <t>320</t>
        </is>
      </c>
      <c r="K842">
        <f>TEXT(TIMEVALUE(H842)-TIMEVALUE(I841)+(TIMEVALUE(H842)&lt;TIMEVALUE(I841)),"[h]:mm")</f>
        <v/>
      </c>
      <c r="L842" s="4" t="inlineStr">
        <is>
          <t>01:35:00</t>
        </is>
      </c>
      <c r="O842">
        <f>"LIM-"&amp;G841&amp;"-LIM   LA "&amp;E841&amp;" ("&amp;LEFT(H841,5)&amp;"-"&amp;LEFT(I841,5)&amp;" hrs)  /  LA "&amp;E842&amp;" ("&amp;LEFT(H842,5)&amp;"-"&amp;LEFT(I842,5)&amp;" hrs)"</f>
        <v/>
      </c>
    </row>
    <row r="843">
      <c r="J843" s="7" t="inlineStr">
        <is>
          <t>PSV total:</t>
        </is>
      </c>
      <c r="K843" s="8">
        <f>TEXT(TIMEVALUE(I842)-TIMEVALUE(H841)+(I842&lt;H841),"[h]:mm")</f>
        <v/>
      </c>
    </row>
    <row r="845">
      <c r="B845" s="3" t="inlineStr">
        <is>
          <t>Pairing ID</t>
        </is>
      </c>
      <c r="C845" s="3" t="inlineStr">
        <is>
          <t>FECHA REAL</t>
        </is>
      </c>
      <c r="D845" s="3" t="inlineStr">
        <is>
          <t>Day of Week</t>
        </is>
      </c>
      <c r="E845" s="3" t="inlineStr">
        <is>
          <t>Flight No</t>
        </is>
      </c>
      <c r="F845" s="3" t="inlineStr">
        <is>
          <t>Dep Stn</t>
        </is>
      </c>
      <c r="G845" s="3" t="inlineStr">
        <is>
          <t>Arr Stn</t>
        </is>
      </c>
      <c r="H845" s="3" t="inlineStr">
        <is>
          <t>STD</t>
        </is>
      </c>
      <c r="I845" s="3" t="inlineStr">
        <is>
          <t>STA</t>
        </is>
      </c>
      <c r="J845" s="3" t="inlineStr">
        <is>
          <t>subflota</t>
        </is>
      </c>
      <c r="K845" s="3" t="inlineStr">
        <is>
          <t>Conexion</t>
        </is>
      </c>
      <c r="L845" s="3" t="inlineStr">
        <is>
          <t>HBT</t>
        </is>
      </c>
    </row>
    <row r="846">
      <c r="B846" s="4" t="inlineStr">
        <is>
          <t>997_0</t>
        </is>
      </c>
      <c r="C846" s="4" t="inlineStr">
        <is>
          <t>11/09/2026</t>
        </is>
      </c>
      <c r="D846" s="4" t="inlineStr">
        <is>
          <t>viernes</t>
        </is>
      </c>
      <c r="E846" s="4" t="inlineStr">
        <is>
          <t>2297</t>
        </is>
      </c>
      <c r="F846" s="4" t="inlineStr">
        <is>
          <t>LIM</t>
        </is>
      </c>
      <c r="G846" s="4" t="inlineStr">
        <is>
          <t>CJA</t>
        </is>
      </c>
      <c r="H846" s="4" t="inlineStr">
        <is>
          <t>15:15:00</t>
        </is>
      </c>
      <c r="I846" s="4" t="inlineStr">
        <is>
          <t>16:35:00</t>
        </is>
      </c>
      <c r="J846" s="4" t="inlineStr">
        <is>
          <t>320</t>
        </is>
      </c>
      <c r="L846" s="4" t="inlineStr">
        <is>
          <t>01:20:00</t>
        </is>
      </c>
      <c r="M846" s="5" t="n"/>
      <c r="O846" s="5" t="n"/>
      <c r="Q846" s="4">
        <f>B846</f>
        <v/>
      </c>
      <c r="R846" s="4">
        <f>C846</f>
        <v/>
      </c>
      <c r="S846" s="4">
        <f>D846</f>
        <v/>
      </c>
      <c r="T846" s="4">
        <f>E846&amp;"/"&amp;E847</f>
        <v/>
      </c>
      <c r="U846" s="4">
        <f>F846&amp;"-"&amp;G846&amp;"-"&amp;F846</f>
        <v/>
      </c>
      <c r="V846" s="4">
        <f>IF($M$846="","",$M$846)</f>
        <v/>
      </c>
      <c r="W846" s="4">
        <f>IF($O$846="","",$O$846)</f>
        <v/>
      </c>
      <c r="X846" s="4">
        <f>J846</f>
        <v/>
      </c>
    </row>
    <row r="847">
      <c r="B847" s="4" t="inlineStr">
        <is>
          <t>997_0</t>
        </is>
      </c>
      <c r="C847" s="4" t="inlineStr">
        <is>
          <t>11/09/2026</t>
        </is>
      </c>
      <c r="D847" s="4" t="inlineStr">
        <is>
          <t>viernes</t>
        </is>
      </c>
      <c r="E847" s="4" t="inlineStr">
        <is>
          <t>2296</t>
        </is>
      </c>
      <c r="F847" s="4" t="inlineStr">
        <is>
          <t>CJA</t>
        </is>
      </c>
      <c r="G847" s="4" t="inlineStr">
        <is>
          <t>LIM</t>
        </is>
      </c>
      <c r="H847" s="4" t="inlineStr">
        <is>
          <t>17:20:00</t>
        </is>
      </c>
      <c r="I847" s="4" t="inlineStr">
        <is>
          <t>18:25:00</t>
        </is>
      </c>
      <c r="J847" s="4" t="inlineStr">
        <is>
          <t>320</t>
        </is>
      </c>
      <c r="K847">
        <f>TEXT(TIMEVALUE(H847)-TIMEVALUE(I846)+(TIMEVALUE(H847)&lt;TIMEVALUE(I846)),"[h]:mm")</f>
        <v/>
      </c>
      <c r="L847" s="4" t="inlineStr">
        <is>
          <t>01:05:00</t>
        </is>
      </c>
      <c r="O847">
        <f>"LIM-"&amp;G846&amp;"-LIM   LA "&amp;E846&amp;" ("&amp;LEFT(H846,5)&amp;"-"&amp;LEFT(I846,5)&amp;" hrs)  /  LA "&amp;E847&amp;" ("&amp;LEFT(H847,5)&amp;"-"&amp;LEFT(I847,5)&amp;" hrs)"</f>
        <v/>
      </c>
    </row>
    <row r="848">
      <c r="J848" s="7" t="inlineStr">
        <is>
          <t>PSV total:</t>
        </is>
      </c>
      <c r="K848" s="8">
        <f>TEXT(TIMEVALUE(I847)-TIMEVALUE(H846)+(I847&lt;H846),"[h]:mm")</f>
        <v/>
      </c>
    </row>
    <row r="850">
      <c r="B850" s="3" t="inlineStr">
        <is>
          <t>Pairing ID</t>
        </is>
      </c>
      <c r="C850" s="3" t="inlineStr">
        <is>
          <t>FECHA REAL</t>
        </is>
      </c>
      <c r="D850" s="3" t="inlineStr">
        <is>
          <t>Day of Week</t>
        </is>
      </c>
      <c r="E850" s="3" t="inlineStr">
        <is>
          <t>Flight No</t>
        </is>
      </c>
      <c r="F850" s="3" t="inlineStr">
        <is>
          <t>Dep Stn</t>
        </is>
      </c>
      <c r="G850" s="3" t="inlineStr">
        <is>
          <t>Arr Stn</t>
        </is>
      </c>
      <c r="H850" s="3" t="inlineStr">
        <is>
          <t>STD</t>
        </is>
      </c>
      <c r="I850" s="3" t="inlineStr">
        <is>
          <t>STA</t>
        </is>
      </c>
      <c r="J850" s="3" t="inlineStr">
        <is>
          <t>subflota</t>
        </is>
      </c>
      <c r="K850" s="3" t="inlineStr">
        <is>
          <t>Conexion</t>
        </is>
      </c>
      <c r="L850" s="3" t="inlineStr">
        <is>
          <t>HBT</t>
        </is>
      </c>
    </row>
    <row r="851">
      <c r="B851" s="4" t="inlineStr">
        <is>
          <t>998_0</t>
        </is>
      </c>
      <c r="C851" s="4" t="inlineStr">
        <is>
          <t>11/09/2026</t>
        </is>
      </c>
      <c r="D851" s="4" t="inlineStr">
        <is>
          <t>viernes</t>
        </is>
      </c>
      <c r="E851" s="4" t="inlineStr">
        <is>
          <t>2297</t>
        </is>
      </c>
      <c r="F851" s="4" t="inlineStr">
        <is>
          <t>LIM</t>
        </is>
      </c>
      <c r="G851" s="4" t="inlineStr">
        <is>
          <t>CJA</t>
        </is>
      </c>
      <c r="H851" s="4" t="inlineStr">
        <is>
          <t>15:15:00</t>
        </is>
      </c>
      <c r="I851" s="4" t="inlineStr">
        <is>
          <t>16:35:00</t>
        </is>
      </c>
      <c r="J851" s="4" t="inlineStr">
        <is>
          <t>320</t>
        </is>
      </c>
      <c r="L851" s="4" t="inlineStr">
        <is>
          <t>01:20:00</t>
        </is>
      </c>
      <c r="M851" s="5" t="n"/>
      <c r="O851" s="5" t="n"/>
      <c r="Q851" s="4">
        <f>B851</f>
        <v/>
      </c>
      <c r="R851" s="4">
        <f>C851</f>
        <v/>
      </c>
      <c r="S851" s="4">
        <f>D851</f>
        <v/>
      </c>
      <c r="T851" s="4">
        <f>E851&amp;"/"&amp;E852</f>
        <v/>
      </c>
      <c r="U851" s="4">
        <f>F851&amp;"-"&amp;G851&amp;"-"&amp;F851</f>
        <v/>
      </c>
      <c r="V851" s="4">
        <f>IF($M$851="","",$M$851)</f>
        <v/>
      </c>
      <c r="W851" s="4">
        <f>IF($O$851="","",$O$851)</f>
        <v/>
      </c>
      <c r="X851" s="4">
        <f>J851</f>
        <v/>
      </c>
    </row>
    <row r="852">
      <c r="B852" s="4" t="inlineStr">
        <is>
          <t>998_0</t>
        </is>
      </c>
      <c r="C852" s="4" t="inlineStr">
        <is>
          <t>11/09/2026</t>
        </is>
      </c>
      <c r="D852" s="4" t="inlineStr">
        <is>
          <t>viernes</t>
        </is>
      </c>
      <c r="E852" s="4" t="inlineStr">
        <is>
          <t>2296</t>
        </is>
      </c>
      <c r="F852" s="4" t="inlineStr">
        <is>
          <t>CJA</t>
        </is>
      </c>
      <c r="G852" s="4" t="inlineStr">
        <is>
          <t>LIM</t>
        </is>
      </c>
      <c r="H852" s="4" t="inlineStr">
        <is>
          <t>17:20:00</t>
        </is>
      </c>
      <c r="I852" s="4" t="inlineStr">
        <is>
          <t>18:25:00</t>
        </is>
      </c>
      <c r="J852" s="4" t="inlineStr">
        <is>
          <t>320</t>
        </is>
      </c>
      <c r="K852">
        <f>TEXT(TIMEVALUE(H852)-TIMEVALUE(I851)+(TIMEVALUE(H852)&lt;TIMEVALUE(I851)),"[h]:mm")</f>
        <v/>
      </c>
      <c r="L852" s="4" t="inlineStr">
        <is>
          <t>01:05:00</t>
        </is>
      </c>
      <c r="O852">
        <f>"LIM-"&amp;G851&amp;"-LIM   LA "&amp;E851&amp;" ("&amp;LEFT(H851,5)&amp;"-"&amp;LEFT(I851,5)&amp;" hrs)  /  LA "&amp;E852&amp;" ("&amp;LEFT(H852,5)&amp;"-"&amp;LEFT(I852,5)&amp;" hrs)"</f>
        <v/>
      </c>
    </row>
    <row r="853">
      <c r="J853" s="7" t="inlineStr">
        <is>
          <t>PSV total:</t>
        </is>
      </c>
      <c r="K853" s="8">
        <f>TEXT(TIMEVALUE(I852)-TIMEVALUE(H851)+(I852&lt;H851),"[h]:mm")</f>
        <v/>
      </c>
    </row>
    <row r="855">
      <c r="B855" s="3" t="inlineStr">
        <is>
          <t>Pairing ID</t>
        </is>
      </c>
      <c r="C855" s="3" t="inlineStr">
        <is>
          <t>FECHA REAL</t>
        </is>
      </c>
      <c r="D855" s="3" t="inlineStr">
        <is>
          <t>Day of Week</t>
        </is>
      </c>
      <c r="E855" s="3" t="inlineStr">
        <is>
          <t>Flight No</t>
        </is>
      </c>
      <c r="F855" s="3" t="inlineStr">
        <is>
          <t>Dep Stn</t>
        </is>
      </c>
      <c r="G855" s="3" t="inlineStr">
        <is>
          <t>Arr Stn</t>
        </is>
      </c>
      <c r="H855" s="3" t="inlineStr">
        <is>
          <t>STD</t>
        </is>
      </c>
      <c r="I855" s="3" t="inlineStr">
        <is>
          <t>STA</t>
        </is>
      </c>
      <c r="J855" s="3" t="inlineStr">
        <is>
          <t>subflota</t>
        </is>
      </c>
      <c r="K855" s="3" t="inlineStr">
        <is>
          <t>Conexion</t>
        </is>
      </c>
      <c r="L855" s="3" t="inlineStr">
        <is>
          <t>HBT</t>
        </is>
      </c>
    </row>
    <row r="856">
      <c r="B856" s="4" t="inlineStr">
        <is>
          <t>1001_0</t>
        </is>
      </c>
      <c r="C856" s="4" t="inlineStr">
        <is>
          <t>11/09/2026</t>
        </is>
      </c>
      <c r="D856" s="4" t="inlineStr">
        <is>
          <t>viernes</t>
        </is>
      </c>
      <c r="E856" s="4" t="inlineStr">
        <is>
          <t>2312</t>
        </is>
      </c>
      <c r="F856" s="4" t="inlineStr">
        <is>
          <t>LIM</t>
        </is>
      </c>
      <c r="G856" s="4" t="inlineStr">
        <is>
          <t>CIX</t>
        </is>
      </c>
      <c r="H856" s="4" t="inlineStr">
        <is>
          <t>15:35:00</t>
        </is>
      </c>
      <c r="I856" s="4" t="inlineStr">
        <is>
          <t>17:05:00</t>
        </is>
      </c>
      <c r="J856" s="4" t="inlineStr">
        <is>
          <t>320</t>
        </is>
      </c>
      <c r="L856" s="4" t="inlineStr">
        <is>
          <t>01:30:00</t>
        </is>
      </c>
      <c r="M856" s="5" t="n"/>
      <c r="O856" s="5" t="n"/>
      <c r="Q856" s="4">
        <f>B856</f>
        <v/>
      </c>
      <c r="R856" s="4">
        <f>C856</f>
        <v/>
      </c>
      <c r="S856" s="4">
        <f>D856</f>
        <v/>
      </c>
      <c r="T856" s="4">
        <f>E856&amp;"/"&amp;E857</f>
        <v/>
      </c>
      <c r="U856" s="4">
        <f>F856&amp;"-"&amp;G856&amp;"-"&amp;F856</f>
        <v/>
      </c>
      <c r="V856" s="4">
        <f>IF($M$856="","",$M$856)</f>
        <v/>
      </c>
      <c r="W856" s="4">
        <f>IF($O$856="","",$O$856)</f>
        <v/>
      </c>
      <c r="X856" s="4">
        <f>J856</f>
        <v/>
      </c>
    </row>
    <row r="857">
      <c r="B857" s="4" t="inlineStr">
        <is>
          <t>1001_0</t>
        </is>
      </c>
      <c r="C857" s="4" t="inlineStr">
        <is>
          <t>11/09/2026</t>
        </is>
      </c>
      <c r="D857" s="4" t="inlineStr">
        <is>
          <t>viernes</t>
        </is>
      </c>
      <c r="E857" s="4" t="inlineStr">
        <is>
          <t>2313</t>
        </is>
      </c>
      <c r="F857" s="4" t="inlineStr">
        <is>
          <t>CIX</t>
        </is>
      </c>
      <c r="G857" s="4" t="inlineStr">
        <is>
          <t>LIM</t>
        </is>
      </c>
      <c r="H857" s="4" t="inlineStr">
        <is>
          <t>17:50:00</t>
        </is>
      </c>
      <c r="I857" s="4" t="inlineStr">
        <is>
          <t>19:10:00</t>
        </is>
      </c>
      <c r="J857" s="4" t="inlineStr">
        <is>
          <t>320</t>
        </is>
      </c>
      <c r="K857">
        <f>TEXT(TIMEVALUE(H857)-TIMEVALUE(I856)+(TIMEVALUE(H857)&lt;TIMEVALUE(I856)),"[h]:mm")</f>
        <v/>
      </c>
      <c r="L857" s="4" t="inlineStr">
        <is>
          <t>01:20:00</t>
        </is>
      </c>
      <c r="O857">
        <f>"LIM-"&amp;G856&amp;"-LIM   LA "&amp;E856&amp;" ("&amp;LEFT(H856,5)&amp;"-"&amp;LEFT(I856,5)&amp;" hrs)  /  LA "&amp;E857&amp;" ("&amp;LEFT(H857,5)&amp;"-"&amp;LEFT(I857,5)&amp;" hrs)"</f>
        <v/>
      </c>
    </row>
    <row r="858">
      <c r="J858" s="7" t="inlineStr">
        <is>
          <t>PSV total:</t>
        </is>
      </c>
      <c r="K858" s="8">
        <f>TEXT(TIMEVALUE(I857)-TIMEVALUE(H856)+(I857&lt;H856),"[h]:mm")</f>
        <v/>
      </c>
    </row>
    <row r="860">
      <c r="B860" s="3" t="inlineStr">
        <is>
          <t>Pairing ID</t>
        </is>
      </c>
      <c r="C860" s="3" t="inlineStr">
        <is>
          <t>FECHA REAL</t>
        </is>
      </c>
      <c r="D860" s="3" t="inlineStr">
        <is>
          <t>Day of Week</t>
        </is>
      </c>
      <c r="E860" s="3" t="inlineStr">
        <is>
          <t>Flight No</t>
        </is>
      </c>
      <c r="F860" s="3" t="inlineStr">
        <is>
          <t>Dep Stn</t>
        </is>
      </c>
      <c r="G860" s="3" t="inlineStr">
        <is>
          <t>Arr Stn</t>
        </is>
      </c>
      <c r="H860" s="3" t="inlineStr">
        <is>
          <t>STD</t>
        </is>
      </c>
      <c r="I860" s="3" t="inlineStr">
        <is>
          <t>STA</t>
        </is>
      </c>
      <c r="J860" s="3" t="inlineStr">
        <is>
          <t>subflota</t>
        </is>
      </c>
      <c r="K860" s="3" t="inlineStr">
        <is>
          <t>Conexion</t>
        </is>
      </c>
      <c r="L860" s="3" t="inlineStr">
        <is>
          <t>HBT</t>
        </is>
      </c>
    </row>
    <row r="861">
      <c r="B861" s="4" t="inlineStr">
        <is>
          <t>1006_0</t>
        </is>
      </c>
      <c r="C861" s="4" t="inlineStr">
        <is>
          <t>11/09/2026</t>
        </is>
      </c>
      <c r="D861" s="4" t="inlineStr">
        <is>
          <t>viernes</t>
        </is>
      </c>
      <c r="E861" s="4" t="inlineStr">
        <is>
          <t>2127</t>
        </is>
      </c>
      <c r="F861" s="4" t="inlineStr">
        <is>
          <t>LIM</t>
        </is>
      </c>
      <c r="G861" s="4" t="inlineStr">
        <is>
          <t>CUZ</t>
        </is>
      </c>
      <c r="H861" s="4" t="inlineStr">
        <is>
          <t>16:10:00</t>
        </is>
      </c>
      <c r="I861" s="4" t="inlineStr">
        <is>
          <t>17:30:00</t>
        </is>
      </c>
      <c r="J861" s="4" t="inlineStr">
        <is>
          <t>320</t>
        </is>
      </c>
      <c r="L861" s="4" t="inlineStr">
        <is>
          <t>01:20:00</t>
        </is>
      </c>
      <c r="M861" s="5" t="n"/>
      <c r="O861" s="5" t="n"/>
      <c r="Q861" s="4">
        <f>B861</f>
        <v/>
      </c>
      <c r="R861" s="4">
        <f>C861</f>
        <v/>
      </c>
      <c r="S861" s="4">
        <f>D861</f>
        <v/>
      </c>
      <c r="T861" s="4">
        <f>E861&amp;"/"&amp;E862</f>
        <v/>
      </c>
      <c r="U861" s="4">
        <f>F861&amp;"-"&amp;G861&amp;"-"&amp;F861</f>
        <v/>
      </c>
      <c r="V861" s="4">
        <f>IF($M$861="","",$M$861)</f>
        <v/>
      </c>
      <c r="W861" s="4">
        <f>IF($O$861="","",$O$861)</f>
        <v/>
      </c>
      <c r="X861" s="4">
        <f>J861</f>
        <v/>
      </c>
    </row>
    <row r="862">
      <c r="B862" s="4" t="inlineStr">
        <is>
          <t>1006_0</t>
        </is>
      </c>
      <c r="C862" s="4" t="inlineStr">
        <is>
          <t>11/09/2026</t>
        </is>
      </c>
      <c r="D862" s="4" t="inlineStr">
        <is>
          <t>viernes</t>
        </is>
      </c>
      <c r="E862" s="4" t="inlineStr">
        <is>
          <t>2026</t>
        </is>
      </c>
      <c r="F862" s="4" t="inlineStr">
        <is>
          <t>CUZ</t>
        </is>
      </c>
      <c r="G862" s="4" t="inlineStr">
        <is>
          <t>LIM</t>
        </is>
      </c>
      <c r="H862" s="4" t="inlineStr">
        <is>
          <t>18:10:00</t>
        </is>
      </c>
      <c r="I862" s="4" t="inlineStr">
        <is>
          <t>19:50:00</t>
        </is>
      </c>
      <c r="J862" s="4" t="inlineStr">
        <is>
          <t>320</t>
        </is>
      </c>
      <c r="K862">
        <f>TEXT(TIMEVALUE(H862)-TIMEVALUE(I861)+(TIMEVALUE(H862)&lt;TIMEVALUE(I861)),"[h]:mm")</f>
        <v/>
      </c>
      <c r="L862" s="4" t="inlineStr">
        <is>
          <t>01:40:00</t>
        </is>
      </c>
      <c r="O862">
        <f>"LIM-"&amp;G861&amp;"-LIM   LA "&amp;E861&amp;" ("&amp;LEFT(H861,5)&amp;"-"&amp;LEFT(I861,5)&amp;" hrs)  /  LA "&amp;E862&amp;" ("&amp;LEFT(H862,5)&amp;"-"&amp;LEFT(I862,5)&amp;" hrs)"</f>
        <v/>
      </c>
    </row>
    <row r="863">
      <c r="J863" s="7" t="inlineStr">
        <is>
          <t>PSV total:</t>
        </is>
      </c>
      <c r="K863" s="8">
        <f>TEXT(TIMEVALUE(I862)-TIMEVALUE(H861)+(I862&lt;H861),"[h]:mm")</f>
        <v/>
      </c>
    </row>
    <row r="865">
      <c r="B865" s="3" t="inlineStr">
        <is>
          <t>Pairing ID</t>
        </is>
      </c>
      <c r="C865" s="3" t="inlineStr">
        <is>
          <t>FECHA REAL</t>
        </is>
      </c>
      <c r="D865" s="3" t="inlineStr">
        <is>
          <t>Day of Week</t>
        </is>
      </c>
      <c r="E865" s="3" t="inlineStr">
        <is>
          <t>Flight No</t>
        </is>
      </c>
      <c r="F865" s="3" t="inlineStr">
        <is>
          <t>Dep Stn</t>
        </is>
      </c>
      <c r="G865" s="3" t="inlineStr">
        <is>
          <t>Arr Stn</t>
        </is>
      </c>
      <c r="H865" s="3" t="inlineStr">
        <is>
          <t>STD</t>
        </is>
      </c>
      <c r="I865" s="3" t="inlineStr">
        <is>
          <t>STA</t>
        </is>
      </c>
      <c r="J865" s="3" t="inlineStr">
        <is>
          <t>subflota</t>
        </is>
      </c>
      <c r="K865" s="3" t="inlineStr">
        <is>
          <t>Conexion</t>
        </is>
      </c>
      <c r="L865" s="3" t="inlineStr">
        <is>
          <t>HBT</t>
        </is>
      </c>
    </row>
    <row r="866">
      <c r="B866" s="4" t="inlineStr">
        <is>
          <t>1007_0</t>
        </is>
      </c>
      <c r="C866" s="4" t="inlineStr">
        <is>
          <t>11/09/2026</t>
        </is>
      </c>
      <c r="D866" s="4" t="inlineStr">
        <is>
          <t>viernes</t>
        </is>
      </c>
      <c r="E866" s="4" t="inlineStr">
        <is>
          <t>2053</t>
        </is>
      </c>
      <c r="F866" s="4" t="inlineStr">
        <is>
          <t>LIM</t>
        </is>
      </c>
      <c r="G866" s="4" t="inlineStr">
        <is>
          <t>TBP</t>
        </is>
      </c>
      <c r="H866" s="4" t="inlineStr">
        <is>
          <t>16:20:00</t>
        </is>
      </c>
      <c r="I866" s="4" t="inlineStr">
        <is>
          <t>18:10:00</t>
        </is>
      </c>
      <c r="J866" s="4" t="inlineStr">
        <is>
          <t>319</t>
        </is>
      </c>
      <c r="L866" s="4" t="inlineStr">
        <is>
          <t>01:50:00</t>
        </is>
      </c>
      <c r="M866" s="5" t="n"/>
      <c r="O866" s="5" t="n"/>
      <c r="Q866" s="4">
        <f>B866</f>
        <v/>
      </c>
      <c r="R866" s="4">
        <f>C866</f>
        <v/>
      </c>
      <c r="S866" s="4">
        <f>D866</f>
        <v/>
      </c>
      <c r="T866" s="4">
        <f>E866&amp;"/"&amp;E867</f>
        <v/>
      </c>
      <c r="U866" s="4">
        <f>F866&amp;"-"&amp;G866&amp;"-"&amp;F866</f>
        <v/>
      </c>
      <c r="V866" s="4">
        <f>IF($M$866="","",$M$866)</f>
        <v/>
      </c>
      <c r="W866" s="4">
        <f>IF($O$866="","",$O$866)</f>
        <v/>
      </c>
      <c r="X866" s="4">
        <f>J866</f>
        <v/>
      </c>
    </row>
    <row r="867">
      <c r="B867" s="4" t="inlineStr">
        <is>
          <t>1007_0</t>
        </is>
      </c>
      <c r="C867" s="4" t="inlineStr">
        <is>
          <t>11/09/2026</t>
        </is>
      </c>
      <c r="D867" s="4" t="inlineStr">
        <is>
          <t>viernes</t>
        </is>
      </c>
      <c r="E867" s="4" t="inlineStr">
        <is>
          <t>2054</t>
        </is>
      </c>
      <c r="F867" s="4" t="inlineStr">
        <is>
          <t>TBP</t>
        </is>
      </c>
      <c r="G867" s="4" t="inlineStr">
        <is>
          <t>LIM</t>
        </is>
      </c>
      <c r="H867" s="4" t="inlineStr">
        <is>
          <t>18:50:00</t>
        </is>
      </c>
      <c r="I867" s="4" t="inlineStr">
        <is>
          <t>20:30:00</t>
        </is>
      </c>
      <c r="J867" s="4" t="inlineStr">
        <is>
          <t>319</t>
        </is>
      </c>
      <c r="K867">
        <f>TEXT(TIMEVALUE(H867)-TIMEVALUE(I866)+(TIMEVALUE(H867)&lt;TIMEVALUE(I866)),"[h]:mm")</f>
        <v/>
      </c>
      <c r="L867" s="4" t="inlineStr">
        <is>
          <t>01:40:00</t>
        </is>
      </c>
      <c r="O867">
        <f>"LIM-"&amp;G866&amp;"-LIM   LA "&amp;E866&amp;" ("&amp;LEFT(H866,5)&amp;"-"&amp;LEFT(I866,5)&amp;" hrs)  /  LA "&amp;E867&amp;" ("&amp;LEFT(H867,5)&amp;"-"&amp;LEFT(I867,5)&amp;" hrs)"</f>
        <v/>
      </c>
    </row>
    <row r="868">
      <c r="J868" s="7" t="inlineStr">
        <is>
          <t>PSV total:</t>
        </is>
      </c>
      <c r="K868" s="8">
        <f>TEXT(TIMEVALUE(I867)-TIMEVALUE(H866)+(I867&lt;H866),"[h]:mm")</f>
        <v/>
      </c>
    </row>
    <row r="870">
      <c r="B870" s="3" t="inlineStr">
        <is>
          <t>Pairing ID</t>
        </is>
      </c>
      <c r="C870" s="3" t="inlineStr">
        <is>
          <t>FECHA REAL</t>
        </is>
      </c>
      <c r="D870" s="3" t="inlineStr">
        <is>
          <t>Day of Week</t>
        </is>
      </c>
      <c r="E870" s="3" t="inlineStr">
        <is>
          <t>Flight No</t>
        </is>
      </c>
      <c r="F870" s="3" t="inlineStr">
        <is>
          <t>Dep Stn</t>
        </is>
      </c>
      <c r="G870" s="3" t="inlineStr">
        <is>
          <t>Arr Stn</t>
        </is>
      </c>
      <c r="H870" s="3" t="inlineStr">
        <is>
          <t>STD</t>
        </is>
      </c>
      <c r="I870" s="3" t="inlineStr">
        <is>
          <t>STA</t>
        </is>
      </c>
      <c r="J870" s="3" t="inlineStr">
        <is>
          <t>subflota</t>
        </is>
      </c>
      <c r="K870" s="3" t="inlineStr">
        <is>
          <t>Conexion</t>
        </is>
      </c>
      <c r="L870" s="3" t="inlineStr">
        <is>
          <t>HBT</t>
        </is>
      </c>
    </row>
    <row r="871">
      <c r="B871" s="4" t="inlineStr">
        <is>
          <t>1009_0</t>
        </is>
      </c>
      <c r="C871" s="4" t="inlineStr">
        <is>
          <t>11/09/2026</t>
        </is>
      </c>
      <c r="D871" s="4" t="inlineStr">
        <is>
          <t>viernes</t>
        </is>
      </c>
      <c r="E871" s="4" t="inlineStr">
        <is>
          <t>2276</t>
        </is>
      </c>
      <c r="F871" s="4" t="inlineStr">
        <is>
          <t>LIM</t>
        </is>
      </c>
      <c r="G871" s="4" t="inlineStr">
        <is>
          <t>CUZ</t>
        </is>
      </c>
      <c r="H871" s="4" t="inlineStr">
        <is>
          <t>16:35:00</t>
        </is>
      </c>
      <c r="I871" s="4" t="inlineStr">
        <is>
          <t>17:55:00</t>
        </is>
      </c>
      <c r="J871" s="4" t="inlineStr">
        <is>
          <t>320</t>
        </is>
      </c>
      <c r="L871" s="4" t="inlineStr">
        <is>
          <t>01:20:00</t>
        </is>
      </c>
      <c r="M871" s="5" t="n"/>
      <c r="O871" s="5" t="n"/>
      <c r="Q871" s="4">
        <f>B871</f>
        <v/>
      </c>
      <c r="R871" s="4">
        <f>C871</f>
        <v/>
      </c>
      <c r="S871" s="4">
        <f>D871</f>
        <v/>
      </c>
      <c r="T871" s="4">
        <f>E871&amp;"/"&amp;E872</f>
        <v/>
      </c>
      <c r="U871" s="4">
        <f>F871&amp;"-"&amp;G871&amp;"-"&amp;F871</f>
        <v/>
      </c>
      <c r="V871" s="4">
        <f>IF($M$871="","",$M$871)</f>
        <v/>
      </c>
      <c r="W871" s="4">
        <f>IF($O$871="","",$O$871)</f>
        <v/>
      </c>
      <c r="X871" s="4">
        <f>J871</f>
        <v/>
      </c>
    </row>
    <row r="872">
      <c r="B872" s="4" t="inlineStr">
        <is>
          <t>1009_0</t>
        </is>
      </c>
      <c r="C872" s="4" t="inlineStr">
        <is>
          <t>11/09/2026</t>
        </is>
      </c>
      <c r="D872" s="4" t="inlineStr">
        <is>
          <t>viernes</t>
        </is>
      </c>
      <c r="E872" s="4" t="inlineStr">
        <is>
          <t>2277</t>
        </is>
      </c>
      <c r="F872" s="4" t="inlineStr">
        <is>
          <t>CUZ</t>
        </is>
      </c>
      <c r="G872" s="4" t="inlineStr">
        <is>
          <t>LIM</t>
        </is>
      </c>
      <c r="H872" s="4" t="inlineStr">
        <is>
          <t>18:50:00</t>
        </is>
      </c>
      <c r="I872" s="4" t="inlineStr">
        <is>
          <t>20:25:00</t>
        </is>
      </c>
      <c r="J872" s="4" t="inlineStr">
        <is>
          <t>320</t>
        </is>
      </c>
      <c r="K872">
        <f>TEXT(TIMEVALUE(H872)-TIMEVALUE(I871)+(TIMEVALUE(H872)&lt;TIMEVALUE(I871)),"[h]:mm")</f>
        <v/>
      </c>
      <c r="L872" s="4" t="inlineStr">
        <is>
          <t>01:35:00</t>
        </is>
      </c>
      <c r="O872">
        <f>"LIM-"&amp;G871&amp;"-LIM   LA "&amp;E871&amp;" ("&amp;LEFT(H871,5)&amp;"-"&amp;LEFT(I871,5)&amp;" hrs)  /  LA "&amp;E872&amp;" ("&amp;LEFT(H872,5)&amp;"-"&amp;LEFT(I872,5)&amp;" hrs)"</f>
        <v/>
      </c>
    </row>
    <row r="873">
      <c r="J873" s="7" t="inlineStr">
        <is>
          <t>PSV total:</t>
        </is>
      </c>
      <c r="K873" s="8">
        <f>TEXT(TIMEVALUE(I872)-TIMEVALUE(H871)+(I872&lt;H871),"[h]:mm")</f>
        <v/>
      </c>
    </row>
    <row r="875">
      <c r="B875" s="3" t="inlineStr">
        <is>
          <t>Pairing ID</t>
        </is>
      </c>
      <c r="C875" s="3" t="inlineStr">
        <is>
          <t>FECHA REAL</t>
        </is>
      </c>
      <c r="D875" s="3" t="inlineStr">
        <is>
          <t>Day of Week</t>
        </is>
      </c>
      <c r="E875" s="3" t="inlineStr">
        <is>
          <t>Flight No</t>
        </is>
      </c>
      <c r="F875" s="3" t="inlineStr">
        <is>
          <t>Dep Stn</t>
        </is>
      </c>
      <c r="G875" s="3" t="inlineStr">
        <is>
          <t>Arr Stn</t>
        </is>
      </c>
      <c r="H875" s="3" t="inlineStr">
        <is>
          <t>STD</t>
        </is>
      </c>
      <c r="I875" s="3" t="inlineStr">
        <is>
          <t>STA</t>
        </is>
      </c>
      <c r="J875" s="3" t="inlineStr">
        <is>
          <t>subflota</t>
        </is>
      </c>
      <c r="K875" s="3" t="inlineStr">
        <is>
          <t>Conexion</t>
        </is>
      </c>
      <c r="L875" s="3" t="inlineStr">
        <is>
          <t>HBT</t>
        </is>
      </c>
    </row>
    <row r="876">
      <c r="B876" s="4" t="inlineStr">
        <is>
          <t>1008_0</t>
        </is>
      </c>
      <c r="C876" s="4" t="inlineStr">
        <is>
          <t>11/09/2026</t>
        </is>
      </c>
      <c r="D876" s="4" t="inlineStr">
        <is>
          <t>viernes</t>
        </is>
      </c>
      <c r="E876" s="4" t="inlineStr">
        <is>
          <t>2276</t>
        </is>
      </c>
      <c r="F876" s="4" t="inlineStr">
        <is>
          <t>LIM</t>
        </is>
      </c>
      <c r="G876" s="4" t="inlineStr">
        <is>
          <t>CUZ</t>
        </is>
      </c>
      <c r="H876" s="4" t="inlineStr">
        <is>
          <t>16:35:00</t>
        </is>
      </c>
      <c r="I876" s="4" t="inlineStr">
        <is>
          <t>17:55:00</t>
        </is>
      </c>
      <c r="J876" s="4" t="inlineStr">
        <is>
          <t>320</t>
        </is>
      </c>
      <c r="L876" s="4" t="inlineStr">
        <is>
          <t>01:20:00</t>
        </is>
      </c>
      <c r="M876" s="5" t="n"/>
      <c r="O876" s="5" t="n"/>
      <c r="Q876" s="4">
        <f>B876</f>
        <v/>
      </c>
      <c r="R876" s="4">
        <f>C876</f>
        <v/>
      </c>
      <c r="S876" s="4">
        <f>D876</f>
        <v/>
      </c>
      <c r="T876" s="4">
        <f>E876&amp;"/"&amp;E877</f>
        <v/>
      </c>
      <c r="U876" s="4">
        <f>F876&amp;"-"&amp;G876&amp;"-"&amp;F876</f>
        <v/>
      </c>
      <c r="V876" s="4">
        <f>IF($M$876="","",$M$876)</f>
        <v/>
      </c>
      <c r="W876" s="4">
        <f>IF($O$876="","",$O$876)</f>
        <v/>
      </c>
      <c r="X876" s="4">
        <f>J876</f>
        <v/>
      </c>
    </row>
    <row r="877">
      <c r="B877" s="4" t="inlineStr">
        <is>
          <t>1008_0</t>
        </is>
      </c>
      <c r="C877" s="4" t="inlineStr">
        <is>
          <t>11/09/2026</t>
        </is>
      </c>
      <c r="D877" s="4" t="inlineStr">
        <is>
          <t>viernes</t>
        </is>
      </c>
      <c r="E877" s="4" t="inlineStr">
        <is>
          <t>2277</t>
        </is>
      </c>
      <c r="F877" s="4" t="inlineStr">
        <is>
          <t>CUZ</t>
        </is>
      </c>
      <c r="G877" s="4" t="inlineStr">
        <is>
          <t>LIM</t>
        </is>
      </c>
      <c r="H877" s="4" t="inlineStr">
        <is>
          <t>18:50:00</t>
        </is>
      </c>
      <c r="I877" s="4" t="inlineStr">
        <is>
          <t>20:25:00</t>
        </is>
      </c>
      <c r="J877" s="4" t="inlineStr">
        <is>
          <t>320</t>
        </is>
      </c>
      <c r="K877">
        <f>TEXT(TIMEVALUE(H877)-TIMEVALUE(I876)+(TIMEVALUE(H877)&lt;TIMEVALUE(I876)),"[h]:mm")</f>
        <v/>
      </c>
      <c r="L877" s="4" t="inlineStr">
        <is>
          <t>01:35:00</t>
        </is>
      </c>
      <c r="O877">
        <f>"LIM-"&amp;G876&amp;"-LIM   LA "&amp;E876&amp;" ("&amp;LEFT(H876,5)&amp;"-"&amp;LEFT(I876,5)&amp;" hrs)  /  LA "&amp;E877&amp;" ("&amp;LEFT(H877,5)&amp;"-"&amp;LEFT(I877,5)&amp;" hrs)"</f>
        <v/>
      </c>
    </row>
    <row r="878">
      <c r="J878" s="7" t="inlineStr">
        <is>
          <t>PSV total:</t>
        </is>
      </c>
      <c r="K878" s="8">
        <f>TEXT(TIMEVALUE(I877)-TIMEVALUE(H876)+(I877&lt;H876),"[h]:mm")</f>
        <v/>
      </c>
    </row>
    <row r="880">
      <c r="B880" s="3" t="inlineStr">
        <is>
          <t>Pairing ID</t>
        </is>
      </c>
      <c r="C880" s="3" t="inlineStr">
        <is>
          <t>FECHA REAL</t>
        </is>
      </c>
      <c r="D880" s="3" t="inlineStr">
        <is>
          <t>Day of Week</t>
        </is>
      </c>
      <c r="E880" s="3" t="inlineStr">
        <is>
          <t>Flight No</t>
        </is>
      </c>
      <c r="F880" s="3" t="inlineStr">
        <is>
          <t>Dep Stn</t>
        </is>
      </c>
      <c r="G880" s="3" t="inlineStr">
        <is>
          <t>Arr Stn</t>
        </is>
      </c>
      <c r="H880" s="3" t="inlineStr">
        <is>
          <t>STD</t>
        </is>
      </c>
      <c r="I880" s="3" t="inlineStr">
        <is>
          <t>STA</t>
        </is>
      </c>
      <c r="J880" s="3" t="inlineStr">
        <is>
          <t>subflota</t>
        </is>
      </c>
      <c r="K880" s="3" t="inlineStr">
        <is>
          <t>Conexion</t>
        </is>
      </c>
      <c r="L880" s="3" t="inlineStr">
        <is>
          <t>HBT</t>
        </is>
      </c>
    </row>
    <row r="881">
      <c r="B881" s="4" t="inlineStr">
        <is>
          <t>1067_0</t>
        </is>
      </c>
      <c r="C881" s="4" t="inlineStr">
        <is>
          <t>12/09/2026</t>
        </is>
      </c>
      <c r="D881" s="4" t="inlineStr">
        <is>
          <t>sábado</t>
        </is>
      </c>
      <c r="E881" s="4" t="inlineStr">
        <is>
          <t>2071</t>
        </is>
      </c>
      <c r="F881" s="4" t="inlineStr">
        <is>
          <t>LIM</t>
        </is>
      </c>
      <c r="G881" s="4" t="inlineStr">
        <is>
          <t>TCQ</t>
        </is>
      </c>
      <c r="H881" s="4" t="inlineStr">
        <is>
          <t>10:30:00</t>
        </is>
      </c>
      <c r="I881" s="4" t="inlineStr">
        <is>
          <t>12:25:00</t>
        </is>
      </c>
      <c r="J881" s="4" t="inlineStr">
        <is>
          <t>320</t>
        </is>
      </c>
      <c r="L881" s="4" t="inlineStr">
        <is>
          <t>01:55:00</t>
        </is>
      </c>
      <c r="M881" s="5" t="n"/>
      <c r="O881" s="5" t="n"/>
      <c r="Q881" s="4">
        <f>B881</f>
        <v/>
      </c>
      <c r="R881" s="4">
        <f>C881</f>
        <v/>
      </c>
      <c r="S881" s="4">
        <f>D881</f>
        <v/>
      </c>
      <c r="T881" s="4">
        <f>E881&amp;"/"&amp;E882</f>
        <v/>
      </c>
      <c r="U881" s="4">
        <f>F881&amp;"-"&amp;G881&amp;"-"&amp;F881</f>
        <v/>
      </c>
      <c r="V881" s="4">
        <f>IF($M$881="","",$M$881)</f>
        <v/>
      </c>
      <c r="W881" s="4">
        <f>IF($O$881="","",$O$881)</f>
        <v/>
      </c>
      <c r="X881" s="4">
        <f>J881</f>
        <v/>
      </c>
    </row>
    <row r="882">
      <c r="B882" s="4" t="inlineStr">
        <is>
          <t>1067_0</t>
        </is>
      </c>
      <c r="C882" s="4" t="inlineStr">
        <is>
          <t>12/09/2026</t>
        </is>
      </c>
      <c r="D882" s="4" t="inlineStr">
        <is>
          <t>sábado</t>
        </is>
      </c>
      <c r="E882" s="4" t="inlineStr">
        <is>
          <t>2072</t>
        </is>
      </c>
      <c r="F882" s="4" t="inlineStr">
        <is>
          <t>TCQ</t>
        </is>
      </c>
      <c r="G882" s="4" t="inlineStr">
        <is>
          <t>LIM</t>
        </is>
      </c>
      <c r="H882" s="4" t="inlineStr">
        <is>
          <t>13:00:00</t>
        </is>
      </c>
      <c r="I882" s="4" t="inlineStr">
        <is>
          <t>14:55:00</t>
        </is>
      </c>
      <c r="J882" s="4" t="inlineStr">
        <is>
          <t>320</t>
        </is>
      </c>
      <c r="K882">
        <f>TEXT(TIMEVALUE(H882)-TIMEVALUE(I881)+(TIMEVALUE(H882)&lt;TIMEVALUE(I881)),"[h]:mm")</f>
        <v/>
      </c>
      <c r="L882" s="4" t="inlineStr">
        <is>
          <t>01:55:00</t>
        </is>
      </c>
      <c r="O882">
        <f>"LIM-"&amp;G881&amp;"-LIM   LA "&amp;E881&amp;" ("&amp;LEFT(H881,5)&amp;"-"&amp;LEFT(I881,5)&amp;" hrs)  /  LA "&amp;E882&amp;" ("&amp;LEFT(H882,5)&amp;"-"&amp;LEFT(I882,5)&amp;" hrs)"</f>
        <v/>
      </c>
    </row>
    <row r="883">
      <c r="J883" s="7" t="inlineStr">
        <is>
          <t>PSV total:</t>
        </is>
      </c>
      <c r="K883" s="8">
        <f>TEXT(TIMEVALUE(I882)-TIMEVALUE(H881)+(I882&lt;H881),"[h]:mm")</f>
        <v/>
      </c>
    </row>
    <row r="885">
      <c r="B885" s="3" t="inlineStr">
        <is>
          <t>Pairing ID</t>
        </is>
      </c>
      <c r="C885" s="3" t="inlineStr">
        <is>
          <t>FECHA REAL</t>
        </is>
      </c>
      <c r="D885" s="3" t="inlineStr">
        <is>
          <t>Day of Week</t>
        </is>
      </c>
      <c r="E885" s="3" t="inlineStr">
        <is>
          <t>Flight No</t>
        </is>
      </c>
      <c r="F885" s="3" t="inlineStr">
        <is>
          <t>Dep Stn</t>
        </is>
      </c>
      <c r="G885" s="3" t="inlineStr">
        <is>
          <t>Arr Stn</t>
        </is>
      </c>
      <c r="H885" s="3" t="inlineStr">
        <is>
          <t>STD</t>
        </is>
      </c>
      <c r="I885" s="3" t="inlineStr">
        <is>
          <t>STA</t>
        </is>
      </c>
      <c r="J885" s="3" t="inlineStr">
        <is>
          <t>subflota</t>
        </is>
      </c>
      <c r="K885" s="3" t="inlineStr">
        <is>
          <t>Conexion</t>
        </is>
      </c>
      <c r="L885" s="3" t="inlineStr">
        <is>
          <t>HBT</t>
        </is>
      </c>
    </row>
    <row r="886">
      <c r="B886" s="4" t="inlineStr">
        <is>
          <t>1070_0</t>
        </is>
      </c>
      <c r="C886" s="4" t="inlineStr">
        <is>
          <t>12/09/2026</t>
        </is>
      </c>
      <c r="D886" s="4" t="inlineStr">
        <is>
          <t>sábado</t>
        </is>
      </c>
      <c r="E886" s="4" t="inlineStr">
        <is>
          <t>2299</t>
        </is>
      </c>
      <c r="F886" s="4" t="inlineStr">
        <is>
          <t>LIM</t>
        </is>
      </c>
      <c r="G886" s="4" t="inlineStr">
        <is>
          <t>CJA</t>
        </is>
      </c>
      <c r="H886" s="4" t="inlineStr">
        <is>
          <t>11:35:00</t>
        </is>
      </c>
      <c r="I886" s="4" t="inlineStr">
        <is>
          <t>12:55:00</t>
        </is>
      </c>
      <c r="J886" s="4" t="inlineStr">
        <is>
          <t>320</t>
        </is>
      </c>
      <c r="L886" s="4" t="inlineStr">
        <is>
          <t>01:20:00</t>
        </is>
      </c>
      <c r="M886" s="5" t="n"/>
      <c r="O886" s="5" t="n"/>
      <c r="Q886" s="4">
        <f>B886</f>
        <v/>
      </c>
      <c r="R886" s="4">
        <f>C886</f>
        <v/>
      </c>
      <c r="S886" s="4">
        <f>D886</f>
        <v/>
      </c>
      <c r="T886" s="4">
        <f>E886&amp;"/"&amp;E887</f>
        <v/>
      </c>
      <c r="U886" s="4">
        <f>F886&amp;"-"&amp;G886&amp;"-"&amp;F886</f>
        <v/>
      </c>
      <c r="V886" s="4">
        <f>IF($M$886="","",$M$886)</f>
        <v/>
      </c>
      <c r="W886" s="4">
        <f>IF($O$886="","",$O$886)</f>
        <v/>
      </c>
      <c r="X886" s="4">
        <f>J886</f>
        <v/>
      </c>
    </row>
    <row r="887">
      <c r="B887" s="4" t="inlineStr">
        <is>
          <t>1070_0</t>
        </is>
      </c>
      <c r="C887" s="4" t="inlineStr">
        <is>
          <t>12/09/2026</t>
        </is>
      </c>
      <c r="D887" s="4" t="inlineStr">
        <is>
          <t>sábado</t>
        </is>
      </c>
      <c r="E887" s="4" t="inlineStr">
        <is>
          <t>2298</t>
        </is>
      </c>
      <c r="F887" s="4" t="inlineStr">
        <is>
          <t>CJA</t>
        </is>
      </c>
      <c r="G887" s="4" t="inlineStr">
        <is>
          <t>LIM</t>
        </is>
      </c>
      <c r="H887" s="4" t="inlineStr">
        <is>
          <t>13:40:00</t>
        </is>
      </c>
      <c r="I887" s="4" t="inlineStr">
        <is>
          <t>14:50:00</t>
        </is>
      </c>
      <c r="J887" s="4" t="inlineStr">
        <is>
          <t>320</t>
        </is>
      </c>
      <c r="K887">
        <f>TEXT(TIMEVALUE(H887)-TIMEVALUE(I886)+(TIMEVALUE(H887)&lt;TIMEVALUE(I886)),"[h]:mm")</f>
        <v/>
      </c>
      <c r="L887" s="4" t="inlineStr">
        <is>
          <t>01:10:00</t>
        </is>
      </c>
      <c r="O887">
        <f>"LIM-"&amp;G886&amp;"-LIM   LA "&amp;E886&amp;" ("&amp;LEFT(H886,5)&amp;"-"&amp;LEFT(I886,5)&amp;" hrs)  /  LA "&amp;E887&amp;" ("&amp;LEFT(H887,5)&amp;"-"&amp;LEFT(I887,5)&amp;" hrs)"</f>
        <v/>
      </c>
    </row>
    <row r="888">
      <c r="J888" s="7" t="inlineStr">
        <is>
          <t>PSV total:</t>
        </is>
      </c>
      <c r="K888" s="8">
        <f>TEXT(TIMEVALUE(I887)-TIMEVALUE(H886)+(I887&lt;H886),"[h]:mm")</f>
        <v/>
      </c>
    </row>
    <row r="890">
      <c r="B890" s="3" t="inlineStr">
        <is>
          <t>Pairing ID</t>
        </is>
      </c>
      <c r="C890" s="3" t="inlineStr">
        <is>
          <t>FECHA REAL</t>
        </is>
      </c>
      <c r="D890" s="3" t="inlineStr">
        <is>
          <t>Day of Week</t>
        </is>
      </c>
      <c r="E890" s="3" t="inlineStr">
        <is>
          <t>Flight No</t>
        </is>
      </c>
      <c r="F890" s="3" t="inlineStr">
        <is>
          <t>Dep Stn</t>
        </is>
      </c>
      <c r="G890" s="3" t="inlineStr">
        <is>
          <t>Arr Stn</t>
        </is>
      </c>
      <c r="H890" s="3" t="inlineStr">
        <is>
          <t>STD</t>
        </is>
      </c>
      <c r="I890" s="3" t="inlineStr">
        <is>
          <t>STA</t>
        </is>
      </c>
      <c r="J890" s="3" t="inlineStr">
        <is>
          <t>subflota</t>
        </is>
      </c>
      <c r="K890" s="3" t="inlineStr">
        <is>
          <t>Conexion</t>
        </is>
      </c>
      <c r="L890" s="3" t="inlineStr">
        <is>
          <t>HBT</t>
        </is>
      </c>
    </row>
    <row r="891">
      <c r="B891" s="4" t="inlineStr">
        <is>
          <t>1072_0</t>
        </is>
      </c>
      <c r="C891" s="4" t="inlineStr">
        <is>
          <t>12/09/2026</t>
        </is>
      </c>
      <c r="D891" s="4" t="inlineStr">
        <is>
          <t>sábado</t>
        </is>
      </c>
      <c r="E891" s="4" t="inlineStr">
        <is>
          <t>2061</t>
        </is>
      </c>
      <c r="F891" s="4" t="inlineStr">
        <is>
          <t>LIM</t>
        </is>
      </c>
      <c r="G891" s="4" t="inlineStr">
        <is>
          <t>CUZ</t>
        </is>
      </c>
      <c r="H891" s="4" t="inlineStr">
        <is>
          <t>11:40:00</t>
        </is>
      </c>
      <c r="I891" s="4" t="inlineStr">
        <is>
          <t>13:00:00</t>
        </is>
      </c>
      <c r="J891" s="4" t="inlineStr">
        <is>
          <t>320</t>
        </is>
      </c>
      <c r="L891" s="4" t="inlineStr">
        <is>
          <t>01:20:00</t>
        </is>
      </c>
      <c r="M891" s="5" t="n"/>
      <c r="O891" s="5" t="n"/>
      <c r="Q891" s="4">
        <f>B891</f>
        <v/>
      </c>
      <c r="R891" s="4">
        <f>C891</f>
        <v/>
      </c>
      <c r="S891" s="4">
        <f>D891</f>
        <v/>
      </c>
      <c r="T891" s="4">
        <f>E891&amp;"/"&amp;E892</f>
        <v/>
      </c>
      <c r="U891" s="4">
        <f>F891&amp;"-"&amp;G891&amp;"-"&amp;F891</f>
        <v/>
      </c>
      <c r="V891" s="4">
        <f>IF($M$891="","",$M$891)</f>
        <v/>
      </c>
      <c r="W891" s="4">
        <f>IF($O$891="","",$O$891)</f>
        <v/>
      </c>
      <c r="X891" s="4">
        <f>J891</f>
        <v/>
      </c>
    </row>
    <row r="892">
      <c r="B892" s="4" t="inlineStr">
        <is>
          <t>1072_0</t>
        </is>
      </c>
      <c r="C892" s="4" t="inlineStr">
        <is>
          <t>12/09/2026</t>
        </is>
      </c>
      <c r="D892" s="4" t="inlineStr">
        <is>
          <t>sábado</t>
        </is>
      </c>
      <c r="E892" s="4" t="inlineStr">
        <is>
          <t>2062</t>
        </is>
      </c>
      <c r="F892" s="4" t="inlineStr">
        <is>
          <t>CUZ</t>
        </is>
      </c>
      <c r="G892" s="4" t="inlineStr">
        <is>
          <t>LIM</t>
        </is>
      </c>
      <c r="H892" s="4" t="inlineStr">
        <is>
          <t>13:40:00</t>
        </is>
      </c>
      <c r="I892" s="4" t="inlineStr">
        <is>
          <t>15:15:00</t>
        </is>
      </c>
      <c r="J892" s="4" t="inlineStr">
        <is>
          <t>320</t>
        </is>
      </c>
      <c r="K892">
        <f>TEXT(TIMEVALUE(H892)-TIMEVALUE(I891)+(TIMEVALUE(H892)&lt;TIMEVALUE(I891)),"[h]:mm")</f>
        <v/>
      </c>
      <c r="L892" s="4" t="inlineStr">
        <is>
          <t>01:35:00</t>
        </is>
      </c>
      <c r="O892">
        <f>"LIM-"&amp;G891&amp;"-LIM   LA "&amp;E891&amp;" ("&amp;LEFT(H891,5)&amp;"-"&amp;LEFT(I891,5)&amp;" hrs)  /  LA "&amp;E892&amp;" ("&amp;LEFT(H892,5)&amp;"-"&amp;LEFT(I892,5)&amp;" hrs)"</f>
        <v/>
      </c>
    </row>
    <row r="893">
      <c r="B893" s="4" t="inlineStr">
        <is>
          <t>1097_0</t>
        </is>
      </c>
      <c r="C893" s="4" t="inlineStr">
        <is>
          <t>12/09/2026</t>
        </is>
      </c>
      <c r="D893" s="4" t="inlineStr">
        <is>
          <t>sábado</t>
        </is>
      </c>
      <c r="E893" s="4" t="inlineStr">
        <is>
          <t>2215</t>
        </is>
      </c>
      <c r="F893" s="4" t="inlineStr">
        <is>
          <t>LIM</t>
        </is>
      </c>
      <c r="G893" s="4" t="inlineStr">
        <is>
          <t>TCQ</t>
        </is>
      </c>
      <c r="H893" s="4" t="inlineStr">
        <is>
          <t>16:30:00</t>
        </is>
      </c>
      <c r="I893" s="4" t="inlineStr">
        <is>
          <t>18:20:00</t>
        </is>
      </c>
      <c r="J893" s="4" t="inlineStr">
        <is>
          <t>320</t>
        </is>
      </c>
      <c r="K893" s="6">
        <f>TEXT(TIMEVALUE(H893)-TIMEVALUE(I892)+(TIMEVALUE(H893)&lt;TIMEVALUE(I892)),"[h]:mm")</f>
        <v/>
      </c>
      <c r="L893" s="4" t="inlineStr">
        <is>
          <t>01:50:00</t>
        </is>
      </c>
      <c r="M893">
        <f>IF($M$891="","",$M$891)</f>
        <v/>
      </c>
      <c r="O893">
        <f>IF($O$891="","",$O$891)</f>
        <v/>
      </c>
      <c r="Q893" s="4">
        <f>B893</f>
        <v/>
      </c>
      <c r="R893" s="4">
        <f>C893</f>
        <v/>
      </c>
      <c r="S893" s="4">
        <f>D893</f>
        <v/>
      </c>
      <c r="T893" s="4">
        <f>E893&amp;"/"&amp;E894</f>
        <v/>
      </c>
      <c r="U893" s="4">
        <f>F893&amp;"-"&amp;G893&amp;"-"&amp;F893</f>
        <v/>
      </c>
      <c r="V893" s="4">
        <f>IF($M$891="","",$M$891)</f>
        <v/>
      </c>
      <c r="W893" s="4">
        <f>IF($O$891="","",$O$891)</f>
        <v/>
      </c>
      <c r="X893" s="4">
        <f>J893</f>
        <v/>
      </c>
    </row>
    <row r="894">
      <c r="B894" s="4" t="inlineStr">
        <is>
          <t>1097_0</t>
        </is>
      </c>
      <c r="C894" s="4" t="inlineStr">
        <is>
          <t>12/09/2026</t>
        </is>
      </c>
      <c r="D894" s="4" t="inlineStr">
        <is>
          <t>sábado</t>
        </is>
      </c>
      <c r="E894" s="4" t="inlineStr">
        <is>
          <t>2216</t>
        </is>
      </c>
      <c r="F894" s="4" t="inlineStr">
        <is>
          <t>TCQ</t>
        </is>
      </c>
      <c r="G894" s="4" t="inlineStr">
        <is>
          <t>LIM</t>
        </is>
      </c>
      <c r="H894" s="4" t="inlineStr">
        <is>
          <t>18:55:00</t>
        </is>
      </c>
      <c r="I894" s="4" t="inlineStr">
        <is>
          <t>20:50:00</t>
        </is>
      </c>
      <c r="J894" s="4" t="inlineStr">
        <is>
          <t>320</t>
        </is>
      </c>
      <c r="K894">
        <f>TEXT(TIMEVALUE(H894)-TIMEVALUE(I893)+(TIMEVALUE(H894)&lt;TIMEVALUE(I893)),"[h]:mm")</f>
        <v/>
      </c>
      <c r="L894" s="4" t="inlineStr">
        <is>
          <t>01:55:00</t>
        </is>
      </c>
      <c r="O894">
        <f>"LIM-"&amp;G893&amp;"-LIM   LA "&amp;E893&amp;" ("&amp;LEFT(H893,5)&amp;"-"&amp;LEFT(I893,5)&amp;" hrs)  /  LA "&amp;E894&amp;" ("&amp;LEFT(H894,5)&amp;"-"&amp;LEFT(I894,5)&amp;" hrs)"</f>
        <v/>
      </c>
    </row>
    <row r="895">
      <c r="J895" s="7" t="inlineStr">
        <is>
          <t>PSV total:</t>
        </is>
      </c>
      <c r="K895" s="8">
        <f>TEXT(TIMEVALUE(I894)-TIMEVALUE(H891)+(I894&lt;H891),"[h]:mm")</f>
        <v/>
      </c>
    </row>
    <row r="897">
      <c r="B897" s="3" t="inlineStr">
        <is>
          <t>Pairing ID</t>
        </is>
      </c>
      <c r="C897" s="3" t="inlineStr">
        <is>
          <t>FECHA REAL</t>
        </is>
      </c>
      <c r="D897" s="3" t="inlineStr">
        <is>
          <t>Day of Week</t>
        </is>
      </c>
      <c r="E897" s="3" t="inlineStr">
        <is>
          <t>Flight No</t>
        </is>
      </c>
      <c r="F897" s="3" t="inlineStr">
        <is>
          <t>Dep Stn</t>
        </is>
      </c>
      <c r="G897" s="3" t="inlineStr">
        <is>
          <t>Arr Stn</t>
        </is>
      </c>
      <c r="H897" s="3" t="inlineStr">
        <is>
          <t>STD</t>
        </is>
      </c>
      <c r="I897" s="3" t="inlineStr">
        <is>
          <t>STA</t>
        </is>
      </c>
      <c r="J897" s="3" t="inlineStr">
        <is>
          <t>subflota</t>
        </is>
      </c>
      <c r="K897" s="3" t="inlineStr">
        <is>
          <t>Conexion</t>
        </is>
      </c>
      <c r="L897" s="3" t="inlineStr">
        <is>
          <t>HBT</t>
        </is>
      </c>
    </row>
    <row r="898">
      <c r="B898" s="4" t="inlineStr">
        <is>
          <t>1082_0</t>
        </is>
      </c>
      <c r="C898" s="4" t="inlineStr">
        <is>
          <t>12/09/2026</t>
        </is>
      </c>
      <c r="D898" s="4" t="inlineStr">
        <is>
          <t>sábado</t>
        </is>
      </c>
      <c r="E898" s="4" t="inlineStr">
        <is>
          <t>2028</t>
        </is>
      </c>
      <c r="F898" s="4" t="inlineStr">
        <is>
          <t>LIM</t>
        </is>
      </c>
      <c r="G898" s="4" t="inlineStr">
        <is>
          <t>CUZ</t>
        </is>
      </c>
      <c r="H898" s="4" t="inlineStr">
        <is>
          <t>13:25:00</t>
        </is>
      </c>
      <c r="I898" s="4" t="inlineStr">
        <is>
          <t>14:45:00</t>
        </is>
      </c>
      <c r="J898" s="4" t="inlineStr">
        <is>
          <t>320</t>
        </is>
      </c>
      <c r="L898" s="4" t="inlineStr">
        <is>
          <t>01:20:00</t>
        </is>
      </c>
      <c r="M898" s="5" t="n"/>
      <c r="O898" s="5" t="n"/>
      <c r="Q898" s="4">
        <f>B898</f>
        <v/>
      </c>
      <c r="R898" s="4">
        <f>C898</f>
        <v/>
      </c>
      <c r="S898" s="4">
        <f>D898</f>
        <v/>
      </c>
      <c r="T898" s="4">
        <f>E898&amp;"/"&amp;E899</f>
        <v/>
      </c>
      <c r="U898" s="4">
        <f>F898&amp;"-"&amp;G898&amp;"-"&amp;F898</f>
        <v/>
      </c>
      <c r="V898" s="4">
        <f>IF($M$898="","",$M$898)</f>
        <v/>
      </c>
      <c r="W898" s="4">
        <f>IF($O$898="","",$O$898)</f>
        <v/>
      </c>
      <c r="X898" s="4">
        <f>J898</f>
        <v/>
      </c>
    </row>
    <row r="899">
      <c r="B899" s="4" t="inlineStr">
        <is>
          <t>1082_0</t>
        </is>
      </c>
      <c r="C899" s="4" t="inlineStr">
        <is>
          <t>12/09/2026</t>
        </is>
      </c>
      <c r="D899" s="4" t="inlineStr">
        <is>
          <t>sábado</t>
        </is>
      </c>
      <c r="E899" s="4" t="inlineStr">
        <is>
          <t>2029</t>
        </is>
      </c>
      <c r="F899" s="4" t="inlineStr">
        <is>
          <t>CUZ</t>
        </is>
      </c>
      <c r="G899" s="4" t="inlineStr">
        <is>
          <t>LIM</t>
        </is>
      </c>
      <c r="H899" s="4" t="inlineStr">
        <is>
          <t>15:30:00</t>
        </is>
      </c>
      <c r="I899" s="4" t="inlineStr">
        <is>
          <t>17:05:00</t>
        </is>
      </c>
      <c r="J899" s="4" t="inlineStr">
        <is>
          <t>320</t>
        </is>
      </c>
      <c r="K899">
        <f>TEXT(TIMEVALUE(H899)-TIMEVALUE(I898)+(TIMEVALUE(H899)&lt;TIMEVALUE(I898)),"[h]:mm")</f>
        <v/>
      </c>
      <c r="L899" s="4" t="inlineStr">
        <is>
          <t>01:35:00</t>
        </is>
      </c>
      <c r="O899">
        <f>"LIM-"&amp;G898&amp;"-LIM   LA "&amp;E898&amp;" ("&amp;LEFT(H898,5)&amp;"-"&amp;LEFT(I898,5)&amp;" hrs)  /  LA "&amp;E899&amp;" ("&amp;LEFT(H899,5)&amp;"-"&amp;LEFT(I899,5)&amp;" hrs)"</f>
        <v/>
      </c>
    </row>
    <row r="900">
      <c r="B900" s="4" t="inlineStr">
        <is>
          <t>1101_0</t>
        </is>
      </c>
      <c r="C900" s="4" t="inlineStr">
        <is>
          <t>12/09/2026</t>
        </is>
      </c>
      <c r="D900" s="4" t="inlineStr">
        <is>
          <t>sábado</t>
        </is>
      </c>
      <c r="E900" s="4" t="inlineStr">
        <is>
          <t>2236</t>
        </is>
      </c>
      <c r="F900" s="4" t="inlineStr">
        <is>
          <t>LIM</t>
        </is>
      </c>
      <c r="G900" s="4" t="inlineStr">
        <is>
          <t>PIU</t>
        </is>
      </c>
      <c r="H900" s="4" t="inlineStr">
        <is>
          <t>18:00:00</t>
        </is>
      </c>
      <c r="I900" s="4" t="inlineStr">
        <is>
          <t>19:40:00</t>
        </is>
      </c>
      <c r="J900" s="4" t="inlineStr">
        <is>
          <t>319</t>
        </is>
      </c>
      <c r="K900" s="6">
        <f>TEXT(TIMEVALUE(H900)-TIMEVALUE(I899)+(TIMEVALUE(H900)&lt;TIMEVALUE(I899)),"[h]:mm")</f>
        <v/>
      </c>
      <c r="L900" s="4" t="inlineStr">
        <is>
          <t>01:40:00</t>
        </is>
      </c>
      <c r="M900">
        <f>IF($M$898="","",$M$898)</f>
        <v/>
      </c>
      <c r="O900">
        <f>IF($O$898="","",$O$898)</f>
        <v/>
      </c>
      <c r="Q900" s="4">
        <f>B900</f>
        <v/>
      </c>
      <c r="R900" s="4">
        <f>C900</f>
        <v/>
      </c>
      <c r="S900" s="4">
        <f>D900</f>
        <v/>
      </c>
      <c r="T900" s="4">
        <f>E900&amp;"/"&amp;E901</f>
        <v/>
      </c>
      <c r="U900" s="4">
        <f>F900&amp;"-"&amp;G900&amp;"-"&amp;F900</f>
        <v/>
      </c>
      <c r="V900" s="4">
        <f>IF($M$898="","",$M$898)</f>
        <v/>
      </c>
      <c r="W900" s="4">
        <f>IF($O$898="","",$O$898)</f>
        <v/>
      </c>
      <c r="X900" s="4">
        <f>J900</f>
        <v/>
      </c>
    </row>
    <row r="901">
      <c r="B901" s="4" t="inlineStr">
        <is>
          <t>1101_0</t>
        </is>
      </c>
      <c r="C901" s="4" t="inlineStr">
        <is>
          <t>12/09/2026</t>
        </is>
      </c>
      <c r="D901" s="4" t="inlineStr">
        <is>
          <t>sábado</t>
        </is>
      </c>
      <c r="E901" s="4" t="inlineStr">
        <is>
          <t>2237</t>
        </is>
      </c>
      <c r="F901" s="4" t="inlineStr">
        <is>
          <t>PIU</t>
        </is>
      </c>
      <c r="G901" s="4" t="inlineStr">
        <is>
          <t>LIM</t>
        </is>
      </c>
      <c r="H901" s="4" t="inlineStr">
        <is>
          <t>20:20:00</t>
        </is>
      </c>
      <c r="I901" s="4" t="inlineStr">
        <is>
          <t>21:50:00</t>
        </is>
      </c>
      <c r="J901" s="4" t="inlineStr">
        <is>
          <t>319</t>
        </is>
      </c>
      <c r="K901">
        <f>TEXT(TIMEVALUE(H901)-TIMEVALUE(I900)+(TIMEVALUE(H901)&lt;TIMEVALUE(I900)),"[h]:mm")</f>
        <v/>
      </c>
      <c r="L901" s="4" t="inlineStr">
        <is>
          <t>01:30:00</t>
        </is>
      </c>
      <c r="O901">
        <f>"LIM-"&amp;G900&amp;"-LIM   LA "&amp;E900&amp;" ("&amp;LEFT(H900,5)&amp;"-"&amp;LEFT(I900,5)&amp;" hrs)  /  LA "&amp;E901&amp;" ("&amp;LEFT(H901,5)&amp;"-"&amp;LEFT(I901,5)&amp;" hrs)"</f>
        <v/>
      </c>
    </row>
    <row r="902">
      <c r="J902" s="7" t="inlineStr">
        <is>
          <t>PSV total:</t>
        </is>
      </c>
      <c r="K902" s="8">
        <f>TEXT(TIMEVALUE(I901)-TIMEVALUE(H898)+(I901&lt;H898),"[h]:mm")</f>
        <v/>
      </c>
    </row>
    <row r="904">
      <c r="B904" s="3" t="inlineStr">
        <is>
          <t>Pairing ID</t>
        </is>
      </c>
      <c r="C904" s="3" t="inlineStr">
        <is>
          <t>FECHA REAL</t>
        </is>
      </c>
      <c r="D904" s="3" t="inlineStr">
        <is>
          <t>Day of Week</t>
        </is>
      </c>
      <c r="E904" s="3" t="inlineStr">
        <is>
          <t>Flight No</t>
        </is>
      </c>
      <c r="F904" s="3" t="inlineStr">
        <is>
          <t>Dep Stn</t>
        </is>
      </c>
      <c r="G904" s="3" t="inlineStr">
        <is>
          <t>Arr Stn</t>
        </is>
      </c>
      <c r="H904" s="3" t="inlineStr">
        <is>
          <t>STD</t>
        </is>
      </c>
      <c r="I904" s="3" t="inlineStr">
        <is>
          <t>STA</t>
        </is>
      </c>
      <c r="J904" s="3" t="inlineStr">
        <is>
          <t>subflota</t>
        </is>
      </c>
      <c r="K904" s="3" t="inlineStr">
        <is>
          <t>Conexion</t>
        </is>
      </c>
      <c r="L904" s="3" t="inlineStr">
        <is>
          <t>HBT</t>
        </is>
      </c>
    </row>
    <row r="905">
      <c r="B905" s="4" t="inlineStr">
        <is>
          <t>1083_0</t>
        </is>
      </c>
      <c r="C905" s="4" t="inlineStr">
        <is>
          <t>12/09/2026</t>
        </is>
      </c>
      <c r="D905" s="4" t="inlineStr">
        <is>
          <t>sábado</t>
        </is>
      </c>
      <c r="E905" s="4" t="inlineStr">
        <is>
          <t>2067</t>
        </is>
      </c>
      <c r="F905" s="4" t="inlineStr">
        <is>
          <t>LIM</t>
        </is>
      </c>
      <c r="G905" s="4" t="inlineStr">
        <is>
          <t>TCQ</t>
        </is>
      </c>
      <c r="H905" s="4" t="inlineStr">
        <is>
          <t>13:45:00</t>
        </is>
      </c>
      <c r="I905" s="4" t="inlineStr">
        <is>
          <t>15:35:00</t>
        </is>
      </c>
      <c r="J905" s="4" t="inlineStr">
        <is>
          <t>320</t>
        </is>
      </c>
      <c r="L905" s="4" t="inlineStr">
        <is>
          <t>01:50:00</t>
        </is>
      </c>
      <c r="M905" s="5" t="n"/>
      <c r="O905" s="5" t="n"/>
      <c r="Q905" s="4">
        <f>B905</f>
        <v/>
      </c>
      <c r="R905" s="4">
        <f>C905</f>
        <v/>
      </c>
      <c r="S905" s="4">
        <f>D905</f>
        <v/>
      </c>
      <c r="T905" s="4">
        <f>E905&amp;"/"&amp;E906</f>
        <v/>
      </c>
      <c r="U905" s="4">
        <f>F905&amp;"-"&amp;G905&amp;"-"&amp;F905</f>
        <v/>
      </c>
      <c r="V905" s="4">
        <f>IF($M$905="","",$M$905)</f>
        <v/>
      </c>
      <c r="W905" s="4">
        <f>IF($O$905="","",$O$905)</f>
        <v/>
      </c>
      <c r="X905" s="4">
        <f>J905</f>
        <v/>
      </c>
    </row>
    <row r="906">
      <c r="B906" s="4" t="inlineStr">
        <is>
          <t>1083_0</t>
        </is>
      </c>
      <c r="C906" s="4" t="inlineStr">
        <is>
          <t>12/09/2026</t>
        </is>
      </c>
      <c r="D906" s="4" t="inlineStr">
        <is>
          <t>sábado</t>
        </is>
      </c>
      <c r="E906" s="4" t="inlineStr">
        <is>
          <t>2068</t>
        </is>
      </c>
      <c r="F906" s="4" t="inlineStr">
        <is>
          <t>TCQ</t>
        </is>
      </c>
      <c r="G906" s="4" t="inlineStr">
        <is>
          <t>LIM</t>
        </is>
      </c>
      <c r="H906" s="4" t="inlineStr">
        <is>
          <t>16:20:00</t>
        </is>
      </c>
      <c r="I906" s="4" t="inlineStr">
        <is>
          <t>18:15:00</t>
        </is>
      </c>
      <c r="J906" s="4" t="inlineStr">
        <is>
          <t>320</t>
        </is>
      </c>
      <c r="K906">
        <f>TEXT(TIMEVALUE(H906)-TIMEVALUE(I905)+(TIMEVALUE(H906)&lt;TIMEVALUE(I905)),"[h]:mm")</f>
        <v/>
      </c>
      <c r="L906" s="4" t="inlineStr">
        <is>
          <t>01:55:00</t>
        </is>
      </c>
      <c r="O906">
        <f>"LIM-"&amp;G905&amp;"-LIM   LA "&amp;E905&amp;" ("&amp;LEFT(H905,5)&amp;"-"&amp;LEFT(I905,5)&amp;" hrs)  /  LA "&amp;E906&amp;" ("&amp;LEFT(H906,5)&amp;"-"&amp;LEFT(I906,5)&amp;" hrs)"</f>
        <v/>
      </c>
    </row>
    <row r="907">
      <c r="J907" s="7" t="inlineStr">
        <is>
          <t>PSV total:</t>
        </is>
      </c>
      <c r="K907" s="8">
        <f>TEXT(TIMEVALUE(I906)-TIMEVALUE(H905)+(I906&lt;H905),"[h]:mm")</f>
        <v/>
      </c>
    </row>
    <row r="909">
      <c r="B909" s="3" t="inlineStr">
        <is>
          <t>Pairing ID</t>
        </is>
      </c>
      <c r="C909" s="3" t="inlineStr">
        <is>
          <t>FECHA REAL</t>
        </is>
      </c>
      <c r="D909" s="3" t="inlineStr">
        <is>
          <t>Day of Week</t>
        </is>
      </c>
      <c r="E909" s="3" t="inlineStr">
        <is>
          <t>Flight No</t>
        </is>
      </c>
      <c r="F909" s="3" t="inlineStr">
        <is>
          <t>Dep Stn</t>
        </is>
      </c>
      <c r="G909" s="3" t="inlineStr">
        <is>
          <t>Arr Stn</t>
        </is>
      </c>
      <c r="H909" s="3" t="inlineStr">
        <is>
          <t>STD</t>
        </is>
      </c>
      <c r="I909" s="3" t="inlineStr">
        <is>
          <t>STA</t>
        </is>
      </c>
      <c r="J909" s="3" t="inlineStr">
        <is>
          <t>subflota</t>
        </is>
      </c>
      <c r="K909" s="3" t="inlineStr">
        <is>
          <t>Conexion</t>
        </is>
      </c>
      <c r="L909" s="3" t="inlineStr">
        <is>
          <t>HBT</t>
        </is>
      </c>
    </row>
    <row r="910">
      <c r="B910" s="4" t="inlineStr">
        <is>
          <t>1084_0</t>
        </is>
      </c>
      <c r="C910" s="4" t="inlineStr">
        <is>
          <t>12/09/2026</t>
        </is>
      </c>
      <c r="D910" s="4" t="inlineStr">
        <is>
          <t>sábado</t>
        </is>
      </c>
      <c r="E910" s="4" t="inlineStr">
        <is>
          <t>2087</t>
        </is>
      </c>
      <c r="F910" s="4" t="inlineStr">
        <is>
          <t>LIM</t>
        </is>
      </c>
      <c r="G910" s="4" t="inlineStr">
        <is>
          <t>TPP</t>
        </is>
      </c>
      <c r="H910" s="4" t="inlineStr">
        <is>
          <t>14:05:00</t>
        </is>
      </c>
      <c r="I910" s="4" t="inlineStr">
        <is>
          <t>15:30:00</t>
        </is>
      </c>
      <c r="J910" s="4" t="inlineStr">
        <is>
          <t>320</t>
        </is>
      </c>
      <c r="L910" s="4" t="inlineStr">
        <is>
          <t>01:25:00</t>
        </is>
      </c>
      <c r="M910" s="5" t="n"/>
      <c r="O910" s="5" t="n"/>
      <c r="Q910" s="4">
        <f>B910</f>
        <v/>
      </c>
      <c r="R910" s="4">
        <f>C910</f>
        <v/>
      </c>
      <c r="S910" s="4">
        <f>D910</f>
        <v/>
      </c>
      <c r="T910" s="4">
        <f>E910&amp;"/"&amp;E911</f>
        <v/>
      </c>
      <c r="U910" s="4">
        <f>F910&amp;"-"&amp;G910&amp;"-"&amp;F910</f>
        <v/>
      </c>
      <c r="V910" s="4">
        <f>IF($M$910="","",$M$910)</f>
        <v/>
      </c>
      <c r="W910" s="4">
        <f>IF($O$910="","",$O$910)</f>
        <v/>
      </c>
      <c r="X910" s="4">
        <f>J910</f>
        <v/>
      </c>
    </row>
    <row r="911">
      <c r="B911" s="4" t="inlineStr">
        <is>
          <t>1084_0</t>
        </is>
      </c>
      <c r="C911" s="4" t="inlineStr">
        <is>
          <t>12/09/2026</t>
        </is>
      </c>
      <c r="D911" s="4" t="inlineStr">
        <is>
          <t>sábado</t>
        </is>
      </c>
      <c r="E911" s="4" t="inlineStr">
        <is>
          <t>2088</t>
        </is>
      </c>
      <c r="F911" s="4" t="inlineStr">
        <is>
          <t>TPP</t>
        </is>
      </c>
      <c r="G911" s="4" t="inlineStr">
        <is>
          <t>LIM</t>
        </is>
      </c>
      <c r="H911" s="4" t="inlineStr">
        <is>
          <t>16:05:00</t>
        </is>
      </c>
      <c r="I911" s="4" t="inlineStr">
        <is>
          <t>17:30:00</t>
        </is>
      </c>
      <c r="J911" s="4" t="inlineStr">
        <is>
          <t>320</t>
        </is>
      </c>
      <c r="K911">
        <f>TEXT(TIMEVALUE(H911)-TIMEVALUE(I910)+(TIMEVALUE(H911)&lt;TIMEVALUE(I910)),"[h]:mm")</f>
        <v/>
      </c>
      <c r="L911" s="4" t="inlineStr">
        <is>
          <t>01:25:00</t>
        </is>
      </c>
      <c r="O911">
        <f>"LIM-"&amp;G910&amp;"-LIM   LA "&amp;E910&amp;" ("&amp;LEFT(H910,5)&amp;"-"&amp;LEFT(I910,5)&amp;" hrs)  /  LA "&amp;E911&amp;" ("&amp;LEFT(H911,5)&amp;"-"&amp;LEFT(I911,5)&amp;" hrs)"</f>
        <v/>
      </c>
    </row>
    <row r="912">
      <c r="B912" s="4" t="inlineStr">
        <is>
          <t>1102_0</t>
        </is>
      </c>
      <c r="C912" s="4" t="inlineStr">
        <is>
          <t>12/09/2026</t>
        </is>
      </c>
      <c r="D912" s="4" t="inlineStr">
        <is>
          <t>sábado</t>
        </is>
      </c>
      <c r="E912" s="4" t="inlineStr">
        <is>
          <t>2091</t>
        </is>
      </c>
      <c r="F912" s="4" t="inlineStr">
        <is>
          <t>LIM</t>
        </is>
      </c>
      <c r="G912" s="4" t="inlineStr">
        <is>
          <t>TPP</t>
        </is>
      </c>
      <c r="H912" s="4" t="inlineStr">
        <is>
          <t>18:35:00</t>
        </is>
      </c>
      <c r="I912" s="4" t="inlineStr">
        <is>
          <t>20:00:00</t>
        </is>
      </c>
      <c r="J912" s="4" t="inlineStr">
        <is>
          <t>320</t>
        </is>
      </c>
      <c r="K912" s="6">
        <f>TEXT(TIMEVALUE(H912)-TIMEVALUE(I911)+(TIMEVALUE(H912)&lt;TIMEVALUE(I911)),"[h]:mm")</f>
        <v/>
      </c>
      <c r="L912" s="4" t="inlineStr">
        <is>
          <t>01:25:00</t>
        </is>
      </c>
      <c r="M912">
        <f>IF($M$910="","",$M$910)</f>
        <v/>
      </c>
      <c r="O912">
        <f>IF($O$910="","",$O$910)</f>
        <v/>
      </c>
      <c r="Q912" s="4">
        <f>B912</f>
        <v/>
      </c>
      <c r="R912" s="4">
        <f>C912</f>
        <v/>
      </c>
      <c r="S912" s="4">
        <f>D912</f>
        <v/>
      </c>
      <c r="T912" s="4">
        <f>E912&amp;"/"&amp;E913</f>
        <v/>
      </c>
      <c r="U912" s="4">
        <f>F912&amp;"-"&amp;G912&amp;"-"&amp;F912</f>
        <v/>
      </c>
      <c r="V912" s="4">
        <f>IF($M$910="","",$M$910)</f>
        <v/>
      </c>
      <c r="W912" s="4">
        <f>IF($O$910="","",$O$910)</f>
        <v/>
      </c>
      <c r="X912" s="4">
        <f>J912</f>
        <v/>
      </c>
    </row>
    <row r="913">
      <c r="B913" s="4" t="inlineStr">
        <is>
          <t>1102_0</t>
        </is>
      </c>
      <c r="C913" s="4" t="inlineStr">
        <is>
          <t>12/09/2026</t>
        </is>
      </c>
      <c r="D913" s="4" t="inlineStr">
        <is>
          <t>sábado</t>
        </is>
      </c>
      <c r="E913" s="4" t="inlineStr">
        <is>
          <t>2092</t>
        </is>
      </c>
      <c r="F913" s="4" t="inlineStr">
        <is>
          <t>TPP</t>
        </is>
      </c>
      <c r="G913" s="4" t="inlineStr">
        <is>
          <t>LIM</t>
        </is>
      </c>
      <c r="H913" s="4" t="inlineStr">
        <is>
          <t>20:40:00</t>
        </is>
      </c>
      <c r="I913" s="4" t="inlineStr">
        <is>
          <t>22:05:00</t>
        </is>
      </c>
      <c r="J913" s="4" t="inlineStr">
        <is>
          <t>320</t>
        </is>
      </c>
      <c r="K913">
        <f>TEXT(TIMEVALUE(H913)-TIMEVALUE(I912)+(TIMEVALUE(H913)&lt;TIMEVALUE(I912)),"[h]:mm")</f>
        <v/>
      </c>
      <c r="L913" s="4" t="inlineStr">
        <is>
          <t>01:25:00</t>
        </is>
      </c>
      <c r="O913">
        <f>"LIM-"&amp;G912&amp;"-LIM   LA "&amp;E912&amp;" ("&amp;LEFT(H912,5)&amp;"-"&amp;LEFT(I912,5)&amp;" hrs)  /  LA "&amp;E913&amp;" ("&amp;LEFT(H913,5)&amp;"-"&amp;LEFT(I913,5)&amp;" hrs)"</f>
        <v/>
      </c>
    </row>
    <row r="914">
      <c r="J914" s="7" t="inlineStr">
        <is>
          <t>PSV total:</t>
        </is>
      </c>
      <c r="K914" s="8">
        <f>TEXT(TIMEVALUE(I913)-TIMEVALUE(H910)+(I913&lt;H910),"[h]:mm")</f>
        <v/>
      </c>
    </row>
    <row r="916">
      <c r="B916" s="3" t="inlineStr">
        <is>
          <t>Pairing ID</t>
        </is>
      </c>
      <c r="C916" s="3" t="inlineStr">
        <is>
          <t>FECHA REAL</t>
        </is>
      </c>
      <c r="D916" s="3" t="inlineStr">
        <is>
          <t>Day of Week</t>
        </is>
      </c>
      <c r="E916" s="3" t="inlineStr">
        <is>
          <t>Flight No</t>
        </is>
      </c>
      <c r="F916" s="3" t="inlineStr">
        <is>
          <t>Dep Stn</t>
        </is>
      </c>
      <c r="G916" s="3" t="inlineStr">
        <is>
          <t>Arr Stn</t>
        </is>
      </c>
      <c r="H916" s="3" t="inlineStr">
        <is>
          <t>STD</t>
        </is>
      </c>
      <c r="I916" s="3" t="inlineStr">
        <is>
          <t>STA</t>
        </is>
      </c>
      <c r="J916" s="3" t="inlineStr">
        <is>
          <t>subflota</t>
        </is>
      </c>
      <c r="K916" s="3" t="inlineStr">
        <is>
          <t>Conexion</t>
        </is>
      </c>
      <c r="L916" s="3" t="inlineStr">
        <is>
          <t>HBT</t>
        </is>
      </c>
    </row>
    <row r="917">
      <c r="B917" s="4" t="inlineStr">
        <is>
          <t>1085_0</t>
        </is>
      </c>
      <c r="C917" s="4" t="inlineStr">
        <is>
          <t>12/09/2026</t>
        </is>
      </c>
      <c r="D917" s="4" t="inlineStr">
        <is>
          <t>sábado</t>
        </is>
      </c>
      <c r="E917" s="4" t="inlineStr">
        <is>
          <t>2295</t>
        </is>
      </c>
      <c r="F917" s="4" t="inlineStr">
        <is>
          <t>LIM</t>
        </is>
      </c>
      <c r="G917" s="4" t="inlineStr">
        <is>
          <t>CJA</t>
        </is>
      </c>
      <c r="H917" s="4" t="inlineStr">
        <is>
          <t>14:10:00</t>
        </is>
      </c>
      <c r="I917" s="4" t="inlineStr">
        <is>
          <t>15:30:00</t>
        </is>
      </c>
      <c r="J917" s="4" t="inlineStr">
        <is>
          <t>319</t>
        </is>
      </c>
      <c r="L917" s="4" t="inlineStr">
        <is>
          <t>01:20:00</t>
        </is>
      </c>
      <c r="M917" s="5" t="n"/>
      <c r="O917" s="5" t="n"/>
      <c r="Q917" s="4">
        <f>B917</f>
        <v/>
      </c>
      <c r="R917" s="4">
        <f>C917</f>
        <v/>
      </c>
      <c r="S917" s="4">
        <f>D917</f>
        <v/>
      </c>
      <c r="T917" s="4">
        <f>E917&amp;"/"&amp;E918</f>
        <v/>
      </c>
      <c r="U917" s="4">
        <f>F917&amp;"-"&amp;G917&amp;"-"&amp;F917</f>
        <v/>
      </c>
      <c r="V917" s="4">
        <f>IF($M$917="","",$M$917)</f>
        <v/>
      </c>
      <c r="W917" s="4">
        <f>IF($O$917="","",$O$917)</f>
        <v/>
      </c>
      <c r="X917" s="4">
        <f>J917</f>
        <v/>
      </c>
    </row>
    <row r="918">
      <c r="B918" s="4" t="inlineStr">
        <is>
          <t>1085_0</t>
        </is>
      </c>
      <c r="C918" s="4" t="inlineStr">
        <is>
          <t>12/09/2026</t>
        </is>
      </c>
      <c r="D918" s="4" t="inlineStr">
        <is>
          <t>sábado</t>
        </is>
      </c>
      <c r="E918" s="4" t="inlineStr">
        <is>
          <t>2294</t>
        </is>
      </c>
      <c r="F918" s="4" t="inlineStr">
        <is>
          <t>CJA</t>
        </is>
      </c>
      <c r="G918" s="4" t="inlineStr">
        <is>
          <t>LIM</t>
        </is>
      </c>
      <c r="H918" s="4" t="inlineStr">
        <is>
          <t>16:10:00</t>
        </is>
      </c>
      <c r="I918" s="4" t="inlineStr">
        <is>
          <t>17:15:00</t>
        </is>
      </c>
      <c r="J918" s="4" t="inlineStr">
        <is>
          <t>319</t>
        </is>
      </c>
      <c r="K918">
        <f>TEXT(TIMEVALUE(H918)-TIMEVALUE(I917)+(TIMEVALUE(H918)&lt;TIMEVALUE(I917)),"[h]:mm")</f>
        <v/>
      </c>
      <c r="L918" s="4" t="inlineStr">
        <is>
          <t>01:05:00</t>
        </is>
      </c>
      <c r="O918">
        <f>"LIM-"&amp;G917&amp;"-LIM   LA "&amp;E917&amp;" ("&amp;LEFT(H917,5)&amp;"-"&amp;LEFT(I917,5)&amp;" hrs)  /  LA "&amp;E918&amp;" ("&amp;LEFT(H918,5)&amp;"-"&amp;LEFT(I918,5)&amp;" hrs)"</f>
        <v/>
      </c>
    </row>
    <row r="919">
      <c r="J919" s="7" t="inlineStr">
        <is>
          <t>PSV total:</t>
        </is>
      </c>
      <c r="K919" s="8">
        <f>TEXT(TIMEVALUE(I918)-TIMEVALUE(H917)+(I918&lt;H917),"[h]:mm")</f>
        <v/>
      </c>
    </row>
    <row r="921">
      <c r="B921" s="3" t="inlineStr">
        <is>
          <t>Pairing ID</t>
        </is>
      </c>
      <c r="C921" s="3" t="inlineStr">
        <is>
          <t>FECHA REAL</t>
        </is>
      </c>
      <c r="D921" s="3" t="inlineStr">
        <is>
          <t>Day of Week</t>
        </is>
      </c>
      <c r="E921" s="3" t="inlineStr">
        <is>
          <t>Flight No</t>
        </is>
      </c>
      <c r="F921" s="3" t="inlineStr">
        <is>
          <t>Dep Stn</t>
        </is>
      </c>
      <c r="G921" s="3" t="inlineStr">
        <is>
          <t>Arr Stn</t>
        </is>
      </c>
      <c r="H921" s="3" t="inlineStr">
        <is>
          <t>STD</t>
        </is>
      </c>
      <c r="I921" s="3" t="inlineStr">
        <is>
          <t>STA</t>
        </is>
      </c>
      <c r="J921" s="3" t="inlineStr">
        <is>
          <t>subflota</t>
        </is>
      </c>
      <c r="K921" s="3" t="inlineStr">
        <is>
          <t>Conexion</t>
        </is>
      </c>
      <c r="L921" s="3" t="inlineStr">
        <is>
          <t>HBT</t>
        </is>
      </c>
    </row>
    <row r="922">
      <c r="B922" s="4" t="inlineStr">
        <is>
          <t>1088_0</t>
        </is>
      </c>
      <c r="C922" s="4" t="inlineStr">
        <is>
          <t>12/09/2026</t>
        </is>
      </c>
      <c r="D922" s="4" t="inlineStr">
        <is>
          <t>sábado</t>
        </is>
      </c>
      <c r="E922" s="4" t="inlineStr">
        <is>
          <t>2264</t>
        </is>
      </c>
      <c r="F922" s="4" t="inlineStr">
        <is>
          <t>LIM</t>
        </is>
      </c>
      <c r="G922" s="4" t="inlineStr">
        <is>
          <t>PEM</t>
        </is>
      </c>
      <c r="H922" s="4" t="inlineStr">
        <is>
          <t>14:55:00</t>
        </is>
      </c>
      <c r="I922" s="4" t="inlineStr">
        <is>
          <t>16:40:00</t>
        </is>
      </c>
      <c r="J922" s="4" t="inlineStr">
        <is>
          <t>319</t>
        </is>
      </c>
      <c r="L922" s="4" t="inlineStr">
        <is>
          <t>01:45:00</t>
        </is>
      </c>
      <c r="M922" s="5" t="n"/>
      <c r="O922" s="5" t="n"/>
      <c r="Q922" s="4">
        <f>B922</f>
        <v/>
      </c>
      <c r="R922" s="4">
        <f>C922</f>
        <v/>
      </c>
      <c r="S922" s="4">
        <f>D922</f>
        <v/>
      </c>
      <c r="T922" s="4">
        <f>E922&amp;"/"&amp;E923</f>
        <v/>
      </c>
      <c r="U922" s="4">
        <f>F922&amp;"-"&amp;G922&amp;"-"&amp;F922</f>
        <v/>
      </c>
      <c r="V922" s="4">
        <f>IF($M$922="","",$M$922)</f>
        <v/>
      </c>
      <c r="W922" s="4">
        <f>IF($O$922="","",$O$922)</f>
        <v/>
      </c>
      <c r="X922" s="4">
        <f>J922</f>
        <v/>
      </c>
    </row>
    <row r="923">
      <c r="B923" s="4" t="inlineStr">
        <is>
          <t>1088_0</t>
        </is>
      </c>
      <c r="C923" s="4" t="inlineStr">
        <is>
          <t>12/09/2026</t>
        </is>
      </c>
      <c r="D923" s="4" t="inlineStr">
        <is>
          <t>sábado</t>
        </is>
      </c>
      <c r="E923" s="4" t="inlineStr">
        <is>
          <t>2265</t>
        </is>
      </c>
      <c r="F923" s="4" t="inlineStr">
        <is>
          <t>PEM</t>
        </is>
      </c>
      <c r="G923" s="4" t="inlineStr">
        <is>
          <t>LIM</t>
        </is>
      </c>
      <c r="H923" s="4" t="inlineStr">
        <is>
          <t>17:20:00</t>
        </is>
      </c>
      <c r="I923" s="4" t="inlineStr">
        <is>
          <t>18:55:00</t>
        </is>
      </c>
      <c r="J923" s="4" t="inlineStr">
        <is>
          <t>319</t>
        </is>
      </c>
      <c r="K923">
        <f>TEXT(TIMEVALUE(H923)-TIMEVALUE(I922)+(TIMEVALUE(H923)&lt;TIMEVALUE(I922)),"[h]:mm")</f>
        <v/>
      </c>
      <c r="L923" s="4" t="inlineStr">
        <is>
          <t>01:35:00</t>
        </is>
      </c>
      <c r="O923">
        <f>"LIM-"&amp;G922&amp;"-LIM   LA "&amp;E922&amp;" ("&amp;LEFT(H922,5)&amp;"-"&amp;LEFT(I922,5)&amp;" hrs)  /  LA "&amp;E923&amp;" ("&amp;LEFT(H923,5)&amp;"-"&amp;LEFT(I923,5)&amp;" hrs)"</f>
        <v/>
      </c>
    </row>
    <row r="924">
      <c r="J924" s="7" t="inlineStr">
        <is>
          <t>PSV total:</t>
        </is>
      </c>
      <c r="K924" s="8">
        <f>TEXT(TIMEVALUE(I923)-TIMEVALUE(H922)+(I923&lt;H922),"[h]:mm")</f>
        <v/>
      </c>
    </row>
    <row r="926">
      <c r="B926" s="3" t="inlineStr">
        <is>
          <t>Pairing ID</t>
        </is>
      </c>
      <c r="C926" s="3" t="inlineStr">
        <is>
          <t>FECHA REAL</t>
        </is>
      </c>
      <c r="D926" s="3" t="inlineStr">
        <is>
          <t>Day of Week</t>
        </is>
      </c>
      <c r="E926" s="3" t="inlineStr">
        <is>
          <t>Flight No</t>
        </is>
      </c>
      <c r="F926" s="3" t="inlineStr">
        <is>
          <t>Dep Stn</t>
        </is>
      </c>
      <c r="G926" s="3" t="inlineStr">
        <is>
          <t>Arr Stn</t>
        </is>
      </c>
      <c r="H926" s="3" t="inlineStr">
        <is>
          <t>STD</t>
        </is>
      </c>
      <c r="I926" s="3" t="inlineStr">
        <is>
          <t>STA</t>
        </is>
      </c>
      <c r="J926" s="3" t="inlineStr">
        <is>
          <t>subflota</t>
        </is>
      </c>
      <c r="K926" s="3" t="inlineStr">
        <is>
          <t>Conexion</t>
        </is>
      </c>
      <c r="L926" s="3" t="inlineStr">
        <is>
          <t>HBT</t>
        </is>
      </c>
    </row>
    <row r="927">
      <c r="B927" s="4" t="inlineStr">
        <is>
          <t>1092_0</t>
        </is>
      </c>
      <c r="C927" s="4" t="inlineStr">
        <is>
          <t>12/09/2026</t>
        </is>
      </c>
      <c r="D927" s="4" t="inlineStr">
        <is>
          <t>sábado</t>
        </is>
      </c>
      <c r="E927" s="4" t="inlineStr">
        <is>
          <t>2297</t>
        </is>
      </c>
      <c r="F927" s="4" t="inlineStr">
        <is>
          <t>LIM</t>
        </is>
      </c>
      <c r="G927" s="4" t="inlineStr">
        <is>
          <t>CJA</t>
        </is>
      </c>
      <c r="H927" s="4" t="inlineStr">
        <is>
          <t>15:15:00</t>
        </is>
      </c>
      <c r="I927" s="4" t="inlineStr">
        <is>
          <t>16:35:00</t>
        </is>
      </c>
      <c r="J927" s="4" t="inlineStr">
        <is>
          <t>320</t>
        </is>
      </c>
      <c r="L927" s="4" t="inlineStr">
        <is>
          <t>01:20:00</t>
        </is>
      </c>
      <c r="M927" s="5" t="n"/>
      <c r="O927" s="5" t="n"/>
      <c r="Q927" s="4">
        <f>B927</f>
        <v/>
      </c>
      <c r="R927" s="4">
        <f>C927</f>
        <v/>
      </c>
      <c r="S927" s="4">
        <f>D927</f>
        <v/>
      </c>
      <c r="T927" s="4">
        <f>E927&amp;"/"&amp;E928</f>
        <v/>
      </c>
      <c r="U927" s="4">
        <f>F927&amp;"-"&amp;G927&amp;"-"&amp;F927</f>
        <v/>
      </c>
      <c r="V927" s="4">
        <f>IF($M$927="","",$M$927)</f>
        <v/>
      </c>
      <c r="W927" s="4">
        <f>IF($O$927="","",$O$927)</f>
        <v/>
      </c>
      <c r="X927" s="4">
        <f>J927</f>
        <v/>
      </c>
    </row>
    <row r="928">
      <c r="B928" s="4" t="inlineStr">
        <is>
          <t>1092_0</t>
        </is>
      </c>
      <c r="C928" s="4" t="inlineStr">
        <is>
          <t>12/09/2026</t>
        </is>
      </c>
      <c r="D928" s="4" t="inlineStr">
        <is>
          <t>sábado</t>
        </is>
      </c>
      <c r="E928" s="4" t="inlineStr">
        <is>
          <t>2296</t>
        </is>
      </c>
      <c r="F928" s="4" t="inlineStr">
        <is>
          <t>CJA</t>
        </is>
      </c>
      <c r="G928" s="4" t="inlineStr">
        <is>
          <t>LIM</t>
        </is>
      </c>
      <c r="H928" s="4" t="inlineStr">
        <is>
          <t>17:20:00</t>
        </is>
      </c>
      <c r="I928" s="4" t="inlineStr">
        <is>
          <t>18:25:00</t>
        </is>
      </c>
      <c r="J928" s="4" t="inlineStr">
        <is>
          <t>320</t>
        </is>
      </c>
      <c r="K928">
        <f>TEXT(TIMEVALUE(H928)-TIMEVALUE(I927)+(TIMEVALUE(H928)&lt;TIMEVALUE(I927)),"[h]:mm")</f>
        <v/>
      </c>
      <c r="L928" s="4" t="inlineStr">
        <is>
          <t>01:05:00</t>
        </is>
      </c>
      <c r="O928">
        <f>"LIM-"&amp;G927&amp;"-LIM   LA "&amp;E927&amp;" ("&amp;LEFT(H927,5)&amp;"-"&amp;LEFT(I927,5)&amp;" hrs)  /  LA "&amp;E928&amp;" ("&amp;LEFT(H928,5)&amp;"-"&amp;LEFT(I928,5)&amp;" hrs)"</f>
        <v/>
      </c>
    </row>
    <row r="929">
      <c r="J929" s="7" t="inlineStr">
        <is>
          <t>PSV total:</t>
        </is>
      </c>
      <c r="K929" s="8">
        <f>TEXT(TIMEVALUE(I928)-TIMEVALUE(H927)+(I928&lt;H927),"[h]:mm")</f>
        <v/>
      </c>
    </row>
    <row r="931">
      <c r="B931" s="3" t="inlineStr">
        <is>
          <t>Pairing ID</t>
        </is>
      </c>
      <c r="C931" s="3" t="inlineStr">
        <is>
          <t>FECHA REAL</t>
        </is>
      </c>
      <c r="D931" s="3" t="inlineStr">
        <is>
          <t>Day of Week</t>
        </is>
      </c>
      <c r="E931" s="3" t="inlineStr">
        <is>
          <t>Flight No</t>
        </is>
      </c>
      <c r="F931" s="3" t="inlineStr">
        <is>
          <t>Dep Stn</t>
        </is>
      </c>
      <c r="G931" s="3" t="inlineStr">
        <is>
          <t>Arr Stn</t>
        </is>
      </c>
      <c r="H931" s="3" t="inlineStr">
        <is>
          <t>STD</t>
        </is>
      </c>
      <c r="I931" s="3" t="inlineStr">
        <is>
          <t>STA</t>
        </is>
      </c>
      <c r="J931" s="3" t="inlineStr">
        <is>
          <t>subflota</t>
        </is>
      </c>
      <c r="K931" s="3" t="inlineStr">
        <is>
          <t>Conexion</t>
        </is>
      </c>
      <c r="L931" s="3" t="inlineStr">
        <is>
          <t>HBT</t>
        </is>
      </c>
    </row>
    <row r="932">
      <c r="B932" s="4" t="inlineStr">
        <is>
          <t>1094_0</t>
        </is>
      </c>
      <c r="C932" s="4" t="inlineStr">
        <is>
          <t>12/09/2026</t>
        </is>
      </c>
      <c r="D932" s="4" t="inlineStr">
        <is>
          <t>sábado</t>
        </is>
      </c>
      <c r="E932" s="4" t="inlineStr">
        <is>
          <t>2312</t>
        </is>
      </c>
      <c r="F932" s="4" t="inlineStr">
        <is>
          <t>LIM</t>
        </is>
      </c>
      <c r="G932" s="4" t="inlineStr">
        <is>
          <t>CIX</t>
        </is>
      </c>
      <c r="H932" s="4" t="inlineStr">
        <is>
          <t>15:35:00</t>
        </is>
      </c>
      <c r="I932" s="4" t="inlineStr">
        <is>
          <t>17:05:00</t>
        </is>
      </c>
      <c r="J932" s="4" t="inlineStr">
        <is>
          <t>320</t>
        </is>
      </c>
      <c r="L932" s="4" t="inlineStr">
        <is>
          <t>01:30:00</t>
        </is>
      </c>
      <c r="M932" s="5" t="n"/>
      <c r="O932" s="5" t="n"/>
      <c r="Q932" s="4">
        <f>B932</f>
        <v/>
      </c>
      <c r="R932" s="4">
        <f>C932</f>
        <v/>
      </c>
      <c r="S932" s="4">
        <f>D932</f>
        <v/>
      </c>
      <c r="T932" s="4">
        <f>E932&amp;"/"&amp;E933</f>
        <v/>
      </c>
      <c r="U932" s="4">
        <f>F932&amp;"-"&amp;G932&amp;"-"&amp;F932</f>
        <v/>
      </c>
      <c r="V932" s="4">
        <f>IF($M$932="","",$M$932)</f>
        <v/>
      </c>
      <c r="W932" s="4">
        <f>IF($O$932="","",$O$932)</f>
        <v/>
      </c>
      <c r="X932" s="4">
        <f>J932</f>
        <v/>
      </c>
    </row>
    <row r="933">
      <c r="B933" s="4" t="inlineStr">
        <is>
          <t>1094_0</t>
        </is>
      </c>
      <c r="C933" s="4" t="inlineStr">
        <is>
          <t>12/09/2026</t>
        </is>
      </c>
      <c r="D933" s="4" t="inlineStr">
        <is>
          <t>sábado</t>
        </is>
      </c>
      <c r="E933" s="4" t="inlineStr">
        <is>
          <t>2313</t>
        </is>
      </c>
      <c r="F933" s="4" t="inlineStr">
        <is>
          <t>CIX</t>
        </is>
      </c>
      <c r="G933" s="4" t="inlineStr">
        <is>
          <t>LIM</t>
        </is>
      </c>
      <c r="H933" s="4" t="inlineStr">
        <is>
          <t>17:50:00</t>
        </is>
      </c>
      <c r="I933" s="4" t="inlineStr">
        <is>
          <t>19:10:00</t>
        </is>
      </c>
      <c r="J933" s="4" t="inlineStr">
        <is>
          <t>320</t>
        </is>
      </c>
      <c r="K933">
        <f>TEXT(TIMEVALUE(H933)-TIMEVALUE(I932)+(TIMEVALUE(H933)&lt;TIMEVALUE(I932)),"[h]:mm")</f>
        <v/>
      </c>
      <c r="L933" s="4" t="inlineStr">
        <is>
          <t>01:20:00</t>
        </is>
      </c>
      <c r="O933">
        <f>"LIM-"&amp;G932&amp;"-LIM   LA "&amp;E932&amp;" ("&amp;LEFT(H932,5)&amp;"-"&amp;LEFT(I932,5)&amp;" hrs)  /  LA "&amp;E933&amp;" ("&amp;LEFT(H933,5)&amp;"-"&amp;LEFT(I933,5)&amp;" hrs)"</f>
        <v/>
      </c>
    </row>
    <row r="934">
      <c r="J934" s="7" t="inlineStr">
        <is>
          <t>PSV total:</t>
        </is>
      </c>
      <c r="K934" s="8">
        <f>TEXT(TIMEVALUE(I933)-TIMEVALUE(H932)+(I933&lt;H932),"[h]:mm")</f>
        <v/>
      </c>
    </row>
    <row r="936">
      <c r="B936" s="3" t="inlineStr">
        <is>
          <t>Pairing ID</t>
        </is>
      </c>
      <c r="C936" s="3" t="inlineStr">
        <is>
          <t>FECHA REAL</t>
        </is>
      </c>
      <c r="D936" s="3" t="inlineStr">
        <is>
          <t>Day of Week</t>
        </is>
      </c>
      <c r="E936" s="3" t="inlineStr">
        <is>
          <t>Flight No</t>
        </is>
      </c>
      <c r="F936" s="3" t="inlineStr">
        <is>
          <t>Dep Stn</t>
        </is>
      </c>
      <c r="G936" s="3" t="inlineStr">
        <is>
          <t>Arr Stn</t>
        </is>
      </c>
      <c r="H936" s="3" t="inlineStr">
        <is>
          <t>STD</t>
        </is>
      </c>
      <c r="I936" s="3" t="inlineStr">
        <is>
          <t>STA</t>
        </is>
      </c>
      <c r="J936" s="3" t="inlineStr">
        <is>
          <t>subflota</t>
        </is>
      </c>
      <c r="K936" s="3" t="inlineStr">
        <is>
          <t>Conexion</t>
        </is>
      </c>
      <c r="L936" s="3" t="inlineStr">
        <is>
          <t>HBT</t>
        </is>
      </c>
    </row>
    <row r="937">
      <c r="B937" s="4" t="inlineStr">
        <is>
          <t>1095_0</t>
        </is>
      </c>
      <c r="C937" s="4" t="inlineStr">
        <is>
          <t>12/09/2026</t>
        </is>
      </c>
      <c r="D937" s="4" t="inlineStr">
        <is>
          <t>sábado</t>
        </is>
      </c>
      <c r="E937" s="4" t="inlineStr">
        <is>
          <t>2301</t>
        </is>
      </c>
      <c r="F937" s="4" t="inlineStr">
        <is>
          <t>LIM</t>
        </is>
      </c>
      <c r="G937" s="4" t="inlineStr">
        <is>
          <t>TPP</t>
        </is>
      </c>
      <c r="H937" s="4" t="inlineStr">
        <is>
          <t>15:40:00</t>
        </is>
      </c>
      <c r="I937" s="4" t="inlineStr">
        <is>
          <t>17:05:00</t>
        </is>
      </c>
      <c r="J937" s="4" t="inlineStr">
        <is>
          <t>320</t>
        </is>
      </c>
      <c r="L937" s="4" t="inlineStr">
        <is>
          <t>01:25:00</t>
        </is>
      </c>
      <c r="M937" s="5" t="n"/>
      <c r="O937" s="5" t="n"/>
      <c r="Q937" s="4">
        <f>B937</f>
        <v/>
      </c>
      <c r="R937" s="4">
        <f>C937</f>
        <v/>
      </c>
      <c r="S937" s="4">
        <f>D937</f>
        <v/>
      </c>
      <c r="T937" s="4">
        <f>E937&amp;"/"&amp;E938</f>
        <v/>
      </c>
      <c r="U937" s="4">
        <f>F937&amp;"-"&amp;G937&amp;"-"&amp;F937</f>
        <v/>
      </c>
      <c r="V937" s="4">
        <f>IF($M$937="","",$M$937)</f>
        <v/>
      </c>
      <c r="W937" s="4">
        <f>IF($O$937="","",$O$937)</f>
        <v/>
      </c>
      <c r="X937" s="4">
        <f>J937</f>
        <v/>
      </c>
    </row>
    <row r="938">
      <c r="B938" s="4" t="inlineStr">
        <is>
          <t>1095_0</t>
        </is>
      </c>
      <c r="C938" s="4" t="inlineStr">
        <is>
          <t>12/09/2026</t>
        </is>
      </c>
      <c r="D938" s="4" t="inlineStr">
        <is>
          <t>sábado</t>
        </is>
      </c>
      <c r="E938" s="4" t="inlineStr">
        <is>
          <t>2300</t>
        </is>
      </c>
      <c r="F938" s="4" t="inlineStr">
        <is>
          <t>TPP</t>
        </is>
      </c>
      <c r="G938" s="4" t="inlineStr">
        <is>
          <t>LIM</t>
        </is>
      </c>
      <c r="H938" s="4" t="inlineStr">
        <is>
          <t>17:50:00</t>
        </is>
      </c>
      <c r="I938" s="4" t="inlineStr">
        <is>
          <t>19:20:00</t>
        </is>
      </c>
      <c r="J938" s="4" t="inlineStr">
        <is>
          <t>320</t>
        </is>
      </c>
      <c r="K938">
        <f>TEXT(TIMEVALUE(H938)-TIMEVALUE(I937)+(TIMEVALUE(H938)&lt;TIMEVALUE(I937)),"[h]:mm")</f>
        <v/>
      </c>
      <c r="L938" s="4" t="inlineStr">
        <is>
          <t>01:30:00</t>
        </is>
      </c>
      <c r="O938">
        <f>"LIM-"&amp;G937&amp;"-LIM   LA "&amp;E937&amp;" ("&amp;LEFT(H937,5)&amp;"-"&amp;LEFT(I937,5)&amp;" hrs)  /  LA "&amp;E938&amp;" ("&amp;LEFT(H938,5)&amp;"-"&amp;LEFT(I938,5)&amp;" hrs)"</f>
        <v/>
      </c>
    </row>
    <row r="939">
      <c r="J939" s="7" t="inlineStr">
        <is>
          <t>PSV total:</t>
        </is>
      </c>
      <c r="K939" s="8">
        <f>TEXT(TIMEVALUE(I938)-TIMEVALUE(H937)+(I938&lt;H937),"[h]:mm")</f>
        <v/>
      </c>
    </row>
    <row r="941">
      <c r="B941" s="3" t="inlineStr">
        <is>
          <t>Pairing ID</t>
        </is>
      </c>
      <c r="C941" s="3" t="inlineStr">
        <is>
          <t>FECHA REAL</t>
        </is>
      </c>
      <c r="D941" s="3" t="inlineStr">
        <is>
          <t>Day of Week</t>
        </is>
      </c>
      <c r="E941" s="3" t="inlineStr">
        <is>
          <t>Flight No</t>
        </is>
      </c>
      <c r="F941" s="3" t="inlineStr">
        <is>
          <t>Dep Stn</t>
        </is>
      </c>
      <c r="G941" s="3" t="inlineStr">
        <is>
          <t>Arr Stn</t>
        </is>
      </c>
      <c r="H941" s="3" t="inlineStr">
        <is>
          <t>STD</t>
        </is>
      </c>
      <c r="I941" s="3" t="inlineStr">
        <is>
          <t>STA</t>
        </is>
      </c>
      <c r="J941" s="3" t="inlineStr">
        <is>
          <t>subflota</t>
        </is>
      </c>
      <c r="K941" s="3" t="inlineStr">
        <is>
          <t>Conexion</t>
        </is>
      </c>
      <c r="L941" s="3" t="inlineStr">
        <is>
          <t>HBT</t>
        </is>
      </c>
    </row>
    <row r="942">
      <c r="B942" s="4" t="inlineStr">
        <is>
          <t>1099_0</t>
        </is>
      </c>
      <c r="C942" s="4" t="inlineStr">
        <is>
          <t>12/09/2026</t>
        </is>
      </c>
      <c r="D942" s="4" t="inlineStr">
        <is>
          <t>sábado</t>
        </is>
      </c>
      <c r="E942" s="4" t="inlineStr">
        <is>
          <t>2276</t>
        </is>
      </c>
      <c r="F942" s="4" t="inlineStr">
        <is>
          <t>LIM</t>
        </is>
      </c>
      <c r="G942" s="4" t="inlineStr">
        <is>
          <t>CUZ</t>
        </is>
      </c>
      <c r="H942" s="4" t="inlineStr">
        <is>
          <t>16:35:00</t>
        </is>
      </c>
      <c r="I942" s="4" t="inlineStr">
        <is>
          <t>17:55:00</t>
        </is>
      </c>
      <c r="J942" s="4" t="inlineStr">
        <is>
          <t>320</t>
        </is>
      </c>
      <c r="L942" s="4" t="inlineStr">
        <is>
          <t>01:20:00</t>
        </is>
      </c>
      <c r="M942" s="5" t="n"/>
      <c r="O942" s="5" t="n"/>
      <c r="Q942" s="4">
        <f>B942</f>
        <v/>
      </c>
      <c r="R942" s="4">
        <f>C942</f>
        <v/>
      </c>
      <c r="S942" s="4">
        <f>D942</f>
        <v/>
      </c>
      <c r="T942" s="4">
        <f>E942&amp;"/"&amp;E943</f>
        <v/>
      </c>
      <c r="U942" s="4">
        <f>F942&amp;"-"&amp;G942&amp;"-"&amp;F942</f>
        <v/>
      </c>
      <c r="V942" s="4">
        <f>IF($M$942="","",$M$942)</f>
        <v/>
      </c>
      <c r="W942" s="4">
        <f>IF($O$942="","",$O$942)</f>
        <v/>
      </c>
      <c r="X942" s="4">
        <f>J942</f>
        <v/>
      </c>
    </row>
    <row r="943">
      <c r="B943" s="4" t="inlineStr">
        <is>
          <t>1099_0</t>
        </is>
      </c>
      <c r="C943" s="4" t="inlineStr">
        <is>
          <t>12/09/2026</t>
        </is>
      </c>
      <c r="D943" s="4" t="inlineStr">
        <is>
          <t>sábado</t>
        </is>
      </c>
      <c r="E943" s="4" t="inlineStr">
        <is>
          <t>2277</t>
        </is>
      </c>
      <c r="F943" s="4" t="inlineStr">
        <is>
          <t>CUZ</t>
        </is>
      </c>
      <c r="G943" s="4" t="inlineStr">
        <is>
          <t>LIM</t>
        </is>
      </c>
      <c r="H943" s="4" t="inlineStr">
        <is>
          <t>18:50:00</t>
        </is>
      </c>
      <c r="I943" s="4" t="inlineStr">
        <is>
          <t>20:25:00</t>
        </is>
      </c>
      <c r="J943" s="4" t="inlineStr">
        <is>
          <t>320</t>
        </is>
      </c>
      <c r="K943">
        <f>TEXT(TIMEVALUE(H943)-TIMEVALUE(I942)+(TIMEVALUE(H943)&lt;TIMEVALUE(I942)),"[h]:mm")</f>
        <v/>
      </c>
      <c r="L943" s="4" t="inlineStr">
        <is>
          <t>01:35:00</t>
        </is>
      </c>
      <c r="O943">
        <f>"LIM-"&amp;G942&amp;"-LIM   LA "&amp;E942&amp;" ("&amp;LEFT(H942,5)&amp;"-"&amp;LEFT(I942,5)&amp;" hrs)  /  LA "&amp;E943&amp;" ("&amp;LEFT(H943,5)&amp;"-"&amp;LEFT(I943,5)&amp;" hrs)"</f>
        <v/>
      </c>
    </row>
    <row r="944">
      <c r="J944" s="7" t="inlineStr">
        <is>
          <t>PSV total:</t>
        </is>
      </c>
      <c r="K944" s="8">
        <f>TEXT(TIMEVALUE(I943)-TIMEVALUE(H942)+(I943&lt;H942),"[h]:mm")</f>
        <v/>
      </c>
    </row>
    <row r="946">
      <c r="B946" s="3" t="inlineStr">
        <is>
          <t>Pairing ID</t>
        </is>
      </c>
      <c r="C946" s="3" t="inlineStr">
        <is>
          <t>FECHA REAL</t>
        </is>
      </c>
      <c r="D946" s="3" t="inlineStr">
        <is>
          <t>Day of Week</t>
        </is>
      </c>
      <c r="E946" s="3" t="inlineStr">
        <is>
          <t>Flight No</t>
        </is>
      </c>
      <c r="F946" s="3" t="inlineStr">
        <is>
          <t>Dep Stn</t>
        </is>
      </c>
      <c r="G946" s="3" t="inlineStr">
        <is>
          <t>Arr Stn</t>
        </is>
      </c>
      <c r="H946" s="3" t="inlineStr">
        <is>
          <t>STD</t>
        </is>
      </c>
      <c r="I946" s="3" t="inlineStr">
        <is>
          <t>STA</t>
        </is>
      </c>
      <c r="J946" s="3" t="inlineStr">
        <is>
          <t>subflota</t>
        </is>
      </c>
      <c r="K946" s="3" t="inlineStr">
        <is>
          <t>Conexion</t>
        </is>
      </c>
      <c r="L946" s="3" t="inlineStr">
        <is>
          <t>HBT</t>
        </is>
      </c>
    </row>
    <row r="947">
      <c r="B947" s="4" t="inlineStr">
        <is>
          <t>1098_0</t>
        </is>
      </c>
      <c r="C947" s="4" t="inlineStr">
        <is>
          <t>12/09/2026</t>
        </is>
      </c>
      <c r="D947" s="4" t="inlineStr">
        <is>
          <t>sábado</t>
        </is>
      </c>
      <c r="E947" s="4" t="inlineStr">
        <is>
          <t>2276</t>
        </is>
      </c>
      <c r="F947" s="4" t="inlineStr">
        <is>
          <t>LIM</t>
        </is>
      </c>
      <c r="G947" s="4" t="inlineStr">
        <is>
          <t>CUZ</t>
        </is>
      </c>
      <c r="H947" s="4" t="inlineStr">
        <is>
          <t>16:35:00</t>
        </is>
      </c>
      <c r="I947" s="4" t="inlineStr">
        <is>
          <t>17:55:00</t>
        </is>
      </c>
      <c r="J947" s="4" t="inlineStr">
        <is>
          <t>320</t>
        </is>
      </c>
      <c r="L947" s="4" t="inlineStr">
        <is>
          <t>01:20:00</t>
        </is>
      </c>
      <c r="M947" s="5" t="n"/>
      <c r="O947" s="5" t="n"/>
      <c r="Q947" s="4">
        <f>B947</f>
        <v/>
      </c>
      <c r="R947" s="4">
        <f>C947</f>
        <v/>
      </c>
      <c r="S947" s="4">
        <f>D947</f>
        <v/>
      </c>
      <c r="T947" s="4">
        <f>E947&amp;"/"&amp;E948</f>
        <v/>
      </c>
      <c r="U947" s="4">
        <f>F947&amp;"-"&amp;G947&amp;"-"&amp;F947</f>
        <v/>
      </c>
      <c r="V947" s="4">
        <f>IF($M$947="","",$M$947)</f>
        <v/>
      </c>
      <c r="W947" s="4">
        <f>IF($O$947="","",$O$947)</f>
        <v/>
      </c>
      <c r="X947" s="4">
        <f>J947</f>
        <v/>
      </c>
    </row>
    <row r="948">
      <c r="B948" s="4" t="inlineStr">
        <is>
          <t>1098_0</t>
        </is>
      </c>
      <c r="C948" s="4" t="inlineStr">
        <is>
          <t>12/09/2026</t>
        </is>
      </c>
      <c r="D948" s="4" t="inlineStr">
        <is>
          <t>sábado</t>
        </is>
      </c>
      <c r="E948" s="4" t="inlineStr">
        <is>
          <t>2277</t>
        </is>
      </c>
      <c r="F948" s="4" t="inlineStr">
        <is>
          <t>CUZ</t>
        </is>
      </c>
      <c r="G948" s="4" t="inlineStr">
        <is>
          <t>LIM</t>
        </is>
      </c>
      <c r="H948" s="4" t="inlineStr">
        <is>
          <t>18:50:00</t>
        </is>
      </c>
      <c r="I948" s="4" t="inlineStr">
        <is>
          <t>20:25:00</t>
        </is>
      </c>
      <c r="J948" s="4" t="inlineStr">
        <is>
          <t>320</t>
        </is>
      </c>
      <c r="K948">
        <f>TEXT(TIMEVALUE(H948)-TIMEVALUE(I947)+(TIMEVALUE(H948)&lt;TIMEVALUE(I947)),"[h]:mm")</f>
        <v/>
      </c>
      <c r="L948" s="4" t="inlineStr">
        <is>
          <t>01:35:00</t>
        </is>
      </c>
      <c r="O948">
        <f>"LIM-"&amp;G947&amp;"-LIM   LA "&amp;E947&amp;" ("&amp;LEFT(H947,5)&amp;"-"&amp;LEFT(I947,5)&amp;" hrs)  /  LA "&amp;E948&amp;" ("&amp;LEFT(H948,5)&amp;"-"&amp;LEFT(I948,5)&amp;" hrs)"</f>
        <v/>
      </c>
    </row>
    <row r="949">
      <c r="J949" s="7" t="inlineStr">
        <is>
          <t>PSV total:</t>
        </is>
      </c>
      <c r="K949" s="8">
        <f>TEXT(TIMEVALUE(I948)-TIMEVALUE(H947)+(I948&lt;H947),"[h]:mm")</f>
        <v/>
      </c>
    </row>
    <row r="951">
      <c r="B951" s="3" t="inlineStr">
        <is>
          <t>Pairing ID</t>
        </is>
      </c>
      <c r="C951" s="3" t="inlineStr">
        <is>
          <t>FECHA REAL</t>
        </is>
      </c>
      <c r="D951" s="3" t="inlineStr">
        <is>
          <t>Day of Week</t>
        </is>
      </c>
      <c r="E951" s="3" t="inlineStr">
        <is>
          <t>Flight No</t>
        </is>
      </c>
      <c r="F951" s="3" t="inlineStr">
        <is>
          <t>Dep Stn</t>
        </is>
      </c>
      <c r="G951" s="3" t="inlineStr">
        <is>
          <t>Arr Stn</t>
        </is>
      </c>
      <c r="H951" s="3" t="inlineStr">
        <is>
          <t>STD</t>
        </is>
      </c>
      <c r="I951" s="3" t="inlineStr">
        <is>
          <t>STA</t>
        </is>
      </c>
      <c r="J951" s="3" t="inlineStr">
        <is>
          <t>subflota</t>
        </is>
      </c>
      <c r="K951" s="3" t="inlineStr">
        <is>
          <t>Conexion</t>
        </is>
      </c>
      <c r="L951" s="3" t="inlineStr">
        <is>
          <t>HBT</t>
        </is>
      </c>
    </row>
    <row r="952">
      <c r="B952" s="4" t="inlineStr">
        <is>
          <t>1144_0</t>
        </is>
      </c>
      <c r="C952" s="4" t="inlineStr">
        <is>
          <t>13/09/2026</t>
        </is>
      </c>
      <c r="D952" s="4" t="inlineStr">
        <is>
          <t>domingo</t>
        </is>
      </c>
      <c r="E952" s="4" t="inlineStr">
        <is>
          <t>2013</t>
        </is>
      </c>
      <c r="F952" s="4" t="inlineStr">
        <is>
          <t>LIM</t>
        </is>
      </c>
      <c r="G952" s="4" t="inlineStr">
        <is>
          <t>CUZ</t>
        </is>
      </c>
      <c r="H952" s="4" t="inlineStr">
        <is>
          <t>08:35:00</t>
        </is>
      </c>
      <c r="I952" s="4" t="inlineStr">
        <is>
          <t>09:55:00</t>
        </is>
      </c>
      <c r="J952" s="4" t="inlineStr">
        <is>
          <t>320</t>
        </is>
      </c>
      <c r="L952" s="4" t="inlineStr">
        <is>
          <t>01:20:00</t>
        </is>
      </c>
      <c r="M952" s="5" t="n"/>
      <c r="O952" s="5" t="n"/>
      <c r="Q952" s="4">
        <f>B952</f>
        <v/>
      </c>
      <c r="R952" s="4">
        <f>C952</f>
        <v/>
      </c>
      <c r="S952" s="4">
        <f>D952</f>
        <v/>
      </c>
      <c r="T952" s="4">
        <f>E952&amp;"/"&amp;E953</f>
        <v/>
      </c>
      <c r="U952" s="4">
        <f>F952&amp;"-"&amp;G952&amp;"-"&amp;F952</f>
        <v/>
      </c>
      <c r="V952" s="4">
        <f>IF($M$952="","",$M$952)</f>
        <v/>
      </c>
      <c r="W952" s="4">
        <f>IF($O$952="","",$O$952)</f>
        <v/>
      </c>
      <c r="X952" s="4">
        <f>J952</f>
        <v/>
      </c>
    </row>
    <row r="953">
      <c r="B953" s="4" t="inlineStr">
        <is>
          <t>1144_0</t>
        </is>
      </c>
      <c r="C953" s="4" t="inlineStr">
        <is>
          <t>13/09/2026</t>
        </is>
      </c>
      <c r="D953" s="4" t="inlineStr">
        <is>
          <t>domingo</t>
        </is>
      </c>
      <c r="E953" s="4" t="inlineStr">
        <is>
          <t>2014</t>
        </is>
      </c>
      <c r="F953" s="4" t="inlineStr">
        <is>
          <t>CUZ</t>
        </is>
      </c>
      <c r="G953" s="4" t="inlineStr">
        <is>
          <t>LIM</t>
        </is>
      </c>
      <c r="H953" s="4" t="inlineStr">
        <is>
          <t>10:35:00</t>
        </is>
      </c>
      <c r="I953" s="4" t="inlineStr">
        <is>
          <t>12:10:00</t>
        </is>
      </c>
      <c r="J953" s="4" t="inlineStr">
        <is>
          <t>320</t>
        </is>
      </c>
      <c r="K953">
        <f>TEXT(TIMEVALUE(H953)-TIMEVALUE(I952)+(TIMEVALUE(H953)&lt;TIMEVALUE(I952)),"[h]:mm")</f>
        <v/>
      </c>
      <c r="L953" s="4" t="inlineStr">
        <is>
          <t>01:35:00</t>
        </is>
      </c>
      <c r="O953">
        <f>"LIM-"&amp;G952&amp;"-LIM   LA "&amp;E952&amp;" ("&amp;LEFT(H952,5)&amp;"-"&amp;LEFT(I952,5)&amp;" hrs)  /  LA "&amp;E953&amp;" ("&amp;LEFT(H953,5)&amp;"-"&amp;LEFT(I953,5)&amp;" hrs)"</f>
        <v/>
      </c>
    </row>
    <row r="954">
      <c r="J954" s="7" t="inlineStr">
        <is>
          <t>PSV total:</t>
        </is>
      </c>
      <c r="K954" s="8">
        <f>TEXT(TIMEVALUE(I953)-TIMEVALUE(H952)+(I953&lt;H952),"[h]:mm")</f>
        <v/>
      </c>
    </row>
    <row r="956">
      <c r="B956" s="3" t="inlineStr">
        <is>
          <t>Pairing ID</t>
        </is>
      </c>
      <c r="C956" s="3" t="inlineStr">
        <is>
          <t>FECHA REAL</t>
        </is>
      </c>
      <c r="D956" s="3" t="inlineStr">
        <is>
          <t>Day of Week</t>
        </is>
      </c>
      <c r="E956" s="3" t="inlineStr">
        <is>
          <t>Flight No</t>
        </is>
      </c>
      <c r="F956" s="3" t="inlineStr">
        <is>
          <t>Dep Stn</t>
        </is>
      </c>
      <c r="G956" s="3" t="inlineStr">
        <is>
          <t>Arr Stn</t>
        </is>
      </c>
      <c r="H956" s="3" t="inlineStr">
        <is>
          <t>STD</t>
        </is>
      </c>
      <c r="I956" s="3" t="inlineStr">
        <is>
          <t>STA</t>
        </is>
      </c>
      <c r="J956" s="3" t="inlineStr">
        <is>
          <t>subflota</t>
        </is>
      </c>
      <c r="K956" s="3" t="inlineStr">
        <is>
          <t>Conexion</t>
        </is>
      </c>
      <c r="L956" s="3" t="inlineStr">
        <is>
          <t>HBT</t>
        </is>
      </c>
    </row>
    <row r="957">
      <c r="B957" s="4" t="inlineStr">
        <is>
          <t>1151_0</t>
        </is>
      </c>
      <c r="C957" s="4" t="inlineStr">
        <is>
          <t>13/09/2026</t>
        </is>
      </c>
      <c r="D957" s="4" t="inlineStr">
        <is>
          <t>domingo</t>
        </is>
      </c>
      <c r="E957" s="4" t="inlineStr">
        <is>
          <t>2350</t>
        </is>
      </c>
      <c r="F957" s="4" t="inlineStr">
        <is>
          <t>LIM</t>
        </is>
      </c>
      <c r="G957" s="4" t="inlineStr">
        <is>
          <t>CJA</t>
        </is>
      </c>
      <c r="H957" s="4" t="inlineStr">
        <is>
          <t>10:40:00</t>
        </is>
      </c>
      <c r="I957" s="4" t="inlineStr">
        <is>
          <t>12:00:00</t>
        </is>
      </c>
      <c r="J957" s="4" t="inlineStr">
        <is>
          <t>319</t>
        </is>
      </c>
      <c r="L957" s="4" t="inlineStr">
        <is>
          <t>01:20:00</t>
        </is>
      </c>
      <c r="M957" s="5" t="n"/>
      <c r="O957" s="5" t="n"/>
      <c r="Q957" s="4">
        <f>B957</f>
        <v/>
      </c>
      <c r="R957" s="4">
        <f>C957</f>
        <v/>
      </c>
      <c r="S957" s="4">
        <f>D957</f>
        <v/>
      </c>
      <c r="T957" s="4">
        <f>E957&amp;"/"&amp;E958</f>
        <v/>
      </c>
      <c r="U957" s="4">
        <f>F957&amp;"-"&amp;G957&amp;"-"&amp;F957</f>
        <v/>
      </c>
      <c r="V957" s="4">
        <f>IF($M$957="","",$M$957)</f>
        <v/>
      </c>
      <c r="W957" s="4">
        <f>IF($O$957="","",$O$957)</f>
        <v/>
      </c>
      <c r="X957" s="4">
        <f>J957</f>
        <v/>
      </c>
    </row>
    <row r="958">
      <c r="B958" s="4" t="inlineStr">
        <is>
          <t>1151_0</t>
        </is>
      </c>
      <c r="C958" s="4" t="inlineStr">
        <is>
          <t>13/09/2026</t>
        </is>
      </c>
      <c r="D958" s="4" t="inlineStr">
        <is>
          <t>domingo</t>
        </is>
      </c>
      <c r="E958" s="4" t="inlineStr">
        <is>
          <t>2351</t>
        </is>
      </c>
      <c r="F958" s="4" t="inlineStr">
        <is>
          <t>CJA</t>
        </is>
      </c>
      <c r="G958" s="4" t="inlineStr">
        <is>
          <t>LIM</t>
        </is>
      </c>
      <c r="H958" s="4" t="inlineStr">
        <is>
          <t>12:50:00</t>
        </is>
      </c>
      <c r="I958" s="4" t="inlineStr">
        <is>
          <t>14:00:00</t>
        </is>
      </c>
      <c r="J958" s="4" t="inlineStr">
        <is>
          <t>319</t>
        </is>
      </c>
      <c r="K958">
        <f>TEXT(TIMEVALUE(H958)-TIMEVALUE(I957)+(TIMEVALUE(H958)&lt;TIMEVALUE(I957)),"[h]:mm")</f>
        <v/>
      </c>
      <c r="L958" s="4" t="inlineStr">
        <is>
          <t>01:10:00</t>
        </is>
      </c>
      <c r="O958">
        <f>"LIM-"&amp;G957&amp;"-LIM   LA "&amp;E957&amp;" ("&amp;LEFT(H957,5)&amp;"-"&amp;LEFT(I957,5)&amp;" hrs)  /  LA "&amp;E958&amp;" ("&amp;LEFT(H958,5)&amp;"-"&amp;LEFT(I958,5)&amp;" hrs)"</f>
        <v/>
      </c>
    </row>
    <row r="959">
      <c r="B959" s="4" t="inlineStr">
        <is>
          <t>1171_0</t>
        </is>
      </c>
      <c r="C959" s="4" t="inlineStr">
        <is>
          <t>13/09/2026</t>
        </is>
      </c>
      <c r="D959" s="4" t="inlineStr">
        <is>
          <t>domingo</t>
        </is>
      </c>
      <c r="E959" s="4" t="inlineStr">
        <is>
          <t>2338</t>
        </is>
      </c>
      <c r="F959" s="4" t="inlineStr">
        <is>
          <t>LIM</t>
        </is>
      </c>
      <c r="G959" s="4" t="inlineStr">
        <is>
          <t>PIU</t>
        </is>
      </c>
      <c r="H959" s="4" t="inlineStr">
        <is>
          <t>15:00:00</t>
        </is>
      </c>
      <c r="I959" s="4" t="inlineStr">
        <is>
          <t>16:45:00</t>
        </is>
      </c>
      <c r="J959" s="4" t="inlineStr">
        <is>
          <t>319</t>
        </is>
      </c>
      <c r="K959" s="6">
        <f>TEXT(TIMEVALUE(H959)-TIMEVALUE(I958)+(TIMEVALUE(H959)&lt;TIMEVALUE(I958)),"[h]:mm")</f>
        <v/>
      </c>
      <c r="L959" s="4" t="inlineStr">
        <is>
          <t>01:45:00</t>
        </is>
      </c>
      <c r="M959">
        <f>IF($M$957="","",$M$957)</f>
        <v/>
      </c>
      <c r="O959">
        <f>IF($O$957="","",$O$957)</f>
        <v/>
      </c>
      <c r="Q959" s="4">
        <f>B959</f>
        <v/>
      </c>
      <c r="R959" s="4">
        <f>C959</f>
        <v/>
      </c>
      <c r="S959" s="4">
        <f>D959</f>
        <v/>
      </c>
      <c r="T959" s="4">
        <f>E959&amp;"/"&amp;E960</f>
        <v/>
      </c>
      <c r="U959" s="4">
        <f>F959&amp;"-"&amp;G959&amp;"-"&amp;F959</f>
        <v/>
      </c>
      <c r="V959" s="4">
        <f>IF($M$957="","",$M$957)</f>
        <v/>
      </c>
      <c r="W959" s="4">
        <f>IF($O$957="","",$O$957)</f>
        <v/>
      </c>
      <c r="X959" s="4">
        <f>J959</f>
        <v/>
      </c>
    </row>
    <row r="960">
      <c r="B960" s="4" t="inlineStr">
        <is>
          <t>1171_0</t>
        </is>
      </c>
      <c r="C960" s="4" t="inlineStr">
        <is>
          <t>13/09/2026</t>
        </is>
      </c>
      <c r="D960" s="4" t="inlineStr">
        <is>
          <t>domingo</t>
        </is>
      </c>
      <c r="E960" s="4" t="inlineStr">
        <is>
          <t>2339</t>
        </is>
      </c>
      <c r="F960" s="4" t="inlineStr">
        <is>
          <t>PIU</t>
        </is>
      </c>
      <c r="G960" s="4" t="inlineStr">
        <is>
          <t>LIM</t>
        </is>
      </c>
      <c r="H960" s="4" t="inlineStr">
        <is>
          <t>17:20:00</t>
        </is>
      </c>
      <c r="I960" s="4" t="inlineStr">
        <is>
          <t>18:50:00</t>
        </is>
      </c>
      <c r="J960" s="4" t="inlineStr">
        <is>
          <t>319</t>
        </is>
      </c>
      <c r="K960">
        <f>TEXT(TIMEVALUE(H960)-TIMEVALUE(I959)+(TIMEVALUE(H960)&lt;TIMEVALUE(I959)),"[h]:mm")</f>
        <v/>
      </c>
      <c r="L960" s="4" t="inlineStr">
        <is>
          <t>01:30:00</t>
        </is>
      </c>
      <c r="O960">
        <f>"LIM-"&amp;G959&amp;"-LIM   LA "&amp;E959&amp;" ("&amp;LEFT(H959,5)&amp;"-"&amp;LEFT(I959,5)&amp;" hrs)  /  LA "&amp;E960&amp;" ("&amp;LEFT(H960,5)&amp;"-"&amp;LEFT(I960,5)&amp;" hrs)"</f>
        <v/>
      </c>
    </row>
    <row r="961">
      <c r="J961" s="7" t="inlineStr">
        <is>
          <t>PSV total:</t>
        </is>
      </c>
      <c r="K961" s="8">
        <f>TEXT(TIMEVALUE(I960)-TIMEVALUE(H957)+(I960&lt;H957),"[h]:mm")</f>
        <v/>
      </c>
    </row>
    <row r="963">
      <c r="B963" s="3" t="inlineStr">
        <is>
          <t>Pairing ID</t>
        </is>
      </c>
      <c r="C963" s="3" t="inlineStr">
        <is>
          <t>FECHA REAL</t>
        </is>
      </c>
      <c r="D963" s="3" t="inlineStr">
        <is>
          <t>Day of Week</t>
        </is>
      </c>
      <c r="E963" s="3" t="inlineStr">
        <is>
          <t>Flight No</t>
        </is>
      </c>
      <c r="F963" s="3" t="inlineStr">
        <is>
          <t>Dep Stn</t>
        </is>
      </c>
      <c r="G963" s="3" t="inlineStr">
        <is>
          <t>Arr Stn</t>
        </is>
      </c>
      <c r="H963" s="3" t="inlineStr">
        <is>
          <t>STD</t>
        </is>
      </c>
      <c r="I963" s="3" t="inlineStr">
        <is>
          <t>STA</t>
        </is>
      </c>
      <c r="J963" s="3" t="inlineStr">
        <is>
          <t>subflota</t>
        </is>
      </c>
      <c r="K963" s="3" t="inlineStr">
        <is>
          <t>Conexion</t>
        </is>
      </c>
      <c r="L963" s="3" t="inlineStr">
        <is>
          <t>HBT</t>
        </is>
      </c>
    </row>
    <row r="964">
      <c r="B964" s="4" t="inlineStr">
        <is>
          <t>1152_0</t>
        </is>
      </c>
      <c r="C964" s="4" t="inlineStr">
        <is>
          <t>13/09/2026</t>
        </is>
      </c>
      <c r="D964" s="4" t="inlineStr">
        <is>
          <t>domingo</t>
        </is>
      </c>
      <c r="E964" s="4" t="inlineStr">
        <is>
          <t>2299</t>
        </is>
      </c>
      <c r="F964" s="4" t="inlineStr">
        <is>
          <t>LIM</t>
        </is>
      </c>
      <c r="G964" s="4" t="inlineStr">
        <is>
          <t>CJA</t>
        </is>
      </c>
      <c r="H964" s="4" t="inlineStr">
        <is>
          <t>11:35:00</t>
        </is>
      </c>
      <c r="I964" s="4" t="inlineStr">
        <is>
          <t>12:55:00</t>
        </is>
      </c>
      <c r="J964" s="4" t="inlineStr">
        <is>
          <t>320</t>
        </is>
      </c>
      <c r="L964" s="4" t="inlineStr">
        <is>
          <t>01:20:00</t>
        </is>
      </c>
      <c r="M964" s="5" t="n"/>
      <c r="O964" s="5" t="n"/>
      <c r="Q964" s="4">
        <f>B964</f>
        <v/>
      </c>
      <c r="R964" s="4">
        <f>C964</f>
        <v/>
      </c>
      <c r="S964" s="4">
        <f>D964</f>
        <v/>
      </c>
      <c r="T964" s="4">
        <f>E964&amp;"/"&amp;E965</f>
        <v/>
      </c>
      <c r="U964" s="4">
        <f>F964&amp;"-"&amp;G964&amp;"-"&amp;F964</f>
        <v/>
      </c>
      <c r="V964" s="4">
        <f>IF($M$964="","",$M$964)</f>
        <v/>
      </c>
      <c r="W964" s="4">
        <f>IF($O$964="","",$O$964)</f>
        <v/>
      </c>
      <c r="X964" s="4">
        <f>J964</f>
        <v/>
      </c>
    </row>
    <row r="965">
      <c r="B965" s="4" t="inlineStr">
        <is>
          <t>1152_0</t>
        </is>
      </c>
      <c r="C965" s="4" t="inlineStr">
        <is>
          <t>13/09/2026</t>
        </is>
      </c>
      <c r="D965" s="4" t="inlineStr">
        <is>
          <t>domingo</t>
        </is>
      </c>
      <c r="E965" s="4" t="inlineStr">
        <is>
          <t>2298</t>
        </is>
      </c>
      <c r="F965" s="4" t="inlineStr">
        <is>
          <t>CJA</t>
        </is>
      </c>
      <c r="G965" s="4" t="inlineStr">
        <is>
          <t>LIM</t>
        </is>
      </c>
      <c r="H965" s="4" t="inlineStr">
        <is>
          <t>13:45:00</t>
        </is>
      </c>
      <c r="I965" s="4" t="inlineStr">
        <is>
          <t>14:55:00</t>
        </is>
      </c>
      <c r="J965" s="4" t="inlineStr">
        <is>
          <t>320</t>
        </is>
      </c>
      <c r="K965">
        <f>TEXT(TIMEVALUE(H965)-TIMEVALUE(I964)+(TIMEVALUE(H965)&lt;TIMEVALUE(I964)),"[h]:mm")</f>
        <v/>
      </c>
      <c r="L965" s="4" t="inlineStr">
        <is>
          <t>01:10:00</t>
        </is>
      </c>
      <c r="O965">
        <f>"LIM-"&amp;G964&amp;"-LIM   LA "&amp;E964&amp;" ("&amp;LEFT(H964,5)&amp;"-"&amp;LEFT(I964,5)&amp;" hrs)  /  LA "&amp;E965&amp;" ("&amp;LEFT(H965,5)&amp;"-"&amp;LEFT(I965,5)&amp;" hrs)"</f>
        <v/>
      </c>
    </row>
    <row r="966">
      <c r="B966" s="4" t="inlineStr">
        <is>
          <t>1180_0</t>
        </is>
      </c>
      <c r="C966" s="4" t="inlineStr">
        <is>
          <t>13/09/2026</t>
        </is>
      </c>
      <c r="D966" s="4" t="inlineStr">
        <is>
          <t>domingo</t>
        </is>
      </c>
      <c r="E966" s="4" t="inlineStr">
        <is>
          <t>2127</t>
        </is>
      </c>
      <c r="F966" s="4" t="inlineStr">
        <is>
          <t>LIM</t>
        </is>
      </c>
      <c r="G966" s="4" t="inlineStr">
        <is>
          <t>CUZ</t>
        </is>
      </c>
      <c r="H966" s="4" t="inlineStr">
        <is>
          <t>16:10:00</t>
        </is>
      </c>
      <c r="I966" s="4" t="inlineStr">
        <is>
          <t>17:30:00</t>
        </is>
      </c>
      <c r="J966" s="4" t="inlineStr">
        <is>
          <t>320</t>
        </is>
      </c>
      <c r="K966" s="6">
        <f>TEXT(TIMEVALUE(H966)-TIMEVALUE(I965)+(TIMEVALUE(H966)&lt;TIMEVALUE(I965)),"[h]:mm")</f>
        <v/>
      </c>
      <c r="L966" s="4" t="inlineStr">
        <is>
          <t>01:20:00</t>
        </is>
      </c>
      <c r="M966">
        <f>IF($M$964="","",$M$964)</f>
        <v/>
      </c>
      <c r="O966">
        <f>IF($O$964="","",$O$964)</f>
        <v/>
      </c>
      <c r="Q966" s="4">
        <f>B966</f>
        <v/>
      </c>
      <c r="R966" s="4">
        <f>C966</f>
        <v/>
      </c>
      <c r="S966" s="4">
        <f>D966</f>
        <v/>
      </c>
      <c r="T966" s="4">
        <f>E966&amp;"/"&amp;E967</f>
        <v/>
      </c>
      <c r="U966" s="4">
        <f>F966&amp;"-"&amp;G966&amp;"-"&amp;F966</f>
        <v/>
      </c>
      <c r="V966" s="4">
        <f>IF($M$964="","",$M$964)</f>
        <v/>
      </c>
      <c r="W966" s="4">
        <f>IF($O$964="","",$O$964)</f>
        <v/>
      </c>
      <c r="X966" s="4">
        <f>J966</f>
        <v/>
      </c>
    </row>
    <row r="967">
      <c r="B967" s="4" t="inlineStr">
        <is>
          <t>1180_0</t>
        </is>
      </c>
      <c r="C967" s="4" t="inlineStr">
        <is>
          <t>13/09/2026</t>
        </is>
      </c>
      <c r="D967" s="4" t="inlineStr">
        <is>
          <t>domingo</t>
        </is>
      </c>
      <c r="E967" s="4" t="inlineStr">
        <is>
          <t>2026</t>
        </is>
      </c>
      <c r="F967" s="4" t="inlineStr">
        <is>
          <t>CUZ</t>
        </is>
      </c>
      <c r="G967" s="4" t="inlineStr">
        <is>
          <t>LIM</t>
        </is>
      </c>
      <c r="H967" s="4" t="inlineStr">
        <is>
          <t>18:10:00</t>
        </is>
      </c>
      <c r="I967" s="4" t="inlineStr">
        <is>
          <t>19:50:00</t>
        </is>
      </c>
      <c r="J967" s="4" t="inlineStr">
        <is>
          <t>320</t>
        </is>
      </c>
      <c r="K967">
        <f>TEXT(TIMEVALUE(H967)-TIMEVALUE(I966)+(TIMEVALUE(H967)&lt;TIMEVALUE(I966)),"[h]:mm")</f>
        <v/>
      </c>
      <c r="L967" s="4" t="inlineStr">
        <is>
          <t>01:40:00</t>
        </is>
      </c>
      <c r="O967">
        <f>"LIM-"&amp;G966&amp;"-LIM   LA "&amp;E966&amp;" ("&amp;LEFT(H966,5)&amp;"-"&amp;LEFT(I966,5)&amp;" hrs)  /  LA "&amp;E967&amp;" ("&amp;LEFT(H967,5)&amp;"-"&amp;LEFT(I967,5)&amp;" hrs)"</f>
        <v/>
      </c>
    </row>
    <row r="968">
      <c r="J968" s="7" t="inlineStr">
        <is>
          <t>PSV total:</t>
        </is>
      </c>
      <c r="K968" s="8">
        <f>TEXT(TIMEVALUE(I967)-TIMEVALUE(H964)+(I967&lt;H964),"[h]:mm")</f>
        <v/>
      </c>
    </row>
    <row r="970">
      <c r="B970" s="3" t="inlineStr">
        <is>
          <t>Pairing ID</t>
        </is>
      </c>
      <c r="C970" s="3" t="inlineStr">
        <is>
          <t>FECHA REAL</t>
        </is>
      </c>
      <c r="D970" s="3" t="inlineStr">
        <is>
          <t>Day of Week</t>
        </is>
      </c>
      <c r="E970" s="3" t="inlineStr">
        <is>
          <t>Flight No</t>
        </is>
      </c>
      <c r="F970" s="3" t="inlineStr">
        <is>
          <t>Dep Stn</t>
        </is>
      </c>
      <c r="G970" s="3" t="inlineStr">
        <is>
          <t>Arr Stn</t>
        </is>
      </c>
      <c r="H970" s="3" t="inlineStr">
        <is>
          <t>STD</t>
        </is>
      </c>
      <c r="I970" s="3" t="inlineStr">
        <is>
          <t>STA</t>
        </is>
      </c>
      <c r="J970" s="3" t="inlineStr">
        <is>
          <t>subflota</t>
        </is>
      </c>
      <c r="K970" s="3" t="inlineStr">
        <is>
          <t>Conexion</t>
        </is>
      </c>
      <c r="L970" s="3" t="inlineStr">
        <is>
          <t>HBT</t>
        </is>
      </c>
    </row>
    <row r="971">
      <c r="B971" s="4" t="inlineStr">
        <is>
          <t>1155_0</t>
        </is>
      </c>
      <c r="C971" s="4" t="inlineStr">
        <is>
          <t>13/09/2026</t>
        </is>
      </c>
      <c r="D971" s="4" t="inlineStr">
        <is>
          <t>domingo</t>
        </is>
      </c>
      <c r="E971" s="4" t="inlineStr">
        <is>
          <t>2356</t>
        </is>
      </c>
      <c r="F971" s="4" t="inlineStr">
        <is>
          <t>LIM</t>
        </is>
      </c>
      <c r="G971" s="4" t="inlineStr">
        <is>
          <t>CUZ</t>
        </is>
      </c>
      <c r="H971" s="4" t="inlineStr">
        <is>
          <t>12:10:00</t>
        </is>
      </c>
      <c r="I971" s="4" t="inlineStr">
        <is>
          <t>13:35:00</t>
        </is>
      </c>
      <c r="J971" s="4" t="inlineStr">
        <is>
          <t>320</t>
        </is>
      </c>
      <c r="L971" s="4" t="inlineStr">
        <is>
          <t>01:25:00</t>
        </is>
      </c>
      <c r="M971" s="5" t="n"/>
      <c r="O971" s="5" t="n"/>
      <c r="Q971" s="4">
        <f>B971</f>
        <v/>
      </c>
      <c r="R971" s="4">
        <f>C971</f>
        <v/>
      </c>
      <c r="S971" s="4">
        <f>D971</f>
        <v/>
      </c>
      <c r="T971" s="4">
        <f>E971&amp;"/"&amp;E972</f>
        <v/>
      </c>
      <c r="U971" s="4">
        <f>F971&amp;"-"&amp;G971&amp;"-"&amp;F971</f>
        <v/>
      </c>
      <c r="V971" s="4">
        <f>IF($M$971="","",$M$971)</f>
        <v/>
      </c>
      <c r="W971" s="4">
        <f>IF($O$971="","",$O$971)</f>
        <v/>
      </c>
      <c r="X971" s="4">
        <f>J971</f>
        <v/>
      </c>
    </row>
    <row r="972">
      <c r="B972" s="4" t="inlineStr">
        <is>
          <t>1155_0</t>
        </is>
      </c>
      <c r="C972" s="4" t="inlineStr">
        <is>
          <t>13/09/2026</t>
        </is>
      </c>
      <c r="D972" s="4" t="inlineStr">
        <is>
          <t>domingo</t>
        </is>
      </c>
      <c r="E972" s="4" t="inlineStr">
        <is>
          <t>2357</t>
        </is>
      </c>
      <c r="F972" s="4" t="inlineStr">
        <is>
          <t>CUZ</t>
        </is>
      </c>
      <c r="G972" s="4" t="inlineStr">
        <is>
          <t>LIM</t>
        </is>
      </c>
      <c r="H972" s="4" t="inlineStr">
        <is>
          <t>14:15:00</t>
        </is>
      </c>
      <c r="I972" s="4" t="inlineStr">
        <is>
          <t>15:50:00</t>
        </is>
      </c>
      <c r="J972" s="4" t="inlineStr">
        <is>
          <t>320</t>
        </is>
      </c>
      <c r="K972">
        <f>TEXT(TIMEVALUE(H972)-TIMEVALUE(I971)+(TIMEVALUE(H972)&lt;TIMEVALUE(I971)),"[h]:mm")</f>
        <v/>
      </c>
      <c r="L972" s="4" t="inlineStr">
        <is>
          <t>01:35:00</t>
        </is>
      </c>
      <c r="O972">
        <f>"LIM-"&amp;G971&amp;"-LIM   LA "&amp;E971&amp;" ("&amp;LEFT(H971,5)&amp;"-"&amp;LEFT(I971,5)&amp;" hrs)  /  LA "&amp;E972&amp;" ("&amp;LEFT(H972,5)&amp;"-"&amp;LEFT(I972,5)&amp;" hrs)"</f>
        <v/>
      </c>
    </row>
    <row r="973">
      <c r="B973" s="4" t="inlineStr">
        <is>
          <t>1182_0</t>
        </is>
      </c>
      <c r="C973" s="4" t="inlineStr">
        <is>
          <t>13/09/2026</t>
        </is>
      </c>
      <c r="D973" s="4" t="inlineStr">
        <is>
          <t>domingo</t>
        </is>
      </c>
      <c r="E973" s="4" t="inlineStr">
        <is>
          <t>2304</t>
        </is>
      </c>
      <c r="F973" s="4" t="inlineStr">
        <is>
          <t>LIM</t>
        </is>
      </c>
      <c r="G973" s="4" t="inlineStr">
        <is>
          <t>PIU</t>
        </is>
      </c>
      <c r="H973" s="4" t="inlineStr">
        <is>
          <t>16:55:00</t>
        </is>
      </c>
      <c r="I973" s="4" t="inlineStr">
        <is>
          <t>18:35:00</t>
        </is>
      </c>
      <c r="J973" s="4" t="inlineStr">
        <is>
          <t>320</t>
        </is>
      </c>
      <c r="K973" s="6">
        <f>TEXT(TIMEVALUE(H973)-TIMEVALUE(I972)+(TIMEVALUE(H973)&lt;TIMEVALUE(I972)),"[h]:mm")</f>
        <v/>
      </c>
      <c r="L973" s="4" t="inlineStr">
        <is>
          <t>01:40:00</t>
        </is>
      </c>
      <c r="M973">
        <f>IF($M$971="","",$M$971)</f>
        <v/>
      </c>
      <c r="O973">
        <f>IF($O$971="","",$O$971)</f>
        <v/>
      </c>
      <c r="Q973" s="4">
        <f>B973</f>
        <v/>
      </c>
      <c r="R973" s="4">
        <f>C973</f>
        <v/>
      </c>
      <c r="S973" s="4">
        <f>D973</f>
        <v/>
      </c>
      <c r="T973" s="4">
        <f>E973&amp;"/"&amp;E974</f>
        <v/>
      </c>
      <c r="U973" s="4">
        <f>F973&amp;"-"&amp;G973&amp;"-"&amp;F973</f>
        <v/>
      </c>
      <c r="V973" s="4">
        <f>IF($M$971="","",$M$971)</f>
        <v/>
      </c>
      <c r="W973" s="4">
        <f>IF($O$971="","",$O$971)</f>
        <v/>
      </c>
      <c r="X973" s="4">
        <f>J973</f>
        <v/>
      </c>
    </row>
    <row r="974">
      <c r="B974" s="4" t="inlineStr">
        <is>
          <t>1182_0</t>
        </is>
      </c>
      <c r="C974" s="4" t="inlineStr">
        <is>
          <t>13/09/2026</t>
        </is>
      </c>
      <c r="D974" s="4" t="inlineStr">
        <is>
          <t>domingo</t>
        </is>
      </c>
      <c r="E974" s="4" t="inlineStr">
        <is>
          <t>2305</t>
        </is>
      </c>
      <c r="F974" s="4" t="inlineStr">
        <is>
          <t>PIU</t>
        </is>
      </c>
      <c r="G974" s="4" t="inlineStr">
        <is>
          <t>LIM</t>
        </is>
      </c>
      <c r="H974" s="4" t="inlineStr">
        <is>
          <t>19:10:00</t>
        </is>
      </c>
      <c r="I974" s="4" t="inlineStr">
        <is>
          <t>20:40:00</t>
        </is>
      </c>
      <c r="J974" s="4" t="inlineStr">
        <is>
          <t>320</t>
        </is>
      </c>
      <c r="K974">
        <f>TEXT(TIMEVALUE(H974)-TIMEVALUE(I973)+(TIMEVALUE(H974)&lt;TIMEVALUE(I973)),"[h]:mm")</f>
        <v/>
      </c>
      <c r="L974" s="4" t="inlineStr">
        <is>
          <t>01:30:00</t>
        </is>
      </c>
      <c r="O974">
        <f>"LIM-"&amp;G973&amp;"-LIM   LA "&amp;E973&amp;" ("&amp;LEFT(H973,5)&amp;"-"&amp;LEFT(I973,5)&amp;" hrs)  /  LA "&amp;E974&amp;" ("&amp;LEFT(H974,5)&amp;"-"&amp;LEFT(I974,5)&amp;" hrs)"</f>
        <v/>
      </c>
    </row>
    <row r="975">
      <c r="J975" s="7" t="inlineStr">
        <is>
          <t>PSV total:</t>
        </is>
      </c>
      <c r="K975" s="8">
        <f>TEXT(TIMEVALUE(I974)-TIMEVALUE(H971)+(I974&lt;H971),"[h]:mm")</f>
        <v/>
      </c>
    </row>
    <row r="977">
      <c r="B977" s="3" t="inlineStr">
        <is>
          <t>Pairing ID</t>
        </is>
      </c>
      <c r="C977" s="3" t="inlineStr">
        <is>
          <t>FECHA REAL</t>
        </is>
      </c>
      <c r="D977" s="3" t="inlineStr">
        <is>
          <t>Day of Week</t>
        </is>
      </c>
      <c r="E977" s="3" t="inlineStr">
        <is>
          <t>Flight No</t>
        </is>
      </c>
      <c r="F977" s="3" t="inlineStr">
        <is>
          <t>Dep Stn</t>
        </is>
      </c>
      <c r="G977" s="3" t="inlineStr">
        <is>
          <t>Arr Stn</t>
        </is>
      </c>
      <c r="H977" s="3" t="inlineStr">
        <is>
          <t>STD</t>
        </is>
      </c>
      <c r="I977" s="3" t="inlineStr">
        <is>
          <t>STA</t>
        </is>
      </c>
      <c r="J977" s="3" t="inlineStr">
        <is>
          <t>subflota</t>
        </is>
      </c>
      <c r="K977" s="3" t="inlineStr">
        <is>
          <t>Conexion</t>
        </is>
      </c>
      <c r="L977" s="3" t="inlineStr">
        <is>
          <t>HBT</t>
        </is>
      </c>
    </row>
    <row r="978">
      <c r="B978" s="4" t="inlineStr">
        <is>
          <t>1156_0</t>
        </is>
      </c>
      <c r="C978" s="4" t="inlineStr">
        <is>
          <t>13/09/2026</t>
        </is>
      </c>
      <c r="D978" s="4" t="inlineStr">
        <is>
          <t>domingo</t>
        </is>
      </c>
      <c r="E978" s="4" t="inlineStr">
        <is>
          <t>2356</t>
        </is>
      </c>
      <c r="F978" s="4" t="inlineStr">
        <is>
          <t>LIM</t>
        </is>
      </c>
      <c r="G978" s="4" t="inlineStr">
        <is>
          <t>CUZ</t>
        </is>
      </c>
      <c r="H978" s="4" t="inlineStr">
        <is>
          <t>12:10:00</t>
        </is>
      </c>
      <c r="I978" s="4" t="inlineStr">
        <is>
          <t>13:35:00</t>
        </is>
      </c>
      <c r="J978" s="4" t="inlineStr">
        <is>
          <t>320</t>
        </is>
      </c>
      <c r="L978" s="4" t="inlineStr">
        <is>
          <t>01:25:00</t>
        </is>
      </c>
      <c r="M978" s="5" t="n"/>
      <c r="O978" s="5" t="n"/>
      <c r="Q978" s="4">
        <f>B978</f>
        <v/>
      </c>
      <c r="R978" s="4">
        <f>C978</f>
        <v/>
      </c>
      <c r="S978" s="4">
        <f>D978</f>
        <v/>
      </c>
      <c r="T978" s="4">
        <f>E978&amp;"/"&amp;E979</f>
        <v/>
      </c>
      <c r="U978" s="4">
        <f>F978&amp;"-"&amp;G978&amp;"-"&amp;F978</f>
        <v/>
      </c>
      <c r="V978" s="4">
        <f>IF($M$978="","",$M$978)</f>
        <v/>
      </c>
      <c r="W978" s="4">
        <f>IF($O$978="","",$O$978)</f>
        <v/>
      </c>
      <c r="X978" s="4">
        <f>J978</f>
        <v/>
      </c>
    </row>
    <row r="979">
      <c r="B979" s="4" t="inlineStr">
        <is>
          <t>1156_0</t>
        </is>
      </c>
      <c r="C979" s="4" t="inlineStr">
        <is>
          <t>13/09/2026</t>
        </is>
      </c>
      <c r="D979" s="4" t="inlineStr">
        <is>
          <t>domingo</t>
        </is>
      </c>
      <c r="E979" s="4" t="inlineStr">
        <is>
          <t>2357</t>
        </is>
      </c>
      <c r="F979" s="4" t="inlineStr">
        <is>
          <t>CUZ</t>
        </is>
      </c>
      <c r="G979" s="4" t="inlineStr">
        <is>
          <t>LIM</t>
        </is>
      </c>
      <c r="H979" s="4" t="inlineStr">
        <is>
          <t>14:15:00</t>
        </is>
      </c>
      <c r="I979" s="4" t="inlineStr">
        <is>
          <t>15:50:00</t>
        </is>
      </c>
      <c r="J979" s="4" t="inlineStr">
        <is>
          <t>320</t>
        </is>
      </c>
      <c r="K979">
        <f>TEXT(TIMEVALUE(H979)-TIMEVALUE(I978)+(TIMEVALUE(H979)&lt;TIMEVALUE(I978)),"[h]:mm")</f>
        <v/>
      </c>
      <c r="L979" s="4" t="inlineStr">
        <is>
          <t>01:35:00</t>
        </is>
      </c>
      <c r="O979">
        <f>"LIM-"&amp;G978&amp;"-LIM   LA "&amp;E978&amp;" ("&amp;LEFT(H978,5)&amp;"-"&amp;LEFT(I978,5)&amp;" hrs)  /  LA "&amp;E979&amp;" ("&amp;LEFT(H979,5)&amp;"-"&amp;LEFT(I979,5)&amp;" hrs)"</f>
        <v/>
      </c>
    </row>
    <row r="980">
      <c r="J980" s="7" t="inlineStr">
        <is>
          <t>PSV total:</t>
        </is>
      </c>
      <c r="K980" s="8">
        <f>TEXT(TIMEVALUE(I979)-TIMEVALUE(H978)+(I979&lt;H978),"[h]:mm")</f>
        <v/>
      </c>
    </row>
    <row r="982">
      <c r="B982" s="3" t="inlineStr">
        <is>
          <t>Pairing ID</t>
        </is>
      </c>
      <c r="C982" s="3" t="inlineStr">
        <is>
          <t>FECHA REAL</t>
        </is>
      </c>
      <c r="D982" s="3" t="inlineStr">
        <is>
          <t>Day of Week</t>
        </is>
      </c>
      <c r="E982" s="3" t="inlineStr">
        <is>
          <t>Flight No</t>
        </is>
      </c>
      <c r="F982" s="3" t="inlineStr">
        <is>
          <t>Dep Stn</t>
        </is>
      </c>
      <c r="G982" s="3" t="inlineStr">
        <is>
          <t>Arr Stn</t>
        </is>
      </c>
      <c r="H982" s="3" t="inlineStr">
        <is>
          <t>STD</t>
        </is>
      </c>
      <c r="I982" s="3" t="inlineStr">
        <is>
          <t>STA</t>
        </is>
      </c>
      <c r="J982" s="3" t="inlineStr">
        <is>
          <t>subflota</t>
        </is>
      </c>
      <c r="K982" s="3" t="inlineStr">
        <is>
          <t>Conexion</t>
        </is>
      </c>
      <c r="L982" s="3" t="inlineStr">
        <is>
          <t>HBT</t>
        </is>
      </c>
    </row>
    <row r="983">
      <c r="B983" s="4" t="inlineStr">
        <is>
          <t>1162_0</t>
        </is>
      </c>
      <c r="C983" s="4" t="inlineStr">
        <is>
          <t>13/09/2026</t>
        </is>
      </c>
      <c r="D983" s="4" t="inlineStr">
        <is>
          <t>domingo</t>
        </is>
      </c>
      <c r="E983" s="4" t="inlineStr">
        <is>
          <t>2270</t>
        </is>
      </c>
      <c r="F983" s="4" t="inlineStr">
        <is>
          <t>LIM</t>
        </is>
      </c>
      <c r="G983" s="4" t="inlineStr">
        <is>
          <t>CIX</t>
        </is>
      </c>
      <c r="H983" s="4" t="inlineStr">
        <is>
          <t>13:00:00</t>
        </is>
      </c>
      <c r="I983" s="4" t="inlineStr">
        <is>
          <t>14:30:00</t>
        </is>
      </c>
      <c r="J983" s="4" t="inlineStr">
        <is>
          <t>319</t>
        </is>
      </c>
      <c r="L983" s="4" t="inlineStr">
        <is>
          <t>01:30:00</t>
        </is>
      </c>
      <c r="M983" s="5" t="n"/>
      <c r="O983" s="5" t="n"/>
      <c r="Q983" s="4">
        <f>B983</f>
        <v/>
      </c>
      <c r="R983" s="4">
        <f>C983</f>
        <v/>
      </c>
      <c r="S983" s="4">
        <f>D983</f>
        <v/>
      </c>
      <c r="T983" s="4">
        <f>E983&amp;"/"&amp;E984</f>
        <v/>
      </c>
      <c r="U983" s="4">
        <f>F983&amp;"-"&amp;G983&amp;"-"&amp;F983</f>
        <v/>
      </c>
      <c r="V983" s="4">
        <f>IF($M$983="","",$M$983)</f>
        <v/>
      </c>
      <c r="W983" s="4">
        <f>IF($O$983="","",$O$983)</f>
        <v/>
      </c>
      <c r="X983" s="4">
        <f>J983</f>
        <v/>
      </c>
    </row>
    <row r="984">
      <c r="B984" s="4" t="inlineStr">
        <is>
          <t>1162_0</t>
        </is>
      </c>
      <c r="C984" s="4" t="inlineStr">
        <is>
          <t>13/09/2026</t>
        </is>
      </c>
      <c r="D984" s="4" t="inlineStr">
        <is>
          <t>domingo</t>
        </is>
      </c>
      <c r="E984" s="4" t="inlineStr">
        <is>
          <t>2271</t>
        </is>
      </c>
      <c r="F984" s="4" t="inlineStr">
        <is>
          <t>CIX</t>
        </is>
      </c>
      <c r="G984" s="4" t="inlineStr">
        <is>
          <t>LIM</t>
        </is>
      </c>
      <c r="H984" s="4" t="inlineStr">
        <is>
          <t>15:05:00</t>
        </is>
      </c>
      <c r="I984" s="4" t="inlineStr">
        <is>
          <t>16:20:00</t>
        </is>
      </c>
      <c r="J984" s="4" t="inlineStr">
        <is>
          <t>319</t>
        </is>
      </c>
      <c r="K984">
        <f>TEXT(TIMEVALUE(H984)-TIMEVALUE(I983)+(TIMEVALUE(H984)&lt;TIMEVALUE(I983)),"[h]:mm")</f>
        <v/>
      </c>
      <c r="L984" s="4" t="inlineStr">
        <is>
          <t>01:15:00</t>
        </is>
      </c>
      <c r="O984">
        <f>"LIM-"&amp;G983&amp;"-LIM   LA "&amp;E983&amp;" ("&amp;LEFT(H983,5)&amp;"-"&amp;LEFT(I983,5)&amp;" hrs)  /  LA "&amp;E984&amp;" ("&amp;LEFT(H984,5)&amp;"-"&amp;LEFT(I984,5)&amp;" hrs)"</f>
        <v/>
      </c>
    </row>
    <row r="985">
      <c r="B985" s="4" t="inlineStr">
        <is>
          <t>1183_0</t>
        </is>
      </c>
      <c r="C985" s="4" t="inlineStr">
        <is>
          <t>13/09/2026</t>
        </is>
      </c>
      <c r="D985" s="4" t="inlineStr">
        <is>
          <t>domingo</t>
        </is>
      </c>
      <c r="E985" s="4" t="inlineStr">
        <is>
          <t>2213</t>
        </is>
      </c>
      <c r="F985" s="4" t="inlineStr">
        <is>
          <t>LIM</t>
        </is>
      </c>
      <c r="G985" s="4" t="inlineStr">
        <is>
          <t>CIX</t>
        </is>
      </c>
      <c r="H985" s="4" t="inlineStr">
        <is>
          <t>17:20:00</t>
        </is>
      </c>
      <c r="I985" s="4" t="inlineStr">
        <is>
          <t>18:50:00</t>
        </is>
      </c>
      <c r="J985" s="4" t="inlineStr">
        <is>
          <t>320</t>
        </is>
      </c>
      <c r="K985" s="6">
        <f>TEXT(TIMEVALUE(H985)-TIMEVALUE(I984)+(TIMEVALUE(H985)&lt;TIMEVALUE(I984)),"[h]:mm")</f>
        <v/>
      </c>
      <c r="L985" s="4" t="inlineStr">
        <is>
          <t>01:30:00</t>
        </is>
      </c>
      <c r="M985">
        <f>IF($M$983="","",$M$983)</f>
        <v/>
      </c>
      <c r="O985">
        <f>IF($O$983="","",$O$983)</f>
        <v/>
      </c>
      <c r="Q985" s="4">
        <f>B985</f>
        <v/>
      </c>
      <c r="R985" s="4">
        <f>C985</f>
        <v/>
      </c>
      <c r="S985" s="4">
        <f>D985</f>
        <v/>
      </c>
      <c r="T985" s="4">
        <f>E985&amp;"/"&amp;E986</f>
        <v/>
      </c>
      <c r="U985" s="4">
        <f>F985&amp;"-"&amp;G985&amp;"-"&amp;F985</f>
        <v/>
      </c>
      <c r="V985" s="4">
        <f>IF($M$983="","",$M$983)</f>
        <v/>
      </c>
      <c r="W985" s="4">
        <f>IF($O$983="","",$O$983)</f>
        <v/>
      </c>
      <c r="X985" s="4">
        <f>J985</f>
        <v/>
      </c>
    </row>
    <row r="986">
      <c r="B986" s="4" t="inlineStr">
        <is>
          <t>1183_0</t>
        </is>
      </c>
      <c r="C986" s="4" t="inlineStr">
        <is>
          <t>13/09/2026</t>
        </is>
      </c>
      <c r="D986" s="4" t="inlineStr">
        <is>
          <t>domingo</t>
        </is>
      </c>
      <c r="E986" s="4" t="inlineStr">
        <is>
          <t>2214</t>
        </is>
      </c>
      <c r="F986" s="4" t="inlineStr">
        <is>
          <t>CIX</t>
        </is>
      </c>
      <c r="G986" s="4" t="inlineStr">
        <is>
          <t>LIM</t>
        </is>
      </c>
      <c r="H986" s="4" t="inlineStr">
        <is>
          <t>19:25:00</t>
        </is>
      </c>
      <c r="I986" s="4" t="inlineStr">
        <is>
          <t>20:40:00</t>
        </is>
      </c>
      <c r="J986" s="4" t="inlineStr">
        <is>
          <t>320</t>
        </is>
      </c>
      <c r="K986">
        <f>TEXT(TIMEVALUE(H986)-TIMEVALUE(I985)+(TIMEVALUE(H986)&lt;TIMEVALUE(I985)),"[h]:mm")</f>
        <v/>
      </c>
      <c r="L986" s="4" t="inlineStr">
        <is>
          <t>01:15:00</t>
        </is>
      </c>
      <c r="O986">
        <f>"LIM-"&amp;G985&amp;"-LIM   LA "&amp;E985&amp;" ("&amp;LEFT(H985,5)&amp;"-"&amp;LEFT(I985,5)&amp;" hrs)  /  LA "&amp;E986&amp;" ("&amp;LEFT(H986,5)&amp;"-"&amp;LEFT(I986,5)&amp;" hrs)"</f>
        <v/>
      </c>
    </row>
    <row r="987">
      <c r="J987" s="7" t="inlineStr">
        <is>
          <t>PSV total:</t>
        </is>
      </c>
      <c r="K987" s="8">
        <f>TEXT(TIMEVALUE(I986)-TIMEVALUE(H983)+(I986&lt;H983),"[h]:mm")</f>
        <v/>
      </c>
    </row>
    <row r="989">
      <c r="B989" s="3" t="inlineStr">
        <is>
          <t>Pairing ID</t>
        </is>
      </c>
      <c r="C989" s="3" t="inlineStr">
        <is>
          <t>FECHA REAL</t>
        </is>
      </c>
      <c r="D989" s="3" t="inlineStr">
        <is>
          <t>Day of Week</t>
        </is>
      </c>
      <c r="E989" s="3" t="inlineStr">
        <is>
          <t>Flight No</t>
        </is>
      </c>
      <c r="F989" s="3" t="inlineStr">
        <is>
          <t>Dep Stn</t>
        </is>
      </c>
      <c r="G989" s="3" t="inlineStr">
        <is>
          <t>Arr Stn</t>
        </is>
      </c>
      <c r="H989" s="3" t="inlineStr">
        <is>
          <t>STD</t>
        </is>
      </c>
      <c r="I989" s="3" t="inlineStr">
        <is>
          <t>STA</t>
        </is>
      </c>
      <c r="J989" s="3" t="inlineStr">
        <is>
          <t>subflota</t>
        </is>
      </c>
      <c r="K989" s="3" t="inlineStr">
        <is>
          <t>Conexion</t>
        </is>
      </c>
      <c r="L989" s="3" t="inlineStr">
        <is>
          <t>HBT</t>
        </is>
      </c>
    </row>
    <row r="990">
      <c r="B990" s="4" t="inlineStr">
        <is>
          <t>1164_0</t>
        </is>
      </c>
      <c r="C990" s="4" t="inlineStr">
        <is>
          <t>13/09/2026</t>
        </is>
      </c>
      <c r="D990" s="4" t="inlineStr">
        <is>
          <t>domingo</t>
        </is>
      </c>
      <c r="E990" s="4" t="inlineStr">
        <is>
          <t>2067</t>
        </is>
      </c>
      <c r="F990" s="4" t="inlineStr">
        <is>
          <t>LIM</t>
        </is>
      </c>
      <c r="G990" s="4" t="inlineStr">
        <is>
          <t>TCQ</t>
        </is>
      </c>
      <c r="H990" s="4" t="inlineStr">
        <is>
          <t>13:45:00</t>
        </is>
      </c>
      <c r="I990" s="4" t="inlineStr">
        <is>
          <t>15:35:00</t>
        </is>
      </c>
      <c r="J990" s="4" t="inlineStr">
        <is>
          <t>320</t>
        </is>
      </c>
      <c r="L990" s="4" t="inlineStr">
        <is>
          <t>01:50:00</t>
        </is>
      </c>
      <c r="M990" s="5" t="n"/>
      <c r="O990" s="5" t="n"/>
      <c r="Q990" s="4">
        <f>B990</f>
        <v/>
      </c>
      <c r="R990" s="4">
        <f>C990</f>
        <v/>
      </c>
      <c r="S990" s="4">
        <f>D990</f>
        <v/>
      </c>
      <c r="T990" s="4">
        <f>E990&amp;"/"&amp;E991</f>
        <v/>
      </c>
      <c r="U990" s="4">
        <f>F990&amp;"-"&amp;G990&amp;"-"&amp;F990</f>
        <v/>
      </c>
      <c r="V990" s="4">
        <f>IF($M$990="","",$M$990)</f>
        <v/>
      </c>
      <c r="W990" s="4">
        <f>IF($O$990="","",$O$990)</f>
        <v/>
      </c>
      <c r="X990" s="4">
        <f>J990</f>
        <v/>
      </c>
    </row>
    <row r="991">
      <c r="B991" s="4" t="inlineStr">
        <is>
          <t>1164_0</t>
        </is>
      </c>
      <c r="C991" s="4" t="inlineStr">
        <is>
          <t>13/09/2026</t>
        </is>
      </c>
      <c r="D991" s="4" t="inlineStr">
        <is>
          <t>domingo</t>
        </is>
      </c>
      <c r="E991" s="4" t="inlineStr">
        <is>
          <t>2068</t>
        </is>
      </c>
      <c r="F991" s="4" t="inlineStr">
        <is>
          <t>TCQ</t>
        </is>
      </c>
      <c r="G991" s="4" t="inlineStr">
        <is>
          <t>LIM</t>
        </is>
      </c>
      <c r="H991" s="4" t="inlineStr">
        <is>
          <t>16:20:00</t>
        </is>
      </c>
      <c r="I991" s="4" t="inlineStr">
        <is>
          <t>18:15:00</t>
        </is>
      </c>
      <c r="J991" s="4" t="inlineStr">
        <is>
          <t>320</t>
        </is>
      </c>
      <c r="K991">
        <f>TEXT(TIMEVALUE(H991)-TIMEVALUE(I990)+(TIMEVALUE(H991)&lt;TIMEVALUE(I990)),"[h]:mm")</f>
        <v/>
      </c>
      <c r="L991" s="4" t="inlineStr">
        <is>
          <t>01:55:00</t>
        </is>
      </c>
      <c r="O991">
        <f>"LIM-"&amp;G990&amp;"-LIM   LA "&amp;E990&amp;" ("&amp;LEFT(H990,5)&amp;"-"&amp;LEFT(I990,5)&amp;" hrs)  /  LA "&amp;E991&amp;" ("&amp;LEFT(H991,5)&amp;"-"&amp;LEFT(I991,5)&amp;" hrs)"</f>
        <v/>
      </c>
    </row>
    <row r="992">
      <c r="J992" s="7" t="inlineStr">
        <is>
          <t>PSV total:</t>
        </is>
      </c>
      <c r="K992" s="8">
        <f>TEXT(TIMEVALUE(I991)-TIMEVALUE(H990)+(I991&lt;H990),"[h]:mm")</f>
        <v/>
      </c>
    </row>
    <row r="994">
      <c r="B994" s="3" t="inlineStr">
        <is>
          <t>Pairing ID</t>
        </is>
      </c>
      <c r="C994" s="3" t="inlineStr">
        <is>
          <t>FECHA REAL</t>
        </is>
      </c>
      <c r="D994" s="3" t="inlineStr">
        <is>
          <t>Day of Week</t>
        </is>
      </c>
      <c r="E994" s="3" t="inlineStr">
        <is>
          <t>Flight No</t>
        </is>
      </c>
      <c r="F994" s="3" t="inlineStr">
        <is>
          <t>Dep Stn</t>
        </is>
      </c>
      <c r="G994" s="3" t="inlineStr">
        <is>
          <t>Arr Stn</t>
        </is>
      </c>
      <c r="H994" s="3" t="inlineStr">
        <is>
          <t>STD</t>
        </is>
      </c>
      <c r="I994" s="3" t="inlineStr">
        <is>
          <t>STA</t>
        </is>
      </c>
      <c r="J994" s="3" t="inlineStr">
        <is>
          <t>subflota</t>
        </is>
      </c>
      <c r="K994" s="3" t="inlineStr">
        <is>
          <t>Conexion</t>
        </is>
      </c>
      <c r="L994" s="3" t="inlineStr">
        <is>
          <t>HBT</t>
        </is>
      </c>
    </row>
    <row r="995">
      <c r="B995" s="4" t="inlineStr">
        <is>
          <t>1165_0</t>
        </is>
      </c>
      <c r="C995" s="4" t="inlineStr">
        <is>
          <t>13/09/2026</t>
        </is>
      </c>
      <c r="D995" s="4" t="inlineStr">
        <is>
          <t>domingo</t>
        </is>
      </c>
      <c r="E995" s="4" t="inlineStr">
        <is>
          <t>2087</t>
        </is>
      </c>
      <c r="F995" s="4" t="inlineStr">
        <is>
          <t>LIM</t>
        </is>
      </c>
      <c r="G995" s="4" t="inlineStr">
        <is>
          <t>TPP</t>
        </is>
      </c>
      <c r="H995" s="4" t="inlineStr">
        <is>
          <t>14:05:00</t>
        </is>
      </c>
      <c r="I995" s="4" t="inlineStr">
        <is>
          <t>15:30:00</t>
        </is>
      </c>
      <c r="J995" s="4" t="inlineStr">
        <is>
          <t>320</t>
        </is>
      </c>
      <c r="L995" s="4" t="inlineStr">
        <is>
          <t>01:25:00</t>
        </is>
      </c>
      <c r="M995" s="5" t="n"/>
      <c r="O995" s="5" t="n"/>
      <c r="Q995" s="4">
        <f>B995</f>
        <v/>
      </c>
      <c r="R995" s="4">
        <f>C995</f>
        <v/>
      </c>
      <c r="S995" s="4">
        <f>D995</f>
        <v/>
      </c>
      <c r="T995" s="4">
        <f>E995&amp;"/"&amp;E996</f>
        <v/>
      </c>
      <c r="U995" s="4">
        <f>F995&amp;"-"&amp;G995&amp;"-"&amp;F995</f>
        <v/>
      </c>
      <c r="V995" s="4">
        <f>IF($M$995="","",$M$995)</f>
        <v/>
      </c>
      <c r="W995" s="4">
        <f>IF($O$995="","",$O$995)</f>
        <v/>
      </c>
      <c r="X995" s="4">
        <f>J995</f>
        <v/>
      </c>
    </row>
    <row r="996">
      <c r="B996" s="4" t="inlineStr">
        <is>
          <t>1165_0</t>
        </is>
      </c>
      <c r="C996" s="4" t="inlineStr">
        <is>
          <t>13/09/2026</t>
        </is>
      </c>
      <c r="D996" s="4" t="inlineStr">
        <is>
          <t>domingo</t>
        </is>
      </c>
      <c r="E996" s="4" t="inlineStr">
        <is>
          <t>2088</t>
        </is>
      </c>
      <c r="F996" s="4" t="inlineStr">
        <is>
          <t>TPP</t>
        </is>
      </c>
      <c r="G996" s="4" t="inlineStr">
        <is>
          <t>LIM</t>
        </is>
      </c>
      <c r="H996" s="4" t="inlineStr">
        <is>
          <t>16:05:00</t>
        </is>
      </c>
      <c r="I996" s="4" t="inlineStr">
        <is>
          <t>17:30:00</t>
        </is>
      </c>
      <c r="J996" s="4" t="inlineStr">
        <is>
          <t>320</t>
        </is>
      </c>
      <c r="K996">
        <f>TEXT(TIMEVALUE(H996)-TIMEVALUE(I995)+(TIMEVALUE(H996)&lt;TIMEVALUE(I995)),"[h]:mm")</f>
        <v/>
      </c>
      <c r="L996" s="4" t="inlineStr">
        <is>
          <t>01:25:00</t>
        </is>
      </c>
      <c r="O996">
        <f>"LIM-"&amp;G995&amp;"-LIM   LA "&amp;E995&amp;" ("&amp;LEFT(H995,5)&amp;"-"&amp;LEFT(I995,5)&amp;" hrs)  /  LA "&amp;E996&amp;" ("&amp;LEFT(H996,5)&amp;"-"&amp;LEFT(I996,5)&amp;" hrs)"</f>
        <v/>
      </c>
    </row>
    <row r="997">
      <c r="B997" s="4" t="inlineStr">
        <is>
          <t>1186_0</t>
        </is>
      </c>
      <c r="C997" s="4" t="inlineStr">
        <is>
          <t>13/09/2026</t>
        </is>
      </c>
      <c r="D997" s="4" t="inlineStr">
        <is>
          <t>domingo</t>
        </is>
      </c>
      <c r="E997" s="4" t="inlineStr">
        <is>
          <t>2091</t>
        </is>
      </c>
      <c r="F997" s="4" t="inlineStr">
        <is>
          <t>LIM</t>
        </is>
      </c>
      <c r="G997" s="4" t="inlineStr">
        <is>
          <t>TPP</t>
        </is>
      </c>
      <c r="H997" s="4" t="inlineStr">
        <is>
          <t>18:35:00</t>
        </is>
      </c>
      <c r="I997" s="4" t="inlineStr">
        <is>
          <t>20:00:00</t>
        </is>
      </c>
      <c r="J997" s="4" t="inlineStr">
        <is>
          <t>320</t>
        </is>
      </c>
      <c r="K997" s="6">
        <f>TEXT(TIMEVALUE(H997)-TIMEVALUE(I996)+(TIMEVALUE(H997)&lt;TIMEVALUE(I996)),"[h]:mm")</f>
        <v/>
      </c>
      <c r="L997" s="4" t="inlineStr">
        <is>
          <t>01:25:00</t>
        </is>
      </c>
      <c r="M997">
        <f>IF($M$995="","",$M$995)</f>
        <v/>
      </c>
      <c r="O997">
        <f>IF($O$995="","",$O$995)</f>
        <v/>
      </c>
      <c r="Q997" s="4">
        <f>B997</f>
        <v/>
      </c>
      <c r="R997" s="4">
        <f>C997</f>
        <v/>
      </c>
      <c r="S997" s="4">
        <f>D997</f>
        <v/>
      </c>
      <c r="T997" s="4">
        <f>E997&amp;"/"&amp;E998</f>
        <v/>
      </c>
      <c r="U997" s="4">
        <f>F997&amp;"-"&amp;G997&amp;"-"&amp;F997</f>
        <v/>
      </c>
      <c r="V997" s="4">
        <f>IF($M$995="","",$M$995)</f>
        <v/>
      </c>
      <c r="W997" s="4">
        <f>IF($O$995="","",$O$995)</f>
        <v/>
      </c>
      <c r="X997" s="4">
        <f>J997</f>
        <v/>
      </c>
    </row>
    <row r="998">
      <c r="B998" s="4" t="inlineStr">
        <is>
          <t>1186_0</t>
        </is>
      </c>
      <c r="C998" s="4" t="inlineStr">
        <is>
          <t>13/09/2026</t>
        </is>
      </c>
      <c r="D998" s="4" t="inlineStr">
        <is>
          <t>domingo</t>
        </is>
      </c>
      <c r="E998" s="4" t="inlineStr">
        <is>
          <t>2092</t>
        </is>
      </c>
      <c r="F998" s="4" t="inlineStr">
        <is>
          <t>TPP</t>
        </is>
      </c>
      <c r="G998" s="4" t="inlineStr">
        <is>
          <t>LIM</t>
        </is>
      </c>
      <c r="H998" s="4" t="inlineStr">
        <is>
          <t>20:40:00</t>
        </is>
      </c>
      <c r="I998" s="4" t="inlineStr">
        <is>
          <t>22:05:00</t>
        </is>
      </c>
      <c r="J998" s="4" t="inlineStr">
        <is>
          <t>320</t>
        </is>
      </c>
      <c r="K998">
        <f>TEXT(TIMEVALUE(H998)-TIMEVALUE(I997)+(TIMEVALUE(H998)&lt;TIMEVALUE(I997)),"[h]:mm")</f>
        <v/>
      </c>
      <c r="L998" s="4" t="inlineStr">
        <is>
          <t>01:25:00</t>
        </is>
      </c>
      <c r="O998">
        <f>"LIM-"&amp;G997&amp;"-LIM   LA "&amp;E997&amp;" ("&amp;LEFT(H997,5)&amp;"-"&amp;LEFT(I997,5)&amp;" hrs)  /  LA "&amp;E998&amp;" ("&amp;LEFT(H998,5)&amp;"-"&amp;LEFT(I998,5)&amp;" hrs)"</f>
        <v/>
      </c>
    </row>
    <row r="999">
      <c r="J999" s="7" t="inlineStr">
        <is>
          <t>PSV total:</t>
        </is>
      </c>
      <c r="K999" s="8">
        <f>TEXT(TIMEVALUE(I998)-TIMEVALUE(H995)+(I998&lt;H995),"[h]:mm")</f>
        <v/>
      </c>
    </row>
    <row r="1001">
      <c r="B1001" s="3" t="inlineStr">
        <is>
          <t>Pairing ID</t>
        </is>
      </c>
      <c r="C1001" s="3" t="inlineStr">
        <is>
          <t>FECHA REAL</t>
        </is>
      </c>
      <c r="D1001" s="3" t="inlineStr">
        <is>
          <t>Day of Week</t>
        </is>
      </c>
      <c r="E1001" s="3" t="inlineStr">
        <is>
          <t>Flight No</t>
        </is>
      </c>
      <c r="F1001" s="3" t="inlineStr">
        <is>
          <t>Dep Stn</t>
        </is>
      </c>
      <c r="G1001" s="3" t="inlineStr">
        <is>
          <t>Arr Stn</t>
        </is>
      </c>
      <c r="H1001" s="3" t="inlineStr">
        <is>
          <t>STD</t>
        </is>
      </c>
      <c r="I1001" s="3" t="inlineStr">
        <is>
          <t>STA</t>
        </is>
      </c>
      <c r="J1001" s="3" t="inlineStr">
        <is>
          <t>subflota</t>
        </is>
      </c>
      <c r="K1001" s="3" t="inlineStr">
        <is>
          <t>Conexion</t>
        </is>
      </c>
      <c r="L1001" s="3" t="inlineStr">
        <is>
          <t>HBT</t>
        </is>
      </c>
    </row>
    <row r="1002">
      <c r="B1002" s="4" t="inlineStr">
        <is>
          <t>1167_0</t>
        </is>
      </c>
      <c r="C1002" s="4" t="inlineStr">
        <is>
          <t>13/09/2026</t>
        </is>
      </c>
      <c r="D1002" s="4" t="inlineStr">
        <is>
          <t>domingo</t>
        </is>
      </c>
      <c r="E1002" s="4" t="inlineStr">
        <is>
          <t>2295</t>
        </is>
      </c>
      <c r="F1002" s="4" t="inlineStr">
        <is>
          <t>LIM</t>
        </is>
      </c>
      <c r="G1002" s="4" t="inlineStr">
        <is>
          <t>CJA</t>
        </is>
      </c>
      <c r="H1002" s="4" t="inlineStr">
        <is>
          <t>14:10:00</t>
        </is>
      </c>
      <c r="I1002" s="4" t="inlineStr">
        <is>
          <t>15:30:00</t>
        </is>
      </c>
      <c r="J1002" s="4" t="inlineStr">
        <is>
          <t>320</t>
        </is>
      </c>
      <c r="L1002" s="4" t="inlineStr">
        <is>
          <t>01:20:00</t>
        </is>
      </c>
      <c r="M1002" s="5" t="n"/>
      <c r="O1002" s="5" t="n"/>
      <c r="Q1002" s="4">
        <f>B1002</f>
        <v/>
      </c>
      <c r="R1002" s="4">
        <f>C1002</f>
        <v/>
      </c>
      <c r="S1002" s="4">
        <f>D1002</f>
        <v/>
      </c>
      <c r="T1002" s="4">
        <f>E1002&amp;"/"&amp;E1003</f>
        <v/>
      </c>
      <c r="U1002" s="4">
        <f>F1002&amp;"-"&amp;G1002&amp;"-"&amp;F1002</f>
        <v/>
      </c>
      <c r="V1002" s="4">
        <f>IF($M$1002="","",$M$1002)</f>
        <v/>
      </c>
      <c r="W1002" s="4">
        <f>IF($O$1002="","",$O$1002)</f>
        <v/>
      </c>
      <c r="X1002" s="4">
        <f>J1002</f>
        <v/>
      </c>
    </row>
    <row r="1003">
      <c r="B1003" s="4" t="inlineStr">
        <is>
          <t>1167_0</t>
        </is>
      </c>
      <c r="C1003" s="4" t="inlineStr">
        <is>
          <t>13/09/2026</t>
        </is>
      </c>
      <c r="D1003" s="4" t="inlineStr">
        <is>
          <t>domingo</t>
        </is>
      </c>
      <c r="E1003" s="4" t="inlineStr">
        <is>
          <t>2294</t>
        </is>
      </c>
      <c r="F1003" s="4" t="inlineStr">
        <is>
          <t>CJA</t>
        </is>
      </c>
      <c r="G1003" s="4" t="inlineStr">
        <is>
          <t>LIM</t>
        </is>
      </c>
      <c r="H1003" s="4" t="inlineStr">
        <is>
          <t>16:10:00</t>
        </is>
      </c>
      <c r="I1003" s="4" t="inlineStr">
        <is>
          <t>17:15:00</t>
        </is>
      </c>
      <c r="J1003" s="4" t="inlineStr">
        <is>
          <t>320</t>
        </is>
      </c>
      <c r="K1003">
        <f>TEXT(TIMEVALUE(H1003)-TIMEVALUE(I1002)+(TIMEVALUE(H1003)&lt;TIMEVALUE(I1002)),"[h]:mm")</f>
        <v/>
      </c>
      <c r="L1003" s="4" t="inlineStr">
        <is>
          <t>01:05:00</t>
        </is>
      </c>
      <c r="O1003">
        <f>"LIM-"&amp;G1002&amp;"-LIM   LA "&amp;E1002&amp;" ("&amp;LEFT(H1002,5)&amp;"-"&amp;LEFT(I1002,5)&amp;" hrs)  /  LA "&amp;E1003&amp;" ("&amp;LEFT(H1003,5)&amp;"-"&amp;LEFT(I1003,5)&amp;" hrs)"</f>
        <v/>
      </c>
    </row>
    <row r="1004">
      <c r="J1004" s="7" t="inlineStr">
        <is>
          <t>PSV total:</t>
        </is>
      </c>
      <c r="K1004" s="8">
        <f>TEXT(TIMEVALUE(I1003)-TIMEVALUE(H1002)+(I1003&lt;H1002),"[h]:mm")</f>
        <v/>
      </c>
    </row>
    <row r="1006">
      <c r="B1006" s="3" t="inlineStr">
        <is>
          <t>Pairing ID</t>
        </is>
      </c>
      <c r="C1006" s="3" t="inlineStr">
        <is>
          <t>FECHA REAL</t>
        </is>
      </c>
      <c r="D1006" s="3" t="inlineStr">
        <is>
          <t>Day of Week</t>
        </is>
      </c>
      <c r="E1006" s="3" t="inlineStr">
        <is>
          <t>Flight No</t>
        </is>
      </c>
      <c r="F1006" s="3" t="inlineStr">
        <is>
          <t>Dep Stn</t>
        </is>
      </c>
      <c r="G1006" s="3" t="inlineStr">
        <is>
          <t>Arr Stn</t>
        </is>
      </c>
      <c r="H1006" s="3" t="inlineStr">
        <is>
          <t>STD</t>
        </is>
      </c>
      <c r="I1006" s="3" t="inlineStr">
        <is>
          <t>STA</t>
        </is>
      </c>
      <c r="J1006" s="3" t="inlineStr">
        <is>
          <t>subflota</t>
        </is>
      </c>
      <c r="K1006" s="3" t="inlineStr">
        <is>
          <t>Conexion</t>
        </is>
      </c>
      <c r="L1006" s="3" t="inlineStr">
        <is>
          <t>HBT</t>
        </is>
      </c>
    </row>
    <row r="1007">
      <c r="B1007" s="4" t="inlineStr">
        <is>
          <t>1166_0</t>
        </is>
      </c>
      <c r="C1007" s="4" t="inlineStr">
        <is>
          <t>13/09/2026</t>
        </is>
      </c>
      <c r="D1007" s="4" t="inlineStr">
        <is>
          <t>domingo</t>
        </is>
      </c>
      <c r="E1007" s="4" t="inlineStr">
        <is>
          <t>2295</t>
        </is>
      </c>
      <c r="F1007" s="4" t="inlineStr">
        <is>
          <t>LIM</t>
        </is>
      </c>
      <c r="G1007" s="4" t="inlineStr">
        <is>
          <t>CJA</t>
        </is>
      </c>
      <c r="H1007" s="4" t="inlineStr">
        <is>
          <t>14:10:00</t>
        </is>
      </c>
      <c r="I1007" s="4" t="inlineStr">
        <is>
          <t>15:30:00</t>
        </is>
      </c>
      <c r="J1007" s="4" t="inlineStr">
        <is>
          <t>320</t>
        </is>
      </c>
      <c r="L1007" s="4" t="inlineStr">
        <is>
          <t>01:20:00</t>
        </is>
      </c>
      <c r="M1007" s="5" t="n"/>
      <c r="O1007" s="5" t="n"/>
      <c r="Q1007" s="4">
        <f>B1007</f>
        <v/>
      </c>
      <c r="R1007" s="4">
        <f>C1007</f>
        <v/>
      </c>
      <c r="S1007" s="4">
        <f>D1007</f>
        <v/>
      </c>
      <c r="T1007" s="4">
        <f>E1007&amp;"/"&amp;E1008</f>
        <v/>
      </c>
      <c r="U1007" s="4">
        <f>F1007&amp;"-"&amp;G1007&amp;"-"&amp;F1007</f>
        <v/>
      </c>
      <c r="V1007" s="4">
        <f>IF($M$1007="","",$M$1007)</f>
        <v/>
      </c>
      <c r="W1007" s="4">
        <f>IF($O$1007="","",$O$1007)</f>
        <v/>
      </c>
      <c r="X1007" s="4">
        <f>J1007</f>
        <v/>
      </c>
    </row>
    <row r="1008">
      <c r="B1008" s="4" t="inlineStr">
        <is>
          <t>1166_0</t>
        </is>
      </c>
      <c r="C1008" s="4" t="inlineStr">
        <is>
          <t>13/09/2026</t>
        </is>
      </c>
      <c r="D1008" s="4" t="inlineStr">
        <is>
          <t>domingo</t>
        </is>
      </c>
      <c r="E1008" s="4" t="inlineStr">
        <is>
          <t>2294</t>
        </is>
      </c>
      <c r="F1008" s="4" t="inlineStr">
        <is>
          <t>CJA</t>
        </is>
      </c>
      <c r="G1008" s="4" t="inlineStr">
        <is>
          <t>LIM</t>
        </is>
      </c>
      <c r="H1008" s="4" t="inlineStr">
        <is>
          <t>16:10:00</t>
        </is>
      </c>
      <c r="I1008" s="4" t="inlineStr">
        <is>
          <t>17:15:00</t>
        </is>
      </c>
      <c r="J1008" s="4" t="inlineStr">
        <is>
          <t>320</t>
        </is>
      </c>
      <c r="K1008">
        <f>TEXT(TIMEVALUE(H1008)-TIMEVALUE(I1007)+(TIMEVALUE(H1008)&lt;TIMEVALUE(I1007)),"[h]:mm")</f>
        <v/>
      </c>
      <c r="L1008" s="4" t="inlineStr">
        <is>
          <t>01:05:00</t>
        </is>
      </c>
      <c r="O1008">
        <f>"LIM-"&amp;G1007&amp;"-LIM   LA "&amp;E1007&amp;" ("&amp;LEFT(H1007,5)&amp;"-"&amp;LEFT(I1007,5)&amp;" hrs)  /  LA "&amp;E1008&amp;" ("&amp;LEFT(H1008,5)&amp;"-"&amp;LEFT(I1008,5)&amp;" hrs)"</f>
        <v/>
      </c>
    </row>
    <row r="1009">
      <c r="J1009" s="7" t="inlineStr">
        <is>
          <t>PSV total:</t>
        </is>
      </c>
      <c r="K1009" s="8">
        <f>TEXT(TIMEVALUE(I1008)-TIMEVALUE(H1007)+(I1008&lt;H1007),"[h]:mm")</f>
        <v/>
      </c>
    </row>
    <row r="1011">
      <c r="B1011" s="3" t="inlineStr">
        <is>
          <t>Pairing ID</t>
        </is>
      </c>
      <c r="C1011" s="3" t="inlineStr">
        <is>
          <t>FECHA REAL</t>
        </is>
      </c>
      <c r="D1011" s="3" t="inlineStr">
        <is>
          <t>Day of Week</t>
        </is>
      </c>
      <c r="E1011" s="3" t="inlineStr">
        <is>
          <t>Flight No</t>
        </is>
      </c>
      <c r="F1011" s="3" t="inlineStr">
        <is>
          <t>Dep Stn</t>
        </is>
      </c>
      <c r="G1011" s="3" t="inlineStr">
        <is>
          <t>Arr Stn</t>
        </is>
      </c>
      <c r="H1011" s="3" t="inlineStr">
        <is>
          <t>STD</t>
        </is>
      </c>
      <c r="I1011" s="3" t="inlineStr">
        <is>
          <t>STA</t>
        </is>
      </c>
      <c r="J1011" s="3" t="inlineStr">
        <is>
          <t>subflota</t>
        </is>
      </c>
      <c r="K1011" s="3" t="inlineStr">
        <is>
          <t>Conexion</t>
        </is>
      </c>
      <c r="L1011" s="3" t="inlineStr">
        <is>
          <t>HBT</t>
        </is>
      </c>
    </row>
    <row r="1012">
      <c r="B1012" s="4" t="inlineStr">
        <is>
          <t>1168_0</t>
        </is>
      </c>
      <c r="C1012" s="4" t="inlineStr">
        <is>
          <t>13/09/2026</t>
        </is>
      </c>
      <c r="D1012" s="4" t="inlineStr">
        <is>
          <t>domingo</t>
        </is>
      </c>
      <c r="E1012" s="4" t="inlineStr">
        <is>
          <t>2282</t>
        </is>
      </c>
      <c r="F1012" s="4" t="inlineStr">
        <is>
          <t>LIM</t>
        </is>
      </c>
      <c r="G1012" s="4" t="inlineStr">
        <is>
          <t>CIX</t>
        </is>
      </c>
      <c r="H1012" s="4" t="inlineStr">
        <is>
          <t>14:35:00</t>
        </is>
      </c>
      <c r="I1012" s="4" t="inlineStr">
        <is>
          <t>16:05:00</t>
        </is>
      </c>
      <c r="J1012" s="4" t="inlineStr">
        <is>
          <t>320</t>
        </is>
      </c>
      <c r="L1012" s="4" t="inlineStr">
        <is>
          <t>01:30:00</t>
        </is>
      </c>
      <c r="M1012" s="5" t="n"/>
      <c r="O1012" s="5" t="n"/>
      <c r="Q1012" s="4">
        <f>B1012</f>
        <v/>
      </c>
      <c r="R1012" s="4">
        <f>C1012</f>
        <v/>
      </c>
      <c r="S1012" s="4">
        <f>D1012</f>
        <v/>
      </c>
      <c r="T1012" s="4">
        <f>E1012&amp;"/"&amp;E1013</f>
        <v/>
      </c>
      <c r="U1012" s="4">
        <f>F1012&amp;"-"&amp;G1012&amp;"-"&amp;F1012</f>
        <v/>
      </c>
      <c r="V1012" s="4">
        <f>IF($M$1012="","",$M$1012)</f>
        <v/>
      </c>
      <c r="W1012" s="4">
        <f>IF($O$1012="","",$O$1012)</f>
        <v/>
      </c>
      <c r="X1012" s="4">
        <f>J1012</f>
        <v/>
      </c>
    </row>
    <row r="1013">
      <c r="B1013" s="4" t="inlineStr">
        <is>
          <t>1168_0</t>
        </is>
      </c>
      <c r="C1013" s="4" t="inlineStr">
        <is>
          <t>13/09/2026</t>
        </is>
      </c>
      <c r="D1013" s="4" t="inlineStr">
        <is>
          <t>domingo</t>
        </is>
      </c>
      <c r="E1013" s="4" t="inlineStr">
        <is>
          <t>2283</t>
        </is>
      </c>
      <c r="F1013" s="4" t="inlineStr">
        <is>
          <t>CIX</t>
        </is>
      </c>
      <c r="G1013" s="4" t="inlineStr">
        <is>
          <t>LIM</t>
        </is>
      </c>
      <c r="H1013" s="4" t="inlineStr">
        <is>
          <t>16:50:00</t>
        </is>
      </c>
      <c r="I1013" s="4" t="inlineStr">
        <is>
          <t>18:10:00</t>
        </is>
      </c>
      <c r="J1013" s="4" t="inlineStr">
        <is>
          <t>320</t>
        </is>
      </c>
      <c r="K1013">
        <f>TEXT(TIMEVALUE(H1013)-TIMEVALUE(I1012)+(TIMEVALUE(H1013)&lt;TIMEVALUE(I1012)),"[h]:mm")</f>
        <v/>
      </c>
      <c r="L1013" s="4" t="inlineStr">
        <is>
          <t>01:20:00</t>
        </is>
      </c>
      <c r="O1013">
        <f>"LIM-"&amp;G1012&amp;"-LIM   LA "&amp;E1012&amp;" ("&amp;LEFT(H1012,5)&amp;"-"&amp;LEFT(I1012,5)&amp;" hrs)  /  LA "&amp;E1013&amp;" ("&amp;LEFT(H1013,5)&amp;"-"&amp;LEFT(I1013,5)&amp;" hrs)"</f>
        <v/>
      </c>
    </row>
    <row r="1014">
      <c r="J1014" s="7" t="inlineStr">
        <is>
          <t>PSV total:</t>
        </is>
      </c>
      <c r="K1014" s="8">
        <f>TEXT(TIMEVALUE(I1013)-TIMEVALUE(H1012)+(I1013&lt;H1012),"[h]:mm")</f>
        <v/>
      </c>
    </row>
    <row r="1016">
      <c r="B1016" s="3" t="inlineStr">
        <is>
          <t>Pairing ID</t>
        </is>
      </c>
      <c r="C1016" s="3" t="inlineStr">
        <is>
          <t>FECHA REAL</t>
        </is>
      </c>
      <c r="D1016" s="3" t="inlineStr">
        <is>
          <t>Day of Week</t>
        </is>
      </c>
      <c r="E1016" s="3" t="inlineStr">
        <is>
          <t>Flight No</t>
        </is>
      </c>
      <c r="F1016" s="3" t="inlineStr">
        <is>
          <t>Dep Stn</t>
        </is>
      </c>
      <c r="G1016" s="3" t="inlineStr">
        <is>
          <t>Arr Stn</t>
        </is>
      </c>
      <c r="H1016" s="3" t="inlineStr">
        <is>
          <t>STD</t>
        </is>
      </c>
      <c r="I1016" s="3" t="inlineStr">
        <is>
          <t>STA</t>
        </is>
      </c>
      <c r="J1016" s="3" t="inlineStr">
        <is>
          <t>subflota</t>
        </is>
      </c>
      <c r="K1016" s="3" t="inlineStr">
        <is>
          <t>Conexion</t>
        </is>
      </c>
      <c r="L1016" s="3" t="inlineStr">
        <is>
          <t>HBT</t>
        </is>
      </c>
    </row>
    <row r="1017">
      <c r="B1017" s="4" t="inlineStr">
        <is>
          <t>1169_0</t>
        </is>
      </c>
      <c r="C1017" s="4" t="inlineStr">
        <is>
          <t>13/09/2026</t>
        </is>
      </c>
      <c r="D1017" s="4" t="inlineStr">
        <is>
          <t>domingo</t>
        </is>
      </c>
      <c r="E1017" s="4" t="inlineStr">
        <is>
          <t>2022</t>
        </is>
      </c>
      <c r="F1017" s="4" t="inlineStr">
        <is>
          <t>LIM</t>
        </is>
      </c>
      <c r="G1017" s="4" t="inlineStr">
        <is>
          <t>CUZ</t>
        </is>
      </c>
      <c r="H1017" s="4" t="inlineStr">
        <is>
          <t>14:50:00</t>
        </is>
      </c>
      <c r="I1017" s="4" t="inlineStr">
        <is>
          <t>16:10:00</t>
        </is>
      </c>
      <c r="J1017" s="4" t="inlineStr">
        <is>
          <t>320</t>
        </is>
      </c>
      <c r="L1017" s="4" t="inlineStr">
        <is>
          <t>01:20:00</t>
        </is>
      </c>
      <c r="M1017" s="5" t="n"/>
      <c r="O1017" s="5" t="n"/>
      <c r="Q1017" s="4">
        <f>B1017</f>
        <v/>
      </c>
      <c r="R1017" s="4">
        <f>C1017</f>
        <v/>
      </c>
      <c r="S1017" s="4">
        <f>D1017</f>
        <v/>
      </c>
      <c r="T1017" s="4">
        <f>E1017&amp;"/"&amp;E1018</f>
        <v/>
      </c>
      <c r="U1017" s="4">
        <f>F1017&amp;"-"&amp;G1017&amp;"-"&amp;F1017</f>
        <v/>
      </c>
      <c r="V1017" s="4">
        <f>IF($M$1017="","",$M$1017)</f>
        <v/>
      </c>
      <c r="W1017" s="4">
        <f>IF($O$1017="","",$O$1017)</f>
        <v/>
      </c>
      <c r="X1017" s="4">
        <f>J1017</f>
        <v/>
      </c>
    </row>
    <row r="1018">
      <c r="B1018" s="4" t="inlineStr">
        <is>
          <t>1169_0</t>
        </is>
      </c>
      <c r="C1018" s="4" t="inlineStr">
        <is>
          <t>13/09/2026</t>
        </is>
      </c>
      <c r="D1018" s="4" t="inlineStr">
        <is>
          <t>domingo</t>
        </is>
      </c>
      <c r="E1018" s="4" t="inlineStr">
        <is>
          <t>2025</t>
        </is>
      </c>
      <c r="F1018" s="4" t="inlineStr">
        <is>
          <t>CUZ</t>
        </is>
      </c>
      <c r="G1018" s="4" t="inlineStr">
        <is>
          <t>LIM</t>
        </is>
      </c>
      <c r="H1018" s="4" t="inlineStr">
        <is>
          <t>16:55:00</t>
        </is>
      </c>
      <c r="I1018" s="4" t="inlineStr">
        <is>
          <t>18:30:00</t>
        </is>
      </c>
      <c r="J1018" s="4" t="inlineStr">
        <is>
          <t>320</t>
        </is>
      </c>
      <c r="K1018">
        <f>TEXT(TIMEVALUE(H1018)-TIMEVALUE(I1017)+(TIMEVALUE(H1018)&lt;TIMEVALUE(I1017)),"[h]:mm")</f>
        <v/>
      </c>
      <c r="L1018" s="4" t="inlineStr">
        <is>
          <t>01:35:00</t>
        </is>
      </c>
      <c r="O1018">
        <f>"LIM-"&amp;G1017&amp;"-LIM   LA "&amp;E1017&amp;" ("&amp;LEFT(H1017,5)&amp;"-"&amp;LEFT(I1017,5)&amp;" hrs)  /  LA "&amp;E1018&amp;" ("&amp;LEFT(H1018,5)&amp;"-"&amp;LEFT(I1018,5)&amp;" hrs)"</f>
        <v/>
      </c>
    </row>
    <row r="1019">
      <c r="J1019" s="7" t="inlineStr">
        <is>
          <t>PSV total:</t>
        </is>
      </c>
      <c r="K1019" s="8">
        <f>TEXT(TIMEVALUE(I1018)-TIMEVALUE(H1017)+(I1018&lt;H1017),"[h]:mm")</f>
        <v/>
      </c>
    </row>
    <row r="1021">
      <c r="B1021" s="3" t="inlineStr">
        <is>
          <t>Pairing ID</t>
        </is>
      </c>
      <c r="C1021" s="3" t="inlineStr">
        <is>
          <t>FECHA REAL</t>
        </is>
      </c>
      <c r="D1021" s="3" t="inlineStr">
        <is>
          <t>Day of Week</t>
        </is>
      </c>
      <c r="E1021" s="3" t="inlineStr">
        <is>
          <t>Flight No</t>
        </is>
      </c>
      <c r="F1021" s="3" t="inlineStr">
        <is>
          <t>Dep Stn</t>
        </is>
      </c>
      <c r="G1021" s="3" t="inlineStr">
        <is>
          <t>Arr Stn</t>
        </is>
      </c>
      <c r="H1021" s="3" t="inlineStr">
        <is>
          <t>STD</t>
        </is>
      </c>
      <c r="I1021" s="3" t="inlineStr">
        <is>
          <t>STA</t>
        </is>
      </c>
      <c r="J1021" s="3" t="inlineStr">
        <is>
          <t>subflota</t>
        </is>
      </c>
      <c r="K1021" s="3" t="inlineStr">
        <is>
          <t>Conexion</t>
        </is>
      </c>
      <c r="L1021" s="3" t="inlineStr">
        <is>
          <t>HBT</t>
        </is>
      </c>
    </row>
    <row r="1022">
      <c r="B1022" s="4" t="inlineStr">
        <is>
          <t>1170_0</t>
        </is>
      </c>
      <c r="C1022" s="4" t="inlineStr">
        <is>
          <t>13/09/2026</t>
        </is>
      </c>
      <c r="D1022" s="4" t="inlineStr">
        <is>
          <t>domingo</t>
        </is>
      </c>
      <c r="E1022" s="4" t="inlineStr">
        <is>
          <t>2248</t>
        </is>
      </c>
      <c r="F1022" s="4" t="inlineStr">
        <is>
          <t>LIM</t>
        </is>
      </c>
      <c r="G1022" s="4" t="inlineStr">
        <is>
          <t>CUZ</t>
        </is>
      </c>
      <c r="H1022" s="4" t="inlineStr">
        <is>
          <t>15:00:00</t>
        </is>
      </c>
      <c r="I1022" s="4" t="inlineStr">
        <is>
          <t>16:20:00</t>
        </is>
      </c>
      <c r="J1022" s="4" t="inlineStr">
        <is>
          <t>319</t>
        </is>
      </c>
      <c r="L1022" s="4" t="inlineStr">
        <is>
          <t>01:20:00</t>
        </is>
      </c>
      <c r="M1022" s="5" t="n"/>
      <c r="O1022" s="5" t="n"/>
      <c r="Q1022" s="4">
        <f>B1022</f>
        <v/>
      </c>
      <c r="R1022" s="4">
        <f>C1022</f>
        <v/>
      </c>
      <c r="S1022" s="4">
        <f>D1022</f>
        <v/>
      </c>
      <c r="T1022" s="4">
        <f>E1022&amp;"/"&amp;E1023</f>
        <v/>
      </c>
      <c r="U1022" s="4">
        <f>F1022&amp;"-"&amp;G1022&amp;"-"&amp;F1022</f>
        <v/>
      </c>
      <c r="V1022" s="4">
        <f>IF($M$1022="","",$M$1022)</f>
        <v/>
      </c>
      <c r="W1022" s="4">
        <f>IF($O$1022="","",$O$1022)</f>
        <v/>
      </c>
      <c r="X1022" s="4">
        <f>J1022</f>
        <v/>
      </c>
    </row>
    <row r="1023">
      <c r="B1023" s="4" t="inlineStr">
        <is>
          <t>1170_0</t>
        </is>
      </c>
      <c r="C1023" s="4" t="inlineStr">
        <is>
          <t>13/09/2026</t>
        </is>
      </c>
      <c r="D1023" s="4" t="inlineStr">
        <is>
          <t>domingo</t>
        </is>
      </c>
      <c r="E1023" s="4" t="inlineStr">
        <is>
          <t>2249</t>
        </is>
      </c>
      <c r="F1023" s="4" t="inlineStr">
        <is>
          <t>CUZ</t>
        </is>
      </c>
      <c r="G1023" s="4" t="inlineStr">
        <is>
          <t>LIM</t>
        </is>
      </c>
      <c r="H1023" s="4" t="inlineStr">
        <is>
          <t>17:00:00</t>
        </is>
      </c>
      <c r="I1023" s="4" t="inlineStr">
        <is>
          <t>18:35:00</t>
        </is>
      </c>
      <c r="J1023" s="4" t="inlineStr">
        <is>
          <t>319</t>
        </is>
      </c>
      <c r="K1023">
        <f>TEXT(TIMEVALUE(H1023)-TIMEVALUE(I1022)+(TIMEVALUE(H1023)&lt;TIMEVALUE(I1022)),"[h]:mm")</f>
        <v/>
      </c>
      <c r="L1023" s="4" t="inlineStr">
        <is>
          <t>01:35:00</t>
        </is>
      </c>
      <c r="O1023">
        <f>"LIM-"&amp;G1022&amp;"-LIM   LA "&amp;E1022&amp;" ("&amp;LEFT(H1022,5)&amp;"-"&amp;LEFT(I1022,5)&amp;" hrs)  /  LA "&amp;E1023&amp;" ("&amp;LEFT(H1023,5)&amp;"-"&amp;LEFT(I1023,5)&amp;" hrs)"</f>
        <v/>
      </c>
    </row>
    <row r="1024">
      <c r="J1024" s="7" t="inlineStr">
        <is>
          <t>PSV total:</t>
        </is>
      </c>
      <c r="K1024" s="8">
        <f>TEXT(TIMEVALUE(I1023)-TIMEVALUE(H1022)+(I1023&lt;H1022),"[h]:mm")</f>
        <v/>
      </c>
    </row>
    <row r="1026">
      <c r="B1026" s="3" t="inlineStr">
        <is>
          <t>Pairing ID</t>
        </is>
      </c>
      <c r="C1026" s="3" t="inlineStr">
        <is>
          <t>FECHA REAL</t>
        </is>
      </c>
      <c r="D1026" s="3" t="inlineStr">
        <is>
          <t>Day of Week</t>
        </is>
      </c>
      <c r="E1026" s="3" t="inlineStr">
        <is>
          <t>Flight No</t>
        </is>
      </c>
      <c r="F1026" s="3" t="inlineStr">
        <is>
          <t>Dep Stn</t>
        </is>
      </c>
      <c r="G1026" s="3" t="inlineStr">
        <is>
          <t>Arr Stn</t>
        </is>
      </c>
      <c r="H1026" s="3" t="inlineStr">
        <is>
          <t>STD</t>
        </is>
      </c>
      <c r="I1026" s="3" t="inlineStr">
        <is>
          <t>STA</t>
        </is>
      </c>
      <c r="J1026" s="3" t="inlineStr">
        <is>
          <t>subflota</t>
        </is>
      </c>
      <c r="K1026" s="3" t="inlineStr">
        <is>
          <t>Conexion</t>
        </is>
      </c>
      <c r="L1026" s="3" t="inlineStr">
        <is>
          <t>HBT</t>
        </is>
      </c>
    </row>
    <row r="1027">
      <c r="B1027" s="4" t="inlineStr">
        <is>
          <t>1175_0</t>
        </is>
      </c>
      <c r="C1027" s="4" t="inlineStr">
        <is>
          <t>13/09/2026</t>
        </is>
      </c>
      <c r="D1027" s="4" t="inlineStr">
        <is>
          <t>domingo</t>
        </is>
      </c>
      <c r="E1027" s="4" t="inlineStr">
        <is>
          <t>2297</t>
        </is>
      </c>
      <c r="F1027" s="4" t="inlineStr">
        <is>
          <t>LIM</t>
        </is>
      </c>
      <c r="G1027" s="4" t="inlineStr">
        <is>
          <t>CJA</t>
        </is>
      </c>
      <c r="H1027" s="4" t="inlineStr">
        <is>
          <t>15:15:00</t>
        </is>
      </c>
      <c r="I1027" s="4" t="inlineStr">
        <is>
          <t>16:35:00</t>
        </is>
      </c>
      <c r="J1027" s="4" t="inlineStr">
        <is>
          <t>319</t>
        </is>
      </c>
      <c r="L1027" s="4" t="inlineStr">
        <is>
          <t>01:20:00</t>
        </is>
      </c>
      <c r="M1027" s="5" t="n"/>
      <c r="O1027" s="5" t="n"/>
      <c r="Q1027" s="4">
        <f>B1027</f>
        <v/>
      </c>
      <c r="R1027" s="4">
        <f>C1027</f>
        <v/>
      </c>
      <c r="S1027" s="4">
        <f>D1027</f>
        <v/>
      </c>
      <c r="T1027" s="4">
        <f>E1027&amp;"/"&amp;E1028</f>
        <v/>
      </c>
      <c r="U1027" s="4">
        <f>F1027&amp;"-"&amp;G1027&amp;"-"&amp;F1027</f>
        <v/>
      </c>
      <c r="V1027" s="4">
        <f>IF($M$1027="","",$M$1027)</f>
        <v/>
      </c>
      <c r="W1027" s="4">
        <f>IF($O$1027="","",$O$1027)</f>
        <v/>
      </c>
      <c r="X1027" s="4">
        <f>J1027</f>
        <v/>
      </c>
    </row>
    <row r="1028">
      <c r="B1028" s="4" t="inlineStr">
        <is>
          <t>1175_0</t>
        </is>
      </c>
      <c r="C1028" s="4" t="inlineStr">
        <is>
          <t>13/09/2026</t>
        </is>
      </c>
      <c r="D1028" s="4" t="inlineStr">
        <is>
          <t>domingo</t>
        </is>
      </c>
      <c r="E1028" s="4" t="inlineStr">
        <is>
          <t>2296</t>
        </is>
      </c>
      <c r="F1028" s="4" t="inlineStr">
        <is>
          <t>CJA</t>
        </is>
      </c>
      <c r="G1028" s="4" t="inlineStr">
        <is>
          <t>LIM</t>
        </is>
      </c>
      <c r="H1028" s="4" t="inlineStr">
        <is>
          <t>17:20:00</t>
        </is>
      </c>
      <c r="I1028" s="4" t="inlineStr">
        <is>
          <t>18:25:00</t>
        </is>
      </c>
      <c r="J1028" s="4" t="inlineStr">
        <is>
          <t>319</t>
        </is>
      </c>
      <c r="K1028">
        <f>TEXT(TIMEVALUE(H1028)-TIMEVALUE(I1027)+(TIMEVALUE(H1028)&lt;TIMEVALUE(I1027)),"[h]:mm")</f>
        <v/>
      </c>
      <c r="L1028" s="4" t="inlineStr">
        <is>
          <t>01:05:00</t>
        </is>
      </c>
      <c r="O1028">
        <f>"LIM-"&amp;G1027&amp;"-LIM   LA "&amp;E1027&amp;" ("&amp;LEFT(H1027,5)&amp;"-"&amp;LEFT(I1027,5)&amp;" hrs)  /  LA "&amp;E1028&amp;" ("&amp;LEFT(H1028,5)&amp;"-"&amp;LEFT(I1028,5)&amp;" hrs)"</f>
        <v/>
      </c>
    </row>
    <row r="1029">
      <c r="J1029" s="7" t="inlineStr">
        <is>
          <t>PSV total:</t>
        </is>
      </c>
      <c r="K1029" s="8">
        <f>TEXT(TIMEVALUE(I1028)-TIMEVALUE(H1027)+(I1028&lt;H1027),"[h]:mm")</f>
        <v/>
      </c>
    </row>
    <row r="1031">
      <c r="B1031" s="3" t="inlineStr">
        <is>
          <t>Pairing ID</t>
        </is>
      </c>
      <c r="C1031" s="3" t="inlineStr">
        <is>
          <t>FECHA REAL</t>
        </is>
      </c>
      <c r="D1031" s="3" t="inlineStr">
        <is>
          <t>Day of Week</t>
        </is>
      </c>
      <c r="E1031" s="3" t="inlineStr">
        <is>
          <t>Flight No</t>
        </is>
      </c>
      <c r="F1031" s="3" t="inlineStr">
        <is>
          <t>Dep Stn</t>
        </is>
      </c>
      <c r="G1031" s="3" t="inlineStr">
        <is>
          <t>Arr Stn</t>
        </is>
      </c>
      <c r="H1031" s="3" t="inlineStr">
        <is>
          <t>STD</t>
        </is>
      </c>
      <c r="I1031" s="3" t="inlineStr">
        <is>
          <t>STA</t>
        </is>
      </c>
      <c r="J1031" s="3" t="inlineStr">
        <is>
          <t>subflota</t>
        </is>
      </c>
      <c r="K1031" s="3" t="inlineStr">
        <is>
          <t>Conexion</t>
        </is>
      </c>
      <c r="L1031" s="3" t="inlineStr">
        <is>
          <t>HBT</t>
        </is>
      </c>
    </row>
    <row r="1032">
      <c r="B1032" s="4" t="inlineStr">
        <is>
          <t>1177_0</t>
        </is>
      </c>
      <c r="C1032" s="4" t="inlineStr">
        <is>
          <t>13/09/2026</t>
        </is>
      </c>
      <c r="D1032" s="4" t="inlineStr">
        <is>
          <t>domingo</t>
        </is>
      </c>
      <c r="E1032" s="4" t="inlineStr">
        <is>
          <t>2312</t>
        </is>
      </c>
      <c r="F1032" s="4" t="inlineStr">
        <is>
          <t>LIM</t>
        </is>
      </c>
      <c r="G1032" s="4" t="inlineStr">
        <is>
          <t>CIX</t>
        </is>
      </c>
      <c r="H1032" s="4" t="inlineStr">
        <is>
          <t>15:35:00</t>
        </is>
      </c>
      <c r="I1032" s="4" t="inlineStr">
        <is>
          <t>17:05:00</t>
        </is>
      </c>
      <c r="J1032" s="4" t="inlineStr">
        <is>
          <t>319</t>
        </is>
      </c>
      <c r="L1032" s="4" t="inlineStr">
        <is>
          <t>01:30:00</t>
        </is>
      </c>
      <c r="M1032" s="5" t="n"/>
      <c r="O1032" s="5" t="n"/>
      <c r="Q1032" s="4">
        <f>B1032</f>
        <v/>
      </c>
      <c r="R1032" s="4">
        <f>C1032</f>
        <v/>
      </c>
      <c r="S1032" s="4">
        <f>D1032</f>
        <v/>
      </c>
      <c r="T1032" s="4">
        <f>E1032&amp;"/"&amp;E1033</f>
        <v/>
      </c>
      <c r="U1032" s="4">
        <f>F1032&amp;"-"&amp;G1032&amp;"-"&amp;F1032</f>
        <v/>
      </c>
      <c r="V1032" s="4">
        <f>IF($M$1032="","",$M$1032)</f>
        <v/>
      </c>
      <c r="W1032" s="4">
        <f>IF($O$1032="","",$O$1032)</f>
        <v/>
      </c>
      <c r="X1032" s="4">
        <f>J1032</f>
        <v/>
      </c>
    </row>
    <row r="1033">
      <c r="B1033" s="4" t="inlineStr">
        <is>
          <t>1177_0</t>
        </is>
      </c>
      <c r="C1033" s="4" t="inlineStr">
        <is>
          <t>13/09/2026</t>
        </is>
      </c>
      <c r="D1033" s="4" t="inlineStr">
        <is>
          <t>domingo</t>
        </is>
      </c>
      <c r="E1033" s="4" t="inlineStr">
        <is>
          <t>2313</t>
        </is>
      </c>
      <c r="F1033" s="4" t="inlineStr">
        <is>
          <t>CIX</t>
        </is>
      </c>
      <c r="G1033" s="4" t="inlineStr">
        <is>
          <t>LIM</t>
        </is>
      </c>
      <c r="H1033" s="4" t="inlineStr">
        <is>
          <t>17:50:00</t>
        </is>
      </c>
      <c r="I1033" s="4" t="inlineStr">
        <is>
          <t>19:10:00</t>
        </is>
      </c>
      <c r="J1033" s="4" t="inlineStr">
        <is>
          <t>319</t>
        </is>
      </c>
      <c r="K1033">
        <f>TEXT(TIMEVALUE(H1033)-TIMEVALUE(I1032)+(TIMEVALUE(H1033)&lt;TIMEVALUE(I1032)),"[h]:mm")</f>
        <v/>
      </c>
      <c r="L1033" s="4" t="inlineStr">
        <is>
          <t>01:20:00</t>
        </is>
      </c>
      <c r="O1033">
        <f>"LIM-"&amp;G1032&amp;"-LIM   LA "&amp;E1032&amp;" ("&amp;LEFT(H1032,5)&amp;"-"&amp;LEFT(I1032,5)&amp;" hrs)  /  LA "&amp;E1033&amp;" ("&amp;LEFT(H1033,5)&amp;"-"&amp;LEFT(I1033,5)&amp;" hrs)"</f>
        <v/>
      </c>
    </row>
    <row r="1034">
      <c r="J1034" s="7" t="inlineStr">
        <is>
          <t>PSV total:</t>
        </is>
      </c>
      <c r="K1034" s="8">
        <f>TEXT(TIMEVALUE(I1033)-TIMEVALUE(H1032)+(I1033&lt;H1032),"[h]:mm")</f>
        <v/>
      </c>
    </row>
    <row r="1036">
      <c r="B1036" s="3" t="inlineStr">
        <is>
          <t>Pairing ID</t>
        </is>
      </c>
      <c r="C1036" s="3" t="inlineStr">
        <is>
          <t>FECHA REAL</t>
        </is>
      </c>
      <c r="D1036" s="3" t="inlineStr">
        <is>
          <t>Day of Week</t>
        </is>
      </c>
      <c r="E1036" s="3" t="inlineStr">
        <is>
          <t>Flight No</t>
        </is>
      </c>
      <c r="F1036" s="3" t="inlineStr">
        <is>
          <t>Dep Stn</t>
        </is>
      </c>
      <c r="G1036" s="3" t="inlineStr">
        <is>
          <t>Arr Stn</t>
        </is>
      </c>
      <c r="H1036" s="3" t="inlineStr">
        <is>
          <t>STD</t>
        </is>
      </c>
      <c r="I1036" s="3" t="inlineStr">
        <is>
          <t>STA</t>
        </is>
      </c>
      <c r="J1036" s="3" t="inlineStr">
        <is>
          <t>subflota</t>
        </is>
      </c>
      <c r="K1036" s="3" t="inlineStr">
        <is>
          <t>Conexion</t>
        </is>
      </c>
      <c r="L1036" s="3" t="inlineStr">
        <is>
          <t>HBT</t>
        </is>
      </c>
    </row>
    <row r="1037">
      <c r="B1037" s="4" t="inlineStr">
        <is>
          <t>1178_0</t>
        </is>
      </c>
      <c r="C1037" s="4" t="inlineStr">
        <is>
          <t>13/09/2026</t>
        </is>
      </c>
      <c r="D1037" s="4" t="inlineStr">
        <is>
          <t>domingo</t>
        </is>
      </c>
      <c r="E1037" s="4" t="inlineStr">
        <is>
          <t>2301</t>
        </is>
      </c>
      <c r="F1037" s="4" t="inlineStr">
        <is>
          <t>LIM</t>
        </is>
      </c>
      <c r="G1037" s="4" t="inlineStr">
        <is>
          <t>TPP</t>
        </is>
      </c>
      <c r="H1037" s="4" t="inlineStr">
        <is>
          <t>15:40:00</t>
        </is>
      </c>
      <c r="I1037" s="4" t="inlineStr">
        <is>
          <t>17:05:00</t>
        </is>
      </c>
      <c r="J1037" s="4" t="inlineStr">
        <is>
          <t>320</t>
        </is>
      </c>
      <c r="L1037" s="4" t="inlineStr">
        <is>
          <t>01:25:00</t>
        </is>
      </c>
      <c r="M1037" s="5" t="n"/>
      <c r="O1037" s="5" t="n"/>
      <c r="Q1037" s="4">
        <f>B1037</f>
        <v/>
      </c>
      <c r="R1037" s="4">
        <f>C1037</f>
        <v/>
      </c>
      <c r="S1037" s="4">
        <f>D1037</f>
        <v/>
      </c>
      <c r="T1037" s="4">
        <f>E1037&amp;"/"&amp;E1038</f>
        <v/>
      </c>
      <c r="U1037" s="4">
        <f>F1037&amp;"-"&amp;G1037&amp;"-"&amp;F1037</f>
        <v/>
      </c>
      <c r="V1037" s="4">
        <f>IF($M$1037="","",$M$1037)</f>
        <v/>
      </c>
      <c r="W1037" s="4">
        <f>IF($O$1037="","",$O$1037)</f>
        <v/>
      </c>
      <c r="X1037" s="4">
        <f>J1037</f>
        <v/>
      </c>
    </row>
    <row r="1038">
      <c r="B1038" s="4" t="inlineStr">
        <is>
          <t>1178_0</t>
        </is>
      </c>
      <c r="C1038" s="4" t="inlineStr">
        <is>
          <t>13/09/2026</t>
        </is>
      </c>
      <c r="D1038" s="4" t="inlineStr">
        <is>
          <t>domingo</t>
        </is>
      </c>
      <c r="E1038" s="4" t="inlineStr">
        <is>
          <t>2300</t>
        </is>
      </c>
      <c r="F1038" s="4" t="inlineStr">
        <is>
          <t>TPP</t>
        </is>
      </c>
      <c r="G1038" s="4" t="inlineStr">
        <is>
          <t>LIM</t>
        </is>
      </c>
      <c r="H1038" s="4" t="inlineStr">
        <is>
          <t>17:50:00</t>
        </is>
      </c>
      <c r="I1038" s="4" t="inlineStr">
        <is>
          <t>19:20:00</t>
        </is>
      </c>
      <c r="J1038" s="4" t="inlineStr">
        <is>
          <t>320</t>
        </is>
      </c>
      <c r="K1038">
        <f>TEXT(TIMEVALUE(H1038)-TIMEVALUE(I1037)+(TIMEVALUE(H1038)&lt;TIMEVALUE(I1037)),"[h]:mm")</f>
        <v/>
      </c>
      <c r="L1038" s="4" t="inlineStr">
        <is>
          <t>01:30:00</t>
        </is>
      </c>
      <c r="O1038">
        <f>"LIM-"&amp;G1037&amp;"-LIM   LA "&amp;E1037&amp;" ("&amp;LEFT(H1037,5)&amp;"-"&amp;LEFT(I1037,5)&amp;" hrs)  /  LA "&amp;E1038&amp;" ("&amp;LEFT(H1038,5)&amp;"-"&amp;LEFT(I1038,5)&amp;" hrs)"</f>
        <v/>
      </c>
    </row>
    <row r="1039">
      <c r="J1039" s="7" t="inlineStr">
        <is>
          <t>PSV total:</t>
        </is>
      </c>
      <c r="K1039" s="8">
        <f>TEXT(TIMEVALUE(I1038)-TIMEVALUE(H1037)+(I1038&lt;H1037),"[h]:mm")</f>
        <v/>
      </c>
    </row>
    <row r="1041">
      <c r="B1041" s="3" t="inlineStr">
        <is>
          <t>Pairing ID</t>
        </is>
      </c>
      <c r="C1041" s="3" t="inlineStr">
        <is>
          <t>FECHA REAL</t>
        </is>
      </c>
      <c r="D1041" s="3" t="inlineStr">
        <is>
          <t>Day of Week</t>
        </is>
      </c>
      <c r="E1041" s="3" t="inlineStr">
        <is>
          <t>Flight No</t>
        </is>
      </c>
      <c r="F1041" s="3" t="inlineStr">
        <is>
          <t>Dep Stn</t>
        </is>
      </c>
      <c r="G1041" s="3" t="inlineStr">
        <is>
          <t>Arr Stn</t>
        </is>
      </c>
      <c r="H1041" s="3" t="inlineStr">
        <is>
          <t>STD</t>
        </is>
      </c>
      <c r="I1041" s="3" t="inlineStr">
        <is>
          <t>STA</t>
        </is>
      </c>
      <c r="J1041" s="3" t="inlineStr">
        <is>
          <t>subflota</t>
        </is>
      </c>
      <c r="K1041" s="3" t="inlineStr">
        <is>
          <t>Conexion</t>
        </is>
      </c>
      <c r="L1041" s="3" t="inlineStr">
        <is>
          <t>HBT</t>
        </is>
      </c>
    </row>
    <row r="1042">
      <c r="B1042" s="4" t="inlineStr">
        <is>
          <t>1181_0</t>
        </is>
      </c>
      <c r="C1042" s="4" t="inlineStr">
        <is>
          <t>13/09/2026</t>
        </is>
      </c>
      <c r="D1042" s="4" t="inlineStr">
        <is>
          <t>domingo</t>
        </is>
      </c>
      <c r="E1042" s="4" t="inlineStr">
        <is>
          <t>2053</t>
        </is>
      </c>
      <c r="F1042" s="4" t="inlineStr">
        <is>
          <t>LIM</t>
        </is>
      </c>
      <c r="G1042" s="4" t="inlineStr">
        <is>
          <t>TBP</t>
        </is>
      </c>
      <c r="H1042" s="4" t="inlineStr">
        <is>
          <t>16:20:00</t>
        </is>
      </c>
      <c r="I1042" s="4" t="inlineStr">
        <is>
          <t>18:10:00</t>
        </is>
      </c>
      <c r="J1042" s="4" t="inlineStr">
        <is>
          <t>320</t>
        </is>
      </c>
      <c r="L1042" s="4" t="inlineStr">
        <is>
          <t>01:50:00</t>
        </is>
      </c>
      <c r="M1042" s="5" t="n"/>
      <c r="O1042" s="5" t="n"/>
      <c r="Q1042" s="4">
        <f>B1042</f>
        <v/>
      </c>
      <c r="R1042" s="4">
        <f>C1042</f>
        <v/>
      </c>
      <c r="S1042" s="4">
        <f>D1042</f>
        <v/>
      </c>
      <c r="T1042" s="4">
        <f>E1042&amp;"/"&amp;E1043</f>
        <v/>
      </c>
      <c r="U1042" s="4">
        <f>F1042&amp;"-"&amp;G1042&amp;"-"&amp;F1042</f>
        <v/>
      </c>
      <c r="V1042" s="4">
        <f>IF($M$1042="","",$M$1042)</f>
        <v/>
      </c>
      <c r="W1042" s="4">
        <f>IF($O$1042="","",$O$1042)</f>
        <v/>
      </c>
      <c r="X1042" s="4">
        <f>J1042</f>
        <v/>
      </c>
    </row>
    <row r="1043">
      <c r="B1043" s="4" t="inlineStr">
        <is>
          <t>1181_0</t>
        </is>
      </c>
      <c r="C1043" s="4" t="inlineStr">
        <is>
          <t>13/09/2026</t>
        </is>
      </c>
      <c r="D1043" s="4" t="inlineStr">
        <is>
          <t>domingo</t>
        </is>
      </c>
      <c r="E1043" s="4" t="inlineStr">
        <is>
          <t>2054</t>
        </is>
      </c>
      <c r="F1043" s="4" t="inlineStr">
        <is>
          <t>TBP</t>
        </is>
      </c>
      <c r="G1043" s="4" t="inlineStr">
        <is>
          <t>LIM</t>
        </is>
      </c>
      <c r="H1043" s="4" t="inlineStr">
        <is>
          <t>18:50:00</t>
        </is>
      </c>
      <c r="I1043" s="4" t="inlineStr">
        <is>
          <t>20:30:00</t>
        </is>
      </c>
      <c r="J1043" s="4" t="inlineStr">
        <is>
          <t>320</t>
        </is>
      </c>
      <c r="K1043">
        <f>TEXT(TIMEVALUE(H1043)-TIMEVALUE(I1042)+(TIMEVALUE(H1043)&lt;TIMEVALUE(I1042)),"[h]:mm")</f>
        <v/>
      </c>
      <c r="L1043" s="4" t="inlineStr">
        <is>
          <t>01:40:00</t>
        </is>
      </c>
      <c r="O1043">
        <f>"LIM-"&amp;G1042&amp;"-LIM   LA "&amp;E1042&amp;" ("&amp;LEFT(H1042,5)&amp;"-"&amp;LEFT(I1042,5)&amp;" hrs)  /  LA "&amp;E1043&amp;" ("&amp;LEFT(H1043,5)&amp;"-"&amp;LEFT(I1043,5)&amp;" hrs)"</f>
        <v/>
      </c>
    </row>
    <row r="1044">
      <c r="J1044" s="7" t="inlineStr">
        <is>
          <t>PSV total:</t>
        </is>
      </c>
      <c r="K1044" s="8">
        <f>TEXT(TIMEVALUE(I1043)-TIMEVALUE(H1042)+(I1043&lt;H1042),"[h]:mm")</f>
        <v/>
      </c>
    </row>
    <row r="1046">
      <c r="B1046" s="3" t="inlineStr">
        <is>
          <t>Pairing ID</t>
        </is>
      </c>
      <c r="C1046" s="3" t="inlineStr">
        <is>
          <t>FECHA REAL</t>
        </is>
      </c>
      <c r="D1046" s="3" t="inlineStr">
        <is>
          <t>Day of Week</t>
        </is>
      </c>
      <c r="E1046" s="3" t="inlineStr">
        <is>
          <t>Flight No</t>
        </is>
      </c>
      <c r="F1046" s="3" t="inlineStr">
        <is>
          <t>Dep Stn</t>
        </is>
      </c>
      <c r="G1046" s="3" t="inlineStr">
        <is>
          <t>Arr Stn</t>
        </is>
      </c>
      <c r="H1046" s="3" t="inlineStr">
        <is>
          <t>STD</t>
        </is>
      </c>
      <c r="I1046" s="3" t="inlineStr">
        <is>
          <t>STA</t>
        </is>
      </c>
      <c r="J1046" s="3" t="inlineStr">
        <is>
          <t>subflota</t>
        </is>
      </c>
      <c r="K1046" s="3" t="inlineStr">
        <is>
          <t>Conexion</t>
        </is>
      </c>
      <c r="L1046" s="3" t="inlineStr">
        <is>
          <t>HBT</t>
        </is>
      </c>
    </row>
    <row r="1047">
      <c r="B1047" s="4" t="inlineStr">
        <is>
          <t>1184_0</t>
        </is>
      </c>
      <c r="C1047" s="4" t="inlineStr">
        <is>
          <t>13/09/2026</t>
        </is>
      </c>
      <c r="D1047" s="4" t="inlineStr">
        <is>
          <t>domingo</t>
        </is>
      </c>
      <c r="E1047" s="4" t="inlineStr">
        <is>
          <t>2213</t>
        </is>
      </c>
      <c r="F1047" s="4" t="inlineStr">
        <is>
          <t>LIM</t>
        </is>
      </c>
      <c r="G1047" s="4" t="inlineStr">
        <is>
          <t>CIX</t>
        </is>
      </c>
      <c r="H1047" s="4" t="inlineStr">
        <is>
          <t>17:20:00</t>
        </is>
      </c>
      <c r="I1047" s="4" t="inlineStr">
        <is>
          <t>18:50:00</t>
        </is>
      </c>
      <c r="J1047" s="4" t="inlineStr">
        <is>
          <t>320</t>
        </is>
      </c>
      <c r="L1047" s="4" t="inlineStr">
        <is>
          <t>01:30:00</t>
        </is>
      </c>
      <c r="M1047" s="5" t="n"/>
      <c r="O1047" s="5" t="n"/>
      <c r="Q1047" s="4">
        <f>B1047</f>
        <v/>
      </c>
      <c r="R1047" s="4">
        <f>C1047</f>
        <v/>
      </c>
      <c r="S1047" s="4">
        <f>D1047</f>
        <v/>
      </c>
      <c r="T1047" s="4">
        <f>E1047&amp;"/"&amp;E1048</f>
        <v/>
      </c>
      <c r="U1047" s="4">
        <f>F1047&amp;"-"&amp;G1047&amp;"-"&amp;F1047</f>
        <v/>
      </c>
      <c r="V1047" s="4">
        <f>IF($M$1047="","",$M$1047)</f>
        <v/>
      </c>
      <c r="W1047" s="4">
        <f>IF($O$1047="","",$O$1047)</f>
        <v/>
      </c>
      <c r="X1047" s="4">
        <f>J1047</f>
        <v/>
      </c>
    </row>
    <row r="1048">
      <c r="B1048" s="4" t="inlineStr">
        <is>
          <t>1184_0</t>
        </is>
      </c>
      <c r="C1048" s="4" t="inlineStr">
        <is>
          <t>13/09/2026</t>
        </is>
      </c>
      <c r="D1048" s="4" t="inlineStr">
        <is>
          <t>domingo</t>
        </is>
      </c>
      <c r="E1048" s="4" t="inlineStr">
        <is>
          <t>2214</t>
        </is>
      </c>
      <c r="F1048" s="4" t="inlineStr">
        <is>
          <t>CIX</t>
        </is>
      </c>
      <c r="G1048" s="4" t="inlineStr">
        <is>
          <t>LIM</t>
        </is>
      </c>
      <c r="H1048" s="4" t="inlineStr">
        <is>
          <t>19:25:00</t>
        </is>
      </c>
      <c r="I1048" s="4" t="inlineStr">
        <is>
          <t>20:40:00</t>
        </is>
      </c>
      <c r="J1048" s="4" t="inlineStr">
        <is>
          <t>320</t>
        </is>
      </c>
      <c r="K1048">
        <f>TEXT(TIMEVALUE(H1048)-TIMEVALUE(I1047)+(TIMEVALUE(H1048)&lt;TIMEVALUE(I1047)),"[h]:mm")</f>
        <v/>
      </c>
      <c r="L1048" s="4" t="inlineStr">
        <is>
          <t>01:15:00</t>
        </is>
      </c>
      <c r="O1048">
        <f>"LIM-"&amp;G1047&amp;"-LIM   LA "&amp;E1047&amp;" ("&amp;LEFT(H1047,5)&amp;"-"&amp;LEFT(I1047,5)&amp;" hrs)  /  LA "&amp;E1048&amp;" ("&amp;LEFT(H1048,5)&amp;"-"&amp;LEFT(I1048,5)&amp;" hrs)"</f>
        <v/>
      </c>
    </row>
    <row r="1049">
      <c r="J1049" s="7" t="inlineStr">
        <is>
          <t>PSV total:</t>
        </is>
      </c>
      <c r="K1049" s="8">
        <f>TEXT(TIMEVALUE(I1048)-TIMEVALUE(H1047)+(I1048&lt;H1047),"[h]:mm")</f>
        <v/>
      </c>
    </row>
    <row r="1051">
      <c r="B1051" s="3" t="inlineStr">
        <is>
          <t>Pairing ID</t>
        </is>
      </c>
      <c r="C1051" s="3" t="inlineStr">
        <is>
          <t>FECHA REAL</t>
        </is>
      </c>
      <c r="D1051" s="3" t="inlineStr">
        <is>
          <t>Day of Week</t>
        </is>
      </c>
      <c r="E1051" s="3" t="inlineStr">
        <is>
          <t>Flight No</t>
        </is>
      </c>
      <c r="F1051" s="3" t="inlineStr">
        <is>
          <t>Dep Stn</t>
        </is>
      </c>
      <c r="G1051" s="3" t="inlineStr">
        <is>
          <t>Arr Stn</t>
        </is>
      </c>
      <c r="H1051" s="3" t="inlineStr">
        <is>
          <t>STD</t>
        </is>
      </c>
      <c r="I1051" s="3" t="inlineStr">
        <is>
          <t>STA</t>
        </is>
      </c>
      <c r="J1051" s="3" t="inlineStr">
        <is>
          <t>subflota</t>
        </is>
      </c>
      <c r="K1051" s="3" t="inlineStr">
        <is>
          <t>Conexion</t>
        </is>
      </c>
      <c r="L1051" s="3" t="inlineStr">
        <is>
          <t>HBT</t>
        </is>
      </c>
    </row>
    <row r="1052">
      <c r="B1052" s="4" t="inlineStr">
        <is>
          <t>1234_0</t>
        </is>
      </c>
      <c r="C1052" s="4" t="inlineStr">
        <is>
          <t>14/09/2026</t>
        </is>
      </c>
      <c r="D1052" s="4" t="inlineStr">
        <is>
          <t>lunes</t>
        </is>
      </c>
      <c r="E1052" s="4" t="inlineStr">
        <is>
          <t>2013</t>
        </is>
      </c>
      <c r="F1052" s="4" t="inlineStr">
        <is>
          <t>LIM</t>
        </is>
      </c>
      <c r="G1052" s="4" t="inlineStr">
        <is>
          <t>CUZ</t>
        </is>
      </c>
      <c r="H1052" s="4" t="inlineStr">
        <is>
          <t>08:35:00</t>
        </is>
      </c>
      <c r="I1052" s="4" t="inlineStr">
        <is>
          <t>09:55:00</t>
        </is>
      </c>
      <c r="J1052" s="4" t="inlineStr">
        <is>
          <t>320</t>
        </is>
      </c>
      <c r="L1052" s="4" t="inlineStr">
        <is>
          <t>01:20:00</t>
        </is>
      </c>
      <c r="M1052" s="5" t="n"/>
      <c r="O1052" s="5" t="n"/>
      <c r="Q1052" s="4">
        <f>B1052</f>
        <v/>
      </c>
      <c r="R1052" s="4">
        <f>C1052</f>
        <v/>
      </c>
      <c r="S1052" s="4">
        <f>D1052</f>
        <v/>
      </c>
      <c r="T1052" s="4">
        <f>E1052&amp;"/"&amp;E1053</f>
        <v/>
      </c>
      <c r="U1052" s="4">
        <f>F1052&amp;"-"&amp;G1052&amp;"-"&amp;F1052</f>
        <v/>
      </c>
      <c r="V1052" s="4">
        <f>IF($M$1052="","",$M$1052)</f>
        <v/>
      </c>
      <c r="W1052" s="4">
        <f>IF($O$1052="","",$O$1052)</f>
        <v/>
      </c>
      <c r="X1052" s="4">
        <f>J1052</f>
        <v/>
      </c>
    </row>
    <row r="1053">
      <c r="B1053" s="4" t="inlineStr">
        <is>
          <t>1234_0</t>
        </is>
      </c>
      <c r="C1053" s="4" t="inlineStr">
        <is>
          <t>14/09/2026</t>
        </is>
      </c>
      <c r="D1053" s="4" t="inlineStr">
        <is>
          <t>lunes</t>
        </is>
      </c>
      <c r="E1053" s="4" t="inlineStr">
        <is>
          <t>2014</t>
        </is>
      </c>
      <c r="F1053" s="4" t="inlineStr">
        <is>
          <t>CUZ</t>
        </is>
      </c>
      <c r="G1053" s="4" t="inlineStr">
        <is>
          <t>LIM</t>
        </is>
      </c>
      <c r="H1053" s="4" t="inlineStr">
        <is>
          <t>10:40:00</t>
        </is>
      </c>
      <c r="I1053" s="4" t="inlineStr">
        <is>
          <t>12:15:00</t>
        </is>
      </c>
      <c r="J1053" s="4" t="inlineStr">
        <is>
          <t>320</t>
        </is>
      </c>
      <c r="K1053">
        <f>TEXT(TIMEVALUE(H1053)-TIMEVALUE(I1052)+(TIMEVALUE(H1053)&lt;TIMEVALUE(I1052)),"[h]:mm")</f>
        <v/>
      </c>
      <c r="L1053" s="4" t="inlineStr">
        <is>
          <t>01:35:00</t>
        </is>
      </c>
      <c r="O1053">
        <f>"LIM-"&amp;G1052&amp;"-LIM   LA "&amp;E1052&amp;" ("&amp;LEFT(H1052,5)&amp;"-"&amp;LEFT(I1052,5)&amp;" hrs)  /  LA "&amp;E1053&amp;" ("&amp;LEFT(H1053,5)&amp;"-"&amp;LEFT(I1053,5)&amp;" hrs)"</f>
        <v/>
      </c>
    </row>
    <row r="1054">
      <c r="J1054" s="7" t="inlineStr">
        <is>
          <t>PSV total:</t>
        </is>
      </c>
      <c r="K1054" s="8">
        <f>TEXT(TIMEVALUE(I1053)-TIMEVALUE(H1052)+(I1053&lt;H1052),"[h]:mm")</f>
        <v/>
      </c>
    </row>
    <row r="1056">
      <c r="B1056" s="3" t="inlineStr">
        <is>
          <t>Pairing ID</t>
        </is>
      </c>
      <c r="C1056" s="3" t="inlineStr">
        <is>
          <t>FECHA REAL</t>
        </is>
      </c>
      <c r="D1056" s="3" t="inlineStr">
        <is>
          <t>Day of Week</t>
        </is>
      </c>
      <c r="E1056" s="3" t="inlineStr">
        <is>
          <t>Flight No</t>
        </is>
      </c>
      <c r="F1056" s="3" t="inlineStr">
        <is>
          <t>Dep Stn</t>
        </is>
      </c>
      <c r="G1056" s="3" t="inlineStr">
        <is>
          <t>Arr Stn</t>
        </is>
      </c>
      <c r="H1056" s="3" t="inlineStr">
        <is>
          <t>STD</t>
        </is>
      </c>
      <c r="I1056" s="3" t="inlineStr">
        <is>
          <t>STA</t>
        </is>
      </c>
      <c r="J1056" s="3" t="inlineStr">
        <is>
          <t>subflota</t>
        </is>
      </c>
      <c r="K1056" s="3" t="inlineStr">
        <is>
          <t>Conexion</t>
        </is>
      </c>
      <c r="L1056" s="3" t="inlineStr">
        <is>
          <t>HBT</t>
        </is>
      </c>
    </row>
    <row r="1057">
      <c r="B1057" s="4" t="inlineStr">
        <is>
          <t>1238_0</t>
        </is>
      </c>
      <c r="C1057" s="4" t="inlineStr">
        <is>
          <t>14/09/2026</t>
        </is>
      </c>
      <c r="D1057" s="4" t="inlineStr">
        <is>
          <t>lunes</t>
        </is>
      </c>
      <c r="E1057" s="4" t="inlineStr">
        <is>
          <t>2007</t>
        </is>
      </c>
      <c r="F1057" s="4" t="inlineStr">
        <is>
          <t>LIM</t>
        </is>
      </c>
      <c r="G1057" s="4" t="inlineStr">
        <is>
          <t>CUZ</t>
        </is>
      </c>
      <c r="H1057" s="4" t="inlineStr">
        <is>
          <t>09:10:00</t>
        </is>
      </c>
      <c r="I1057" s="4" t="inlineStr">
        <is>
          <t>10:30:00</t>
        </is>
      </c>
      <c r="J1057" s="4" t="inlineStr">
        <is>
          <t>320</t>
        </is>
      </c>
      <c r="L1057" s="4" t="inlineStr">
        <is>
          <t>01:20:00</t>
        </is>
      </c>
      <c r="M1057" s="5" t="n"/>
      <c r="O1057" s="5" t="n"/>
      <c r="Q1057" s="4">
        <f>B1057</f>
        <v/>
      </c>
      <c r="R1057" s="4">
        <f>C1057</f>
        <v/>
      </c>
      <c r="S1057" s="4">
        <f>D1057</f>
        <v/>
      </c>
      <c r="T1057" s="4">
        <f>E1057&amp;"/"&amp;E1058</f>
        <v/>
      </c>
      <c r="U1057" s="4">
        <f>F1057&amp;"-"&amp;G1057&amp;"-"&amp;F1057</f>
        <v/>
      </c>
      <c r="V1057" s="4">
        <f>IF($M$1057="","",$M$1057)</f>
        <v/>
      </c>
      <c r="W1057" s="4">
        <f>IF($O$1057="","",$O$1057)</f>
        <v/>
      </c>
      <c r="X1057" s="4">
        <f>J1057</f>
        <v/>
      </c>
    </row>
    <row r="1058">
      <c r="B1058" s="4" t="inlineStr">
        <is>
          <t>1238_0</t>
        </is>
      </c>
      <c r="C1058" s="4" t="inlineStr">
        <is>
          <t>14/09/2026</t>
        </is>
      </c>
      <c r="D1058" s="4" t="inlineStr">
        <is>
          <t>lunes</t>
        </is>
      </c>
      <c r="E1058" s="4" t="inlineStr">
        <is>
          <t>2008</t>
        </is>
      </c>
      <c r="F1058" s="4" t="inlineStr">
        <is>
          <t>CUZ</t>
        </is>
      </c>
      <c r="G1058" s="4" t="inlineStr">
        <is>
          <t>LIM</t>
        </is>
      </c>
      <c r="H1058" s="4" t="inlineStr">
        <is>
          <t>11:20:00</t>
        </is>
      </c>
      <c r="I1058" s="4" t="inlineStr">
        <is>
          <t>12:55:00</t>
        </is>
      </c>
      <c r="J1058" s="4" t="inlineStr">
        <is>
          <t>320</t>
        </is>
      </c>
      <c r="K1058">
        <f>TEXT(TIMEVALUE(H1058)-TIMEVALUE(I1057)+(TIMEVALUE(H1058)&lt;TIMEVALUE(I1057)),"[h]:mm")</f>
        <v/>
      </c>
      <c r="L1058" s="4" t="inlineStr">
        <is>
          <t>01:35:00</t>
        </is>
      </c>
      <c r="O1058">
        <f>"LIM-"&amp;G1057&amp;"-LIM   LA "&amp;E1057&amp;" ("&amp;LEFT(H1057,5)&amp;"-"&amp;LEFT(I1057,5)&amp;" hrs)  /  LA "&amp;E1058&amp;" ("&amp;LEFT(H1058,5)&amp;"-"&amp;LEFT(I1058,5)&amp;" hrs)"</f>
        <v/>
      </c>
    </row>
    <row r="1059">
      <c r="B1059" s="4" t="inlineStr">
        <is>
          <t>1258_0</t>
        </is>
      </c>
      <c r="C1059" s="4" t="inlineStr">
        <is>
          <t>14/09/2026</t>
        </is>
      </c>
      <c r="D1059" s="4" t="inlineStr">
        <is>
          <t>lunes</t>
        </is>
      </c>
      <c r="E1059" s="4" t="inlineStr">
        <is>
          <t>2295</t>
        </is>
      </c>
      <c r="F1059" s="4" t="inlineStr">
        <is>
          <t>LIM</t>
        </is>
      </c>
      <c r="G1059" s="4" t="inlineStr">
        <is>
          <t>CJA</t>
        </is>
      </c>
      <c r="H1059" s="4" t="inlineStr">
        <is>
          <t>14:10:00</t>
        </is>
      </c>
      <c r="I1059" s="4" t="inlineStr">
        <is>
          <t>15:30:00</t>
        </is>
      </c>
      <c r="J1059" s="4" t="inlineStr">
        <is>
          <t>320</t>
        </is>
      </c>
      <c r="K1059" s="6">
        <f>TEXT(TIMEVALUE(H1059)-TIMEVALUE(I1058)+(TIMEVALUE(H1059)&lt;TIMEVALUE(I1058)),"[h]:mm")</f>
        <v/>
      </c>
      <c r="L1059" s="4" t="inlineStr">
        <is>
          <t>01:20:00</t>
        </is>
      </c>
      <c r="M1059">
        <f>IF($M$1057="","",$M$1057)</f>
        <v/>
      </c>
      <c r="O1059">
        <f>IF($O$1057="","",$O$1057)</f>
        <v/>
      </c>
      <c r="Q1059" s="4">
        <f>B1059</f>
        <v/>
      </c>
      <c r="R1059" s="4">
        <f>C1059</f>
        <v/>
      </c>
      <c r="S1059" s="4">
        <f>D1059</f>
        <v/>
      </c>
      <c r="T1059" s="4">
        <f>E1059&amp;"/"&amp;E1060</f>
        <v/>
      </c>
      <c r="U1059" s="4">
        <f>F1059&amp;"-"&amp;G1059&amp;"-"&amp;F1059</f>
        <v/>
      </c>
      <c r="V1059" s="4">
        <f>IF($M$1057="","",$M$1057)</f>
        <v/>
      </c>
      <c r="W1059" s="4">
        <f>IF($O$1057="","",$O$1057)</f>
        <v/>
      </c>
      <c r="X1059" s="4">
        <f>J1059</f>
        <v/>
      </c>
    </row>
    <row r="1060">
      <c r="B1060" s="4" t="inlineStr">
        <is>
          <t>1258_0</t>
        </is>
      </c>
      <c r="C1060" s="4" t="inlineStr">
        <is>
          <t>14/09/2026</t>
        </is>
      </c>
      <c r="D1060" s="4" t="inlineStr">
        <is>
          <t>lunes</t>
        </is>
      </c>
      <c r="E1060" s="4" t="inlineStr">
        <is>
          <t>2294</t>
        </is>
      </c>
      <c r="F1060" s="4" t="inlineStr">
        <is>
          <t>CJA</t>
        </is>
      </c>
      <c r="G1060" s="4" t="inlineStr">
        <is>
          <t>LIM</t>
        </is>
      </c>
      <c r="H1060" s="4" t="inlineStr">
        <is>
          <t>16:10:00</t>
        </is>
      </c>
      <c r="I1060" s="4" t="inlineStr">
        <is>
          <t>17:15:00</t>
        </is>
      </c>
      <c r="J1060" s="4" t="inlineStr">
        <is>
          <t>320</t>
        </is>
      </c>
      <c r="K1060">
        <f>TEXT(TIMEVALUE(H1060)-TIMEVALUE(I1059)+(TIMEVALUE(H1060)&lt;TIMEVALUE(I1059)),"[h]:mm")</f>
        <v/>
      </c>
      <c r="L1060" s="4" t="inlineStr">
        <is>
          <t>01:05:00</t>
        </is>
      </c>
      <c r="O1060">
        <f>"LIM-"&amp;G1059&amp;"-LIM   LA "&amp;E1059&amp;" ("&amp;LEFT(H1059,5)&amp;"-"&amp;LEFT(I1059,5)&amp;" hrs)  /  LA "&amp;E1060&amp;" ("&amp;LEFT(H1060,5)&amp;"-"&amp;LEFT(I1060,5)&amp;" hrs)"</f>
        <v/>
      </c>
    </row>
    <row r="1061">
      <c r="J1061" s="7" t="inlineStr">
        <is>
          <t>PSV total:</t>
        </is>
      </c>
      <c r="K1061" s="8">
        <f>TEXT(TIMEVALUE(I1060)-TIMEVALUE(H1057)+(I1060&lt;H1057),"[h]:mm")</f>
        <v/>
      </c>
    </row>
    <row r="1063">
      <c r="B1063" s="3" t="inlineStr">
        <is>
          <t>Pairing ID</t>
        </is>
      </c>
      <c r="C1063" s="3" t="inlineStr">
        <is>
          <t>FECHA REAL</t>
        </is>
      </c>
      <c r="D1063" s="3" t="inlineStr">
        <is>
          <t>Day of Week</t>
        </is>
      </c>
      <c r="E1063" s="3" t="inlineStr">
        <is>
          <t>Flight No</t>
        </is>
      </c>
      <c r="F1063" s="3" t="inlineStr">
        <is>
          <t>Dep Stn</t>
        </is>
      </c>
      <c r="G1063" s="3" t="inlineStr">
        <is>
          <t>Arr Stn</t>
        </is>
      </c>
      <c r="H1063" s="3" t="inlineStr">
        <is>
          <t>STD</t>
        </is>
      </c>
      <c r="I1063" s="3" t="inlineStr">
        <is>
          <t>STA</t>
        </is>
      </c>
      <c r="J1063" s="3" t="inlineStr">
        <is>
          <t>subflota</t>
        </is>
      </c>
      <c r="K1063" s="3" t="inlineStr">
        <is>
          <t>Conexion</t>
        </is>
      </c>
      <c r="L1063" s="3" t="inlineStr">
        <is>
          <t>HBT</t>
        </is>
      </c>
    </row>
    <row r="1064">
      <c r="B1064" s="4" t="inlineStr">
        <is>
          <t>1242_0</t>
        </is>
      </c>
      <c r="C1064" s="4" t="inlineStr">
        <is>
          <t>14/09/2026</t>
        </is>
      </c>
      <c r="D1064" s="4" t="inlineStr">
        <is>
          <t>lunes</t>
        </is>
      </c>
      <c r="E1064" s="4" t="inlineStr">
        <is>
          <t>2052</t>
        </is>
      </c>
      <c r="F1064" s="4" t="inlineStr">
        <is>
          <t>LIM</t>
        </is>
      </c>
      <c r="G1064" s="4" t="inlineStr">
        <is>
          <t>TBP</t>
        </is>
      </c>
      <c r="H1064" s="4" t="inlineStr">
        <is>
          <t>10:20:00</t>
        </is>
      </c>
      <c r="I1064" s="4" t="inlineStr">
        <is>
          <t>12:15:00</t>
        </is>
      </c>
      <c r="J1064" s="4" t="inlineStr">
        <is>
          <t>319</t>
        </is>
      </c>
      <c r="L1064" s="4" t="inlineStr">
        <is>
          <t>01:55:00</t>
        </is>
      </c>
      <c r="M1064" s="5" t="n"/>
      <c r="O1064" s="5" t="n"/>
      <c r="Q1064" s="4">
        <f>B1064</f>
        <v/>
      </c>
      <c r="R1064" s="4">
        <f>C1064</f>
        <v/>
      </c>
      <c r="S1064" s="4">
        <f>D1064</f>
        <v/>
      </c>
      <c r="T1064" s="4">
        <f>E1064&amp;"/"&amp;E1065</f>
        <v/>
      </c>
      <c r="U1064" s="4">
        <f>F1064&amp;"-"&amp;G1064&amp;"-"&amp;F1064</f>
        <v/>
      </c>
      <c r="V1064" s="4">
        <f>IF($M$1064="","",$M$1064)</f>
        <v/>
      </c>
      <c r="W1064" s="4">
        <f>IF($O$1064="","",$O$1064)</f>
        <v/>
      </c>
      <c r="X1064" s="4">
        <f>J1064</f>
        <v/>
      </c>
    </row>
    <row r="1065">
      <c r="B1065" s="4" t="inlineStr">
        <is>
          <t>1242_0</t>
        </is>
      </c>
      <c r="C1065" s="4" t="inlineStr">
        <is>
          <t>14/09/2026</t>
        </is>
      </c>
      <c r="D1065" s="4" t="inlineStr">
        <is>
          <t>lunes</t>
        </is>
      </c>
      <c r="E1065" s="4" t="inlineStr">
        <is>
          <t>2051</t>
        </is>
      </c>
      <c r="F1065" s="4" t="inlineStr">
        <is>
          <t>TBP</t>
        </is>
      </c>
      <c r="G1065" s="4" t="inlineStr">
        <is>
          <t>LIM</t>
        </is>
      </c>
      <c r="H1065" s="4" t="inlineStr">
        <is>
          <t>12:55:00</t>
        </is>
      </c>
      <c r="I1065" s="4" t="inlineStr">
        <is>
          <t>14:35:00</t>
        </is>
      </c>
      <c r="J1065" s="4" t="inlineStr">
        <is>
          <t>319</t>
        </is>
      </c>
      <c r="K1065">
        <f>TEXT(TIMEVALUE(H1065)-TIMEVALUE(I1064)+(TIMEVALUE(H1065)&lt;TIMEVALUE(I1064)),"[h]:mm")</f>
        <v/>
      </c>
      <c r="L1065" s="4" t="inlineStr">
        <is>
          <t>01:40:00</t>
        </is>
      </c>
      <c r="O1065">
        <f>"LIM-"&amp;G1064&amp;"-LIM   LA "&amp;E1064&amp;" ("&amp;LEFT(H1064,5)&amp;"-"&amp;LEFT(I1064,5)&amp;" hrs)  /  LA "&amp;E1065&amp;" ("&amp;LEFT(H1065,5)&amp;"-"&amp;LEFT(I1065,5)&amp;" hrs)"</f>
        <v/>
      </c>
    </row>
    <row r="1066">
      <c r="B1066" s="4" t="inlineStr">
        <is>
          <t>1269_0</t>
        </is>
      </c>
      <c r="C1066" s="4" t="inlineStr">
        <is>
          <t>14/09/2026</t>
        </is>
      </c>
      <c r="D1066" s="4" t="inlineStr">
        <is>
          <t>lunes</t>
        </is>
      </c>
      <c r="E1066" s="4" t="inlineStr">
        <is>
          <t>2312</t>
        </is>
      </c>
      <c r="F1066" s="4" t="inlineStr">
        <is>
          <t>LIM</t>
        </is>
      </c>
      <c r="G1066" s="4" t="inlineStr">
        <is>
          <t>CIX</t>
        </is>
      </c>
      <c r="H1066" s="4" t="inlineStr">
        <is>
          <t>15:35:00</t>
        </is>
      </c>
      <c r="I1066" s="4" t="inlineStr">
        <is>
          <t>17:05:00</t>
        </is>
      </c>
      <c r="J1066" s="4" t="inlineStr">
        <is>
          <t>320</t>
        </is>
      </c>
      <c r="K1066" s="6">
        <f>TEXT(TIMEVALUE(H1066)-TIMEVALUE(I1065)+(TIMEVALUE(H1066)&lt;TIMEVALUE(I1065)),"[h]:mm")</f>
        <v/>
      </c>
      <c r="L1066" s="4" t="inlineStr">
        <is>
          <t>01:30:00</t>
        </is>
      </c>
      <c r="M1066">
        <f>IF($M$1064="","",$M$1064)</f>
        <v/>
      </c>
      <c r="O1066">
        <f>IF($O$1064="","",$O$1064)</f>
        <v/>
      </c>
      <c r="Q1066" s="4">
        <f>B1066</f>
        <v/>
      </c>
      <c r="R1066" s="4">
        <f>C1066</f>
        <v/>
      </c>
      <c r="S1066" s="4">
        <f>D1066</f>
        <v/>
      </c>
      <c r="T1066" s="4">
        <f>E1066&amp;"/"&amp;E1067</f>
        <v/>
      </c>
      <c r="U1066" s="4">
        <f>F1066&amp;"-"&amp;G1066&amp;"-"&amp;F1066</f>
        <v/>
      </c>
      <c r="V1066" s="4">
        <f>IF($M$1064="","",$M$1064)</f>
        <v/>
      </c>
      <c r="W1066" s="4">
        <f>IF($O$1064="","",$O$1064)</f>
        <v/>
      </c>
      <c r="X1066" s="4">
        <f>J1066</f>
        <v/>
      </c>
    </row>
    <row r="1067">
      <c r="B1067" s="4" t="inlineStr">
        <is>
          <t>1269_0</t>
        </is>
      </c>
      <c r="C1067" s="4" t="inlineStr">
        <is>
          <t>14/09/2026</t>
        </is>
      </c>
      <c r="D1067" s="4" t="inlineStr">
        <is>
          <t>lunes</t>
        </is>
      </c>
      <c r="E1067" s="4" t="inlineStr">
        <is>
          <t>2313</t>
        </is>
      </c>
      <c r="F1067" s="4" t="inlineStr">
        <is>
          <t>CIX</t>
        </is>
      </c>
      <c r="G1067" s="4" t="inlineStr">
        <is>
          <t>LIM</t>
        </is>
      </c>
      <c r="H1067" s="4" t="inlineStr">
        <is>
          <t>17:50:00</t>
        </is>
      </c>
      <c r="I1067" s="4" t="inlineStr">
        <is>
          <t>19:10:00</t>
        </is>
      </c>
      <c r="J1067" s="4" t="inlineStr">
        <is>
          <t>320</t>
        </is>
      </c>
      <c r="K1067">
        <f>TEXT(TIMEVALUE(H1067)-TIMEVALUE(I1066)+(TIMEVALUE(H1067)&lt;TIMEVALUE(I1066)),"[h]:mm")</f>
        <v/>
      </c>
      <c r="L1067" s="4" t="inlineStr">
        <is>
          <t>01:20:00</t>
        </is>
      </c>
      <c r="O1067">
        <f>"LIM-"&amp;G1066&amp;"-LIM   LA "&amp;E1066&amp;" ("&amp;LEFT(H1066,5)&amp;"-"&amp;LEFT(I1066,5)&amp;" hrs)  /  LA "&amp;E1067&amp;" ("&amp;LEFT(H1067,5)&amp;"-"&amp;LEFT(I1067,5)&amp;" hrs)"</f>
        <v/>
      </c>
    </row>
    <row r="1068">
      <c r="J1068" s="7" t="inlineStr">
        <is>
          <t>PSV total:</t>
        </is>
      </c>
      <c r="K1068" s="8">
        <f>TEXT(TIMEVALUE(I1067)-TIMEVALUE(H1064)+(I1067&lt;H1064),"[h]:mm")</f>
        <v/>
      </c>
    </row>
    <row r="1070">
      <c r="B1070" s="3" t="inlineStr">
        <is>
          <t>Pairing ID</t>
        </is>
      </c>
      <c r="C1070" s="3" t="inlineStr">
        <is>
          <t>FECHA REAL</t>
        </is>
      </c>
      <c r="D1070" s="3" t="inlineStr">
        <is>
          <t>Day of Week</t>
        </is>
      </c>
      <c r="E1070" s="3" t="inlineStr">
        <is>
          <t>Flight No</t>
        </is>
      </c>
      <c r="F1070" s="3" t="inlineStr">
        <is>
          <t>Dep Stn</t>
        </is>
      </c>
      <c r="G1070" s="3" t="inlineStr">
        <is>
          <t>Arr Stn</t>
        </is>
      </c>
      <c r="H1070" s="3" t="inlineStr">
        <is>
          <t>STD</t>
        </is>
      </c>
      <c r="I1070" s="3" t="inlineStr">
        <is>
          <t>STA</t>
        </is>
      </c>
      <c r="J1070" s="3" t="inlineStr">
        <is>
          <t>subflota</t>
        </is>
      </c>
      <c r="K1070" s="3" t="inlineStr">
        <is>
          <t>Conexion</t>
        </is>
      </c>
      <c r="L1070" s="3" t="inlineStr">
        <is>
          <t>HBT</t>
        </is>
      </c>
    </row>
    <row r="1071">
      <c r="B1071" s="4" t="inlineStr">
        <is>
          <t>1246_0</t>
        </is>
      </c>
      <c r="C1071" s="4" t="inlineStr">
        <is>
          <t>14/09/2026</t>
        </is>
      </c>
      <c r="D1071" s="4" t="inlineStr">
        <is>
          <t>lunes</t>
        </is>
      </c>
      <c r="E1071" s="4" t="inlineStr">
        <is>
          <t>2316</t>
        </is>
      </c>
      <c r="F1071" s="4" t="inlineStr">
        <is>
          <t>LIM</t>
        </is>
      </c>
      <c r="G1071" s="4" t="inlineStr">
        <is>
          <t>PIU</t>
        </is>
      </c>
      <c r="H1071" s="4" t="inlineStr">
        <is>
          <t>11:40:00</t>
        </is>
      </c>
      <c r="I1071" s="4" t="inlineStr">
        <is>
          <t>13:25:00</t>
        </is>
      </c>
      <c r="J1071" s="4" t="inlineStr">
        <is>
          <t>320</t>
        </is>
      </c>
      <c r="L1071" s="4" t="inlineStr">
        <is>
          <t>01:45:00</t>
        </is>
      </c>
      <c r="M1071" s="5" t="n"/>
      <c r="O1071" s="5" t="n"/>
      <c r="Q1071" s="4">
        <f>B1071</f>
        <v/>
      </c>
      <c r="R1071" s="4">
        <f>C1071</f>
        <v/>
      </c>
      <c r="S1071" s="4">
        <f>D1071</f>
        <v/>
      </c>
      <c r="T1071" s="4">
        <f>E1071&amp;"/"&amp;E1072</f>
        <v/>
      </c>
      <c r="U1071" s="4">
        <f>F1071&amp;"-"&amp;G1071&amp;"-"&amp;F1071</f>
        <v/>
      </c>
      <c r="V1071" s="4">
        <f>IF($M$1071="","",$M$1071)</f>
        <v/>
      </c>
      <c r="W1071" s="4">
        <f>IF($O$1071="","",$O$1071)</f>
        <v/>
      </c>
      <c r="X1071" s="4">
        <f>J1071</f>
        <v/>
      </c>
    </row>
    <row r="1072">
      <c r="B1072" s="4" t="inlineStr">
        <is>
          <t>1246_0</t>
        </is>
      </c>
      <c r="C1072" s="4" t="inlineStr">
        <is>
          <t>14/09/2026</t>
        </is>
      </c>
      <c r="D1072" s="4" t="inlineStr">
        <is>
          <t>lunes</t>
        </is>
      </c>
      <c r="E1072" s="4" t="inlineStr">
        <is>
          <t>2317</t>
        </is>
      </c>
      <c r="F1072" s="4" t="inlineStr">
        <is>
          <t>PIU</t>
        </is>
      </c>
      <c r="G1072" s="4" t="inlineStr">
        <is>
          <t>LIM</t>
        </is>
      </c>
      <c r="H1072" s="4" t="inlineStr">
        <is>
          <t>14:05:00</t>
        </is>
      </c>
      <c r="I1072" s="4" t="inlineStr">
        <is>
          <t>15:40:00</t>
        </is>
      </c>
      <c r="J1072" s="4" t="inlineStr">
        <is>
          <t>320</t>
        </is>
      </c>
      <c r="K1072">
        <f>TEXT(TIMEVALUE(H1072)-TIMEVALUE(I1071)+(TIMEVALUE(H1072)&lt;TIMEVALUE(I1071)),"[h]:mm")</f>
        <v/>
      </c>
      <c r="L1072" s="4" t="inlineStr">
        <is>
          <t>01:35:00</t>
        </is>
      </c>
      <c r="O1072">
        <f>"LIM-"&amp;G1071&amp;"-LIM   LA "&amp;E1071&amp;" ("&amp;LEFT(H1071,5)&amp;"-"&amp;LEFT(I1071,5)&amp;" hrs)  /  LA "&amp;E1072&amp;" ("&amp;LEFT(H1072,5)&amp;"-"&amp;LEFT(I1072,5)&amp;" hrs)"</f>
        <v/>
      </c>
    </row>
    <row r="1073">
      <c r="B1073" s="4" t="inlineStr">
        <is>
          <t>1274_0</t>
        </is>
      </c>
      <c r="C1073" s="4" t="inlineStr">
        <is>
          <t>14/09/2026</t>
        </is>
      </c>
      <c r="D1073" s="4" t="inlineStr">
        <is>
          <t>lunes</t>
        </is>
      </c>
      <c r="E1073" s="4" t="inlineStr">
        <is>
          <t>2304</t>
        </is>
      </c>
      <c r="F1073" s="4" t="inlineStr">
        <is>
          <t>LIM</t>
        </is>
      </c>
      <c r="G1073" s="4" t="inlineStr">
        <is>
          <t>PIU</t>
        </is>
      </c>
      <c r="H1073" s="4" t="inlineStr">
        <is>
          <t>16:55:00</t>
        </is>
      </c>
      <c r="I1073" s="4" t="inlineStr">
        <is>
          <t>18:35:00</t>
        </is>
      </c>
      <c r="J1073" s="4" t="inlineStr">
        <is>
          <t>320</t>
        </is>
      </c>
      <c r="K1073" s="6">
        <f>TEXT(TIMEVALUE(H1073)-TIMEVALUE(I1072)+(TIMEVALUE(H1073)&lt;TIMEVALUE(I1072)),"[h]:mm")</f>
        <v/>
      </c>
      <c r="L1073" s="4" t="inlineStr">
        <is>
          <t>01:40:00</t>
        </is>
      </c>
      <c r="M1073">
        <f>IF($M$1071="","",$M$1071)</f>
        <v/>
      </c>
      <c r="O1073">
        <f>IF($O$1071="","",$O$1071)</f>
        <v/>
      </c>
      <c r="Q1073" s="4">
        <f>B1073</f>
        <v/>
      </c>
      <c r="R1073" s="4">
        <f>C1073</f>
        <v/>
      </c>
      <c r="S1073" s="4">
        <f>D1073</f>
        <v/>
      </c>
      <c r="T1073" s="4">
        <f>E1073&amp;"/"&amp;E1074</f>
        <v/>
      </c>
      <c r="U1073" s="4">
        <f>F1073&amp;"-"&amp;G1073&amp;"-"&amp;F1073</f>
        <v/>
      </c>
      <c r="V1073" s="4">
        <f>IF($M$1071="","",$M$1071)</f>
        <v/>
      </c>
      <c r="W1073" s="4">
        <f>IF($O$1071="","",$O$1071)</f>
        <v/>
      </c>
      <c r="X1073" s="4">
        <f>J1073</f>
        <v/>
      </c>
    </row>
    <row r="1074">
      <c r="B1074" s="4" t="inlineStr">
        <is>
          <t>1274_0</t>
        </is>
      </c>
      <c r="C1074" s="4" t="inlineStr">
        <is>
          <t>14/09/2026</t>
        </is>
      </c>
      <c r="D1074" s="4" t="inlineStr">
        <is>
          <t>lunes</t>
        </is>
      </c>
      <c r="E1074" s="4" t="inlineStr">
        <is>
          <t>2305</t>
        </is>
      </c>
      <c r="F1074" s="4" t="inlineStr">
        <is>
          <t>PIU</t>
        </is>
      </c>
      <c r="G1074" s="4" t="inlineStr">
        <is>
          <t>LIM</t>
        </is>
      </c>
      <c r="H1074" s="4" t="inlineStr">
        <is>
          <t>19:10:00</t>
        </is>
      </c>
      <c r="I1074" s="4" t="inlineStr">
        <is>
          <t>20:40:00</t>
        </is>
      </c>
      <c r="J1074" s="4" t="inlineStr">
        <is>
          <t>320</t>
        </is>
      </c>
      <c r="K1074">
        <f>TEXT(TIMEVALUE(H1074)-TIMEVALUE(I1073)+(TIMEVALUE(H1074)&lt;TIMEVALUE(I1073)),"[h]:mm")</f>
        <v/>
      </c>
      <c r="L1074" s="4" t="inlineStr">
        <is>
          <t>01:30:00</t>
        </is>
      </c>
      <c r="O1074">
        <f>"LIM-"&amp;G1073&amp;"-LIM   LA "&amp;E1073&amp;" ("&amp;LEFT(H1073,5)&amp;"-"&amp;LEFT(I1073,5)&amp;" hrs)  /  LA "&amp;E1074&amp;" ("&amp;LEFT(H1074,5)&amp;"-"&amp;LEFT(I1074,5)&amp;" hrs)"</f>
        <v/>
      </c>
    </row>
    <row r="1075">
      <c r="J1075" s="7" t="inlineStr">
        <is>
          <t>PSV total:</t>
        </is>
      </c>
      <c r="K1075" s="8">
        <f>TEXT(TIMEVALUE(I1074)-TIMEVALUE(H1071)+(I1074&lt;H1071),"[h]:mm")</f>
        <v/>
      </c>
    </row>
    <row r="1077">
      <c r="B1077" s="3" t="inlineStr">
        <is>
          <t>Pairing ID</t>
        </is>
      </c>
      <c r="C1077" s="3" t="inlineStr">
        <is>
          <t>FECHA REAL</t>
        </is>
      </c>
      <c r="D1077" s="3" t="inlineStr">
        <is>
          <t>Day of Week</t>
        </is>
      </c>
      <c r="E1077" s="3" t="inlineStr">
        <is>
          <t>Flight No</t>
        </is>
      </c>
      <c r="F1077" s="3" t="inlineStr">
        <is>
          <t>Dep Stn</t>
        </is>
      </c>
      <c r="G1077" s="3" t="inlineStr">
        <is>
          <t>Arr Stn</t>
        </is>
      </c>
      <c r="H1077" s="3" t="inlineStr">
        <is>
          <t>STD</t>
        </is>
      </c>
      <c r="I1077" s="3" t="inlineStr">
        <is>
          <t>STA</t>
        </is>
      </c>
      <c r="J1077" s="3" t="inlineStr">
        <is>
          <t>subflota</t>
        </is>
      </c>
      <c r="K1077" s="3" t="inlineStr">
        <is>
          <t>Conexion</t>
        </is>
      </c>
      <c r="L1077" s="3" t="inlineStr">
        <is>
          <t>HBT</t>
        </is>
      </c>
    </row>
    <row r="1078">
      <c r="B1078" s="4" t="inlineStr">
        <is>
          <t>1249_0</t>
        </is>
      </c>
      <c r="C1078" s="4" t="inlineStr">
        <is>
          <t>14/09/2026</t>
        </is>
      </c>
      <c r="D1078" s="4" t="inlineStr">
        <is>
          <t>lunes</t>
        </is>
      </c>
      <c r="E1078" s="4" t="inlineStr">
        <is>
          <t>2023</t>
        </is>
      </c>
      <c r="F1078" s="4" t="inlineStr">
        <is>
          <t>LIM</t>
        </is>
      </c>
      <c r="G1078" s="4" t="inlineStr">
        <is>
          <t>PEM</t>
        </is>
      </c>
      <c r="H1078" s="4" t="inlineStr">
        <is>
          <t>12:15:00</t>
        </is>
      </c>
      <c r="I1078" s="4" t="inlineStr">
        <is>
          <t>13:55:00</t>
        </is>
      </c>
      <c r="J1078" s="4" t="inlineStr">
        <is>
          <t>319</t>
        </is>
      </c>
      <c r="L1078" s="4" t="inlineStr">
        <is>
          <t>01:40:00</t>
        </is>
      </c>
      <c r="M1078" s="5" t="n"/>
      <c r="O1078" s="5" t="n"/>
      <c r="Q1078" s="4">
        <f>B1078</f>
        <v/>
      </c>
      <c r="R1078" s="4">
        <f>C1078</f>
        <v/>
      </c>
      <c r="S1078" s="4">
        <f>D1078</f>
        <v/>
      </c>
      <c r="T1078" s="4">
        <f>E1078&amp;"/"&amp;E1079</f>
        <v/>
      </c>
      <c r="U1078" s="4">
        <f>F1078&amp;"-"&amp;G1078&amp;"-"&amp;F1078</f>
        <v/>
      </c>
      <c r="V1078" s="4">
        <f>IF($M$1078="","",$M$1078)</f>
        <v/>
      </c>
      <c r="W1078" s="4">
        <f>IF($O$1078="","",$O$1078)</f>
        <v/>
      </c>
      <c r="X1078" s="4">
        <f>J1078</f>
        <v/>
      </c>
    </row>
    <row r="1079">
      <c r="B1079" s="4" t="inlineStr">
        <is>
          <t>1249_0</t>
        </is>
      </c>
      <c r="C1079" s="4" t="inlineStr">
        <is>
          <t>14/09/2026</t>
        </is>
      </c>
      <c r="D1079" s="4" t="inlineStr">
        <is>
          <t>lunes</t>
        </is>
      </c>
      <c r="E1079" s="4" t="inlineStr">
        <is>
          <t>2024</t>
        </is>
      </c>
      <c r="F1079" s="4" t="inlineStr">
        <is>
          <t>PEM</t>
        </is>
      </c>
      <c r="G1079" s="4" t="inlineStr">
        <is>
          <t>LIM</t>
        </is>
      </c>
      <c r="H1079" s="4" t="inlineStr">
        <is>
          <t>14:35:00</t>
        </is>
      </c>
      <c r="I1079" s="4" t="inlineStr">
        <is>
          <t>16:10:00</t>
        </is>
      </c>
      <c r="J1079" s="4" t="inlineStr">
        <is>
          <t>319</t>
        </is>
      </c>
      <c r="K1079">
        <f>TEXT(TIMEVALUE(H1079)-TIMEVALUE(I1078)+(TIMEVALUE(H1079)&lt;TIMEVALUE(I1078)),"[h]:mm")</f>
        <v/>
      </c>
      <c r="L1079" s="4" t="inlineStr">
        <is>
          <t>01:35:00</t>
        </is>
      </c>
      <c r="O1079">
        <f>"LIM-"&amp;G1078&amp;"-LIM   LA "&amp;E1078&amp;" ("&amp;LEFT(H1078,5)&amp;"-"&amp;LEFT(I1078,5)&amp;" hrs)  /  LA "&amp;E1079&amp;" ("&amp;LEFT(H1079,5)&amp;"-"&amp;LEFT(I1079,5)&amp;" hrs)"</f>
        <v/>
      </c>
    </row>
    <row r="1080">
      <c r="J1080" s="7" t="inlineStr">
        <is>
          <t>PSV total:</t>
        </is>
      </c>
      <c r="K1080" s="8">
        <f>TEXT(TIMEVALUE(I1079)-TIMEVALUE(H1078)+(I1079&lt;H1078),"[h]:mm")</f>
        <v/>
      </c>
    </row>
    <row r="1082">
      <c r="B1082" s="3" t="inlineStr">
        <is>
          <t>Pairing ID</t>
        </is>
      </c>
      <c r="C1082" s="3" t="inlineStr">
        <is>
          <t>FECHA REAL</t>
        </is>
      </c>
      <c r="D1082" s="3" t="inlineStr">
        <is>
          <t>Day of Week</t>
        </is>
      </c>
      <c r="E1082" s="3" t="inlineStr">
        <is>
          <t>Flight No</t>
        </is>
      </c>
      <c r="F1082" s="3" t="inlineStr">
        <is>
          <t>Dep Stn</t>
        </is>
      </c>
      <c r="G1082" s="3" t="inlineStr">
        <is>
          <t>Arr Stn</t>
        </is>
      </c>
      <c r="H1082" s="3" t="inlineStr">
        <is>
          <t>STD</t>
        </is>
      </c>
      <c r="I1082" s="3" t="inlineStr">
        <is>
          <t>STA</t>
        </is>
      </c>
      <c r="J1082" s="3" t="inlineStr">
        <is>
          <t>subflota</t>
        </is>
      </c>
      <c r="K1082" s="3" t="inlineStr">
        <is>
          <t>Conexion</t>
        </is>
      </c>
      <c r="L1082" s="3" t="inlineStr">
        <is>
          <t>HBT</t>
        </is>
      </c>
    </row>
    <row r="1083">
      <c r="B1083" s="4" t="inlineStr">
        <is>
          <t>1252_0</t>
        </is>
      </c>
      <c r="C1083" s="4" t="inlineStr">
        <is>
          <t>14/09/2026</t>
        </is>
      </c>
      <c r="D1083" s="4" t="inlineStr">
        <is>
          <t>lunes</t>
        </is>
      </c>
      <c r="E1083" s="4" t="inlineStr">
        <is>
          <t>2308</t>
        </is>
      </c>
      <c r="F1083" s="4" t="inlineStr">
        <is>
          <t>LIM</t>
        </is>
      </c>
      <c r="G1083" s="4" t="inlineStr">
        <is>
          <t>PIU</t>
        </is>
      </c>
      <c r="H1083" s="4" t="inlineStr">
        <is>
          <t>12:50:00</t>
        </is>
      </c>
      <c r="I1083" s="4" t="inlineStr">
        <is>
          <t>14:35:00</t>
        </is>
      </c>
      <c r="J1083" s="4" t="inlineStr">
        <is>
          <t>320</t>
        </is>
      </c>
      <c r="L1083" s="4" t="inlineStr">
        <is>
          <t>01:45:00</t>
        </is>
      </c>
      <c r="M1083" s="5" t="n"/>
      <c r="O1083" s="5" t="n"/>
      <c r="Q1083" s="4">
        <f>B1083</f>
        <v/>
      </c>
      <c r="R1083" s="4">
        <f>C1083</f>
        <v/>
      </c>
      <c r="S1083" s="4">
        <f>D1083</f>
        <v/>
      </c>
      <c r="T1083" s="4">
        <f>E1083&amp;"/"&amp;E1084</f>
        <v/>
      </c>
      <c r="U1083" s="4">
        <f>F1083&amp;"-"&amp;G1083&amp;"-"&amp;F1083</f>
        <v/>
      </c>
      <c r="V1083" s="4">
        <f>IF($M$1083="","",$M$1083)</f>
        <v/>
      </c>
      <c r="W1083" s="4">
        <f>IF($O$1083="","",$O$1083)</f>
        <v/>
      </c>
      <c r="X1083" s="4">
        <f>J1083</f>
        <v/>
      </c>
    </row>
    <row r="1084">
      <c r="B1084" s="4" t="inlineStr">
        <is>
          <t>1252_0</t>
        </is>
      </c>
      <c r="C1084" s="4" t="inlineStr">
        <is>
          <t>14/09/2026</t>
        </is>
      </c>
      <c r="D1084" s="4" t="inlineStr">
        <is>
          <t>lunes</t>
        </is>
      </c>
      <c r="E1084" s="4" t="inlineStr">
        <is>
          <t>2309</t>
        </is>
      </c>
      <c r="F1084" s="4" t="inlineStr">
        <is>
          <t>PIU</t>
        </is>
      </c>
      <c r="G1084" s="4" t="inlineStr">
        <is>
          <t>LIM</t>
        </is>
      </c>
      <c r="H1084" s="4" t="inlineStr">
        <is>
          <t>15:25:00</t>
        </is>
      </c>
      <c r="I1084" s="4" t="inlineStr">
        <is>
          <t>16:55:00</t>
        </is>
      </c>
      <c r="J1084" s="4" t="inlineStr">
        <is>
          <t>320</t>
        </is>
      </c>
      <c r="K1084">
        <f>TEXT(TIMEVALUE(H1084)-TIMEVALUE(I1083)+(TIMEVALUE(H1084)&lt;TIMEVALUE(I1083)),"[h]:mm")</f>
        <v/>
      </c>
      <c r="L1084" s="4" t="inlineStr">
        <is>
          <t>01:30:00</t>
        </is>
      </c>
      <c r="O1084">
        <f>"LIM-"&amp;G1083&amp;"-LIM   LA "&amp;E1083&amp;" ("&amp;LEFT(H1083,5)&amp;"-"&amp;LEFT(I1083,5)&amp;" hrs)  /  LA "&amp;E1084&amp;" ("&amp;LEFT(H1084,5)&amp;"-"&amp;LEFT(I1084,5)&amp;" hrs)"</f>
        <v/>
      </c>
    </row>
    <row r="1085">
      <c r="B1085" s="4" t="inlineStr">
        <is>
          <t>1276_0</t>
        </is>
      </c>
      <c r="C1085" s="4" t="inlineStr">
        <is>
          <t>14/09/2026</t>
        </is>
      </c>
      <c r="D1085" s="4" t="inlineStr">
        <is>
          <t>lunes</t>
        </is>
      </c>
      <c r="E1085" s="4" t="inlineStr">
        <is>
          <t>2223</t>
        </is>
      </c>
      <c r="F1085" s="4" t="inlineStr">
        <is>
          <t>LIM</t>
        </is>
      </c>
      <c r="G1085" s="4" t="inlineStr">
        <is>
          <t>CUZ</t>
        </is>
      </c>
      <c r="H1085" s="4" t="inlineStr">
        <is>
          <t>18:15:00</t>
        </is>
      </c>
      <c r="I1085" s="4" t="inlineStr">
        <is>
          <t>19:40:00</t>
        </is>
      </c>
      <c r="J1085" s="4" t="inlineStr">
        <is>
          <t>320</t>
        </is>
      </c>
      <c r="K1085" s="6">
        <f>TEXT(TIMEVALUE(H1085)-TIMEVALUE(I1084)+(TIMEVALUE(H1085)&lt;TIMEVALUE(I1084)),"[h]:mm")</f>
        <v/>
      </c>
      <c r="L1085" s="4" t="inlineStr">
        <is>
          <t>01:25:00</t>
        </is>
      </c>
      <c r="M1085">
        <f>IF($M$1083="","",$M$1083)</f>
        <v/>
      </c>
      <c r="O1085">
        <f>IF($O$1083="","",$O$1083)</f>
        <v/>
      </c>
      <c r="Q1085" s="4">
        <f>B1085</f>
        <v/>
      </c>
      <c r="R1085" s="4">
        <f>C1085</f>
        <v/>
      </c>
      <c r="S1085" s="4">
        <f>D1085</f>
        <v/>
      </c>
      <c r="T1085" s="4">
        <f>E1085&amp;"/"&amp;E1086</f>
        <v/>
      </c>
      <c r="U1085" s="4">
        <f>F1085&amp;"-"&amp;G1085&amp;"-"&amp;F1085</f>
        <v/>
      </c>
      <c r="V1085" s="4">
        <f>IF($M$1083="","",$M$1083)</f>
        <v/>
      </c>
      <c r="W1085" s="4">
        <f>IF($O$1083="","",$O$1083)</f>
        <v/>
      </c>
      <c r="X1085" s="4">
        <f>J1085</f>
        <v/>
      </c>
    </row>
    <row r="1086">
      <c r="B1086" s="4" t="inlineStr">
        <is>
          <t>1276_0</t>
        </is>
      </c>
      <c r="C1086" s="4" t="inlineStr">
        <is>
          <t>14/09/2026</t>
        </is>
      </c>
      <c r="D1086" s="4" t="inlineStr">
        <is>
          <t>lunes</t>
        </is>
      </c>
      <c r="E1086" s="4" t="inlineStr">
        <is>
          <t>2224</t>
        </is>
      </c>
      <c r="F1086" s="4" t="inlineStr">
        <is>
          <t>CUZ</t>
        </is>
      </c>
      <c r="G1086" s="4" t="inlineStr">
        <is>
          <t>LIM</t>
        </is>
      </c>
      <c r="H1086" s="4" t="inlineStr">
        <is>
          <t>21:20:00</t>
        </is>
      </c>
      <c r="I1086" s="4" t="inlineStr">
        <is>
          <t>22:55:00</t>
        </is>
      </c>
      <c r="J1086" s="4" t="inlineStr">
        <is>
          <t>320</t>
        </is>
      </c>
      <c r="K1086">
        <f>TEXT(TIMEVALUE(H1086)-TIMEVALUE(I1085)+(TIMEVALUE(H1086)&lt;TIMEVALUE(I1085)),"[h]:mm")</f>
        <v/>
      </c>
      <c r="L1086" s="4" t="inlineStr">
        <is>
          <t>01:35:00</t>
        </is>
      </c>
      <c r="O1086">
        <f>"LIM-"&amp;G1085&amp;"-LIM   LA "&amp;E1085&amp;" ("&amp;LEFT(H1085,5)&amp;"-"&amp;LEFT(I1085,5)&amp;" hrs)  /  LA "&amp;E1086&amp;" ("&amp;LEFT(H1086,5)&amp;"-"&amp;LEFT(I1086,5)&amp;" hrs)"</f>
        <v/>
      </c>
    </row>
    <row r="1087">
      <c r="J1087" s="7" t="inlineStr">
        <is>
          <t>PSV total:</t>
        </is>
      </c>
      <c r="K1087" s="8">
        <f>TEXT(TIMEVALUE(I1086)-TIMEVALUE(H1083)+(I1086&lt;H1083),"[h]:mm")</f>
        <v/>
      </c>
    </row>
    <row r="1089">
      <c r="B1089" s="3" t="inlineStr">
        <is>
          <t>Pairing ID</t>
        </is>
      </c>
      <c r="C1089" s="3" t="inlineStr">
        <is>
          <t>FECHA REAL</t>
        </is>
      </c>
      <c r="D1089" s="3" t="inlineStr">
        <is>
          <t>Day of Week</t>
        </is>
      </c>
      <c r="E1089" s="3" t="inlineStr">
        <is>
          <t>Flight No</t>
        </is>
      </c>
      <c r="F1089" s="3" t="inlineStr">
        <is>
          <t>Dep Stn</t>
        </is>
      </c>
      <c r="G1089" s="3" t="inlineStr">
        <is>
          <t>Arr Stn</t>
        </is>
      </c>
      <c r="H1089" s="3" t="inlineStr">
        <is>
          <t>STD</t>
        </is>
      </c>
      <c r="I1089" s="3" t="inlineStr">
        <is>
          <t>STA</t>
        </is>
      </c>
      <c r="J1089" s="3" t="inlineStr">
        <is>
          <t>subflota</t>
        </is>
      </c>
      <c r="K1089" s="3" t="inlineStr">
        <is>
          <t>Conexion</t>
        </is>
      </c>
      <c r="L1089" s="3" t="inlineStr">
        <is>
          <t>HBT</t>
        </is>
      </c>
    </row>
    <row r="1090">
      <c r="B1090" s="4" t="inlineStr">
        <is>
          <t>1254_0</t>
        </is>
      </c>
      <c r="C1090" s="4" t="inlineStr">
        <is>
          <t>14/09/2026</t>
        </is>
      </c>
      <c r="D1090" s="4" t="inlineStr">
        <is>
          <t>lunes</t>
        </is>
      </c>
      <c r="E1090" s="4" t="inlineStr">
        <is>
          <t>2270</t>
        </is>
      </c>
      <c r="F1090" s="4" t="inlineStr">
        <is>
          <t>LIM</t>
        </is>
      </c>
      <c r="G1090" s="4" t="inlineStr">
        <is>
          <t>CIX</t>
        </is>
      </c>
      <c r="H1090" s="4" t="inlineStr">
        <is>
          <t>13:00:00</t>
        </is>
      </c>
      <c r="I1090" s="4" t="inlineStr">
        <is>
          <t>14:30:00</t>
        </is>
      </c>
      <c r="J1090" s="4" t="inlineStr">
        <is>
          <t>320</t>
        </is>
      </c>
      <c r="L1090" s="4" t="inlineStr">
        <is>
          <t>01:30:00</t>
        </is>
      </c>
      <c r="M1090" s="5" t="n"/>
      <c r="O1090" s="5" t="n"/>
      <c r="Q1090" s="4">
        <f>B1090</f>
        <v/>
      </c>
      <c r="R1090" s="4">
        <f>C1090</f>
        <v/>
      </c>
      <c r="S1090" s="4">
        <f>D1090</f>
        <v/>
      </c>
      <c r="T1090" s="4">
        <f>E1090&amp;"/"&amp;E1091</f>
        <v/>
      </c>
      <c r="U1090" s="4">
        <f>F1090&amp;"-"&amp;G1090&amp;"-"&amp;F1090</f>
        <v/>
      </c>
      <c r="V1090" s="4">
        <f>IF($M$1090="","",$M$1090)</f>
        <v/>
      </c>
      <c r="W1090" s="4">
        <f>IF($O$1090="","",$O$1090)</f>
        <v/>
      </c>
      <c r="X1090" s="4">
        <f>J1090</f>
        <v/>
      </c>
    </row>
    <row r="1091">
      <c r="B1091" s="4" t="inlineStr">
        <is>
          <t>1254_0</t>
        </is>
      </c>
      <c r="C1091" s="4" t="inlineStr">
        <is>
          <t>14/09/2026</t>
        </is>
      </c>
      <c r="D1091" s="4" t="inlineStr">
        <is>
          <t>lunes</t>
        </is>
      </c>
      <c r="E1091" s="4" t="inlineStr">
        <is>
          <t>2271</t>
        </is>
      </c>
      <c r="F1091" s="4" t="inlineStr">
        <is>
          <t>CIX</t>
        </is>
      </c>
      <c r="G1091" s="4" t="inlineStr">
        <is>
          <t>LIM</t>
        </is>
      </c>
      <c r="H1091" s="4" t="inlineStr">
        <is>
          <t>15:05:00</t>
        </is>
      </c>
      <c r="I1091" s="4" t="inlineStr">
        <is>
          <t>16:20:00</t>
        </is>
      </c>
      <c r="J1091" s="4" t="inlineStr">
        <is>
          <t>320</t>
        </is>
      </c>
      <c r="K1091">
        <f>TEXT(TIMEVALUE(H1091)-TIMEVALUE(I1090)+(TIMEVALUE(H1091)&lt;TIMEVALUE(I1090)),"[h]:mm")</f>
        <v/>
      </c>
      <c r="L1091" s="4" t="inlineStr">
        <is>
          <t>01:15:00</t>
        </is>
      </c>
      <c r="O1091">
        <f>"LIM-"&amp;G1090&amp;"-LIM   LA "&amp;E1090&amp;" ("&amp;LEFT(H1090,5)&amp;"-"&amp;LEFT(I1090,5)&amp;" hrs)  /  LA "&amp;E1091&amp;" ("&amp;LEFT(H1091,5)&amp;"-"&amp;LEFT(I1091,5)&amp;" hrs)"</f>
        <v/>
      </c>
    </row>
    <row r="1092">
      <c r="J1092" s="7" t="inlineStr">
        <is>
          <t>PSV total:</t>
        </is>
      </c>
      <c r="K1092" s="8">
        <f>TEXT(TIMEVALUE(I1091)-TIMEVALUE(H1090)+(I1091&lt;H1090),"[h]:mm")</f>
        <v/>
      </c>
    </row>
    <row r="1094">
      <c r="B1094" s="3" t="inlineStr">
        <is>
          <t>Pairing ID</t>
        </is>
      </c>
      <c r="C1094" s="3" t="inlineStr">
        <is>
          <t>FECHA REAL</t>
        </is>
      </c>
      <c r="D1094" s="3" t="inlineStr">
        <is>
          <t>Day of Week</t>
        </is>
      </c>
      <c r="E1094" s="3" t="inlineStr">
        <is>
          <t>Flight No</t>
        </is>
      </c>
      <c r="F1094" s="3" t="inlineStr">
        <is>
          <t>Dep Stn</t>
        </is>
      </c>
      <c r="G1094" s="3" t="inlineStr">
        <is>
          <t>Arr Stn</t>
        </is>
      </c>
      <c r="H1094" s="3" t="inlineStr">
        <is>
          <t>STD</t>
        </is>
      </c>
      <c r="I1094" s="3" t="inlineStr">
        <is>
          <t>STA</t>
        </is>
      </c>
      <c r="J1094" s="3" t="inlineStr">
        <is>
          <t>subflota</t>
        </is>
      </c>
      <c r="K1094" s="3" t="inlineStr">
        <is>
          <t>Conexion</t>
        </is>
      </c>
      <c r="L1094" s="3" t="inlineStr">
        <is>
          <t>HBT</t>
        </is>
      </c>
    </row>
    <row r="1095">
      <c r="B1095" s="4" t="inlineStr">
        <is>
          <t>1261_0</t>
        </is>
      </c>
      <c r="C1095" s="4" t="inlineStr">
        <is>
          <t>14/09/2026</t>
        </is>
      </c>
      <c r="D1095" s="4" t="inlineStr">
        <is>
          <t>lunes</t>
        </is>
      </c>
      <c r="E1095" s="4" t="inlineStr">
        <is>
          <t>2264</t>
        </is>
      </c>
      <c r="F1095" s="4" t="inlineStr">
        <is>
          <t>LIM</t>
        </is>
      </c>
      <c r="G1095" s="4" t="inlineStr">
        <is>
          <t>PEM</t>
        </is>
      </c>
      <c r="H1095" s="4" t="inlineStr">
        <is>
          <t>14:55:00</t>
        </is>
      </c>
      <c r="I1095" s="4" t="inlineStr">
        <is>
          <t>16:40:00</t>
        </is>
      </c>
      <c r="J1095" s="4" t="inlineStr">
        <is>
          <t>320</t>
        </is>
      </c>
      <c r="L1095" s="4" t="inlineStr">
        <is>
          <t>01:45:00</t>
        </is>
      </c>
      <c r="M1095" s="5" t="n"/>
      <c r="O1095" s="5" t="n"/>
      <c r="Q1095" s="4">
        <f>B1095</f>
        <v/>
      </c>
      <c r="R1095" s="4">
        <f>C1095</f>
        <v/>
      </c>
      <c r="S1095" s="4">
        <f>D1095</f>
        <v/>
      </c>
      <c r="T1095" s="4">
        <f>E1095&amp;"/"&amp;E1096</f>
        <v/>
      </c>
      <c r="U1095" s="4">
        <f>F1095&amp;"-"&amp;G1095&amp;"-"&amp;F1095</f>
        <v/>
      </c>
      <c r="V1095" s="4">
        <f>IF($M$1095="","",$M$1095)</f>
        <v/>
      </c>
      <c r="W1095" s="4">
        <f>IF($O$1095="","",$O$1095)</f>
        <v/>
      </c>
      <c r="X1095" s="4">
        <f>J1095</f>
        <v/>
      </c>
    </row>
    <row r="1096">
      <c r="B1096" s="4" t="inlineStr">
        <is>
          <t>1261_0</t>
        </is>
      </c>
      <c r="C1096" s="4" t="inlineStr">
        <is>
          <t>14/09/2026</t>
        </is>
      </c>
      <c r="D1096" s="4" t="inlineStr">
        <is>
          <t>lunes</t>
        </is>
      </c>
      <c r="E1096" s="4" t="inlineStr">
        <is>
          <t>2265</t>
        </is>
      </c>
      <c r="F1096" s="4" t="inlineStr">
        <is>
          <t>PEM</t>
        </is>
      </c>
      <c r="G1096" s="4" t="inlineStr">
        <is>
          <t>LIM</t>
        </is>
      </c>
      <c r="H1096" s="4" t="inlineStr">
        <is>
          <t>17:20:00</t>
        </is>
      </c>
      <c r="I1096" s="4" t="inlineStr">
        <is>
          <t>18:55:00</t>
        </is>
      </c>
      <c r="J1096" s="4" t="inlineStr">
        <is>
          <t>320</t>
        </is>
      </c>
      <c r="K1096">
        <f>TEXT(TIMEVALUE(H1096)-TIMEVALUE(I1095)+(TIMEVALUE(H1096)&lt;TIMEVALUE(I1095)),"[h]:mm")</f>
        <v/>
      </c>
      <c r="L1096" s="4" t="inlineStr">
        <is>
          <t>01:35:00</t>
        </is>
      </c>
      <c r="O1096">
        <f>"LIM-"&amp;G1095&amp;"-LIM   LA "&amp;E1095&amp;" ("&amp;LEFT(H1095,5)&amp;"-"&amp;LEFT(I1095,5)&amp;" hrs)  /  LA "&amp;E1096&amp;" ("&amp;LEFT(H1096,5)&amp;"-"&amp;LEFT(I1096,5)&amp;" hrs)"</f>
        <v/>
      </c>
    </row>
    <row r="1097">
      <c r="J1097" s="7" t="inlineStr">
        <is>
          <t>PSV total:</t>
        </is>
      </c>
      <c r="K1097" s="8">
        <f>TEXT(TIMEVALUE(I1096)-TIMEVALUE(H1095)+(I1096&lt;H1095),"[h]:mm")</f>
        <v/>
      </c>
    </row>
    <row r="1099">
      <c r="B1099" s="3" t="inlineStr">
        <is>
          <t>Pairing ID</t>
        </is>
      </c>
      <c r="C1099" s="3" t="inlineStr">
        <is>
          <t>FECHA REAL</t>
        </is>
      </c>
      <c r="D1099" s="3" t="inlineStr">
        <is>
          <t>Day of Week</t>
        </is>
      </c>
      <c r="E1099" s="3" t="inlineStr">
        <is>
          <t>Flight No</t>
        </is>
      </c>
      <c r="F1099" s="3" t="inlineStr">
        <is>
          <t>Dep Stn</t>
        </is>
      </c>
      <c r="G1099" s="3" t="inlineStr">
        <is>
          <t>Arr Stn</t>
        </is>
      </c>
      <c r="H1099" s="3" t="inlineStr">
        <is>
          <t>STD</t>
        </is>
      </c>
      <c r="I1099" s="3" t="inlineStr">
        <is>
          <t>STA</t>
        </is>
      </c>
      <c r="J1099" s="3" t="inlineStr">
        <is>
          <t>subflota</t>
        </is>
      </c>
      <c r="K1099" s="3" t="inlineStr">
        <is>
          <t>Conexion</t>
        </is>
      </c>
      <c r="L1099" s="3" t="inlineStr">
        <is>
          <t>HBT</t>
        </is>
      </c>
    </row>
    <row r="1100">
      <c r="B1100" s="4" t="inlineStr">
        <is>
          <t>1262_0</t>
        </is>
      </c>
      <c r="C1100" s="4" t="inlineStr">
        <is>
          <t>14/09/2026</t>
        </is>
      </c>
      <c r="D1100" s="4" t="inlineStr">
        <is>
          <t>lunes</t>
        </is>
      </c>
      <c r="E1100" s="4" t="inlineStr">
        <is>
          <t>2338</t>
        </is>
      </c>
      <c r="F1100" s="4" t="inlineStr">
        <is>
          <t>LIM</t>
        </is>
      </c>
      <c r="G1100" s="4" t="inlineStr">
        <is>
          <t>PIU</t>
        </is>
      </c>
      <c r="H1100" s="4" t="inlineStr">
        <is>
          <t>15:00:00</t>
        </is>
      </c>
      <c r="I1100" s="4" t="inlineStr">
        <is>
          <t>16:45:00</t>
        </is>
      </c>
      <c r="J1100" s="4" t="inlineStr">
        <is>
          <t>319</t>
        </is>
      </c>
      <c r="L1100" s="4" t="inlineStr">
        <is>
          <t>01:45:00</t>
        </is>
      </c>
      <c r="M1100" s="5" t="n"/>
      <c r="O1100" s="5" t="n"/>
      <c r="Q1100" s="4">
        <f>B1100</f>
        <v/>
      </c>
      <c r="R1100" s="4">
        <f>C1100</f>
        <v/>
      </c>
      <c r="S1100" s="4">
        <f>D1100</f>
        <v/>
      </c>
      <c r="T1100" s="4">
        <f>E1100&amp;"/"&amp;E1101</f>
        <v/>
      </c>
      <c r="U1100" s="4">
        <f>F1100&amp;"-"&amp;G1100&amp;"-"&amp;F1100</f>
        <v/>
      </c>
      <c r="V1100" s="4">
        <f>IF($M$1100="","",$M$1100)</f>
        <v/>
      </c>
      <c r="W1100" s="4">
        <f>IF($O$1100="","",$O$1100)</f>
        <v/>
      </c>
      <c r="X1100" s="4">
        <f>J1100</f>
        <v/>
      </c>
    </row>
    <row r="1101">
      <c r="B1101" s="4" t="inlineStr">
        <is>
          <t>1262_0</t>
        </is>
      </c>
      <c r="C1101" s="4" t="inlineStr">
        <is>
          <t>14/09/2026</t>
        </is>
      </c>
      <c r="D1101" s="4" t="inlineStr">
        <is>
          <t>lunes</t>
        </is>
      </c>
      <c r="E1101" s="4" t="inlineStr">
        <is>
          <t>2339</t>
        </is>
      </c>
      <c r="F1101" s="4" t="inlineStr">
        <is>
          <t>PIU</t>
        </is>
      </c>
      <c r="G1101" s="4" t="inlineStr">
        <is>
          <t>LIM</t>
        </is>
      </c>
      <c r="H1101" s="4" t="inlineStr">
        <is>
          <t>17:20:00</t>
        </is>
      </c>
      <c r="I1101" s="4" t="inlineStr">
        <is>
          <t>18:50:00</t>
        </is>
      </c>
      <c r="J1101" s="4" t="inlineStr">
        <is>
          <t>319</t>
        </is>
      </c>
      <c r="K1101">
        <f>TEXT(TIMEVALUE(H1101)-TIMEVALUE(I1100)+(TIMEVALUE(H1101)&lt;TIMEVALUE(I1100)),"[h]:mm")</f>
        <v/>
      </c>
      <c r="L1101" s="4" t="inlineStr">
        <is>
          <t>01:30:00</t>
        </is>
      </c>
      <c r="O1101">
        <f>"LIM-"&amp;G1100&amp;"-LIM   LA "&amp;E1100&amp;" ("&amp;LEFT(H1100,5)&amp;"-"&amp;LEFT(I1100,5)&amp;" hrs)  /  LA "&amp;E1101&amp;" ("&amp;LEFT(H1101,5)&amp;"-"&amp;LEFT(I1101,5)&amp;" hrs)"</f>
        <v/>
      </c>
    </row>
    <row r="1102">
      <c r="J1102" s="7" t="inlineStr">
        <is>
          <t>PSV total:</t>
        </is>
      </c>
      <c r="K1102" s="8">
        <f>TEXT(TIMEVALUE(I1101)-TIMEVALUE(H1100)+(I1101&lt;H1100),"[h]:mm")</f>
        <v/>
      </c>
    </row>
    <row r="1104">
      <c r="B1104" s="3" t="inlineStr">
        <is>
          <t>Pairing ID</t>
        </is>
      </c>
      <c r="C1104" s="3" t="inlineStr">
        <is>
          <t>FECHA REAL</t>
        </is>
      </c>
      <c r="D1104" s="3" t="inlineStr">
        <is>
          <t>Day of Week</t>
        </is>
      </c>
      <c r="E1104" s="3" t="inlineStr">
        <is>
          <t>Flight No</t>
        </is>
      </c>
      <c r="F1104" s="3" t="inlineStr">
        <is>
          <t>Dep Stn</t>
        </is>
      </c>
      <c r="G1104" s="3" t="inlineStr">
        <is>
          <t>Arr Stn</t>
        </is>
      </c>
      <c r="H1104" s="3" t="inlineStr">
        <is>
          <t>STD</t>
        </is>
      </c>
      <c r="I1104" s="3" t="inlineStr">
        <is>
          <t>STA</t>
        </is>
      </c>
      <c r="J1104" s="3" t="inlineStr">
        <is>
          <t>subflota</t>
        </is>
      </c>
      <c r="K1104" s="3" t="inlineStr">
        <is>
          <t>Conexion</t>
        </is>
      </c>
      <c r="L1104" s="3" t="inlineStr">
        <is>
          <t>HBT</t>
        </is>
      </c>
    </row>
    <row r="1105">
      <c r="B1105" s="4" t="inlineStr">
        <is>
          <t>1263_0</t>
        </is>
      </c>
      <c r="C1105" s="4" t="inlineStr">
        <is>
          <t>14/09/2026</t>
        </is>
      </c>
      <c r="D1105" s="4" t="inlineStr">
        <is>
          <t>lunes</t>
        </is>
      </c>
      <c r="E1105" s="4" t="inlineStr">
        <is>
          <t>2248</t>
        </is>
      </c>
      <c r="F1105" s="4" t="inlineStr">
        <is>
          <t>LIM</t>
        </is>
      </c>
      <c r="G1105" s="4" t="inlineStr">
        <is>
          <t>CUZ</t>
        </is>
      </c>
      <c r="H1105" s="4" t="inlineStr">
        <is>
          <t>15:00:00</t>
        </is>
      </c>
      <c r="I1105" s="4" t="inlineStr">
        <is>
          <t>16:20:00</t>
        </is>
      </c>
      <c r="J1105" s="4" t="inlineStr">
        <is>
          <t>320</t>
        </is>
      </c>
      <c r="L1105" s="4" t="inlineStr">
        <is>
          <t>01:20:00</t>
        </is>
      </c>
      <c r="M1105" s="5" t="n"/>
      <c r="O1105" s="5" t="n"/>
      <c r="Q1105" s="4">
        <f>B1105</f>
        <v/>
      </c>
      <c r="R1105" s="4">
        <f>C1105</f>
        <v/>
      </c>
      <c r="S1105" s="4">
        <f>D1105</f>
        <v/>
      </c>
      <c r="T1105" s="4">
        <f>E1105&amp;"/"&amp;E1106</f>
        <v/>
      </c>
      <c r="U1105" s="4">
        <f>F1105&amp;"-"&amp;G1105&amp;"-"&amp;F1105</f>
        <v/>
      </c>
      <c r="V1105" s="4">
        <f>IF($M$1105="","",$M$1105)</f>
        <v/>
      </c>
      <c r="W1105" s="4">
        <f>IF($O$1105="","",$O$1105)</f>
        <v/>
      </c>
      <c r="X1105" s="4">
        <f>J1105</f>
        <v/>
      </c>
    </row>
    <row r="1106">
      <c r="B1106" s="4" t="inlineStr">
        <is>
          <t>1263_0</t>
        </is>
      </c>
      <c r="C1106" s="4" t="inlineStr">
        <is>
          <t>14/09/2026</t>
        </is>
      </c>
      <c r="D1106" s="4" t="inlineStr">
        <is>
          <t>lunes</t>
        </is>
      </c>
      <c r="E1106" s="4" t="inlineStr">
        <is>
          <t>2249</t>
        </is>
      </c>
      <c r="F1106" s="4" t="inlineStr">
        <is>
          <t>CUZ</t>
        </is>
      </c>
      <c r="G1106" s="4" t="inlineStr">
        <is>
          <t>LIM</t>
        </is>
      </c>
      <c r="H1106" s="4" t="inlineStr">
        <is>
          <t>17:00:00</t>
        </is>
      </c>
      <c r="I1106" s="4" t="inlineStr">
        <is>
          <t>18:35:00</t>
        </is>
      </c>
      <c r="J1106" s="4" t="inlineStr">
        <is>
          <t>320</t>
        </is>
      </c>
      <c r="K1106">
        <f>TEXT(TIMEVALUE(H1106)-TIMEVALUE(I1105)+(TIMEVALUE(H1106)&lt;TIMEVALUE(I1105)),"[h]:mm")</f>
        <v/>
      </c>
      <c r="L1106" s="4" t="inlineStr">
        <is>
          <t>01:35:00</t>
        </is>
      </c>
      <c r="O1106">
        <f>"LIM-"&amp;G1105&amp;"-LIM   LA "&amp;E1105&amp;" ("&amp;LEFT(H1105,5)&amp;"-"&amp;LEFT(I1105,5)&amp;" hrs)  /  LA "&amp;E1106&amp;" ("&amp;LEFT(H1106,5)&amp;"-"&amp;LEFT(I1106,5)&amp;" hrs)"</f>
        <v/>
      </c>
    </row>
    <row r="1107">
      <c r="J1107" s="7" t="inlineStr">
        <is>
          <t>PSV total:</t>
        </is>
      </c>
      <c r="K1107" s="8">
        <f>TEXT(TIMEVALUE(I1106)-TIMEVALUE(H1105)+(I1106&lt;H1105),"[h]:mm")</f>
        <v/>
      </c>
    </row>
    <row r="1109">
      <c r="B1109" s="3" t="inlineStr">
        <is>
          <t>Pairing ID</t>
        </is>
      </c>
      <c r="C1109" s="3" t="inlineStr">
        <is>
          <t>FECHA REAL</t>
        </is>
      </c>
      <c r="D1109" s="3" t="inlineStr">
        <is>
          <t>Day of Week</t>
        </is>
      </c>
      <c r="E1109" s="3" t="inlineStr">
        <is>
          <t>Flight No</t>
        </is>
      </c>
      <c r="F1109" s="3" t="inlineStr">
        <is>
          <t>Dep Stn</t>
        </is>
      </c>
      <c r="G1109" s="3" t="inlineStr">
        <is>
          <t>Arr Stn</t>
        </is>
      </c>
      <c r="H1109" s="3" t="inlineStr">
        <is>
          <t>STD</t>
        </is>
      </c>
      <c r="I1109" s="3" t="inlineStr">
        <is>
          <t>STA</t>
        </is>
      </c>
      <c r="J1109" s="3" t="inlineStr">
        <is>
          <t>subflota</t>
        </is>
      </c>
      <c r="K1109" s="3" t="inlineStr">
        <is>
          <t>Conexion</t>
        </is>
      </c>
      <c r="L1109" s="3" t="inlineStr">
        <is>
          <t>HBT</t>
        </is>
      </c>
    </row>
    <row r="1110">
      <c r="B1110" s="4" t="inlineStr">
        <is>
          <t>1267_0</t>
        </is>
      </c>
      <c r="C1110" s="4" t="inlineStr">
        <is>
          <t>14/09/2026</t>
        </is>
      </c>
      <c r="D1110" s="4" t="inlineStr">
        <is>
          <t>lunes</t>
        </is>
      </c>
      <c r="E1110" s="4" t="inlineStr">
        <is>
          <t>2297</t>
        </is>
      </c>
      <c r="F1110" s="4" t="inlineStr">
        <is>
          <t>LIM</t>
        </is>
      </c>
      <c r="G1110" s="4" t="inlineStr">
        <is>
          <t>CJA</t>
        </is>
      </c>
      <c r="H1110" s="4" t="inlineStr">
        <is>
          <t>15:15:00</t>
        </is>
      </c>
      <c r="I1110" s="4" t="inlineStr">
        <is>
          <t>16:35:00</t>
        </is>
      </c>
      <c r="J1110" s="4" t="inlineStr">
        <is>
          <t>320</t>
        </is>
      </c>
      <c r="L1110" s="4" t="inlineStr">
        <is>
          <t>01:20:00</t>
        </is>
      </c>
      <c r="M1110" s="5" t="n"/>
      <c r="O1110" s="5" t="n"/>
      <c r="Q1110" s="4">
        <f>B1110</f>
        <v/>
      </c>
      <c r="R1110" s="4">
        <f>C1110</f>
        <v/>
      </c>
      <c r="S1110" s="4">
        <f>D1110</f>
        <v/>
      </c>
      <c r="T1110" s="4">
        <f>E1110&amp;"/"&amp;E1111</f>
        <v/>
      </c>
      <c r="U1110" s="4">
        <f>F1110&amp;"-"&amp;G1110&amp;"-"&amp;F1110</f>
        <v/>
      </c>
      <c r="V1110" s="4">
        <f>IF($M$1110="","",$M$1110)</f>
        <v/>
      </c>
      <c r="W1110" s="4">
        <f>IF($O$1110="","",$O$1110)</f>
        <v/>
      </c>
      <c r="X1110" s="4">
        <f>J1110</f>
        <v/>
      </c>
    </row>
    <row r="1111">
      <c r="B1111" s="4" t="inlineStr">
        <is>
          <t>1267_0</t>
        </is>
      </c>
      <c r="C1111" s="4" t="inlineStr">
        <is>
          <t>14/09/2026</t>
        </is>
      </c>
      <c r="D1111" s="4" t="inlineStr">
        <is>
          <t>lunes</t>
        </is>
      </c>
      <c r="E1111" s="4" t="inlineStr">
        <is>
          <t>2296</t>
        </is>
      </c>
      <c r="F1111" s="4" t="inlineStr">
        <is>
          <t>CJA</t>
        </is>
      </c>
      <c r="G1111" s="4" t="inlineStr">
        <is>
          <t>LIM</t>
        </is>
      </c>
      <c r="H1111" s="4" t="inlineStr">
        <is>
          <t>17:20:00</t>
        </is>
      </c>
      <c r="I1111" s="4" t="inlineStr">
        <is>
          <t>18:25:00</t>
        </is>
      </c>
      <c r="J1111" s="4" t="inlineStr">
        <is>
          <t>320</t>
        </is>
      </c>
      <c r="K1111">
        <f>TEXT(TIMEVALUE(H1111)-TIMEVALUE(I1110)+(TIMEVALUE(H1111)&lt;TIMEVALUE(I1110)),"[h]:mm")</f>
        <v/>
      </c>
      <c r="L1111" s="4" t="inlineStr">
        <is>
          <t>01:05:00</t>
        </is>
      </c>
      <c r="O1111">
        <f>"LIM-"&amp;G1110&amp;"-LIM   LA "&amp;E1110&amp;" ("&amp;LEFT(H1110,5)&amp;"-"&amp;LEFT(I1110,5)&amp;" hrs)  /  LA "&amp;E1111&amp;" ("&amp;LEFT(H1111,5)&amp;"-"&amp;LEFT(I1111,5)&amp;" hrs)"</f>
        <v/>
      </c>
    </row>
    <row r="1112">
      <c r="J1112" s="7" t="inlineStr">
        <is>
          <t>PSV total:</t>
        </is>
      </c>
      <c r="K1112" s="8">
        <f>TEXT(TIMEVALUE(I1111)-TIMEVALUE(H1110)+(I1111&lt;H1110),"[h]:mm")</f>
        <v/>
      </c>
    </row>
    <row r="1114">
      <c r="B1114" s="3" t="inlineStr">
        <is>
          <t>Pairing ID</t>
        </is>
      </c>
      <c r="C1114" s="3" t="inlineStr">
        <is>
          <t>FECHA REAL</t>
        </is>
      </c>
      <c r="D1114" s="3" t="inlineStr">
        <is>
          <t>Day of Week</t>
        </is>
      </c>
      <c r="E1114" s="3" t="inlineStr">
        <is>
          <t>Flight No</t>
        </is>
      </c>
      <c r="F1114" s="3" t="inlineStr">
        <is>
          <t>Dep Stn</t>
        </is>
      </c>
      <c r="G1114" s="3" t="inlineStr">
        <is>
          <t>Arr Stn</t>
        </is>
      </c>
      <c r="H1114" s="3" t="inlineStr">
        <is>
          <t>STD</t>
        </is>
      </c>
      <c r="I1114" s="3" t="inlineStr">
        <is>
          <t>STA</t>
        </is>
      </c>
      <c r="J1114" s="3" t="inlineStr">
        <is>
          <t>subflota</t>
        </is>
      </c>
      <c r="K1114" s="3" t="inlineStr">
        <is>
          <t>Conexion</t>
        </is>
      </c>
      <c r="L1114" s="3" t="inlineStr">
        <is>
          <t>HBT</t>
        </is>
      </c>
    </row>
    <row r="1115">
      <c r="B1115" s="4" t="inlineStr">
        <is>
          <t>1270_0</t>
        </is>
      </c>
      <c r="C1115" s="4" t="inlineStr">
        <is>
          <t>14/09/2026</t>
        </is>
      </c>
      <c r="D1115" s="4" t="inlineStr">
        <is>
          <t>lunes</t>
        </is>
      </c>
      <c r="E1115" s="4" t="inlineStr">
        <is>
          <t>2301</t>
        </is>
      </c>
      <c r="F1115" s="4" t="inlineStr">
        <is>
          <t>LIM</t>
        </is>
      </c>
      <c r="G1115" s="4" t="inlineStr">
        <is>
          <t>TPP</t>
        </is>
      </c>
      <c r="H1115" s="4" t="inlineStr">
        <is>
          <t>15:40:00</t>
        </is>
      </c>
      <c r="I1115" s="4" t="inlineStr">
        <is>
          <t>17:05:00</t>
        </is>
      </c>
      <c r="J1115" s="4" t="inlineStr">
        <is>
          <t>319</t>
        </is>
      </c>
      <c r="L1115" s="4" t="inlineStr">
        <is>
          <t>01:25:00</t>
        </is>
      </c>
      <c r="M1115" s="5" t="n"/>
      <c r="O1115" s="5" t="n"/>
      <c r="Q1115" s="4">
        <f>B1115</f>
        <v/>
      </c>
      <c r="R1115" s="4">
        <f>C1115</f>
        <v/>
      </c>
      <c r="S1115" s="4">
        <f>D1115</f>
        <v/>
      </c>
      <c r="T1115" s="4">
        <f>E1115&amp;"/"&amp;E1116</f>
        <v/>
      </c>
      <c r="U1115" s="4">
        <f>F1115&amp;"-"&amp;G1115&amp;"-"&amp;F1115</f>
        <v/>
      </c>
      <c r="V1115" s="4">
        <f>IF($M$1115="","",$M$1115)</f>
        <v/>
      </c>
      <c r="W1115" s="4">
        <f>IF($O$1115="","",$O$1115)</f>
        <v/>
      </c>
      <c r="X1115" s="4">
        <f>J1115</f>
        <v/>
      </c>
    </row>
    <row r="1116">
      <c r="B1116" s="4" t="inlineStr">
        <is>
          <t>1270_0</t>
        </is>
      </c>
      <c r="C1116" s="4" t="inlineStr">
        <is>
          <t>14/09/2026</t>
        </is>
      </c>
      <c r="D1116" s="4" t="inlineStr">
        <is>
          <t>lunes</t>
        </is>
      </c>
      <c r="E1116" s="4" t="inlineStr">
        <is>
          <t>2300</t>
        </is>
      </c>
      <c r="F1116" s="4" t="inlineStr">
        <is>
          <t>TPP</t>
        </is>
      </c>
      <c r="G1116" s="4" t="inlineStr">
        <is>
          <t>LIM</t>
        </is>
      </c>
      <c r="H1116" s="4" t="inlineStr">
        <is>
          <t>17:50:00</t>
        </is>
      </c>
      <c r="I1116" s="4" t="inlineStr">
        <is>
          <t>19:15:00</t>
        </is>
      </c>
      <c r="J1116" s="4" t="inlineStr">
        <is>
          <t>319</t>
        </is>
      </c>
      <c r="K1116">
        <f>TEXT(TIMEVALUE(H1116)-TIMEVALUE(I1115)+(TIMEVALUE(H1116)&lt;TIMEVALUE(I1115)),"[h]:mm")</f>
        <v/>
      </c>
      <c r="L1116" s="4" t="inlineStr">
        <is>
          <t>01:25:00</t>
        </is>
      </c>
      <c r="O1116">
        <f>"LIM-"&amp;G1115&amp;"-LIM   LA "&amp;E1115&amp;" ("&amp;LEFT(H1115,5)&amp;"-"&amp;LEFT(I1115,5)&amp;" hrs)  /  LA "&amp;E1116&amp;" ("&amp;LEFT(H1116,5)&amp;"-"&amp;LEFT(I1116,5)&amp;" hrs)"</f>
        <v/>
      </c>
    </row>
    <row r="1117">
      <c r="J1117" s="7" t="inlineStr">
        <is>
          <t>PSV total:</t>
        </is>
      </c>
      <c r="K1117" s="8">
        <f>TEXT(TIMEVALUE(I1116)-TIMEVALUE(H1115)+(I1116&lt;H1115),"[h]:mm")</f>
        <v/>
      </c>
    </row>
    <row r="1119">
      <c r="B1119" s="3" t="inlineStr">
        <is>
          <t>Pairing ID</t>
        </is>
      </c>
      <c r="C1119" s="3" t="inlineStr">
        <is>
          <t>FECHA REAL</t>
        </is>
      </c>
      <c r="D1119" s="3" t="inlineStr">
        <is>
          <t>Day of Week</t>
        </is>
      </c>
      <c r="E1119" s="3" t="inlineStr">
        <is>
          <t>Flight No</t>
        </is>
      </c>
      <c r="F1119" s="3" t="inlineStr">
        <is>
          <t>Dep Stn</t>
        </is>
      </c>
      <c r="G1119" s="3" t="inlineStr">
        <is>
          <t>Arr Stn</t>
        </is>
      </c>
      <c r="H1119" s="3" t="inlineStr">
        <is>
          <t>STD</t>
        </is>
      </c>
      <c r="I1119" s="3" t="inlineStr">
        <is>
          <t>STA</t>
        </is>
      </c>
      <c r="J1119" s="3" t="inlineStr">
        <is>
          <t>subflota</t>
        </is>
      </c>
      <c r="K1119" s="3" t="inlineStr">
        <is>
          <t>Conexion</t>
        </is>
      </c>
      <c r="L1119" s="3" t="inlineStr">
        <is>
          <t>HBT</t>
        </is>
      </c>
    </row>
    <row r="1120">
      <c r="B1120" s="4" t="inlineStr">
        <is>
          <t>1277_0</t>
        </is>
      </c>
      <c r="C1120" s="4" t="inlineStr">
        <is>
          <t>14/09/2026</t>
        </is>
      </c>
      <c r="D1120" s="4" t="inlineStr">
        <is>
          <t>lunes</t>
        </is>
      </c>
      <c r="E1120" s="4" t="inlineStr">
        <is>
          <t>2310</t>
        </is>
      </c>
      <c r="F1120" s="4" t="inlineStr">
        <is>
          <t>LIM</t>
        </is>
      </c>
      <c r="G1120" s="4" t="inlineStr">
        <is>
          <t>CIX</t>
        </is>
      </c>
      <c r="H1120" s="4" t="inlineStr">
        <is>
          <t>18:20:00</t>
        </is>
      </c>
      <c r="I1120" s="4" t="inlineStr">
        <is>
          <t>19:45:00</t>
        </is>
      </c>
      <c r="J1120" s="4" t="inlineStr">
        <is>
          <t>320</t>
        </is>
      </c>
      <c r="L1120" s="4" t="inlineStr">
        <is>
          <t>01:25:00</t>
        </is>
      </c>
      <c r="M1120" s="5" t="n"/>
      <c r="O1120" s="5" t="n"/>
      <c r="Q1120" s="4">
        <f>B1120</f>
        <v/>
      </c>
      <c r="R1120" s="4">
        <f>C1120</f>
        <v/>
      </c>
      <c r="S1120" s="4">
        <f>D1120</f>
        <v/>
      </c>
      <c r="T1120" s="4">
        <f>E1120&amp;"/"&amp;E1121</f>
        <v/>
      </c>
      <c r="U1120" s="4">
        <f>F1120&amp;"-"&amp;G1120&amp;"-"&amp;F1120</f>
        <v/>
      </c>
      <c r="V1120" s="4">
        <f>IF($M$1120="","",$M$1120)</f>
        <v/>
      </c>
      <c r="W1120" s="4">
        <f>IF($O$1120="","",$O$1120)</f>
        <v/>
      </c>
      <c r="X1120" s="4">
        <f>J1120</f>
        <v/>
      </c>
    </row>
    <row r="1121">
      <c r="B1121" s="4" t="inlineStr">
        <is>
          <t>1277_0</t>
        </is>
      </c>
      <c r="C1121" s="4" t="inlineStr">
        <is>
          <t>14/09/2026</t>
        </is>
      </c>
      <c r="D1121" s="4" t="inlineStr">
        <is>
          <t>lunes</t>
        </is>
      </c>
      <c r="E1121" s="4" t="inlineStr">
        <is>
          <t>2311</t>
        </is>
      </c>
      <c r="F1121" s="4" t="inlineStr">
        <is>
          <t>CIX</t>
        </is>
      </c>
      <c r="G1121" s="4" t="inlineStr">
        <is>
          <t>LIM</t>
        </is>
      </c>
      <c r="H1121" s="4" t="inlineStr">
        <is>
          <t>20:20:00</t>
        </is>
      </c>
      <c r="I1121" s="4" t="inlineStr">
        <is>
          <t>21:35:00</t>
        </is>
      </c>
      <c r="J1121" s="4" t="inlineStr">
        <is>
          <t>320</t>
        </is>
      </c>
      <c r="K1121">
        <f>TEXT(TIMEVALUE(H1121)-TIMEVALUE(I1120)+(TIMEVALUE(H1121)&lt;TIMEVALUE(I1120)),"[h]:mm")</f>
        <v/>
      </c>
      <c r="L1121" s="4" t="inlineStr">
        <is>
          <t>01:15:00</t>
        </is>
      </c>
      <c r="O1121">
        <f>"LIM-"&amp;G1120&amp;"-LIM   LA "&amp;E1120&amp;" ("&amp;LEFT(H1120,5)&amp;"-"&amp;LEFT(I1120,5)&amp;" hrs)  /  LA "&amp;E1121&amp;" ("&amp;LEFT(H1121,5)&amp;"-"&amp;LEFT(I1121,5)&amp;" hrs)"</f>
        <v/>
      </c>
    </row>
    <row r="1122">
      <c r="J1122" s="7" t="inlineStr">
        <is>
          <t>PSV total:</t>
        </is>
      </c>
      <c r="K1122" s="8">
        <f>TEXT(TIMEVALUE(I1121)-TIMEVALUE(H1120)+(I1121&lt;H1120),"[h]:mm")</f>
        <v/>
      </c>
    </row>
    <row r="1124">
      <c r="B1124" s="3" t="inlineStr">
        <is>
          <t>Pairing ID</t>
        </is>
      </c>
      <c r="C1124" s="3" t="inlineStr">
        <is>
          <t>FECHA REAL</t>
        </is>
      </c>
      <c r="D1124" s="3" t="inlineStr">
        <is>
          <t>Day of Week</t>
        </is>
      </c>
      <c r="E1124" s="3" t="inlineStr">
        <is>
          <t>Flight No</t>
        </is>
      </c>
      <c r="F1124" s="3" t="inlineStr">
        <is>
          <t>Dep Stn</t>
        </is>
      </c>
      <c r="G1124" s="3" t="inlineStr">
        <is>
          <t>Arr Stn</t>
        </is>
      </c>
      <c r="H1124" s="3" t="inlineStr">
        <is>
          <t>STD</t>
        </is>
      </c>
      <c r="I1124" s="3" t="inlineStr">
        <is>
          <t>STA</t>
        </is>
      </c>
      <c r="J1124" s="3" t="inlineStr">
        <is>
          <t>subflota</t>
        </is>
      </c>
      <c r="K1124" s="3" t="inlineStr">
        <is>
          <t>Conexion</t>
        </is>
      </c>
      <c r="L1124" s="3" t="inlineStr">
        <is>
          <t>HBT</t>
        </is>
      </c>
    </row>
    <row r="1125">
      <c r="B1125" s="4" t="inlineStr">
        <is>
          <t>1279_0</t>
        </is>
      </c>
      <c r="C1125" s="4" t="inlineStr">
        <is>
          <t>14/09/2026</t>
        </is>
      </c>
      <c r="D1125" s="4" t="inlineStr">
        <is>
          <t>lunes</t>
        </is>
      </c>
      <c r="E1125" s="4" t="inlineStr">
        <is>
          <t>2200</t>
        </is>
      </c>
      <c r="F1125" s="4" t="inlineStr">
        <is>
          <t>LIM</t>
        </is>
      </c>
      <c r="G1125" s="4" t="inlineStr">
        <is>
          <t>CUZ</t>
        </is>
      </c>
      <c r="H1125" s="4" t="inlineStr">
        <is>
          <t>21:10:00</t>
        </is>
      </c>
      <c r="I1125" s="4" t="inlineStr">
        <is>
          <t>22:35:00</t>
        </is>
      </c>
      <c r="J1125" s="4" t="inlineStr">
        <is>
          <t>320</t>
        </is>
      </c>
      <c r="L1125" s="4" t="inlineStr">
        <is>
          <t>01:25:00</t>
        </is>
      </c>
      <c r="M1125" s="5" t="n"/>
      <c r="O1125" s="5" t="n"/>
      <c r="Q1125" s="4">
        <f>B1125</f>
        <v/>
      </c>
      <c r="R1125" s="4">
        <f>C1125</f>
        <v/>
      </c>
      <c r="S1125" s="4">
        <f>D1125</f>
        <v/>
      </c>
      <c r="T1125" s="4">
        <f>E1125&amp;"/"&amp;E1126</f>
        <v/>
      </c>
      <c r="U1125" s="4">
        <f>F1125&amp;"-"&amp;G1125&amp;"-"&amp;F1125</f>
        <v/>
      </c>
      <c r="V1125" s="4">
        <f>IF($M$1125="","",$M$1125)</f>
        <v/>
      </c>
      <c r="W1125" s="4">
        <f>IF($O$1125="","",$O$1125)</f>
        <v/>
      </c>
      <c r="X1125" s="4">
        <f>J1125</f>
        <v/>
      </c>
    </row>
    <row r="1126">
      <c r="B1126" s="4" t="inlineStr">
        <is>
          <t>1279_0</t>
        </is>
      </c>
      <c r="C1126" s="4" t="inlineStr">
        <is>
          <t>14/09/2026</t>
        </is>
      </c>
      <c r="D1126" s="4" t="inlineStr">
        <is>
          <t>lunes</t>
        </is>
      </c>
      <c r="E1126" s="4" t="inlineStr">
        <is>
          <t>2201</t>
        </is>
      </c>
      <c r="F1126" s="4" t="inlineStr">
        <is>
          <t>CUZ</t>
        </is>
      </c>
      <c r="G1126" s="4" t="inlineStr">
        <is>
          <t>LIM</t>
        </is>
      </c>
      <c r="H1126" s="4" t="inlineStr">
        <is>
          <t>23:20:00</t>
        </is>
      </c>
      <c r="I1126" s="4" t="inlineStr">
        <is>
          <t>00:50:00</t>
        </is>
      </c>
      <c r="J1126" s="4" t="inlineStr">
        <is>
          <t>320</t>
        </is>
      </c>
      <c r="K1126">
        <f>TEXT(TIMEVALUE(H1126)-TIMEVALUE(I1125)+(TIMEVALUE(H1126)&lt;TIMEVALUE(I1125)),"[h]:mm")</f>
        <v/>
      </c>
      <c r="L1126" s="4" t="inlineStr">
        <is>
          <t>01:30:00</t>
        </is>
      </c>
      <c r="O1126">
        <f>"LIM-"&amp;G1125&amp;"-LIM   LA "&amp;E1125&amp;" ("&amp;LEFT(H1125,5)&amp;"-"&amp;LEFT(I1125,5)&amp;" hrs)  /  LA "&amp;E1126&amp;" ("&amp;LEFT(H1126,5)&amp;"-"&amp;LEFT(I1126,5)&amp;" hrs)"</f>
        <v/>
      </c>
    </row>
    <row r="1127">
      <c r="J1127" s="7" t="inlineStr">
        <is>
          <t>PSV total:</t>
        </is>
      </c>
      <c r="K1127" s="8">
        <f>TEXT(TIMEVALUE(I1126)-TIMEVALUE(H1125)+(I1126&lt;H1125),"[h]:mm")</f>
        <v/>
      </c>
    </row>
    <row r="1129">
      <c r="B1129" s="3" t="inlineStr">
        <is>
          <t>Pairing ID</t>
        </is>
      </c>
      <c r="C1129" s="3" t="inlineStr">
        <is>
          <t>FECHA REAL</t>
        </is>
      </c>
      <c r="D1129" s="3" t="inlineStr">
        <is>
          <t>Day of Week</t>
        </is>
      </c>
      <c r="E1129" s="3" t="inlineStr">
        <is>
          <t>Flight No</t>
        </is>
      </c>
      <c r="F1129" s="3" t="inlineStr">
        <is>
          <t>Dep Stn</t>
        </is>
      </c>
      <c r="G1129" s="3" t="inlineStr">
        <is>
          <t>Arr Stn</t>
        </is>
      </c>
      <c r="H1129" s="3" t="inlineStr">
        <is>
          <t>STD</t>
        </is>
      </c>
      <c r="I1129" s="3" t="inlineStr">
        <is>
          <t>STA</t>
        </is>
      </c>
      <c r="J1129" s="3" t="inlineStr">
        <is>
          <t>subflota</t>
        </is>
      </c>
      <c r="K1129" s="3" t="inlineStr">
        <is>
          <t>Conexion</t>
        </is>
      </c>
      <c r="L1129" s="3" t="inlineStr">
        <is>
          <t>HBT</t>
        </is>
      </c>
    </row>
    <row r="1130">
      <c r="B1130" s="4" t="inlineStr">
        <is>
          <t>1328_0</t>
        </is>
      </c>
      <c r="C1130" s="4" t="inlineStr">
        <is>
          <t>15/09/2026</t>
        </is>
      </c>
      <c r="D1130" s="4" t="inlineStr">
        <is>
          <t>martes</t>
        </is>
      </c>
      <c r="E1130" s="4" t="inlineStr">
        <is>
          <t>2061</t>
        </is>
      </c>
      <c r="F1130" s="4" t="inlineStr">
        <is>
          <t>LIM</t>
        </is>
      </c>
      <c r="G1130" s="4" t="inlineStr">
        <is>
          <t>CUZ</t>
        </is>
      </c>
      <c r="H1130" s="4" t="inlineStr">
        <is>
          <t>11:40:00</t>
        </is>
      </c>
      <c r="I1130" s="4" t="inlineStr">
        <is>
          <t>13:00:00</t>
        </is>
      </c>
      <c r="J1130" s="4" t="inlineStr">
        <is>
          <t>320</t>
        </is>
      </c>
      <c r="L1130" s="4" t="inlineStr">
        <is>
          <t>01:20:00</t>
        </is>
      </c>
      <c r="M1130" s="5" t="n"/>
      <c r="O1130" s="5" t="n"/>
      <c r="Q1130" s="4">
        <f>B1130</f>
        <v/>
      </c>
      <c r="R1130" s="4">
        <f>C1130</f>
        <v/>
      </c>
      <c r="S1130" s="4">
        <f>D1130</f>
        <v/>
      </c>
      <c r="T1130" s="4">
        <f>E1130&amp;"/"&amp;E1131</f>
        <v/>
      </c>
      <c r="U1130" s="4">
        <f>F1130&amp;"-"&amp;G1130&amp;"-"&amp;F1130</f>
        <v/>
      </c>
      <c r="V1130" s="4">
        <f>IF($M$1130="","",$M$1130)</f>
        <v/>
      </c>
      <c r="W1130" s="4">
        <f>IF($O$1130="","",$O$1130)</f>
        <v/>
      </c>
      <c r="X1130" s="4">
        <f>J1130</f>
        <v/>
      </c>
    </row>
    <row r="1131">
      <c r="B1131" s="4" t="inlineStr">
        <is>
          <t>1328_0</t>
        </is>
      </c>
      <c r="C1131" s="4" t="inlineStr">
        <is>
          <t>15/09/2026</t>
        </is>
      </c>
      <c r="D1131" s="4" t="inlineStr">
        <is>
          <t>martes</t>
        </is>
      </c>
      <c r="E1131" s="4" t="inlineStr">
        <is>
          <t>2062</t>
        </is>
      </c>
      <c r="F1131" s="4" t="inlineStr">
        <is>
          <t>CUZ</t>
        </is>
      </c>
      <c r="G1131" s="4" t="inlineStr">
        <is>
          <t>LIM</t>
        </is>
      </c>
      <c r="H1131" s="4" t="inlineStr">
        <is>
          <t>13:40:00</t>
        </is>
      </c>
      <c r="I1131" s="4" t="inlineStr">
        <is>
          <t>15:15:00</t>
        </is>
      </c>
      <c r="J1131" s="4" t="inlineStr">
        <is>
          <t>320</t>
        </is>
      </c>
      <c r="K1131">
        <f>TEXT(TIMEVALUE(H1131)-TIMEVALUE(I1130)+(TIMEVALUE(H1131)&lt;TIMEVALUE(I1130)),"[h]:mm")</f>
        <v/>
      </c>
      <c r="L1131" s="4" t="inlineStr">
        <is>
          <t>01:35:00</t>
        </is>
      </c>
      <c r="O1131">
        <f>"LIM-"&amp;G1130&amp;"-LIM   LA "&amp;E1130&amp;" ("&amp;LEFT(H1130,5)&amp;"-"&amp;LEFT(I1130,5)&amp;" hrs)  /  LA "&amp;E1131&amp;" ("&amp;LEFT(H1131,5)&amp;"-"&amp;LEFT(I1131,5)&amp;" hrs)"</f>
        <v/>
      </c>
    </row>
    <row r="1132">
      <c r="B1132" s="4" t="inlineStr">
        <is>
          <t>1353_0</t>
        </is>
      </c>
      <c r="C1132" s="4" t="inlineStr">
        <is>
          <t>15/09/2026</t>
        </is>
      </c>
      <c r="D1132" s="4" t="inlineStr">
        <is>
          <t>martes</t>
        </is>
      </c>
      <c r="E1132" s="4" t="inlineStr">
        <is>
          <t>2276</t>
        </is>
      </c>
      <c r="F1132" s="4" t="inlineStr">
        <is>
          <t>LIM</t>
        </is>
      </c>
      <c r="G1132" s="4" t="inlineStr">
        <is>
          <t>CUZ</t>
        </is>
      </c>
      <c r="H1132" s="4" t="inlineStr">
        <is>
          <t>16:35:00</t>
        </is>
      </c>
      <c r="I1132" s="4" t="inlineStr">
        <is>
          <t>17:55:00</t>
        </is>
      </c>
      <c r="J1132" s="4" t="inlineStr">
        <is>
          <t>320</t>
        </is>
      </c>
      <c r="K1132" s="6">
        <f>TEXT(TIMEVALUE(H1132)-TIMEVALUE(I1131)+(TIMEVALUE(H1132)&lt;TIMEVALUE(I1131)),"[h]:mm")</f>
        <v/>
      </c>
      <c r="L1132" s="4" t="inlineStr">
        <is>
          <t>01:20:00</t>
        </is>
      </c>
      <c r="M1132">
        <f>IF($M$1130="","",$M$1130)</f>
        <v/>
      </c>
      <c r="O1132">
        <f>IF($O$1130="","",$O$1130)</f>
        <v/>
      </c>
      <c r="Q1132" s="4">
        <f>B1132</f>
        <v/>
      </c>
      <c r="R1132" s="4">
        <f>C1132</f>
        <v/>
      </c>
      <c r="S1132" s="4">
        <f>D1132</f>
        <v/>
      </c>
      <c r="T1132" s="4">
        <f>E1132&amp;"/"&amp;E1133</f>
        <v/>
      </c>
      <c r="U1132" s="4">
        <f>F1132&amp;"-"&amp;G1132&amp;"-"&amp;F1132</f>
        <v/>
      </c>
      <c r="V1132" s="4">
        <f>IF($M$1130="","",$M$1130)</f>
        <v/>
      </c>
      <c r="W1132" s="4">
        <f>IF($O$1130="","",$O$1130)</f>
        <v/>
      </c>
      <c r="X1132" s="4">
        <f>J1132</f>
        <v/>
      </c>
    </row>
    <row r="1133">
      <c r="B1133" s="4" t="inlineStr">
        <is>
          <t>1353_0</t>
        </is>
      </c>
      <c r="C1133" s="4" t="inlineStr">
        <is>
          <t>15/09/2026</t>
        </is>
      </c>
      <c r="D1133" s="4" t="inlineStr">
        <is>
          <t>martes</t>
        </is>
      </c>
      <c r="E1133" s="4" t="inlineStr">
        <is>
          <t>2277</t>
        </is>
      </c>
      <c r="F1133" s="4" t="inlineStr">
        <is>
          <t>CUZ</t>
        </is>
      </c>
      <c r="G1133" s="4" t="inlineStr">
        <is>
          <t>LIM</t>
        </is>
      </c>
      <c r="H1133" s="4" t="inlineStr">
        <is>
          <t>18:50:00</t>
        </is>
      </c>
      <c r="I1133" s="4" t="inlineStr">
        <is>
          <t>20:25:00</t>
        </is>
      </c>
      <c r="J1133" s="4" t="inlineStr">
        <is>
          <t>320</t>
        </is>
      </c>
      <c r="K1133">
        <f>TEXT(TIMEVALUE(H1133)-TIMEVALUE(I1132)+(TIMEVALUE(H1133)&lt;TIMEVALUE(I1132)),"[h]:mm")</f>
        <v/>
      </c>
      <c r="L1133" s="4" t="inlineStr">
        <is>
          <t>01:35:00</t>
        </is>
      </c>
      <c r="O1133">
        <f>"LIM-"&amp;G1132&amp;"-LIM   LA "&amp;E1132&amp;" ("&amp;LEFT(H1132,5)&amp;"-"&amp;LEFT(I1132,5)&amp;" hrs)  /  LA "&amp;E1133&amp;" ("&amp;LEFT(H1133,5)&amp;"-"&amp;LEFT(I1133,5)&amp;" hrs)"</f>
        <v/>
      </c>
    </row>
    <row r="1134">
      <c r="J1134" s="7" t="inlineStr">
        <is>
          <t>PSV total:</t>
        </is>
      </c>
      <c r="K1134" s="8">
        <f>TEXT(TIMEVALUE(I1133)-TIMEVALUE(H1130)+(I1133&lt;H1130),"[h]:mm")</f>
        <v/>
      </c>
    </row>
    <row r="1136">
      <c r="B1136" s="3" t="inlineStr">
        <is>
          <t>Pairing ID</t>
        </is>
      </c>
      <c r="C1136" s="3" t="inlineStr">
        <is>
          <t>FECHA REAL</t>
        </is>
      </c>
      <c r="D1136" s="3" t="inlineStr">
        <is>
          <t>Day of Week</t>
        </is>
      </c>
      <c r="E1136" s="3" t="inlineStr">
        <is>
          <t>Flight No</t>
        </is>
      </c>
      <c r="F1136" s="3" t="inlineStr">
        <is>
          <t>Dep Stn</t>
        </is>
      </c>
      <c r="G1136" s="3" t="inlineStr">
        <is>
          <t>Arr Stn</t>
        </is>
      </c>
      <c r="H1136" s="3" t="inlineStr">
        <is>
          <t>STD</t>
        </is>
      </c>
      <c r="I1136" s="3" t="inlineStr">
        <is>
          <t>STA</t>
        </is>
      </c>
      <c r="J1136" s="3" t="inlineStr">
        <is>
          <t>subflota</t>
        </is>
      </c>
      <c r="K1136" s="3" t="inlineStr">
        <is>
          <t>Conexion</t>
        </is>
      </c>
      <c r="L1136" s="3" t="inlineStr">
        <is>
          <t>HBT</t>
        </is>
      </c>
    </row>
    <row r="1137">
      <c r="B1137" s="4" t="inlineStr">
        <is>
          <t>1333_0</t>
        </is>
      </c>
      <c r="C1137" s="4" t="inlineStr">
        <is>
          <t>15/09/2026</t>
        </is>
      </c>
      <c r="D1137" s="4" t="inlineStr">
        <is>
          <t>martes</t>
        </is>
      </c>
      <c r="E1137" s="4" t="inlineStr">
        <is>
          <t>2308</t>
        </is>
      </c>
      <c r="F1137" s="4" t="inlineStr">
        <is>
          <t>LIM</t>
        </is>
      </c>
      <c r="G1137" s="4" t="inlineStr">
        <is>
          <t>PIU</t>
        </is>
      </c>
      <c r="H1137" s="4" t="inlineStr">
        <is>
          <t>12:50:00</t>
        </is>
      </c>
      <c r="I1137" s="4" t="inlineStr">
        <is>
          <t>14:35:00</t>
        </is>
      </c>
      <c r="J1137" s="4" t="inlineStr">
        <is>
          <t>320</t>
        </is>
      </c>
      <c r="L1137" s="4" t="inlineStr">
        <is>
          <t>01:45:00</t>
        </is>
      </c>
      <c r="M1137" s="5" t="n"/>
      <c r="O1137" s="5" t="n"/>
      <c r="Q1137" s="4">
        <f>B1137</f>
        <v/>
      </c>
      <c r="R1137" s="4">
        <f>C1137</f>
        <v/>
      </c>
      <c r="S1137" s="4">
        <f>D1137</f>
        <v/>
      </c>
      <c r="T1137" s="4">
        <f>E1137&amp;"/"&amp;E1138</f>
        <v/>
      </c>
      <c r="U1137" s="4">
        <f>F1137&amp;"-"&amp;G1137&amp;"-"&amp;F1137</f>
        <v/>
      </c>
      <c r="V1137" s="4">
        <f>IF($M$1137="","",$M$1137)</f>
        <v/>
      </c>
      <c r="W1137" s="4">
        <f>IF($O$1137="","",$O$1137)</f>
        <v/>
      </c>
      <c r="X1137" s="4">
        <f>J1137</f>
        <v/>
      </c>
    </row>
    <row r="1138">
      <c r="B1138" s="4" t="inlineStr">
        <is>
          <t>1333_0</t>
        </is>
      </c>
      <c r="C1138" s="4" t="inlineStr">
        <is>
          <t>15/09/2026</t>
        </is>
      </c>
      <c r="D1138" s="4" t="inlineStr">
        <is>
          <t>martes</t>
        </is>
      </c>
      <c r="E1138" s="4" t="inlineStr">
        <is>
          <t>2309</t>
        </is>
      </c>
      <c r="F1138" s="4" t="inlineStr">
        <is>
          <t>PIU</t>
        </is>
      </c>
      <c r="G1138" s="4" t="inlineStr">
        <is>
          <t>LIM</t>
        </is>
      </c>
      <c r="H1138" s="4" t="inlineStr">
        <is>
          <t>15:25:00</t>
        </is>
      </c>
      <c r="I1138" s="4" t="inlineStr">
        <is>
          <t>16:55:00</t>
        </is>
      </c>
      <c r="J1138" s="4" t="inlineStr">
        <is>
          <t>320</t>
        </is>
      </c>
      <c r="K1138">
        <f>TEXT(TIMEVALUE(H1138)-TIMEVALUE(I1137)+(TIMEVALUE(H1138)&lt;TIMEVALUE(I1137)),"[h]:mm")</f>
        <v/>
      </c>
      <c r="L1138" s="4" t="inlineStr">
        <is>
          <t>01:30:00</t>
        </is>
      </c>
      <c r="O1138">
        <f>"LIM-"&amp;G1137&amp;"-LIM   LA "&amp;E1137&amp;" ("&amp;LEFT(H1137,5)&amp;"-"&amp;LEFT(I1137,5)&amp;" hrs)  /  LA "&amp;E1138&amp;" ("&amp;LEFT(H1138,5)&amp;"-"&amp;LEFT(I1138,5)&amp;" hrs)"</f>
        <v/>
      </c>
    </row>
    <row r="1139">
      <c r="B1139" s="4" t="inlineStr">
        <is>
          <t>1356_0</t>
        </is>
      </c>
      <c r="C1139" s="4" t="inlineStr">
        <is>
          <t>15/09/2026</t>
        </is>
      </c>
      <c r="D1139" s="4" t="inlineStr">
        <is>
          <t>martes</t>
        </is>
      </c>
      <c r="E1139" s="4" t="inlineStr">
        <is>
          <t>2236</t>
        </is>
      </c>
      <c r="F1139" s="4" t="inlineStr">
        <is>
          <t>LIM</t>
        </is>
      </c>
      <c r="G1139" s="4" t="inlineStr">
        <is>
          <t>PIU</t>
        </is>
      </c>
      <c r="H1139" s="4" t="inlineStr">
        <is>
          <t>18:00:00</t>
        </is>
      </c>
      <c r="I1139" s="4" t="inlineStr">
        <is>
          <t>19:40:00</t>
        </is>
      </c>
      <c r="J1139" s="4" t="inlineStr">
        <is>
          <t>319</t>
        </is>
      </c>
      <c r="K1139" s="6">
        <f>TEXT(TIMEVALUE(H1139)-TIMEVALUE(I1138)+(TIMEVALUE(H1139)&lt;TIMEVALUE(I1138)),"[h]:mm")</f>
        <v/>
      </c>
      <c r="L1139" s="4" t="inlineStr">
        <is>
          <t>01:40:00</t>
        </is>
      </c>
      <c r="M1139">
        <f>IF($M$1137="","",$M$1137)</f>
        <v/>
      </c>
      <c r="O1139">
        <f>IF($O$1137="","",$O$1137)</f>
        <v/>
      </c>
      <c r="Q1139" s="4">
        <f>B1139</f>
        <v/>
      </c>
      <c r="R1139" s="4">
        <f>C1139</f>
        <v/>
      </c>
      <c r="S1139" s="4">
        <f>D1139</f>
        <v/>
      </c>
      <c r="T1139" s="4">
        <f>E1139&amp;"/"&amp;E1140</f>
        <v/>
      </c>
      <c r="U1139" s="4">
        <f>F1139&amp;"-"&amp;G1139&amp;"-"&amp;F1139</f>
        <v/>
      </c>
      <c r="V1139" s="4">
        <f>IF($M$1137="","",$M$1137)</f>
        <v/>
      </c>
      <c r="W1139" s="4">
        <f>IF($O$1137="","",$O$1137)</f>
        <v/>
      </c>
      <c r="X1139" s="4">
        <f>J1139</f>
        <v/>
      </c>
    </row>
    <row r="1140">
      <c r="B1140" s="4" t="inlineStr">
        <is>
          <t>1356_0</t>
        </is>
      </c>
      <c r="C1140" s="4" t="inlineStr">
        <is>
          <t>15/09/2026</t>
        </is>
      </c>
      <c r="D1140" s="4" t="inlineStr">
        <is>
          <t>martes</t>
        </is>
      </c>
      <c r="E1140" s="4" t="inlineStr">
        <is>
          <t>2237</t>
        </is>
      </c>
      <c r="F1140" s="4" t="inlineStr">
        <is>
          <t>PIU</t>
        </is>
      </c>
      <c r="G1140" s="4" t="inlineStr">
        <is>
          <t>LIM</t>
        </is>
      </c>
      <c r="H1140" s="4" t="inlineStr">
        <is>
          <t>20:20:00</t>
        </is>
      </c>
      <c r="I1140" s="4" t="inlineStr">
        <is>
          <t>21:50:00</t>
        </is>
      </c>
      <c r="J1140" s="4" t="inlineStr">
        <is>
          <t>319</t>
        </is>
      </c>
      <c r="K1140">
        <f>TEXT(TIMEVALUE(H1140)-TIMEVALUE(I1139)+(TIMEVALUE(H1140)&lt;TIMEVALUE(I1139)),"[h]:mm")</f>
        <v/>
      </c>
      <c r="L1140" s="4" t="inlineStr">
        <is>
          <t>01:30:00</t>
        </is>
      </c>
      <c r="O1140">
        <f>"LIM-"&amp;G1139&amp;"-LIM   LA "&amp;E1139&amp;" ("&amp;LEFT(H1139,5)&amp;"-"&amp;LEFT(I1139,5)&amp;" hrs)  /  LA "&amp;E1140&amp;" ("&amp;LEFT(H1140,5)&amp;"-"&amp;LEFT(I1140,5)&amp;" hrs)"</f>
        <v/>
      </c>
    </row>
    <row r="1141">
      <c r="J1141" s="7" t="inlineStr">
        <is>
          <t>PSV total:</t>
        </is>
      </c>
      <c r="K1141" s="8">
        <f>TEXT(TIMEVALUE(I1140)-TIMEVALUE(H1137)+(I1140&lt;H1137),"[h]:mm")</f>
        <v/>
      </c>
    </row>
    <row r="1143">
      <c r="B1143" s="3" t="inlineStr">
        <is>
          <t>Pairing ID</t>
        </is>
      </c>
      <c r="C1143" s="3" t="inlineStr">
        <is>
          <t>FECHA REAL</t>
        </is>
      </c>
      <c r="D1143" s="3" t="inlineStr">
        <is>
          <t>Day of Week</t>
        </is>
      </c>
      <c r="E1143" s="3" t="inlineStr">
        <is>
          <t>Flight No</t>
        </is>
      </c>
      <c r="F1143" s="3" t="inlineStr">
        <is>
          <t>Dep Stn</t>
        </is>
      </c>
      <c r="G1143" s="3" t="inlineStr">
        <is>
          <t>Arr Stn</t>
        </is>
      </c>
      <c r="H1143" s="3" t="inlineStr">
        <is>
          <t>STD</t>
        </is>
      </c>
      <c r="I1143" s="3" t="inlineStr">
        <is>
          <t>STA</t>
        </is>
      </c>
      <c r="J1143" s="3" t="inlineStr">
        <is>
          <t>subflota</t>
        </is>
      </c>
      <c r="K1143" s="3" t="inlineStr">
        <is>
          <t>Conexion</t>
        </is>
      </c>
      <c r="L1143" s="3" t="inlineStr">
        <is>
          <t>HBT</t>
        </is>
      </c>
    </row>
    <row r="1144">
      <c r="B1144" s="4" t="inlineStr">
        <is>
          <t>1338_0</t>
        </is>
      </c>
      <c r="C1144" s="4" t="inlineStr">
        <is>
          <t>15/09/2026</t>
        </is>
      </c>
      <c r="D1144" s="4" t="inlineStr">
        <is>
          <t>martes</t>
        </is>
      </c>
      <c r="E1144" s="4" t="inlineStr">
        <is>
          <t>2067</t>
        </is>
      </c>
      <c r="F1144" s="4" t="inlineStr">
        <is>
          <t>LIM</t>
        </is>
      </c>
      <c r="G1144" s="4" t="inlineStr">
        <is>
          <t>TCQ</t>
        </is>
      </c>
      <c r="H1144" s="4" t="inlineStr">
        <is>
          <t>13:45:00</t>
        </is>
      </c>
      <c r="I1144" s="4" t="inlineStr">
        <is>
          <t>15:35:00</t>
        </is>
      </c>
      <c r="J1144" s="4" t="inlineStr">
        <is>
          <t>320</t>
        </is>
      </c>
      <c r="L1144" s="4" t="inlineStr">
        <is>
          <t>01:50:00</t>
        </is>
      </c>
      <c r="M1144" s="5" t="n"/>
      <c r="O1144" s="5" t="n"/>
      <c r="Q1144" s="4">
        <f>B1144</f>
        <v/>
      </c>
      <c r="R1144" s="4">
        <f>C1144</f>
        <v/>
      </c>
      <c r="S1144" s="4">
        <f>D1144</f>
        <v/>
      </c>
      <c r="T1144" s="4">
        <f>E1144&amp;"/"&amp;E1145</f>
        <v/>
      </c>
      <c r="U1144" s="4">
        <f>F1144&amp;"-"&amp;G1144&amp;"-"&amp;F1144</f>
        <v/>
      </c>
      <c r="V1144" s="4">
        <f>IF($M$1144="","",$M$1144)</f>
        <v/>
      </c>
      <c r="W1144" s="4">
        <f>IF($O$1144="","",$O$1144)</f>
        <v/>
      </c>
      <c r="X1144" s="4">
        <f>J1144</f>
        <v/>
      </c>
    </row>
    <row r="1145">
      <c r="B1145" s="4" t="inlineStr">
        <is>
          <t>1338_0</t>
        </is>
      </c>
      <c r="C1145" s="4" t="inlineStr">
        <is>
          <t>15/09/2026</t>
        </is>
      </c>
      <c r="D1145" s="4" t="inlineStr">
        <is>
          <t>martes</t>
        </is>
      </c>
      <c r="E1145" s="4" t="inlineStr">
        <is>
          <t>2068</t>
        </is>
      </c>
      <c r="F1145" s="4" t="inlineStr">
        <is>
          <t>TCQ</t>
        </is>
      </c>
      <c r="G1145" s="4" t="inlineStr">
        <is>
          <t>LIM</t>
        </is>
      </c>
      <c r="H1145" s="4" t="inlineStr">
        <is>
          <t>16:20:00</t>
        </is>
      </c>
      <c r="I1145" s="4" t="inlineStr">
        <is>
          <t>18:15:00</t>
        </is>
      </c>
      <c r="J1145" s="4" t="inlineStr">
        <is>
          <t>320</t>
        </is>
      </c>
      <c r="K1145">
        <f>TEXT(TIMEVALUE(H1145)-TIMEVALUE(I1144)+(TIMEVALUE(H1145)&lt;TIMEVALUE(I1144)),"[h]:mm")</f>
        <v/>
      </c>
      <c r="L1145" s="4" t="inlineStr">
        <is>
          <t>01:55:00</t>
        </is>
      </c>
      <c r="O1145">
        <f>"LIM-"&amp;G1144&amp;"-LIM   LA "&amp;E1144&amp;" ("&amp;LEFT(H1144,5)&amp;"-"&amp;LEFT(I1144,5)&amp;" hrs)  /  LA "&amp;E1145&amp;" ("&amp;LEFT(H1145,5)&amp;"-"&amp;LEFT(I1145,5)&amp;" hrs)"</f>
        <v/>
      </c>
    </row>
    <row r="1146">
      <c r="J1146" s="7" t="inlineStr">
        <is>
          <t>PSV total:</t>
        </is>
      </c>
      <c r="K1146" s="8">
        <f>TEXT(TIMEVALUE(I1145)-TIMEVALUE(H1144)+(I1145&lt;H1144),"[h]:mm")</f>
        <v/>
      </c>
    </row>
    <row r="1148">
      <c r="B1148" s="3" t="inlineStr">
        <is>
          <t>Pairing ID</t>
        </is>
      </c>
      <c r="C1148" s="3" t="inlineStr">
        <is>
          <t>FECHA REAL</t>
        </is>
      </c>
      <c r="D1148" s="3" t="inlineStr">
        <is>
          <t>Day of Week</t>
        </is>
      </c>
      <c r="E1148" s="3" t="inlineStr">
        <is>
          <t>Flight No</t>
        </is>
      </c>
      <c r="F1148" s="3" t="inlineStr">
        <is>
          <t>Dep Stn</t>
        </is>
      </c>
      <c r="G1148" s="3" t="inlineStr">
        <is>
          <t>Arr Stn</t>
        </is>
      </c>
      <c r="H1148" s="3" t="inlineStr">
        <is>
          <t>STD</t>
        </is>
      </c>
      <c r="I1148" s="3" t="inlineStr">
        <is>
          <t>STA</t>
        </is>
      </c>
      <c r="J1148" s="3" t="inlineStr">
        <is>
          <t>subflota</t>
        </is>
      </c>
      <c r="K1148" s="3" t="inlineStr">
        <is>
          <t>Conexion</t>
        </is>
      </c>
      <c r="L1148" s="3" t="inlineStr">
        <is>
          <t>HBT</t>
        </is>
      </c>
    </row>
    <row r="1149">
      <c r="B1149" s="4" t="inlineStr">
        <is>
          <t>1340_0</t>
        </is>
      </c>
      <c r="C1149" s="4" t="inlineStr">
        <is>
          <t>15/09/2026</t>
        </is>
      </c>
      <c r="D1149" s="4" t="inlineStr">
        <is>
          <t>martes</t>
        </is>
      </c>
      <c r="E1149" s="4" t="inlineStr">
        <is>
          <t>2295</t>
        </is>
      </c>
      <c r="F1149" s="4" t="inlineStr">
        <is>
          <t>LIM</t>
        </is>
      </c>
      <c r="G1149" s="4" t="inlineStr">
        <is>
          <t>CJA</t>
        </is>
      </c>
      <c r="H1149" s="4" t="inlineStr">
        <is>
          <t>14:10:00</t>
        </is>
      </c>
      <c r="I1149" s="4" t="inlineStr">
        <is>
          <t>15:30:00</t>
        </is>
      </c>
      <c r="J1149" s="4" t="inlineStr">
        <is>
          <t>319</t>
        </is>
      </c>
      <c r="L1149" s="4" t="inlineStr">
        <is>
          <t>01:20:00</t>
        </is>
      </c>
      <c r="M1149" s="5" t="n"/>
      <c r="O1149" s="5" t="n"/>
      <c r="Q1149" s="4">
        <f>B1149</f>
        <v/>
      </c>
      <c r="R1149" s="4">
        <f>C1149</f>
        <v/>
      </c>
      <c r="S1149" s="4">
        <f>D1149</f>
        <v/>
      </c>
      <c r="T1149" s="4">
        <f>E1149&amp;"/"&amp;E1150</f>
        <v/>
      </c>
      <c r="U1149" s="4">
        <f>F1149&amp;"-"&amp;G1149&amp;"-"&amp;F1149</f>
        <v/>
      </c>
      <c r="V1149" s="4">
        <f>IF($M$1149="","",$M$1149)</f>
        <v/>
      </c>
      <c r="W1149" s="4">
        <f>IF($O$1149="","",$O$1149)</f>
        <v/>
      </c>
      <c r="X1149" s="4">
        <f>J1149</f>
        <v/>
      </c>
    </row>
    <row r="1150">
      <c r="B1150" s="4" t="inlineStr">
        <is>
          <t>1340_0</t>
        </is>
      </c>
      <c r="C1150" s="4" t="inlineStr">
        <is>
          <t>15/09/2026</t>
        </is>
      </c>
      <c r="D1150" s="4" t="inlineStr">
        <is>
          <t>martes</t>
        </is>
      </c>
      <c r="E1150" s="4" t="inlineStr">
        <is>
          <t>2294</t>
        </is>
      </c>
      <c r="F1150" s="4" t="inlineStr">
        <is>
          <t>CJA</t>
        </is>
      </c>
      <c r="G1150" s="4" t="inlineStr">
        <is>
          <t>LIM</t>
        </is>
      </c>
      <c r="H1150" s="4" t="inlineStr">
        <is>
          <t>16:10:00</t>
        </is>
      </c>
      <c r="I1150" s="4" t="inlineStr">
        <is>
          <t>17:15:00</t>
        </is>
      </c>
      <c r="J1150" s="4" t="inlineStr">
        <is>
          <t>319</t>
        </is>
      </c>
      <c r="K1150">
        <f>TEXT(TIMEVALUE(H1150)-TIMEVALUE(I1149)+(TIMEVALUE(H1150)&lt;TIMEVALUE(I1149)),"[h]:mm")</f>
        <v/>
      </c>
      <c r="L1150" s="4" t="inlineStr">
        <is>
          <t>01:05:00</t>
        </is>
      </c>
      <c r="O1150">
        <f>"LIM-"&amp;G1149&amp;"-LIM   LA "&amp;E1149&amp;" ("&amp;LEFT(H1149,5)&amp;"-"&amp;LEFT(I1149,5)&amp;" hrs)  /  LA "&amp;E1150&amp;" ("&amp;LEFT(H1150,5)&amp;"-"&amp;LEFT(I1150,5)&amp;" hrs)"</f>
        <v/>
      </c>
    </row>
    <row r="1151">
      <c r="B1151" s="4" t="inlineStr">
        <is>
          <t>1358_0</t>
        </is>
      </c>
      <c r="C1151" s="4" t="inlineStr">
        <is>
          <t>15/09/2026</t>
        </is>
      </c>
      <c r="D1151" s="4" t="inlineStr">
        <is>
          <t>martes</t>
        </is>
      </c>
      <c r="E1151" s="4" t="inlineStr">
        <is>
          <t>2223</t>
        </is>
      </c>
      <c r="F1151" s="4" t="inlineStr">
        <is>
          <t>LIM</t>
        </is>
      </c>
      <c r="G1151" s="4" t="inlineStr">
        <is>
          <t>CUZ</t>
        </is>
      </c>
      <c r="H1151" s="4" t="inlineStr">
        <is>
          <t>18:15:00</t>
        </is>
      </c>
      <c r="I1151" s="4" t="inlineStr">
        <is>
          <t>19:40:00</t>
        </is>
      </c>
      <c r="J1151" s="4" t="inlineStr">
        <is>
          <t>319</t>
        </is>
      </c>
      <c r="K1151" s="6">
        <f>TEXT(TIMEVALUE(H1151)-TIMEVALUE(I1150)+(TIMEVALUE(H1151)&lt;TIMEVALUE(I1150)),"[h]:mm")</f>
        <v/>
      </c>
      <c r="L1151" s="4" t="inlineStr">
        <is>
          <t>01:25:00</t>
        </is>
      </c>
      <c r="M1151">
        <f>IF($M$1149="","",$M$1149)</f>
        <v/>
      </c>
      <c r="O1151">
        <f>IF($O$1149="","",$O$1149)</f>
        <v/>
      </c>
      <c r="Q1151" s="4">
        <f>B1151</f>
        <v/>
      </c>
      <c r="R1151" s="4">
        <f>C1151</f>
        <v/>
      </c>
      <c r="S1151" s="4">
        <f>D1151</f>
        <v/>
      </c>
      <c r="T1151" s="4">
        <f>E1151&amp;"/"&amp;E1152</f>
        <v/>
      </c>
      <c r="U1151" s="4">
        <f>F1151&amp;"-"&amp;G1151&amp;"-"&amp;F1151</f>
        <v/>
      </c>
      <c r="V1151" s="4">
        <f>IF($M$1149="","",$M$1149)</f>
        <v/>
      </c>
      <c r="W1151" s="4">
        <f>IF($O$1149="","",$O$1149)</f>
        <v/>
      </c>
      <c r="X1151" s="4">
        <f>J1151</f>
        <v/>
      </c>
    </row>
    <row r="1152">
      <c r="B1152" s="4" t="inlineStr">
        <is>
          <t>1358_0</t>
        </is>
      </c>
      <c r="C1152" s="4" t="inlineStr">
        <is>
          <t>15/09/2026</t>
        </is>
      </c>
      <c r="D1152" s="4" t="inlineStr">
        <is>
          <t>martes</t>
        </is>
      </c>
      <c r="E1152" s="4" t="inlineStr">
        <is>
          <t>2224</t>
        </is>
      </c>
      <c r="F1152" s="4" t="inlineStr">
        <is>
          <t>CUZ</t>
        </is>
      </c>
      <c r="G1152" s="4" t="inlineStr">
        <is>
          <t>LIM</t>
        </is>
      </c>
      <c r="H1152" s="4" t="inlineStr">
        <is>
          <t>21:20:00</t>
        </is>
      </c>
      <c r="I1152" s="4" t="inlineStr">
        <is>
          <t>22:55:00</t>
        </is>
      </c>
      <c r="J1152" s="4" t="inlineStr">
        <is>
          <t>319</t>
        </is>
      </c>
      <c r="K1152">
        <f>TEXT(TIMEVALUE(H1152)-TIMEVALUE(I1151)+(TIMEVALUE(H1152)&lt;TIMEVALUE(I1151)),"[h]:mm")</f>
        <v/>
      </c>
      <c r="L1152" s="4" t="inlineStr">
        <is>
          <t>01:35:00</t>
        </is>
      </c>
      <c r="O1152">
        <f>"LIM-"&amp;G1151&amp;"-LIM   LA "&amp;E1151&amp;" ("&amp;LEFT(H1151,5)&amp;"-"&amp;LEFT(I1151,5)&amp;" hrs)  /  LA "&amp;E1152&amp;" ("&amp;LEFT(H1152,5)&amp;"-"&amp;LEFT(I1152,5)&amp;" hrs)"</f>
        <v/>
      </c>
    </row>
    <row r="1153">
      <c r="J1153" s="7" t="inlineStr">
        <is>
          <t>PSV total:</t>
        </is>
      </c>
      <c r="K1153" s="8">
        <f>TEXT(TIMEVALUE(I1152)-TIMEVALUE(H1149)+(I1152&lt;H1149),"[h]:mm")</f>
        <v/>
      </c>
    </row>
    <row r="1155">
      <c r="B1155" s="3" t="inlineStr">
        <is>
          <t>Pairing ID</t>
        </is>
      </c>
      <c r="C1155" s="3" t="inlineStr">
        <is>
          <t>FECHA REAL</t>
        </is>
      </c>
      <c r="D1155" s="3" t="inlineStr">
        <is>
          <t>Day of Week</t>
        </is>
      </c>
      <c r="E1155" s="3" t="inlineStr">
        <is>
          <t>Flight No</t>
        </is>
      </c>
      <c r="F1155" s="3" t="inlineStr">
        <is>
          <t>Dep Stn</t>
        </is>
      </c>
      <c r="G1155" s="3" t="inlineStr">
        <is>
          <t>Arr Stn</t>
        </is>
      </c>
      <c r="H1155" s="3" t="inlineStr">
        <is>
          <t>STD</t>
        </is>
      </c>
      <c r="I1155" s="3" t="inlineStr">
        <is>
          <t>STA</t>
        </is>
      </c>
      <c r="J1155" s="3" t="inlineStr">
        <is>
          <t>subflota</t>
        </is>
      </c>
      <c r="K1155" s="3" t="inlineStr">
        <is>
          <t>Conexion</t>
        </is>
      </c>
      <c r="L1155" s="3" t="inlineStr">
        <is>
          <t>HBT</t>
        </is>
      </c>
    </row>
    <row r="1156">
      <c r="B1156" s="4" t="inlineStr">
        <is>
          <t>1343_0</t>
        </is>
      </c>
      <c r="C1156" s="4" t="inlineStr">
        <is>
          <t>15/09/2026</t>
        </is>
      </c>
      <c r="D1156" s="4" t="inlineStr">
        <is>
          <t>martes</t>
        </is>
      </c>
      <c r="E1156" s="4" t="inlineStr">
        <is>
          <t>2338</t>
        </is>
      </c>
      <c r="F1156" s="4" t="inlineStr">
        <is>
          <t>LIM</t>
        </is>
      </c>
      <c r="G1156" s="4" t="inlineStr">
        <is>
          <t>PIU</t>
        </is>
      </c>
      <c r="H1156" s="4" t="inlineStr">
        <is>
          <t>15:00:00</t>
        </is>
      </c>
      <c r="I1156" s="4" t="inlineStr">
        <is>
          <t>16:45:00</t>
        </is>
      </c>
      <c r="J1156" s="4" t="inlineStr">
        <is>
          <t>320</t>
        </is>
      </c>
      <c r="L1156" s="4" t="inlineStr">
        <is>
          <t>01:45:00</t>
        </is>
      </c>
      <c r="M1156" s="5" t="n"/>
      <c r="O1156" s="5" t="n"/>
      <c r="Q1156" s="4">
        <f>B1156</f>
        <v/>
      </c>
      <c r="R1156" s="4">
        <f>C1156</f>
        <v/>
      </c>
      <c r="S1156" s="4">
        <f>D1156</f>
        <v/>
      </c>
      <c r="T1156" s="4">
        <f>E1156&amp;"/"&amp;E1157</f>
        <v/>
      </c>
      <c r="U1156" s="4">
        <f>F1156&amp;"-"&amp;G1156&amp;"-"&amp;F1156</f>
        <v/>
      </c>
      <c r="V1156" s="4">
        <f>IF($M$1156="","",$M$1156)</f>
        <v/>
      </c>
      <c r="W1156" s="4">
        <f>IF($O$1156="","",$O$1156)</f>
        <v/>
      </c>
      <c r="X1156" s="4">
        <f>J1156</f>
        <v/>
      </c>
    </row>
    <row r="1157">
      <c r="B1157" s="4" t="inlineStr">
        <is>
          <t>1343_0</t>
        </is>
      </c>
      <c r="C1157" s="4" t="inlineStr">
        <is>
          <t>15/09/2026</t>
        </is>
      </c>
      <c r="D1157" s="4" t="inlineStr">
        <is>
          <t>martes</t>
        </is>
      </c>
      <c r="E1157" s="4" t="inlineStr">
        <is>
          <t>2339</t>
        </is>
      </c>
      <c r="F1157" s="4" t="inlineStr">
        <is>
          <t>PIU</t>
        </is>
      </c>
      <c r="G1157" s="4" t="inlineStr">
        <is>
          <t>LIM</t>
        </is>
      </c>
      <c r="H1157" s="4" t="inlineStr">
        <is>
          <t>17:20:00</t>
        </is>
      </c>
      <c r="I1157" s="4" t="inlineStr">
        <is>
          <t>18:50:00</t>
        </is>
      </c>
      <c r="J1157" s="4" t="inlineStr">
        <is>
          <t>320</t>
        </is>
      </c>
      <c r="K1157">
        <f>TEXT(TIMEVALUE(H1157)-TIMEVALUE(I1156)+(TIMEVALUE(H1157)&lt;TIMEVALUE(I1156)),"[h]:mm")</f>
        <v/>
      </c>
      <c r="L1157" s="4" t="inlineStr">
        <is>
          <t>01:30:00</t>
        </is>
      </c>
      <c r="O1157">
        <f>"LIM-"&amp;G1156&amp;"-LIM   LA "&amp;E1156&amp;" ("&amp;LEFT(H1156,5)&amp;"-"&amp;LEFT(I1156,5)&amp;" hrs)  /  LA "&amp;E1157&amp;" ("&amp;LEFT(H1157,5)&amp;"-"&amp;LEFT(I1157,5)&amp;" hrs)"</f>
        <v/>
      </c>
    </row>
    <row r="1158">
      <c r="J1158" s="7" t="inlineStr">
        <is>
          <t>PSV total:</t>
        </is>
      </c>
      <c r="K1158" s="8">
        <f>TEXT(TIMEVALUE(I1157)-TIMEVALUE(H1156)+(I1157&lt;H1156),"[h]:mm")</f>
        <v/>
      </c>
    </row>
    <row r="1160">
      <c r="B1160" s="3" t="inlineStr">
        <is>
          <t>Pairing ID</t>
        </is>
      </c>
      <c r="C1160" s="3" t="inlineStr">
        <is>
          <t>FECHA REAL</t>
        </is>
      </c>
      <c r="D1160" s="3" t="inlineStr">
        <is>
          <t>Day of Week</t>
        </is>
      </c>
      <c r="E1160" s="3" t="inlineStr">
        <is>
          <t>Flight No</t>
        </is>
      </c>
      <c r="F1160" s="3" t="inlineStr">
        <is>
          <t>Dep Stn</t>
        </is>
      </c>
      <c r="G1160" s="3" t="inlineStr">
        <is>
          <t>Arr Stn</t>
        </is>
      </c>
      <c r="H1160" s="3" t="inlineStr">
        <is>
          <t>STD</t>
        </is>
      </c>
      <c r="I1160" s="3" t="inlineStr">
        <is>
          <t>STA</t>
        </is>
      </c>
      <c r="J1160" s="3" t="inlineStr">
        <is>
          <t>subflota</t>
        </is>
      </c>
      <c r="K1160" s="3" t="inlineStr">
        <is>
          <t>Conexion</t>
        </is>
      </c>
      <c r="L1160" s="3" t="inlineStr">
        <is>
          <t>HBT</t>
        </is>
      </c>
    </row>
    <row r="1161">
      <c r="B1161" s="4" t="inlineStr">
        <is>
          <t>1346_0</t>
        </is>
      </c>
      <c r="C1161" s="4" t="inlineStr">
        <is>
          <t>15/09/2026</t>
        </is>
      </c>
      <c r="D1161" s="4" t="inlineStr">
        <is>
          <t>martes</t>
        </is>
      </c>
      <c r="E1161" s="4" t="inlineStr">
        <is>
          <t>2297</t>
        </is>
      </c>
      <c r="F1161" s="4" t="inlineStr">
        <is>
          <t>LIM</t>
        </is>
      </c>
      <c r="G1161" s="4" t="inlineStr">
        <is>
          <t>CJA</t>
        </is>
      </c>
      <c r="H1161" s="4" t="inlineStr">
        <is>
          <t>15:15:00</t>
        </is>
      </c>
      <c r="I1161" s="4" t="inlineStr">
        <is>
          <t>16:35:00</t>
        </is>
      </c>
      <c r="J1161" s="4" t="inlineStr">
        <is>
          <t>319</t>
        </is>
      </c>
      <c r="L1161" s="4" t="inlineStr">
        <is>
          <t>01:20:00</t>
        </is>
      </c>
      <c r="M1161" s="5" t="n"/>
      <c r="O1161" s="5" t="n"/>
      <c r="Q1161" s="4">
        <f>B1161</f>
        <v/>
      </c>
      <c r="R1161" s="4">
        <f>C1161</f>
        <v/>
      </c>
      <c r="S1161" s="4">
        <f>D1161</f>
        <v/>
      </c>
      <c r="T1161" s="4">
        <f>E1161&amp;"/"&amp;E1162</f>
        <v/>
      </c>
      <c r="U1161" s="4">
        <f>F1161&amp;"-"&amp;G1161&amp;"-"&amp;F1161</f>
        <v/>
      </c>
      <c r="V1161" s="4">
        <f>IF($M$1161="","",$M$1161)</f>
        <v/>
      </c>
      <c r="W1161" s="4">
        <f>IF($O$1161="","",$O$1161)</f>
        <v/>
      </c>
      <c r="X1161" s="4">
        <f>J1161</f>
        <v/>
      </c>
    </row>
    <row r="1162">
      <c r="B1162" s="4" t="inlineStr">
        <is>
          <t>1346_0</t>
        </is>
      </c>
      <c r="C1162" s="4" t="inlineStr">
        <is>
          <t>15/09/2026</t>
        </is>
      </c>
      <c r="D1162" s="4" t="inlineStr">
        <is>
          <t>martes</t>
        </is>
      </c>
      <c r="E1162" s="4" t="inlineStr">
        <is>
          <t>2296</t>
        </is>
      </c>
      <c r="F1162" s="4" t="inlineStr">
        <is>
          <t>CJA</t>
        </is>
      </c>
      <c r="G1162" s="4" t="inlineStr">
        <is>
          <t>LIM</t>
        </is>
      </c>
      <c r="H1162" s="4" t="inlineStr">
        <is>
          <t>17:20:00</t>
        </is>
      </c>
      <c r="I1162" s="4" t="inlineStr">
        <is>
          <t>18:25:00</t>
        </is>
      </c>
      <c r="J1162" s="4" t="inlineStr">
        <is>
          <t>319</t>
        </is>
      </c>
      <c r="K1162">
        <f>TEXT(TIMEVALUE(H1162)-TIMEVALUE(I1161)+(TIMEVALUE(H1162)&lt;TIMEVALUE(I1161)),"[h]:mm")</f>
        <v/>
      </c>
      <c r="L1162" s="4" t="inlineStr">
        <is>
          <t>01:05:00</t>
        </is>
      </c>
      <c r="O1162">
        <f>"LIM-"&amp;G1161&amp;"-LIM   LA "&amp;E1161&amp;" ("&amp;LEFT(H1161,5)&amp;"-"&amp;LEFT(I1161,5)&amp;" hrs)  /  LA "&amp;E1162&amp;" ("&amp;LEFT(H1162,5)&amp;"-"&amp;LEFT(I1162,5)&amp;" hrs)"</f>
        <v/>
      </c>
    </row>
    <row r="1163">
      <c r="J1163" s="7" t="inlineStr">
        <is>
          <t>PSV total:</t>
        </is>
      </c>
      <c r="K1163" s="8">
        <f>TEXT(TIMEVALUE(I1162)-TIMEVALUE(H1161)+(I1162&lt;H1161),"[h]:mm")</f>
        <v/>
      </c>
    </row>
    <row r="1165">
      <c r="B1165" s="3" t="inlineStr">
        <is>
          <t>Pairing ID</t>
        </is>
      </c>
      <c r="C1165" s="3" t="inlineStr">
        <is>
          <t>FECHA REAL</t>
        </is>
      </c>
      <c r="D1165" s="3" t="inlineStr">
        <is>
          <t>Day of Week</t>
        </is>
      </c>
      <c r="E1165" s="3" t="inlineStr">
        <is>
          <t>Flight No</t>
        </is>
      </c>
      <c r="F1165" s="3" t="inlineStr">
        <is>
          <t>Dep Stn</t>
        </is>
      </c>
      <c r="G1165" s="3" t="inlineStr">
        <is>
          <t>Arr Stn</t>
        </is>
      </c>
      <c r="H1165" s="3" t="inlineStr">
        <is>
          <t>STD</t>
        </is>
      </c>
      <c r="I1165" s="3" t="inlineStr">
        <is>
          <t>STA</t>
        </is>
      </c>
      <c r="J1165" s="3" t="inlineStr">
        <is>
          <t>subflota</t>
        </is>
      </c>
      <c r="K1165" s="3" t="inlineStr">
        <is>
          <t>Conexion</t>
        </is>
      </c>
      <c r="L1165" s="3" t="inlineStr">
        <is>
          <t>HBT</t>
        </is>
      </c>
    </row>
    <row r="1166">
      <c r="B1166" s="4" t="inlineStr">
        <is>
          <t>1348_0</t>
        </is>
      </c>
      <c r="C1166" s="4" t="inlineStr">
        <is>
          <t>15/09/2026</t>
        </is>
      </c>
      <c r="D1166" s="4" t="inlineStr">
        <is>
          <t>martes</t>
        </is>
      </c>
      <c r="E1166" s="4" t="inlineStr">
        <is>
          <t>2312</t>
        </is>
      </c>
      <c r="F1166" s="4" t="inlineStr">
        <is>
          <t>LIM</t>
        </is>
      </c>
      <c r="G1166" s="4" t="inlineStr">
        <is>
          <t>CIX</t>
        </is>
      </c>
      <c r="H1166" s="4" t="inlineStr">
        <is>
          <t>15:35:00</t>
        </is>
      </c>
      <c r="I1166" s="4" t="inlineStr">
        <is>
          <t>17:05:00</t>
        </is>
      </c>
      <c r="J1166" s="4" t="inlineStr">
        <is>
          <t>320</t>
        </is>
      </c>
      <c r="L1166" s="4" t="inlineStr">
        <is>
          <t>01:30:00</t>
        </is>
      </c>
      <c r="M1166" s="5" t="n"/>
      <c r="O1166" s="5" t="n"/>
      <c r="Q1166" s="4">
        <f>B1166</f>
        <v/>
      </c>
      <c r="R1166" s="4">
        <f>C1166</f>
        <v/>
      </c>
      <c r="S1166" s="4">
        <f>D1166</f>
        <v/>
      </c>
      <c r="T1166" s="4">
        <f>E1166&amp;"/"&amp;E1167</f>
        <v/>
      </c>
      <c r="U1166" s="4">
        <f>F1166&amp;"-"&amp;G1166&amp;"-"&amp;F1166</f>
        <v/>
      </c>
      <c r="V1166" s="4">
        <f>IF($M$1166="","",$M$1166)</f>
        <v/>
      </c>
      <c r="W1166" s="4">
        <f>IF($O$1166="","",$O$1166)</f>
        <v/>
      </c>
      <c r="X1166" s="4">
        <f>J1166</f>
        <v/>
      </c>
    </row>
    <row r="1167">
      <c r="B1167" s="4" t="inlineStr">
        <is>
          <t>1348_0</t>
        </is>
      </c>
      <c r="C1167" s="4" t="inlineStr">
        <is>
          <t>15/09/2026</t>
        </is>
      </c>
      <c r="D1167" s="4" t="inlineStr">
        <is>
          <t>martes</t>
        </is>
      </c>
      <c r="E1167" s="4" t="inlineStr">
        <is>
          <t>2313</t>
        </is>
      </c>
      <c r="F1167" s="4" t="inlineStr">
        <is>
          <t>CIX</t>
        </is>
      </c>
      <c r="G1167" s="4" t="inlineStr">
        <is>
          <t>LIM</t>
        </is>
      </c>
      <c r="H1167" s="4" t="inlineStr">
        <is>
          <t>17:50:00</t>
        </is>
      </c>
      <c r="I1167" s="4" t="inlineStr">
        <is>
          <t>19:10:00</t>
        </is>
      </c>
      <c r="J1167" s="4" t="inlineStr">
        <is>
          <t>320</t>
        </is>
      </c>
      <c r="K1167">
        <f>TEXT(TIMEVALUE(H1167)-TIMEVALUE(I1166)+(TIMEVALUE(H1167)&lt;TIMEVALUE(I1166)),"[h]:mm")</f>
        <v/>
      </c>
      <c r="L1167" s="4" t="inlineStr">
        <is>
          <t>01:20:00</t>
        </is>
      </c>
      <c r="O1167">
        <f>"LIM-"&amp;G1166&amp;"-LIM   LA "&amp;E1166&amp;" ("&amp;LEFT(H1166,5)&amp;"-"&amp;LEFT(I1166,5)&amp;" hrs)  /  LA "&amp;E1167&amp;" ("&amp;LEFT(H1167,5)&amp;"-"&amp;LEFT(I1167,5)&amp;" hrs)"</f>
        <v/>
      </c>
    </row>
    <row r="1168">
      <c r="J1168" s="7" t="inlineStr">
        <is>
          <t>PSV total:</t>
        </is>
      </c>
      <c r="K1168" s="8">
        <f>TEXT(TIMEVALUE(I1167)-TIMEVALUE(H1166)+(I1167&lt;H1166),"[h]:mm")</f>
        <v/>
      </c>
    </row>
    <row r="1170">
      <c r="B1170" s="3" t="inlineStr">
        <is>
          <t>Pairing ID</t>
        </is>
      </c>
      <c r="C1170" s="3" t="inlineStr">
        <is>
          <t>FECHA REAL</t>
        </is>
      </c>
      <c r="D1170" s="3" t="inlineStr">
        <is>
          <t>Day of Week</t>
        </is>
      </c>
      <c r="E1170" s="3" t="inlineStr">
        <is>
          <t>Flight No</t>
        </is>
      </c>
      <c r="F1170" s="3" t="inlineStr">
        <is>
          <t>Dep Stn</t>
        </is>
      </c>
      <c r="G1170" s="3" t="inlineStr">
        <is>
          <t>Arr Stn</t>
        </is>
      </c>
      <c r="H1170" s="3" t="inlineStr">
        <is>
          <t>STD</t>
        </is>
      </c>
      <c r="I1170" s="3" t="inlineStr">
        <is>
          <t>STA</t>
        </is>
      </c>
      <c r="J1170" s="3" t="inlineStr">
        <is>
          <t>subflota</t>
        </is>
      </c>
      <c r="K1170" s="3" t="inlineStr">
        <is>
          <t>Conexion</t>
        </is>
      </c>
      <c r="L1170" s="3" t="inlineStr">
        <is>
          <t>HBT</t>
        </is>
      </c>
    </row>
    <row r="1171">
      <c r="B1171" s="4" t="inlineStr">
        <is>
          <t>1349_0</t>
        </is>
      </c>
      <c r="C1171" s="4" t="inlineStr">
        <is>
          <t>15/09/2026</t>
        </is>
      </c>
      <c r="D1171" s="4" t="inlineStr">
        <is>
          <t>martes</t>
        </is>
      </c>
      <c r="E1171" s="4" t="inlineStr">
        <is>
          <t>2301</t>
        </is>
      </c>
      <c r="F1171" s="4" t="inlineStr">
        <is>
          <t>LIM</t>
        </is>
      </c>
      <c r="G1171" s="4" t="inlineStr">
        <is>
          <t>TPP</t>
        </is>
      </c>
      <c r="H1171" s="4" t="inlineStr">
        <is>
          <t>15:40:00</t>
        </is>
      </c>
      <c r="I1171" s="4" t="inlineStr">
        <is>
          <t>17:05:00</t>
        </is>
      </c>
      <c r="J1171" s="4" t="inlineStr">
        <is>
          <t>320</t>
        </is>
      </c>
      <c r="L1171" s="4" t="inlineStr">
        <is>
          <t>01:25:00</t>
        </is>
      </c>
      <c r="M1171" s="5" t="n"/>
      <c r="O1171" s="5" t="n"/>
      <c r="Q1171" s="4">
        <f>B1171</f>
        <v/>
      </c>
      <c r="R1171" s="4">
        <f>C1171</f>
        <v/>
      </c>
      <c r="S1171" s="4">
        <f>D1171</f>
        <v/>
      </c>
      <c r="T1171" s="4">
        <f>E1171&amp;"/"&amp;E1172</f>
        <v/>
      </c>
      <c r="U1171" s="4">
        <f>F1171&amp;"-"&amp;G1171&amp;"-"&amp;F1171</f>
        <v/>
      </c>
      <c r="V1171" s="4">
        <f>IF($M$1171="","",$M$1171)</f>
        <v/>
      </c>
      <c r="W1171" s="4">
        <f>IF($O$1171="","",$O$1171)</f>
        <v/>
      </c>
      <c r="X1171" s="4">
        <f>J1171</f>
        <v/>
      </c>
    </row>
    <row r="1172">
      <c r="B1172" s="4" t="inlineStr">
        <is>
          <t>1349_0</t>
        </is>
      </c>
      <c r="C1172" s="4" t="inlineStr">
        <is>
          <t>15/09/2026</t>
        </is>
      </c>
      <c r="D1172" s="4" t="inlineStr">
        <is>
          <t>martes</t>
        </is>
      </c>
      <c r="E1172" s="4" t="inlineStr">
        <is>
          <t>2300</t>
        </is>
      </c>
      <c r="F1172" s="4" t="inlineStr">
        <is>
          <t>TPP</t>
        </is>
      </c>
      <c r="G1172" s="4" t="inlineStr">
        <is>
          <t>LIM</t>
        </is>
      </c>
      <c r="H1172" s="4" t="inlineStr">
        <is>
          <t>17:50:00</t>
        </is>
      </c>
      <c r="I1172" s="4" t="inlineStr">
        <is>
          <t>19:15:00</t>
        </is>
      </c>
      <c r="J1172" s="4" t="inlineStr">
        <is>
          <t>320</t>
        </is>
      </c>
      <c r="K1172">
        <f>TEXT(TIMEVALUE(H1172)-TIMEVALUE(I1171)+(TIMEVALUE(H1172)&lt;TIMEVALUE(I1171)),"[h]:mm")</f>
        <v/>
      </c>
      <c r="L1172" s="4" t="inlineStr">
        <is>
          <t>01:25:00</t>
        </is>
      </c>
      <c r="O1172">
        <f>"LIM-"&amp;G1171&amp;"-LIM   LA "&amp;E1171&amp;" ("&amp;LEFT(H1171,5)&amp;"-"&amp;LEFT(I1171,5)&amp;" hrs)  /  LA "&amp;E1172&amp;" ("&amp;LEFT(H1172,5)&amp;"-"&amp;LEFT(I1172,5)&amp;" hrs)"</f>
        <v/>
      </c>
    </row>
    <row r="1173">
      <c r="J1173" s="7" t="inlineStr">
        <is>
          <t>PSV total:</t>
        </is>
      </c>
      <c r="K1173" s="8">
        <f>TEXT(TIMEVALUE(I1172)-TIMEVALUE(H1171)+(I1172&lt;H1171),"[h]:mm")</f>
        <v/>
      </c>
    </row>
    <row r="1175">
      <c r="B1175" s="3" t="inlineStr">
        <is>
          <t>Pairing ID</t>
        </is>
      </c>
      <c r="C1175" s="3" t="inlineStr">
        <is>
          <t>FECHA REAL</t>
        </is>
      </c>
      <c r="D1175" s="3" t="inlineStr">
        <is>
          <t>Day of Week</t>
        </is>
      </c>
      <c r="E1175" s="3" t="inlineStr">
        <is>
          <t>Flight No</t>
        </is>
      </c>
      <c r="F1175" s="3" t="inlineStr">
        <is>
          <t>Dep Stn</t>
        </is>
      </c>
      <c r="G1175" s="3" t="inlineStr">
        <is>
          <t>Arr Stn</t>
        </is>
      </c>
      <c r="H1175" s="3" t="inlineStr">
        <is>
          <t>STD</t>
        </is>
      </c>
      <c r="I1175" s="3" t="inlineStr">
        <is>
          <t>STA</t>
        </is>
      </c>
      <c r="J1175" s="3" t="inlineStr">
        <is>
          <t>subflota</t>
        </is>
      </c>
      <c r="K1175" s="3" t="inlineStr">
        <is>
          <t>Conexion</t>
        </is>
      </c>
      <c r="L1175" s="3" t="inlineStr">
        <is>
          <t>HBT</t>
        </is>
      </c>
    </row>
    <row r="1176">
      <c r="B1176" s="4" t="inlineStr">
        <is>
          <t>1350_0</t>
        </is>
      </c>
      <c r="C1176" s="4" t="inlineStr">
        <is>
          <t>15/09/2026</t>
        </is>
      </c>
      <c r="D1176" s="4" t="inlineStr">
        <is>
          <t>martes</t>
        </is>
      </c>
      <c r="E1176" s="4" t="inlineStr">
        <is>
          <t>2301</t>
        </is>
      </c>
      <c r="F1176" s="4" t="inlineStr">
        <is>
          <t>LIM</t>
        </is>
      </c>
      <c r="G1176" s="4" t="inlineStr">
        <is>
          <t>TPP</t>
        </is>
      </c>
      <c r="H1176" s="4" t="inlineStr">
        <is>
          <t>15:40:00</t>
        </is>
      </c>
      <c r="I1176" s="4" t="inlineStr">
        <is>
          <t>17:05:00</t>
        </is>
      </c>
      <c r="J1176" s="4" t="inlineStr">
        <is>
          <t>320</t>
        </is>
      </c>
      <c r="L1176" s="4" t="inlineStr">
        <is>
          <t>01:25:00</t>
        </is>
      </c>
      <c r="M1176" s="5" t="n"/>
      <c r="O1176" s="5" t="n"/>
      <c r="Q1176" s="4">
        <f>B1176</f>
        <v/>
      </c>
      <c r="R1176" s="4">
        <f>C1176</f>
        <v/>
      </c>
      <c r="S1176" s="4">
        <f>D1176</f>
        <v/>
      </c>
      <c r="T1176" s="4">
        <f>E1176&amp;"/"&amp;E1177</f>
        <v/>
      </c>
      <c r="U1176" s="4">
        <f>F1176&amp;"-"&amp;G1176&amp;"-"&amp;F1176</f>
        <v/>
      </c>
      <c r="V1176" s="4">
        <f>IF($M$1176="","",$M$1176)</f>
        <v/>
      </c>
      <c r="W1176" s="4">
        <f>IF($O$1176="","",$O$1176)</f>
        <v/>
      </c>
      <c r="X1176" s="4">
        <f>J1176</f>
        <v/>
      </c>
    </row>
    <row r="1177">
      <c r="B1177" s="4" t="inlineStr">
        <is>
          <t>1350_0</t>
        </is>
      </c>
      <c r="C1177" s="4" t="inlineStr">
        <is>
          <t>15/09/2026</t>
        </is>
      </c>
      <c r="D1177" s="4" t="inlineStr">
        <is>
          <t>martes</t>
        </is>
      </c>
      <c r="E1177" s="4" t="inlineStr">
        <is>
          <t>2300</t>
        </is>
      </c>
      <c r="F1177" s="4" t="inlineStr">
        <is>
          <t>TPP</t>
        </is>
      </c>
      <c r="G1177" s="4" t="inlineStr">
        <is>
          <t>LIM</t>
        </is>
      </c>
      <c r="H1177" s="4" t="inlineStr">
        <is>
          <t>17:50:00</t>
        </is>
      </c>
      <c r="I1177" s="4" t="inlineStr">
        <is>
          <t>19:15:00</t>
        </is>
      </c>
      <c r="J1177" s="4" t="inlineStr">
        <is>
          <t>320</t>
        </is>
      </c>
      <c r="K1177">
        <f>TEXT(TIMEVALUE(H1177)-TIMEVALUE(I1176)+(TIMEVALUE(H1177)&lt;TIMEVALUE(I1176)),"[h]:mm")</f>
        <v/>
      </c>
      <c r="L1177" s="4" t="inlineStr">
        <is>
          <t>01:25:00</t>
        </is>
      </c>
      <c r="O1177">
        <f>"LIM-"&amp;G1176&amp;"-LIM   LA "&amp;E1176&amp;" ("&amp;LEFT(H1176,5)&amp;"-"&amp;LEFT(I1176,5)&amp;" hrs)  /  LA "&amp;E1177&amp;" ("&amp;LEFT(H1177,5)&amp;"-"&amp;LEFT(I1177,5)&amp;" hrs)"</f>
        <v/>
      </c>
    </row>
    <row r="1178">
      <c r="J1178" s="7" t="inlineStr">
        <is>
          <t>PSV total:</t>
        </is>
      </c>
      <c r="K1178" s="8">
        <f>TEXT(TIMEVALUE(I1177)-TIMEVALUE(H1176)+(I1177&lt;H1176),"[h]:mm")</f>
        <v/>
      </c>
    </row>
    <row r="1180">
      <c r="B1180" s="3" t="inlineStr">
        <is>
          <t>Pairing ID</t>
        </is>
      </c>
      <c r="C1180" s="3" t="inlineStr">
        <is>
          <t>FECHA REAL</t>
        </is>
      </c>
      <c r="D1180" s="3" t="inlineStr">
        <is>
          <t>Day of Week</t>
        </is>
      </c>
      <c r="E1180" s="3" t="inlineStr">
        <is>
          <t>Flight No</t>
        </is>
      </c>
      <c r="F1180" s="3" t="inlineStr">
        <is>
          <t>Dep Stn</t>
        </is>
      </c>
      <c r="G1180" s="3" t="inlineStr">
        <is>
          <t>Arr Stn</t>
        </is>
      </c>
      <c r="H1180" s="3" t="inlineStr">
        <is>
          <t>STD</t>
        </is>
      </c>
      <c r="I1180" s="3" t="inlineStr">
        <is>
          <t>STA</t>
        </is>
      </c>
      <c r="J1180" s="3" t="inlineStr">
        <is>
          <t>subflota</t>
        </is>
      </c>
      <c r="K1180" s="3" t="inlineStr">
        <is>
          <t>Conexion</t>
        </is>
      </c>
      <c r="L1180" s="3" t="inlineStr">
        <is>
          <t>HBT</t>
        </is>
      </c>
    </row>
    <row r="1181">
      <c r="B1181" s="4" t="inlineStr">
        <is>
          <t>1355_0</t>
        </is>
      </c>
      <c r="C1181" s="4" t="inlineStr">
        <is>
          <t>15/09/2026</t>
        </is>
      </c>
      <c r="D1181" s="4" t="inlineStr">
        <is>
          <t>martes</t>
        </is>
      </c>
      <c r="E1181" s="4" t="inlineStr">
        <is>
          <t>2213</t>
        </is>
      </c>
      <c r="F1181" s="4" t="inlineStr">
        <is>
          <t>LIM</t>
        </is>
      </c>
      <c r="G1181" s="4" t="inlineStr">
        <is>
          <t>CIX</t>
        </is>
      </c>
      <c r="H1181" s="4" t="inlineStr">
        <is>
          <t>17:20:00</t>
        </is>
      </c>
      <c r="I1181" s="4" t="inlineStr">
        <is>
          <t>18:50:00</t>
        </is>
      </c>
      <c r="J1181" s="4" t="inlineStr">
        <is>
          <t>320</t>
        </is>
      </c>
      <c r="L1181" s="4" t="inlineStr">
        <is>
          <t>01:30:00</t>
        </is>
      </c>
      <c r="M1181" s="5" t="n"/>
      <c r="O1181" s="5" t="n"/>
      <c r="Q1181" s="4">
        <f>B1181</f>
        <v/>
      </c>
      <c r="R1181" s="4">
        <f>C1181</f>
        <v/>
      </c>
      <c r="S1181" s="4">
        <f>D1181</f>
        <v/>
      </c>
      <c r="T1181" s="4">
        <f>E1181&amp;"/"&amp;E1182</f>
        <v/>
      </c>
      <c r="U1181" s="4">
        <f>F1181&amp;"-"&amp;G1181&amp;"-"&amp;F1181</f>
        <v/>
      </c>
      <c r="V1181" s="4">
        <f>IF($M$1181="","",$M$1181)</f>
        <v/>
      </c>
      <c r="W1181" s="4">
        <f>IF($O$1181="","",$O$1181)</f>
        <v/>
      </c>
      <c r="X1181" s="4">
        <f>J1181</f>
        <v/>
      </c>
    </row>
    <row r="1182">
      <c r="B1182" s="4" t="inlineStr">
        <is>
          <t>1355_0</t>
        </is>
      </c>
      <c r="C1182" s="4" t="inlineStr">
        <is>
          <t>15/09/2026</t>
        </is>
      </c>
      <c r="D1182" s="4" t="inlineStr">
        <is>
          <t>martes</t>
        </is>
      </c>
      <c r="E1182" s="4" t="inlineStr">
        <is>
          <t>2214</t>
        </is>
      </c>
      <c r="F1182" s="4" t="inlineStr">
        <is>
          <t>CIX</t>
        </is>
      </c>
      <c r="G1182" s="4" t="inlineStr">
        <is>
          <t>LIM</t>
        </is>
      </c>
      <c r="H1182" s="4" t="inlineStr">
        <is>
          <t>19:25:00</t>
        </is>
      </c>
      <c r="I1182" s="4" t="inlineStr">
        <is>
          <t>20:40:00</t>
        </is>
      </c>
      <c r="J1182" s="4" t="inlineStr">
        <is>
          <t>320</t>
        </is>
      </c>
      <c r="K1182">
        <f>TEXT(TIMEVALUE(H1182)-TIMEVALUE(I1181)+(TIMEVALUE(H1182)&lt;TIMEVALUE(I1181)),"[h]:mm")</f>
        <v/>
      </c>
      <c r="L1182" s="4" t="inlineStr">
        <is>
          <t>01:15:00</t>
        </is>
      </c>
      <c r="O1182">
        <f>"LIM-"&amp;G1181&amp;"-LIM   LA "&amp;E1181&amp;" ("&amp;LEFT(H1181,5)&amp;"-"&amp;LEFT(I1181,5)&amp;" hrs)  /  LA "&amp;E1182&amp;" ("&amp;LEFT(H1182,5)&amp;"-"&amp;LEFT(I1182,5)&amp;" hrs)"</f>
        <v/>
      </c>
    </row>
    <row r="1183">
      <c r="J1183" s="7" t="inlineStr">
        <is>
          <t>PSV total:</t>
        </is>
      </c>
      <c r="K1183" s="8">
        <f>TEXT(TIMEVALUE(I1182)-TIMEVALUE(H1181)+(I1182&lt;H1181),"[h]:mm")</f>
        <v/>
      </c>
    </row>
    <row r="1185">
      <c r="B1185" s="3" t="inlineStr">
        <is>
          <t>Pairing ID</t>
        </is>
      </c>
      <c r="C1185" s="3" t="inlineStr">
        <is>
          <t>FECHA REAL</t>
        </is>
      </c>
      <c r="D1185" s="3" t="inlineStr">
        <is>
          <t>Day of Week</t>
        </is>
      </c>
      <c r="E1185" s="3" t="inlineStr">
        <is>
          <t>Flight No</t>
        </is>
      </c>
      <c r="F1185" s="3" t="inlineStr">
        <is>
          <t>Dep Stn</t>
        </is>
      </c>
      <c r="G1185" s="3" t="inlineStr">
        <is>
          <t>Arr Stn</t>
        </is>
      </c>
      <c r="H1185" s="3" t="inlineStr">
        <is>
          <t>STD</t>
        </is>
      </c>
      <c r="I1185" s="3" t="inlineStr">
        <is>
          <t>STA</t>
        </is>
      </c>
      <c r="J1185" s="3" t="inlineStr">
        <is>
          <t>subflota</t>
        </is>
      </c>
      <c r="K1185" s="3" t="inlineStr">
        <is>
          <t>Conexion</t>
        </is>
      </c>
      <c r="L1185" s="3" t="inlineStr">
        <is>
          <t>HBT</t>
        </is>
      </c>
    </row>
    <row r="1186">
      <c r="B1186" s="4" t="inlineStr">
        <is>
          <t>1354_0</t>
        </is>
      </c>
      <c r="C1186" s="4" t="inlineStr">
        <is>
          <t>15/09/2026</t>
        </is>
      </c>
      <c r="D1186" s="4" t="inlineStr">
        <is>
          <t>martes</t>
        </is>
      </c>
      <c r="E1186" s="4" t="inlineStr">
        <is>
          <t>2213</t>
        </is>
      </c>
      <c r="F1186" s="4" t="inlineStr">
        <is>
          <t>LIM</t>
        </is>
      </c>
      <c r="G1186" s="4" t="inlineStr">
        <is>
          <t>CIX</t>
        </is>
      </c>
      <c r="H1186" s="4" t="inlineStr">
        <is>
          <t>17:20:00</t>
        </is>
      </c>
      <c r="I1186" s="4" t="inlineStr">
        <is>
          <t>18:50:00</t>
        </is>
      </c>
      <c r="J1186" s="4" t="inlineStr">
        <is>
          <t>320</t>
        </is>
      </c>
      <c r="L1186" s="4" t="inlineStr">
        <is>
          <t>01:30:00</t>
        </is>
      </c>
      <c r="M1186" s="5" t="n"/>
      <c r="O1186" s="5" t="n"/>
      <c r="Q1186" s="4">
        <f>B1186</f>
        <v/>
      </c>
      <c r="R1186" s="4">
        <f>C1186</f>
        <v/>
      </c>
      <c r="S1186" s="4">
        <f>D1186</f>
        <v/>
      </c>
      <c r="T1186" s="4">
        <f>E1186&amp;"/"&amp;E1187</f>
        <v/>
      </c>
      <c r="U1186" s="4">
        <f>F1186&amp;"-"&amp;G1186&amp;"-"&amp;F1186</f>
        <v/>
      </c>
      <c r="V1186" s="4">
        <f>IF($M$1186="","",$M$1186)</f>
        <v/>
      </c>
      <c r="W1186" s="4">
        <f>IF($O$1186="","",$O$1186)</f>
        <v/>
      </c>
      <c r="X1186" s="4">
        <f>J1186</f>
        <v/>
      </c>
    </row>
    <row r="1187">
      <c r="B1187" s="4" t="inlineStr">
        <is>
          <t>1354_0</t>
        </is>
      </c>
      <c r="C1187" s="4" t="inlineStr">
        <is>
          <t>15/09/2026</t>
        </is>
      </c>
      <c r="D1187" s="4" t="inlineStr">
        <is>
          <t>martes</t>
        </is>
      </c>
      <c r="E1187" s="4" t="inlineStr">
        <is>
          <t>2214</t>
        </is>
      </c>
      <c r="F1187" s="4" t="inlineStr">
        <is>
          <t>CIX</t>
        </is>
      </c>
      <c r="G1187" s="4" t="inlineStr">
        <is>
          <t>LIM</t>
        </is>
      </c>
      <c r="H1187" s="4" t="inlineStr">
        <is>
          <t>19:25:00</t>
        </is>
      </c>
      <c r="I1187" s="4" t="inlineStr">
        <is>
          <t>20:40:00</t>
        </is>
      </c>
      <c r="J1187" s="4" t="inlineStr">
        <is>
          <t>320</t>
        </is>
      </c>
      <c r="K1187">
        <f>TEXT(TIMEVALUE(H1187)-TIMEVALUE(I1186)+(TIMEVALUE(H1187)&lt;TIMEVALUE(I1186)),"[h]:mm")</f>
        <v/>
      </c>
      <c r="L1187" s="4" t="inlineStr">
        <is>
          <t>01:15:00</t>
        </is>
      </c>
      <c r="O1187">
        <f>"LIM-"&amp;G1186&amp;"-LIM   LA "&amp;E1186&amp;" ("&amp;LEFT(H1186,5)&amp;"-"&amp;LEFT(I1186,5)&amp;" hrs)  /  LA "&amp;E1187&amp;" ("&amp;LEFT(H1187,5)&amp;"-"&amp;LEFT(I1187,5)&amp;" hrs)"</f>
        <v/>
      </c>
    </row>
    <row r="1188">
      <c r="J1188" s="7" t="inlineStr">
        <is>
          <t>PSV total:</t>
        </is>
      </c>
      <c r="K1188" s="8">
        <f>TEXT(TIMEVALUE(I1187)-TIMEVALUE(H1186)+(I1187&lt;H1186),"[h]:mm")</f>
        <v/>
      </c>
    </row>
    <row r="1190">
      <c r="B1190" s="3" t="inlineStr">
        <is>
          <t>Pairing ID</t>
        </is>
      </c>
      <c r="C1190" s="3" t="inlineStr">
        <is>
          <t>FECHA REAL</t>
        </is>
      </c>
      <c r="D1190" s="3" t="inlineStr">
        <is>
          <t>Day of Week</t>
        </is>
      </c>
      <c r="E1190" s="3" t="inlineStr">
        <is>
          <t>Flight No</t>
        </is>
      </c>
      <c r="F1190" s="3" t="inlineStr">
        <is>
          <t>Dep Stn</t>
        </is>
      </c>
      <c r="G1190" s="3" t="inlineStr">
        <is>
          <t>Arr Stn</t>
        </is>
      </c>
      <c r="H1190" s="3" t="inlineStr">
        <is>
          <t>STD</t>
        </is>
      </c>
      <c r="I1190" s="3" t="inlineStr">
        <is>
          <t>STA</t>
        </is>
      </c>
      <c r="J1190" s="3" t="inlineStr">
        <is>
          <t>subflota</t>
        </is>
      </c>
      <c r="K1190" s="3" t="inlineStr">
        <is>
          <t>Conexion</t>
        </is>
      </c>
      <c r="L1190" s="3" t="inlineStr">
        <is>
          <t>HBT</t>
        </is>
      </c>
    </row>
    <row r="1191">
      <c r="B1191" s="4" t="inlineStr">
        <is>
          <t>1359_0</t>
        </is>
      </c>
      <c r="C1191" s="4" t="inlineStr">
        <is>
          <t>15/09/2026</t>
        </is>
      </c>
      <c r="D1191" s="4" t="inlineStr">
        <is>
          <t>martes</t>
        </is>
      </c>
      <c r="E1191" s="4" t="inlineStr">
        <is>
          <t>2091</t>
        </is>
      </c>
      <c r="F1191" s="4" t="inlineStr">
        <is>
          <t>LIM</t>
        </is>
      </c>
      <c r="G1191" s="4" t="inlineStr">
        <is>
          <t>TPP</t>
        </is>
      </c>
      <c r="H1191" s="4" t="inlineStr">
        <is>
          <t>18:30:00</t>
        </is>
      </c>
      <c r="I1191" s="4" t="inlineStr">
        <is>
          <t>19:55:00</t>
        </is>
      </c>
      <c r="J1191" s="4" t="inlineStr">
        <is>
          <t>320</t>
        </is>
      </c>
      <c r="L1191" s="4" t="inlineStr">
        <is>
          <t>01:25:00</t>
        </is>
      </c>
      <c r="M1191" s="5" t="n"/>
      <c r="O1191" s="5" t="n"/>
      <c r="Q1191" s="4">
        <f>B1191</f>
        <v/>
      </c>
      <c r="R1191" s="4">
        <f>C1191</f>
        <v/>
      </c>
      <c r="S1191" s="4">
        <f>D1191</f>
        <v/>
      </c>
      <c r="T1191" s="4">
        <f>E1191&amp;"/"&amp;E1192</f>
        <v/>
      </c>
      <c r="U1191" s="4">
        <f>F1191&amp;"-"&amp;G1191&amp;"-"&amp;F1191</f>
        <v/>
      </c>
      <c r="V1191" s="4">
        <f>IF($M$1191="","",$M$1191)</f>
        <v/>
      </c>
      <c r="W1191" s="4">
        <f>IF($O$1191="","",$O$1191)</f>
        <v/>
      </c>
      <c r="X1191" s="4">
        <f>J1191</f>
        <v/>
      </c>
    </row>
    <row r="1192">
      <c r="B1192" s="4" t="inlineStr">
        <is>
          <t>1359_0</t>
        </is>
      </c>
      <c r="C1192" s="4" t="inlineStr">
        <is>
          <t>15/09/2026</t>
        </is>
      </c>
      <c r="D1192" s="4" t="inlineStr">
        <is>
          <t>martes</t>
        </is>
      </c>
      <c r="E1192" s="4" t="inlineStr">
        <is>
          <t>2092</t>
        </is>
      </c>
      <c r="F1192" s="4" t="inlineStr">
        <is>
          <t>TPP</t>
        </is>
      </c>
      <c r="G1192" s="4" t="inlineStr">
        <is>
          <t>LIM</t>
        </is>
      </c>
      <c r="H1192" s="4" t="inlineStr">
        <is>
          <t>20:30:00</t>
        </is>
      </c>
      <c r="I1192" s="4" t="inlineStr">
        <is>
          <t>21:55:00</t>
        </is>
      </c>
      <c r="J1192" s="4" t="inlineStr">
        <is>
          <t>320</t>
        </is>
      </c>
      <c r="K1192">
        <f>TEXT(TIMEVALUE(H1192)-TIMEVALUE(I1191)+(TIMEVALUE(H1192)&lt;TIMEVALUE(I1191)),"[h]:mm")</f>
        <v/>
      </c>
      <c r="L1192" s="4" t="inlineStr">
        <is>
          <t>01:25:00</t>
        </is>
      </c>
      <c r="O1192">
        <f>"LIM-"&amp;G1191&amp;"-LIM   LA "&amp;E1191&amp;" ("&amp;LEFT(H1191,5)&amp;"-"&amp;LEFT(I1191,5)&amp;" hrs)  /  LA "&amp;E1192&amp;" ("&amp;LEFT(H1192,5)&amp;"-"&amp;LEFT(I1192,5)&amp;" hrs)"</f>
        <v/>
      </c>
    </row>
    <row r="1193">
      <c r="J1193" s="7" t="inlineStr">
        <is>
          <t>PSV total:</t>
        </is>
      </c>
      <c r="K1193" s="8">
        <f>TEXT(TIMEVALUE(I1192)-TIMEVALUE(H1191)+(I1192&lt;H1191),"[h]:mm")</f>
        <v/>
      </c>
    </row>
    <row r="1195">
      <c r="B1195" s="3" t="inlineStr">
        <is>
          <t>Pairing ID</t>
        </is>
      </c>
      <c r="C1195" s="3" t="inlineStr">
        <is>
          <t>FECHA REAL</t>
        </is>
      </c>
      <c r="D1195" s="3" t="inlineStr">
        <is>
          <t>Day of Week</t>
        </is>
      </c>
      <c r="E1195" s="3" t="inlineStr">
        <is>
          <t>Flight No</t>
        </is>
      </c>
      <c r="F1195" s="3" t="inlineStr">
        <is>
          <t>Dep Stn</t>
        </is>
      </c>
      <c r="G1195" s="3" t="inlineStr">
        <is>
          <t>Arr Stn</t>
        </is>
      </c>
      <c r="H1195" s="3" t="inlineStr">
        <is>
          <t>STD</t>
        </is>
      </c>
      <c r="I1195" s="3" t="inlineStr">
        <is>
          <t>STA</t>
        </is>
      </c>
      <c r="J1195" s="3" t="inlineStr">
        <is>
          <t>subflota</t>
        </is>
      </c>
      <c r="K1195" s="3" t="inlineStr">
        <is>
          <t>Conexion</t>
        </is>
      </c>
      <c r="L1195" s="3" t="inlineStr">
        <is>
          <t>HBT</t>
        </is>
      </c>
    </row>
    <row r="1196">
      <c r="B1196" s="4" t="inlineStr">
        <is>
          <t>1400_0</t>
        </is>
      </c>
      <c r="C1196" s="4" t="inlineStr">
        <is>
          <t>16/09/2026</t>
        </is>
      </c>
      <c r="D1196" s="4" t="inlineStr">
        <is>
          <t>miércoles</t>
        </is>
      </c>
      <c r="E1196" s="4" t="inlineStr">
        <is>
          <t>2013</t>
        </is>
      </c>
      <c r="F1196" s="4" t="inlineStr">
        <is>
          <t>LIM</t>
        </is>
      </c>
      <c r="G1196" s="4" t="inlineStr">
        <is>
          <t>CUZ</t>
        </is>
      </c>
      <c r="H1196" s="4" t="inlineStr">
        <is>
          <t>08:35:00</t>
        </is>
      </c>
      <c r="I1196" s="4" t="inlineStr">
        <is>
          <t>09:55:00</t>
        </is>
      </c>
      <c r="J1196" s="4" t="inlineStr">
        <is>
          <t>320</t>
        </is>
      </c>
      <c r="L1196" s="4" t="inlineStr">
        <is>
          <t>01:20:00</t>
        </is>
      </c>
      <c r="M1196" s="5" t="n"/>
      <c r="O1196" s="5" t="n"/>
      <c r="Q1196" s="4">
        <f>B1196</f>
        <v/>
      </c>
      <c r="R1196" s="4">
        <f>C1196</f>
        <v/>
      </c>
      <c r="S1196" s="4">
        <f>D1196</f>
        <v/>
      </c>
      <c r="T1196" s="4">
        <f>E1196&amp;"/"&amp;E1197</f>
        <v/>
      </c>
      <c r="U1196" s="4">
        <f>F1196&amp;"-"&amp;G1196&amp;"-"&amp;F1196</f>
        <v/>
      </c>
      <c r="V1196" s="4">
        <f>IF($M$1196="","",$M$1196)</f>
        <v/>
      </c>
      <c r="W1196" s="4">
        <f>IF($O$1196="","",$O$1196)</f>
        <v/>
      </c>
      <c r="X1196" s="4">
        <f>J1196</f>
        <v/>
      </c>
    </row>
    <row r="1197">
      <c r="B1197" s="4" t="inlineStr">
        <is>
          <t>1400_0</t>
        </is>
      </c>
      <c r="C1197" s="4" t="inlineStr">
        <is>
          <t>16/09/2026</t>
        </is>
      </c>
      <c r="D1197" s="4" t="inlineStr">
        <is>
          <t>miércoles</t>
        </is>
      </c>
      <c r="E1197" s="4" t="inlineStr">
        <is>
          <t>2014</t>
        </is>
      </c>
      <c r="F1197" s="4" t="inlineStr">
        <is>
          <t>CUZ</t>
        </is>
      </c>
      <c r="G1197" s="4" t="inlineStr">
        <is>
          <t>LIM</t>
        </is>
      </c>
      <c r="H1197" s="4" t="inlineStr">
        <is>
          <t>10:40:00</t>
        </is>
      </c>
      <c r="I1197" s="4" t="inlineStr">
        <is>
          <t>12:15:00</t>
        </is>
      </c>
      <c r="J1197" s="4" t="inlineStr">
        <is>
          <t>320</t>
        </is>
      </c>
      <c r="K1197">
        <f>TEXT(TIMEVALUE(H1197)-TIMEVALUE(I1196)+(TIMEVALUE(H1197)&lt;TIMEVALUE(I1196)),"[h]:mm")</f>
        <v/>
      </c>
      <c r="L1197" s="4" t="inlineStr">
        <is>
          <t>01:35:00</t>
        </is>
      </c>
      <c r="O1197">
        <f>"LIM-"&amp;G1196&amp;"-LIM   LA "&amp;E1196&amp;" ("&amp;LEFT(H1196,5)&amp;"-"&amp;LEFT(I1196,5)&amp;" hrs)  /  LA "&amp;E1197&amp;" ("&amp;LEFT(H1197,5)&amp;"-"&amp;LEFT(I1197,5)&amp;" hrs)"</f>
        <v/>
      </c>
    </row>
    <row r="1198">
      <c r="J1198" s="7" t="inlineStr">
        <is>
          <t>PSV total:</t>
        </is>
      </c>
      <c r="K1198" s="8">
        <f>TEXT(TIMEVALUE(I1197)-TIMEVALUE(H1196)+(I1197&lt;H1196),"[h]:mm")</f>
        <v/>
      </c>
    </row>
    <row r="1200">
      <c r="B1200" s="3" t="inlineStr">
        <is>
          <t>Pairing ID</t>
        </is>
      </c>
      <c r="C1200" s="3" t="inlineStr">
        <is>
          <t>FECHA REAL</t>
        </is>
      </c>
      <c r="D1200" s="3" t="inlineStr">
        <is>
          <t>Day of Week</t>
        </is>
      </c>
      <c r="E1200" s="3" t="inlineStr">
        <is>
          <t>Flight No</t>
        </is>
      </c>
      <c r="F1200" s="3" t="inlineStr">
        <is>
          <t>Dep Stn</t>
        </is>
      </c>
      <c r="G1200" s="3" t="inlineStr">
        <is>
          <t>Arr Stn</t>
        </is>
      </c>
      <c r="H1200" s="3" t="inlineStr">
        <is>
          <t>STD</t>
        </is>
      </c>
      <c r="I1200" s="3" t="inlineStr">
        <is>
          <t>STA</t>
        </is>
      </c>
      <c r="J1200" s="3" t="inlineStr">
        <is>
          <t>subflota</t>
        </is>
      </c>
      <c r="K1200" s="3" t="inlineStr">
        <is>
          <t>Conexion</t>
        </is>
      </c>
      <c r="L1200" s="3" t="inlineStr">
        <is>
          <t>HBT</t>
        </is>
      </c>
    </row>
    <row r="1201">
      <c r="B1201" s="4" t="inlineStr">
        <is>
          <t>1408_0</t>
        </is>
      </c>
      <c r="C1201" s="4" t="inlineStr">
        <is>
          <t>16/09/2026</t>
        </is>
      </c>
      <c r="D1201" s="4" t="inlineStr">
        <is>
          <t>miércoles</t>
        </is>
      </c>
      <c r="E1201" s="4" t="inlineStr">
        <is>
          <t>2266</t>
        </is>
      </c>
      <c r="F1201" s="4" t="inlineStr">
        <is>
          <t>LIM</t>
        </is>
      </c>
      <c r="G1201" s="4" t="inlineStr">
        <is>
          <t>CUZ</t>
        </is>
      </c>
      <c r="H1201" s="4" t="inlineStr">
        <is>
          <t>11:10:00</t>
        </is>
      </c>
      <c r="I1201" s="4" t="inlineStr">
        <is>
          <t>12:30:00</t>
        </is>
      </c>
      <c r="J1201" s="4" t="inlineStr">
        <is>
          <t>320</t>
        </is>
      </c>
      <c r="L1201" s="4" t="inlineStr">
        <is>
          <t>01:20:00</t>
        </is>
      </c>
      <c r="M1201" s="5" t="n"/>
      <c r="O1201" s="5" t="n"/>
      <c r="Q1201" s="4">
        <f>B1201</f>
        <v/>
      </c>
      <c r="R1201" s="4">
        <f>C1201</f>
        <v/>
      </c>
      <c r="S1201" s="4">
        <f>D1201</f>
        <v/>
      </c>
      <c r="T1201" s="4">
        <f>E1201&amp;"/"&amp;E1202</f>
        <v/>
      </c>
      <c r="U1201" s="4">
        <f>F1201&amp;"-"&amp;G1201&amp;"-"&amp;F1201</f>
        <v/>
      </c>
      <c r="V1201" s="4">
        <f>IF($M$1201="","",$M$1201)</f>
        <v/>
      </c>
      <c r="W1201" s="4">
        <f>IF($O$1201="","",$O$1201)</f>
        <v/>
      </c>
      <c r="X1201" s="4">
        <f>J1201</f>
        <v/>
      </c>
    </row>
    <row r="1202">
      <c r="B1202" s="4" t="inlineStr">
        <is>
          <t>1408_0</t>
        </is>
      </c>
      <c r="C1202" s="4" t="inlineStr">
        <is>
          <t>16/09/2026</t>
        </is>
      </c>
      <c r="D1202" s="4" t="inlineStr">
        <is>
          <t>miércoles</t>
        </is>
      </c>
      <c r="E1202" s="4" t="inlineStr">
        <is>
          <t>2267</t>
        </is>
      </c>
      <c r="F1202" s="4" t="inlineStr">
        <is>
          <t>CUZ</t>
        </is>
      </c>
      <c r="G1202" s="4" t="inlineStr">
        <is>
          <t>LIM</t>
        </is>
      </c>
      <c r="H1202" s="4" t="inlineStr">
        <is>
          <t>13:10:00</t>
        </is>
      </c>
      <c r="I1202" s="4" t="inlineStr">
        <is>
          <t>14:45:00</t>
        </is>
      </c>
      <c r="J1202" s="4" t="inlineStr">
        <is>
          <t>320</t>
        </is>
      </c>
      <c r="K1202">
        <f>TEXT(TIMEVALUE(H1202)-TIMEVALUE(I1201)+(TIMEVALUE(H1202)&lt;TIMEVALUE(I1201)),"[h]:mm")</f>
        <v/>
      </c>
      <c r="L1202" s="4" t="inlineStr">
        <is>
          <t>01:35:00</t>
        </is>
      </c>
      <c r="O1202">
        <f>"LIM-"&amp;G1201&amp;"-LIM   LA "&amp;E1201&amp;" ("&amp;LEFT(H1201,5)&amp;"-"&amp;LEFT(I1201,5)&amp;" hrs)  /  LA "&amp;E1202&amp;" ("&amp;LEFT(H1202,5)&amp;"-"&amp;LEFT(I1202,5)&amp;" hrs)"</f>
        <v/>
      </c>
    </row>
    <row r="1203">
      <c r="B1203" s="4" t="inlineStr">
        <is>
          <t>1436_0</t>
        </is>
      </c>
      <c r="C1203" s="4" t="inlineStr">
        <is>
          <t>16/09/2026</t>
        </is>
      </c>
      <c r="D1203" s="4" t="inlineStr">
        <is>
          <t>miércoles</t>
        </is>
      </c>
      <c r="E1203" s="4" t="inlineStr">
        <is>
          <t>2301</t>
        </is>
      </c>
      <c r="F1203" s="4" t="inlineStr">
        <is>
          <t>LIM</t>
        </is>
      </c>
      <c r="G1203" s="4" t="inlineStr">
        <is>
          <t>TPP</t>
        </is>
      </c>
      <c r="H1203" s="4" t="inlineStr">
        <is>
          <t>15:40:00</t>
        </is>
      </c>
      <c r="I1203" s="4" t="inlineStr">
        <is>
          <t>17:05:00</t>
        </is>
      </c>
      <c r="J1203" s="4" t="inlineStr">
        <is>
          <t>320</t>
        </is>
      </c>
      <c r="K1203" s="6">
        <f>TEXT(TIMEVALUE(H1203)-TIMEVALUE(I1202)+(TIMEVALUE(H1203)&lt;TIMEVALUE(I1202)),"[h]:mm")</f>
        <v/>
      </c>
      <c r="L1203" s="4" t="inlineStr">
        <is>
          <t>01:25:00</t>
        </is>
      </c>
      <c r="M1203">
        <f>IF($M$1201="","",$M$1201)</f>
        <v/>
      </c>
      <c r="O1203">
        <f>IF($O$1201="","",$O$1201)</f>
        <v/>
      </c>
      <c r="Q1203" s="4">
        <f>B1203</f>
        <v/>
      </c>
      <c r="R1203" s="4">
        <f>C1203</f>
        <v/>
      </c>
      <c r="S1203" s="4">
        <f>D1203</f>
        <v/>
      </c>
      <c r="T1203" s="4">
        <f>E1203&amp;"/"&amp;E1204</f>
        <v/>
      </c>
      <c r="U1203" s="4">
        <f>F1203&amp;"-"&amp;G1203&amp;"-"&amp;F1203</f>
        <v/>
      </c>
      <c r="V1203" s="4">
        <f>IF($M$1201="","",$M$1201)</f>
        <v/>
      </c>
      <c r="W1203" s="4">
        <f>IF($O$1201="","",$O$1201)</f>
        <v/>
      </c>
      <c r="X1203" s="4">
        <f>J1203</f>
        <v/>
      </c>
    </row>
    <row r="1204">
      <c r="B1204" s="4" t="inlineStr">
        <is>
          <t>1436_0</t>
        </is>
      </c>
      <c r="C1204" s="4" t="inlineStr">
        <is>
          <t>16/09/2026</t>
        </is>
      </c>
      <c r="D1204" s="4" t="inlineStr">
        <is>
          <t>miércoles</t>
        </is>
      </c>
      <c r="E1204" s="4" t="inlineStr">
        <is>
          <t>2300</t>
        </is>
      </c>
      <c r="F1204" s="4" t="inlineStr">
        <is>
          <t>TPP</t>
        </is>
      </c>
      <c r="G1204" s="4" t="inlineStr">
        <is>
          <t>LIM</t>
        </is>
      </c>
      <c r="H1204" s="4" t="inlineStr">
        <is>
          <t>17:50:00</t>
        </is>
      </c>
      <c r="I1204" s="4" t="inlineStr">
        <is>
          <t>19:20:00</t>
        </is>
      </c>
      <c r="J1204" s="4" t="inlineStr">
        <is>
          <t>320</t>
        </is>
      </c>
      <c r="K1204">
        <f>TEXT(TIMEVALUE(H1204)-TIMEVALUE(I1203)+(TIMEVALUE(H1204)&lt;TIMEVALUE(I1203)),"[h]:mm")</f>
        <v/>
      </c>
      <c r="L1204" s="4" t="inlineStr">
        <is>
          <t>01:30:00</t>
        </is>
      </c>
      <c r="O1204">
        <f>"LIM-"&amp;G1203&amp;"-LIM   LA "&amp;E1203&amp;" ("&amp;LEFT(H1203,5)&amp;"-"&amp;LEFT(I1203,5)&amp;" hrs)  /  LA "&amp;E1204&amp;" ("&amp;LEFT(H1204,5)&amp;"-"&amp;LEFT(I1204,5)&amp;" hrs)"</f>
        <v/>
      </c>
    </row>
    <row r="1205">
      <c r="J1205" s="7" t="inlineStr">
        <is>
          <t>PSV total:</t>
        </is>
      </c>
      <c r="K1205" s="8">
        <f>TEXT(TIMEVALUE(I1204)-TIMEVALUE(H1201)+(I1204&lt;H1201),"[h]:mm")</f>
        <v/>
      </c>
    </row>
    <row r="1207">
      <c r="B1207" s="3" t="inlineStr">
        <is>
          <t>Pairing ID</t>
        </is>
      </c>
      <c r="C1207" s="3" t="inlineStr">
        <is>
          <t>FECHA REAL</t>
        </is>
      </c>
      <c r="D1207" s="3" t="inlineStr">
        <is>
          <t>Day of Week</t>
        </is>
      </c>
      <c r="E1207" s="3" t="inlineStr">
        <is>
          <t>Flight No</t>
        </is>
      </c>
      <c r="F1207" s="3" t="inlineStr">
        <is>
          <t>Dep Stn</t>
        </is>
      </c>
      <c r="G1207" s="3" t="inlineStr">
        <is>
          <t>Arr Stn</t>
        </is>
      </c>
      <c r="H1207" s="3" t="inlineStr">
        <is>
          <t>STD</t>
        </is>
      </c>
      <c r="I1207" s="3" t="inlineStr">
        <is>
          <t>STA</t>
        </is>
      </c>
      <c r="J1207" s="3" t="inlineStr">
        <is>
          <t>subflota</t>
        </is>
      </c>
      <c r="K1207" s="3" t="inlineStr">
        <is>
          <t>Conexion</t>
        </is>
      </c>
      <c r="L1207" s="3" t="inlineStr">
        <is>
          <t>HBT</t>
        </is>
      </c>
    </row>
    <row r="1208">
      <c r="B1208" s="4" t="inlineStr">
        <is>
          <t>1412_0</t>
        </is>
      </c>
      <c r="C1208" s="4" t="inlineStr">
        <is>
          <t>16/09/2026</t>
        </is>
      </c>
      <c r="D1208" s="4" t="inlineStr">
        <is>
          <t>miércoles</t>
        </is>
      </c>
      <c r="E1208" s="4" t="inlineStr">
        <is>
          <t>2061</t>
        </is>
      </c>
      <c r="F1208" s="4" t="inlineStr">
        <is>
          <t>LIM</t>
        </is>
      </c>
      <c r="G1208" s="4" t="inlineStr">
        <is>
          <t>CUZ</t>
        </is>
      </c>
      <c r="H1208" s="4" t="inlineStr">
        <is>
          <t>11:40:00</t>
        </is>
      </c>
      <c r="I1208" s="4" t="inlineStr">
        <is>
          <t>13:00:00</t>
        </is>
      </c>
      <c r="J1208" s="4" t="inlineStr">
        <is>
          <t>320</t>
        </is>
      </c>
      <c r="L1208" s="4" t="inlineStr">
        <is>
          <t>01:20:00</t>
        </is>
      </c>
      <c r="M1208" s="5" t="n"/>
      <c r="O1208" s="5" t="n"/>
      <c r="Q1208" s="4">
        <f>B1208</f>
        <v/>
      </c>
      <c r="R1208" s="4">
        <f>C1208</f>
        <v/>
      </c>
      <c r="S1208" s="4">
        <f>D1208</f>
        <v/>
      </c>
      <c r="T1208" s="4">
        <f>E1208&amp;"/"&amp;E1209</f>
        <v/>
      </c>
      <c r="U1208" s="4">
        <f>F1208&amp;"-"&amp;G1208&amp;"-"&amp;F1208</f>
        <v/>
      </c>
      <c r="V1208" s="4">
        <f>IF($M$1208="","",$M$1208)</f>
        <v/>
      </c>
      <c r="W1208" s="4">
        <f>IF($O$1208="","",$O$1208)</f>
        <v/>
      </c>
      <c r="X1208" s="4">
        <f>J1208</f>
        <v/>
      </c>
    </row>
    <row r="1209">
      <c r="B1209" s="4" t="inlineStr">
        <is>
          <t>1412_0</t>
        </is>
      </c>
      <c r="C1209" s="4" t="inlineStr">
        <is>
          <t>16/09/2026</t>
        </is>
      </c>
      <c r="D1209" s="4" t="inlineStr">
        <is>
          <t>miércoles</t>
        </is>
      </c>
      <c r="E1209" s="4" t="inlineStr">
        <is>
          <t>2062</t>
        </is>
      </c>
      <c r="F1209" s="4" t="inlineStr">
        <is>
          <t>CUZ</t>
        </is>
      </c>
      <c r="G1209" s="4" t="inlineStr">
        <is>
          <t>LIM</t>
        </is>
      </c>
      <c r="H1209" s="4" t="inlineStr">
        <is>
          <t>13:40:00</t>
        </is>
      </c>
      <c r="I1209" s="4" t="inlineStr">
        <is>
          <t>15:15:00</t>
        </is>
      </c>
      <c r="J1209" s="4" t="inlineStr">
        <is>
          <t>320</t>
        </is>
      </c>
      <c r="K1209">
        <f>TEXT(TIMEVALUE(H1209)-TIMEVALUE(I1208)+(TIMEVALUE(H1209)&lt;TIMEVALUE(I1208)),"[h]:mm")</f>
        <v/>
      </c>
      <c r="L1209" s="4" t="inlineStr">
        <is>
          <t>01:35:00</t>
        </is>
      </c>
      <c r="O1209">
        <f>"LIM-"&amp;G1208&amp;"-LIM   LA "&amp;E1208&amp;" ("&amp;LEFT(H1208,5)&amp;"-"&amp;LEFT(I1208,5)&amp;" hrs)  /  LA "&amp;E1209&amp;" ("&amp;LEFT(H1209,5)&amp;"-"&amp;LEFT(I1209,5)&amp;" hrs)"</f>
        <v/>
      </c>
    </row>
    <row r="1210">
      <c r="B1210" s="4" t="inlineStr">
        <is>
          <t>1439_0</t>
        </is>
      </c>
      <c r="C1210" s="4" t="inlineStr">
        <is>
          <t>16/09/2026</t>
        </is>
      </c>
      <c r="D1210" s="4" t="inlineStr">
        <is>
          <t>miércoles</t>
        </is>
      </c>
      <c r="E1210" s="4" t="inlineStr">
        <is>
          <t>2127</t>
        </is>
      </c>
      <c r="F1210" s="4" t="inlineStr">
        <is>
          <t>LIM</t>
        </is>
      </c>
      <c r="G1210" s="4" t="inlineStr">
        <is>
          <t>CUZ</t>
        </is>
      </c>
      <c r="H1210" s="4" t="inlineStr">
        <is>
          <t>16:10:00</t>
        </is>
      </c>
      <c r="I1210" s="4" t="inlineStr">
        <is>
          <t>17:30:00</t>
        </is>
      </c>
      <c r="J1210" s="4" t="inlineStr">
        <is>
          <t>320</t>
        </is>
      </c>
      <c r="K1210" s="6">
        <f>TEXT(TIMEVALUE(H1210)-TIMEVALUE(I1209)+(TIMEVALUE(H1210)&lt;TIMEVALUE(I1209)),"[h]:mm")</f>
        <v/>
      </c>
      <c r="L1210" s="4" t="inlineStr">
        <is>
          <t>01:20:00</t>
        </is>
      </c>
      <c r="M1210">
        <f>IF($M$1208="","",$M$1208)</f>
        <v/>
      </c>
      <c r="O1210">
        <f>IF($O$1208="","",$O$1208)</f>
        <v/>
      </c>
      <c r="Q1210" s="4">
        <f>B1210</f>
        <v/>
      </c>
      <c r="R1210" s="4">
        <f>C1210</f>
        <v/>
      </c>
      <c r="S1210" s="4">
        <f>D1210</f>
        <v/>
      </c>
      <c r="T1210" s="4">
        <f>E1210&amp;"/"&amp;E1211</f>
        <v/>
      </c>
      <c r="U1210" s="4">
        <f>F1210&amp;"-"&amp;G1210&amp;"-"&amp;F1210</f>
        <v/>
      </c>
      <c r="V1210" s="4">
        <f>IF($M$1208="","",$M$1208)</f>
        <v/>
      </c>
      <c r="W1210" s="4">
        <f>IF($O$1208="","",$O$1208)</f>
        <v/>
      </c>
      <c r="X1210" s="4">
        <f>J1210</f>
        <v/>
      </c>
    </row>
    <row r="1211">
      <c r="B1211" s="4" t="inlineStr">
        <is>
          <t>1439_0</t>
        </is>
      </c>
      <c r="C1211" s="4" t="inlineStr">
        <is>
          <t>16/09/2026</t>
        </is>
      </c>
      <c r="D1211" s="4" t="inlineStr">
        <is>
          <t>miércoles</t>
        </is>
      </c>
      <c r="E1211" s="4" t="inlineStr">
        <is>
          <t>2026</t>
        </is>
      </c>
      <c r="F1211" s="4" t="inlineStr">
        <is>
          <t>CUZ</t>
        </is>
      </c>
      <c r="G1211" s="4" t="inlineStr">
        <is>
          <t>LIM</t>
        </is>
      </c>
      <c r="H1211" s="4" t="inlineStr">
        <is>
          <t>18:10:00</t>
        </is>
      </c>
      <c r="I1211" s="4" t="inlineStr">
        <is>
          <t>19:50:00</t>
        </is>
      </c>
      <c r="J1211" s="4" t="inlineStr">
        <is>
          <t>320</t>
        </is>
      </c>
      <c r="K1211">
        <f>TEXT(TIMEVALUE(H1211)-TIMEVALUE(I1210)+(TIMEVALUE(H1211)&lt;TIMEVALUE(I1210)),"[h]:mm")</f>
        <v/>
      </c>
      <c r="L1211" s="4" t="inlineStr">
        <is>
          <t>01:40:00</t>
        </is>
      </c>
      <c r="O1211">
        <f>"LIM-"&amp;G1210&amp;"-LIM   LA "&amp;E1210&amp;" ("&amp;LEFT(H1210,5)&amp;"-"&amp;LEFT(I1210,5)&amp;" hrs)  /  LA "&amp;E1211&amp;" ("&amp;LEFT(H1211,5)&amp;"-"&amp;LEFT(I1211,5)&amp;" hrs)"</f>
        <v/>
      </c>
    </row>
    <row r="1212">
      <c r="J1212" s="7" t="inlineStr">
        <is>
          <t>PSV total:</t>
        </is>
      </c>
      <c r="K1212" s="8">
        <f>TEXT(TIMEVALUE(I1211)-TIMEVALUE(H1208)+(I1211&lt;H1208),"[h]:mm")</f>
        <v/>
      </c>
    </row>
    <row r="1214">
      <c r="B1214" s="3" t="inlineStr">
        <is>
          <t>Pairing ID</t>
        </is>
      </c>
      <c r="C1214" s="3" t="inlineStr">
        <is>
          <t>FECHA REAL</t>
        </is>
      </c>
      <c r="D1214" s="3" t="inlineStr">
        <is>
          <t>Day of Week</t>
        </is>
      </c>
      <c r="E1214" s="3" t="inlineStr">
        <is>
          <t>Flight No</t>
        </is>
      </c>
      <c r="F1214" s="3" t="inlineStr">
        <is>
          <t>Dep Stn</t>
        </is>
      </c>
      <c r="G1214" s="3" t="inlineStr">
        <is>
          <t>Arr Stn</t>
        </is>
      </c>
      <c r="H1214" s="3" t="inlineStr">
        <is>
          <t>STD</t>
        </is>
      </c>
      <c r="I1214" s="3" t="inlineStr">
        <is>
          <t>STA</t>
        </is>
      </c>
      <c r="J1214" s="3" t="inlineStr">
        <is>
          <t>subflota</t>
        </is>
      </c>
      <c r="K1214" s="3" t="inlineStr">
        <is>
          <t>Conexion</t>
        </is>
      </c>
      <c r="L1214" s="3" t="inlineStr">
        <is>
          <t>HBT</t>
        </is>
      </c>
    </row>
    <row r="1215">
      <c r="B1215" s="4" t="inlineStr">
        <is>
          <t>1414_0</t>
        </is>
      </c>
      <c r="C1215" s="4" t="inlineStr">
        <is>
          <t>16/09/2026</t>
        </is>
      </c>
      <c r="D1215" s="4" t="inlineStr">
        <is>
          <t>miércoles</t>
        </is>
      </c>
      <c r="E1215" s="4" t="inlineStr">
        <is>
          <t>2023</t>
        </is>
      </c>
      <c r="F1215" s="4" t="inlineStr">
        <is>
          <t>LIM</t>
        </is>
      </c>
      <c r="G1215" s="4" t="inlineStr">
        <is>
          <t>PEM</t>
        </is>
      </c>
      <c r="H1215" s="4" t="inlineStr">
        <is>
          <t>12:15:00</t>
        </is>
      </c>
      <c r="I1215" s="4" t="inlineStr">
        <is>
          <t>13:55:00</t>
        </is>
      </c>
      <c r="J1215" s="4" t="inlineStr">
        <is>
          <t>319</t>
        </is>
      </c>
      <c r="L1215" s="4" t="inlineStr">
        <is>
          <t>01:40:00</t>
        </is>
      </c>
      <c r="M1215" s="5" t="n"/>
      <c r="O1215" s="5" t="n"/>
      <c r="Q1215" s="4">
        <f>B1215</f>
        <v/>
      </c>
      <c r="R1215" s="4">
        <f>C1215</f>
        <v/>
      </c>
      <c r="S1215" s="4">
        <f>D1215</f>
        <v/>
      </c>
      <c r="T1215" s="4">
        <f>E1215&amp;"/"&amp;E1216</f>
        <v/>
      </c>
      <c r="U1215" s="4">
        <f>F1215&amp;"-"&amp;G1215&amp;"-"&amp;F1215</f>
        <v/>
      </c>
      <c r="V1215" s="4">
        <f>IF($M$1215="","",$M$1215)</f>
        <v/>
      </c>
      <c r="W1215" s="4">
        <f>IF($O$1215="","",$O$1215)</f>
        <v/>
      </c>
      <c r="X1215" s="4">
        <f>J1215</f>
        <v/>
      </c>
    </row>
    <row r="1216">
      <c r="B1216" s="4" t="inlineStr">
        <is>
          <t>1414_0</t>
        </is>
      </c>
      <c r="C1216" s="4" t="inlineStr">
        <is>
          <t>16/09/2026</t>
        </is>
      </c>
      <c r="D1216" s="4" t="inlineStr">
        <is>
          <t>miércoles</t>
        </is>
      </c>
      <c r="E1216" s="4" t="inlineStr">
        <is>
          <t>2024</t>
        </is>
      </c>
      <c r="F1216" s="4" t="inlineStr">
        <is>
          <t>PEM</t>
        </is>
      </c>
      <c r="G1216" s="4" t="inlineStr">
        <is>
          <t>LIM</t>
        </is>
      </c>
      <c r="H1216" s="4" t="inlineStr">
        <is>
          <t>14:35:00</t>
        </is>
      </c>
      <c r="I1216" s="4" t="inlineStr">
        <is>
          <t>16:10:00</t>
        </is>
      </c>
      <c r="J1216" s="4" t="inlineStr">
        <is>
          <t>319</t>
        </is>
      </c>
      <c r="K1216">
        <f>TEXT(TIMEVALUE(H1216)-TIMEVALUE(I1215)+(TIMEVALUE(H1216)&lt;TIMEVALUE(I1215)),"[h]:mm")</f>
        <v/>
      </c>
      <c r="L1216" s="4" t="inlineStr">
        <is>
          <t>01:35:00</t>
        </is>
      </c>
      <c r="O1216">
        <f>"LIM-"&amp;G1215&amp;"-LIM   LA "&amp;E1215&amp;" ("&amp;LEFT(H1215,5)&amp;"-"&amp;LEFT(I1215,5)&amp;" hrs)  /  LA "&amp;E1216&amp;" ("&amp;LEFT(H1216,5)&amp;"-"&amp;LEFT(I1216,5)&amp;" hrs)"</f>
        <v/>
      </c>
    </row>
    <row r="1217">
      <c r="J1217" s="7" t="inlineStr">
        <is>
          <t>PSV total:</t>
        </is>
      </c>
      <c r="K1217" s="8">
        <f>TEXT(TIMEVALUE(I1216)-TIMEVALUE(H1215)+(I1216&lt;H1215),"[h]:mm")</f>
        <v/>
      </c>
    </row>
    <row r="1219">
      <c r="B1219" s="3" t="inlineStr">
        <is>
          <t>Pairing ID</t>
        </is>
      </c>
      <c r="C1219" s="3" t="inlineStr">
        <is>
          <t>FECHA REAL</t>
        </is>
      </c>
      <c r="D1219" s="3" t="inlineStr">
        <is>
          <t>Day of Week</t>
        </is>
      </c>
      <c r="E1219" s="3" t="inlineStr">
        <is>
          <t>Flight No</t>
        </is>
      </c>
      <c r="F1219" s="3" t="inlineStr">
        <is>
          <t>Dep Stn</t>
        </is>
      </c>
      <c r="G1219" s="3" t="inlineStr">
        <is>
          <t>Arr Stn</t>
        </is>
      </c>
      <c r="H1219" s="3" t="inlineStr">
        <is>
          <t>STD</t>
        </is>
      </c>
      <c r="I1219" s="3" t="inlineStr">
        <is>
          <t>STA</t>
        </is>
      </c>
      <c r="J1219" s="3" t="inlineStr">
        <is>
          <t>subflota</t>
        </is>
      </c>
      <c r="K1219" s="3" t="inlineStr">
        <is>
          <t>Conexion</t>
        </is>
      </c>
      <c r="L1219" s="3" t="inlineStr">
        <is>
          <t>HBT</t>
        </is>
      </c>
    </row>
    <row r="1220">
      <c r="B1220" s="4" t="inlineStr">
        <is>
          <t>1417_0</t>
        </is>
      </c>
      <c r="C1220" s="4" t="inlineStr">
        <is>
          <t>16/09/2026</t>
        </is>
      </c>
      <c r="D1220" s="4" t="inlineStr">
        <is>
          <t>miércoles</t>
        </is>
      </c>
      <c r="E1220" s="4" t="inlineStr">
        <is>
          <t>2120</t>
        </is>
      </c>
      <c r="F1220" s="4" t="inlineStr">
        <is>
          <t>LIM</t>
        </is>
      </c>
      <c r="G1220" s="4" t="inlineStr">
        <is>
          <t>CUZ</t>
        </is>
      </c>
      <c r="H1220" s="4" t="inlineStr">
        <is>
          <t>12:35:00</t>
        </is>
      </c>
      <c r="I1220" s="4" t="inlineStr">
        <is>
          <t>13:55:00</t>
        </is>
      </c>
      <c r="J1220" s="4" t="inlineStr">
        <is>
          <t>320</t>
        </is>
      </c>
      <c r="L1220" s="4" t="inlineStr">
        <is>
          <t>01:20:00</t>
        </is>
      </c>
      <c r="M1220" s="5" t="n"/>
      <c r="O1220" s="5" t="n"/>
      <c r="Q1220" s="4">
        <f>B1220</f>
        <v/>
      </c>
      <c r="R1220" s="4">
        <f>C1220</f>
        <v/>
      </c>
      <c r="S1220" s="4">
        <f>D1220</f>
        <v/>
      </c>
      <c r="T1220" s="4">
        <f>E1220&amp;"/"&amp;E1221</f>
        <v/>
      </c>
      <c r="U1220" s="4">
        <f>F1220&amp;"-"&amp;G1220&amp;"-"&amp;F1220</f>
        <v/>
      </c>
      <c r="V1220" s="4">
        <f>IF($M$1220="","",$M$1220)</f>
        <v/>
      </c>
      <c r="W1220" s="4">
        <f>IF($O$1220="","",$O$1220)</f>
        <v/>
      </c>
      <c r="X1220" s="4">
        <f>J1220</f>
        <v/>
      </c>
    </row>
    <row r="1221">
      <c r="B1221" s="4" t="inlineStr">
        <is>
          <t>1417_0</t>
        </is>
      </c>
      <c r="C1221" s="4" t="inlineStr">
        <is>
          <t>16/09/2026</t>
        </is>
      </c>
      <c r="D1221" s="4" t="inlineStr">
        <is>
          <t>miércoles</t>
        </is>
      </c>
      <c r="E1221" s="4" t="inlineStr">
        <is>
          <t>2121</t>
        </is>
      </c>
      <c r="F1221" s="4" t="inlineStr">
        <is>
          <t>CUZ</t>
        </is>
      </c>
      <c r="G1221" s="4" t="inlineStr">
        <is>
          <t>LIM</t>
        </is>
      </c>
      <c r="H1221" s="4" t="inlineStr">
        <is>
          <t>17:35:00</t>
        </is>
      </c>
      <c r="I1221" s="4" t="inlineStr">
        <is>
          <t>19:10:00</t>
        </is>
      </c>
      <c r="J1221" s="4" t="inlineStr">
        <is>
          <t>320</t>
        </is>
      </c>
      <c r="K1221">
        <f>TEXT(TIMEVALUE(H1221)-TIMEVALUE(I1220)+(TIMEVALUE(H1221)&lt;TIMEVALUE(I1220)),"[h]:mm")</f>
        <v/>
      </c>
      <c r="L1221" s="4" t="inlineStr">
        <is>
          <t>01:35:00</t>
        </is>
      </c>
      <c r="O1221">
        <f>"LIM-"&amp;G1220&amp;"-LIM   LA "&amp;E1220&amp;" ("&amp;LEFT(H1220,5)&amp;"-"&amp;LEFT(I1220,5)&amp;" hrs)  /  LA "&amp;E1221&amp;" ("&amp;LEFT(H1221,5)&amp;"-"&amp;LEFT(I1221,5)&amp;" hrs)"</f>
        <v/>
      </c>
    </row>
    <row r="1222">
      <c r="J1222" s="7" t="inlineStr">
        <is>
          <t>PSV total:</t>
        </is>
      </c>
      <c r="K1222" s="8">
        <f>TEXT(TIMEVALUE(I1221)-TIMEVALUE(H1220)+(I1221&lt;H1220),"[h]:mm")</f>
        <v/>
      </c>
    </row>
    <row r="1224">
      <c r="B1224" s="3" t="inlineStr">
        <is>
          <t>Pairing ID</t>
        </is>
      </c>
      <c r="C1224" s="3" t="inlineStr">
        <is>
          <t>FECHA REAL</t>
        </is>
      </c>
      <c r="D1224" s="3" t="inlineStr">
        <is>
          <t>Day of Week</t>
        </is>
      </c>
      <c r="E1224" s="3" t="inlineStr">
        <is>
          <t>Flight No</t>
        </is>
      </c>
      <c r="F1224" s="3" t="inlineStr">
        <is>
          <t>Dep Stn</t>
        </is>
      </c>
      <c r="G1224" s="3" t="inlineStr">
        <is>
          <t>Arr Stn</t>
        </is>
      </c>
      <c r="H1224" s="3" t="inlineStr">
        <is>
          <t>STD</t>
        </is>
      </c>
      <c r="I1224" s="3" t="inlineStr">
        <is>
          <t>STA</t>
        </is>
      </c>
      <c r="J1224" s="3" t="inlineStr">
        <is>
          <t>subflota</t>
        </is>
      </c>
      <c r="K1224" s="3" t="inlineStr">
        <is>
          <t>Conexion</t>
        </is>
      </c>
      <c r="L1224" s="3" t="inlineStr">
        <is>
          <t>HBT</t>
        </is>
      </c>
    </row>
    <row r="1225">
      <c r="B1225" s="4" t="inlineStr">
        <is>
          <t>1416_0</t>
        </is>
      </c>
      <c r="C1225" s="4" t="inlineStr">
        <is>
          <t>16/09/2026</t>
        </is>
      </c>
      <c r="D1225" s="4" t="inlineStr">
        <is>
          <t>miércoles</t>
        </is>
      </c>
      <c r="E1225" s="4" t="inlineStr">
        <is>
          <t>2120</t>
        </is>
      </c>
      <c r="F1225" s="4" t="inlineStr">
        <is>
          <t>LIM</t>
        </is>
      </c>
      <c r="G1225" s="4" t="inlineStr">
        <is>
          <t>CUZ</t>
        </is>
      </c>
      <c r="H1225" s="4" t="inlineStr">
        <is>
          <t>12:35:00</t>
        </is>
      </c>
      <c r="I1225" s="4" t="inlineStr">
        <is>
          <t>13:55:00</t>
        </is>
      </c>
      <c r="J1225" s="4" t="inlineStr">
        <is>
          <t>320</t>
        </is>
      </c>
      <c r="L1225" s="4" t="inlineStr">
        <is>
          <t>01:20:00</t>
        </is>
      </c>
      <c r="M1225" s="5" t="n"/>
      <c r="O1225" s="5" t="n"/>
      <c r="Q1225" s="4">
        <f>B1225</f>
        <v/>
      </c>
      <c r="R1225" s="4">
        <f>C1225</f>
        <v/>
      </c>
      <c r="S1225" s="4">
        <f>D1225</f>
        <v/>
      </c>
      <c r="T1225" s="4">
        <f>E1225&amp;"/"&amp;E1226</f>
        <v/>
      </c>
      <c r="U1225" s="4">
        <f>F1225&amp;"-"&amp;G1225&amp;"-"&amp;F1225</f>
        <v/>
      </c>
      <c r="V1225" s="4">
        <f>IF($M$1225="","",$M$1225)</f>
        <v/>
      </c>
      <c r="W1225" s="4">
        <f>IF($O$1225="","",$O$1225)</f>
        <v/>
      </c>
      <c r="X1225" s="4">
        <f>J1225</f>
        <v/>
      </c>
    </row>
    <row r="1226">
      <c r="B1226" s="4" t="inlineStr">
        <is>
          <t>1416_0</t>
        </is>
      </c>
      <c r="C1226" s="4" t="inlineStr">
        <is>
          <t>16/09/2026</t>
        </is>
      </c>
      <c r="D1226" s="4" t="inlineStr">
        <is>
          <t>miércoles</t>
        </is>
      </c>
      <c r="E1226" s="4" t="inlineStr">
        <is>
          <t>2121</t>
        </is>
      </c>
      <c r="F1226" s="4" t="inlineStr">
        <is>
          <t>CUZ</t>
        </is>
      </c>
      <c r="G1226" s="4" t="inlineStr">
        <is>
          <t>LIM</t>
        </is>
      </c>
      <c r="H1226" s="4" t="inlineStr">
        <is>
          <t>17:35:00</t>
        </is>
      </c>
      <c r="I1226" s="4" t="inlineStr">
        <is>
          <t>19:10:00</t>
        </is>
      </c>
      <c r="J1226" s="4" t="inlineStr">
        <is>
          <t>320</t>
        </is>
      </c>
      <c r="K1226">
        <f>TEXT(TIMEVALUE(H1226)-TIMEVALUE(I1225)+(TIMEVALUE(H1226)&lt;TIMEVALUE(I1225)),"[h]:mm")</f>
        <v/>
      </c>
      <c r="L1226" s="4" t="inlineStr">
        <is>
          <t>01:35:00</t>
        </is>
      </c>
      <c r="O1226">
        <f>"LIM-"&amp;G1225&amp;"-LIM   LA "&amp;E1225&amp;" ("&amp;LEFT(H1225,5)&amp;"-"&amp;LEFT(I1225,5)&amp;" hrs)  /  LA "&amp;E1226&amp;" ("&amp;LEFT(H1226,5)&amp;"-"&amp;LEFT(I1226,5)&amp;" hrs)"</f>
        <v/>
      </c>
    </row>
    <row r="1227">
      <c r="J1227" s="7" t="inlineStr">
        <is>
          <t>PSV total:</t>
        </is>
      </c>
      <c r="K1227" s="8">
        <f>TEXT(TIMEVALUE(I1226)-TIMEVALUE(H1225)+(I1226&lt;H1225),"[h]:mm")</f>
        <v/>
      </c>
    </row>
    <row r="1229">
      <c r="B1229" s="3" t="inlineStr">
        <is>
          <t>Pairing ID</t>
        </is>
      </c>
      <c r="C1229" s="3" t="inlineStr">
        <is>
          <t>FECHA REAL</t>
        </is>
      </c>
      <c r="D1229" s="3" t="inlineStr">
        <is>
          <t>Day of Week</t>
        </is>
      </c>
      <c r="E1229" s="3" t="inlineStr">
        <is>
          <t>Flight No</t>
        </is>
      </c>
      <c r="F1229" s="3" t="inlineStr">
        <is>
          <t>Dep Stn</t>
        </is>
      </c>
      <c r="G1229" s="3" t="inlineStr">
        <is>
          <t>Arr Stn</t>
        </is>
      </c>
      <c r="H1229" s="3" t="inlineStr">
        <is>
          <t>STD</t>
        </is>
      </c>
      <c r="I1229" s="3" t="inlineStr">
        <is>
          <t>STA</t>
        </is>
      </c>
      <c r="J1229" s="3" t="inlineStr">
        <is>
          <t>subflota</t>
        </is>
      </c>
      <c r="K1229" s="3" t="inlineStr">
        <is>
          <t>Conexion</t>
        </is>
      </c>
      <c r="L1229" s="3" t="inlineStr">
        <is>
          <t>HBT</t>
        </is>
      </c>
    </row>
    <row r="1230">
      <c r="B1230" s="4" t="inlineStr">
        <is>
          <t>1423_0</t>
        </is>
      </c>
      <c r="C1230" s="4" t="inlineStr">
        <is>
          <t>16/09/2026</t>
        </is>
      </c>
      <c r="D1230" s="4" t="inlineStr">
        <is>
          <t>miércoles</t>
        </is>
      </c>
      <c r="E1230" s="4" t="inlineStr">
        <is>
          <t>2067</t>
        </is>
      </c>
      <c r="F1230" s="4" t="inlineStr">
        <is>
          <t>LIM</t>
        </is>
      </c>
      <c r="G1230" s="4" t="inlineStr">
        <is>
          <t>TCQ</t>
        </is>
      </c>
      <c r="H1230" s="4" t="inlineStr">
        <is>
          <t>13:45:00</t>
        </is>
      </c>
      <c r="I1230" s="4" t="inlineStr">
        <is>
          <t>15:35:00</t>
        </is>
      </c>
      <c r="J1230" s="4" t="inlineStr">
        <is>
          <t>320</t>
        </is>
      </c>
      <c r="L1230" s="4" t="inlineStr">
        <is>
          <t>01:50:00</t>
        </is>
      </c>
      <c r="M1230" s="5" t="n"/>
      <c r="O1230" s="5" t="n"/>
      <c r="Q1230" s="4">
        <f>B1230</f>
        <v/>
      </c>
      <c r="R1230" s="4">
        <f>C1230</f>
        <v/>
      </c>
      <c r="S1230" s="4">
        <f>D1230</f>
        <v/>
      </c>
      <c r="T1230" s="4">
        <f>E1230&amp;"/"&amp;E1231</f>
        <v/>
      </c>
      <c r="U1230" s="4">
        <f>F1230&amp;"-"&amp;G1230&amp;"-"&amp;F1230</f>
        <v/>
      </c>
      <c r="V1230" s="4">
        <f>IF($M$1230="","",$M$1230)</f>
        <v/>
      </c>
      <c r="W1230" s="4">
        <f>IF($O$1230="","",$O$1230)</f>
        <v/>
      </c>
      <c r="X1230" s="4">
        <f>J1230</f>
        <v/>
      </c>
    </row>
    <row r="1231">
      <c r="B1231" s="4" t="inlineStr">
        <is>
          <t>1423_0</t>
        </is>
      </c>
      <c r="C1231" s="4" t="inlineStr">
        <is>
          <t>16/09/2026</t>
        </is>
      </c>
      <c r="D1231" s="4" t="inlineStr">
        <is>
          <t>miércoles</t>
        </is>
      </c>
      <c r="E1231" s="4" t="inlineStr">
        <is>
          <t>2068</t>
        </is>
      </c>
      <c r="F1231" s="4" t="inlineStr">
        <is>
          <t>TCQ</t>
        </is>
      </c>
      <c r="G1231" s="4" t="inlineStr">
        <is>
          <t>LIM</t>
        </is>
      </c>
      <c r="H1231" s="4" t="inlineStr">
        <is>
          <t>16:20:00</t>
        </is>
      </c>
      <c r="I1231" s="4" t="inlineStr">
        <is>
          <t>18:15:00</t>
        </is>
      </c>
      <c r="J1231" s="4" t="inlineStr">
        <is>
          <t>320</t>
        </is>
      </c>
      <c r="K1231">
        <f>TEXT(TIMEVALUE(H1231)-TIMEVALUE(I1230)+(TIMEVALUE(H1231)&lt;TIMEVALUE(I1230)),"[h]:mm")</f>
        <v/>
      </c>
      <c r="L1231" s="4" t="inlineStr">
        <is>
          <t>01:55:00</t>
        </is>
      </c>
      <c r="O1231">
        <f>"LIM-"&amp;G1230&amp;"-LIM   LA "&amp;E1230&amp;" ("&amp;LEFT(H1230,5)&amp;"-"&amp;LEFT(I1230,5)&amp;" hrs)  /  LA "&amp;E1231&amp;" ("&amp;LEFT(H1231,5)&amp;"-"&amp;LEFT(I1231,5)&amp;" hrs)"</f>
        <v/>
      </c>
    </row>
    <row r="1232">
      <c r="J1232" s="7" t="inlineStr">
        <is>
          <t>PSV total:</t>
        </is>
      </c>
      <c r="K1232" s="8">
        <f>TEXT(TIMEVALUE(I1231)-TIMEVALUE(H1230)+(I1231&lt;H1230),"[h]:mm")</f>
        <v/>
      </c>
    </row>
    <row r="1234">
      <c r="B1234" s="3" t="inlineStr">
        <is>
          <t>Pairing ID</t>
        </is>
      </c>
      <c r="C1234" s="3" t="inlineStr">
        <is>
          <t>FECHA REAL</t>
        </is>
      </c>
      <c r="D1234" s="3" t="inlineStr">
        <is>
          <t>Day of Week</t>
        </is>
      </c>
      <c r="E1234" s="3" t="inlineStr">
        <is>
          <t>Flight No</t>
        </is>
      </c>
      <c r="F1234" s="3" t="inlineStr">
        <is>
          <t>Dep Stn</t>
        </is>
      </c>
      <c r="G1234" s="3" t="inlineStr">
        <is>
          <t>Arr Stn</t>
        </is>
      </c>
      <c r="H1234" s="3" t="inlineStr">
        <is>
          <t>STD</t>
        </is>
      </c>
      <c r="I1234" s="3" t="inlineStr">
        <is>
          <t>STA</t>
        </is>
      </c>
      <c r="J1234" s="3" t="inlineStr">
        <is>
          <t>subflota</t>
        </is>
      </c>
      <c r="K1234" s="3" t="inlineStr">
        <is>
          <t>Conexion</t>
        </is>
      </c>
      <c r="L1234" s="3" t="inlineStr">
        <is>
          <t>HBT</t>
        </is>
      </c>
    </row>
    <row r="1235">
      <c r="B1235" s="4" t="inlineStr">
        <is>
          <t>1425_0</t>
        </is>
      </c>
      <c r="C1235" s="4" t="inlineStr">
        <is>
          <t>16/09/2026</t>
        </is>
      </c>
      <c r="D1235" s="4" t="inlineStr">
        <is>
          <t>miércoles</t>
        </is>
      </c>
      <c r="E1235" s="4" t="inlineStr">
        <is>
          <t>2087</t>
        </is>
      </c>
      <c r="F1235" s="4" t="inlineStr">
        <is>
          <t>LIM</t>
        </is>
      </c>
      <c r="G1235" s="4" t="inlineStr">
        <is>
          <t>TPP</t>
        </is>
      </c>
      <c r="H1235" s="4" t="inlineStr">
        <is>
          <t>14:05:00</t>
        </is>
      </c>
      <c r="I1235" s="4" t="inlineStr">
        <is>
          <t>15:30:00</t>
        </is>
      </c>
      <c r="J1235" s="4" t="inlineStr">
        <is>
          <t>319</t>
        </is>
      </c>
      <c r="L1235" s="4" t="inlineStr">
        <is>
          <t>01:25:00</t>
        </is>
      </c>
      <c r="M1235" s="5" t="n"/>
      <c r="O1235" s="5" t="n"/>
      <c r="Q1235" s="4">
        <f>B1235</f>
        <v/>
      </c>
      <c r="R1235" s="4">
        <f>C1235</f>
        <v/>
      </c>
      <c r="S1235" s="4">
        <f>D1235</f>
        <v/>
      </c>
      <c r="T1235" s="4">
        <f>E1235&amp;"/"&amp;E1236</f>
        <v/>
      </c>
      <c r="U1235" s="4">
        <f>F1235&amp;"-"&amp;G1235&amp;"-"&amp;F1235</f>
        <v/>
      </c>
      <c r="V1235" s="4">
        <f>IF($M$1235="","",$M$1235)</f>
        <v/>
      </c>
      <c r="W1235" s="4">
        <f>IF($O$1235="","",$O$1235)</f>
        <v/>
      </c>
      <c r="X1235" s="4">
        <f>J1235</f>
        <v/>
      </c>
    </row>
    <row r="1236">
      <c r="B1236" s="4" t="inlineStr">
        <is>
          <t>1425_0</t>
        </is>
      </c>
      <c r="C1236" s="4" t="inlineStr">
        <is>
          <t>16/09/2026</t>
        </is>
      </c>
      <c r="D1236" s="4" t="inlineStr">
        <is>
          <t>miércoles</t>
        </is>
      </c>
      <c r="E1236" s="4" t="inlineStr">
        <is>
          <t>2088</t>
        </is>
      </c>
      <c r="F1236" s="4" t="inlineStr">
        <is>
          <t>TPP</t>
        </is>
      </c>
      <c r="G1236" s="4" t="inlineStr">
        <is>
          <t>LIM</t>
        </is>
      </c>
      <c r="H1236" s="4" t="inlineStr">
        <is>
          <t>16:05:00</t>
        </is>
      </c>
      <c r="I1236" s="4" t="inlineStr">
        <is>
          <t>17:30:00</t>
        </is>
      </c>
      <c r="J1236" s="4" t="inlineStr">
        <is>
          <t>319</t>
        </is>
      </c>
      <c r="K1236">
        <f>TEXT(TIMEVALUE(H1236)-TIMEVALUE(I1235)+(TIMEVALUE(H1236)&lt;TIMEVALUE(I1235)),"[h]:mm")</f>
        <v/>
      </c>
      <c r="L1236" s="4" t="inlineStr">
        <is>
          <t>01:25:00</t>
        </is>
      </c>
      <c r="O1236">
        <f>"LIM-"&amp;G1235&amp;"-LIM   LA "&amp;E1235&amp;" ("&amp;LEFT(H1235,5)&amp;"-"&amp;LEFT(I1235,5)&amp;" hrs)  /  LA "&amp;E1236&amp;" ("&amp;LEFT(H1236,5)&amp;"-"&amp;LEFT(I1236,5)&amp;" hrs)"</f>
        <v/>
      </c>
    </row>
    <row r="1237">
      <c r="J1237" s="7" t="inlineStr">
        <is>
          <t>PSV total:</t>
        </is>
      </c>
      <c r="K1237" s="8">
        <f>TEXT(TIMEVALUE(I1236)-TIMEVALUE(H1235)+(I1236&lt;H1235),"[h]:mm")</f>
        <v/>
      </c>
    </row>
    <row r="1239">
      <c r="B1239" s="3" t="inlineStr">
        <is>
          <t>Pairing ID</t>
        </is>
      </c>
      <c r="C1239" s="3" t="inlineStr">
        <is>
          <t>FECHA REAL</t>
        </is>
      </c>
      <c r="D1239" s="3" t="inlineStr">
        <is>
          <t>Day of Week</t>
        </is>
      </c>
      <c r="E1239" s="3" t="inlineStr">
        <is>
          <t>Flight No</t>
        </is>
      </c>
      <c r="F1239" s="3" t="inlineStr">
        <is>
          <t>Dep Stn</t>
        </is>
      </c>
      <c r="G1239" s="3" t="inlineStr">
        <is>
          <t>Arr Stn</t>
        </is>
      </c>
      <c r="H1239" s="3" t="inlineStr">
        <is>
          <t>STD</t>
        </is>
      </c>
      <c r="I1239" s="3" t="inlineStr">
        <is>
          <t>STA</t>
        </is>
      </c>
      <c r="J1239" s="3" t="inlineStr">
        <is>
          <t>subflota</t>
        </is>
      </c>
      <c r="K1239" s="3" t="inlineStr">
        <is>
          <t>Conexion</t>
        </is>
      </c>
      <c r="L1239" s="3" t="inlineStr">
        <is>
          <t>HBT</t>
        </is>
      </c>
    </row>
    <row r="1240">
      <c r="B1240" s="4" t="inlineStr">
        <is>
          <t>1426_0</t>
        </is>
      </c>
      <c r="C1240" s="4" t="inlineStr">
        <is>
          <t>16/09/2026</t>
        </is>
      </c>
      <c r="D1240" s="4" t="inlineStr">
        <is>
          <t>miércoles</t>
        </is>
      </c>
      <c r="E1240" s="4" t="inlineStr">
        <is>
          <t>2295</t>
        </is>
      </c>
      <c r="F1240" s="4" t="inlineStr">
        <is>
          <t>LIM</t>
        </is>
      </c>
      <c r="G1240" s="4" t="inlineStr">
        <is>
          <t>CJA</t>
        </is>
      </c>
      <c r="H1240" s="4" t="inlineStr">
        <is>
          <t>14:10:00</t>
        </is>
      </c>
      <c r="I1240" s="4" t="inlineStr">
        <is>
          <t>15:30:00</t>
        </is>
      </c>
      <c r="J1240" s="4" t="inlineStr">
        <is>
          <t>319</t>
        </is>
      </c>
      <c r="L1240" s="4" t="inlineStr">
        <is>
          <t>01:20:00</t>
        </is>
      </c>
      <c r="M1240" s="5" t="n"/>
      <c r="O1240" s="5" t="n"/>
      <c r="Q1240" s="4">
        <f>B1240</f>
        <v/>
      </c>
      <c r="R1240" s="4">
        <f>C1240</f>
        <v/>
      </c>
      <c r="S1240" s="4">
        <f>D1240</f>
        <v/>
      </c>
      <c r="T1240" s="4">
        <f>E1240&amp;"/"&amp;E1241</f>
        <v/>
      </c>
      <c r="U1240" s="4">
        <f>F1240&amp;"-"&amp;G1240&amp;"-"&amp;F1240</f>
        <v/>
      </c>
      <c r="V1240" s="4">
        <f>IF($M$1240="","",$M$1240)</f>
        <v/>
      </c>
      <c r="W1240" s="4">
        <f>IF($O$1240="","",$O$1240)</f>
        <v/>
      </c>
      <c r="X1240" s="4">
        <f>J1240</f>
        <v/>
      </c>
    </row>
    <row r="1241">
      <c r="B1241" s="4" t="inlineStr">
        <is>
          <t>1426_0</t>
        </is>
      </c>
      <c r="C1241" s="4" t="inlineStr">
        <is>
          <t>16/09/2026</t>
        </is>
      </c>
      <c r="D1241" s="4" t="inlineStr">
        <is>
          <t>miércoles</t>
        </is>
      </c>
      <c r="E1241" s="4" t="inlineStr">
        <is>
          <t>2294</t>
        </is>
      </c>
      <c r="F1241" s="4" t="inlineStr">
        <is>
          <t>CJA</t>
        </is>
      </c>
      <c r="G1241" s="4" t="inlineStr">
        <is>
          <t>LIM</t>
        </is>
      </c>
      <c r="H1241" s="4" t="inlineStr">
        <is>
          <t>16:10:00</t>
        </is>
      </c>
      <c r="I1241" s="4" t="inlineStr">
        <is>
          <t>17:15:00</t>
        </is>
      </c>
      <c r="J1241" s="4" t="inlineStr">
        <is>
          <t>319</t>
        </is>
      </c>
      <c r="K1241">
        <f>TEXT(TIMEVALUE(H1241)-TIMEVALUE(I1240)+(TIMEVALUE(H1241)&lt;TIMEVALUE(I1240)),"[h]:mm")</f>
        <v/>
      </c>
      <c r="L1241" s="4" t="inlineStr">
        <is>
          <t>01:05:00</t>
        </is>
      </c>
      <c r="O1241">
        <f>"LIM-"&amp;G1240&amp;"-LIM   LA "&amp;E1240&amp;" ("&amp;LEFT(H1240,5)&amp;"-"&amp;LEFT(I1240,5)&amp;" hrs)  /  LA "&amp;E1241&amp;" ("&amp;LEFT(H1241,5)&amp;"-"&amp;LEFT(I1241,5)&amp;" hrs)"</f>
        <v/>
      </c>
    </row>
    <row r="1242">
      <c r="B1242" s="4" t="inlineStr">
        <is>
          <t>1445_0</t>
        </is>
      </c>
      <c r="C1242" s="4" t="inlineStr">
        <is>
          <t>16/09/2026</t>
        </is>
      </c>
      <c r="D1242" s="4" t="inlineStr">
        <is>
          <t>miércoles</t>
        </is>
      </c>
      <c r="E1242" s="4" t="inlineStr">
        <is>
          <t>2310</t>
        </is>
      </c>
      <c r="F1242" s="4" t="inlineStr">
        <is>
          <t>LIM</t>
        </is>
      </c>
      <c r="G1242" s="4" t="inlineStr">
        <is>
          <t>CIX</t>
        </is>
      </c>
      <c r="H1242" s="4" t="inlineStr">
        <is>
          <t>18:20:00</t>
        </is>
      </c>
      <c r="I1242" s="4" t="inlineStr">
        <is>
          <t>19:45:00</t>
        </is>
      </c>
      <c r="J1242" s="4" t="inlineStr">
        <is>
          <t>319</t>
        </is>
      </c>
      <c r="K1242" s="6">
        <f>TEXT(TIMEVALUE(H1242)-TIMEVALUE(I1241)+(TIMEVALUE(H1242)&lt;TIMEVALUE(I1241)),"[h]:mm")</f>
        <v/>
      </c>
      <c r="L1242" s="4" t="inlineStr">
        <is>
          <t>01:25:00</t>
        </is>
      </c>
      <c r="M1242">
        <f>IF($M$1240="","",$M$1240)</f>
        <v/>
      </c>
      <c r="O1242">
        <f>IF($O$1240="","",$O$1240)</f>
        <v/>
      </c>
      <c r="Q1242" s="4">
        <f>B1242</f>
        <v/>
      </c>
      <c r="R1242" s="4">
        <f>C1242</f>
        <v/>
      </c>
      <c r="S1242" s="4">
        <f>D1242</f>
        <v/>
      </c>
      <c r="T1242" s="4">
        <f>E1242&amp;"/"&amp;E1243</f>
        <v/>
      </c>
      <c r="U1242" s="4">
        <f>F1242&amp;"-"&amp;G1242&amp;"-"&amp;F1242</f>
        <v/>
      </c>
      <c r="V1242" s="4">
        <f>IF($M$1240="","",$M$1240)</f>
        <v/>
      </c>
      <c r="W1242" s="4">
        <f>IF($O$1240="","",$O$1240)</f>
        <v/>
      </c>
      <c r="X1242" s="4">
        <f>J1242</f>
        <v/>
      </c>
    </row>
    <row r="1243">
      <c r="B1243" s="4" t="inlineStr">
        <is>
          <t>1445_0</t>
        </is>
      </c>
      <c r="C1243" s="4" t="inlineStr">
        <is>
          <t>16/09/2026</t>
        </is>
      </c>
      <c r="D1243" s="4" t="inlineStr">
        <is>
          <t>miércoles</t>
        </is>
      </c>
      <c r="E1243" s="4" t="inlineStr">
        <is>
          <t>2311</t>
        </is>
      </c>
      <c r="F1243" s="4" t="inlineStr">
        <is>
          <t>CIX</t>
        </is>
      </c>
      <c r="G1243" s="4" t="inlineStr">
        <is>
          <t>LIM</t>
        </is>
      </c>
      <c r="H1243" s="4" t="inlineStr">
        <is>
          <t>20:20:00</t>
        </is>
      </c>
      <c r="I1243" s="4" t="inlineStr">
        <is>
          <t>21:35:00</t>
        </is>
      </c>
      <c r="J1243" s="4" t="inlineStr">
        <is>
          <t>319</t>
        </is>
      </c>
      <c r="K1243">
        <f>TEXT(TIMEVALUE(H1243)-TIMEVALUE(I1242)+(TIMEVALUE(H1243)&lt;TIMEVALUE(I1242)),"[h]:mm")</f>
        <v/>
      </c>
      <c r="L1243" s="4" t="inlineStr">
        <is>
          <t>01:15:00</t>
        </is>
      </c>
      <c r="O1243">
        <f>"LIM-"&amp;G1242&amp;"-LIM   LA "&amp;E1242&amp;" ("&amp;LEFT(H1242,5)&amp;"-"&amp;LEFT(I1242,5)&amp;" hrs)  /  LA "&amp;E1243&amp;" ("&amp;LEFT(H1243,5)&amp;"-"&amp;LEFT(I1243,5)&amp;" hrs)"</f>
        <v/>
      </c>
    </row>
    <row r="1244">
      <c r="J1244" s="7" t="inlineStr">
        <is>
          <t>PSV total:</t>
        </is>
      </c>
      <c r="K1244" s="8">
        <f>TEXT(TIMEVALUE(I1243)-TIMEVALUE(H1240)+(I1243&lt;H1240),"[h]:mm")</f>
        <v/>
      </c>
    </row>
    <row r="1246">
      <c r="B1246" s="3" t="inlineStr">
        <is>
          <t>Pairing ID</t>
        </is>
      </c>
      <c r="C1246" s="3" t="inlineStr">
        <is>
          <t>FECHA REAL</t>
        </is>
      </c>
      <c r="D1246" s="3" t="inlineStr">
        <is>
          <t>Day of Week</t>
        </is>
      </c>
      <c r="E1246" s="3" t="inlineStr">
        <is>
          <t>Flight No</t>
        </is>
      </c>
      <c r="F1246" s="3" t="inlineStr">
        <is>
          <t>Dep Stn</t>
        </is>
      </c>
      <c r="G1246" s="3" t="inlineStr">
        <is>
          <t>Arr Stn</t>
        </is>
      </c>
      <c r="H1246" s="3" t="inlineStr">
        <is>
          <t>STD</t>
        </is>
      </c>
      <c r="I1246" s="3" t="inlineStr">
        <is>
          <t>STA</t>
        </is>
      </c>
      <c r="J1246" s="3" t="inlineStr">
        <is>
          <t>subflota</t>
        </is>
      </c>
      <c r="K1246" s="3" t="inlineStr">
        <is>
          <t>Conexion</t>
        </is>
      </c>
      <c r="L1246" s="3" t="inlineStr">
        <is>
          <t>HBT</t>
        </is>
      </c>
    </row>
    <row r="1247">
      <c r="B1247" s="4" t="inlineStr">
        <is>
          <t>1428_0</t>
        </is>
      </c>
      <c r="C1247" s="4" t="inlineStr">
        <is>
          <t>16/09/2026</t>
        </is>
      </c>
      <c r="D1247" s="4" t="inlineStr">
        <is>
          <t>miércoles</t>
        </is>
      </c>
      <c r="E1247" s="4" t="inlineStr">
        <is>
          <t>2282</t>
        </is>
      </c>
      <c r="F1247" s="4" t="inlineStr">
        <is>
          <t>LIM</t>
        </is>
      </c>
      <c r="G1247" s="4" t="inlineStr">
        <is>
          <t>CIX</t>
        </is>
      </c>
      <c r="H1247" s="4" t="inlineStr">
        <is>
          <t>14:45:00</t>
        </is>
      </c>
      <c r="I1247" s="4" t="inlineStr">
        <is>
          <t>16:15:00</t>
        </is>
      </c>
      <c r="J1247" s="4" t="inlineStr">
        <is>
          <t>319</t>
        </is>
      </c>
      <c r="L1247" s="4" t="inlineStr">
        <is>
          <t>01:30:00</t>
        </is>
      </c>
      <c r="M1247" s="5" t="n"/>
      <c r="O1247" s="5" t="n"/>
      <c r="Q1247" s="4">
        <f>B1247</f>
        <v/>
      </c>
      <c r="R1247" s="4">
        <f>C1247</f>
        <v/>
      </c>
      <c r="S1247" s="4">
        <f>D1247</f>
        <v/>
      </c>
      <c r="T1247" s="4">
        <f>E1247&amp;"/"&amp;E1248</f>
        <v/>
      </c>
      <c r="U1247" s="4">
        <f>F1247&amp;"-"&amp;G1247&amp;"-"&amp;F1247</f>
        <v/>
      </c>
      <c r="V1247" s="4">
        <f>IF($M$1247="","",$M$1247)</f>
        <v/>
      </c>
      <c r="W1247" s="4">
        <f>IF($O$1247="","",$O$1247)</f>
        <v/>
      </c>
      <c r="X1247" s="4">
        <f>J1247</f>
        <v/>
      </c>
    </row>
    <row r="1248">
      <c r="B1248" s="4" t="inlineStr">
        <is>
          <t>1428_0</t>
        </is>
      </c>
      <c r="C1248" s="4" t="inlineStr">
        <is>
          <t>16/09/2026</t>
        </is>
      </c>
      <c r="D1248" s="4" t="inlineStr">
        <is>
          <t>miércoles</t>
        </is>
      </c>
      <c r="E1248" s="4" t="inlineStr">
        <is>
          <t>2283</t>
        </is>
      </c>
      <c r="F1248" s="4" t="inlineStr">
        <is>
          <t>CIX</t>
        </is>
      </c>
      <c r="G1248" s="4" t="inlineStr">
        <is>
          <t>LIM</t>
        </is>
      </c>
      <c r="H1248" s="4" t="inlineStr">
        <is>
          <t>16:50:00</t>
        </is>
      </c>
      <c r="I1248" s="4" t="inlineStr">
        <is>
          <t>18:10:00</t>
        </is>
      </c>
      <c r="J1248" s="4" t="inlineStr">
        <is>
          <t>319</t>
        </is>
      </c>
      <c r="K1248">
        <f>TEXT(TIMEVALUE(H1248)-TIMEVALUE(I1247)+(TIMEVALUE(H1248)&lt;TIMEVALUE(I1247)),"[h]:mm")</f>
        <v/>
      </c>
      <c r="L1248" s="4" t="inlineStr">
        <is>
          <t>01:20:00</t>
        </is>
      </c>
      <c r="O1248">
        <f>"LIM-"&amp;G1247&amp;"-LIM   LA "&amp;E1247&amp;" ("&amp;LEFT(H1247,5)&amp;"-"&amp;LEFT(I1247,5)&amp;" hrs)  /  LA "&amp;E1248&amp;" ("&amp;LEFT(H1248,5)&amp;"-"&amp;LEFT(I1248,5)&amp;" hrs)"</f>
        <v/>
      </c>
    </row>
    <row r="1249">
      <c r="J1249" s="7" t="inlineStr">
        <is>
          <t>PSV total:</t>
        </is>
      </c>
      <c r="K1249" s="8">
        <f>TEXT(TIMEVALUE(I1248)-TIMEVALUE(H1247)+(I1248&lt;H1247),"[h]:mm")</f>
        <v/>
      </c>
    </row>
    <row r="1251">
      <c r="B1251" s="3" t="inlineStr">
        <is>
          <t>Pairing ID</t>
        </is>
      </c>
      <c r="C1251" s="3" t="inlineStr">
        <is>
          <t>FECHA REAL</t>
        </is>
      </c>
      <c r="D1251" s="3" t="inlineStr">
        <is>
          <t>Day of Week</t>
        </is>
      </c>
      <c r="E1251" s="3" t="inlineStr">
        <is>
          <t>Flight No</t>
        </is>
      </c>
      <c r="F1251" s="3" t="inlineStr">
        <is>
          <t>Dep Stn</t>
        </is>
      </c>
      <c r="G1251" s="3" t="inlineStr">
        <is>
          <t>Arr Stn</t>
        </is>
      </c>
      <c r="H1251" s="3" t="inlineStr">
        <is>
          <t>STD</t>
        </is>
      </c>
      <c r="I1251" s="3" t="inlineStr">
        <is>
          <t>STA</t>
        </is>
      </c>
      <c r="J1251" s="3" t="inlineStr">
        <is>
          <t>subflota</t>
        </is>
      </c>
      <c r="K1251" s="3" t="inlineStr">
        <is>
          <t>Conexion</t>
        </is>
      </c>
      <c r="L1251" s="3" t="inlineStr">
        <is>
          <t>HBT</t>
        </is>
      </c>
    </row>
    <row r="1252">
      <c r="B1252" s="4" t="inlineStr">
        <is>
          <t>1430_0</t>
        </is>
      </c>
      <c r="C1252" s="4" t="inlineStr">
        <is>
          <t>16/09/2026</t>
        </is>
      </c>
      <c r="D1252" s="4" t="inlineStr">
        <is>
          <t>miércoles</t>
        </is>
      </c>
      <c r="E1252" s="4" t="inlineStr">
        <is>
          <t>2338</t>
        </is>
      </c>
      <c r="F1252" s="4" t="inlineStr">
        <is>
          <t>LIM</t>
        </is>
      </c>
      <c r="G1252" s="4" t="inlineStr">
        <is>
          <t>PIU</t>
        </is>
      </c>
      <c r="H1252" s="4" t="inlineStr">
        <is>
          <t>15:00:00</t>
        </is>
      </c>
      <c r="I1252" s="4" t="inlineStr">
        <is>
          <t>16:45:00</t>
        </is>
      </c>
      <c r="J1252" s="4" t="inlineStr">
        <is>
          <t>320</t>
        </is>
      </c>
      <c r="L1252" s="4" t="inlineStr">
        <is>
          <t>01:45:00</t>
        </is>
      </c>
      <c r="M1252" s="5" t="n"/>
      <c r="O1252" s="5" t="n"/>
      <c r="Q1252" s="4">
        <f>B1252</f>
        <v/>
      </c>
      <c r="R1252" s="4">
        <f>C1252</f>
        <v/>
      </c>
      <c r="S1252" s="4">
        <f>D1252</f>
        <v/>
      </c>
      <c r="T1252" s="4">
        <f>E1252&amp;"/"&amp;E1253</f>
        <v/>
      </c>
      <c r="U1252" s="4">
        <f>F1252&amp;"-"&amp;G1252&amp;"-"&amp;F1252</f>
        <v/>
      </c>
      <c r="V1252" s="4">
        <f>IF($M$1252="","",$M$1252)</f>
        <v/>
      </c>
      <c r="W1252" s="4">
        <f>IF($O$1252="","",$O$1252)</f>
        <v/>
      </c>
      <c r="X1252" s="4">
        <f>J1252</f>
        <v/>
      </c>
    </row>
    <row r="1253">
      <c r="B1253" s="4" t="inlineStr">
        <is>
          <t>1430_0</t>
        </is>
      </c>
      <c r="C1253" s="4" t="inlineStr">
        <is>
          <t>16/09/2026</t>
        </is>
      </c>
      <c r="D1253" s="4" t="inlineStr">
        <is>
          <t>miércoles</t>
        </is>
      </c>
      <c r="E1253" s="4" t="inlineStr">
        <is>
          <t>2339</t>
        </is>
      </c>
      <c r="F1253" s="4" t="inlineStr">
        <is>
          <t>PIU</t>
        </is>
      </c>
      <c r="G1253" s="4" t="inlineStr">
        <is>
          <t>LIM</t>
        </is>
      </c>
      <c r="H1253" s="4" t="inlineStr">
        <is>
          <t>17:20:00</t>
        </is>
      </c>
      <c r="I1253" s="4" t="inlineStr">
        <is>
          <t>18:50:00</t>
        </is>
      </c>
      <c r="J1253" s="4" t="inlineStr">
        <is>
          <t>320</t>
        </is>
      </c>
      <c r="K1253">
        <f>TEXT(TIMEVALUE(H1253)-TIMEVALUE(I1252)+(TIMEVALUE(H1253)&lt;TIMEVALUE(I1252)),"[h]:mm")</f>
        <v/>
      </c>
      <c r="L1253" s="4" t="inlineStr">
        <is>
          <t>01:30:00</t>
        </is>
      </c>
      <c r="O1253">
        <f>"LIM-"&amp;G1252&amp;"-LIM   LA "&amp;E1252&amp;" ("&amp;LEFT(H1252,5)&amp;"-"&amp;LEFT(I1252,5)&amp;" hrs)  /  LA "&amp;E1253&amp;" ("&amp;LEFT(H1253,5)&amp;"-"&amp;LEFT(I1253,5)&amp;" hrs)"</f>
        <v/>
      </c>
    </row>
    <row r="1254">
      <c r="J1254" s="7" t="inlineStr">
        <is>
          <t>PSV total:</t>
        </is>
      </c>
      <c r="K1254" s="8">
        <f>TEXT(TIMEVALUE(I1253)-TIMEVALUE(H1252)+(I1253&lt;H1252),"[h]:mm")</f>
        <v/>
      </c>
    </row>
    <row r="1256">
      <c r="B1256" s="3" t="inlineStr">
        <is>
          <t>Pairing ID</t>
        </is>
      </c>
      <c r="C1256" s="3" t="inlineStr">
        <is>
          <t>FECHA REAL</t>
        </is>
      </c>
      <c r="D1256" s="3" t="inlineStr">
        <is>
          <t>Day of Week</t>
        </is>
      </c>
      <c r="E1256" s="3" t="inlineStr">
        <is>
          <t>Flight No</t>
        </is>
      </c>
      <c r="F1256" s="3" t="inlineStr">
        <is>
          <t>Dep Stn</t>
        </is>
      </c>
      <c r="G1256" s="3" t="inlineStr">
        <is>
          <t>Arr Stn</t>
        </is>
      </c>
      <c r="H1256" s="3" t="inlineStr">
        <is>
          <t>STD</t>
        </is>
      </c>
      <c r="I1256" s="3" t="inlineStr">
        <is>
          <t>STA</t>
        </is>
      </c>
      <c r="J1256" s="3" t="inlineStr">
        <is>
          <t>subflota</t>
        </is>
      </c>
      <c r="K1256" s="3" t="inlineStr">
        <is>
          <t>Conexion</t>
        </is>
      </c>
      <c r="L1256" s="3" t="inlineStr">
        <is>
          <t>HBT</t>
        </is>
      </c>
    </row>
    <row r="1257">
      <c r="B1257" s="4" t="inlineStr">
        <is>
          <t>1429_0</t>
        </is>
      </c>
      <c r="C1257" s="4" t="inlineStr">
        <is>
          <t>16/09/2026</t>
        </is>
      </c>
      <c r="D1257" s="4" t="inlineStr">
        <is>
          <t>miércoles</t>
        </is>
      </c>
      <c r="E1257" s="4" t="inlineStr">
        <is>
          <t>2338</t>
        </is>
      </c>
      <c r="F1257" s="4" t="inlineStr">
        <is>
          <t>LIM</t>
        </is>
      </c>
      <c r="G1257" s="4" t="inlineStr">
        <is>
          <t>PIU</t>
        </is>
      </c>
      <c r="H1257" s="4" t="inlineStr">
        <is>
          <t>15:00:00</t>
        </is>
      </c>
      <c r="I1257" s="4" t="inlineStr">
        <is>
          <t>16:45:00</t>
        </is>
      </c>
      <c r="J1257" s="4" t="inlineStr">
        <is>
          <t>320</t>
        </is>
      </c>
      <c r="L1257" s="4" t="inlineStr">
        <is>
          <t>01:45:00</t>
        </is>
      </c>
      <c r="M1257" s="5" t="n"/>
      <c r="O1257" s="5" t="n"/>
      <c r="Q1257" s="4">
        <f>B1257</f>
        <v/>
      </c>
      <c r="R1257" s="4">
        <f>C1257</f>
        <v/>
      </c>
      <c r="S1257" s="4">
        <f>D1257</f>
        <v/>
      </c>
      <c r="T1257" s="4">
        <f>E1257&amp;"/"&amp;E1258</f>
        <v/>
      </c>
      <c r="U1257" s="4">
        <f>F1257&amp;"-"&amp;G1257&amp;"-"&amp;F1257</f>
        <v/>
      </c>
      <c r="V1257" s="4">
        <f>IF($M$1257="","",$M$1257)</f>
        <v/>
      </c>
      <c r="W1257" s="4">
        <f>IF($O$1257="","",$O$1257)</f>
        <v/>
      </c>
      <c r="X1257" s="4">
        <f>J1257</f>
        <v/>
      </c>
    </row>
    <row r="1258">
      <c r="B1258" s="4" t="inlineStr">
        <is>
          <t>1429_0</t>
        </is>
      </c>
      <c r="C1258" s="4" t="inlineStr">
        <is>
          <t>16/09/2026</t>
        </is>
      </c>
      <c r="D1258" s="4" t="inlineStr">
        <is>
          <t>miércoles</t>
        </is>
      </c>
      <c r="E1258" s="4" t="inlineStr">
        <is>
          <t>2339</t>
        </is>
      </c>
      <c r="F1258" s="4" t="inlineStr">
        <is>
          <t>PIU</t>
        </is>
      </c>
      <c r="G1258" s="4" t="inlineStr">
        <is>
          <t>LIM</t>
        </is>
      </c>
      <c r="H1258" s="4" t="inlineStr">
        <is>
          <t>17:20:00</t>
        </is>
      </c>
      <c r="I1258" s="4" t="inlineStr">
        <is>
          <t>18:50:00</t>
        </is>
      </c>
      <c r="J1258" s="4" t="inlineStr">
        <is>
          <t>320</t>
        </is>
      </c>
      <c r="K1258">
        <f>TEXT(TIMEVALUE(H1258)-TIMEVALUE(I1257)+(TIMEVALUE(H1258)&lt;TIMEVALUE(I1257)),"[h]:mm")</f>
        <v/>
      </c>
      <c r="L1258" s="4" t="inlineStr">
        <is>
          <t>01:30:00</t>
        </is>
      </c>
      <c r="O1258">
        <f>"LIM-"&amp;G1257&amp;"-LIM   LA "&amp;E1257&amp;" ("&amp;LEFT(H1257,5)&amp;"-"&amp;LEFT(I1257,5)&amp;" hrs)  /  LA "&amp;E1258&amp;" ("&amp;LEFT(H1258,5)&amp;"-"&amp;LEFT(I1258,5)&amp;" hrs)"</f>
        <v/>
      </c>
    </row>
    <row r="1259">
      <c r="J1259" s="7" t="inlineStr">
        <is>
          <t>PSV total:</t>
        </is>
      </c>
      <c r="K1259" s="8">
        <f>TEXT(TIMEVALUE(I1258)-TIMEVALUE(H1257)+(I1258&lt;H1257),"[h]:mm")</f>
        <v/>
      </c>
    </row>
    <row r="1261">
      <c r="B1261" s="3" t="inlineStr">
        <is>
          <t>Pairing ID</t>
        </is>
      </c>
      <c r="C1261" s="3" t="inlineStr">
        <is>
          <t>FECHA REAL</t>
        </is>
      </c>
      <c r="D1261" s="3" t="inlineStr">
        <is>
          <t>Day of Week</t>
        </is>
      </c>
      <c r="E1261" s="3" t="inlineStr">
        <is>
          <t>Flight No</t>
        </is>
      </c>
      <c r="F1261" s="3" t="inlineStr">
        <is>
          <t>Dep Stn</t>
        </is>
      </c>
      <c r="G1261" s="3" t="inlineStr">
        <is>
          <t>Arr Stn</t>
        </is>
      </c>
      <c r="H1261" s="3" t="inlineStr">
        <is>
          <t>STD</t>
        </is>
      </c>
      <c r="I1261" s="3" t="inlineStr">
        <is>
          <t>STA</t>
        </is>
      </c>
      <c r="J1261" s="3" t="inlineStr">
        <is>
          <t>subflota</t>
        </is>
      </c>
      <c r="K1261" s="3" t="inlineStr">
        <is>
          <t>Conexion</t>
        </is>
      </c>
      <c r="L1261" s="3" t="inlineStr">
        <is>
          <t>HBT</t>
        </is>
      </c>
    </row>
    <row r="1262">
      <c r="B1262" s="4" t="inlineStr">
        <is>
          <t>1433_0</t>
        </is>
      </c>
      <c r="C1262" s="4" t="inlineStr">
        <is>
          <t>16/09/2026</t>
        </is>
      </c>
      <c r="D1262" s="4" t="inlineStr">
        <is>
          <t>miércoles</t>
        </is>
      </c>
      <c r="E1262" s="4" t="inlineStr">
        <is>
          <t>2297</t>
        </is>
      </c>
      <c r="F1262" s="4" t="inlineStr">
        <is>
          <t>LIM</t>
        </is>
      </c>
      <c r="G1262" s="4" t="inlineStr">
        <is>
          <t>CJA</t>
        </is>
      </c>
      <c r="H1262" s="4" t="inlineStr">
        <is>
          <t>15:15:00</t>
        </is>
      </c>
      <c r="I1262" s="4" t="inlineStr">
        <is>
          <t>16:35:00</t>
        </is>
      </c>
      <c r="J1262" s="4" t="inlineStr">
        <is>
          <t>319</t>
        </is>
      </c>
      <c r="L1262" s="4" t="inlineStr">
        <is>
          <t>01:20:00</t>
        </is>
      </c>
      <c r="M1262" s="5" t="n"/>
      <c r="O1262" s="5" t="n"/>
      <c r="Q1262" s="4">
        <f>B1262</f>
        <v/>
      </c>
      <c r="R1262" s="4">
        <f>C1262</f>
        <v/>
      </c>
      <c r="S1262" s="4">
        <f>D1262</f>
        <v/>
      </c>
      <c r="T1262" s="4">
        <f>E1262&amp;"/"&amp;E1263</f>
        <v/>
      </c>
      <c r="U1262" s="4">
        <f>F1262&amp;"-"&amp;G1262&amp;"-"&amp;F1262</f>
        <v/>
      </c>
      <c r="V1262" s="4">
        <f>IF($M$1262="","",$M$1262)</f>
        <v/>
      </c>
      <c r="W1262" s="4">
        <f>IF($O$1262="","",$O$1262)</f>
        <v/>
      </c>
      <c r="X1262" s="4">
        <f>J1262</f>
        <v/>
      </c>
    </row>
    <row r="1263">
      <c r="B1263" s="4" t="inlineStr">
        <is>
          <t>1433_0</t>
        </is>
      </c>
      <c r="C1263" s="4" t="inlineStr">
        <is>
          <t>16/09/2026</t>
        </is>
      </c>
      <c r="D1263" s="4" t="inlineStr">
        <is>
          <t>miércoles</t>
        </is>
      </c>
      <c r="E1263" s="4" t="inlineStr">
        <is>
          <t>2296</t>
        </is>
      </c>
      <c r="F1263" s="4" t="inlineStr">
        <is>
          <t>CJA</t>
        </is>
      </c>
      <c r="G1263" s="4" t="inlineStr">
        <is>
          <t>LIM</t>
        </is>
      </c>
      <c r="H1263" s="4" t="inlineStr">
        <is>
          <t>17:20:00</t>
        </is>
      </c>
      <c r="I1263" s="4" t="inlineStr">
        <is>
          <t>18:25:00</t>
        </is>
      </c>
      <c r="J1263" s="4" t="inlineStr">
        <is>
          <t>319</t>
        </is>
      </c>
      <c r="K1263">
        <f>TEXT(TIMEVALUE(H1263)-TIMEVALUE(I1262)+(TIMEVALUE(H1263)&lt;TIMEVALUE(I1262)),"[h]:mm")</f>
        <v/>
      </c>
      <c r="L1263" s="4" t="inlineStr">
        <is>
          <t>01:05:00</t>
        </is>
      </c>
      <c r="O1263">
        <f>"LIM-"&amp;G1262&amp;"-LIM   LA "&amp;E1262&amp;" ("&amp;LEFT(H1262,5)&amp;"-"&amp;LEFT(I1262,5)&amp;" hrs)  /  LA "&amp;E1263&amp;" ("&amp;LEFT(H1263,5)&amp;"-"&amp;LEFT(I1263,5)&amp;" hrs)"</f>
        <v/>
      </c>
    </row>
    <row r="1264">
      <c r="J1264" s="7" t="inlineStr">
        <is>
          <t>PSV total:</t>
        </is>
      </c>
      <c r="K1264" s="8">
        <f>TEXT(TIMEVALUE(I1263)-TIMEVALUE(H1262)+(I1263&lt;H1262),"[h]:mm")</f>
        <v/>
      </c>
    </row>
    <row r="1266">
      <c r="B1266" s="3" t="inlineStr">
        <is>
          <t>Pairing ID</t>
        </is>
      </c>
      <c r="C1266" s="3" t="inlineStr">
        <is>
          <t>FECHA REAL</t>
        </is>
      </c>
      <c r="D1266" s="3" t="inlineStr">
        <is>
          <t>Day of Week</t>
        </is>
      </c>
      <c r="E1266" s="3" t="inlineStr">
        <is>
          <t>Flight No</t>
        </is>
      </c>
      <c r="F1266" s="3" t="inlineStr">
        <is>
          <t>Dep Stn</t>
        </is>
      </c>
      <c r="G1266" s="3" t="inlineStr">
        <is>
          <t>Arr Stn</t>
        </is>
      </c>
      <c r="H1266" s="3" t="inlineStr">
        <is>
          <t>STD</t>
        </is>
      </c>
      <c r="I1266" s="3" t="inlineStr">
        <is>
          <t>STA</t>
        </is>
      </c>
      <c r="J1266" s="3" t="inlineStr">
        <is>
          <t>subflota</t>
        </is>
      </c>
      <c r="K1266" s="3" t="inlineStr">
        <is>
          <t>Conexion</t>
        </is>
      </c>
      <c r="L1266" s="3" t="inlineStr">
        <is>
          <t>HBT</t>
        </is>
      </c>
    </row>
    <row r="1267">
      <c r="B1267" s="4" t="inlineStr">
        <is>
          <t>1435_0</t>
        </is>
      </c>
      <c r="C1267" s="4" t="inlineStr">
        <is>
          <t>16/09/2026</t>
        </is>
      </c>
      <c r="D1267" s="4" t="inlineStr">
        <is>
          <t>miércoles</t>
        </is>
      </c>
      <c r="E1267" s="4" t="inlineStr">
        <is>
          <t>2312</t>
        </is>
      </c>
      <c r="F1267" s="4" t="inlineStr">
        <is>
          <t>LIM</t>
        </is>
      </c>
      <c r="G1267" s="4" t="inlineStr">
        <is>
          <t>CIX</t>
        </is>
      </c>
      <c r="H1267" s="4" t="inlineStr">
        <is>
          <t>15:35:00</t>
        </is>
      </c>
      <c r="I1267" s="4" t="inlineStr">
        <is>
          <t>17:05:00</t>
        </is>
      </c>
      <c r="J1267" s="4" t="inlineStr">
        <is>
          <t>319</t>
        </is>
      </c>
      <c r="L1267" s="4" t="inlineStr">
        <is>
          <t>01:30:00</t>
        </is>
      </c>
      <c r="M1267" s="5" t="n"/>
      <c r="O1267" s="5" t="n"/>
      <c r="Q1267" s="4">
        <f>B1267</f>
        <v/>
      </c>
      <c r="R1267" s="4">
        <f>C1267</f>
        <v/>
      </c>
      <c r="S1267" s="4">
        <f>D1267</f>
        <v/>
      </c>
      <c r="T1267" s="4">
        <f>E1267&amp;"/"&amp;E1268</f>
        <v/>
      </c>
      <c r="U1267" s="4">
        <f>F1267&amp;"-"&amp;G1267&amp;"-"&amp;F1267</f>
        <v/>
      </c>
      <c r="V1267" s="4">
        <f>IF($M$1267="","",$M$1267)</f>
        <v/>
      </c>
      <c r="W1267" s="4">
        <f>IF($O$1267="","",$O$1267)</f>
        <v/>
      </c>
      <c r="X1267" s="4">
        <f>J1267</f>
        <v/>
      </c>
    </row>
    <row r="1268">
      <c r="B1268" s="4" t="inlineStr">
        <is>
          <t>1435_0</t>
        </is>
      </c>
      <c r="C1268" s="4" t="inlineStr">
        <is>
          <t>16/09/2026</t>
        </is>
      </c>
      <c r="D1268" s="4" t="inlineStr">
        <is>
          <t>miércoles</t>
        </is>
      </c>
      <c r="E1268" s="4" t="inlineStr">
        <is>
          <t>2313</t>
        </is>
      </c>
      <c r="F1268" s="4" t="inlineStr">
        <is>
          <t>CIX</t>
        </is>
      </c>
      <c r="G1268" s="4" t="inlineStr">
        <is>
          <t>LIM</t>
        </is>
      </c>
      <c r="H1268" s="4" t="inlineStr">
        <is>
          <t>17:50:00</t>
        </is>
      </c>
      <c r="I1268" s="4" t="inlineStr">
        <is>
          <t>19:10:00</t>
        </is>
      </c>
      <c r="J1268" s="4" t="inlineStr">
        <is>
          <t>319</t>
        </is>
      </c>
      <c r="K1268">
        <f>TEXT(TIMEVALUE(H1268)-TIMEVALUE(I1267)+(TIMEVALUE(H1268)&lt;TIMEVALUE(I1267)),"[h]:mm")</f>
        <v/>
      </c>
      <c r="L1268" s="4" t="inlineStr">
        <is>
          <t>01:20:00</t>
        </is>
      </c>
      <c r="O1268">
        <f>"LIM-"&amp;G1267&amp;"-LIM   LA "&amp;E1267&amp;" ("&amp;LEFT(H1267,5)&amp;"-"&amp;LEFT(I1267,5)&amp;" hrs)  /  LA "&amp;E1268&amp;" ("&amp;LEFT(H1268,5)&amp;"-"&amp;LEFT(I1268,5)&amp;" hrs)"</f>
        <v/>
      </c>
    </row>
    <row r="1269">
      <c r="J1269" s="7" t="inlineStr">
        <is>
          <t>PSV total:</t>
        </is>
      </c>
      <c r="K1269" s="8">
        <f>TEXT(TIMEVALUE(I1268)-TIMEVALUE(H1267)+(I1268&lt;H1267),"[h]:mm")</f>
        <v/>
      </c>
    </row>
    <row r="1271">
      <c r="B1271" s="3" t="inlineStr">
        <is>
          <t>Pairing ID</t>
        </is>
      </c>
      <c r="C1271" s="3" t="inlineStr">
        <is>
          <t>FECHA REAL</t>
        </is>
      </c>
      <c r="D1271" s="3" t="inlineStr">
        <is>
          <t>Day of Week</t>
        </is>
      </c>
      <c r="E1271" s="3" t="inlineStr">
        <is>
          <t>Flight No</t>
        </is>
      </c>
      <c r="F1271" s="3" t="inlineStr">
        <is>
          <t>Dep Stn</t>
        </is>
      </c>
      <c r="G1271" s="3" t="inlineStr">
        <is>
          <t>Arr Stn</t>
        </is>
      </c>
      <c r="H1271" s="3" t="inlineStr">
        <is>
          <t>STD</t>
        </is>
      </c>
      <c r="I1271" s="3" t="inlineStr">
        <is>
          <t>STA</t>
        </is>
      </c>
      <c r="J1271" s="3" t="inlineStr">
        <is>
          <t>subflota</t>
        </is>
      </c>
      <c r="K1271" s="3" t="inlineStr">
        <is>
          <t>Conexion</t>
        </is>
      </c>
      <c r="L1271" s="3" t="inlineStr">
        <is>
          <t>HBT</t>
        </is>
      </c>
    </row>
    <row r="1272">
      <c r="B1272" s="4" t="inlineStr">
        <is>
          <t>1440_0</t>
        </is>
      </c>
      <c r="C1272" s="4" t="inlineStr">
        <is>
          <t>16/09/2026</t>
        </is>
      </c>
      <c r="D1272" s="4" t="inlineStr">
        <is>
          <t>miércoles</t>
        </is>
      </c>
      <c r="E1272" s="4" t="inlineStr">
        <is>
          <t>2053</t>
        </is>
      </c>
      <c r="F1272" s="4" t="inlineStr">
        <is>
          <t>LIM</t>
        </is>
      </c>
      <c r="G1272" s="4" t="inlineStr">
        <is>
          <t>TBP</t>
        </is>
      </c>
      <c r="H1272" s="4" t="inlineStr">
        <is>
          <t>16:20:00</t>
        </is>
      </c>
      <c r="I1272" s="4" t="inlineStr">
        <is>
          <t>18:10:00</t>
        </is>
      </c>
      <c r="J1272" s="4" t="inlineStr">
        <is>
          <t>320</t>
        </is>
      </c>
      <c r="L1272" s="4" t="inlineStr">
        <is>
          <t>01:50:00</t>
        </is>
      </c>
      <c r="M1272" s="5" t="n"/>
      <c r="O1272" s="5" t="n"/>
      <c r="Q1272" s="4">
        <f>B1272</f>
        <v/>
      </c>
      <c r="R1272" s="4">
        <f>C1272</f>
        <v/>
      </c>
      <c r="S1272" s="4">
        <f>D1272</f>
        <v/>
      </c>
      <c r="T1272" s="4">
        <f>E1272&amp;"/"&amp;E1273</f>
        <v/>
      </c>
      <c r="U1272" s="4">
        <f>F1272&amp;"-"&amp;G1272&amp;"-"&amp;F1272</f>
        <v/>
      </c>
      <c r="V1272" s="4">
        <f>IF($M$1272="","",$M$1272)</f>
        <v/>
      </c>
      <c r="W1272" s="4">
        <f>IF($O$1272="","",$O$1272)</f>
        <v/>
      </c>
      <c r="X1272" s="4">
        <f>J1272</f>
        <v/>
      </c>
    </row>
    <row r="1273">
      <c r="B1273" s="4" t="inlineStr">
        <is>
          <t>1440_0</t>
        </is>
      </c>
      <c r="C1273" s="4" t="inlineStr">
        <is>
          <t>16/09/2026</t>
        </is>
      </c>
      <c r="D1273" s="4" t="inlineStr">
        <is>
          <t>miércoles</t>
        </is>
      </c>
      <c r="E1273" s="4" t="inlineStr">
        <is>
          <t>2054</t>
        </is>
      </c>
      <c r="F1273" s="4" t="inlineStr">
        <is>
          <t>TBP</t>
        </is>
      </c>
      <c r="G1273" s="4" t="inlineStr">
        <is>
          <t>LIM</t>
        </is>
      </c>
      <c r="H1273" s="4" t="inlineStr">
        <is>
          <t>18:50:00</t>
        </is>
      </c>
      <c r="I1273" s="4" t="inlineStr">
        <is>
          <t>20:30:00</t>
        </is>
      </c>
      <c r="J1273" s="4" t="inlineStr">
        <is>
          <t>320</t>
        </is>
      </c>
      <c r="K1273">
        <f>TEXT(TIMEVALUE(H1273)-TIMEVALUE(I1272)+(TIMEVALUE(H1273)&lt;TIMEVALUE(I1272)),"[h]:mm")</f>
        <v/>
      </c>
      <c r="L1273" s="4" t="inlineStr">
        <is>
          <t>01:40:00</t>
        </is>
      </c>
      <c r="O1273">
        <f>"LIM-"&amp;G1272&amp;"-LIM   LA "&amp;E1272&amp;" ("&amp;LEFT(H1272,5)&amp;"-"&amp;LEFT(I1272,5)&amp;" hrs)  /  LA "&amp;E1273&amp;" ("&amp;LEFT(H1273,5)&amp;"-"&amp;LEFT(I1273,5)&amp;" hrs)"</f>
        <v/>
      </c>
    </row>
    <row r="1274">
      <c r="J1274" s="7" t="inlineStr">
        <is>
          <t>PSV total:</t>
        </is>
      </c>
      <c r="K1274" s="8">
        <f>TEXT(TIMEVALUE(I1273)-TIMEVALUE(H1272)+(I1273&lt;H1272),"[h]:mm")</f>
        <v/>
      </c>
    </row>
    <row r="1276">
      <c r="B1276" s="3" t="inlineStr">
        <is>
          <t>Pairing ID</t>
        </is>
      </c>
      <c r="C1276" s="3" t="inlineStr">
        <is>
          <t>FECHA REAL</t>
        </is>
      </c>
      <c r="D1276" s="3" t="inlineStr">
        <is>
          <t>Day of Week</t>
        </is>
      </c>
      <c r="E1276" s="3" t="inlineStr">
        <is>
          <t>Flight No</t>
        </is>
      </c>
      <c r="F1276" s="3" t="inlineStr">
        <is>
          <t>Dep Stn</t>
        </is>
      </c>
      <c r="G1276" s="3" t="inlineStr">
        <is>
          <t>Arr Stn</t>
        </is>
      </c>
      <c r="H1276" s="3" t="inlineStr">
        <is>
          <t>STD</t>
        </is>
      </c>
      <c r="I1276" s="3" t="inlineStr">
        <is>
          <t>STA</t>
        </is>
      </c>
      <c r="J1276" s="3" t="inlineStr">
        <is>
          <t>subflota</t>
        </is>
      </c>
      <c r="K1276" s="3" t="inlineStr">
        <is>
          <t>Conexion</t>
        </is>
      </c>
      <c r="L1276" s="3" t="inlineStr">
        <is>
          <t>HBT</t>
        </is>
      </c>
    </row>
    <row r="1277">
      <c r="B1277" s="4" t="inlineStr">
        <is>
          <t>1443_0</t>
        </is>
      </c>
      <c r="C1277" s="4" t="inlineStr">
        <is>
          <t>16/09/2026</t>
        </is>
      </c>
      <c r="D1277" s="4" t="inlineStr">
        <is>
          <t>miércoles</t>
        </is>
      </c>
      <c r="E1277" s="4" t="inlineStr">
        <is>
          <t>2236</t>
        </is>
      </c>
      <c r="F1277" s="4" t="inlineStr">
        <is>
          <t>LIM</t>
        </is>
      </c>
      <c r="G1277" s="4" t="inlineStr">
        <is>
          <t>PIU</t>
        </is>
      </c>
      <c r="H1277" s="4" t="inlineStr">
        <is>
          <t>18:00:00</t>
        </is>
      </c>
      <c r="I1277" s="4" t="inlineStr">
        <is>
          <t>19:40:00</t>
        </is>
      </c>
      <c r="J1277" s="4" t="inlineStr">
        <is>
          <t>320</t>
        </is>
      </c>
      <c r="L1277" s="4" t="inlineStr">
        <is>
          <t>01:40:00</t>
        </is>
      </c>
      <c r="M1277" s="5" t="n"/>
      <c r="O1277" s="5" t="n"/>
      <c r="Q1277" s="4">
        <f>B1277</f>
        <v/>
      </c>
      <c r="R1277" s="4">
        <f>C1277</f>
        <v/>
      </c>
      <c r="S1277" s="4">
        <f>D1277</f>
        <v/>
      </c>
      <c r="T1277" s="4">
        <f>E1277&amp;"/"&amp;E1278</f>
        <v/>
      </c>
      <c r="U1277" s="4">
        <f>F1277&amp;"-"&amp;G1277&amp;"-"&amp;F1277</f>
        <v/>
      </c>
      <c r="V1277" s="4">
        <f>IF($M$1277="","",$M$1277)</f>
        <v/>
      </c>
      <c r="W1277" s="4">
        <f>IF($O$1277="","",$O$1277)</f>
        <v/>
      </c>
      <c r="X1277" s="4">
        <f>J1277</f>
        <v/>
      </c>
    </row>
    <row r="1278">
      <c r="B1278" s="4" t="inlineStr">
        <is>
          <t>1443_0</t>
        </is>
      </c>
      <c r="C1278" s="4" t="inlineStr">
        <is>
          <t>16/09/2026</t>
        </is>
      </c>
      <c r="D1278" s="4" t="inlineStr">
        <is>
          <t>miércoles</t>
        </is>
      </c>
      <c r="E1278" s="4" t="inlineStr">
        <is>
          <t>2237</t>
        </is>
      </c>
      <c r="F1278" s="4" t="inlineStr">
        <is>
          <t>PIU</t>
        </is>
      </c>
      <c r="G1278" s="4" t="inlineStr">
        <is>
          <t>LIM</t>
        </is>
      </c>
      <c r="H1278" s="4" t="inlineStr">
        <is>
          <t>20:20:00</t>
        </is>
      </c>
      <c r="I1278" s="4" t="inlineStr">
        <is>
          <t>21:50:00</t>
        </is>
      </c>
      <c r="J1278" s="4" t="inlineStr">
        <is>
          <t>320</t>
        </is>
      </c>
      <c r="K1278">
        <f>TEXT(TIMEVALUE(H1278)-TIMEVALUE(I1277)+(TIMEVALUE(H1278)&lt;TIMEVALUE(I1277)),"[h]:mm")</f>
        <v/>
      </c>
      <c r="L1278" s="4" t="inlineStr">
        <is>
          <t>01:30:00</t>
        </is>
      </c>
      <c r="O1278">
        <f>"LIM-"&amp;G1277&amp;"-LIM   LA "&amp;E1277&amp;" ("&amp;LEFT(H1277,5)&amp;"-"&amp;LEFT(I1277,5)&amp;" hrs)  /  LA "&amp;E1278&amp;" ("&amp;LEFT(H1278,5)&amp;"-"&amp;LEFT(I1278,5)&amp;" hrs)"</f>
        <v/>
      </c>
    </row>
    <row r="1279">
      <c r="J1279" s="7" t="inlineStr">
        <is>
          <t>PSV total:</t>
        </is>
      </c>
      <c r="K1279" s="8">
        <f>TEXT(TIMEVALUE(I1278)-TIMEVALUE(H1277)+(I1278&lt;H1277),"[h]:mm")</f>
        <v/>
      </c>
    </row>
    <row r="1281">
      <c r="B1281" s="3" t="inlineStr">
        <is>
          <t>Pairing ID</t>
        </is>
      </c>
      <c r="C1281" s="3" t="inlineStr">
        <is>
          <t>FECHA REAL</t>
        </is>
      </c>
      <c r="D1281" s="3" t="inlineStr">
        <is>
          <t>Day of Week</t>
        </is>
      </c>
      <c r="E1281" s="3" t="inlineStr">
        <is>
          <t>Flight No</t>
        </is>
      </c>
      <c r="F1281" s="3" t="inlineStr">
        <is>
          <t>Dep Stn</t>
        </is>
      </c>
      <c r="G1281" s="3" t="inlineStr">
        <is>
          <t>Arr Stn</t>
        </is>
      </c>
      <c r="H1281" s="3" t="inlineStr">
        <is>
          <t>STD</t>
        </is>
      </c>
      <c r="I1281" s="3" t="inlineStr">
        <is>
          <t>STA</t>
        </is>
      </c>
      <c r="J1281" s="3" t="inlineStr">
        <is>
          <t>subflota</t>
        </is>
      </c>
      <c r="K1281" s="3" t="inlineStr">
        <is>
          <t>Conexion</t>
        </is>
      </c>
      <c r="L1281" s="3" t="inlineStr">
        <is>
          <t>HBT</t>
        </is>
      </c>
    </row>
    <row r="1282">
      <c r="B1282" s="4" t="inlineStr">
        <is>
          <t>1488_0</t>
        </is>
      </c>
      <c r="C1282" s="4" t="inlineStr">
        <is>
          <t>17/09/2026</t>
        </is>
      </c>
      <c r="D1282" s="4" t="inlineStr">
        <is>
          <t>jueves</t>
        </is>
      </c>
      <c r="E1282" s="4" t="inlineStr">
        <is>
          <t>2013</t>
        </is>
      </c>
      <c r="F1282" s="4" t="inlineStr">
        <is>
          <t>LIM</t>
        </is>
      </c>
      <c r="G1282" s="4" t="inlineStr">
        <is>
          <t>CUZ</t>
        </is>
      </c>
      <c r="H1282" s="4" t="inlineStr">
        <is>
          <t>08:35:00</t>
        </is>
      </c>
      <c r="I1282" s="4" t="inlineStr">
        <is>
          <t>09:55:00</t>
        </is>
      </c>
      <c r="J1282" s="4" t="inlineStr">
        <is>
          <t>320</t>
        </is>
      </c>
      <c r="L1282" s="4" t="inlineStr">
        <is>
          <t>01:20:00</t>
        </is>
      </c>
      <c r="M1282" s="5" t="n"/>
      <c r="O1282" s="5" t="n"/>
      <c r="Q1282" s="4">
        <f>B1282</f>
        <v/>
      </c>
      <c r="R1282" s="4">
        <f>C1282</f>
        <v/>
      </c>
      <c r="S1282" s="4">
        <f>D1282</f>
        <v/>
      </c>
      <c r="T1282" s="4">
        <f>E1282&amp;"/"&amp;E1283</f>
        <v/>
      </c>
      <c r="U1282" s="4">
        <f>F1282&amp;"-"&amp;G1282&amp;"-"&amp;F1282</f>
        <v/>
      </c>
      <c r="V1282" s="4">
        <f>IF($M$1282="","",$M$1282)</f>
        <v/>
      </c>
      <c r="W1282" s="4">
        <f>IF($O$1282="","",$O$1282)</f>
        <v/>
      </c>
      <c r="X1282" s="4">
        <f>J1282</f>
        <v/>
      </c>
    </row>
    <row r="1283">
      <c r="B1283" s="4" t="inlineStr">
        <is>
          <t>1488_0</t>
        </is>
      </c>
      <c r="C1283" s="4" t="inlineStr">
        <is>
          <t>17/09/2026</t>
        </is>
      </c>
      <c r="D1283" s="4" t="inlineStr">
        <is>
          <t>jueves</t>
        </is>
      </c>
      <c r="E1283" s="4" t="inlineStr">
        <is>
          <t>2014</t>
        </is>
      </c>
      <c r="F1283" s="4" t="inlineStr">
        <is>
          <t>CUZ</t>
        </is>
      </c>
      <c r="G1283" s="4" t="inlineStr">
        <is>
          <t>LIM</t>
        </is>
      </c>
      <c r="H1283" s="4" t="inlineStr">
        <is>
          <t>10:40:00</t>
        </is>
      </c>
      <c r="I1283" s="4" t="inlineStr">
        <is>
          <t>12:15:00</t>
        </is>
      </c>
      <c r="J1283" s="4" t="inlineStr">
        <is>
          <t>320</t>
        </is>
      </c>
      <c r="K1283">
        <f>TEXT(TIMEVALUE(H1283)-TIMEVALUE(I1282)+(TIMEVALUE(H1283)&lt;TIMEVALUE(I1282)),"[h]:mm")</f>
        <v/>
      </c>
      <c r="L1283" s="4" t="inlineStr">
        <is>
          <t>01:35:00</t>
        </is>
      </c>
      <c r="O1283">
        <f>"LIM-"&amp;G1282&amp;"-LIM   LA "&amp;E1282&amp;" ("&amp;LEFT(H1282,5)&amp;"-"&amp;LEFT(I1282,5)&amp;" hrs)  /  LA "&amp;E1283&amp;" ("&amp;LEFT(H1283,5)&amp;"-"&amp;LEFT(I1283,5)&amp;" hrs)"</f>
        <v/>
      </c>
    </row>
    <row r="1284">
      <c r="J1284" s="7" t="inlineStr">
        <is>
          <t>PSV total:</t>
        </is>
      </c>
      <c r="K1284" s="8">
        <f>TEXT(TIMEVALUE(I1283)-TIMEVALUE(H1282)+(I1283&lt;H1282),"[h]:mm")</f>
        <v/>
      </c>
    </row>
    <row r="1286">
      <c r="B1286" s="3" t="inlineStr">
        <is>
          <t>Pairing ID</t>
        </is>
      </c>
      <c r="C1286" s="3" t="inlineStr">
        <is>
          <t>FECHA REAL</t>
        </is>
      </c>
      <c r="D1286" s="3" t="inlineStr">
        <is>
          <t>Day of Week</t>
        </is>
      </c>
      <c r="E1286" s="3" t="inlineStr">
        <is>
          <t>Flight No</t>
        </is>
      </c>
      <c r="F1286" s="3" t="inlineStr">
        <is>
          <t>Dep Stn</t>
        </is>
      </c>
      <c r="G1286" s="3" t="inlineStr">
        <is>
          <t>Arr Stn</t>
        </is>
      </c>
      <c r="H1286" s="3" t="inlineStr">
        <is>
          <t>STD</t>
        </is>
      </c>
      <c r="I1286" s="3" t="inlineStr">
        <is>
          <t>STA</t>
        </is>
      </c>
      <c r="J1286" s="3" t="inlineStr">
        <is>
          <t>subflota</t>
        </is>
      </c>
      <c r="K1286" s="3" t="inlineStr">
        <is>
          <t>Conexion</t>
        </is>
      </c>
      <c r="L1286" s="3" t="inlineStr">
        <is>
          <t>HBT</t>
        </is>
      </c>
    </row>
    <row r="1287">
      <c r="B1287" s="4" t="inlineStr">
        <is>
          <t>1495_0</t>
        </is>
      </c>
      <c r="C1287" s="4" t="inlineStr">
        <is>
          <t>17/09/2026</t>
        </is>
      </c>
      <c r="D1287" s="4" t="inlineStr">
        <is>
          <t>jueves</t>
        </is>
      </c>
      <c r="E1287" s="4" t="inlineStr">
        <is>
          <t>2052</t>
        </is>
      </c>
      <c r="F1287" s="4" t="inlineStr">
        <is>
          <t>LIM</t>
        </is>
      </c>
      <c r="G1287" s="4" t="inlineStr">
        <is>
          <t>TBP</t>
        </is>
      </c>
      <c r="H1287" s="4" t="inlineStr">
        <is>
          <t>10:20:00</t>
        </is>
      </c>
      <c r="I1287" s="4" t="inlineStr">
        <is>
          <t>12:15:00</t>
        </is>
      </c>
      <c r="J1287" s="4" t="inlineStr">
        <is>
          <t>320</t>
        </is>
      </c>
      <c r="L1287" s="4" t="inlineStr">
        <is>
          <t>01:55:00</t>
        </is>
      </c>
      <c r="M1287" s="5" t="n"/>
      <c r="O1287" s="5" t="n"/>
      <c r="Q1287" s="4">
        <f>B1287</f>
        <v/>
      </c>
      <c r="R1287" s="4">
        <f>C1287</f>
        <v/>
      </c>
      <c r="S1287" s="4">
        <f>D1287</f>
        <v/>
      </c>
      <c r="T1287" s="4">
        <f>E1287&amp;"/"&amp;E1288</f>
        <v/>
      </c>
      <c r="U1287" s="4">
        <f>F1287&amp;"-"&amp;G1287&amp;"-"&amp;F1287</f>
        <v/>
      </c>
      <c r="V1287" s="4">
        <f>IF($M$1287="","",$M$1287)</f>
        <v/>
      </c>
      <c r="W1287" s="4">
        <f>IF($O$1287="","",$O$1287)</f>
        <v/>
      </c>
      <c r="X1287" s="4">
        <f>J1287</f>
        <v/>
      </c>
    </row>
    <row r="1288">
      <c r="B1288" s="4" t="inlineStr">
        <is>
          <t>1495_0</t>
        </is>
      </c>
      <c r="C1288" s="4" t="inlineStr">
        <is>
          <t>17/09/2026</t>
        </is>
      </c>
      <c r="D1288" s="4" t="inlineStr">
        <is>
          <t>jueves</t>
        </is>
      </c>
      <c r="E1288" s="4" t="inlineStr">
        <is>
          <t>2051</t>
        </is>
      </c>
      <c r="F1288" s="4" t="inlineStr">
        <is>
          <t>TBP</t>
        </is>
      </c>
      <c r="G1288" s="4" t="inlineStr">
        <is>
          <t>LIM</t>
        </is>
      </c>
      <c r="H1288" s="4" t="inlineStr">
        <is>
          <t>12:55:00</t>
        </is>
      </c>
      <c r="I1288" s="4" t="inlineStr">
        <is>
          <t>14:35:00</t>
        </is>
      </c>
      <c r="J1288" s="4" t="inlineStr">
        <is>
          <t>320</t>
        </is>
      </c>
      <c r="K1288">
        <f>TEXT(TIMEVALUE(H1288)-TIMEVALUE(I1287)+(TIMEVALUE(H1288)&lt;TIMEVALUE(I1287)),"[h]:mm")</f>
        <v/>
      </c>
      <c r="L1288" s="4" t="inlineStr">
        <is>
          <t>01:40:00</t>
        </is>
      </c>
      <c r="O1288">
        <f>"LIM-"&amp;G1287&amp;"-LIM   LA "&amp;E1287&amp;" ("&amp;LEFT(H1287,5)&amp;"-"&amp;LEFT(I1287,5)&amp;" hrs)  /  LA "&amp;E1288&amp;" ("&amp;LEFT(H1288,5)&amp;"-"&amp;LEFT(I1288,5)&amp;" hrs)"</f>
        <v/>
      </c>
    </row>
    <row r="1289">
      <c r="B1289" s="4" t="inlineStr">
        <is>
          <t>1524_0</t>
        </is>
      </c>
      <c r="C1289" s="4" t="inlineStr">
        <is>
          <t>17/09/2026</t>
        </is>
      </c>
      <c r="D1289" s="4" t="inlineStr">
        <is>
          <t>jueves</t>
        </is>
      </c>
      <c r="E1289" s="4" t="inlineStr">
        <is>
          <t>2312</t>
        </is>
      </c>
      <c r="F1289" s="4" t="inlineStr">
        <is>
          <t>LIM</t>
        </is>
      </c>
      <c r="G1289" s="4" t="inlineStr">
        <is>
          <t>CIX</t>
        </is>
      </c>
      <c r="H1289" s="4" t="inlineStr">
        <is>
          <t>15:35:00</t>
        </is>
      </c>
      <c r="I1289" s="4" t="inlineStr">
        <is>
          <t>17:05:00</t>
        </is>
      </c>
      <c r="J1289" s="4" t="inlineStr">
        <is>
          <t>320</t>
        </is>
      </c>
      <c r="K1289" s="6">
        <f>TEXT(TIMEVALUE(H1289)-TIMEVALUE(I1288)+(TIMEVALUE(H1289)&lt;TIMEVALUE(I1288)),"[h]:mm")</f>
        <v/>
      </c>
      <c r="L1289" s="4" t="inlineStr">
        <is>
          <t>01:30:00</t>
        </is>
      </c>
      <c r="M1289">
        <f>IF($M$1287="","",$M$1287)</f>
        <v/>
      </c>
      <c r="O1289">
        <f>IF($O$1287="","",$O$1287)</f>
        <v/>
      </c>
      <c r="Q1289" s="4">
        <f>B1289</f>
        <v/>
      </c>
      <c r="R1289" s="4">
        <f>C1289</f>
        <v/>
      </c>
      <c r="S1289" s="4">
        <f>D1289</f>
        <v/>
      </c>
      <c r="T1289" s="4">
        <f>E1289&amp;"/"&amp;E1290</f>
        <v/>
      </c>
      <c r="U1289" s="4">
        <f>F1289&amp;"-"&amp;G1289&amp;"-"&amp;F1289</f>
        <v/>
      </c>
      <c r="V1289" s="4">
        <f>IF($M$1287="","",$M$1287)</f>
        <v/>
      </c>
      <c r="W1289" s="4">
        <f>IF($O$1287="","",$O$1287)</f>
        <v/>
      </c>
      <c r="X1289" s="4">
        <f>J1289</f>
        <v/>
      </c>
    </row>
    <row r="1290">
      <c r="B1290" s="4" t="inlineStr">
        <is>
          <t>1524_0</t>
        </is>
      </c>
      <c r="C1290" s="4" t="inlineStr">
        <is>
          <t>17/09/2026</t>
        </is>
      </c>
      <c r="D1290" s="4" t="inlineStr">
        <is>
          <t>jueves</t>
        </is>
      </c>
      <c r="E1290" s="4" t="inlineStr">
        <is>
          <t>2313</t>
        </is>
      </c>
      <c r="F1290" s="4" t="inlineStr">
        <is>
          <t>CIX</t>
        </is>
      </c>
      <c r="G1290" s="4" t="inlineStr">
        <is>
          <t>LIM</t>
        </is>
      </c>
      <c r="H1290" s="4" t="inlineStr">
        <is>
          <t>17:50:00</t>
        </is>
      </c>
      <c r="I1290" s="4" t="inlineStr">
        <is>
          <t>19:10:00</t>
        </is>
      </c>
      <c r="J1290" s="4" t="inlineStr">
        <is>
          <t>320</t>
        </is>
      </c>
      <c r="K1290">
        <f>TEXT(TIMEVALUE(H1290)-TIMEVALUE(I1289)+(TIMEVALUE(H1290)&lt;TIMEVALUE(I1289)),"[h]:mm")</f>
        <v/>
      </c>
      <c r="L1290" s="4" t="inlineStr">
        <is>
          <t>01:20:00</t>
        </is>
      </c>
      <c r="O1290">
        <f>"LIM-"&amp;G1289&amp;"-LIM   LA "&amp;E1289&amp;" ("&amp;LEFT(H1289,5)&amp;"-"&amp;LEFT(I1289,5)&amp;" hrs)  /  LA "&amp;E1290&amp;" ("&amp;LEFT(H1290,5)&amp;"-"&amp;LEFT(I1290,5)&amp;" hrs)"</f>
        <v/>
      </c>
    </row>
    <row r="1291">
      <c r="J1291" s="7" t="inlineStr">
        <is>
          <t>PSV total:</t>
        </is>
      </c>
      <c r="K1291" s="8">
        <f>TEXT(TIMEVALUE(I1290)-TIMEVALUE(H1287)+(I1290&lt;H1287),"[h]:mm")</f>
        <v/>
      </c>
    </row>
    <row r="1293">
      <c r="B1293" s="3" t="inlineStr">
        <is>
          <t>Pairing ID</t>
        </is>
      </c>
      <c r="C1293" s="3" t="inlineStr">
        <is>
          <t>FECHA REAL</t>
        </is>
      </c>
      <c r="D1293" s="3" t="inlineStr">
        <is>
          <t>Day of Week</t>
        </is>
      </c>
      <c r="E1293" s="3" t="inlineStr">
        <is>
          <t>Flight No</t>
        </is>
      </c>
      <c r="F1293" s="3" t="inlineStr">
        <is>
          <t>Dep Stn</t>
        </is>
      </c>
      <c r="G1293" s="3" t="inlineStr">
        <is>
          <t>Arr Stn</t>
        </is>
      </c>
      <c r="H1293" s="3" t="inlineStr">
        <is>
          <t>STD</t>
        </is>
      </c>
      <c r="I1293" s="3" t="inlineStr">
        <is>
          <t>STA</t>
        </is>
      </c>
      <c r="J1293" s="3" t="inlineStr">
        <is>
          <t>subflota</t>
        </is>
      </c>
      <c r="K1293" s="3" t="inlineStr">
        <is>
          <t>Conexion</t>
        </is>
      </c>
      <c r="L1293" s="3" t="inlineStr">
        <is>
          <t>HBT</t>
        </is>
      </c>
    </row>
    <row r="1294">
      <c r="B1294" s="4" t="inlineStr">
        <is>
          <t>1496_0</t>
        </is>
      </c>
      <c r="C1294" s="4" t="inlineStr">
        <is>
          <t>17/09/2026</t>
        </is>
      </c>
      <c r="D1294" s="4" t="inlineStr">
        <is>
          <t>jueves</t>
        </is>
      </c>
      <c r="E1294" s="4" t="inlineStr">
        <is>
          <t>2071</t>
        </is>
      </c>
      <c r="F1294" s="4" t="inlineStr">
        <is>
          <t>LIM</t>
        </is>
      </c>
      <c r="G1294" s="4" t="inlineStr">
        <is>
          <t>TCQ</t>
        </is>
      </c>
      <c r="H1294" s="4" t="inlineStr">
        <is>
          <t>10:30:00</t>
        </is>
      </c>
      <c r="I1294" s="4" t="inlineStr">
        <is>
          <t>12:25:00</t>
        </is>
      </c>
      <c r="J1294" s="4" t="inlineStr">
        <is>
          <t>320</t>
        </is>
      </c>
      <c r="L1294" s="4" t="inlineStr">
        <is>
          <t>01:55:00</t>
        </is>
      </c>
      <c r="M1294" s="5" t="n"/>
      <c r="O1294" s="5" t="n"/>
      <c r="Q1294" s="4">
        <f>B1294</f>
        <v/>
      </c>
      <c r="R1294" s="4">
        <f>C1294</f>
        <v/>
      </c>
      <c r="S1294" s="4">
        <f>D1294</f>
        <v/>
      </c>
      <c r="T1294" s="4">
        <f>E1294&amp;"/"&amp;E1295</f>
        <v/>
      </c>
      <c r="U1294" s="4">
        <f>F1294&amp;"-"&amp;G1294&amp;"-"&amp;F1294</f>
        <v/>
      </c>
      <c r="V1294" s="4">
        <f>IF($M$1294="","",$M$1294)</f>
        <v/>
      </c>
      <c r="W1294" s="4">
        <f>IF($O$1294="","",$O$1294)</f>
        <v/>
      </c>
      <c r="X1294" s="4">
        <f>J1294</f>
        <v/>
      </c>
    </row>
    <row r="1295">
      <c r="B1295" s="4" t="inlineStr">
        <is>
          <t>1496_0</t>
        </is>
      </c>
      <c r="C1295" s="4" t="inlineStr">
        <is>
          <t>17/09/2026</t>
        </is>
      </c>
      <c r="D1295" s="4" t="inlineStr">
        <is>
          <t>jueves</t>
        </is>
      </c>
      <c r="E1295" s="4" t="inlineStr">
        <is>
          <t>2072</t>
        </is>
      </c>
      <c r="F1295" s="4" t="inlineStr">
        <is>
          <t>TCQ</t>
        </is>
      </c>
      <c r="G1295" s="4" t="inlineStr">
        <is>
          <t>LIM</t>
        </is>
      </c>
      <c r="H1295" s="4" t="inlineStr">
        <is>
          <t>13:00:00</t>
        </is>
      </c>
      <c r="I1295" s="4" t="inlineStr">
        <is>
          <t>14:55:00</t>
        </is>
      </c>
      <c r="J1295" s="4" t="inlineStr">
        <is>
          <t>320</t>
        </is>
      </c>
      <c r="K1295">
        <f>TEXT(TIMEVALUE(H1295)-TIMEVALUE(I1294)+(TIMEVALUE(H1295)&lt;TIMEVALUE(I1294)),"[h]:mm")</f>
        <v/>
      </c>
      <c r="L1295" s="4" t="inlineStr">
        <is>
          <t>01:55:00</t>
        </is>
      </c>
      <c r="O1295">
        <f>"LIM-"&amp;G1294&amp;"-LIM   LA "&amp;E1294&amp;" ("&amp;LEFT(H1294,5)&amp;"-"&amp;LEFT(I1294,5)&amp;" hrs)  /  LA "&amp;E1295&amp;" ("&amp;LEFT(H1295,5)&amp;"-"&amp;LEFT(I1295,5)&amp;" hrs)"</f>
        <v/>
      </c>
    </row>
    <row r="1296">
      <c r="B1296" s="4" t="inlineStr">
        <is>
          <t>1530_0</t>
        </is>
      </c>
      <c r="C1296" s="4" t="inlineStr">
        <is>
          <t>17/09/2026</t>
        </is>
      </c>
      <c r="D1296" s="4" t="inlineStr">
        <is>
          <t>jueves</t>
        </is>
      </c>
      <c r="E1296" s="4" t="inlineStr">
        <is>
          <t>2053</t>
        </is>
      </c>
      <c r="F1296" s="4" t="inlineStr">
        <is>
          <t>LIM</t>
        </is>
      </c>
      <c r="G1296" s="4" t="inlineStr">
        <is>
          <t>TBP</t>
        </is>
      </c>
      <c r="H1296" s="4" t="inlineStr">
        <is>
          <t>16:20:00</t>
        </is>
      </c>
      <c r="I1296" s="4" t="inlineStr">
        <is>
          <t>18:10:00</t>
        </is>
      </c>
      <c r="J1296" s="4" t="inlineStr">
        <is>
          <t>320</t>
        </is>
      </c>
      <c r="K1296" s="6">
        <f>TEXT(TIMEVALUE(H1296)-TIMEVALUE(I1295)+(TIMEVALUE(H1296)&lt;TIMEVALUE(I1295)),"[h]:mm")</f>
        <v/>
      </c>
      <c r="L1296" s="4" t="inlineStr">
        <is>
          <t>01:50:00</t>
        </is>
      </c>
      <c r="M1296">
        <f>IF($M$1294="","",$M$1294)</f>
        <v/>
      </c>
      <c r="O1296">
        <f>IF($O$1294="","",$O$1294)</f>
        <v/>
      </c>
      <c r="Q1296" s="4">
        <f>B1296</f>
        <v/>
      </c>
      <c r="R1296" s="4">
        <f>C1296</f>
        <v/>
      </c>
      <c r="S1296" s="4">
        <f>D1296</f>
        <v/>
      </c>
      <c r="T1296" s="4">
        <f>E1296&amp;"/"&amp;E1297</f>
        <v/>
      </c>
      <c r="U1296" s="4">
        <f>F1296&amp;"-"&amp;G1296&amp;"-"&amp;F1296</f>
        <v/>
      </c>
      <c r="V1296" s="4">
        <f>IF($M$1294="","",$M$1294)</f>
        <v/>
      </c>
      <c r="W1296" s="4">
        <f>IF($O$1294="","",$O$1294)</f>
        <v/>
      </c>
      <c r="X1296" s="4">
        <f>J1296</f>
        <v/>
      </c>
    </row>
    <row r="1297">
      <c r="B1297" s="4" t="inlineStr">
        <is>
          <t>1530_0</t>
        </is>
      </c>
      <c r="C1297" s="4" t="inlineStr">
        <is>
          <t>17/09/2026</t>
        </is>
      </c>
      <c r="D1297" s="4" t="inlineStr">
        <is>
          <t>jueves</t>
        </is>
      </c>
      <c r="E1297" s="4" t="inlineStr">
        <is>
          <t>2054</t>
        </is>
      </c>
      <c r="F1297" s="4" t="inlineStr">
        <is>
          <t>TBP</t>
        </is>
      </c>
      <c r="G1297" s="4" t="inlineStr">
        <is>
          <t>LIM</t>
        </is>
      </c>
      <c r="H1297" s="4" t="inlineStr">
        <is>
          <t>18:50:00</t>
        </is>
      </c>
      <c r="I1297" s="4" t="inlineStr">
        <is>
          <t>20:30:00</t>
        </is>
      </c>
      <c r="J1297" s="4" t="inlineStr">
        <is>
          <t>320</t>
        </is>
      </c>
      <c r="K1297">
        <f>TEXT(TIMEVALUE(H1297)-TIMEVALUE(I1296)+(TIMEVALUE(H1297)&lt;TIMEVALUE(I1296)),"[h]:mm")</f>
        <v/>
      </c>
      <c r="L1297" s="4" t="inlineStr">
        <is>
          <t>01:40:00</t>
        </is>
      </c>
      <c r="O1297">
        <f>"LIM-"&amp;G1296&amp;"-LIM   LA "&amp;E1296&amp;" ("&amp;LEFT(H1296,5)&amp;"-"&amp;LEFT(I1296,5)&amp;" hrs)  /  LA "&amp;E1297&amp;" ("&amp;LEFT(H1297,5)&amp;"-"&amp;LEFT(I1297,5)&amp;" hrs)"</f>
        <v/>
      </c>
    </row>
    <row r="1298">
      <c r="J1298" s="7" t="inlineStr">
        <is>
          <t>PSV total:</t>
        </is>
      </c>
      <c r="K1298" s="8">
        <f>TEXT(TIMEVALUE(I1297)-TIMEVALUE(H1294)+(I1297&lt;H1294),"[h]:mm")</f>
        <v/>
      </c>
    </row>
    <row r="1300">
      <c r="B1300" s="3" t="inlineStr">
        <is>
          <t>Pairing ID</t>
        </is>
      </c>
      <c r="C1300" s="3" t="inlineStr">
        <is>
          <t>FECHA REAL</t>
        </is>
      </c>
      <c r="D1300" s="3" t="inlineStr">
        <is>
          <t>Day of Week</t>
        </is>
      </c>
      <c r="E1300" s="3" t="inlineStr">
        <is>
          <t>Flight No</t>
        </is>
      </c>
      <c r="F1300" s="3" t="inlineStr">
        <is>
          <t>Dep Stn</t>
        </is>
      </c>
      <c r="G1300" s="3" t="inlineStr">
        <is>
          <t>Arr Stn</t>
        </is>
      </c>
      <c r="H1300" s="3" t="inlineStr">
        <is>
          <t>STD</t>
        </is>
      </c>
      <c r="I1300" s="3" t="inlineStr">
        <is>
          <t>STA</t>
        </is>
      </c>
      <c r="J1300" s="3" t="inlineStr">
        <is>
          <t>subflota</t>
        </is>
      </c>
      <c r="K1300" s="3" t="inlineStr">
        <is>
          <t>Conexion</t>
        </is>
      </c>
      <c r="L1300" s="3" t="inlineStr">
        <is>
          <t>HBT</t>
        </is>
      </c>
    </row>
    <row r="1301">
      <c r="B1301" s="4" t="inlineStr">
        <is>
          <t>1497_0</t>
        </is>
      </c>
      <c r="C1301" s="4" t="inlineStr">
        <is>
          <t>17/09/2026</t>
        </is>
      </c>
      <c r="D1301" s="4" t="inlineStr">
        <is>
          <t>jueves</t>
        </is>
      </c>
      <c r="E1301" s="4" t="inlineStr">
        <is>
          <t>2299</t>
        </is>
      </c>
      <c r="F1301" s="4" t="inlineStr">
        <is>
          <t>LIM</t>
        </is>
      </c>
      <c r="G1301" s="4" t="inlineStr">
        <is>
          <t>CJA</t>
        </is>
      </c>
      <c r="H1301" s="4" t="inlineStr">
        <is>
          <t>11:35:00</t>
        </is>
      </c>
      <c r="I1301" s="4" t="inlineStr">
        <is>
          <t>12:55:00</t>
        </is>
      </c>
      <c r="J1301" s="4" t="inlineStr">
        <is>
          <t>320</t>
        </is>
      </c>
      <c r="L1301" s="4" t="inlineStr">
        <is>
          <t>01:20:00</t>
        </is>
      </c>
      <c r="M1301" s="5" t="n"/>
      <c r="O1301" s="5" t="n"/>
      <c r="Q1301" s="4">
        <f>B1301</f>
        <v/>
      </c>
      <c r="R1301" s="4">
        <f>C1301</f>
        <v/>
      </c>
      <c r="S1301" s="4">
        <f>D1301</f>
        <v/>
      </c>
      <c r="T1301" s="4">
        <f>E1301&amp;"/"&amp;E1302</f>
        <v/>
      </c>
      <c r="U1301" s="4">
        <f>F1301&amp;"-"&amp;G1301&amp;"-"&amp;F1301</f>
        <v/>
      </c>
      <c r="V1301" s="4">
        <f>IF($M$1301="","",$M$1301)</f>
        <v/>
      </c>
      <c r="W1301" s="4">
        <f>IF($O$1301="","",$O$1301)</f>
        <v/>
      </c>
      <c r="X1301" s="4">
        <f>J1301</f>
        <v/>
      </c>
    </row>
    <row r="1302">
      <c r="B1302" s="4" t="inlineStr">
        <is>
          <t>1497_0</t>
        </is>
      </c>
      <c r="C1302" s="4" t="inlineStr">
        <is>
          <t>17/09/2026</t>
        </is>
      </c>
      <c r="D1302" s="4" t="inlineStr">
        <is>
          <t>jueves</t>
        </is>
      </c>
      <c r="E1302" s="4" t="inlineStr">
        <is>
          <t>2298</t>
        </is>
      </c>
      <c r="F1302" s="4" t="inlineStr">
        <is>
          <t>CJA</t>
        </is>
      </c>
      <c r="G1302" s="4" t="inlineStr">
        <is>
          <t>LIM</t>
        </is>
      </c>
      <c r="H1302" s="4" t="inlineStr">
        <is>
          <t>13:40:00</t>
        </is>
      </c>
      <c r="I1302" s="4" t="inlineStr">
        <is>
          <t>14:50:00</t>
        </is>
      </c>
      <c r="J1302" s="4" t="inlineStr">
        <is>
          <t>320</t>
        </is>
      </c>
      <c r="K1302">
        <f>TEXT(TIMEVALUE(H1302)-TIMEVALUE(I1301)+(TIMEVALUE(H1302)&lt;TIMEVALUE(I1301)),"[h]:mm")</f>
        <v/>
      </c>
      <c r="L1302" s="4" t="inlineStr">
        <is>
          <t>01:10:00</t>
        </is>
      </c>
      <c r="O1302">
        <f>"LIM-"&amp;G1301&amp;"-LIM   LA "&amp;E1301&amp;" ("&amp;LEFT(H1301,5)&amp;"-"&amp;LEFT(I1301,5)&amp;" hrs)  /  LA "&amp;E1302&amp;" ("&amp;LEFT(H1302,5)&amp;"-"&amp;LEFT(I1302,5)&amp;" hrs)"</f>
        <v/>
      </c>
    </row>
    <row r="1303">
      <c r="J1303" s="7" t="inlineStr">
        <is>
          <t>PSV total:</t>
        </is>
      </c>
      <c r="K1303" s="8">
        <f>TEXT(TIMEVALUE(I1302)-TIMEVALUE(H1301)+(I1302&lt;H1301),"[h]:mm")</f>
        <v/>
      </c>
    </row>
    <row r="1305">
      <c r="B1305" s="3" t="inlineStr">
        <is>
          <t>Pairing ID</t>
        </is>
      </c>
      <c r="C1305" s="3" t="inlineStr">
        <is>
          <t>FECHA REAL</t>
        </is>
      </c>
      <c r="D1305" s="3" t="inlineStr">
        <is>
          <t>Day of Week</t>
        </is>
      </c>
      <c r="E1305" s="3" t="inlineStr">
        <is>
          <t>Flight No</t>
        </is>
      </c>
      <c r="F1305" s="3" t="inlineStr">
        <is>
          <t>Dep Stn</t>
        </is>
      </c>
      <c r="G1305" s="3" t="inlineStr">
        <is>
          <t>Arr Stn</t>
        </is>
      </c>
      <c r="H1305" s="3" t="inlineStr">
        <is>
          <t>STD</t>
        </is>
      </c>
      <c r="I1305" s="3" t="inlineStr">
        <is>
          <t>STA</t>
        </is>
      </c>
      <c r="J1305" s="3" t="inlineStr">
        <is>
          <t>subflota</t>
        </is>
      </c>
      <c r="K1305" s="3" t="inlineStr">
        <is>
          <t>Conexion</t>
        </is>
      </c>
      <c r="L1305" s="3" t="inlineStr">
        <is>
          <t>HBT</t>
        </is>
      </c>
    </row>
    <row r="1306">
      <c r="B1306" s="4" t="inlineStr">
        <is>
          <t>1506_0</t>
        </is>
      </c>
      <c r="C1306" s="4" t="inlineStr">
        <is>
          <t>17/09/2026</t>
        </is>
      </c>
      <c r="D1306" s="4" t="inlineStr">
        <is>
          <t>jueves</t>
        </is>
      </c>
      <c r="E1306" s="4" t="inlineStr">
        <is>
          <t>2308</t>
        </is>
      </c>
      <c r="F1306" s="4" t="inlineStr">
        <is>
          <t>LIM</t>
        </is>
      </c>
      <c r="G1306" s="4" t="inlineStr">
        <is>
          <t>PIU</t>
        </is>
      </c>
      <c r="H1306" s="4" t="inlineStr">
        <is>
          <t>12:50:00</t>
        </is>
      </c>
      <c r="I1306" s="4" t="inlineStr">
        <is>
          <t>14:35:00</t>
        </is>
      </c>
      <c r="J1306" s="4" t="inlineStr">
        <is>
          <t>319</t>
        </is>
      </c>
      <c r="L1306" s="4" t="inlineStr">
        <is>
          <t>01:45:00</t>
        </is>
      </c>
      <c r="M1306" s="5" t="n"/>
      <c r="O1306" s="5" t="n"/>
      <c r="Q1306" s="4">
        <f>B1306</f>
        <v/>
      </c>
      <c r="R1306" s="4">
        <f>C1306</f>
        <v/>
      </c>
      <c r="S1306" s="4">
        <f>D1306</f>
        <v/>
      </c>
      <c r="T1306" s="4">
        <f>E1306&amp;"/"&amp;E1307</f>
        <v/>
      </c>
      <c r="U1306" s="4">
        <f>F1306&amp;"-"&amp;G1306&amp;"-"&amp;F1306</f>
        <v/>
      </c>
      <c r="V1306" s="4">
        <f>IF($M$1306="","",$M$1306)</f>
        <v/>
      </c>
      <c r="W1306" s="4">
        <f>IF($O$1306="","",$O$1306)</f>
        <v/>
      </c>
      <c r="X1306" s="4">
        <f>J1306</f>
        <v/>
      </c>
    </row>
    <row r="1307">
      <c r="B1307" s="4" t="inlineStr">
        <is>
          <t>1506_0</t>
        </is>
      </c>
      <c r="C1307" s="4" t="inlineStr">
        <is>
          <t>17/09/2026</t>
        </is>
      </c>
      <c r="D1307" s="4" t="inlineStr">
        <is>
          <t>jueves</t>
        </is>
      </c>
      <c r="E1307" s="4" t="inlineStr">
        <is>
          <t>2309</t>
        </is>
      </c>
      <c r="F1307" s="4" t="inlineStr">
        <is>
          <t>PIU</t>
        </is>
      </c>
      <c r="G1307" s="4" t="inlineStr">
        <is>
          <t>LIM</t>
        </is>
      </c>
      <c r="H1307" s="4" t="inlineStr">
        <is>
          <t>15:25:00</t>
        </is>
      </c>
      <c r="I1307" s="4" t="inlineStr">
        <is>
          <t>16:55:00</t>
        </is>
      </c>
      <c r="J1307" s="4" t="inlineStr">
        <is>
          <t>319</t>
        </is>
      </c>
      <c r="K1307">
        <f>TEXT(TIMEVALUE(H1307)-TIMEVALUE(I1306)+(TIMEVALUE(H1307)&lt;TIMEVALUE(I1306)),"[h]:mm")</f>
        <v/>
      </c>
      <c r="L1307" s="4" t="inlineStr">
        <is>
          <t>01:30:00</t>
        </is>
      </c>
      <c r="O1307">
        <f>"LIM-"&amp;G1306&amp;"-LIM   LA "&amp;E1306&amp;" ("&amp;LEFT(H1306,5)&amp;"-"&amp;LEFT(I1306,5)&amp;" hrs)  /  LA "&amp;E1307&amp;" ("&amp;LEFT(H1307,5)&amp;"-"&amp;LEFT(I1307,5)&amp;" hrs)"</f>
        <v/>
      </c>
    </row>
    <row r="1308">
      <c r="J1308" s="7" t="inlineStr">
        <is>
          <t>PSV total:</t>
        </is>
      </c>
      <c r="K1308" s="8">
        <f>TEXT(TIMEVALUE(I1307)-TIMEVALUE(H1306)+(I1307&lt;H1306),"[h]:mm")</f>
        <v/>
      </c>
    </row>
    <row r="1310">
      <c r="B1310" s="3" t="inlineStr">
        <is>
          <t>Pairing ID</t>
        </is>
      </c>
      <c r="C1310" s="3" t="inlineStr">
        <is>
          <t>FECHA REAL</t>
        </is>
      </c>
      <c r="D1310" s="3" t="inlineStr">
        <is>
          <t>Day of Week</t>
        </is>
      </c>
      <c r="E1310" s="3" t="inlineStr">
        <is>
          <t>Flight No</t>
        </is>
      </c>
      <c r="F1310" s="3" t="inlineStr">
        <is>
          <t>Dep Stn</t>
        </is>
      </c>
      <c r="G1310" s="3" t="inlineStr">
        <is>
          <t>Arr Stn</t>
        </is>
      </c>
      <c r="H1310" s="3" t="inlineStr">
        <is>
          <t>STD</t>
        </is>
      </c>
      <c r="I1310" s="3" t="inlineStr">
        <is>
          <t>STA</t>
        </is>
      </c>
      <c r="J1310" s="3" t="inlineStr">
        <is>
          <t>subflota</t>
        </is>
      </c>
      <c r="K1310" s="3" t="inlineStr">
        <is>
          <t>Conexion</t>
        </is>
      </c>
      <c r="L1310" s="3" t="inlineStr">
        <is>
          <t>HBT</t>
        </is>
      </c>
    </row>
    <row r="1311">
      <c r="B1311" s="4" t="inlineStr">
        <is>
          <t>1511_0</t>
        </is>
      </c>
      <c r="C1311" s="4" t="inlineStr">
        <is>
          <t>17/09/2026</t>
        </is>
      </c>
      <c r="D1311" s="4" t="inlineStr">
        <is>
          <t>jueves</t>
        </is>
      </c>
      <c r="E1311" s="4" t="inlineStr">
        <is>
          <t>2067</t>
        </is>
      </c>
      <c r="F1311" s="4" t="inlineStr">
        <is>
          <t>LIM</t>
        </is>
      </c>
      <c r="G1311" s="4" t="inlineStr">
        <is>
          <t>TCQ</t>
        </is>
      </c>
      <c r="H1311" s="4" t="inlineStr">
        <is>
          <t>13:45:00</t>
        </is>
      </c>
      <c r="I1311" s="4" t="inlineStr">
        <is>
          <t>15:35:00</t>
        </is>
      </c>
      <c r="J1311" s="4" t="inlineStr">
        <is>
          <t>320</t>
        </is>
      </c>
      <c r="L1311" s="4" t="inlineStr">
        <is>
          <t>01:50:00</t>
        </is>
      </c>
      <c r="M1311" s="5" t="n"/>
      <c r="O1311" s="5" t="n"/>
      <c r="Q1311" s="4">
        <f>B1311</f>
        <v/>
      </c>
      <c r="R1311" s="4">
        <f>C1311</f>
        <v/>
      </c>
      <c r="S1311" s="4">
        <f>D1311</f>
        <v/>
      </c>
      <c r="T1311" s="4">
        <f>E1311&amp;"/"&amp;E1312</f>
        <v/>
      </c>
      <c r="U1311" s="4">
        <f>F1311&amp;"-"&amp;G1311&amp;"-"&amp;F1311</f>
        <v/>
      </c>
      <c r="V1311" s="4">
        <f>IF($M$1311="","",$M$1311)</f>
        <v/>
      </c>
      <c r="W1311" s="4">
        <f>IF($O$1311="","",$O$1311)</f>
        <v/>
      </c>
      <c r="X1311" s="4">
        <f>J1311</f>
        <v/>
      </c>
    </row>
    <row r="1312">
      <c r="B1312" s="4" t="inlineStr">
        <is>
          <t>1511_0</t>
        </is>
      </c>
      <c r="C1312" s="4" t="inlineStr">
        <is>
          <t>17/09/2026</t>
        </is>
      </c>
      <c r="D1312" s="4" t="inlineStr">
        <is>
          <t>jueves</t>
        </is>
      </c>
      <c r="E1312" s="4" t="inlineStr">
        <is>
          <t>2068</t>
        </is>
      </c>
      <c r="F1312" s="4" t="inlineStr">
        <is>
          <t>TCQ</t>
        </is>
      </c>
      <c r="G1312" s="4" t="inlineStr">
        <is>
          <t>LIM</t>
        </is>
      </c>
      <c r="H1312" s="4" t="inlineStr">
        <is>
          <t>16:20:00</t>
        </is>
      </c>
      <c r="I1312" s="4" t="inlineStr">
        <is>
          <t>18:15:00</t>
        </is>
      </c>
      <c r="J1312" s="4" t="inlineStr">
        <is>
          <t>320</t>
        </is>
      </c>
      <c r="K1312">
        <f>TEXT(TIMEVALUE(H1312)-TIMEVALUE(I1311)+(TIMEVALUE(H1312)&lt;TIMEVALUE(I1311)),"[h]:mm")</f>
        <v/>
      </c>
      <c r="L1312" s="4" t="inlineStr">
        <is>
          <t>01:55:00</t>
        </is>
      </c>
      <c r="O1312">
        <f>"LIM-"&amp;G1311&amp;"-LIM   LA "&amp;E1311&amp;" ("&amp;LEFT(H1311,5)&amp;"-"&amp;LEFT(I1311,5)&amp;" hrs)  /  LA "&amp;E1312&amp;" ("&amp;LEFT(H1312,5)&amp;"-"&amp;LEFT(I1312,5)&amp;" hrs)"</f>
        <v/>
      </c>
    </row>
    <row r="1313">
      <c r="J1313" s="7" t="inlineStr">
        <is>
          <t>PSV total:</t>
        </is>
      </c>
      <c r="K1313" s="8">
        <f>TEXT(TIMEVALUE(I1312)-TIMEVALUE(H1311)+(I1312&lt;H1311),"[h]:mm")</f>
        <v/>
      </c>
    </row>
    <row r="1315">
      <c r="B1315" s="3" t="inlineStr">
        <is>
          <t>Pairing ID</t>
        </is>
      </c>
      <c r="C1315" s="3" t="inlineStr">
        <is>
          <t>FECHA REAL</t>
        </is>
      </c>
      <c r="D1315" s="3" t="inlineStr">
        <is>
          <t>Day of Week</t>
        </is>
      </c>
      <c r="E1315" s="3" t="inlineStr">
        <is>
          <t>Flight No</t>
        </is>
      </c>
      <c r="F1315" s="3" t="inlineStr">
        <is>
          <t>Dep Stn</t>
        </is>
      </c>
      <c r="G1315" s="3" t="inlineStr">
        <is>
          <t>Arr Stn</t>
        </is>
      </c>
      <c r="H1315" s="3" t="inlineStr">
        <is>
          <t>STD</t>
        </is>
      </c>
      <c r="I1315" s="3" t="inlineStr">
        <is>
          <t>STA</t>
        </is>
      </c>
      <c r="J1315" s="3" t="inlineStr">
        <is>
          <t>subflota</t>
        </is>
      </c>
      <c r="K1315" s="3" t="inlineStr">
        <is>
          <t>Conexion</t>
        </is>
      </c>
      <c r="L1315" s="3" t="inlineStr">
        <is>
          <t>HBT</t>
        </is>
      </c>
    </row>
    <row r="1316">
      <c r="B1316" s="4" t="inlineStr">
        <is>
          <t>1516_0</t>
        </is>
      </c>
      <c r="C1316" s="4" t="inlineStr">
        <is>
          <t>17/09/2026</t>
        </is>
      </c>
      <c r="D1316" s="4" t="inlineStr">
        <is>
          <t>jueves</t>
        </is>
      </c>
      <c r="E1316" s="4" t="inlineStr">
        <is>
          <t>2282</t>
        </is>
      </c>
      <c r="F1316" s="4" t="inlineStr">
        <is>
          <t>LIM</t>
        </is>
      </c>
      <c r="G1316" s="4" t="inlineStr">
        <is>
          <t>CIX</t>
        </is>
      </c>
      <c r="H1316" s="4" t="inlineStr">
        <is>
          <t>14:35:00</t>
        </is>
      </c>
      <c r="I1316" s="4" t="inlineStr">
        <is>
          <t>16:05:00</t>
        </is>
      </c>
      <c r="J1316" s="4" t="inlineStr">
        <is>
          <t>320</t>
        </is>
      </c>
      <c r="L1316" s="4" t="inlineStr">
        <is>
          <t>01:30:00</t>
        </is>
      </c>
      <c r="M1316" s="5" t="n"/>
      <c r="O1316" s="5" t="n"/>
      <c r="Q1316" s="4">
        <f>B1316</f>
        <v/>
      </c>
      <c r="R1316" s="4">
        <f>C1316</f>
        <v/>
      </c>
      <c r="S1316" s="4">
        <f>D1316</f>
        <v/>
      </c>
      <c r="T1316" s="4">
        <f>E1316&amp;"/"&amp;E1317</f>
        <v/>
      </c>
      <c r="U1316" s="4">
        <f>F1316&amp;"-"&amp;G1316&amp;"-"&amp;F1316</f>
        <v/>
      </c>
      <c r="V1316" s="4">
        <f>IF($M$1316="","",$M$1316)</f>
        <v/>
      </c>
      <c r="W1316" s="4">
        <f>IF($O$1316="","",$O$1316)</f>
        <v/>
      </c>
      <c r="X1316" s="4">
        <f>J1316</f>
        <v/>
      </c>
    </row>
    <row r="1317">
      <c r="B1317" s="4" t="inlineStr">
        <is>
          <t>1516_0</t>
        </is>
      </c>
      <c r="C1317" s="4" t="inlineStr">
        <is>
          <t>17/09/2026</t>
        </is>
      </c>
      <c r="D1317" s="4" t="inlineStr">
        <is>
          <t>jueves</t>
        </is>
      </c>
      <c r="E1317" s="4" t="inlineStr">
        <is>
          <t>2283</t>
        </is>
      </c>
      <c r="F1317" s="4" t="inlineStr">
        <is>
          <t>CIX</t>
        </is>
      </c>
      <c r="G1317" s="4" t="inlineStr">
        <is>
          <t>LIM</t>
        </is>
      </c>
      <c r="H1317" s="4" t="inlineStr">
        <is>
          <t>16:50:00</t>
        </is>
      </c>
      <c r="I1317" s="4" t="inlineStr">
        <is>
          <t>18:10:00</t>
        </is>
      </c>
      <c r="J1317" s="4" t="inlineStr">
        <is>
          <t>320</t>
        </is>
      </c>
      <c r="K1317">
        <f>TEXT(TIMEVALUE(H1317)-TIMEVALUE(I1316)+(TIMEVALUE(H1317)&lt;TIMEVALUE(I1316)),"[h]:mm")</f>
        <v/>
      </c>
      <c r="L1317" s="4" t="inlineStr">
        <is>
          <t>01:20:00</t>
        </is>
      </c>
      <c r="O1317">
        <f>"LIM-"&amp;G1316&amp;"-LIM   LA "&amp;E1316&amp;" ("&amp;LEFT(H1316,5)&amp;"-"&amp;LEFT(I1316,5)&amp;" hrs)  /  LA "&amp;E1317&amp;" ("&amp;LEFT(H1317,5)&amp;"-"&amp;LEFT(I1317,5)&amp;" hrs)"</f>
        <v/>
      </c>
    </row>
    <row r="1318">
      <c r="J1318" s="7" t="inlineStr">
        <is>
          <t>PSV total:</t>
        </is>
      </c>
      <c r="K1318" s="8">
        <f>TEXT(TIMEVALUE(I1317)-TIMEVALUE(H1316)+(I1317&lt;H1316),"[h]:mm")</f>
        <v/>
      </c>
    </row>
    <row r="1320">
      <c r="B1320" s="3" t="inlineStr">
        <is>
          <t>Pairing ID</t>
        </is>
      </c>
      <c r="C1320" s="3" t="inlineStr">
        <is>
          <t>FECHA REAL</t>
        </is>
      </c>
      <c r="D1320" s="3" t="inlineStr">
        <is>
          <t>Day of Week</t>
        </is>
      </c>
      <c r="E1320" s="3" t="inlineStr">
        <is>
          <t>Flight No</t>
        </is>
      </c>
      <c r="F1320" s="3" t="inlineStr">
        <is>
          <t>Dep Stn</t>
        </is>
      </c>
      <c r="G1320" s="3" t="inlineStr">
        <is>
          <t>Arr Stn</t>
        </is>
      </c>
      <c r="H1320" s="3" t="inlineStr">
        <is>
          <t>STD</t>
        </is>
      </c>
      <c r="I1320" s="3" t="inlineStr">
        <is>
          <t>STA</t>
        </is>
      </c>
      <c r="J1320" s="3" t="inlineStr">
        <is>
          <t>subflota</t>
        </is>
      </c>
      <c r="K1320" s="3" t="inlineStr">
        <is>
          <t>Conexion</t>
        </is>
      </c>
      <c r="L1320" s="3" t="inlineStr">
        <is>
          <t>HBT</t>
        </is>
      </c>
    </row>
    <row r="1321">
      <c r="B1321" s="4" t="inlineStr">
        <is>
          <t>1517_0</t>
        </is>
      </c>
      <c r="C1321" s="4" t="inlineStr">
        <is>
          <t>17/09/2026</t>
        </is>
      </c>
      <c r="D1321" s="4" t="inlineStr">
        <is>
          <t>jueves</t>
        </is>
      </c>
      <c r="E1321" s="4" t="inlineStr">
        <is>
          <t>2264</t>
        </is>
      </c>
      <c r="F1321" s="4" t="inlineStr">
        <is>
          <t>LIM</t>
        </is>
      </c>
      <c r="G1321" s="4" t="inlineStr">
        <is>
          <t>PEM</t>
        </is>
      </c>
      <c r="H1321" s="4" t="inlineStr">
        <is>
          <t>14:55:00</t>
        </is>
      </c>
      <c r="I1321" s="4" t="inlineStr">
        <is>
          <t>16:40:00</t>
        </is>
      </c>
      <c r="J1321" s="4" t="inlineStr">
        <is>
          <t>319</t>
        </is>
      </c>
      <c r="L1321" s="4" t="inlineStr">
        <is>
          <t>01:45:00</t>
        </is>
      </c>
      <c r="M1321" s="5" t="n"/>
      <c r="O1321" s="5" t="n"/>
      <c r="Q1321" s="4">
        <f>B1321</f>
        <v/>
      </c>
      <c r="R1321" s="4">
        <f>C1321</f>
        <v/>
      </c>
      <c r="S1321" s="4">
        <f>D1321</f>
        <v/>
      </c>
      <c r="T1321" s="4">
        <f>E1321&amp;"/"&amp;E1322</f>
        <v/>
      </c>
      <c r="U1321" s="4">
        <f>F1321&amp;"-"&amp;G1321&amp;"-"&amp;F1321</f>
        <v/>
      </c>
      <c r="V1321" s="4">
        <f>IF($M$1321="","",$M$1321)</f>
        <v/>
      </c>
      <c r="W1321" s="4">
        <f>IF($O$1321="","",$O$1321)</f>
        <v/>
      </c>
      <c r="X1321" s="4">
        <f>J1321</f>
        <v/>
      </c>
    </row>
    <row r="1322">
      <c r="B1322" s="4" t="inlineStr">
        <is>
          <t>1517_0</t>
        </is>
      </c>
      <c r="C1322" s="4" t="inlineStr">
        <is>
          <t>17/09/2026</t>
        </is>
      </c>
      <c r="D1322" s="4" t="inlineStr">
        <is>
          <t>jueves</t>
        </is>
      </c>
      <c r="E1322" s="4" t="inlineStr">
        <is>
          <t>2265</t>
        </is>
      </c>
      <c r="F1322" s="4" t="inlineStr">
        <is>
          <t>PEM</t>
        </is>
      </c>
      <c r="G1322" s="4" t="inlineStr">
        <is>
          <t>LIM</t>
        </is>
      </c>
      <c r="H1322" s="4" t="inlineStr">
        <is>
          <t>17:20:00</t>
        </is>
      </c>
      <c r="I1322" s="4" t="inlineStr">
        <is>
          <t>18:55:00</t>
        </is>
      </c>
      <c r="J1322" s="4" t="inlineStr">
        <is>
          <t>319</t>
        </is>
      </c>
      <c r="K1322">
        <f>TEXT(TIMEVALUE(H1322)-TIMEVALUE(I1321)+(TIMEVALUE(H1322)&lt;TIMEVALUE(I1321)),"[h]:mm")</f>
        <v/>
      </c>
      <c r="L1322" s="4" t="inlineStr">
        <is>
          <t>01:35:00</t>
        </is>
      </c>
      <c r="O1322">
        <f>"LIM-"&amp;G1321&amp;"-LIM   LA "&amp;E1321&amp;" ("&amp;LEFT(H1321,5)&amp;"-"&amp;LEFT(I1321,5)&amp;" hrs)  /  LA "&amp;E1322&amp;" ("&amp;LEFT(H1322,5)&amp;"-"&amp;LEFT(I1322,5)&amp;" hrs)"</f>
        <v/>
      </c>
    </row>
    <row r="1323">
      <c r="J1323" s="7" t="inlineStr">
        <is>
          <t>PSV total:</t>
        </is>
      </c>
      <c r="K1323" s="8">
        <f>TEXT(TIMEVALUE(I1322)-TIMEVALUE(H1321)+(I1322&lt;H1321),"[h]:mm")</f>
        <v/>
      </c>
    </row>
    <row r="1325">
      <c r="B1325" s="3" t="inlineStr">
        <is>
          <t>Pairing ID</t>
        </is>
      </c>
      <c r="C1325" s="3" t="inlineStr">
        <is>
          <t>FECHA REAL</t>
        </is>
      </c>
      <c r="D1325" s="3" t="inlineStr">
        <is>
          <t>Day of Week</t>
        </is>
      </c>
      <c r="E1325" s="3" t="inlineStr">
        <is>
          <t>Flight No</t>
        </is>
      </c>
      <c r="F1325" s="3" t="inlineStr">
        <is>
          <t>Dep Stn</t>
        </is>
      </c>
      <c r="G1325" s="3" t="inlineStr">
        <is>
          <t>Arr Stn</t>
        </is>
      </c>
      <c r="H1325" s="3" t="inlineStr">
        <is>
          <t>STD</t>
        </is>
      </c>
      <c r="I1325" s="3" t="inlineStr">
        <is>
          <t>STA</t>
        </is>
      </c>
      <c r="J1325" s="3" t="inlineStr">
        <is>
          <t>subflota</t>
        </is>
      </c>
      <c r="K1325" s="3" t="inlineStr">
        <is>
          <t>Conexion</t>
        </is>
      </c>
      <c r="L1325" s="3" t="inlineStr">
        <is>
          <t>HBT</t>
        </is>
      </c>
    </row>
    <row r="1326">
      <c r="B1326" s="4" t="inlineStr">
        <is>
          <t>1518_0</t>
        </is>
      </c>
      <c r="C1326" s="4" t="inlineStr">
        <is>
          <t>17/09/2026</t>
        </is>
      </c>
      <c r="D1326" s="4" t="inlineStr">
        <is>
          <t>jueves</t>
        </is>
      </c>
      <c r="E1326" s="4" t="inlineStr">
        <is>
          <t>2338</t>
        </is>
      </c>
      <c r="F1326" s="4" t="inlineStr">
        <is>
          <t>LIM</t>
        </is>
      </c>
      <c r="G1326" s="4" t="inlineStr">
        <is>
          <t>PIU</t>
        </is>
      </c>
      <c r="H1326" s="4" t="inlineStr">
        <is>
          <t>15:00:00</t>
        </is>
      </c>
      <c r="I1326" s="4" t="inlineStr">
        <is>
          <t>16:45:00</t>
        </is>
      </c>
      <c r="J1326" s="4" t="inlineStr">
        <is>
          <t>320</t>
        </is>
      </c>
      <c r="L1326" s="4" t="inlineStr">
        <is>
          <t>01:45:00</t>
        </is>
      </c>
      <c r="M1326" s="5" t="n"/>
      <c r="O1326" s="5" t="n"/>
      <c r="Q1326" s="4">
        <f>B1326</f>
        <v/>
      </c>
      <c r="R1326" s="4">
        <f>C1326</f>
        <v/>
      </c>
      <c r="S1326" s="4">
        <f>D1326</f>
        <v/>
      </c>
      <c r="T1326" s="4">
        <f>E1326&amp;"/"&amp;E1327</f>
        <v/>
      </c>
      <c r="U1326" s="4">
        <f>F1326&amp;"-"&amp;G1326&amp;"-"&amp;F1326</f>
        <v/>
      </c>
      <c r="V1326" s="4">
        <f>IF($M$1326="","",$M$1326)</f>
        <v/>
      </c>
      <c r="W1326" s="4">
        <f>IF($O$1326="","",$O$1326)</f>
        <v/>
      </c>
      <c r="X1326" s="4">
        <f>J1326</f>
        <v/>
      </c>
    </row>
    <row r="1327">
      <c r="B1327" s="4" t="inlineStr">
        <is>
          <t>1518_0</t>
        </is>
      </c>
      <c r="C1327" s="4" t="inlineStr">
        <is>
          <t>17/09/2026</t>
        </is>
      </c>
      <c r="D1327" s="4" t="inlineStr">
        <is>
          <t>jueves</t>
        </is>
      </c>
      <c r="E1327" s="4" t="inlineStr">
        <is>
          <t>2339</t>
        </is>
      </c>
      <c r="F1327" s="4" t="inlineStr">
        <is>
          <t>PIU</t>
        </is>
      </c>
      <c r="G1327" s="4" t="inlineStr">
        <is>
          <t>LIM</t>
        </is>
      </c>
      <c r="H1327" s="4" t="inlineStr">
        <is>
          <t>17:20:00</t>
        </is>
      </c>
      <c r="I1327" s="4" t="inlineStr">
        <is>
          <t>18:50:00</t>
        </is>
      </c>
      <c r="J1327" s="4" t="inlineStr">
        <is>
          <t>320</t>
        </is>
      </c>
      <c r="K1327">
        <f>TEXT(TIMEVALUE(H1327)-TIMEVALUE(I1326)+(TIMEVALUE(H1327)&lt;TIMEVALUE(I1326)),"[h]:mm")</f>
        <v/>
      </c>
      <c r="L1327" s="4" t="inlineStr">
        <is>
          <t>01:30:00</t>
        </is>
      </c>
      <c r="O1327">
        <f>"LIM-"&amp;G1326&amp;"-LIM   LA "&amp;E1326&amp;" ("&amp;LEFT(H1326,5)&amp;"-"&amp;LEFT(I1326,5)&amp;" hrs)  /  LA "&amp;E1327&amp;" ("&amp;LEFT(H1327,5)&amp;"-"&amp;LEFT(I1327,5)&amp;" hrs)"</f>
        <v/>
      </c>
    </row>
    <row r="1328">
      <c r="J1328" s="7" t="inlineStr">
        <is>
          <t>PSV total:</t>
        </is>
      </c>
      <c r="K1328" s="8">
        <f>TEXT(TIMEVALUE(I1327)-TIMEVALUE(H1326)+(I1327&lt;H1326),"[h]:mm")</f>
        <v/>
      </c>
    </row>
    <row r="1330">
      <c r="B1330" s="3" t="inlineStr">
        <is>
          <t>Pairing ID</t>
        </is>
      </c>
      <c r="C1330" s="3" t="inlineStr">
        <is>
          <t>FECHA REAL</t>
        </is>
      </c>
      <c r="D1330" s="3" t="inlineStr">
        <is>
          <t>Day of Week</t>
        </is>
      </c>
      <c r="E1330" s="3" t="inlineStr">
        <is>
          <t>Flight No</t>
        </is>
      </c>
      <c r="F1330" s="3" t="inlineStr">
        <is>
          <t>Dep Stn</t>
        </is>
      </c>
      <c r="G1330" s="3" t="inlineStr">
        <is>
          <t>Arr Stn</t>
        </is>
      </c>
      <c r="H1330" s="3" t="inlineStr">
        <is>
          <t>STD</t>
        </is>
      </c>
      <c r="I1330" s="3" t="inlineStr">
        <is>
          <t>STA</t>
        </is>
      </c>
      <c r="J1330" s="3" t="inlineStr">
        <is>
          <t>subflota</t>
        </is>
      </c>
      <c r="K1330" s="3" t="inlineStr">
        <is>
          <t>Conexion</t>
        </is>
      </c>
      <c r="L1330" s="3" t="inlineStr">
        <is>
          <t>HBT</t>
        </is>
      </c>
    </row>
    <row r="1331">
      <c r="B1331" s="4" t="inlineStr">
        <is>
          <t>1521_0</t>
        </is>
      </c>
      <c r="C1331" s="4" t="inlineStr">
        <is>
          <t>17/09/2026</t>
        </is>
      </c>
      <c r="D1331" s="4" t="inlineStr">
        <is>
          <t>jueves</t>
        </is>
      </c>
      <c r="E1331" s="4" t="inlineStr">
        <is>
          <t>2297</t>
        </is>
      </c>
      <c r="F1331" s="4" t="inlineStr">
        <is>
          <t>LIM</t>
        </is>
      </c>
      <c r="G1331" s="4" t="inlineStr">
        <is>
          <t>CJA</t>
        </is>
      </c>
      <c r="H1331" s="4" t="inlineStr">
        <is>
          <t>15:15:00</t>
        </is>
      </c>
      <c r="I1331" s="4" t="inlineStr">
        <is>
          <t>16:35:00</t>
        </is>
      </c>
      <c r="J1331" s="4" t="inlineStr">
        <is>
          <t>319</t>
        </is>
      </c>
      <c r="L1331" s="4" t="inlineStr">
        <is>
          <t>01:20:00</t>
        </is>
      </c>
      <c r="M1331" s="5" t="n"/>
      <c r="O1331" s="5" t="n"/>
      <c r="Q1331" s="4">
        <f>B1331</f>
        <v/>
      </c>
      <c r="R1331" s="4">
        <f>C1331</f>
        <v/>
      </c>
      <c r="S1331" s="4">
        <f>D1331</f>
        <v/>
      </c>
      <c r="T1331" s="4">
        <f>E1331&amp;"/"&amp;E1332</f>
        <v/>
      </c>
      <c r="U1331" s="4">
        <f>F1331&amp;"-"&amp;G1331&amp;"-"&amp;F1331</f>
        <v/>
      </c>
      <c r="V1331" s="4">
        <f>IF($M$1331="","",$M$1331)</f>
        <v/>
      </c>
      <c r="W1331" s="4">
        <f>IF($O$1331="","",$O$1331)</f>
        <v/>
      </c>
      <c r="X1331" s="4">
        <f>J1331</f>
        <v/>
      </c>
    </row>
    <row r="1332">
      <c r="B1332" s="4" t="inlineStr">
        <is>
          <t>1521_0</t>
        </is>
      </c>
      <c r="C1332" s="4" t="inlineStr">
        <is>
          <t>17/09/2026</t>
        </is>
      </c>
      <c r="D1332" s="4" t="inlineStr">
        <is>
          <t>jueves</t>
        </is>
      </c>
      <c r="E1332" s="4" t="inlineStr">
        <is>
          <t>2296</t>
        </is>
      </c>
      <c r="F1332" s="4" t="inlineStr">
        <is>
          <t>CJA</t>
        </is>
      </c>
      <c r="G1332" s="4" t="inlineStr">
        <is>
          <t>LIM</t>
        </is>
      </c>
      <c r="H1332" s="4" t="inlineStr">
        <is>
          <t>17:20:00</t>
        </is>
      </c>
      <c r="I1332" s="4" t="inlineStr">
        <is>
          <t>18:25:00</t>
        </is>
      </c>
      <c r="J1332" s="4" t="inlineStr">
        <is>
          <t>319</t>
        </is>
      </c>
      <c r="K1332">
        <f>TEXT(TIMEVALUE(H1332)-TIMEVALUE(I1331)+(TIMEVALUE(H1332)&lt;TIMEVALUE(I1331)),"[h]:mm")</f>
        <v/>
      </c>
      <c r="L1332" s="4" t="inlineStr">
        <is>
          <t>01:05:00</t>
        </is>
      </c>
      <c r="O1332">
        <f>"LIM-"&amp;G1331&amp;"-LIM   LA "&amp;E1331&amp;" ("&amp;LEFT(H1331,5)&amp;"-"&amp;LEFT(I1331,5)&amp;" hrs)  /  LA "&amp;E1332&amp;" ("&amp;LEFT(H1332,5)&amp;"-"&amp;LEFT(I1332,5)&amp;" hrs)"</f>
        <v/>
      </c>
    </row>
    <row r="1333">
      <c r="J1333" s="7" t="inlineStr">
        <is>
          <t>PSV total:</t>
        </is>
      </c>
      <c r="K1333" s="8">
        <f>TEXT(TIMEVALUE(I1332)-TIMEVALUE(H1331)+(I1332&lt;H1331),"[h]:mm")</f>
        <v/>
      </c>
    </row>
    <row r="1335">
      <c r="B1335" s="3" t="inlineStr">
        <is>
          <t>Pairing ID</t>
        </is>
      </c>
      <c r="C1335" s="3" t="inlineStr">
        <is>
          <t>FECHA REAL</t>
        </is>
      </c>
      <c r="D1335" s="3" t="inlineStr">
        <is>
          <t>Day of Week</t>
        </is>
      </c>
      <c r="E1335" s="3" t="inlineStr">
        <is>
          <t>Flight No</t>
        </is>
      </c>
      <c r="F1335" s="3" t="inlineStr">
        <is>
          <t>Dep Stn</t>
        </is>
      </c>
      <c r="G1335" s="3" t="inlineStr">
        <is>
          <t>Arr Stn</t>
        </is>
      </c>
      <c r="H1335" s="3" t="inlineStr">
        <is>
          <t>STD</t>
        </is>
      </c>
      <c r="I1335" s="3" t="inlineStr">
        <is>
          <t>STA</t>
        </is>
      </c>
      <c r="J1335" s="3" t="inlineStr">
        <is>
          <t>subflota</t>
        </is>
      </c>
      <c r="K1335" s="3" t="inlineStr">
        <is>
          <t>Conexion</t>
        </is>
      </c>
      <c r="L1335" s="3" t="inlineStr">
        <is>
          <t>HBT</t>
        </is>
      </c>
    </row>
    <row r="1336">
      <c r="B1336" s="4" t="inlineStr">
        <is>
          <t>1523_0</t>
        </is>
      </c>
      <c r="C1336" s="4" t="inlineStr">
        <is>
          <t>17/09/2026</t>
        </is>
      </c>
      <c r="D1336" s="4" t="inlineStr">
        <is>
          <t>jueves</t>
        </is>
      </c>
      <c r="E1336" s="4" t="inlineStr">
        <is>
          <t>2312</t>
        </is>
      </c>
      <c r="F1336" s="4" t="inlineStr">
        <is>
          <t>LIM</t>
        </is>
      </c>
      <c r="G1336" s="4" t="inlineStr">
        <is>
          <t>CIX</t>
        </is>
      </c>
      <c r="H1336" s="4" t="inlineStr">
        <is>
          <t>15:35:00</t>
        </is>
      </c>
      <c r="I1336" s="4" t="inlineStr">
        <is>
          <t>17:05:00</t>
        </is>
      </c>
      <c r="J1336" s="4" t="inlineStr">
        <is>
          <t>320</t>
        </is>
      </c>
      <c r="L1336" s="4" t="inlineStr">
        <is>
          <t>01:30:00</t>
        </is>
      </c>
      <c r="M1336" s="5" t="n"/>
      <c r="O1336" s="5" t="n"/>
      <c r="Q1336" s="4">
        <f>B1336</f>
        <v/>
      </c>
      <c r="R1336" s="4">
        <f>C1336</f>
        <v/>
      </c>
      <c r="S1336" s="4">
        <f>D1336</f>
        <v/>
      </c>
      <c r="T1336" s="4">
        <f>E1336&amp;"/"&amp;E1337</f>
        <v/>
      </c>
      <c r="U1336" s="4">
        <f>F1336&amp;"-"&amp;G1336&amp;"-"&amp;F1336</f>
        <v/>
      </c>
      <c r="V1336" s="4">
        <f>IF($M$1336="","",$M$1336)</f>
        <v/>
      </c>
      <c r="W1336" s="4">
        <f>IF($O$1336="","",$O$1336)</f>
        <v/>
      </c>
      <c r="X1336" s="4">
        <f>J1336</f>
        <v/>
      </c>
    </row>
    <row r="1337">
      <c r="B1337" s="4" t="inlineStr">
        <is>
          <t>1523_0</t>
        </is>
      </c>
      <c r="C1337" s="4" t="inlineStr">
        <is>
          <t>17/09/2026</t>
        </is>
      </c>
      <c r="D1337" s="4" t="inlineStr">
        <is>
          <t>jueves</t>
        </is>
      </c>
      <c r="E1337" s="4" t="inlineStr">
        <is>
          <t>2313</t>
        </is>
      </c>
      <c r="F1337" s="4" t="inlineStr">
        <is>
          <t>CIX</t>
        </is>
      </c>
      <c r="G1337" s="4" t="inlineStr">
        <is>
          <t>LIM</t>
        </is>
      </c>
      <c r="H1337" s="4" t="inlineStr">
        <is>
          <t>17:50:00</t>
        </is>
      </c>
      <c r="I1337" s="4" t="inlineStr">
        <is>
          <t>19:10:00</t>
        </is>
      </c>
      <c r="J1337" s="4" t="inlineStr">
        <is>
          <t>320</t>
        </is>
      </c>
      <c r="K1337">
        <f>TEXT(TIMEVALUE(H1337)-TIMEVALUE(I1336)+(TIMEVALUE(H1337)&lt;TIMEVALUE(I1336)),"[h]:mm")</f>
        <v/>
      </c>
      <c r="L1337" s="4" t="inlineStr">
        <is>
          <t>01:20:00</t>
        </is>
      </c>
      <c r="O1337">
        <f>"LIM-"&amp;G1336&amp;"-LIM   LA "&amp;E1336&amp;" ("&amp;LEFT(H1336,5)&amp;"-"&amp;LEFT(I1336,5)&amp;" hrs)  /  LA "&amp;E1337&amp;" ("&amp;LEFT(H1337,5)&amp;"-"&amp;LEFT(I1337,5)&amp;" hrs)"</f>
        <v/>
      </c>
    </row>
    <row r="1338">
      <c r="J1338" s="7" t="inlineStr">
        <is>
          <t>PSV total:</t>
        </is>
      </c>
      <c r="K1338" s="8">
        <f>TEXT(TIMEVALUE(I1337)-TIMEVALUE(H1336)+(I1337&lt;H1336),"[h]:mm")</f>
        <v/>
      </c>
    </row>
    <row r="1340">
      <c r="B1340" s="3" t="inlineStr">
        <is>
          <t>Pairing ID</t>
        </is>
      </c>
      <c r="C1340" s="3" t="inlineStr">
        <is>
          <t>FECHA REAL</t>
        </is>
      </c>
      <c r="D1340" s="3" t="inlineStr">
        <is>
          <t>Day of Week</t>
        </is>
      </c>
      <c r="E1340" s="3" t="inlineStr">
        <is>
          <t>Flight No</t>
        </is>
      </c>
      <c r="F1340" s="3" t="inlineStr">
        <is>
          <t>Dep Stn</t>
        </is>
      </c>
      <c r="G1340" s="3" t="inlineStr">
        <is>
          <t>Arr Stn</t>
        </is>
      </c>
      <c r="H1340" s="3" t="inlineStr">
        <is>
          <t>STD</t>
        </is>
      </c>
      <c r="I1340" s="3" t="inlineStr">
        <is>
          <t>STA</t>
        </is>
      </c>
      <c r="J1340" s="3" t="inlineStr">
        <is>
          <t>subflota</t>
        </is>
      </c>
      <c r="K1340" s="3" t="inlineStr">
        <is>
          <t>Conexion</t>
        </is>
      </c>
      <c r="L1340" s="3" t="inlineStr">
        <is>
          <t>HBT</t>
        </is>
      </c>
    </row>
    <row r="1341">
      <c r="B1341" s="4" t="inlineStr">
        <is>
          <t>1525_0</t>
        </is>
      </c>
      <c r="C1341" s="4" t="inlineStr">
        <is>
          <t>17/09/2026</t>
        </is>
      </c>
      <c r="D1341" s="4" t="inlineStr">
        <is>
          <t>jueves</t>
        </is>
      </c>
      <c r="E1341" s="4" t="inlineStr">
        <is>
          <t>2301</t>
        </is>
      </c>
      <c r="F1341" s="4" t="inlineStr">
        <is>
          <t>LIM</t>
        </is>
      </c>
      <c r="G1341" s="4" t="inlineStr">
        <is>
          <t>TPP</t>
        </is>
      </c>
      <c r="H1341" s="4" t="inlineStr">
        <is>
          <t>15:40:00</t>
        </is>
      </c>
      <c r="I1341" s="4" t="inlineStr">
        <is>
          <t>17:05:00</t>
        </is>
      </c>
      <c r="J1341" s="4" t="inlineStr">
        <is>
          <t>320</t>
        </is>
      </c>
      <c r="L1341" s="4" t="inlineStr">
        <is>
          <t>01:25:00</t>
        </is>
      </c>
      <c r="M1341" s="5" t="n"/>
      <c r="O1341" s="5" t="n"/>
      <c r="Q1341" s="4">
        <f>B1341</f>
        <v/>
      </c>
      <c r="R1341" s="4">
        <f>C1341</f>
        <v/>
      </c>
      <c r="S1341" s="4">
        <f>D1341</f>
        <v/>
      </c>
      <c r="T1341" s="4">
        <f>E1341&amp;"/"&amp;E1342</f>
        <v/>
      </c>
      <c r="U1341" s="4">
        <f>F1341&amp;"-"&amp;G1341&amp;"-"&amp;F1341</f>
        <v/>
      </c>
      <c r="V1341" s="4">
        <f>IF($M$1341="","",$M$1341)</f>
        <v/>
      </c>
      <c r="W1341" s="4">
        <f>IF($O$1341="","",$O$1341)</f>
        <v/>
      </c>
      <c r="X1341" s="4">
        <f>J1341</f>
        <v/>
      </c>
    </row>
    <row r="1342">
      <c r="B1342" s="4" t="inlineStr">
        <is>
          <t>1525_0</t>
        </is>
      </c>
      <c r="C1342" s="4" t="inlineStr">
        <is>
          <t>17/09/2026</t>
        </is>
      </c>
      <c r="D1342" s="4" t="inlineStr">
        <is>
          <t>jueves</t>
        </is>
      </c>
      <c r="E1342" s="4" t="inlineStr">
        <is>
          <t>2300</t>
        </is>
      </c>
      <c r="F1342" s="4" t="inlineStr">
        <is>
          <t>TPP</t>
        </is>
      </c>
      <c r="G1342" s="4" t="inlineStr">
        <is>
          <t>LIM</t>
        </is>
      </c>
      <c r="H1342" s="4" t="inlineStr">
        <is>
          <t>17:50:00</t>
        </is>
      </c>
      <c r="I1342" s="4" t="inlineStr">
        <is>
          <t>19:20:00</t>
        </is>
      </c>
      <c r="J1342" s="4" t="inlineStr">
        <is>
          <t>320</t>
        </is>
      </c>
      <c r="K1342">
        <f>TEXT(TIMEVALUE(H1342)-TIMEVALUE(I1341)+(TIMEVALUE(H1342)&lt;TIMEVALUE(I1341)),"[h]:mm")</f>
        <v/>
      </c>
      <c r="L1342" s="4" t="inlineStr">
        <is>
          <t>01:30:00</t>
        </is>
      </c>
      <c r="O1342">
        <f>"LIM-"&amp;G1341&amp;"-LIM   LA "&amp;E1341&amp;" ("&amp;LEFT(H1341,5)&amp;"-"&amp;LEFT(I1341,5)&amp;" hrs)  /  LA "&amp;E1342&amp;" ("&amp;LEFT(H1342,5)&amp;"-"&amp;LEFT(I1342,5)&amp;" hrs)"</f>
        <v/>
      </c>
    </row>
    <row r="1343">
      <c r="J1343" s="7" t="inlineStr">
        <is>
          <t>PSV total:</t>
        </is>
      </c>
      <c r="K1343" s="8">
        <f>TEXT(TIMEVALUE(I1342)-TIMEVALUE(H1341)+(I1342&lt;H1341),"[h]:mm")</f>
        <v/>
      </c>
    </row>
    <row r="1345">
      <c r="B1345" s="3" t="inlineStr">
        <is>
          <t>Pairing ID</t>
        </is>
      </c>
      <c r="C1345" s="3" t="inlineStr">
        <is>
          <t>FECHA REAL</t>
        </is>
      </c>
      <c r="D1345" s="3" t="inlineStr">
        <is>
          <t>Day of Week</t>
        </is>
      </c>
      <c r="E1345" s="3" t="inlineStr">
        <is>
          <t>Flight No</t>
        </is>
      </c>
      <c r="F1345" s="3" t="inlineStr">
        <is>
          <t>Dep Stn</t>
        </is>
      </c>
      <c r="G1345" s="3" t="inlineStr">
        <is>
          <t>Arr Stn</t>
        </is>
      </c>
      <c r="H1345" s="3" t="inlineStr">
        <is>
          <t>STD</t>
        </is>
      </c>
      <c r="I1345" s="3" t="inlineStr">
        <is>
          <t>STA</t>
        </is>
      </c>
      <c r="J1345" s="3" t="inlineStr">
        <is>
          <t>subflota</t>
        </is>
      </c>
      <c r="K1345" s="3" t="inlineStr">
        <is>
          <t>Conexion</t>
        </is>
      </c>
      <c r="L1345" s="3" t="inlineStr">
        <is>
          <t>HBT</t>
        </is>
      </c>
    </row>
    <row r="1346">
      <c r="B1346" s="4" t="inlineStr">
        <is>
          <t>1529_0</t>
        </is>
      </c>
      <c r="C1346" s="4" t="inlineStr">
        <is>
          <t>17/09/2026</t>
        </is>
      </c>
      <c r="D1346" s="4" t="inlineStr">
        <is>
          <t>jueves</t>
        </is>
      </c>
      <c r="E1346" s="4" t="inlineStr">
        <is>
          <t>2053</t>
        </is>
      </c>
      <c r="F1346" s="4" t="inlineStr">
        <is>
          <t>LIM</t>
        </is>
      </c>
      <c r="G1346" s="4" t="inlineStr">
        <is>
          <t>TBP</t>
        </is>
      </c>
      <c r="H1346" s="4" t="inlineStr">
        <is>
          <t>16:20:00</t>
        </is>
      </c>
      <c r="I1346" s="4" t="inlineStr">
        <is>
          <t>18:10:00</t>
        </is>
      </c>
      <c r="J1346" s="4" t="inlineStr">
        <is>
          <t>320</t>
        </is>
      </c>
      <c r="L1346" s="4" t="inlineStr">
        <is>
          <t>01:50:00</t>
        </is>
      </c>
      <c r="M1346" s="5" t="n"/>
      <c r="O1346" s="5" t="n"/>
      <c r="Q1346" s="4">
        <f>B1346</f>
        <v/>
      </c>
      <c r="R1346" s="4">
        <f>C1346</f>
        <v/>
      </c>
      <c r="S1346" s="4">
        <f>D1346</f>
        <v/>
      </c>
      <c r="T1346" s="4">
        <f>E1346&amp;"/"&amp;E1347</f>
        <v/>
      </c>
      <c r="U1346" s="4">
        <f>F1346&amp;"-"&amp;G1346&amp;"-"&amp;F1346</f>
        <v/>
      </c>
      <c r="V1346" s="4">
        <f>IF($M$1346="","",$M$1346)</f>
        <v/>
      </c>
      <c r="W1346" s="4">
        <f>IF($O$1346="","",$O$1346)</f>
        <v/>
      </c>
      <c r="X1346" s="4">
        <f>J1346</f>
        <v/>
      </c>
    </row>
    <row r="1347">
      <c r="B1347" s="4" t="inlineStr">
        <is>
          <t>1529_0</t>
        </is>
      </c>
      <c r="C1347" s="4" t="inlineStr">
        <is>
          <t>17/09/2026</t>
        </is>
      </c>
      <c r="D1347" s="4" t="inlineStr">
        <is>
          <t>jueves</t>
        </is>
      </c>
      <c r="E1347" s="4" t="inlineStr">
        <is>
          <t>2054</t>
        </is>
      </c>
      <c r="F1347" s="4" t="inlineStr">
        <is>
          <t>TBP</t>
        </is>
      </c>
      <c r="G1347" s="4" t="inlineStr">
        <is>
          <t>LIM</t>
        </is>
      </c>
      <c r="H1347" s="4" t="inlineStr">
        <is>
          <t>18:50:00</t>
        </is>
      </c>
      <c r="I1347" s="4" t="inlineStr">
        <is>
          <t>20:30:00</t>
        </is>
      </c>
      <c r="J1347" s="4" t="inlineStr">
        <is>
          <t>320</t>
        </is>
      </c>
      <c r="K1347">
        <f>TEXT(TIMEVALUE(H1347)-TIMEVALUE(I1346)+(TIMEVALUE(H1347)&lt;TIMEVALUE(I1346)),"[h]:mm")</f>
        <v/>
      </c>
      <c r="L1347" s="4" t="inlineStr">
        <is>
          <t>01:40:00</t>
        </is>
      </c>
      <c r="O1347">
        <f>"LIM-"&amp;G1346&amp;"-LIM   LA "&amp;E1346&amp;" ("&amp;LEFT(H1346,5)&amp;"-"&amp;LEFT(I1346,5)&amp;" hrs)  /  LA "&amp;E1347&amp;" ("&amp;LEFT(H1347,5)&amp;"-"&amp;LEFT(I1347,5)&amp;" hrs)"</f>
        <v/>
      </c>
    </row>
    <row r="1348">
      <c r="J1348" s="7" t="inlineStr">
        <is>
          <t>PSV total:</t>
        </is>
      </c>
      <c r="K1348" s="8">
        <f>TEXT(TIMEVALUE(I1347)-TIMEVALUE(H1346)+(I1347&lt;H1346),"[h]:mm")</f>
        <v/>
      </c>
    </row>
    <row r="1350">
      <c r="B1350" s="3" t="inlineStr">
        <is>
          <t>Pairing ID</t>
        </is>
      </c>
      <c r="C1350" s="3" t="inlineStr">
        <is>
          <t>FECHA REAL</t>
        </is>
      </c>
      <c r="D1350" s="3" t="inlineStr">
        <is>
          <t>Day of Week</t>
        </is>
      </c>
      <c r="E1350" s="3" t="inlineStr">
        <is>
          <t>Flight No</t>
        </is>
      </c>
      <c r="F1350" s="3" t="inlineStr">
        <is>
          <t>Dep Stn</t>
        </is>
      </c>
      <c r="G1350" s="3" t="inlineStr">
        <is>
          <t>Arr Stn</t>
        </is>
      </c>
      <c r="H1350" s="3" t="inlineStr">
        <is>
          <t>STD</t>
        </is>
      </c>
      <c r="I1350" s="3" t="inlineStr">
        <is>
          <t>STA</t>
        </is>
      </c>
      <c r="J1350" s="3" t="inlineStr">
        <is>
          <t>subflota</t>
        </is>
      </c>
      <c r="K1350" s="3" t="inlineStr">
        <is>
          <t>Conexion</t>
        </is>
      </c>
      <c r="L1350" s="3" t="inlineStr">
        <is>
          <t>HBT</t>
        </is>
      </c>
    </row>
    <row r="1351">
      <c r="B1351" s="4" t="inlineStr">
        <is>
          <t>1572_0</t>
        </is>
      </c>
      <c r="C1351" s="4" t="inlineStr">
        <is>
          <t>18/09/2026</t>
        </is>
      </c>
      <c r="D1351" s="4" t="inlineStr">
        <is>
          <t>viernes</t>
        </is>
      </c>
      <c r="E1351" s="4" t="inlineStr">
        <is>
          <t>2013</t>
        </is>
      </c>
      <c r="F1351" s="4" t="inlineStr">
        <is>
          <t>LIM</t>
        </is>
      </c>
      <c r="G1351" s="4" t="inlineStr">
        <is>
          <t>CUZ</t>
        </is>
      </c>
      <c r="H1351" s="4" t="inlineStr">
        <is>
          <t>08:35:00</t>
        </is>
      </c>
      <c r="I1351" s="4" t="inlineStr">
        <is>
          <t>09:55:00</t>
        </is>
      </c>
      <c r="J1351" s="4" t="inlineStr">
        <is>
          <t>319</t>
        </is>
      </c>
      <c r="L1351" s="4" t="inlineStr">
        <is>
          <t>01:20:00</t>
        </is>
      </c>
      <c r="M1351" s="5" t="n"/>
      <c r="O1351" s="5" t="n"/>
      <c r="Q1351" s="4">
        <f>B1351</f>
        <v/>
      </c>
      <c r="R1351" s="4">
        <f>C1351</f>
        <v/>
      </c>
      <c r="S1351" s="4">
        <f>D1351</f>
        <v/>
      </c>
      <c r="T1351" s="4">
        <f>E1351&amp;"/"&amp;E1352</f>
        <v/>
      </c>
      <c r="U1351" s="4">
        <f>F1351&amp;"-"&amp;G1351&amp;"-"&amp;F1351</f>
        <v/>
      </c>
      <c r="V1351" s="4">
        <f>IF($M$1351="","",$M$1351)</f>
        <v/>
      </c>
      <c r="W1351" s="4">
        <f>IF($O$1351="","",$O$1351)</f>
        <v/>
      </c>
      <c r="X1351" s="4">
        <f>J1351</f>
        <v/>
      </c>
    </row>
    <row r="1352">
      <c r="B1352" s="4" t="inlineStr">
        <is>
          <t>1572_0</t>
        </is>
      </c>
      <c r="C1352" s="4" t="inlineStr">
        <is>
          <t>18/09/2026</t>
        </is>
      </c>
      <c r="D1352" s="4" t="inlineStr">
        <is>
          <t>viernes</t>
        </is>
      </c>
      <c r="E1352" s="4" t="inlineStr">
        <is>
          <t>2014</t>
        </is>
      </c>
      <c r="F1352" s="4" t="inlineStr">
        <is>
          <t>CUZ</t>
        </is>
      </c>
      <c r="G1352" s="4" t="inlineStr">
        <is>
          <t>LIM</t>
        </is>
      </c>
      <c r="H1352" s="4" t="inlineStr">
        <is>
          <t>10:40:00</t>
        </is>
      </c>
      <c r="I1352" s="4" t="inlineStr">
        <is>
          <t>12:15:00</t>
        </is>
      </c>
      <c r="J1352" s="4" t="inlineStr">
        <is>
          <t>319</t>
        </is>
      </c>
      <c r="K1352">
        <f>TEXT(TIMEVALUE(H1352)-TIMEVALUE(I1351)+(TIMEVALUE(H1352)&lt;TIMEVALUE(I1351)),"[h]:mm")</f>
        <v/>
      </c>
      <c r="L1352" s="4" t="inlineStr">
        <is>
          <t>01:35:00</t>
        </is>
      </c>
      <c r="O1352">
        <f>"LIM-"&amp;G1351&amp;"-LIM   LA "&amp;E1351&amp;" ("&amp;LEFT(H1351,5)&amp;"-"&amp;LEFT(I1351,5)&amp;" hrs)  /  LA "&amp;E1352&amp;" ("&amp;LEFT(H1352,5)&amp;"-"&amp;LEFT(I1352,5)&amp;" hrs)"</f>
        <v/>
      </c>
    </row>
    <row r="1353">
      <c r="J1353" s="7" t="inlineStr">
        <is>
          <t>PSV total:</t>
        </is>
      </c>
      <c r="K1353" s="8">
        <f>TEXT(TIMEVALUE(I1352)-TIMEVALUE(H1351)+(I1352&lt;H1351),"[h]:mm")</f>
        <v/>
      </c>
    </row>
    <row r="1355">
      <c r="B1355" s="3" t="inlineStr">
        <is>
          <t>Pairing ID</t>
        </is>
      </c>
      <c r="C1355" s="3" t="inlineStr">
        <is>
          <t>FECHA REAL</t>
        </is>
      </c>
      <c r="D1355" s="3" t="inlineStr">
        <is>
          <t>Day of Week</t>
        </is>
      </c>
      <c r="E1355" s="3" t="inlineStr">
        <is>
          <t>Flight No</t>
        </is>
      </c>
      <c r="F1355" s="3" t="inlineStr">
        <is>
          <t>Dep Stn</t>
        </is>
      </c>
      <c r="G1355" s="3" t="inlineStr">
        <is>
          <t>Arr Stn</t>
        </is>
      </c>
      <c r="H1355" s="3" t="inlineStr">
        <is>
          <t>STD</t>
        </is>
      </c>
      <c r="I1355" s="3" t="inlineStr">
        <is>
          <t>STA</t>
        </is>
      </c>
      <c r="J1355" s="3" t="inlineStr">
        <is>
          <t>subflota</t>
        </is>
      </c>
      <c r="K1355" s="3" t="inlineStr">
        <is>
          <t>Conexion</t>
        </is>
      </c>
      <c r="L1355" s="3" t="inlineStr">
        <is>
          <t>HBT</t>
        </is>
      </c>
    </row>
    <row r="1356">
      <c r="B1356" s="4" t="inlineStr">
        <is>
          <t>1580_0</t>
        </is>
      </c>
      <c r="C1356" s="4" t="inlineStr">
        <is>
          <t>18/09/2026</t>
        </is>
      </c>
      <c r="D1356" s="4" t="inlineStr">
        <is>
          <t>viernes</t>
        </is>
      </c>
      <c r="E1356" s="4" t="inlineStr">
        <is>
          <t>2299</t>
        </is>
      </c>
      <c r="F1356" s="4" t="inlineStr">
        <is>
          <t>LIM</t>
        </is>
      </c>
      <c r="G1356" s="4" t="inlineStr">
        <is>
          <t>CJA</t>
        </is>
      </c>
      <c r="H1356" s="4" t="inlineStr">
        <is>
          <t>11:35:00</t>
        </is>
      </c>
      <c r="I1356" s="4" t="inlineStr">
        <is>
          <t>12:55:00</t>
        </is>
      </c>
      <c r="J1356" s="4" t="inlineStr">
        <is>
          <t>319</t>
        </is>
      </c>
      <c r="L1356" s="4" t="inlineStr">
        <is>
          <t>01:20:00</t>
        </is>
      </c>
      <c r="M1356" s="5" t="n"/>
      <c r="O1356" s="5" t="n"/>
      <c r="Q1356" s="4">
        <f>B1356</f>
        <v/>
      </c>
      <c r="R1356" s="4">
        <f>C1356</f>
        <v/>
      </c>
      <c r="S1356" s="4">
        <f>D1356</f>
        <v/>
      </c>
      <c r="T1356" s="4">
        <f>E1356&amp;"/"&amp;E1357</f>
        <v/>
      </c>
      <c r="U1356" s="4">
        <f>F1356&amp;"-"&amp;G1356&amp;"-"&amp;F1356</f>
        <v/>
      </c>
      <c r="V1356" s="4">
        <f>IF($M$1356="","",$M$1356)</f>
        <v/>
      </c>
      <c r="W1356" s="4">
        <f>IF($O$1356="","",$O$1356)</f>
        <v/>
      </c>
      <c r="X1356" s="4">
        <f>J1356</f>
        <v/>
      </c>
    </row>
    <row r="1357">
      <c r="B1357" s="4" t="inlineStr">
        <is>
          <t>1580_0</t>
        </is>
      </c>
      <c r="C1357" s="4" t="inlineStr">
        <is>
          <t>18/09/2026</t>
        </is>
      </c>
      <c r="D1357" s="4" t="inlineStr">
        <is>
          <t>viernes</t>
        </is>
      </c>
      <c r="E1357" s="4" t="inlineStr">
        <is>
          <t>2298</t>
        </is>
      </c>
      <c r="F1357" s="4" t="inlineStr">
        <is>
          <t>CJA</t>
        </is>
      </c>
      <c r="G1357" s="4" t="inlineStr">
        <is>
          <t>LIM</t>
        </is>
      </c>
      <c r="H1357" s="4" t="inlineStr">
        <is>
          <t>13:45:00</t>
        </is>
      </c>
      <c r="I1357" s="4" t="inlineStr">
        <is>
          <t>14:55:00</t>
        </is>
      </c>
      <c r="J1357" s="4" t="inlineStr">
        <is>
          <t>319</t>
        </is>
      </c>
      <c r="K1357">
        <f>TEXT(TIMEVALUE(H1357)-TIMEVALUE(I1356)+(TIMEVALUE(H1357)&lt;TIMEVALUE(I1356)),"[h]:mm")</f>
        <v/>
      </c>
      <c r="L1357" s="4" t="inlineStr">
        <is>
          <t>01:10:00</t>
        </is>
      </c>
      <c r="O1357">
        <f>"LIM-"&amp;G1356&amp;"-LIM   LA "&amp;E1356&amp;" ("&amp;LEFT(H1356,5)&amp;"-"&amp;LEFT(I1356,5)&amp;" hrs)  /  LA "&amp;E1357&amp;" ("&amp;LEFT(H1357,5)&amp;"-"&amp;LEFT(I1357,5)&amp;" hrs)"</f>
        <v/>
      </c>
    </row>
    <row r="1358">
      <c r="B1358" s="4" t="inlineStr">
        <is>
          <t>1611_0</t>
        </is>
      </c>
      <c r="C1358" s="4" t="inlineStr">
        <is>
          <t>18/09/2026</t>
        </is>
      </c>
      <c r="D1358" s="4" t="inlineStr">
        <is>
          <t>viernes</t>
        </is>
      </c>
      <c r="E1358" s="4" t="inlineStr">
        <is>
          <t>2127</t>
        </is>
      </c>
      <c r="F1358" s="4" t="inlineStr">
        <is>
          <t>LIM</t>
        </is>
      </c>
      <c r="G1358" s="4" t="inlineStr">
        <is>
          <t>CUZ</t>
        </is>
      </c>
      <c r="H1358" s="4" t="inlineStr">
        <is>
          <t>16:10:00</t>
        </is>
      </c>
      <c r="I1358" s="4" t="inlineStr">
        <is>
          <t>17:30:00</t>
        </is>
      </c>
      <c r="J1358" s="4" t="inlineStr">
        <is>
          <t>320</t>
        </is>
      </c>
      <c r="K1358" s="6">
        <f>TEXT(TIMEVALUE(H1358)-TIMEVALUE(I1357)+(TIMEVALUE(H1358)&lt;TIMEVALUE(I1357)),"[h]:mm")</f>
        <v/>
      </c>
      <c r="L1358" s="4" t="inlineStr">
        <is>
          <t>01:20:00</t>
        </is>
      </c>
      <c r="M1358">
        <f>IF($M$1356="","",$M$1356)</f>
        <v/>
      </c>
      <c r="O1358">
        <f>IF($O$1356="","",$O$1356)</f>
        <v/>
      </c>
      <c r="Q1358" s="4">
        <f>B1358</f>
        <v/>
      </c>
      <c r="R1358" s="4">
        <f>C1358</f>
        <v/>
      </c>
      <c r="S1358" s="4">
        <f>D1358</f>
        <v/>
      </c>
      <c r="T1358" s="4">
        <f>E1358&amp;"/"&amp;E1359</f>
        <v/>
      </c>
      <c r="U1358" s="4">
        <f>F1358&amp;"-"&amp;G1358&amp;"-"&amp;F1358</f>
        <v/>
      </c>
      <c r="V1358" s="4">
        <f>IF($M$1356="","",$M$1356)</f>
        <v/>
      </c>
      <c r="W1358" s="4">
        <f>IF($O$1356="","",$O$1356)</f>
        <v/>
      </c>
      <c r="X1358" s="4">
        <f>J1358</f>
        <v/>
      </c>
    </row>
    <row r="1359">
      <c r="B1359" s="4" t="inlineStr">
        <is>
          <t>1611_0</t>
        </is>
      </c>
      <c r="C1359" s="4" t="inlineStr">
        <is>
          <t>18/09/2026</t>
        </is>
      </c>
      <c r="D1359" s="4" t="inlineStr">
        <is>
          <t>viernes</t>
        </is>
      </c>
      <c r="E1359" s="4" t="inlineStr">
        <is>
          <t>2026</t>
        </is>
      </c>
      <c r="F1359" s="4" t="inlineStr">
        <is>
          <t>CUZ</t>
        </is>
      </c>
      <c r="G1359" s="4" t="inlineStr">
        <is>
          <t>LIM</t>
        </is>
      </c>
      <c r="H1359" s="4" t="inlineStr">
        <is>
          <t>18:10:00</t>
        </is>
      </c>
      <c r="I1359" s="4" t="inlineStr">
        <is>
          <t>19:50:00</t>
        </is>
      </c>
      <c r="J1359" s="4" t="inlineStr">
        <is>
          <t>320</t>
        </is>
      </c>
      <c r="K1359">
        <f>TEXT(TIMEVALUE(H1359)-TIMEVALUE(I1358)+(TIMEVALUE(H1359)&lt;TIMEVALUE(I1358)),"[h]:mm")</f>
        <v/>
      </c>
      <c r="L1359" s="4" t="inlineStr">
        <is>
          <t>01:40:00</t>
        </is>
      </c>
      <c r="O1359">
        <f>"LIM-"&amp;G1358&amp;"-LIM   LA "&amp;E1358&amp;" ("&amp;LEFT(H1358,5)&amp;"-"&amp;LEFT(I1358,5)&amp;" hrs)  /  LA "&amp;E1359&amp;" ("&amp;LEFT(H1359,5)&amp;"-"&amp;LEFT(I1359,5)&amp;" hrs)"</f>
        <v/>
      </c>
    </row>
    <row r="1360">
      <c r="J1360" s="7" t="inlineStr">
        <is>
          <t>PSV total:</t>
        </is>
      </c>
      <c r="K1360" s="8">
        <f>TEXT(TIMEVALUE(I1359)-TIMEVALUE(H1356)+(I1359&lt;H1356),"[h]:mm")</f>
        <v/>
      </c>
    </row>
    <row r="1362">
      <c r="B1362" s="3" t="inlineStr">
        <is>
          <t>Pairing ID</t>
        </is>
      </c>
      <c r="C1362" s="3" t="inlineStr">
        <is>
          <t>FECHA REAL</t>
        </is>
      </c>
      <c r="D1362" s="3" t="inlineStr">
        <is>
          <t>Day of Week</t>
        </is>
      </c>
      <c r="E1362" s="3" t="inlineStr">
        <is>
          <t>Flight No</t>
        </is>
      </c>
      <c r="F1362" s="3" t="inlineStr">
        <is>
          <t>Dep Stn</t>
        </is>
      </c>
      <c r="G1362" s="3" t="inlineStr">
        <is>
          <t>Arr Stn</t>
        </is>
      </c>
      <c r="H1362" s="3" t="inlineStr">
        <is>
          <t>STD</t>
        </is>
      </c>
      <c r="I1362" s="3" t="inlineStr">
        <is>
          <t>STA</t>
        </is>
      </c>
      <c r="J1362" s="3" t="inlineStr">
        <is>
          <t>subflota</t>
        </is>
      </c>
      <c r="K1362" s="3" t="inlineStr">
        <is>
          <t>Conexion</t>
        </is>
      </c>
      <c r="L1362" s="3" t="inlineStr">
        <is>
          <t>HBT</t>
        </is>
      </c>
    </row>
    <row r="1363">
      <c r="B1363" s="4" t="inlineStr">
        <is>
          <t>1583_0</t>
        </is>
      </c>
      <c r="C1363" s="4" t="inlineStr">
        <is>
          <t>18/09/2026</t>
        </is>
      </c>
      <c r="D1363" s="4" t="inlineStr">
        <is>
          <t>viernes</t>
        </is>
      </c>
      <c r="E1363" s="4" t="inlineStr">
        <is>
          <t>2316</t>
        </is>
      </c>
      <c r="F1363" s="4" t="inlineStr">
        <is>
          <t>LIM</t>
        </is>
      </c>
      <c r="G1363" s="4" t="inlineStr">
        <is>
          <t>PIU</t>
        </is>
      </c>
      <c r="H1363" s="4" t="inlineStr">
        <is>
          <t>11:40:00</t>
        </is>
      </c>
      <c r="I1363" s="4" t="inlineStr">
        <is>
          <t>13:25:00</t>
        </is>
      </c>
      <c r="J1363" s="4" t="inlineStr">
        <is>
          <t>319</t>
        </is>
      </c>
      <c r="L1363" s="4" t="inlineStr">
        <is>
          <t>01:45:00</t>
        </is>
      </c>
      <c r="M1363" s="5" t="n"/>
      <c r="O1363" s="5" t="n"/>
      <c r="Q1363" s="4">
        <f>B1363</f>
        <v/>
      </c>
      <c r="R1363" s="4">
        <f>C1363</f>
        <v/>
      </c>
      <c r="S1363" s="4">
        <f>D1363</f>
        <v/>
      </c>
      <c r="T1363" s="4">
        <f>E1363&amp;"/"&amp;E1364</f>
        <v/>
      </c>
      <c r="U1363" s="4">
        <f>F1363&amp;"-"&amp;G1363&amp;"-"&amp;F1363</f>
        <v/>
      </c>
      <c r="V1363" s="4">
        <f>IF($M$1363="","",$M$1363)</f>
        <v/>
      </c>
      <c r="W1363" s="4">
        <f>IF($O$1363="","",$O$1363)</f>
        <v/>
      </c>
      <c r="X1363" s="4">
        <f>J1363</f>
        <v/>
      </c>
    </row>
    <row r="1364">
      <c r="B1364" s="4" t="inlineStr">
        <is>
          <t>1583_0</t>
        </is>
      </c>
      <c r="C1364" s="4" t="inlineStr">
        <is>
          <t>18/09/2026</t>
        </is>
      </c>
      <c r="D1364" s="4" t="inlineStr">
        <is>
          <t>viernes</t>
        </is>
      </c>
      <c r="E1364" s="4" t="inlineStr">
        <is>
          <t>2317</t>
        </is>
      </c>
      <c r="F1364" s="4" t="inlineStr">
        <is>
          <t>PIU</t>
        </is>
      </c>
      <c r="G1364" s="4" t="inlineStr">
        <is>
          <t>LIM</t>
        </is>
      </c>
      <c r="H1364" s="4" t="inlineStr">
        <is>
          <t>14:05:00</t>
        </is>
      </c>
      <c r="I1364" s="4" t="inlineStr">
        <is>
          <t>15:40:00</t>
        </is>
      </c>
      <c r="J1364" s="4" t="inlineStr">
        <is>
          <t>319</t>
        </is>
      </c>
      <c r="K1364">
        <f>TEXT(TIMEVALUE(H1364)-TIMEVALUE(I1363)+(TIMEVALUE(H1364)&lt;TIMEVALUE(I1363)),"[h]:mm")</f>
        <v/>
      </c>
      <c r="L1364" s="4" t="inlineStr">
        <is>
          <t>01:35:00</t>
        </is>
      </c>
      <c r="O1364">
        <f>"LIM-"&amp;G1363&amp;"-LIM   LA "&amp;E1363&amp;" ("&amp;LEFT(H1363,5)&amp;"-"&amp;LEFT(I1363,5)&amp;" hrs)  /  LA "&amp;E1364&amp;" ("&amp;LEFT(H1364,5)&amp;"-"&amp;LEFT(I1364,5)&amp;" hrs)"</f>
        <v/>
      </c>
    </row>
    <row r="1365">
      <c r="B1365" s="4" t="inlineStr">
        <is>
          <t>1615_0</t>
        </is>
      </c>
      <c r="C1365" s="4" t="inlineStr">
        <is>
          <t>18/09/2026</t>
        </is>
      </c>
      <c r="D1365" s="4" t="inlineStr">
        <is>
          <t>viernes</t>
        </is>
      </c>
      <c r="E1365" s="4" t="inlineStr">
        <is>
          <t>2276</t>
        </is>
      </c>
      <c r="F1365" s="4" t="inlineStr">
        <is>
          <t>LIM</t>
        </is>
      </c>
      <c r="G1365" s="4" t="inlineStr">
        <is>
          <t>CUZ</t>
        </is>
      </c>
      <c r="H1365" s="4" t="inlineStr">
        <is>
          <t>16:35:00</t>
        </is>
      </c>
      <c r="I1365" s="4" t="inlineStr">
        <is>
          <t>17:55:00</t>
        </is>
      </c>
      <c r="J1365" s="4" t="inlineStr">
        <is>
          <t>320</t>
        </is>
      </c>
      <c r="K1365" s="6">
        <f>TEXT(TIMEVALUE(H1365)-TIMEVALUE(I1364)+(TIMEVALUE(H1365)&lt;TIMEVALUE(I1364)),"[h]:mm")</f>
        <v/>
      </c>
      <c r="L1365" s="4" t="inlineStr">
        <is>
          <t>01:20:00</t>
        </is>
      </c>
      <c r="M1365">
        <f>IF($M$1363="","",$M$1363)</f>
        <v/>
      </c>
      <c r="O1365">
        <f>IF($O$1363="","",$O$1363)</f>
        <v/>
      </c>
      <c r="Q1365" s="4">
        <f>B1365</f>
        <v/>
      </c>
      <c r="R1365" s="4">
        <f>C1365</f>
        <v/>
      </c>
      <c r="S1365" s="4">
        <f>D1365</f>
        <v/>
      </c>
      <c r="T1365" s="4">
        <f>E1365&amp;"/"&amp;E1366</f>
        <v/>
      </c>
      <c r="U1365" s="4">
        <f>F1365&amp;"-"&amp;G1365&amp;"-"&amp;F1365</f>
        <v/>
      </c>
      <c r="V1365" s="4">
        <f>IF($M$1363="","",$M$1363)</f>
        <v/>
      </c>
      <c r="W1365" s="4">
        <f>IF($O$1363="","",$O$1363)</f>
        <v/>
      </c>
      <c r="X1365" s="4">
        <f>J1365</f>
        <v/>
      </c>
    </row>
    <row r="1366">
      <c r="B1366" s="4" t="inlineStr">
        <is>
          <t>1615_0</t>
        </is>
      </c>
      <c r="C1366" s="4" t="inlineStr">
        <is>
          <t>18/09/2026</t>
        </is>
      </c>
      <c r="D1366" s="4" t="inlineStr">
        <is>
          <t>viernes</t>
        </is>
      </c>
      <c r="E1366" s="4" t="inlineStr">
        <is>
          <t>2277</t>
        </is>
      </c>
      <c r="F1366" s="4" t="inlineStr">
        <is>
          <t>CUZ</t>
        </is>
      </c>
      <c r="G1366" s="4" t="inlineStr">
        <is>
          <t>LIM</t>
        </is>
      </c>
      <c r="H1366" s="4" t="inlineStr">
        <is>
          <t>18:50:00</t>
        </is>
      </c>
      <c r="I1366" s="4" t="inlineStr">
        <is>
          <t>20:25:00</t>
        </is>
      </c>
      <c r="J1366" s="4" t="inlineStr">
        <is>
          <t>320</t>
        </is>
      </c>
      <c r="K1366">
        <f>TEXT(TIMEVALUE(H1366)-TIMEVALUE(I1365)+(TIMEVALUE(H1366)&lt;TIMEVALUE(I1365)),"[h]:mm")</f>
        <v/>
      </c>
      <c r="L1366" s="4" t="inlineStr">
        <is>
          <t>01:35:00</t>
        </is>
      </c>
      <c r="O1366">
        <f>"LIM-"&amp;G1365&amp;"-LIM   LA "&amp;E1365&amp;" ("&amp;LEFT(H1365,5)&amp;"-"&amp;LEFT(I1365,5)&amp;" hrs)  /  LA "&amp;E1366&amp;" ("&amp;LEFT(H1366,5)&amp;"-"&amp;LEFT(I1366,5)&amp;" hrs)"</f>
        <v/>
      </c>
    </row>
    <row r="1367">
      <c r="J1367" s="7" t="inlineStr">
        <is>
          <t>PSV total:</t>
        </is>
      </c>
      <c r="K1367" s="8">
        <f>TEXT(TIMEVALUE(I1366)-TIMEVALUE(H1363)+(I1366&lt;H1363),"[h]:mm")</f>
        <v/>
      </c>
    </row>
    <row r="1369">
      <c r="B1369" s="3" t="inlineStr">
        <is>
          <t>Pairing ID</t>
        </is>
      </c>
      <c r="C1369" s="3" t="inlineStr">
        <is>
          <t>FECHA REAL</t>
        </is>
      </c>
      <c r="D1369" s="3" t="inlineStr">
        <is>
          <t>Day of Week</t>
        </is>
      </c>
      <c r="E1369" s="3" t="inlineStr">
        <is>
          <t>Flight No</t>
        </is>
      </c>
      <c r="F1369" s="3" t="inlineStr">
        <is>
          <t>Dep Stn</t>
        </is>
      </c>
      <c r="G1369" s="3" t="inlineStr">
        <is>
          <t>Arr Stn</t>
        </is>
      </c>
      <c r="H1369" s="3" t="inlineStr">
        <is>
          <t>STD</t>
        </is>
      </c>
      <c r="I1369" s="3" t="inlineStr">
        <is>
          <t>STA</t>
        </is>
      </c>
      <c r="J1369" s="3" t="inlineStr">
        <is>
          <t>subflota</t>
        </is>
      </c>
      <c r="K1369" s="3" t="inlineStr">
        <is>
          <t>Conexion</t>
        </is>
      </c>
      <c r="L1369" s="3" t="inlineStr">
        <is>
          <t>HBT</t>
        </is>
      </c>
    </row>
    <row r="1370">
      <c r="B1370" s="4" t="inlineStr">
        <is>
          <t>1590_0</t>
        </is>
      </c>
      <c r="C1370" s="4" t="inlineStr">
        <is>
          <t>18/09/2026</t>
        </is>
      </c>
      <c r="D1370" s="4" t="inlineStr">
        <is>
          <t>viernes</t>
        </is>
      </c>
      <c r="E1370" s="4" t="inlineStr">
        <is>
          <t>2270</t>
        </is>
      </c>
      <c r="F1370" s="4" t="inlineStr">
        <is>
          <t>LIM</t>
        </is>
      </c>
      <c r="G1370" s="4" t="inlineStr">
        <is>
          <t>CIX</t>
        </is>
      </c>
      <c r="H1370" s="4" t="inlineStr">
        <is>
          <t>13:00:00</t>
        </is>
      </c>
      <c r="I1370" s="4" t="inlineStr">
        <is>
          <t>14:30:00</t>
        </is>
      </c>
      <c r="J1370" s="4" t="inlineStr">
        <is>
          <t>319</t>
        </is>
      </c>
      <c r="L1370" s="4" t="inlineStr">
        <is>
          <t>01:30:00</t>
        </is>
      </c>
      <c r="M1370" s="5" t="n"/>
      <c r="O1370" s="5" t="n"/>
      <c r="Q1370" s="4">
        <f>B1370</f>
        <v/>
      </c>
      <c r="R1370" s="4">
        <f>C1370</f>
        <v/>
      </c>
      <c r="S1370" s="4">
        <f>D1370</f>
        <v/>
      </c>
      <c r="T1370" s="4">
        <f>E1370&amp;"/"&amp;E1371</f>
        <v/>
      </c>
      <c r="U1370" s="4">
        <f>F1370&amp;"-"&amp;G1370&amp;"-"&amp;F1370</f>
        <v/>
      </c>
      <c r="V1370" s="4">
        <f>IF($M$1370="","",$M$1370)</f>
        <v/>
      </c>
      <c r="W1370" s="4">
        <f>IF($O$1370="","",$O$1370)</f>
        <v/>
      </c>
      <c r="X1370" s="4">
        <f>J1370</f>
        <v/>
      </c>
    </row>
    <row r="1371">
      <c r="B1371" s="4" t="inlineStr">
        <is>
          <t>1590_0</t>
        </is>
      </c>
      <c r="C1371" s="4" t="inlineStr">
        <is>
          <t>18/09/2026</t>
        </is>
      </c>
      <c r="D1371" s="4" t="inlineStr">
        <is>
          <t>viernes</t>
        </is>
      </c>
      <c r="E1371" s="4" t="inlineStr">
        <is>
          <t>2271</t>
        </is>
      </c>
      <c r="F1371" s="4" t="inlineStr">
        <is>
          <t>CIX</t>
        </is>
      </c>
      <c r="G1371" s="4" t="inlineStr">
        <is>
          <t>LIM</t>
        </is>
      </c>
      <c r="H1371" s="4" t="inlineStr">
        <is>
          <t>15:05:00</t>
        </is>
      </c>
      <c r="I1371" s="4" t="inlineStr">
        <is>
          <t>16:20:00</t>
        </is>
      </c>
      <c r="J1371" s="4" t="inlineStr">
        <is>
          <t>319</t>
        </is>
      </c>
      <c r="K1371">
        <f>TEXT(TIMEVALUE(H1371)-TIMEVALUE(I1370)+(TIMEVALUE(H1371)&lt;TIMEVALUE(I1370)),"[h]:mm")</f>
        <v/>
      </c>
      <c r="L1371" s="4" t="inlineStr">
        <is>
          <t>01:15:00</t>
        </is>
      </c>
      <c r="O1371">
        <f>"LIM-"&amp;G1370&amp;"-LIM   LA "&amp;E1370&amp;" ("&amp;LEFT(H1370,5)&amp;"-"&amp;LEFT(I1370,5)&amp;" hrs)  /  LA "&amp;E1371&amp;" ("&amp;LEFT(H1371,5)&amp;"-"&amp;LEFT(I1371,5)&amp;" hrs)"</f>
        <v/>
      </c>
    </row>
    <row r="1372">
      <c r="J1372" s="7" t="inlineStr">
        <is>
          <t>PSV total:</t>
        </is>
      </c>
      <c r="K1372" s="8">
        <f>TEXT(TIMEVALUE(I1371)-TIMEVALUE(H1370)+(I1371&lt;H1370),"[h]:mm")</f>
        <v/>
      </c>
    </row>
    <row r="1374">
      <c r="B1374" s="3" t="inlineStr">
        <is>
          <t>Pairing ID</t>
        </is>
      </c>
      <c r="C1374" s="3" t="inlineStr">
        <is>
          <t>FECHA REAL</t>
        </is>
      </c>
      <c r="D1374" s="3" t="inlineStr">
        <is>
          <t>Day of Week</t>
        </is>
      </c>
      <c r="E1374" s="3" t="inlineStr">
        <is>
          <t>Flight No</t>
        </is>
      </c>
      <c r="F1374" s="3" t="inlineStr">
        <is>
          <t>Dep Stn</t>
        </is>
      </c>
      <c r="G1374" s="3" t="inlineStr">
        <is>
          <t>Arr Stn</t>
        </is>
      </c>
      <c r="H1374" s="3" t="inlineStr">
        <is>
          <t>STD</t>
        </is>
      </c>
      <c r="I1374" s="3" t="inlineStr">
        <is>
          <t>STA</t>
        </is>
      </c>
      <c r="J1374" s="3" t="inlineStr">
        <is>
          <t>subflota</t>
        </is>
      </c>
      <c r="K1374" s="3" t="inlineStr">
        <is>
          <t>Conexion</t>
        </is>
      </c>
      <c r="L1374" s="3" t="inlineStr">
        <is>
          <t>HBT</t>
        </is>
      </c>
    </row>
    <row r="1375">
      <c r="B1375" s="4" t="inlineStr">
        <is>
          <t>1593_0</t>
        </is>
      </c>
      <c r="C1375" s="4" t="inlineStr">
        <is>
          <t>18/09/2026</t>
        </is>
      </c>
      <c r="D1375" s="4" t="inlineStr">
        <is>
          <t>viernes</t>
        </is>
      </c>
      <c r="E1375" s="4" t="inlineStr">
        <is>
          <t>2067</t>
        </is>
      </c>
      <c r="F1375" s="4" t="inlineStr">
        <is>
          <t>LIM</t>
        </is>
      </c>
      <c r="G1375" s="4" t="inlineStr">
        <is>
          <t>TCQ</t>
        </is>
      </c>
      <c r="H1375" s="4" t="inlineStr">
        <is>
          <t>13:45:00</t>
        </is>
      </c>
      <c r="I1375" s="4" t="inlineStr">
        <is>
          <t>15:35:00</t>
        </is>
      </c>
      <c r="J1375" s="4" t="inlineStr">
        <is>
          <t>320</t>
        </is>
      </c>
      <c r="L1375" s="4" t="inlineStr">
        <is>
          <t>01:50:00</t>
        </is>
      </c>
      <c r="M1375" s="5" t="n"/>
      <c r="O1375" s="5" t="n"/>
      <c r="Q1375" s="4">
        <f>B1375</f>
        <v/>
      </c>
      <c r="R1375" s="4">
        <f>C1375</f>
        <v/>
      </c>
      <c r="S1375" s="4">
        <f>D1375</f>
        <v/>
      </c>
      <c r="T1375" s="4">
        <f>E1375&amp;"/"&amp;E1376</f>
        <v/>
      </c>
      <c r="U1375" s="4">
        <f>F1375&amp;"-"&amp;G1375&amp;"-"&amp;F1375</f>
        <v/>
      </c>
      <c r="V1375" s="4">
        <f>IF($M$1375="","",$M$1375)</f>
        <v/>
      </c>
      <c r="W1375" s="4">
        <f>IF($O$1375="","",$O$1375)</f>
        <v/>
      </c>
      <c r="X1375" s="4">
        <f>J1375</f>
        <v/>
      </c>
    </row>
    <row r="1376">
      <c r="B1376" s="4" t="inlineStr">
        <is>
          <t>1593_0</t>
        </is>
      </c>
      <c r="C1376" s="4" t="inlineStr">
        <is>
          <t>18/09/2026</t>
        </is>
      </c>
      <c r="D1376" s="4" t="inlineStr">
        <is>
          <t>viernes</t>
        </is>
      </c>
      <c r="E1376" s="4" t="inlineStr">
        <is>
          <t>2068</t>
        </is>
      </c>
      <c r="F1376" s="4" t="inlineStr">
        <is>
          <t>TCQ</t>
        </is>
      </c>
      <c r="G1376" s="4" t="inlineStr">
        <is>
          <t>LIM</t>
        </is>
      </c>
      <c r="H1376" s="4" t="inlineStr">
        <is>
          <t>16:20:00</t>
        </is>
      </c>
      <c r="I1376" s="4" t="inlineStr">
        <is>
          <t>18:15:00</t>
        </is>
      </c>
      <c r="J1376" s="4" t="inlineStr">
        <is>
          <t>320</t>
        </is>
      </c>
      <c r="K1376">
        <f>TEXT(TIMEVALUE(H1376)-TIMEVALUE(I1375)+(TIMEVALUE(H1376)&lt;TIMEVALUE(I1375)),"[h]:mm")</f>
        <v/>
      </c>
      <c r="L1376" s="4" t="inlineStr">
        <is>
          <t>01:55:00</t>
        </is>
      </c>
      <c r="O1376">
        <f>"LIM-"&amp;G1375&amp;"-LIM   LA "&amp;E1375&amp;" ("&amp;LEFT(H1375,5)&amp;"-"&amp;LEFT(I1375,5)&amp;" hrs)  /  LA "&amp;E1376&amp;" ("&amp;LEFT(H1376,5)&amp;"-"&amp;LEFT(I1376,5)&amp;" hrs)"</f>
        <v/>
      </c>
    </row>
    <row r="1377">
      <c r="J1377" s="7" t="inlineStr">
        <is>
          <t>PSV total:</t>
        </is>
      </c>
      <c r="K1377" s="8">
        <f>TEXT(TIMEVALUE(I1376)-TIMEVALUE(H1375)+(I1376&lt;H1375),"[h]:mm")</f>
        <v/>
      </c>
    </row>
    <row r="1379">
      <c r="B1379" s="3" t="inlineStr">
        <is>
          <t>Pairing ID</t>
        </is>
      </c>
      <c r="C1379" s="3" t="inlineStr">
        <is>
          <t>FECHA REAL</t>
        </is>
      </c>
      <c r="D1379" s="3" t="inlineStr">
        <is>
          <t>Day of Week</t>
        </is>
      </c>
      <c r="E1379" s="3" t="inlineStr">
        <is>
          <t>Flight No</t>
        </is>
      </c>
      <c r="F1379" s="3" t="inlineStr">
        <is>
          <t>Dep Stn</t>
        </is>
      </c>
      <c r="G1379" s="3" t="inlineStr">
        <is>
          <t>Arr Stn</t>
        </is>
      </c>
      <c r="H1379" s="3" t="inlineStr">
        <is>
          <t>STD</t>
        </is>
      </c>
      <c r="I1379" s="3" t="inlineStr">
        <is>
          <t>STA</t>
        </is>
      </c>
      <c r="J1379" s="3" t="inlineStr">
        <is>
          <t>subflota</t>
        </is>
      </c>
      <c r="K1379" s="3" t="inlineStr">
        <is>
          <t>Conexion</t>
        </is>
      </c>
      <c r="L1379" s="3" t="inlineStr">
        <is>
          <t>HBT</t>
        </is>
      </c>
    </row>
    <row r="1380">
      <c r="B1380" s="4" t="inlineStr">
        <is>
          <t>1595_0</t>
        </is>
      </c>
      <c r="C1380" s="4" t="inlineStr">
        <is>
          <t>18/09/2026</t>
        </is>
      </c>
      <c r="D1380" s="4" t="inlineStr">
        <is>
          <t>viernes</t>
        </is>
      </c>
      <c r="E1380" s="4" t="inlineStr">
        <is>
          <t>2295</t>
        </is>
      </c>
      <c r="F1380" s="4" t="inlineStr">
        <is>
          <t>LIM</t>
        </is>
      </c>
      <c r="G1380" s="4" t="inlineStr">
        <is>
          <t>CJA</t>
        </is>
      </c>
      <c r="H1380" s="4" t="inlineStr">
        <is>
          <t>14:10:00</t>
        </is>
      </c>
      <c r="I1380" s="4" t="inlineStr">
        <is>
          <t>15:30:00</t>
        </is>
      </c>
      <c r="J1380" s="4" t="inlineStr">
        <is>
          <t>320</t>
        </is>
      </c>
      <c r="L1380" s="4" t="inlineStr">
        <is>
          <t>01:20:00</t>
        </is>
      </c>
      <c r="M1380" s="5" t="n"/>
      <c r="O1380" s="5" t="n"/>
      <c r="Q1380" s="4">
        <f>B1380</f>
        <v/>
      </c>
      <c r="R1380" s="4">
        <f>C1380</f>
        <v/>
      </c>
      <c r="S1380" s="4">
        <f>D1380</f>
        <v/>
      </c>
      <c r="T1380" s="4">
        <f>E1380&amp;"/"&amp;E1381</f>
        <v/>
      </c>
      <c r="U1380" s="4">
        <f>F1380&amp;"-"&amp;G1380&amp;"-"&amp;F1380</f>
        <v/>
      </c>
      <c r="V1380" s="4">
        <f>IF($M$1380="","",$M$1380)</f>
        <v/>
      </c>
      <c r="W1380" s="4">
        <f>IF($O$1380="","",$O$1380)</f>
        <v/>
      </c>
      <c r="X1380" s="4">
        <f>J1380</f>
        <v/>
      </c>
    </row>
    <row r="1381">
      <c r="B1381" s="4" t="inlineStr">
        <is>
          <t>1595_0</t>
        </is>
      </c>
      <c r="C1381" s="4" t="inlineStr">
        <is>
          <t>18/09/2026</t>
        </is>
      </c>
      <c r="D1381" s="4" t="inlineStr">
        <is>
          <t>viernes</t>
        </is>
      </c>
      <c r="E1381" s="4" t="inlineStr">
        <is>
          <t>2294</t>
        </is>
      </c>
      <c r="F1381" s="4" t="inlineStr">
        <is>
          <t>CJA</t>
        </is>
      </c>
      <c r="G1381" s="4" t="inlineStr">
        <is>
          <t>LIM</t>
        </is>
      </c>
      <c r="H1381" s="4" t="inlineStr">
        <is>
          <t>16:10:00</t>
        </is>
      </c>
      <c r="I1381" s="4" t="inlineStr">
        <is>
          <t>17:15:00</t>
        </is>
      </c>
      <c r="J1381" s="4" t="inlineStr">
        <is>
          <t>320</t>
        </is>
      </c>
      <c r="K1381">
        <f>TEXT(TIMEVALUE(H1381)-TIMEVALUE(I1380)+(TIMEVALUE(H1381)&lt;TIMEVALUE(I1380)),"[h]:mm")</f>
        <v/>
      </c>
      <c r="L1381" s="4" t="inlineStr">
        <is>
          <t>01:05:00</t>
        </is>
      </c>
      <c r="O1381">
        <f>"LIM-"&amp;G1380&amp;"-LIM   LA "&amp;E1380&amp;" ("&amp;LEFT(H1380,5)&amp;"-"&amp;LEFT(I1380,5)&amp;" hrs)  /  LA "&amp;E1381&amp;" ("&amp;LEFT(H1381,5)&amp;"-"&amp;LEFT(I1381,5)&amp;" hrs)"</f>
        <v/>
      </c>
    </row>
    <row r="1382">
      <c r="B1382" s="4" t="inlineStr">
        <is>
          <t>1619_0</t>
        </is>
      </c>
      <c r="C1382" s="4" t="inlineStr">
        <is>
          <t>18/09/2026</t>
        </is>
      </c>
      <c r="D1382" s="4" t="inlineStr">
        <is>
          <t>viernes</t>
        </is>
      </c>
      <c r="E1382" s="4" t="inlineStr">
        <is>
          <t>2310</t>
        </is>
      </c>
      <c r="F1382" s="4" t="inlineStr">
        <is>
          <t>LIM</t>
        </is>
      </c>
      <c r="G1382" s="4" t="inlineStr">
        <is>
          <t>CIX</t>
        </is>
      </c>
      <c r="H1382" s="4" t="inlineStr">
        <is>
          <t>18:20:00</t>
        </is>
      </c>
      <c r="I1382" s="4" t="inlineStr">
        <is>
          <t>19:45:00</t>
        </is>
      </c>
      <c r="J1382" s="4" t="inlineStr">
        <is>
          <t>320</t>
        </is>
      </c>
      <c r="K1382" s="6">
        <f>TEXT(TIMEVALUE(H1382)-TIMEVALUE(I1381)+(TIMEVALUE(H1382)&lt;TIMEVALUE(I1381)),"[h]:mm")</f>
        <v/>
      </c>
      <c r="L1382" s="4" t="inlineStr">
        <is>
          <t>01:25:00</t>
        </is>
      </c>
      <c r="M1382">
        <f>IF($M$1380="","",$M$1380)</f>
        <v/>
      </c>
      <c r="O1382">
        <f>IF($O$1380="","",$O$1380)</f>
        <v/>
      </c>
      <c r="Q1382" s="4">
        <f>B1382</f>
        <v/>
      </c>
      <c r="R1382" s="4">
        <f>C1382</f>
        <v/>
      </c>
      <c r="S1382" s="4">
        <f>D1382</f>
        <v/>
      </c>
      <c r="T1382" s="4">
        <f>E1382&amp;"/"&amp;E1383</f>
        <v/>
      </c>
      <c r="U1382" s="4">
        <f>F1382&amp;"-"&amp;G1382&amp;"-"&amp;F1382</f>
        <v/>
      </c>
      <c r="V1382" s="4">
        <f>IF($M$1380="","",$M$1380)</f>
        <v/>
      </c>
      <c r="W1382" s="4">
        <f>IF($O$1380="","",$O$1380)</f>
        <v/>
      </c>
      <c r="X1382" s="4">
        <f>J1382</f>
        <v/>
      </c>
    </row>
    <row r="1383">
      <c r="B1383" s="4" t="inlineStr">
        <is>
          <t>1619_0</t>
        </is>
      </c>
      <c r="C1383" s="4" t="inlineStr">
        <is>
          <t>18/09/2026</t>
        </is>
      </c>
      <c r="D1383" s="4" t="inlineStr">
        <is>
          <t>viernes</t>
        </is>
      </c>
      <c r="E1383" s="4" t="inlineStr">
        <is>
          <t>2311</t>
        </is>
      </c>
      <c r="F1383" s="4" t="inlineStr">
        <is>
          <t>CIX</t>
        </is>
      </c>
      <c r="G1383" s="4" t="inlineStr">
        <is>
          <t>LIM</t>
        </is>
      </c>
      <c r="H1383" s="4" t="inlineStr">
        <is>
          <t>20:20:00</t>
        </is>
      </c>
      <c r="I1383" s="4" t="inlineStr">
        <is>
          <t>21:35:00</t>
        </is>
      </c>
      <c r="J1383" s="4" t="inlineStr">
        <is>
          <t>320</t>
        </is>
      </c>
      <c r="K1383">
        <f>TEXT(TIMEVALUE(H1383)-TIMEVALUE(I1382)+(TIMEVALUE(H1383)&lt;TIMEVALUE(I1382)),"[h]:mm")</f>
        <v/>
      </c>
      <c r="L1383" s="4" t="inlineStr">
        <is>
          <t>01:15:00</t>
        </is>
      </c>
      <c r="O1383">
        <f>"LIM-"&amp;G1382&amp;"-LIM   LA "&amp;E1382&amp;" ("&amp;LEFT(H1382,5)&amp;"-"&amp;LEFT(I1382,5)&amp;" hrs)  /  LA "&amp;E1383&amp;" ("&amp;LEFT(H1383,5)&amp;"-"&amp;LEFT(I1383,5)&amp;" hrs)"</f>
        <v/>
      </c>
    </row>
    <row r="1384">
      <c r="J1384" s="7" t="inlineStr">
        <is>
          <t>PSV total:</t>
        </is>
      </c>
      <c r="K1384" s="8">
        <f>TEXT(TIMEVALUE(I1383)-TIMEVALUE(H1380)+(I1383&lt;H1380),"[h]:mm")</f>
        <v/>
      </c>
    </row>
    <row r="1386">
      <c r="B1386" s="3" t="inlineStr">
        <is>
          <t>Pairing ID</t>
        </is>
      </c>
      <c r="C1386" s="3" t="inlineStr">
        <is>
          <t>FECHA REAL</t>
        </is>
      </c>
      <c r="D1386" s="3" t="inlineStr">
        <is>
          <t>Day of Week</t>
        </is>
      </c>
      <c r="E1386" s="3" t="inlineStr">
        <is>
          <t>Flight No</t>
        </is>
      </c>
      <c r="F1386" s="3" t="inlineStr">
        <is>
          <t>Dep Stn</t>
        </is>
      </c>
      <c r="G1386" s="3" t="inlineStr">
        <is>
          <t>Arr Stn</t>
        </is>
      </c>
      <c r="H1386" s="3" t="inlineStr">
        <is>
          <t>STD</t>
        </is>
      </c>
      <c r="I1386" s="3" t="inlineStr">
        <is>
          <t>STA</t>
        </is>
      </c>
      <c r="J1386" s="3" t="inlineStr">
        <is>
          <t>subflota</t>
        </is>
      </c>
      <c r="K1386" s="3" t="inlineStr">
        <is>
          <t>Conexion</t>
        </is>
      </c>
      <c r="L1386" s="3" t="inlineStr">
        <is>
          <t>HBT</t>
        </is>
      </c>
    </row>
    <row r="1387">
      <c r="B1387" s="4" t="inlineStr">
        <is>
          <t>1598_0</t>
        </is>
      </c>
      <c r="C1387" s="4" t="inlineStr">
        <is>
          <t>18/09/2026</t>
        </is>
      </c>
      <c r="D1387" s="4" t="inlineStr">
        <is>
          <t>viernes</t>
        </is>
      </c>
      <c r="E1387" s="4" t="inlineStr">
        <is>
          <t>2338</t>
        </is>
      </c>
      <c r="F1387" s="4" t="inlineStr">
        <is>
          <t>LIM</t>
        </is>
      </c>
      <c r="G1387" s="4" t="inlineStr">
        <is>
          <t>PIU</t>
        </is>
      </c>
      <c r="H1387" s="4" t="inlineStr">
        <is>
          <t>14:55:00</t>
        </is>
      </c>
      <c r="I1387" s="4" t="inlineStr">
        <is>
          <t>16:45:00</t>
        </is>
      </c>
      <c r="J1387" s="4" t="inlineStr">
        <is>
          <t>320</t>
        </is>
      </c>
      <c r="L1387" s="4" t="inlineStr">
        <is>
          <t>01:50:00</t>
        </is>
      </c>
      <c r="M1387" s="5" t="n"/>
      <c r="O1387" s="5" t="n"/>
      <c r="Q1387" s="4">
        <f>B1387</f>
        <v/>
      </c>
      <c r="R1387" s="4">
        <f>C1387</f>
        <v/>
      </c>
      <c r="S1387" s="4">
        <f>D1387</f>
        <v/>
      </c>
      <c r="T1387" s="4">
        <f>E1387&amp;"/"&amp;E1388</f>
        <v/>
      </c>
      <c r="U1387" s="4">
        <f>F1387&amp;"-"&amp;G1387&amp;"-"&amp;F1387</f>
        <v/>
      </c>
      <c r="V1387" s="4">
        <f>IF($M$1387="","",$M$1387)</f>
        <v/>
      </c>
      <c r="W1387" s="4">
        <f>IF($O$1387="","",$O$1387)</f>
        <v/>
      </c>
      <c r="X1387" s="4">
        <f>J1387</f>
        <v/>
      </c>
    </row>
    <row r="1388">
      <c r="B1388" s="4" t="inlineStr">
        <is>
          <t>1598_0</t>
        </is>
      </c>
      <c r="C1388" s="4" t="inlineStr">
        <is>
          <t>18/09/2026</t>
        </is>
      </c>
      <c r="D1388" s="4" t="inlineStr">
        <is>
          <t>viernes</t>
        </is>
      </c>
      <c r="E1388" s="4" t="inlineStr">
        <is>
          <t>2339</t>
        </is>
      </c>
      <c r="F1388" s="4" t="inlineStr">
        <is>
          <t>PIU</t>
        </is>
      </c>
      <c r="G1388" s="4" t="inlineStr">
        <is>
          <t>LIM</t>
        </is>
      </c>
      <c r="H1388" s="4" t="inlineStr">
        <is>
          <t>17:20:00</t>
        </is>
      </c>
      <c r="I1388" s="4" t="inlineStr">
        <is>
          <t>18:50:00</t>
        </is>
      </c>
      <c r="J1388" s="4" t="inlineStr">
        <is>
          <t>320</t>
        </is>
      </c>
      <c r="K1388">
        <f>TEXT(TIMEVALUE(H1388)-TIMEVALUE(I1387)+(TIMEVALUE(H1388)&lt;TIMEVALUE(I1387)),"[h]:mm")</f>
        <v/>
      </c>
      <c r="L1388" s="4" t="inlineStr">
        <is>
          <t>01:30:00</t>
        </is>
      </c>
      <c r="O1388">
        <f>"LIM-"&amp;G1387&amp;"-LIM   LA "&amp;E1387&amp;" ("&amp;LEFT(H1387,5)&amp;"-"&amp;LEFT(I1387,5)&amp;" hrs)  /  LA "&amp;E1388&amp;" ("&amp;LEFT(H1388,5)&amp;"-"&amp;LEFT(I1388,5)&amp;" hrs)"</f>
        <v/>
      </c>
    </row>
    <row r="1389">
      <c r="J1389" s="7" t="inlineStr">
        <is>
          <t>PSV total:</t>
        </is>
      </c>
      <c r="K1389" s="8">
        <f>TEXT(TIMEVALUE(I1388)-TIMEVALUE(H1387)+(I1388&lt;H1387),"[h]:mm")</f>
        <v/>
      </c>
    </row>
    <row r="1391">
      <c r="B1391" s="3" t="inlineStr">
        <is>
          <t>Pairing ID</t>
        </is>
      </c>
      <c r="C1391" s="3" t="inlineStr">
        <is>
          <t>FECHA REAL</t>
        </is>
      </c>
      <c r="D1391" s="3" t="inlineStr">
        <is>
          <t>Day of Week</t>
        </is>
      </c>
      <c r="E1391" s="3" t="inlineStr">
        <is>
          <t>Flight No</t>
        </is>
      </c>
      <c r="F1391" s="3" t="inlineStr">
        <is>
          <t>Dep Stn</t>
        </is>
      </c>
      <c r="G1391" s="3" t="inlineStr">
        <is>
          <t>Arr Stn</t>
        </is>
      </c>
      <c r="H1391" s="3" t="inlineStr">
        <is>
          <t>STD</t>
        </is>
      </c>
      <c r="I1391" s="3" t="inlineStr">
        <is>
          <t>STA</t>
        </is>
      </c>
      <c r="J1391" s="3" t="inlineStr">
        <is>
          <t>subflota</t>
        </is>
      </c>
      <c r="K1391" s="3" t="inlineStr">
        <is>
          <t>Conexion</t>
        </is>
      </c>
      <c r="L1391" s="3" t="inlineStr">
        <is>
          <t>HBT</t>
        </is>
      </c>
    </row>
    <row r="1392">
      <c r="B1392" s="4" t="inlineStr">
        <is>
          <t>1599_0</t>
        </is>
      </c>
      <c r="C1392" s="4" t="inlineStr">
        <is>
          <t>18/09/2026</t>
        </is>
      </c>
      <c r="D1392" s="4" t="inlineStr">
        <is>
          <t>viernes</t>
        </is>
      </c>
      <c r="E1392" s="4" t="inlineStr">
        <is>
          <t>2248</t>
        </is>
      </c>
      <c r="F1392" s="4" t="inlineStr">
        <is>
          <t>LIM</t>
        </is>
      </c>
      <c r="G1392" s="4" t="inlineStr">
        <is>
          <t>CUZ</t>
        </is>
      </c>
      <c r="H1392" s="4" t="inlineStr">
        <is>
          <t>15:00:00</t>
        </is>
      </c>
      <c r="I1392" s="4" t="inlineStr">
        <is>
          <t>16:20:00</t>
        </is>
      </c>
      <c r="J1392" s="4" t="inlineStr">
        <is>
          <t>320</t>
        </is>
      </c>
      <c r="L1392" s="4" t="inlineStr">
        <is>
          <t>01:20:00</t>
        </is>
      </c>
      <c r="M1392" s="5" t="n"/>
      <c r="O1392" s="5" t="n"/>
      <c r="Q1392" s="4">
        <f>B1392</f>
        <v/>
      </c>
      <c r="R1392" s="4">
        <f>C1392</f>
        <v/>
      </c>
      <c r="S1392" s="4">
        <f>D1392</f>
        <v/>
      </c>
      <c r="T1392" s="4">
        <f>E1392&amp;"/"&amp;E1393</f>
        <v/>
      </c>
      <c r="U1392" s="4">
        <f>F1392&amp;"-"&amp;G1392&amp;"-"&amp;F1392</f>
        <v/>
      </c>
      <c r="V1392" s="4">
        <f>IF($M$1392="","",$M$1392)</f>
        <v/>
      </c>
      <c r="W1392" s="4">
        <f>IF($O$1392="","",$O$1392)</f>
        <v/>
      </c>
      <c r="X1392" s="4">
        <f>J1392</f>
        <v/>
      </c>
    </row>
    <row r="1393">
      <c r="B1393" s="4" t="inlineStr">
        <is>
          <t>1599_0</t>
        </is>
      </c>
      <c r="C1393" s="4" t="inlineStr">
        <is>
          <t>18/09/2026</t>
        </is>
      </c>
      <c r="D1393" s="4" t="inlineStr">
        <is>
          <t>viernes</t>
        </is>
      </c>
      <c r="E1393" s="4" t="inlineStr">
        <is>
          <t>2249</t>
        </is>
      </c>
      <c r="F1393" s="4" t="inlineStr">
        <is>
          <t>CUZ</t>
        </is>
      </c>
      <c r="G1393" s="4" t="inlineStr">
        <is>
          <t>LIM</t>
        </is>
      </c>
      <c r="H1393" s="4" t="inlineStr">
        <is>
          <t>17:00:00</t>
        </is>
      </c>
      <c r="I1393" s="4" t="inlineStr">
        <is>
          <t>18:35:00</t>
        </is>
      </c>
      <c r="J1393" s="4" t="inlineStr">
        <is>
          <t>320</t>
        </is>
      </c>
      <c r="K1393">
        <f>TEXT(TIMEVALUE(H1393)-TIMEVALUE(I1392)+(TIMEVALUE(H1393)&lt;TIMEVALUE(I1392)),"[h]:mm")</f>
        <v/>
      </c>
      <c r="L1393" s="4" t="inlineStr">
        <is>
          <t>01:35:00</t>
        </is>
      </c>
      <c r="O1393">
        <f>"LIM-"&amp;G1392&amp;"-LIM   LA "&amp;E1392&amp;" ("&amp;LEFT(H1392,5)&amp;"-"&amp;LEFT(I1392,5)&amp;" hrs)  /  LA "&amp;E1393&amp;" ("&amp;LEFT(H1393,5)&amp;"-"&amp;LEFT(I1393,5)&amp;" hrs)"</f>
        <v/>
      </c>
    </row>
    <row r="1394">
      <c r="J1394" s="7" t="inlineStr">
        <is>
          <t>PSV total:</t>
        </is>
      </c>
      <c r="K1394" s="8">
        <f>TEXT(TIMEVALUE(I1393)-TIMEVALUE(H1392)+(I1393&lt;H1392),"[h]:mm")</f>
        <v/>
      </c>
    </row>
    <row r="1396">
      <c r="B1396" s="3" t="inlineStr">
        <is>
          <t>Pairing ID</t>
        </is>
      </c>
      <c r="C1396" s="3" t="inlineStr">
        <is>
          <t>FECHA REAL</t>
        </is>
      </c>
      <c r="D1396" s="3" t="inlineStr">
        <is>
          <t>Day of Week</t>
        </is>
      </c>
      <c r="E1396" s="3" t="inlineStr">
        <is>
          <t>Flight No</t>
        </is>
      </c>
      <c r="F1396" s="3" t="inlineStr">
        <is>
          <t>Dep Stn</t>
        </is>
      </c>
      <c r="G1396" s="3" t="inlineStr">
        <is>
          <t>Arr Stn</t>
        </is>
      </c>
      <c r="H1396" s="3" t="inlineStr">
        <is>
          <t>STD</t>
        </is>
      </c>
      <c r="I1396" s="3" t="inlineStr">
        <is>
          <t>STA</t>
        </is>
      </c>
      <c r="J1396" s="3" t="inlineStr">
        <is>
          <t>subflota</t>
        </is>
      </c>
      <c r="K1396" s="3" t="inlineStr">
        <is>
          <t>Conexion</t>
        </is>
      </c>
      <c r="L1396" s="3" t="inlineStr">
        <is>
          <t>HBT</t>
        </is>
      </c>
    </row>
    <row r="1397">
      <c r="B1397" s="4" t="inlineStr">
        <is>
          <t>1604_0</t>
        </is>
      </c>
      <c r="C1397" s="4" t="inlineStr">
        <is>
          <t>18/09/2026</t>
        </is>
      </c>
      <c r="D1397" s="4" t="inlineStr">
        <is>
          <t>viernes</t>
        </is>
      </c>
      <c r="E1397" s="4" t="inlineStr">
        <is>
          <t>2297</t>
        </is>
      </c>
      <c r="F1397" s="4" t="inlineStr">
        <is>
          <t>LIM</t>
        </is>
      </c>
      <c r="G1397" s="4" t="inlineStr">
        <is>
          <t>CJA</t>
        </is>
      </c>
      <c r="H1397" s="4" t="inlineStr">
        <is>
          <t>15:15:00</t>
        </is>
      </c>
      <c r="I1397" s="4" t="inlineStr">
        <is>
          <t>16:35:00</t>
        </is>
      </c>
      <c r="J1397" s="4" t="inlineStr">
        <is>
          <t>320</t>
        </is>
      </c>
      <c r="L1397" s="4" t="inlineStr">
        <is>
          <t>01:20:00</t>
        </is>
      </c>
      <c r="M1397" s="5" t="n"/>
      <c r="O1397" s="5" t="n"/>
      <c r="Q1397" s="4">
        <f>B1397</f>
        <v/>
      </c>
      <c r="R1397" s="4">
        <f>C1397</f>
        <v/>
      </c>
      <c r="S1397" s="4">
        <f>D1397</f>
        <v/>
      </c>
      <c r="T1397" s="4">
        <f>E1397&amp;"/"&amp;E1398</f>
        <v/>
      </c>
      <c r="U1397" s="4">
        <f>F1397&amp;"-"&amp;G1397&amp;"-"&amp;F1397</f>
        <v/>
      </c>
      <c r="V1397" s="4">
        <f>IF($M$1397="","",$M$1397)</f>
        <v/>
      </c>
      <c r="W1397" s="4">
        <f>IF($O$1397="","",$O$1397)</f>
        <v/>
      </c>
      <c r="X1397" s="4">
        <f>J1397</f>
        <v/>
      </c>
    </row>
    <row r="1398">
      <c r="B1398" s="4" t="inlineStr">
        <is>
          <t>1604_0</t>
        </is>
      </c>
      <c r="C1398" s="4" t="inlineStr">
        <is>
          <t>18/09/2026</t>
        </is>
      </c>
      <c r="D1398" s="4" t="inlineStr">
        <is>
          <t>viernes</t>
        </is>
      </c>
      <c r="E1398" s="4" t="inlineStr">
        <is>
          <t>2296</t>
        </is>
      </c>
      <c r="F1398" s="4" t="inlineStr">
        <is>
          <t>CJA</t>
        </is>
      </c>
      <c r="G1398" s="4" t="inlineStr">
        <is>
          <t>LIM</t>
        </is>
      </c>
      <c r="H1398" s="4" t="inlineStr">
        <is>
          <t>17:20:00</t>
        </is>
      </c>
      <c r="I1398" s="4" t="inlineStr">
        <is>
          <t>18:25:00</t>
        </is>
      </c>
      <c r="J1398" s="4" t="inlineStr">
        <is>
          <t>320</t>
        </is>
      </c>
      <c r="K1398">
        <f>TEXT(TIMEVALUE(H1398)-TIMEVALUE(I1397)+(TIMEVALUE(H1398)&lt;TIMEVALUE(I1397)),"[h]:mm")</f>
        <v/>
      </c>
      <c r="L1398" s="4" t="inlineStr">
        <is>
          <t>01:05:00</t>
        </is>
      </c>
      <c r="O1398">
        <f>"LIM-"&amp;G1397&amp;"-LIM   LA "&amp;E1397&amp;" ("&amp;LEFT(H1397,5)&amp;"-"&amp;LEFT(I1397,5)&amp;" hrs)  /  LA "&amp;E1398&amp;" ("&amp;LEFT(H1398,5)&amp;"-"&amp;LEFT(I1398,5)&amp;" hrs)"</f>
        <v/>
      </c>
    </row>
    <row r="1399">
      <c r="J1399" s="7" t="inlineStr">
        <is>
          <t>PSV total:</t>
        </is>
      </c>
      <c r="K1399" s="8">
        <f>TEXT(TIMEVALUE(I1398)-TIMEVALUE(H1397)+(I1398&lt;H1397),"[h]:mm")</f>
        <v/>
      </c>
    </row>
    <row r="1401">
      <c r="B1401" s="3" t="inlineStr">
        <is>
          <t>Pairing ID</t>
        </is>
      </c>
      <c r="C1401" s="3" t="inlineStr">
        <is>
          <t>FECHA REAL</t>
        </is>
      </c>
      <c r="D1401" s="3" t="inlineStr">
        <is>
          <t>Day of Week</t>
        </is>
      </c>
      <c r="E1401" s="3" t="inlineStr">
        <is>
          <t>Flight No</t>
        </is>
      </c>
      <c r="F1401" s="3" t="inlineStr">
        <is>
          <t>Dep Stn</t>
        </is>
      </c>
      <c r="G1401" s="3" t="inlineStr">
        <is>
          <t>Arr Stn</t>
        </is>
      </c>
      <c r="H1401" s="3" t="inlineStr">
        <is>
          <t>STD</t>
        </is>
      </c>
      <c r="I1401" s="3" t="inlineStr">
        <is>
          <t>STA</t>
        </is>
      </c>
      <c r="J1401" s="3" t="inlineStr">
        <is>
          <t>subflota</t>
        </is>
      </c>
      <c r="K1401" s="3" t="inlineStr">
        <is>
          <t>Conexion</t>
        </is>
      </c>
      <c r="L1401" s="3" t="inlineStr">
        <is>
          <t>HBT</t>
        </is>
      </c>
    </row>
    <row r="1402">
      <c r="B1402" s="4" t="inlineStr">
        <is>
          <t>1603_0</t>
        </is>
      </c>
      <c r="C1402" s="4" t="inlineStr">
        <is>
          <t>18/09/2026</t>
        </is>
      </c>
      <c r="D1402" s="4" t="inlineStr">
        <is>
          <t>viernes</t>
        </is>
      </c>
      <c r="E1402" s="4" t="inlineStr">
        <is>
          <t>2297</t>
        </is>
      </c>
      <c r="F1402" s="4" t="inlineStr">
        <is>
          <t>LIM</t>
        </is>
      </c>
      <c r="G1402" s="4" t="inlineStr">
        <is>
          <t>CJA</t>
        </is>
      </c>
      <c r="H1402" s="4" t="inlineStr">
        <is>
          <t>15:15:00</t>
        </is>
      </c>
      <c r="I1402" s="4" t="inlineStr">
        <is>
          <t>16:35:00</t>
        </is>
      </c>
      <c r="J1402" s="4" t="inlineStr">
        <is>
          <t>320</t>
        </is>
      </c>
      <c r="L1402" s="4" t="inlineStr">
        <is>
          <t>01:20:00</t>
        </is>
      </c>
      <c r="M1402" s="5" t="n"/>
      <c r="O1402" s="5" t="n"/>
      <c r="Q1402" s="4">
        <f>B1402</f>
        <v/>
      </c>
      <c r="R1402" s="4">
        <f>C1402</f>
        <v/>
      </c>
      <c r="S1402" s="4">
        <f>D1402</f>
        <v/>
      </c>
      <c r="T1402" s="4">
        <f>E1402&amp;"/"&amp;E1403</f>
        <v/>
      </c>
      <c r="U1402" s="4">
        <f>F1402&amp;"-"&amp;G1402&amp;"-"&amp;F1402</f>
        <v/>
      </c>
      <c r="V1402" s="4">
        <f>IF($M$1402="","",$M$1402)</f>
        <v/>
      </c>
      <c r="W1402" s="4">
        <f>IF($O$1402="","",$O$1402)</f>
        <v/>
      </c>
      <c r="X1402" s="4">
        <f>J1402</f>
        <v/>
      </c>
    </row>
    <row r="1403">
      <c r="B1403" s="4" t="inlineStr">
        <is>
          <t>1603_0</t>
        </is>
      </c>
      <c r="C1403" s="4" t="inlineStr">
        <is>
          <t>18/09/2026</t>
        </is>
      </c>
      <c r="D1403" s="4" t="inlineStr">
        <is>
          <t>viernes</t>
        </is>
      </c>
      <c r="E1403" s="4" t="inlineStr">
        <is>
          <t>2296</t>
        </is>
      </c>
      <c r="F1403" s="4" t="inlineStr">
        <is>
          <t>CJA</t>
        </is>
      </c>
      <c r="G1403" s="4" t="inlineStr">
        <is>
          <t>LIM</t>
        </is>
      </c>
      <c r="H1403" s="4" t="inlineStr">
        <is>
          <t>17:20:00</t>
        </is>
      </c>
      <c r="I1403" s="4" t="inlineStr">
        <is>
          <t>18:25:00</t>
        </is>
      </c>
      <c r="J1403" s="4" t="inlineStr">
        <is>
          <t>320</t>
        </is>
      </c>
      <c r="K1403">
        <f>TEXT(TIMEVALUE(H1403)-TIMEVALUE(I1402)+(TIMEVALUE(H1403)&lt;TIMEVALUE(I1402)),"[h]:mm")</f>
        <v/>
      </c>
      <c r="L1403" s="4" t="inlineStr">
        <is>
          <t>01:05:00</t>
        </is>
      </c>
      <c r="O1403">
        <f>"LIM-"&amp;G1402&amp;"-LIM   LA "&amp;E1402&amp;" ("&amp;LEFT(H1402,5)&amp;"-"&amp;LEFT(I1402,5)&amp;" hrs)  /  LA "&amp;E1403&amp;" ("&amp;LEFT(H1403,5)&amp;"-"&amp;LEFT(I1403,5)&amp;" hrs)"</f>
        <v/>
      </c>
    </row>
    <row r="1404">
      <c r="J1404" s="7" t="inlineStr">
        <is>
          <t>PSV total:</t>
        </is>
      </c>
      <c r="K1404" s="8">
        <f>TEXT(TIMEVALUE(I1403)-TIMEVALUE(H1402)+(I1403&lt;H1402),"[h]:mm")</f>
        <v/>
      </c>
    </row>
    <row r="1406">
      <c r="B1406" s="3" t="inlineStr">
        <is>
          <t>Pairing ID</t>
        </is>
      </c>
      <c r="C1406" s="3" t="inlineStr">
        <is>
          <t>FECHA REAL</t>
        </is>
      </c>
      <c r="D1406" s="3" t="inlineStr">
        <is>
          <t>Day of Week</t>
        </is>
      </c>
      <c r="E1406" s="3" t="inlineStr">
        <is>
          <t>Flight No</t>
        </is>
      </c>
      <c r="F1406" s="3" t="inlineStr">
        <is>
          <t>Dep Stn</t>
        </is>
      </c>
      <c r="G1406" s="3" t="inlineStr">
        <is>
          <t>Arr Stn</t>
        </is>
      </c>
      <c r="H1406" s="3" t="inlineStr">
        <is>
          <t>STD</t>
        </is>
      </c>
      <c r="I1406" s="3" t="inlineStr">
        <is>
          <t>STA</t>
        </is>
      </c>
      <c r="J1406" s="3" t="inlineStr">
        <is>
          <t>subflota</t>
        </is>
      </c>
      <c r="K1406" s="3" t="inlineStr">
        <is>
          <t>Conexion</t>
        </is>
      </c>
      <c r="L1406" s="3" t="inlineStr">
        <is>
          <t>HBT</t>
        </is>
      </c>
    </row>
    <row r="1407">
      <c r="B1407" s="4" t="inlineStr">
        <is>
          <t>1606_0</t>
        </is>
      </c>
      <c r="C1407" s="4" t="inlineStr">
        <is>
          <t>18/09/2026</t>
        </is>
      </c>
      <c r="D1407" s="4" t="inlineStr">
        <is>
          <t>viernes</t>
        </is>
      </c>
      <c r="E1407" s="4" t="inlineStr">
        <is>
          <t>2312</t>
        </is>
      </c>
      <c r="F1407" s="4" t="inlineStr">
        <is>
          <t>LIM</t>
        </is>
      </c>
      <c r="G1407" s="4" t="inlineStr">
        <is>
          <t>CIX</t>
        </is>
      </c>
      <c r="H1407" s="4" t="inlineStr">
        <is>
          <t>15:35:00</t>
        </is>
      </c>
      <c r="I1407" s="4" t="inlineStr">
        <is>
          <t>17:05:00</t>
        </is>
      </c>
      <c r="J1407" s="4" t="inlineStr">
        <is>
          <t>320</t>
        </is>
      </c>
      <c r="L1407" s="4" t="inlineStr">
        <is>
          <t>01:30:00</t>
        </is>
      </c>
      <c r="M1407" s="5" t="n"/>
      <c r="O1407" s="5" t="n"/>
      <c r="Q1407" s="4">
        <f>B1407</f>
        <v/>
      </c>
      <c r="R1407" s="4">
        <f>C1407</f>
        <v/>
      </c>
      <c r="S1407" s="4">
        <f>D1407</f>
        <v/>
      </c>
      <c r="T1407" s="4">
        <f>E1407&amp;"/"&amp;E1408</f>
        <v/>
      </c>
      <c r="U1407" s="4">
        <f>F1407&amp;"-"&amp;G1407&amp;"-"&amp;F1407</f>
        <v/>
      </c>
      <c r="V1407" s="4">
        <f>IF($M$1407="","",$M$1407)</f>
        <v/>
      </c>
      <c r="W1407" s="4">
        <f>IF($O$1407="","",$O$1407)</f>
        <v/>
      </c>
      <c r="X1407" s="4">
        <f>J1407</f>
        <v/>
      </c>
    </row>
    <row r="1408">
      <c r="B1408" s="4" t="inlineStr">
        <is>
          <t>1606_0</t>
        </is>
      </c>
      <c r="C1408" s="4" t="inlineStr">
        <is>
          <t>18/09/2026</t>
        </is>
      </c>
      <c r="D1408" s="4" t="inlineStr">
        <is>
          <t>viernes</t>
        </is>
      </c>
      <c r="E1408" s="4" t="inlineStr">
        <is>
          <t>2313</t>
        </is>
      </c>
      <c r="F1408" s="4" t="inlineStr">
        <is>
          <t>CIX</t>
        </is>
      </c>
      <c r="G1408" s="4" t="inlineStr">
        <is>
          <t>LIM</t>
        </is>
      </c>
      <c r="H1408" s="4" t="inlineStr">
        <is>
          <t>17:50:00</t>
        </is>
      </c>
      <c r="I1408" s="4" t="inlineStr">
        <is>
          <t>19:10:00</t>
        </is>
      </c>
      <c r="J1408" s="4" t="inlineStr">
        <is>
          <t>320</t>
        </is>
      </c>
      <c r="K1408">
        <f>TEXT(TIMEVALUE(H1408)-TIMEVALUE(I1407)+(TIMEVALUE(H1408)&lt;TIMEVALUE(I1407)),"[h]:mm")</f>
        <v/>
      </c>
      <c r="L1408" s="4" t="inlineStr">
        <is>
          <t>01:20:00</t>
        </is>
      </c>
      <c r="O1408">
        <f>"LIM-"&amp;G1407&amp;"-LIM   LA "&amp;E1407&amp;" ("&amp;LEFT(H1407,5)&amp;"-"&amp;LEFT(I1407,5)&amp;" hrs)  /  LA "&amp;E1408&amp;" ("&amp;LEFT(H1408,5)&amp;"-"&amp;LEFT(I1408,5)&amp;" hrs)"</f>
        <v/>
      </c>
    </row>
    <row r="1409">
      <c r="J1409" s="7" t="inlineStr">
        <is>
          <t>PSV total:</t>
        </is>
      </c>
      <c r="K1409" s="8">
        <f>TEXT(TIMEVALUE(I1408)-TIMEVALUE(H1407)+(I1408&lt;H1407),"[h]:mm")</f>
        <v/>
      </c>
    </row>
    <row r="1411">
      <c r="B1411" s="3" t="inlineStr">
        <is>
          <t>Pairing ID</t>
        </is>
      </c>
      <c r="C1411" s="3" t="inlineStr">
        <is>
          <t>FECHA REAL</t>
        </is>
      </c>
      <c r="D1411" s="3" t="inlineStr">
        <is>
          <t>Day of Week</t>
        </is>
      </c>
      <c r="E1411" s="3" t="inlineStr">
        <is>
          <t>Flight No</t>
        </is>
      </c>
      <c r="F1411" s="3" t="inlineStr">
        <is>
          <t>Dep Stn</t>
        </is>
      </c>
      <c r="G1411" s="3" t="inlineStr">
        <is>
          <t>Arr Stn</t>
        </is>
      </c>
      <c r="H1411" s="3" t="inlineStr">
        <is>
          <t>STD</t>
        </is>
      </c>
      <c r="I1411" s="3" t="inlineStr">
        <is>
          <t>STA</t>
        </is>
      </c>
      <c r="J1411" s="3" t="inlineStr">
        <is>
          <t>subflota</t>
        </is>
      </c>
      <c r="K1411" s="3" t="inlineStr">
        <is>
          <t>Conexion</t>
        </is>
      </c>
      <c r="L1411" s="3" t="inlineStr">
        <is>
          <t>HBT</t>
        </is>
      </c>
    </row>
    <row r="1412">
      <c r="B1412" s="4" t="inlineStr">
        <is>
          <t>1607_0</t>
        </is>
      </c>
      <c r="C1412" s="4" t="inlineStr">
        <is>
          <t>18/09/2026</t>
        </is>
      </c>
      <c r="D1412" s="4" t="inlineStr">
        <is>
          <t>viernes</t>
        </is>
      </c>
      <c r="E1412" s="4" t="inlineStr">
        <is>
          <t>2312</t>
        </is>
      </c>
      <c r="F1412" s="4" t="inlineStr">
        <is>
          <t>LIM</t>
        </is>
      </c>
      <c r="G1412" s="4" t="inlineStr">
        <is>
          <t>CIX</t>
        </is>
      </c>
      <c r="H1412" s="4" t="inlineStr">
        <is>
          <t>15:35:00</t>
        </is>
      </c>
      <c r="I1412" s="4" t="inlineStr">
        <is>
          <t>17:05:00</t>
        </is>
      </c>
      <c r="J1412" s="4" t="inlineStr">
        <is>
          <t>320</t>
        </is>
      </c>
      <c r="L1412" s="4" t="inlineStr">
        <is>
          <t>01:30:00</t>
        </is>
      </c>
      <c r="M1412" s="5" t="n"/>
      <c r="O1412" s="5" t="n"/>
      <c r="Q1412" s="4">
        <f>B1412</f>
        <v/>
      </c>
      <c r="R1412" s="4">
        <f>C1412</f>
        <v/>
      </c>
      <c r="S1412" s="4">
        <f>D1412</f>
        <v/>
      </c>
      <c r="T1412" s="4">
        <f>E1412&amp;"/"&amp;E1413</f>
        <v/>
      </c>
      <c r="U1412" s="4">
        <f>F1412&amp;"-"&amp;G1412&amp;"-"&amp;F1412</f>
        <v/>
      </c>
      <c r="V1412" s="4">
        <f>IF($M$1412="","",$M$1412)</f>
        <v/>
      </c>
      <c r="W1412" s="4">
        <f>IF($O$1412="","",$O$1412)</f>
        <v/>
      </c>
      <c r="X1412" s="4">
        <f>J1412</f>
        <v/>
      </c>
    </row>
    <row r="1413">
      <c r="B1413" s="4" t="inlineStr">
        <is>
          <t>1607_0</t>
        </is>
      </c>
      <c r="C1413" s="4" t="inlineStr">
        <is>
          <t>18/09/2026</t>
        </is>
      </c>
      <c r="D1413" s="4" t="inlineStr">
        <is>
          <t>viernes</t>
        </is>
      </c>
      <c r="E1413" s="4" t="inlineStr">
        <is>
          <t>2313</t>
        </is>
      </c>
      <c r="F1413" s="4" t="inlineStr">
        <is>
          <t>CIX</t>
        </is>
      </c>
      <c r="G1413" s="4" t="inlineStr">
        <is>
          <t>LIM</t>
        </is>
      </c>
      <c r="H1413" s="4" t="inlineStr">
        <is>
          <t>17:50:00</t>
        </is>
      </c>
      <c r="I1413" s="4" t="inlineStr">
        <is>
          <t>19:10:00</t>
        </is>
      </c>
      <c r="J1413" s="4" t="inlineStr">
        <is>
          <t>320</t>
        </is>
      </c>
      <c r="K1413">
        <f>TEXT(TIMEVALUE(H1413)-TIMEVALUE(I1412)+(TIMEVALUE(H1413)&lt;TIMEVALUE(I1412)),"[h]:mm")</f>
        <v/>
      </c>
      <c r="L1413" s="4" t="inlineStr">
        <is>
          <t>01:20:00</t>
        </is>
      </c>
      <c r="O1413">
        <f>"LIM-"&amp;G1412&amp;"-LIM   LA "&amp;E1412&amp;" ("&amp;LEFT(H1412,5)&amp;"-"&amp;LEFT(I1412,5)&amp;" hrs)  /  LA "&amp;E1413&amp;" ("&amp;LEFT(H1413,5)&amp;"-"&amp;LEFT(I1413,5)&amp;" hrs)"</f>
        <v/>
      </c>
    </row>
    <row r="1414">
      <c r="J1414" s="7" t="inlineStr">
        <is>
          <t>PSV total:</t>
        </is>
      </c>
      <c r="K1414" s="8">
        <f>TEXT(TIMEVALUE(I1413)-TIMEVALUE(H1412)+(I1413&lt;H1412),"[h]:mm")</f>
        <v/>
      </c>
    </row>
    <row r="1416">
      <c r="B1416" s="3" t="inlineStr">
        <is>
          <t>Pairing ID</t>
        </is>
      </c>
      <c r="C1416" s="3" t="inlineStr">
        <is>
          <t>FECHA REAL</t>
        </is>
      </c>
      <c r="D1416" s="3" t="inlineStr">
        <is>
          <t>Day of Week</t>
        </is>
      </c>
      <c r="E1416" s="3" t="inlineStr">
        <is>
          <t>Flight No</t>
        </is>
      </c>
      <c r="F1416" s="3" t="inlineStr">
        <is>
          <t>Dep Stn</t>
        </is>
      </c>
      <c r="G1416" s="3" t="inlineStr">
        <is>
          <t>Arr Stn</t>
        </is>
      </c>
      <c r="H1416" s="3" t="inlineStr">
        <is>
          <t>STD</t>
        </is>
      </c>
      <c r="I1416" s="3" t="inlineStr">
        <is>
          <t>STA</t>
        </is>
      </c>
      <c r="J1416" s="3" t="inlineStr">
        <is>
          <t>subflota</t>
        </is>
      </c>
      <c r="K1416" s="3" t="inlineStr">
        <is>
          <t>Conexion</t>
        </is>
      </c>
      <c r="L1416" s="3" t="inlineStr">
        <is>
          <t>HBT</t>
        </is>
      </c>
    </row>
    <row r="1417">
      <c r="B1417" s="4" t="inlineStr">
        <is>
          <t>1613_0</t>
        </is>
      </c>
      <c r="C1417" s="4" t="inlineStr">
        <is>
          <t>18/09/2026</t>
        </is>
      </c>
      <c r="D1417" s="4" t="inlineStr">
        <is>
          <t>viernes</t>
        </is>
      </c>
      <c r="E1417" s="4" t="inlineStr">
        <is>
          <t>2053</t>
        </is>
      </c>
      <c r="F1417" s="4" t="inlineStr">
        <is>
          <t>LIM</t>
        </is>
      </c>
      <c r="G1417" s="4" t="inlineStr">
        <is>
          <t>TBP</t>
        </is>
      </c>
      <c r="H1417" s="4" t="inlineStr">
        <is>
          <t>16:20:00</t>
        </is>
      </c>
      <c r="I1417" s="4" t="inlineStr">
        <is>
          <t>18:10:00</t>
        </is>
      </c>
      <c r="J1417" s="4" t="inlineStr">
        <is>
          <t>320</t>
        </is>
      </c>
      <c r="L1417" s="4" t="inlineStr">
        <is>
          <t>01:50:00</t>
        </is>
      </c>
      <c r="M1417" s="5" t="n"/>
      <c r="O1417" s="5" t="n"/>
      <c r="Q1417" s="4">
        <f>B1417</f>
        <v/>
      </c>
      <c r="R1417" s="4">
        <f>C1417</f>
        <v/>
      </c>
      <c r="S1417" s="4">
        <f>D1417</f>
        <v/>
      </c>
      <c r="T1417" s="4">
        <f>E1417&amp;"/"&amp;E1418</f>
        <v/>
      </c>
      <c r="U1417" s="4">
        <f>F1417&amp;"-"&amp;G1417&amp;"-"&amp;F1417</f>
        <v/>
      </c>
      <c r="V1417" s="4">
        <f>IF($M$1417="","",$M$1417)</f>
        <v/>
      </c>
      <c r="W1417" s="4">
        <f>IF($O$1417="","",$O$1417)</f>
        <v/>
      </c>
      <c r="X1417" s="4">
        <f>J1417</f>
        <v/>
      </c>
    </row>
    <row r="1418">
      <c r="B1418" s="4" t="inlineStr">
        <is>
          <t>1613_0</t>
        </is>
      </c>
      <c r="C1418" s="4" t="inlineStr">
        <is>
          <t>18/09/2026</t>
        </is>
      </c>
      <c r="D1418" s="4" t="inlineStr">
        <is>
          <t>viernes</t>
        </is>
      </c>
      <c r="E1418" s="4" t="inlineStr">
        <is>
          <t>2054</t>
        </is>
      </c>
      <c r="F1418" s="4" t="inlineStr">
        <is>
          <t>TBP</t>
        </is>
      </c>
      <c r="G1418" s="4" t="inlineStr">
        <is>
          <t>LIM</t>
        </is>
      </c>
      <c r="H1418" s="4" t="inlineStr">
        <is>
          <t>18:50:00</t>
        </is>
      </c>
      <c r="I1418" s="4" t="inlineStr">
        <is>
          <t>20:30:00</t>
        </is>
      </c>
      <c r="J1418" s="4" t="inlineStr">
        <is>
          <t>320</t>
        </is>
      </c>
      <c r="K1418">
        <f>TEXT(TIMEVALUE(H1418)-TIMEVALUE(I1417)+(TIMEVALUE(H1418)&lt;TIMEVALUE(I1417)),"[h]:mm")</f>
        <v/>
      </c>
      <c r="L1418" s="4" t="inlineStr">
        <is>
          <t>01:40:00</t>
        </is>
      </c>
      <c r="O1418">
        <f>"LIM-"&amp;G1417&amp;"-LIM   LA "&amp;E1417&amp;" ("&amp;LEFT(H1417,5)&amp;"-"&amp;LEFT(I1417,5)&amp;" hrs)  /  LA "&amp;E1418&amp;" ("&amp;LEFT(H1418,5)&amp;"-"&amp;LEFT(I1418,5)&amp;" hrs)"</f>
        <v/>
      </c>
    </row>
    <row r="1419">
      <c r="J1419" s="7" t="inlineStr">
        <is>
          <t>PSV total:</t>
        </is>
      </c>
      <c r="K1419" s="8">
        <f>TEXT(TIMEVALUE(I1418)-TIMEVALUE(H1417)+(I1418&lt;H1417),"[h]:mm")</f>
        <v/>
      </c>
    </row>
    <row r="1421">
      <c r="B1421" s="3" t="inlineStr">
        <is>
          <t>Pairing ID</t>
        </is>
      </c>
      <c r="C1421" s="3" t="inlineStr">
        <is>
          <t>FECHA REAL</t>
        </is>
      </c>
      <c r="D1421" s="3" t="inlineStr">
        <is>
          <t>Day of Week</t>
        </is>
      </c>
      <c r="E1421" s="3" t="inlineStr">
        <is>
          <t>Flight No</t>
        </is>
      </c>
      <c r="F1421" s="3" t="inlineStr">
        <is>
          <t>Dep Stn</t>
        </is>
      </c>
      <c r="G1421" s="3" t="inlineStr">
        <is>
          <t>Arr Stn</t>
        </is>
      </c>
      <c r="H1421" s="3" t="inlineStr">
        <is>
          <t>STD</t>
        </is>
      </c>
      <c r="I1421" s="3" t="inlineStr">
        <is>
          <t>STA</t>
        </is>
      </c>
      <c r="J1421" s="3" t="inlineStr">
        <is>
          <t>subflota</t>
        </is>
      </c>
      <c r="K1421" s="3" t="inlineStr">
        <is>
          <t>Conexion</t>
        </is>
      </c>
      <c r="L1421" s="3" t="inlineStr">
        <is>
          <t>HBT</t>
        </is>
      </c>
    </row>
    <row r="1422">
      <c r="B1422" s="4" t="inlineStr">
        <is>
          <t>1612_0</t>
        </is>
      </c>
      <c r="C1422" s="4" t="inlineStr">
        <is>
          <t>18/09/2026</t>
        </is>
      </c>
      <c r="D1422" s="4" t="inlineStr">
        <is>
          <t>viernes</t>
        </is>
      </c>
      <c r="E1422" s="4" t="inlineStr">
        <is>
          <t>2053</t>
        </is>
      </c>
      <c r="F1422" s="4" t="inlineStr">
        <is>
          <t>LIM</t>
        </is>
      </c>
      <c r="G1422" s="4" t="inlineStr">
        <is>
          <t>TBP</t>
        </is>
      </c>
      <c r="H1422" s="4" t="inlineStr">
        <is>
          <t>16:20:00</t>
        </is>
      </c>
      <c r="I1422" s="4" t="inlineStr">
        <is>
          <t>18:10:00</t>
        </is>
      </c>
      <c r="J1422" s="4" t="inlineStr">
        <is>
          <t>320</t>
        </is>
      </c>
      <c r="L1422" s="4" t="inlineStr">
        <is>
          <t>01:50:00</t>
        </is>
      </c>
      <c r="M1422" s="5" t="n"/>
      <c r="O1422" s="5" t="n"/>
      <c r="Q1422" s="4">
        <f>B1422</f>
        <v/>
      </c>
      <c r="R1422" s="4">
        <f>C1422</f>
        <v/>
      </c>
      <c r="S1422" s="4">
        <f>D1422</f>
        <v/>
      </c>
      <c r="T1422" s="4">
        <f>E1422&amp;"/"&amp;E1423</f>
        <v/>
      </c>
      <c r="U1422" s="4">
        <f>F1422&amp;"-"&amp;G1422&amp;"-"&amp;F1422</f>
        <v/>
      </c>
      <c r="V1422" s="4">
        <f>IF($M$1422="","",$M$1422)</f>
        <v/>
      </c>
      <c r="W1422" s="4">
        <f>IF($O$1422="","",$O$1422)</f>
        <v/>
      </c>
      <c r="X1422" s="4">
        <f>J1422</f>
        <v/>
      </c>
    </row>
    <row r="1423">
      <c r="B1423" s="4" t="inlineStr">
        <is>
          <t>1612_0</t>
        </is>
      </c>
      <c r="C1423" s="4" t="inlineStr">
        <is>
          <t>18/09/2026</t>
        </is>
      </c>
      <c r="D1423" s="4" t="inlineStr">
        <is>
          <t>viernes</t>
        </is>
      </c>
      <c r="E1423" s="4" t="inlineStr">
        <is>
          <t>2054</t>
        </is>
      </c>
      <c r="F1423" s="4" t="inlineStr">
        <is>
          <t>TBP</t>
        </is>
      </c>
      <c r="G1423" s="4" t="inlineStr">
        <is>
          <t>LIM</t>
        </is>
      </c>
      <c r="H1423" s="4" t="inlineStr">
        <is>
          <t>18:50:00</t>
        </is>
      </c>
      <c r="I1423" s="4" t="inlineStr">
        <is>
          <t>20:30:00</t>
        </is>
      </c>
      <c r="J1423" s="4" t="inlineStr">
        <is>
          <t>320</t>
        </is>
      </c>
      <c r="K1423">
        <f>TEXT(TIMEVALUE(H1423)-TIMEVALUE(I1422)+(TIMEVALUE(H1423)&lt;TIMEVALUE(I1422)),"[h]:mm")</f>
        <v/>
      </c>
      <c r="L1423" s="4" t="inlineStr">
        <is>
          <t>01:40:00</t>
        </is>
      </c>
      <c r="O1423">
        <f>"LIM-"&amp;G1422&amp;"-LIM   LA "&amp;E1422&amp;" ("&amp;LEFT(H1422,5)&amp;"-"&amp;LEFT(I1422,5)&amp;" hrs)  /  LA "&amp;E1423&amp;" ("&amp;LEFT(H1423,5)&amp;"-"&amp;LEFT(I1423,5)&amp;" hrs)"</f>
        <v/>
      </c>
    </row>
    <row r="1424">
      <c r="J1424" s="7" t="inlineStr">
        <is>
          <t>PSV total:</t>
        </is>
      </c>
      <c r="K1424" s="8">
        <f>TEXT(TIMEVALUE(I1423)-TIMEVALUE(H1422)+(I1423&lt;H1422),"[h]:mm")</f>
        <v/>
      </c>
    </row>
    <row r="1426">
      <c r="B1426" s="3" t="inlineStr">
        <is>
          <t>Pairing ID</t>
        </is>
      </c>
      <c r="C1426" s="3" t="inlineStr">
        <is>
          <t>FECHA REAL</t>
        </is>
      </c>
      <c r="D1426" s="3" t="inlineStr">
        <is>
          <t>Day of Week</t>
        </is>
      </c>
      <c r="E1426" s="3" t="inlineStr">
        <is>
          <t>Flight No</t>
        </is>
      </c>
      <c r="F1426" s="3" t="inlineStr">
        <is>
          <t>Dep Stn</t>
        </is>
      </c>
      <c r="G1426" s="3" t="inlineStr">
        <is>
          <t>Arr Stn</t>
        </is>
      </c>
      <c r="H1426" s="3" t="inlineStr">
        <is>
          <t>STD</t>
        </is>
      </c>
      <c r="I1426" s="3" t="inlineStr">
        <is>
          <t>STA</t>
        </is>
      </c>
      <c r="J1426" s="3" t="inlineStr">
        <is>
          <t>subflota</t>
        </is>
      </c>
      <c r="K1426" s="3" t="inlineStr">
        <is>
          <t>Conexion</t>
        </is>
      </c>
      <c r="L1426" s="3" t="inlineStr">
        <is>
          <t>HBT</t>
        </is>
      </c>
    </row>
    <row r="1427">
      <c r="B1427" s="4" t="inlineStr">
        <is>
          <t>1614_0</t>
        </is>
      </c>
      <c r="C1427" s="4" t="inlineStr">
        <is>
          <t>18/09/2026</t>
        </is>
      </c>
      <c r="D1427" s="4" t="inlineStr">
        <is>
          <t>viernes</t>
        </is>
      </c>
      <c r="E1427" s="4" t="inlineStr">
        <is>
          <t>2276</t>
        </is>
      </c>
      <c r="F1427" s="4" t="inlineStr">
        <is>
          <t>LIM</t>
        </is>
      </c>
      <c r="G1427" s="4" t="inlineStr">
        <is>
          <t>CUZ</t>
        </is>
      </c>
      <c r="H1427" s="4" t="inlineStr">
        <is>
          <t>16:35:00</t>
        </is>
      </c>
      <c r="I1427" s="4" t="inlineStr">
        <is>
          <t>17:55:00</t>
        </is>
      </c>
      <c r="J1427" s="4" t="inlineStr">
        <is>
          <t>320</t>
        </is>
      </c>
      <c r="L1427" s="4" t="inlineStr">
        <is>
          <t>01:20:00</t>
        </is>
      </c>
      <c r="M1427" s="5" t="n"/>
      <c r="O1427" s="5" t="n"/>
      <c r="Q1427" s="4">
        <f>B1427</f>
        <v/>
      </c>
      <c r="R1427" s="4">
        <f>C1427</f>
        <v/>
      </c>
      <c r="S1427" s="4">
        <f>D1427</f>
        <v/>
      </c>
      <c r="T1427" s="4">
        <f>E1427&amp;"/"&amp;E1428</f>
        <v/>
      </c>
      <c r="U1427" s="4">
        <f>F1427&amp;"-"&amp;G1427&amp;"-"&amp;F1427</f>
        <v/>
      </c>
      <c r="V1427" s="4">
        <f>IF($M$1427="","",$M$1427)</f>
        <v/>
      </c>
      <c r="W1427" s="4">
        <f>IF($O$1427="","",$O$1427)</f>
        <v/>
      </c>
      <c r="X1427" s="4">
        <f>J1427</f>
        <v/>
      </c>
    </row>
    <row r="1428">
      <c r="B1428" s="4" t="inlineStr">
        <is>
          <t>1614_0</t>
        </is>
      </c>
      <c r="C1428" s="4" t="inlineStr">
        <is>
          <t>18/09/2026</t>
        </is>
      </c>
      <c r="D1428" s="4" t="inlineStr">
        <is>
          <t>viernes</t>
        </is>
      </c>
      <c r="E1428" s="4" t="inlineStr">
        <is>
          <t>2277</t>
        </is>
      </c>
      <c r="F1428" s="4" t="inlineStr">
        <is>
          <t>CUZ</t>
        </is>
      </c>
      <c r="G1428" s="4" t="inlineStr">
        <is>
          <t>LIM</t>
        </is>
      </c>
      <c r="H1428" s="4" t="inlineStr">
        <is>
          <t>18:50:00</t>
        </is>
      </c>
      <c r="I1428" s="4" t="inlineStr">
        <is>
          <t>20:25:00</t>
        </is>
      </c>
      <c r="J1428" s="4" t="inlineStr">
        <is>
          <t>320</t>
        </is>
      </c>
      <c r="K1428">
        <f>TEXT(TIMEVALUE(H1428)-TIMEVALUE(I1427)+(TIMEVALUE(H1428)&lt;TIMEVALUE(I1427)),"[h]:mm")</f>
        <v/>
      </c>
      <c r="L1428" s="4" t="inlineStr">
        <is>
          <t>01:35:00</t>
        </is>
      </c>
      <c r="O1428">
        <f>"LIM-"&amp;G1427&amp;"-LIM   LA "&amp;E1427&amp;" ("&amp;LEFT(H1427,5)&amp;"-"&amp;LEFT(I1427,5)&amp;" hrs)  /  LA "&amp;E1428&amp;" ("&amp;LEFT(H1428,5)&amp;"-"&amp;LEFT(I1428,5)&amp;" hrs)"</f>
        <v/>
      </c>
    </row>
    <row r="1429">
      <c r="J1429" s="7" t="inlineStr">
        <is>
          <t>PSV total:</t>
        </is>
      </c>
      <c r="K1429" s="8">
        <f>TEXT(TIMEVALUE(I1428)-TIMEVALUE(H1427)+(I1428&lt;H1427),"[h]:mm")</f>
        <v/>
      </c>
    </row>
    <row r="1431">
      <c r="B1431" s="3" t="inlineStr">
        <is>
          <t>Pairing ID</t>
        </is>
      </c>
      <c r="C1431" s="3" t="inlineStr">
        <is>
          <t>FECHA REAL</t>
        </is>
      </c>
      <c r="D1431" s="3" t="inlineStr">
        <is>
          <t>Day of Week</t>
        </is>
      </c>
      <c r="E1431" s="3" t="inlineStr">
        <is>
          <t>Flight No</t>
        </is>
      </c>
      <c r="F1431" s="3" t="inlineStr">
        <is>
          <t>Dep Stn</t>
        </is>
      </c>
      <c r="G1431" s="3" t="inlineStr">
        <is>
          <t>Arr Stn</t>
        </is>
      </c>
      <c r="H1431" s="3" t="inlineStr">
        <is>
          <t>STD</t>
        </is>
      </c>
      <c r="I1431" s="3" t="inlineStr">
        <is>
          <t>STA</t>
        </is>
      </c>
      <c r="J1431" s="3" t="inlineStr">
        <is>
          <t>subflota</t>
        </is>
      </c>
      <c r="K1431" s="3" t="inlineStr">
        <is>
          <t>Conexion</t>
        </is>
      </c>
      <c r="L1431" s="3" t="inlineStr">
        <is>
          <t>HBT</t>
        </is>
      </c>
    </row>
    <row r="1432">
      <c r="B1432" s="4" t="inlineStr">
        <is>
          <t>1620_0</t>
        </is>
      </c>
      <c r="C1432" s="4" t="inlineStr">
        <is>
          <t>18/09/2026</t>
        </is>
      </c>
      <c r="D1432" s="4" t="inlineStr">
        <is>
          <t>viernes</t>
        </is>
      </c>
      <c r="E1432" s="4" t="inlineStr">
        <is>
          <t>2091</t>
        </is>
      </c>
      <c r="F1432" s="4" t="inlineStr">
        <is>
          <t>LIM</t>
        </is>
      </c>
      <c r="G1432" s="4" t="inlineStr">
        <is>
          <t>TPP</t>
        </is>
      </c>
      <c r="H1432" s="4" t="inlineStr">
        <is>
          <t>18:30:00</t>
        </is>
      </c>
      <c r="I1432" s="4" t="inlineStr">
        <is>
          <t>19:55:00</t>
        </is>
      </c>
      <c r="J1432" s="4" t="inlineStr">
        <is>
          <t>320</t>
        </is>
      </c>
      <c r="L1432" s="4" t="inlineStr">
        <is>
          <t>01:25:00</t>
        </is>
      </c>
      <c r="M1432" s="5" t="n"/>
      <c r="O1432" s="5" t="n"/>
      <c r="Q1432" s="4">
        <f>B1432</f>
        <v/>
      </c>
      <c r="R1432" s="4">
        <f>C1432</f>
        <v/>
      </c>
      <c r="S1432" s="4">
        <f>D1432</f>
        <v/>
      </c>
      <c r="T1432" s="4">
        <f>E1432&amp;"/"&amp;E1433</f>
        <v/>
      </c>
      <c r="U1432" s="4">
        <f>F1432&amp;"-"&amp;G1432&amp;"-"&amp;F1432</f>
        <v/>
      </c>
      <c r="V1432" s="4">
        <f>IF($M$1432="","",$M$1432)</f>
        <v/>
      </c>
      <c r="W1432" s="4">
        <f>IF($O$1432="","",$O$1432)</f>
        <v/>
      </c>
      <c r="X1432" s="4">
        <f>J1432</f>
        <v/>
      </c>
    </row>
    <row r="1433">
      <c r="B1433" s="4" t="inlineStr">
        <is>
          <t>1620_0</t>
        </is>
      </c>
      <c r="C1433" s="4" t="inlineStr">
        <is>
          <t>18/09/2026</t>
        </is>
      </c>
      <c r="D1433" s="4" t="inlineStr">
        <is>
          <t>viernes</t>
        </is>
      </c>
      <c r="E1433" s="4" t="inlineStr">
        <is>
          <t>2092</t>
        </is>
      </c>
      <c r="F1433" s="4" t="inlineStr">
        <is>
          <t>TPP</t>
        </is>
      </c>
      <c r="G1433" s="4" t="inlineStr">
        <is>
          <t>LIM</t>
        </is>
      </c>
      <c r="H1433" s="4" t="inlineStr">
        <is>
          <t>20:30:00</t>
        </is>
      </c>
      <c r="I1433" s="4" t="inlineStr">
        <is>
          <t>21:55:00</t>
        </is>
      </c>
      <c r="J1433" s="4" t="inlineStr">
        <is>
          <t>320</t>
        </is>
      </c>
      <c r="K1433">
        <f>TEXT(TIMEVALUE(H1433)-TIMEVALUE(I1432)+(TIMEVALUE(H1433)&lt;TIMEVALUE(I1432)),"[h]:mm")</f>
        <v/>
      </c>
      <c r="L1433" s="4" t="inlineStr">
        <is>
          <t>01:25:00</t>
        </is>
      </c>
      <c r="O1433">
        <f>"LIM-"&amp;G1432&amp;"-LIM   LA "&amp;E1432&amp;" ("&amp;LEFT(H1432,5)&amp;"-"&amp;LEFT(I1432,5)&amp;" hrs)  /  LA "&amp;E1433&amp;" ("&amp;LEFT(H1433,5)&amp;"-"&amp;LEFT(I1433,5)&amp;" hrs)"</f>
        <v/>
      </c>
    </row>
    <row r="1434">
      <c r="J1434" s="7" t="inlineStr">
        <is>
          <t>PSV total:</t>
        </is>
      </c>
      <c r="K1434" s="8">
        <f>TEXT(TIMEVALUE(I1433)-TIMEVALUE(H1432)+(I1433&lt;H1432),"[h]:mm")</f>
        <v/>
      </c>
    </row>
    <row r="1436">
      <c r="B1436" s="3" t="inlineStr">
        <is>
          <t>Pairing ID</t>
        </is>
      </c>
      <c r="C1436" s="3" t="inlineStr">
        <is>
          <t>FECHA REAL</t>
        </is>
      </c>
      <c r="D1436" s="3" t="inlineStr">
        <is>
          <t>Day of Week</t>
        </is>
      </c>
      <c r="E1436" s="3" t="inlineStr">
        <is>
          <t>Flight No</t>
        </is>
      </c>
      <c r="F1436" s="3" t="inlineStr">
        <is>
          <t>Dep Stn</t>
        </is>
      </c>
      <c r="G1436" s="3" t="inlineStr">
        <is>
          <t>Arr Stn</t>
        </is>
      </c>
      <c r="H1436" s="3" t="inlineStr">
        <is>
          <t>STD</t>
        </is>
      </c>
      <c r="I1436" s="3" t="inlineStr">
        <is>
          <t>STA</t>
        </is>
      </c>
      <c r="J1436" s="3" t="inlineStr">
        <is>
          <t>subflota</t>
        </is>
      </c>
      <c r="K1436" s="3" t="inlineStr">
        <is>
          <t>Conexion</t>
        </is>
      </c>
      <c r="L1436" s="3" t="inlineStr">
        <is>
          <t>HBT</t>
        </is>
      </c>
    </row>
    <row r="1437">
      <c r="B1437" s="4" t="inlineStr">
        <is>
          <t>1657_0</t>
        </is>
      </c>
      <c r="C1437" s="4" t="inlineStr">
        <is>
          <t>19/09/2026</t>
        </is>
      </c>
      <c r="D1437" s="4" t="inlineStr">
        <is>
          <t>sábado</t>
        </is>
      </c>
      <c r="E1437" s="4" t="inlineStr">
        <is>
          <t>2013</t>
        </is>
      </c>
      <c r="F1437" s="4" t="inlineStr">
        <is>
          <t>LIM</t>
        </is>
      </c>
      <c r="G1437" s="4" t="inlineStr">
        <is>
          <t>CUZ</t>
        </is>
      </c>
      <c r="H1437" s="4" t="inlineStr">
        <is>
          <t>08:35:00</t>
        </is>
      </c>
      <c r="I1437" s="4" t="inlineStr">
        <is>
          <t>09:55:00</t>
        </is>
      </c>
      <c r="J1437" s="4" t="inlineStr">
        <is>
          <t>320</t>
        </is>
      </c>
      <c r="L1437" s="4" t="inlineStr">
        <is>
          <t>01:20:00</t>
        </is>
      </c>
      <c r="M1437" s="5" t="n"/>
      <c r="O1437" s="5" t="n"/>
      <c r="Q1437" s="4">
        <f>B1437</f>
        <v/>
      </c>
      <c r="R1437" s="4">
        <f>C1437</f>
        <v/>
      </c>
      <c r="S1437" s="4">
        <f>D1437</f>
        <v/>
      </c>
      <c r="T1437" s="4">
        <f>E1437&amp;"/"&amp;E1438</f>
        <v/>
      </c>
      <c r="U1437" s="4">
        <f>F1437&amp;"-"&amp;G1437&amp;"-"&amp;F1437</f>
        <v/>
      </c>
      <c r="V1437" s="4">
        <f>IF($M$1437="","",$M$1437)</f>
        <v/>
      </c>
      <c r="W1437" s="4">
        <f>IF($O$1437="","",$O$1437)</f>
        <v/>
      </c>
      <c r="X1437" s="4">
        <f>J1437</f>
        <v/>
      </c>
    </row>
    <row r="1438">
      <c r="B1438" s="4" t="inlineStr">
        <is>
          <t>1657_0</t>
        </is>
      </c>
      <c r="C1438" s="4" t="inlineStr">
        <is>
          <t>19/09/2026</t>
        </is>
      </c>
      <c r="D1438" s="4" t="inlineStr">
        <is>
          <t>sábado</t>
        </is>
      </c>
      <c r="E1438" s="4" t="inlineStr">
        <is>
          <t>2014</t>
        </is>
      </c>
      <c r="F1438" s="4" t="inlineStr">
        <is>
          <t>CUZ</t>
        </is>
      </c>
      <c r="G1438" s="4" t="inlineStr">
        <is>
          <t>LIM</t>
        </is>
      </c>
      <c r="H1438" s="4" t="inlineStr">
        <is>
          <t>10:40:00</t>
        </is>
      </c>
      <c r="I1438" s="4" t="inlineStr">
        <is>
          <t>12:15:00</t>
        </is>
      </c>
      <c r="J1438" s="4" t="inlineStr">
        <is>
          <t>320</t>
        </is>
      </c>
      <c r="K1438">
        <f>TEXT(TIMEVALUE(H1438)-TIMEVALUE(I1437)+(TIMEVALUE(H1438)&lt;TIMEVALUE(I1437)),"[h]:mm")</f>
        <v/>
      </c>
      <c r="L1438" s="4" t="inlineStr">
        <is>
          <t>01:35:00</t>
        </is>
      </c>
      <c r="O1438">
        <f>"LIM-"&amp;G1437&amp;"-LIM   LA "&amp;E1437&amp;" ("&amp;LEFT(H1437,5)&amp;"-"&amp;LEFT(I1437,5)&amp;" hrs)  /  LA "&amp;E1438&amp;" ("&amp;LEFT(H1438,5)&amp;"-"&amp;LEFT(I1438,5)&amp;" hrs)"</f>
        <v/>
      </c>
    </row>
    <row r="1439">
      <c r="J1439" s="7" t="inlineStr">
        <is>
          <t>PSV total:</t>
        </is>
      </c>
      <c r="K1439" s="8">
        <f>TEXT(TIMEVALUE(I1438)-TIMEVALUE(H1437)+(I1438&lt;H1437),"[h]:mm")</f>
        <v/>
      </c>
    </row>
    <row r="1441">
      <c r="B1441" s="3" t="inlineStr">
        <is>
          <t>Pairing ID</t>
        </is>
      </c>
      <c r="C1441" s="3" t="inlineStr">
        <is>
          <t>FECHA REAL</t>
        </is>
      </c>
      <c r="D1441" s="3" t="inlineStr">
        <is>
          <t>Day of Week</t>
        </is>
      </c>
      <c r="E1441" s="3" t="inlineStr">
        <is>
          <t>Flight No</t>
        </is>
      </c>
      <c r="F1441" s="3" t="inlineStr">
        <is>
          <t>Dep Stn</t>
        </is>
      </c>
      <c r="G1441" s="3" t="inlineStr">
        <is>
          <t>Arr Stn</t>
        </is>
      </c>
      <c r="H1441" s="3" t="inlineStr">
        <is>
          <t>STD</t>
        </is>
      </c>
      <c r="I1441" s="3" t="inlineStr">
        <is>
          <t>STA</t>
        </is>
      </c>
      <c r="J1441" s="3" t="inlineStr">
        <is>
          <t>subflota</t>
        </is>
      </c>
      <c r="K1441" s="3" t="inlineStr">
        <is>
          <t>Conexion</t>
        </is>
      </c>
      <c r="L1441" s="3" t="inlineStr">
        <is>
          <t>HBT</t>
        </is>
      </c>
    </row>
    <row r="1442">
      <c r="B1442" s="4" t="inlineStr">
        <is>
          <t>1666_0</t>
        </is>
      </c>
      <c r="C1442" s="4" t="inlineStr">
        <is>
          <t>19/09/2026</t>
        </is>
      </c>
      <c r="D1442" s="4" t="inlineStr">
        <is>
          <t>sábado</t>
        </is>
      </c>
      <c r="E1442" s="4" t="inlineStr">
        <is>
          <t>2299</t>
        </is>
      </c>
      <c r="F1442" s="4" t="inlineStr">
        <is>
          <t>LIM</t>
        </is>
      </c>
      <c r="G1442" s="4" t="inlineStr">
        <is>
          <t>CJA</t>
        </is>
      </c>
      <c r="H1442" s="4" t="inlineStr">
        <is>
          <t>11:35:00</t>
        </is>
      </c>
      <c r="I1442" s="4" t="inlineStr">
        <is>
          <t>12:55:00</t>
        </is>
      </c>
      <c r="J1442" s="4" t="inlineStr">
        <is>
          <t>320</t>
        </is>
      </c>
      <c r="L1442" s="4" t="inlineStr">
        <is>
          <t>01:20:00</t>
        </is>
      </c>
      <c r="M1442" s="5" t="n"/>
      <c r="O1442" s="5" t="n"/>
      <c r="Q1442" s="4">
        <f>B1442</f>
        <v/>
      </c>
      <c r="R1442" s="4">
        <f>C1442</f>
        <v/>
      </c>
      <c r="S1442" s="4">
        <f>D1442</f>
        <v/>
      </c>
      <c r="T1442" s="4">
        <f>E1442&amp;"/"&amp;E1443</f>
        <v/>
      </c>
      <c r="U1442" s="4">
        <f>F1442&amp;"-"&amp;G1442&amp;"-"&amp;F1442</f>
        <v/>
      </c>
      <c r="V1442" s="4">
        <f>IF($M$1442="","",$M$1442)</f>
        <v/>
      </c>
      <c r="W1442" s="4">
        <f>IF($O$1442="","",$O$1442)</f>
        <v/>
      </c>
      <c r="X1442" s="4">
        <f>J1442</f>
        <v/>
      </c>
    </row>
    <row r="1443">
      <c r="B1443" s="4" t="inlineStr">
        <is>
          <t>1666_0</t>
        </is>
      </c>
      <c r="C1443" s="4" t="inlineStr">
        <is>
          <t>19/09/2026</t>
        </is>
      </c>
      <c r="D1443" s="4" t="inlineStr">
        <is>
          <t>sábado</t>
        </is>
      </c>
      <c r="E1443" s="4" t="inlineStr">
        <is>
          <t>2298</t>
        </is>
      </c>
      <c r="F1443" s="4" t="inlineStr">
        <is>
          <t>CJA</t>
        </is>
      </c>
      <c r="G1443" s="4" t="inlineStr">
        <is>
          <t>LIM</t>
        </is>
      </c>
      <c r="H1443" s="4" t="inlineStr">
        <is>
          <t>13:40:00</t>
        </is>
      </c>
      <c r="I1443" s="4" t="inlineStr">
        <is>
          <t>14:50:00</t>
        </is>
      </c>
      <c r="J1443" s="4" t="inlineStr">
        <is>
          <t>320</t>
        </is>
      </c>
      <c r="K1443">
        <f>TEXT(TIMEVALUE(H1443)-TIMEVALUE(I1442)+(TIMEVALUE(H1443)&lt;TIMEVALUE(I1442)),"[h]:mm")</f>
        <v/>
      </c>
      <c r="L1443" s="4" t="inlineStr">
        <is>
          <t>01:10:00</t>
        </is>
      </c>
      <c r="O1443">
        <f>"LIM-"&amp;G1442&amp;"-LIM   LA "&amp;E1442&amp;" ("&amp;LEFT(H1442,5)&amp;"-"&amp;LEFT(I1442,5)&amp;" hrs)  /  LA "&amp;E1443&amp;" ("&amp;LEFT(H1443,5)&amp;"-"&amp;LEFT(I1443,5)&amp;" hrs)"</f>
        <v/>
      </c>
    </row>
    <row r="1444">
      <c r="J1444" s="7" t="inlineStr">
        <is>
          <t>PSV total:</t>
        </is>
      </c>
      <c r="K1444" s="8">
        <f>TEXT(TIMEVALUE(I1443)-TIMEVALUE(H1442)+(I1443&lt;H1442),"[h]:mm")</f>
        <v/>
      </c>
    </row>
    <row r="1446">
      <c r="B1446" s="3" t="inlineStr">
        <is>
          <t>Pairing ID</t>
        </is>
      </c>
      <c r="C1446" s="3" t="inlineStr">
        <is>
          <t>FECHA REAL</t>
        </is>
      </c>
      <c r="D1446" s="3" t="inlineStr">
        <is>
          <t>Day of Week</t>
        </is>
      </c>
      <c r="E1446" s="3" t="inlineStr">
        <is>
          <t>Flight No</t>
        </is>
      </c>
      <c r="F1446" s="3" t="inlineStr">
        <is>
          <t>Dep Stn</t>
        </is>
      </c>
      <c r="G1446" s="3" t="inlineStr">
        <is>
          <t>Arr Stn</t>
        </is>
      </c>
      <c r="H1446" s="3" t="inlineStr">
        <is>
          <t>STD</t>
        </is>
      </c>
      <c r="I1446" s="3" t="inlineStr">
        <is>
          <t>STA</t>
        </is>
      </c>
      <c r="J1446" s="3" t="inlineStr">
        <is>
          <t>subflota</t>
        </is>
      </c>
      <c r="K1446" s="3" t="inlineStr">
        <is>
          <t>Conexion</t>
        </is>
      </c>
      <c r="L1446" s="3" t="inlineStr">
        <is>
          <t>HBT</t>
        </is>
      </c>
    </row>
    <row r="1447">
      <c r="B1447" s="4" t="inlineStr">
        <is>
          <t>1671_0</t>
        </is>
      </c>
      <c r="C1447" s="4" t="inlineStr">
        <is>
          <t>19/09/2026</t>
        </is>
      </c>
      <c r="D1447" s="4" t="inlineStr">
        <is>
          <t>sábado</t>
        </is>
      </c>
      <c r="E1447" s="4" t="inlineStr">
        <is>
          <t>2023</t>
        </is>
      </c>
      <c r="F1447" s="4" t="inlineStr">
        <is>
          <t>LIM</t>
        </is>
      </c>
      <c r="G1447" s="4" t="inlineStr">
        <is>
          <t>PEM</t>
        </is>
      </c>
      <c r="H1447" s="4" t="inlineStr">
        <is>
          <t>12:15:00</t>
        </is>
      </c>
      <c r="I1447" s="4" t="inlineStr">
        <is>
          <t>13:55:00</t>
        </is>
      </c>
      <c r="J1447" s="4" t="inlineStr">
        <is>
          <t>320</t>
        </is>
      </c>
      <c r="L1447" s="4" t="inlineStr">
        <is>
          <t>01:40:00</t>
        </is>
      </c>
      <c r="M1447" s="5" t="n"/>
      <c r="O1447" s="5" t="n"/>
      <c r="Q1447" s="4">
        <f>B1447</f>
        <v/>
      </c>
      <c r="R1447" s="4">
        <f>C1447</f>
        <v/>
      </c>
      <c r="S1447" s="4">
        <f>D1447</f>
        <v/>
      </c>
      <c r="T1447" s="4">
        <f>E1447&amp;"/"&amp;E1448</f>
        <v/>
      </c>
      <c r="U1447" s="4">
        <f>F1447&amp;"-"&amp;G1447&amp;"-"&amp;F1447</f>
        <v/>
      </c>
      <c r="V1447" s="4">
        <f>IF($M$1447="","",$M$1447)</f>
        <v/>
      </c>
      <c r="W1447" s="4">
        <f>IF($O$1447="","",$O$1447)</f>
        <v/>
      </c>
      <c r="X1447" s="4">
        <f>J1447</f>
        <v/>
      </c>
    </row>
    <row r="1448">
      <c r="B1448" s="4" t="inlineStr">
        <is>
          <t>1671_0</t>
        </is>
      </c>
      <c r="C1448" s="4" t="inlineStr">
        <is>
          <t>19/09/2026</t>
        </is>
      </c>
      <c r="D1448" s="4" t="inlineStr">
        <is>
          <t>sábado</t>
        </is>
      </c>
      <c r="E1448" s="4" t="inlineStr">
        <is>
          <t>2024</t>
        </is>
      </c>
      <c r="F1448" s="4" t="inlineStr">
        <is>
          <t>PEM</t>
        </is>
      </c>
      <c r="G1448" s="4" t="inlineStr">
        <is>
          <t>LIM</t>
        </is>
      </c>
      <c r="H1448" s="4" t="inlineStr">
        <is>
          <t>14:35:00</t>
        </is>
      </c>
      <c r="I1448" s="4" t="inlineStr">
        <is>
          <t>16:10:00</t>
        </is>
      </c>
      <c r="J1448" s="4" t="inlineStr">
        <is>
          <t>320</t>
        </is>
      </c>
      <c r="K1448">
        <f>TEXT(TIMEVALUE(H1448)-TIMEVALUE(I1447)+(TIMEVALUE(H1448)&lt;TIMEVALUE(I1447)),"[h]:mm")</f>
        <v/>
      </c>
      <c r="L1448" s="4" t="inlineStr">
        <is>
          <t>01:35:00</t>
        </is>
      </c>
      <c r="O1448">
        <f>"LIM-"&amp;G1447&amp;"-LIM   LA "&amp;E1447&amp;" ("&amp;LEFT(H1447,5)&amp;"-"&amp;LEFT(I1447,5)&amp;" hrs)  /  LA "&amp;E1448&amp;" ("&amp;LEFT(H1448,5)&amp;"-"&amp;LEFT(I1448,5)&amp;" hrs)"</f>
        <v/>
      </c>
    </row>
    <row r="1449">
      <c r="J1449" s="7" t="inlineStr">
        <is>
          <t>PSV total:</t>
        </is>
      </c>
      <c r="K1449" s="8">
        <f>TEXT(TIMEVALUE(I1448)-TIMEVALUE(H1447)+(I1448&lt;H1447),"[h]:mm")</f>
        <v/>
      </c>
    </row>
    <row r="1451">
      <c r="B1451" s="3" t="inlineStr">
        <is>
          <t>Pairing ID</t>
        </is>
      </c>
      <c r="C1451" s="3" t="inlineStr">
        <is>
          <t>FECHA REAL</t>
        </is>
      </c>
      <c r="D1451" s="3" t="inlineStr">
        <is>
          <t>Day of Week</t>
        </is>
      </c>
      <c r="E1451" s="3" t="inlineStr">
        <is>
          <t>Flight No</t>
        </is>
      </c>
      <c r="F1451" s="3" t="inlineStr">
        <is>
          <t>Dep Stn</t>
        </is>
      </c>
      <c r="G1451" s="3" t="inlineStr">
        <is>
          <t>Arr Stn</t>
        </is>
      </c>
      <c r="H1451" s="3" t="inlineStr">
        <is>
          <t>STD</t>
        </is>
      </c>
      <c r="I1451" s="3" t="inlineStr">
        <is>
          <t>STA</t>
        </is>
      </c>
      <c r="J1451" s="3" t="inlineStr">
        <is>
          <t>subflota</t>
        </is>
      </c>
      <c r="K1451" s="3" t="inlineStr">
        <is>
          <t>Conexion</t>
        </is>
      </c>
      <c r="L1451" s="3" t="inlineStr">
        <is>
          <t>HBT</t>
        </is>
      </c>
    </row>
    <row r="1452">
      <c r="B1452" s="4" t="inlineStr">
        <is>
          <t>1678_0</t>
        </is>
      </c>
      <c r="C1452" s="4" t="inlineStr">
        <is>
          <t>19/09/2026</t>
        </is>
      </c>
      <c r="D1452" s="4" t="inlineStr">
        <is>
          <t>sábado</t>
        </is>
      </c>
      <c r="E1452" s="4" t="inlineStr">
        <is>
          <t>2028</t>
        </is>
      </c>
      <c r="F1452" s="4" t="inlineStr">
        <is>
          <t>LIM</t>
        </is>
      </c>
      <c r="G1452" s="4" t="inlineStr">
        <is>
          <t>CUZ</t>
        </is>
      </c>
      <c r="H1452" s="4" t="inlineStr">
        <is>
          <t>13:05:00</t>
        </is>
      </c>
      <c r="I1452" s="4" t="inlineStr">
        <is>
          <t>14:25:00</t>
        </is>
      </c>
      <c r="J1452" s="4" t="inlineStr">
        <is>
          <t>320</t>
        </is>
      </c>
      <c r="L1452" s="4" t="inlineStr">
        <is>
          <t>01:20:00</t>
        </is>
      </c>
      <c r="M1452" s="5" t="n"/>
      <c r="O1452" s="5" t="n"/>
      <c r="Q1452" s="4">
        <f>B1452</f>
        <v/>
      </c>
      <c r="R1452" s="4">
        <f>C1452</f>
        <v/>
      </c>
      <c r="S1452" s="4">
        <f>D1452</f>
        <v/>
      </c>
      <c r="T1452" s="4">
        <f>E1452&amp;"/"&amp;E1453</f>
        <v/>
      </c>
      <c r="U1452" s="4">
        <f>F1452&amp;"-"&amp;G1452&amp;"-"&amp;F1452</f>
        <v/>
      </c>
      <c r="V1452" s="4">
        <f>IF($M$1452="","",$M$1452)</f>
        <v/>
      </c>
      <c r="W1452" s="4">
        <f>IF($O$1452="","",$O$1452)</f>
        <v/>
      </c>
      <c r="X1452" s="4">
        <f>J1452</f>
        <v/>
      </c>
    </row>
    <row r="1453">
      <c r="B1453" s="4" t="inlineStr">
        <is>
          <t>1678_0</t>
        </is>
      </c>
      <c r="C1453" s="4" t="inlineStr">
        <is>
          <t>19/09/2026</t>
        </is>
      </c>
      <c r="D1453" s="4" t="inlineStr">
        <is>
          <t>sábado</t>
        </is>
      </c>
      <c r="E1453" s="4" t="inlineStr">
        <is>
          <t>2029</t>
        </is>
      </c>
      <c r="F1453" s="4" t="inlineStr">
        <is>
          <t>CUZ</t>
        </is>
      </c>
      <c r="G1453" s="4" t="inlineStr">
        <is>
          <t>LIM</t>
        </is>
      </c>
      <c r="H1453" s="4" t="inlineStr">
        <is>
          <t>15:05:00</t>
        </is>
      </c>
      <c r="I1453" s="4" t="inlineStr">
        <is>
          <t>16:40:00</t>
        </is>
      </c>
      <c r="J1453" s="4" t="inlineStr">
        <is>
          <t>320</t>
        </is>
      </c>
      <c r="K1453">
        <f>TEXT(TIMEVALUE(H1453)-TIMEVALUE(I1452)+(TIMEVALUE(H1453)&lt;TIMEVALUE(I1452)),"[h]:mm")</f>
        <v/>
      </c>
      <c r="L1453" s="4" t="inlineStr">
        <is>
          <t>01:35:00</t>
        </is>
      </c>
      <c r="O1453">
        <f>"LIM-"&amp;G1452&amp;"-LIM   LA "&amp;E1452&amp;" ("&amp;LEFT(H1452,5)&amp;"-"&amp;LEFT(I1452,5)&amp;" hrs)  /  LA "&amp;E1453&amp;" ("&amp;LEFT(H1453,5)&amp;"-"&amp;LEFT(I1453,5)&amp;" hrs)"</f>
        <v/>
      </c>
    </row>
    <row r="1454">
      <c r="J1454" s="7" t="inlineStr">
        <is>
          <t>PSV total:</t>
        </is>
      </c>
      <c r="K1454" s="8">
        <f>TEXT(TIMEVALUE(I1453)-TIMEVALUE(H1452)+(I1453&lt;H1452),"[h]:mm")</f>
        <v/>
      </c>
    </row>
    <row r="1456">
      <c r="B1456" s="3" t="inlineStr">
        <is>
          <t>Pairing ID</t>
        </is>
      </c>
      <c r="C1456" s="3" t="inlineStr">
        <is>
          <t>FECHA REAL</t>
        </is>
      </c>
      <c r="D1456" s="3" t="inlineStr">
        <is>
          <t>Day of Week</t>
        </is>
      </c>
      <c r="E1456" s="3" t="inlineStr">
        <is>
          <t>Flight No</t>
        </is>
      </c>
      <c r="F1456" s="3" t="inlineStr">
        <is>
          <t>Dep Stn</t>
        </is>
      </c>
      <c r="G1456" s="3" t="inlineStr">
        <is>
          <t>Arr Stn</t>
        </is>
      </c>
      <c r="H1456" s="3" t="inlineStr">
        <is>
          <t>STD</t>
        </is>
      </c>
      <c r="I1456" s="3" t="inlineStr">
        <is>
          <t>STA</t>
        </is>
      </c>
      <c r="J1456" s="3" t="inlineStr">
        <is>
          <t>subflota</t>
        </is>
      </c>
      <c r="K1456" s="3" t="inlineStr">
        <is>
          <t>Conexion</t>
        </is>
      </c>
      <c r="L1456" s="3" t="inlineStr">
        <is>
          <t>HBT</t>
        </is>
      </c>
    </row>
    <row r="1457">
      <c r="B1457" s="4" t="inlineStr">
        <is>
          <t>1680_0</t>
        </is>
      </c>
      <c r="C1457" s="4" t="inlineStr">
        <is>
          <t>19/09/2026</t>
        </is>
      </c>
      <c r="D1457" s="4" t="inlineStr">
        <is>
          <t>sábado</t>
        </is>
      </c>
      <c r="E1457" s="4" t="inlineStr">
        <is>
          <t>2067</t>
        </is>
      </c>
      <c r="F1457" s="4" t="inlineStr">
        <is>
          <t>LIM</t>
        </is>
      </c>
      <c r="G1457" s="4" t="inlineStr">
        <is>
          <t>TCQ</t>
        </is>
      </c>
      <c r="H1457" s="4" t="inlineStr">
        <is>
          <t>13:45:00</t>
        </is>
      </c>
      <c r="I1457" s="4" t="inlineStr">
        <is>
          <t>15:35:00</t>
        </is>
      </c>
      <c r="J1457" s="4" t="inlineStr">
        <is>
          <t>320</t>
        </is>
      </c>
      <c r="L1457" s="4" t="inlineStr">
        <is>
          <t>01:50:00</t>
        </is>
      </c>
      <c r="M1457" s="5" t="n"/>
      <c r="O1457" s="5" t="n"/>
      <c r="Q1457" s="4">
        <f>B1457</f>
        <v/>
      </c>
      <c r="R1457" s="4">
        <f>C1457</f>
        <v/>
      </c>
      <c r="S1457" s="4">
        <f>D1457</f>
        <v/>
      </c>
      <c r="T1457" s="4">
        <f>E1457&amp;"/"&amp;E1458</f>
        <v/>
      </c>
      <c r="U1457" s="4">
        <f>F1457&amp;"-"&amp;G1457&amp;"-"&amp;F1457</f>
        <v/>
      </c>
      <c r="V1457" s="4">
        <f>IF($M$1457="","",$M$1457)</f>
        <v/>
      </c>
      <c r="W1457" s="4">
        <f>IF($O$1457="","",$O$1457)</f>
        <v/>
      </c>
      <c r="X1457" s="4">
        <f>J1457</f>
        <v/>
      </c>
    </row>
    <row r="1458">
      <c r="B1458" s="4" t="inlineStr">
        <is>
          <t>1680_0</t>
        </is>
      </c>
      <c r="C1458" s="4" t="inlineStr">
        <is>
          <t>19/09/2026</t>
        </is>
      </c>
      <c r="D1458" s="4" t="inlineStr">
        <is>
          <t>sábado</t>
        </is>
      </c>
      <c r="E1458" s="4" t="inlineStr">
        <is>
          <t>2068</t>
        </is>
      </c>
      <c r="F1458" s="4" t="inlineStr">
        <is>
          <t>TCQ</t>
        </is>
      </c>
      <c r="G1458" s="4" t="inlineStr">
        <is>
          <t>LIM</t>
        </is>
      </c>
      <c r="H1458" s="4" t="inlineStr">
        <is>
          <t>16:20:00</t>
        </is>
      </c>
      <c r="I1458" s="4" t="inlineStr">
        <is>
          <t>18:15:00</t>
        </is>
      </c>
      <c r="J1458" s="4" t="inlineStr">
        <is>
          <t>320</t>
        </is>
      </c>
      <c r="K1458">
        <f>TEXT(TIMEVALUE(H1458)-TIMEVALUE(I1457)+(TIMEVALUE(H1458)&lt;TIMEVALUE(I1457)),"[h]:mm")</f>
        <v/>
      </c>
      <c r="L1458" s="4" t="inlineStr">
        <is>
          <t>01:55:00</t>
        </is>
      </c>
      <c r="O1458">
        <f>"LIM-"&amp;G1457&amp;"-LIM   LA "&amp;E1457&amp;" ("&amp;LEFT(H1457,5)&amp;"-"&amp;LEFT(I1457,5)&amp;" hrs)  /  LA "&amp;E1458&amp;" ("&amp;LEFT(H1458,5)&amp;"-"&amp;LEFT(I1458,5)&amp;" hrs)"</f>
        <v/>
      </c>
    </row>
    <row r="1459">
      <c r="J1459" s="7" t="inlineStr">
        <is>
          <t>PSV total:</t>
        </is>
      </c>
      <c r="K1459" s="8">
        <f>TEXT(TIMEVALUE(I1458)-TIMEVALUE(H1457)+(I1458&lt;H1457),"[h]:mm")</f>
        <v/>
      </c>
    </row>
    <row r="1461">
      <c r="B1461" s="3" t="inlineStr">
        <is>
          <t>Pairing ID</t>
        </is>
      </c>
      <c r="C1461" s="3" t="inlineStr">
        <is>
          <t>FECHA REAL</t>
        </is>
      </c>
      <c r="D1461" s="3" t="inlineStr">
        <is>
          <t>Day of Week</t>
        </is>
      </c>
      <c r="E1461" s="3" t="inlineStr">
        <is>
          <t>Flight No</t>
        </is>
      </c>
      <c r="F1461" s="3" t="inlineStr">
        <is>
          <t>Dep Stn</t>
        </is>
      </c>
      <c r="G1461" s="3" t="inlineStr">
        <is>
          <t>Arr Stn</t>
        </is>
      </c>
      <c r="H1461" s="3" t="inlineStr">
        <is>
          <t>STD</t>
        </is>
      </c>
      <c r="I1461" s="3" t="inlineStr">
        <is>
          <t>STA</t>
        </is>
      </c>
      <c r="J1461" s="3" t="inlineStr">
        <is>
          <t>subflota</t>
        </is>
      </c>
      <c r="K1461" s="3" t="inlineStr">
        <is>
          <t>Conexion</t>
        </is>
      </c>
      <c r="L1461" s="3" t="inlineStr">
        <is>
          <t>HBT</t>
        </is>
      </c>
    </row>
    <row r="1462">
      <c r="B1462" s="4" t="inlineStr">
        <is>
          <t>1682_0</t>
        </is>
      </c>
      <c r="C1462" s="4" t="inlineStr">
        <is>
          <t>19/09/2026</t>
        </is>
      </c>
      <c r="D1462" s="4" t="inlineStr">
        <is>
          <t>sábado</t>
        </is>
      </c>
      <c r="E1462" s="4" t="inlineStr">
        <is>
          <t>2087</t>
        </is>
      </c>
      <c r="F1462" s="4" t="inlineStr">
        <is>
          <t>LIM</t>
        </is>
      </c>
      <c r="G1462" s="4" t="inlineStr">
        <is>
          <t>TPP</t>
        </is>
      </c>
      <c r="H1462" s="4" t="inlineStr">
        <is>
          <t>14:05:00</t>
        </is>
      </c>
      <c r="I1462" s="4" t="inlineStr">
        <is>
          <t>15:30:00</t>
        </is>
      </c>
      <c r="J1462" s="4" t="inlineStr">
        <is>
          <t>319</t>
        </is>
      </c>
      <c r="L1462" s="4" t="inlineStr">
        <is>
          <t>01:25:00</t>
        </is>
      </c>
      <c r="M1462" s="5" t="n"/>
      <c r="O1462" s="5" t="n"/>
      <c r="Q1462" s="4">
        <f>B1462</f>
        <v/>
      </c>
      <c r="R1462" s="4">
        <f>C1462</f>
        <v/>
      </c>
      <c r="S1462" s="4">
        <f>D1462</f>
        <v/>
      </c>
      <c r="T1462" s="4">
        <f>E1462&amp;"/"&amp;E1463</f>
        <v/>
      </c>
      <c r="U1462" s="4">
        <f>F1462&amp;"-"&amp;G1462&amp;"-"&amp;F1462</f>
        <v/>
      </c>
      <c r="V1462" s="4">
        <f>IF($M$1462="","",$M$1462)</f>
        <v/>
      </c>
      <c r="W1462" s="4">
        <f>IF($O$1462="","",$O$1462)</f>
        <v/>
      </c>
      <c r="X1462" s="4">
        <f>J1462</f>
        <v/>
      </c>
    </row>
    <row r="1463">
      <c r="B1463" s="4" t="inlineStr">
        <is>
          <t>1682_0</t>
        </is>
      </c>
      <c r="C1463" s="4" t="inlineStr">
        <is>
          <t>19/09/2026</t>
        </is>
      </c>
      <c r="D1463" s="4" t="inlineStr">
        <is>
          <t>sábado</t>
        </is>
      </c>
      <c r="E1463" s="4" t="inlineStr">
        <is>
          <t>2088</t>
        </is>
      </c>
      <c r="F1463" s="4" t="inlineStr">
        <is>
          <t>TPP</t>
        </is>
      </c>
      <c r="G1463" s="4" t="inlineStr">
        <is>
          <t>LIM</t>
        </is>
      </c>
      <c r="H1463" s="4" t="inlineStr">
        <is>
          <t>16:05:00</t>
        </is>
      </c>
      <c r="I1463" s="4" t="inlineStr">
        <is>
          <t>17:30:00</t>
        </is>
      </c>
      <c r="J1463" s="4" t="inlineStr">
        <is>
          <t>319</t>
        </is>
      </c>
      <c r="K1463">
        <f>TEXT(TIMEVALUE(H1463)-TIMEVALUE(I1462)+(TIMEVALUE(H1463)&lt;TIMEVALUE(I1462)),"[h]:mm")</f>
        <v/>
      </c>
      <c r="L1463" s="4" t="inlineStr">
        <is>
          <t>01:25:00</t>
        </is>
      </c>
      <c r="O1463">
        <f>"LIM-"&amp;G1462&amp;"-LIM   LA "&amp;E1462&amp;" ("&amp;LEFT(H1462,5)&amp;"-"&amp;LEFT(I1462,5)&amp;" hrs)  /  LA "&amp;E1463&amp;" ("&amp;LEFT(H1463,5)&amp;"-"&amp;LEFT(I1463,5)&amp;" hrs)"</f>
        <v/>
      </c>
    </row>
    <row r="1464">
      <c r="B1464" s="4" t="inlineStr">
        <is>
          <t>1701_0</t>
        </is>
      </c>
      <c r="C1464" s="4" t="inlineStr">
        <is>
          <t>19/09/2026</t>
        </is>
      </c>
      <c r="D1464" s="4" t="inlineStr">
        <is>
          <t>sábado</t>
        </is>
      </c>
      <c r="E1464" s="4" t="inlineStr">
        <is>
          <t>2223</t>
        </is>
      </c>
      <c r="F1464" s="4" t="inlineStr">
        <is>
          <t>LIM</t>
        </is>
      </c>
      <c r="G1464" s="4" t="inlineStr">
        <is>
          <t>CUZ</t>
        </is>
      </c>
      <c r="H1464" s="4" t="inlineStr">
        <is>
          <t>18:30:00</t>
        </is>
      </c>
      <c r="I1464" s="4" t="inlineStr">
        <is>
          <t>19:50:00</t>
        </is>
      </c>
      <c r="J1464" s="4" t="inlineStr">
        <is>
          <t>320</t>
        </is>
      </c>
      <c r="K1464" s="6">
        <f>TEXT(TIMEVALUE(H1464)-TIMEVALUE(I1463)+(TIMEVALUE(H1464)&lt;TIMEVALUE(I1463)),"[h]:mm")</f>
        <v/>
      </c>
      <c r="L1464" s="4" t="inlineStr">
        <is>
          <t>01:20:00</t>
        </is>
      </c>
      <c r="M1464">
        <f>IF($M$1462="","",$M$1462)</f>
        <v/>
      </c>
      <c r="O1464">
        <f>IF($O$1462="","",$O$1462)</f>
        <v/>
      </c>
      <c r="Q1464" s="4">
        <f>B1464</f>
        <v/>
      </c>
      <c r="R1464" s="4">
        <f>C1464</f>
        <v/>
      </c>
      <c r="S1464" s="4">
        <f>D1464</f>
        <v/>
      </c>
      <c r="T1464" s="4">
        <f>E1464&amp;"/"&amp;E1465</f>
        <v/>
      </c>
      <c r="U1464" s="4">
        <f>F1464&amp;"-"&amp;G1464&amp;"-"&amp;F1464</f>
        <v/>
      </c>
      <c r="V1464" s="4">
        <f>IF($M$1462="","",$M$1462)</f>
        <v/>
      </c>
      <c r="W1464" s="4">
        <f>IF($O$1462="","",$O$1462)</f>
        <v/>
      </c>
      <c r="X1464" s="4">
        <f>J1464</f>
        <v/>
      </c>
    </row>
    <row r="1465">
      <c r="B1465" s="4" t="inlineStr">
        <is>
          <t>1701_0</t>
        </is>
      </c>
      <c r="C1465" s="4" t="inlineStr">
        <is>
          <t>19/09/2026</t>
        </is>
      </c>
      <c r="D1465" s="4" t="inlineStr">
        <is>
          <t>sábado</t>
        </is>
      </c>
      <c r="E1465" s="4" t="inlineStr">
        <is>
          <t>2224</t>
        </is>
      </c>
      <c r="F1465" s="4" t="inlineStr">
        <is>
          <t>CUZ</t>
        </is>
      </c>
      <c r="G1465" s="4" t="inlineStr">
        <is>
          <t>LIM</t>
        </is>
      </c>
      <c r="H1465" s="4" t="inlineStr">
        <is>
          <t>21:20:00</t>
        </is>
      </c>
      <c r="I1465" s="4" t="inlineStr">
        <is>
          <t>22:55:00</t>
        </is>
      </c>
      <c r="J1465" s="4" t="inlineStr">
        <is>
          <t>320</t>
        </is>
      </c>
      <c r="K1465">
        <f>TEXT(TIMEVALUE(H1465)-TIMEVALUE(I1464)+(TIMEVALUE(H1465)&lt;TIMEVALUE(I1464)),"[h]:mm")</f>
        <v/>
      </c>
      <c r="L1465" s="4" t="inlineStr">
        <is>
          <t>01:35:00</t>
        </is>
      </c>
      <c r="O1465">
        <f>"LIM-"&amp;G1464&amp;"-LIM   LA "&amp;E1464&amp;" ("&amp;LEFT(H1464,5)&amp;"-"&amp;LEFT(I1464,5)&amp;" hrs)  /  LA "&amp;E1465&amp;" ("&amp;LEFT(H1465,5)&amp;"-"&amp;LEFT(I1465,5)&amp;" hrs)"</f>
        <v/>
      </c>
    </row>
    <row r="1466">
      <c r="J1466" s="7" t="inlineStr">
        <is>
          <t>PSV total:</t>
        </is>
      </c>
      <c r="K1466" s="8">
        <f>TEXT(TIMEVALUE(I1465)-TIMEVALUE(H1462)+(I1465&lt;H1462),"[h]:mm")</f>
        <v/>
      </c>
    </row>
    <row r="1468">
      <c r="B1468" s="3" t="inlineStr">
        <is>
          <t>Pairing ID</t>
        </is>
      </c>
      <c r="C1468" s="3" t="inlineStr">
        <is>
          <t>FECHA REAL</t>
        </is>
      </c>
      <c r="D1468" s="3" t="inlineStr">
        <is>
          <t>Day of Week</t>
        </is>
      </c>
      <c r="E1468" s="3" t="inlineStr">
        <is>
          <t>Flight No</t>
        </is>
      </c>
      <c r="F1468" s="3" t="inlineStr">
        <is>
          <t>Dep Stn</t>
        </is>
      </c>
      <c r="G1468" s="3" t="inlineStr">
        <is>
          <t>Arr Stn</t>
        </is>
      </c>
      <c r="H1468" s="3" t="inlineStr">
        <is>
          <t>STD</t>
        </is>
      </c>
      <c r="I1468" s="3" t="inlineStr">
        <is>
          <t>STA</t>
        </is>
      </c>
      <c r="J1468" s="3" t="inlineStr">
        <is>
          <t>subflota</t>
        </is>
      </c>
      <c r="K1468" s="3" t="inlineStr">
        <is>
          <t>Conexion</t>
        </is>
      </c>
      <c r="L1468" s="3" t="inlineStr">
        <is>
          <t>HBT</t>
        </is>
      </c>
    </row>
    <row r="1469">
      <c r="B1469" s="4" t="inlineStr">
        <is>
          <t>1683_0</t>
        </is>
      </c>
      <c r="C1469" s="4" t="inlineStr">
        <is>
          <t>19/09/2026</t>
        </is>
      </c>
      <c r="D1469" s="4" t="inlineStr">
        <is>
          <t>sábado</t>
        </is>
      </c>
      <c r="E1469" s="4" t="inlineStr">
        <is>
          <t>2295</t>
        </is>
      </c>
      <c r="F1469" s="4" t="inlineStr">
        <is>
          <t>LIM</t>
        </is>
      </c>
      <c r="G1469" s="4" t="inlineStr">
        <is>
          <t>CJA</t>
        </is>
      </c>
      <c r="H1469" s="4" t="inlineStr">
        <is>
          <t>14:10:00</t>
        </is>
      </c>
      <c r="I1469" s="4" t="inlineStr">
        <is>
          <t>15:30:00</t>
        </is>
      </c>
      <c r="J1469" s="4" t="inlineStr">
        <is>
          <t>320</t>
        </is>
      </c>
      <c r="L1469" s="4" t="inlineStr">
        <is>
          <t>01:20:00</t>
        </is>
      </c>
      <c r="M1469" s="5" t="n"/>
      <c r="O1469" s="5" t="n"/>
      <c r="Q1469" s="4">
        <f>B1469</f>
        <v/>
      </c>
      <c r="R1469" s="4">
        <f>C1469</f>
        <v/>
      </c>
      <c r="S1469" s="4">
        <f>D1469</f>
        <v/>
      </c>
      <c r="T1469" s="4">
        <f>E1469&amp;"/"&amp;E1470</f>
        <v/>
      </c>
      <c r="U1469" s="4">
        <f>F1469&amp;"-"&amp;G1469&amp;"-"&amp;F1469</f>
        <v/>
      </c>
      <c r="V1469" s="4">
        <f>IF($M$1469="","",$M$1469)</f>
        <v/>
      </c>
      <c r="W1469" s="4">
        <f>IF($O$1469="","",$O$1469)</f>
        <v/>
      </c>
      <c r="X1469" s="4">
        <f>J1469</f>
        <v/>
      </c>
    </row>
    <row r="1470">
      <c r="B1470" s="4" t="inlineStr">
        <is>
          <t>1683_0</t>
        </is>
      </c>
      <c r="C1470" s="4" t="inlineStr">
        <is>
          <t>19/09/2026</t>
        </is>
      </c>
      <c r="D1470" s="4" t="inlineStr">
        <is>
          <t>sábado</t>
        </is>
      </c>
      <c r="E1470" s="4" t="inlineStr">
        <is>
          <t>2294</t>
        </is>
      </c>
      <c r="F1470" s="4" t="inlineStr">
        <is>
          <t>CJA</t>
        </is>
      </c>
      <c r="G1470" s="4" t="inlineStr">
        <is>
          <t>LIM</t>
        </is>
      </c>
      <c r="H1470" s="4" t="inlineStr">
        <is>
          <t>16:10:00</t>
        </is>
      </c>
      <c r="I1470" s="4" t="inlineStr">
        <is>
          <t>17:15:00</t>
        </is>
      </c>
      <c r="J1470" s="4" t="inlineStr">
        <is>
          <t>320</t>
        </is>
      </c>
      <c r="K1470">
        <f>TEXT(TIMEVALUE(H1470)-TIMEVALUE(I1469)+(TIMEVALUE(H1470)&lt;TIMEVALUE(I1469)),"[h]:mm")</f>
        <v/>
      </c>
      <c r="L1470" s="4" t="inlineStr">
        <is>
          <t>01:05:00</t>
        </is>
      </c>
      <c r="O1470">
        <f>"LIM-"&amp;G1469&amp;"-LIM   LA "&amp;E1469&amp;" ("&amp;LEFT(H1469,5)&amp;"-"&amp;LEFT(I1469,5)&amp;" hrs)  /  LA "&amp;E1470&amp;" ("&amp;LEFT(H1470,5)&amp;"-"&amp;LEFT(I1470,5)&amp;" hrs)"</f>
        <v/>
      </c>
    </row>
    <row r="1471">
      <c r="B1471" s="4" t="inlineStr">
        <is>
          <t>1700_0</t>
        </is>
      </c>
      <c r="C1471" s="4" t="inlineStr">
        <is>
          <t>19/09/2026</t>
        </is>
      </c>
      <c r="D1471" s="4" t="inlineStr">
        <is>
          <t>sábado</t>
        </is>
      </c>
      <c r="E1471" s="4" t="inlineStr">
        <is>
          <t>2310</t>
        </is>
      </c>
      <c r="F1471" s="4" t="inlineStr">
        <is>
          <t>LIM</t>
        </is>
      </c>
      <c r="G1471" s="4" t="inlineStr">
        <is>
          <t>CIX</t>
        </is>
      </c>
      <c r="H1471" s="4" t="inlineStr">
        <is>
          <t>18:20:00</t>
        </is>
      </c>
      <c r="I1471" s="4" t="inlineStr">
        <is>
          <t>19:45:00</t>
        </is>
      </c>
      <c r="J1471" s="4" t="inlineStr">
        <is>
          <t>320</t>
        </is>
      </c>
      <c r="K1471" s="6">
        <f>TEXT(TIMEVALUE(H1471)-TIMEVALUE(I1470)+(TIMEVALUE(H1471)&lt;TIMEVALUE(I1470)),"[h]:mm")</f>
        <v/>
      </c>
      <c r="L1471" s="4" t="inlineStr">
        <is>
          <t>01:25:00</t>
        </is>
      </c>
      <c r="M1471">
        <f>IF($M$1469="","",$M$1469)</f>
        <v/>
      </c>
      <c r="O1471">
        <f>IF($O$1469="","",$O$1469)</f>
        <v/>
      </c>
      <c r="Q1471" s="4">
        <f>B1471</f>
        <v/>
      </c>
      <c r="R1471" s="4">
        <f>C1471</f>
        <v/>
      </c>
      <c r="S1471" s="4">
        <f>D1471</f>
        <v/>
      </c>
      <c r="T1471" s="4">
        <f>E1471&amp;"/"&amp;E1472</f>
        <v/>
      </c>
      <c r="U1471" s="4">
        <f>F1471&amp;"-"&amp;G1471&amp;"-"&amp;F1471</f>
        <v/>
      </c>
      <c r="V1471" s="4">
        <f>IF($M$1469="","",$M$1469)</f>
        <v/>
      </c>
      <c r="W1471" s="4">
        <f>IF($O$1469="","",$O$1469)</f>
        <v/>
      </c>
      <c r="X1471" s="4">
        <f>J1471</f>
        <v/>
      </c>
    </row>
    <row r="1472">
      <c r="B1472" s="4" t="inlineStr">
        <is>
          <t>1700_0</t>
        </is>
      </c>
      <c r="C1472" s="4" t="inlineStr">
        <is>
          <t>19/09/2026</t>
        </is>
      </c>
      <c r="D1472" s="4" t="inlineStr">
        <is>
          <t>sábado</t>
        </is>
      </c>
      <c r="E1472" s="4" t="inlineStr">
        <is>
          <t>2311</t>
        </is>
      </c>
      <c r="F1472" s="4" t="inlineStr">
        <is>
          <t>CIX</t>
        </is>
      </c>
      <c r="G1472" s="4" t="inlineStr">
        <is>
          <t>LIM</t>
        </is>
      </c>
      <c r="H1472" s="4" t="inlineStr">
        <is>
          <t>20:20:00</t>
        </is>
      </c>
      <c r="I1472" s="4" t="inlineStr">
        <is>
          <t>21:35:00</t>
        </is>
      </c>
      <c r="J1472" s="4" t="inlineStr">
        <is>
          <t>320</t>
        </is>
      </c>
      <c r="K1472">
        <f>TEXT(TIMEVALUE(H1472)-TIMEVALUE(I1471)+(TIMEVALUE(H1472)&lt;TIMEVALUE(I1471)),"[h]:mm")</f>
        <v/>
      </c>
      <c r="L1472" s="4" t="inlineStr">
        <is>
          <t>01:15:00</t>
        </is>
      </c>
      <c r="O1472">
        <f>"LIM-"&amp;G1471&amp;"-LIM   LA "&amp;E1471&amp;" ("&amp;LEFT(H1471,5)&amp;"-"&amp;LEFT(I1471,5)&amp;" hrs)  /  LA "&amp;E1472&amp;" ("&amp;LEFT(H1472,5)&amp;"-"&amp;LEFT(I1472,5)&amp;" hrs)"</f>
        <v/>
      </c>
    </row>
    <row r="1473">
      <c r="J1473" s="7" t="inlineStr">
        <is>
          <t>PSV total:</t>
        </is>
      </c>
      <c r="K1473" s="8">
        <f>TEXT(TIMEVALUE(I1472)-TIMEVALUE(H1469)+(I1472&lt;H1469),"[h]:mm")</f>
        <v/>
      </c>
    </row>
    <row r="1475">
      <c r="B1475" s="3" t="inlineStr">
        <is>
          <t>Pairing ID</t>
        </is>
      </c>
      <c r="C1475" s="3" t="inlineStr">
        <is>
          <t>FECHA REAL</t>
        </is>
      </c>
      <c r="D1475" s="3" t="inlineStr">
        <is>
          <t>Day of Week</t>
        </is>
      </c>
      <c r="E1475" s="3" t="inlineStr">
        <is>
          <t>Flight No</t>
        </is>
      </c>
      <c r="F1475" s="3" t="inlineStr">
        <is>
          <t>Dep Stn</t>
        </is>
      </c>
      <c r="G1475" s="3" t="inlineStr">
        <is>
          <t>Arr Stn</t>
        </is>
      </c>
      <c r="H1475" s="3" t="inlineStr">
        <is>
          <t>STD</t>
        </is>
      </c>
      <c r="I1475" s="3" t="inlineStr">
        <is>
          <t>STA</t>
        </is>
      </c>
      <c r="J1475" s="3" t="inlineStr">
        <is>
          <t>subflota</t>
        </is>
      </c>
      <c r="K1475" s="3" t="inlineStr">
        <is>
          <t>Conexion</t>
        </is>
      </c>
      <c r="L1475" s="3" t="inlineStr">
        <is>
          <t>HBT</t>
        </is>
      </c>
    </row>
    <row r="1476">
      <c r="B1476" s="4" t="inlineStr">
        <is>
          <t>1686_0</t>
        </is>
      </c>
      <c r="C1476" s="4" t="inlineStr">
        <is>
          <t>19/09/2026</t>
        </is>
      </c>
      <c r="D1476" s="4" t="inlineStr">
        <is>
          <t>sábado</t>
        </is>
      </c>
      <c r="E1476" s="4" t="inlineStr">
        <is>
          <t>2264</t>
        </is>
      </c>
      <c r="F1476" s="4" t="inlineStr">
        <is>
          <t>LIM</t>
        </is>
      </c>
      <c r="G1476" s="4" t="inlineStr">
        <is>
          <t>PEM</t>
        </is>
      </c>
      <c r="H1476" s="4" t="inlineStr">
        <is>
          <t>14:55:00</t>
        </is>
      </c>
      <c r="I1476" s="4" t="inlineStr">
        <is>
          <t>16:40:00</t>
        </is>
      </c>
      <c r="J1476" s="4" t="inlineStr">
        <is>
          <t>319</t>
        </is>
      </c>
      <c r="L1476" s="4" t="inlineStr">
        <is>
          <t>01:45:00</t>
        </is>
      </c>
      <c r="M1476" s="5" t="n"/>
      <c r="O1476" s="5" t="n"/>
      <c r="Q1476" s="4">
        <f>B1476</f>
        <v/>
      </c>
      <c r="R1476" s="4">
        <f>C1476</f>
        <v/>
      </c>
      <c r="S1476" s="4">
        <f>D1476</f>
        <v/>
      </c>
      <c r="T1476" s="4">
        <f>E1476&amp;"/"&amp;E1477</f>
        <v/>
      </c>
      <c r="U1476" s="4">
        <f>F1476&amp;"-"&amp;G1476&amp;"-"&amp;F1476</f>
        <v/>
      </c>
      <c r="V1476" s="4">
        <f>IF($M$1476="","",$M$1476)</f>
        <v/>
      </c>
      <c r="W1476" s="4">
        <f>IF($O$1476="","",$O$1476)</f>
        <v/>
      </c>
      <c r="X1476" s="4">
        <f>J1476</f>
        <v/>
      </c>
    </row>
    <row r="1477">
      <c r="B1477" s="4" t="inlineStr">
        <is>
          <t>1686_0</t>
        </is>
      </c>
      <c r="C1477" s="4" t="inlineStr">
        <is>
          <t>19/09/2026</t>
        </is>
      </c>
      <c r="D1477" s="4" t="inlineStr">
        <is>
          <t>sábado</t>
        </is>
      </c>
      <c r="E1477" s="4" t="inlineStr">
        <is>
          <t>2265</t>
        </is>
      </c>
      <c r="F1477" s="4" t="inlineStr">
        <is>
          <t>PEM</t>
        </is>
      </c>
      <c r="G1477" s="4" t="inlineStr">
        <is>
          <t>LIM</t>
        </is>
      </c>
      <c r="H1477" s="4" t="inlineStr">
        <is>
          <t>17:20:00</t>
        </is>
      </c>
      <c r="I1477" s="4" t="inlineStr">
        <is>
          <t>18:55:00</t>
        </is>
      </c>
      <c r="J1477" s="4" t="inlineStr">
        <is>
          <t>319</t>
        </is>
      </c>
      <c r="K1477">
        <f>TEXT(TIMEVALUE(H1477)-TIMEVALUE(I1476)+(TIMEVALUE(H1477)&lt;TIMEVALUE(I1476)),"[h]:mm")</f>
        <v/>
      </c>
      <c r="L1477" s="4" t="inlineStr">
        <is>
          <t>01:35:00</t>
        </is>
      </c>
      <c r="O1477">
        <f>"LIM-"&amp;G1476&amp;"-LIM   LA "&amp;E1476&amp;" ("&amp;LEFT(H1476,5)&amp;"-"&amp;LEFT(I1476,5)&amp;" hrs)  /  LA "&amp;E1477&amp;" ("&amp;LEFT(H1477,5)&amp;"-"&amp;LEFT(I1477,5)&amp;" hrs)"</f>
        <v/>
      </c>
    </row>
    <row r="1478">
      <c r="J1478" s="7" t="inlineStr">
        <is>
          <t>PSV total:</t>
        </is>
      </c>
      <c r="K1478" s="8">
        <f>TEXT(TIMEVALUE(I1477)-TIMEVALUE(H1476)+(I1477&lt;H1476),"[h]:mm")</f>
        <v/>
      </c>
    </row>
    <row r="1480">
      <c r="B1480" s="3" t="inlineStr">
        <is>
          <t>Pairing ID</t>
        </is>
      </c>
      <c r="C1480" s="3" t="inlineStr">
        <is>
          <t>FECHA REAL</t>
        </is>
      </c>
      <c r="D1480" s="3" t="inlineStr">
        <is>
          <t>Day of Week</t>
        </is>
      </c>
      <c r="E1480" s="3" t="inlineStr">
        <is>
          <t>Flight No</t>
        </is>
      </c>
      <c r="F1480" s="3" t="inlineStr">
        <is>
          <t>Dep Stn</t>
        </is>
      </c>
      <c r="G1480" s="3" t="inlineStr">
        <is>
          <t>Arr Stn</t>
        </is>
      </c>
      <c r="H1480" s="3" t="inlineStr">
        <is>
          <t>STD</t>
        </is>
      </c>
      <c r="I1480" s="3" t="inlineStr">
        <is>
          <t>STA</t>
        </is>
      </c>
      <c r="J1480" s="3" t="inlineStr">
        <is>
          <t>subflota</t>
        </is>
      </c>
      <c r="K1480" s="3" t="inlineStr">
        <is>
          <t>Conexion</t>
        </is>
      </c>
      <c r="L1480" s="3" t="inlineStr">
        <is>
          <t>HBT</t>
        </is>
      </c>
    </row>
    <row r="1481">
      <c r="B1481" s="4" t="inlineStr">
        <is>
          <t>1687_0</t>
        </is>
      </c>
      <c r="C1481" s="4" t="inlineStr">
        <is>
          <t>19/09/2026</t>
        </is>
      </c>
      <c r="D1481" s="4" t="inlineStr">
        <is>
          <t>sábado</t>
        </is>
      </c>
      <c r="E1481" s="4" t="inlineStr">
        <is>
          <t>2338</t>
        </is>
      </c>
      <c r="F1481" s="4" t="inlineStr">
        <is>
          <t>LIM</t>
        </is>
      </c>
      <c r="G1481" s="4" t="inlineStr">
        <is>
          <t>PIU</t>
        </is>
      </c>
      <c r="H1481" s="4" t="inlineStr">
        <is>
          <t>15:00:00</t>
        </is>
      </c>
      <c r="I1481" s="4" t="inlineStr">
        <is>
          <t>16:45:00</t>
        </is>
      </c>
      <c r="J1481" s="4" t="inlineStr">
        <is>
          <t>320</t>
        </is>
      </c>
      <c r="L1481" s="4" t="inlineStr">
        <is>
          <t>01:45:00</t>
        </is>
      </c>
      <c r="M1481" s="5" t="n"/>
      <c r="O1481" s="5" t="n"/>
      <c r="Q1481" s="4">
        <f>B1481</f>
        <v/>
      </c>
      <c r="R1481" s="4">
        <f>C1481</f>
        <v/>
      </c>
      <c r="S1481" s="4">
        <f>D1481</f>
        <v/>
      </c>
      <c r="T1481" s="4">
        <f>E1481&amp;"/"&amp;E1482</f>
        <v/>
      </c>
      <c r="U1481" s="4">
        <f>F1481&amp;"-"&amp;G1481&amp;"-"&amp;F1481</f>
        <v/>
      </c>
      <c r="V1481" s="4">
        <f>IF($M$1481="","",$M$1481)</f>
        <v/>
      </c>
      <c r="W1481" s="4">
        <f>IF($O$1481="","",$O$1481)</f>
        <v/>
      </c>
      <c r="X1481" s="4">
        <f>J1481</f>
        <v/>
      </c>
    </row>
    <row r="1482">
      <c r="B1482" s="4" t="inlineStr">
        <is>
          <t>1687_0</t>
        </is>
      </c>
      <c r="C1482" s="4" t="inlineStr">
        <is>
          <t>19/09/2026</t>
        </is>
      </c>
      <c r="D1482" s="4" t="inlineStr">
        <is>
          <t>sábado</t>
        </is>
      </c>
      <c r="E1482" s="4" t="inlineStr">
        <is>
          <t>2339</t>
        </is>
      </c>
      <c r="F1482" s="4" t="inlineStr">
        <is>
          <t>PIU</t>
        </is>
      </c>
      <c r="G1482" s="4" t="inlineStr">
        <is>
          <t>LIM</t>
        </is>
      </c>
      <c r="H1482" s="4" t="inlineStr">
        <is>
          <t>17:20:00</t>
        </is>
      </c>
      <c r="I1482" s="4" t="inlineStr">
        <is>
          <t>18:50:00</t>
        </is>
      </c>
      <c r="J1482" s="4" t="inlineStr">
        <is>
          <t>320</t>
        </is>
      </c>
      <c r="K1482">
        <f>TEXT(TIMEVALUE(H1482)-TIMEVALUE(I1481)+(TIMEVALUE(H1482)&lt;TIMEVALUE(I1481)),"[h]:mm")</f>
        <v/>
      </c>
      <c r="L1482" s="4" t="inlineStr">
        <is>
          <t>01:30:00</t>
        </is>
      </c>
      <c r="O1482">
        <f>"LIM-"&amp;G1481&amp;"-LIM   LA "&amp;E1481&amp;" ("&amp;LEFT(H1481,5)&amp;"-"&amp;LEFT(I1481,5)&amp;" hrs)  /  LA "&amp;E1482&amp;" ("&amp;LEFT(H1482,5)&amp;"-"&amp;LEFT(I1482,5)&amp;" hrs)"</f>
        <v/>
      </c>
    </row>
    <row r="1483">
      <c r="J1483" s="7" t="inlineStr">
        <is>
          <t>PSV total:</t>
        </is>
      </c>
      <c r="K1483" s="8">
        <f>TEXT(TIMEVALUE(I1482)-TIMEVALUE(H1481)+(I1482&lt;H1481),"[h]:mm")</f>
        <v/>
      </c>
    </row>
    <row r="1485">
      <c r="B1485" s="3" t="inlineStr">
        <is>
          <t>Pairing ID</t>
        </is>
      </c>
      <c r="C1485" s="3" t="inlineStr">
        <is>
          <t>FECHA REAL</t>
        </is>
      </c>
      <c r="D1485" s="3" t="inlineStr">
        <is>
          <t>Day of Week</t>
        </is>
      </c>
      <c r="E1485" s="3" t="inlineStr">
        <is>
          <t>Flight No</t>
        </is>
      </c>
      <c r="F1485" s="3" t="inlineStr">
        <is>
          <t>Dep Stn</t>
        </is>
      </c>
      <c r="G1485" s="3" t="inlineStr">
        <is>
          <t>Arr Stn</t>
        </is>
      </c>
      <c r="H1485" s="3" t="inlineStr">
        <is>
          <t>STD</t>
        </is>
      </c>
      <c r="I1485" s="3" t="inlineStr">
        <is>
          <t>STA</t>
        </is>
      </c>
      <c r="J1485" s="3" t="inlineStr">
        <is>
          <t>subflota</t>
        </is>
      </c>
      <c r="K1485" s="3" t="inlineStr">
        <is>
          <t>Conexion</t>
        </is>
      </c>
      <c r="L1485" s="3" t="inlineStr">
        <is>
          <t>HBT</t>
        </is>
      </c>
    </row>
    <row r="1486">
      <c r="B1486" s="4" t="inlineStr">
        <is>
          <t>1688_0</t>
        </is>
      </c>
      <c r="C1486" s="4" t="inlineStr">
        <is>
          <t>19/09/2026</t>
        </is>
      </c>
      <c r="D1486" s="4" t="inlineStr">
        <is>
          <t>sábado</t>
        </is>
      </c>
      <c r="E1486" s="4" t="inlineStr">
        <is>
          <t>2338</t>
        </is>
      </c>
      <c r="F1486" s="4" t="inlineStr">
        <is>
          <t>LIM</t>
        </is>
      </c>
      <c r="G1486" s="4" t="inlineStr">
        <is>
          <t>PIU</t>
        </is>
      </c>
      <c r="H1486" s="4" t="inlineStr">
        <is>
          <t>15:00:00</t>
        </is>
      </c>
      <c r="I1486" s="4" t="inlineStr">
        <is>
          <t>16:45:00</t>
        </is>
      </c>
      <c r="J1486" s="4" t="inlineStr">
        <is>
          <t>320</t>
        </is>
      </c>
      <c r="L1486" s="4" t="inlineStr">
        <is>
          <t>01:45:00</t>
        </is>
      </c>
      <c r="M1486" s="5" t="n"/>
      <c r="O1486" s="5" t="n"/>
      <c r="Q1486" s="4">
        <f>B1486</f>
        <v/>
      </c>
      <c r="R1486" s="4">
        <f>C1486</f>
        <v/>
      </c>
      <c r="S1486" s="4">
        <f>D1486</f>
        <v/>
      </c>
      <c r="T1486" s="4">
        <f>E1486&amp;"/"&amp;E1487</f>
        <v/>
      </c>
      <c r="U1486" s="4">
        <f>F1486&amp;"-"&amp;G1486&amp;"-"&amp;F1486</f>
        <v/>
      </c>
      <c r="V1486" s="4">
        <f>IF($M$1486="","",$M$1486)</f>
        <v/>
      </c>
      <c r="W1486" s="4">
        <f>IF($O$1486="","",$O$1486)</f>
        <v/>
      </c>
      <c r="X1486" s="4">
        <f>J1486</f>
        <v/>
      </c>
    </row>
    <row r="1487">
      <c r="B1487" s="4" t="inlineStr">
        <is>
          <t>1688_0</t>
        </is>
      </c>
      <c r="C1487" s="4" t="inlineStr">
        <is>
          <t>19/09/2026</t>
        </is>
      </c>
      <c r="D1487" s="4" t="inlineStr">
        <is>
          <t>sábado</t>
        </is>
      </c>
      <c r="E1487" s="4" t="inlineStr">
        <is>
          <t>2339</t>
        </is>
      </c>
      <c r="F1487" s="4" t="inlineStr">
        <is>
          <t>PIU</t>
        </is>
      </c>
      <c r="G1487" s="4" t="inlineStr">
        <is>
          <t>LIM</t>
        </is>
      </c>
      <c r="H1487" s="4" t="inlineStr">
        <is>
          <t>17:20:00</t>
        </is>
      </c>
      <c r="I1487" s="4" t="inlineStr">
        <is>
          <t>18:50:00</t>
        </is>
      </c>
      <c r="J1487" s="4" t="inlineStr">
        <is>
          <t>320</t>
        </is>
      </c>
      <c r="K1487">
        <f>TEXT(TIMEVALUE(H1487)-TIMEVALUE(I1486)+(TIMEVALUE(H1487)&lt;TIMEVALUE(I1486)),"[h]:mm")</f>
        <v/>
      </c>
      <c r="L1487" s="4" t="inlineStr">
        <is>
          <t>01:30:00</t>
        </is>
      </c>
      <c r="O1487">
        <f>"LIM-"&amp;G1486&amp;"-LIM   LA "&amp;E1486&amp;" ("&amp;LEFT(H1486,5)&amp;"-"&amp;LEFT(I1486,5)&amp;" hrs)  /  LA "&amp;E1487&amp;" ("&amp;LEFT(H1487,5)&amp;"-"&amp;LEFT(I1487,5)&amp;" hrs)"</f>
        <v/>
      </c>
    </row>
    <row r="1488">
      <c r="J1488" s="7" t="inlineStr">
        <is>
          <t>PSV total:</t>
        </is>
      </c>
      <c r="K1488" s="8">
        <f>TEXT(TIMEVALUE(I1487)-TIMEVALUE(H1486)+(I1487&lt;H1486),"[h]:mm")</f>
        <v/>
      </c>
    </row>
    <row r="1490">
      <c r="B1490" s="3" t="inlineStr">
        <is>
          <t>Pairing ID</t>
        </is>
      </c>
      <c r="C1490" s="3" t="inlineStr">
        <is>
          <t>FECHA REAL</t>
        </is>
      </c>
      <c r="D1490" s="3" t="inlineStr">
        <is>
          <t>Day of Week</t>
        </is>
      </c>
      <c r="E1490" s="3" t="inlineStr">
        <is>
          <t>Flight No</t>
        </is>
      </c>
      <c r="F1490" s="3" t="inlineStr">
        <is>
          <t>Dep Stn</t>
        </is>
      </c>
      <c r="G1490" s="3" t="inlineStr">
        <is>
          <t>Arr Stn</t>
        </is>
      </c>
      <c r="H1490" s="3" t="inlineStr">
        <is>
          <t>STD</t>
        </is>
      </c>
      <c r="I1490" s="3" t="inlineStr">
        <is>
          <t>STA</t>
        </is>
      </c>
      <c r="J1490" s="3" t="inlineStr">
        <is>
          <t>subflota</t>
        </is>
      </c>
      <c r="K1490" s="3" t="inlineStr">
        <is>
          <t>Conexion</t>
        </is>
      </c>
      <c r="L1490" s="3" t="inlineStr">
        <is>
          <t>HBT</t>
        </is>
      </c>
    </row>
    <row r="1491">
      <c r="B1491" s="4" t="inlineStr">
        <is>
          <t>1689_0</t>
        </is>
      </c>
      <c r="C1491" s="4" t="inlineStr">
        <is>
          <t>19/09/2026</t>
        </is>
      </c>
      <c r="D1491" s="4" t="inlineStr">
        <is>
          <t>sábado</t>
        </is>
      </c>
      <c r="E1491" s="4" t="inlineStr">
        <is>
          <t>2297</t>
        </is>
      </c>
      <c r="F1491" s="4" t="inlineStr">
        <is>
          <t>LIM</t>
        </is>
      </c>
      <c r="G1491" s="4" t="inlineStr">
        <is>
          <t>CJA</t>
        </is>
      </c>
      <c r="H1491" s="4" t="inlineStr">
        <is>
          <t>15:15:00</t>
        </is>
      </c>
      <c r="I1491" s="4" t="inlineStr">
        <is>
          <t>16:35:00</t>
        </is>
      </c>
      <c r="J1491" s="4" t="inlineStr">
        <is>
          <t>319</t>
        </is>
      </c>
      <c r="L1491" s="4" t="inlineStr">
        <is>
          <t>01:20:00</t>
        </is>
      </c>
      <c r="M1491" s="5" t="n"/>
      <c r="O1491" s="5" t="n"/>
      <c r="Q1491" s="4">
        <f>B1491</f>
        <v/>
      </c>
      <c r="R1491" s="4">
        <f>C1491</f>
        <v/>
      </c>
      <c r="S1491" s="4">
        <f>D1491</f>
        <v/>
      </c>
      <c r="T1491" s="4">
        <f>E1491&amp;"/"&amp;E1492</f>
        <v/>
      </c>
      <c r="U1491" s="4">
        <f>F1491&amp;"-"&amp;G1491&amp;"-"&amp;F1491</f>
        <v/>
      </c>
      <c r="V1491" s="4">
        <f>IF($M$1491="","",$M$1491)</f>
        <v/>
      </c>
      <c r="W1491" s="4">
        <f>IF($O$1491="","",$O$1491)</f>
        <v/>
      </c>
      <c r="X1491" s="4">
        <f>J1491</f>
        <v/>
      </c>
    </row>
    <row r="1492">
      <c r="B1492" s="4" t="inlineStr">
        <is>
          <t>1689_0</t>
        </is>
      </c>
      <c r="C1492" s="4" t="inlineStr">
        <is>
          <t>19/09/2026</t>
        </is>
      </c>
      <c r="D1492" s="4" t="inlineStr">
        <is>
          <t>sábado</t>
        </is>
      </c>
      <c r="E1492" s="4" t="inlineStr">
        <is>
          <t>2296</t>
        </is>
      </c>
      <c r="F1492" s="4" t="inlineStr">
        <is>
          <t>CJA</t>
        </is>
      </c>
      <c r="G1492" s="4" t="inlineStr">
        <is>
          <t>LIM</t>
        </is>
      </c>
      <c r="H1492" s="4" t="inlineStr">
        <is>
          <t>17:20:00</t>
        </is>
      </c>
      <c r="I1492" s="4" t="inlineStr">
        <is>
          <t>18:25:00</t>
        </is>
      </c>
      <c r="J1492" s="4" t="inlineStr">
        <is>
          <t>319</t>
        </is>
      </c>
      <c r="K1492">
        <f>TEXT(TIMEVALUE(H1492)-TIMEVALUE(I1491)+(TIMEVALUE(H1492)&lt;TIMEVALUE(I1491)),"[h]:mm")</f>
        <v/>
      </c>
      <c r="L1492" s="4" t="inlineStr">
        <is>
          <t>01:05:00</t>
        </is>
      </c>
      <c r="O1492">
        <f>"LIM-"&amp;G1491&amp;"-LIM   LA "&amp;E1491&amp;" ("&amp;LEFT(H1491,5)&amp;"-"&amp;LEFT(I1491,5)&amp;" hrs)  /  LA "&amp;E1492&amp;" ("&amp;LEFT(H1492,5)&amp;"-"&amp;LEFT(I1492,5)&amp;" hrs)"</f>
        <v/>
      </c>
    </row>
    <row r="1493">
      <c r="J1493" s="7" t="inlineStr">
        <is>
          <t>PSV total:</t>
        </is>
      </c>
      <c r="K1493" s="8">
        <f>TEXT(TIMEVALUE(I1492)-TIMEVALUE(H1491)+(I1492&lt;H1491),"[h]:mm")</f>
        <v/>
      </c>
    </row>
    <row r="1495">
      <c r="B1495" s="3" t="inlineStr">
        <is>
          <t>Pairing ID</t>
        </is>
      </c>
      <c r="C1495" s="3" t="inlineStr">
        <is>
          <t>FECHA REAL</t>
        </is>
      </c>
      <c r="D1495" s="3" t="inlineStr">
        <is>
          <t>Day of Week</t>
        </is>
      </c>
      <c r="E1495" s="3" t="inlineStr">
        <is>
          <t>Flight No</t>
        </is>
      </c>
      <c r="F1495" s="3" t="inlineStr">
        <is>
          <t>Dep Stn</t>
        </is>
      </c>
      <c r="G1495" s="3" t="inlineStr">
        <is>
          <t>Arr Stn</t>
        </is>
      </c>
      <c r="H1495" s="3" t="inlineStr">
        <is>
          <t>STD</t>
        </is>
      </c>
      <c r="I1495" s="3" t="inlineStr">
        <is>
          <t>STA</t>
        </is>
      </c>
      <c r="J1495" s="3" t="inlineStr">
        <is>
          <t>subflota</t>
        </is>
      </c>
      <c r="K1495" s="3" t="inlineStr">
        <is>
          <t>Conexion</t>
        </is>
      </c>
      <c r="L1495" s="3" t="inlineStr">
        <is>
          <t>HBT</t>
        </is>
      </c>
    </row>
    <row r="1496">
      <c r="B1496" s="4" t="inlineStr">
        <is>
          <t>1692_0</t>
        </is>
      </c>
      <c r="C1496" s="4" t="inlineStr">
        <is>
          <t>19/09/2026</t>
        </is>
      </c>
      <c r="D1496" s="4" t="inlineStr">
        <is>
          <t>sábado</t>
        </is>
      </c>
      <c r="E1496" s="4" t="inlineStr">
        <is>
          <t>2312</t>
        </is>
      </c>
      <c r="F1496" s="4" t="inlineStr">
        <is>
          <t>LIM</t>
        </is>
      </c>
      <c r="G1496" s="4" t="inlineStr">
        <is>
          <t>CIX</t>
        </is>
      </c>
      <c r="H1496" s="4" t="inlineStr">
        <is>
          <t>15:35:00</t>
        </is>
      </c>
      <c r="I1496" s="4" t="inlineStr">
        <is>
          <t>17:05:00</t>
        </is>
      </c>
      <c r="J1496" s="4" t="inlineStr">
        <is>
          <t>320</t>
        </is>
      </c>
      <c r="L1496" s="4" t="inlineStr">
        <is>
          <t>01:30:00</t>
        </is>
      </c>
      <c r="M1496" s="5" t="n"/>
      <c r="O1496" s="5" t="n"/>
      <c r="Q1496" s="4">
        <f>B1496</f>
        <v/>
      </c>
      <c r="R1496" s="4">
        <f>C1496</f>
        <v/>
      </c>
      <c r="S1496" s="4">
        <f>D1496</f>
        <v/>
      </c>
      <c r="T1496" s="4">
        <f>E1496&amp;"/"&amp;E1497</f>
        <v/>
      </c>
      <c r="U1496" s="4">
        <f>F1496&amp;"-"&amp;G1496&amp;"-"&amp;F1496</f>
        <v/>
      </c>
      <c r="V1496" s="4">
        <f>IF($M$1496="","",$M$1496)</f>
        <v/>
      </c>
      <c r="W1496" s="4">
        <f>IF($O$1496="","",$O$1496)</f>
        <v/>
      </c>
      <c r="X1496" s="4">
        <f>J1496</f>
        <v/>
      </c>
    </row>
    <row r="1497">
      <c r="B1497" s="4" t="inlineStr">
        <is>
          <t>1692_0</t>
        </is>
      </c>
      <c r="C1497" s="4" t="inlineStr">
        <is>
          <t>19/09/2026</t>
        </is>
      </c>
      <c r="D1497" s="4" t="inlineStr">
        <is>
          <t>sábado</t>
        </is>
      </c>
      <c r="E1497" s="4" t="inlineStr">
        <is>
          <t>2313</t>
        </is>
      </c>
      <c r="F1497" s="4" t="inlineStr">
        <is>
          <t>CIX</t>
        </is>
      </c>
      <c r="G1497" s="4" t="inlineStr">
        <is>
          <t>LIM</t>
        </is>
      </c>
      <c r="H1497" s="4" t="inlineStr">
        <is>
          <t>17:50:00</t>
        </is>
      </c>
      <c r="I1497" s="4" t="inlineStr">
        <is>
          <t>19:10:00</t>
        </is>
      </c>
      <c r="J1497" s="4" t="inlineStr">
        <is>
          <t>320</t>
        </is>
      </c>
      <c r="K1497">
        <f>TEXT(TIMEVALUE(H1497)-TIMEVALUE(I1496)+(TIMEVALUE(H1497)&lt;TIMEVALUE(I1496)),"[h]:mm")</f>
        <v/>
      </c>
      <c r="L1497" s="4" t="inlineStr">
        <is>
          <t>01:20:00</t>
        </is>
      </c>
      <c r="O1497">
        <f>"LIM-"&amp;G1496&amp;"-LIM   LA "&amp;E1496&amp;" ("&amp;LEFT(H1496,5)&amp;"-"&amp;LEFT(I1496,5)&amp;" hrs)  /  LA "&amp;E1497&amp;" ("&amp;LEFT(H1497,5)&amp;"-"&amp;LEFT(I1497,5)&amp;" hrs)"</f>
        <v/>
      </c>
    </row>
    <row r="1498">
      <c r="J1498" s="7" t="inlineStr">
        <is>
          <t>PSV total:</t>
        </is>
      </c>
      <c r="K1498" s="8">
        <f>TEXT(TIMEVALUE(I1497)-TIMEVALUE(H1496)+(I1497&lt;H1496),"[h]:mm")</f>
        <v/>
      </c>
    </row>
    <row r="1500">
      <c r="B1500" s="3" t="inlineStr">
        <is>
          <t>Pairing ID</t>
        </is>
      </c>
      <c r="C1500" s="3" t="inlineStr">
        <is>
          <t>FECHA REAL</t>
        </is>
      </c>
      <c r="D1500" s="3" t="inlineStr">
        <is>
          <t>Day of Week</t>
        </is>
      </c>
      <c r="E1500" s="3" t="inlineStr">
        <is>
          <t>Flight No</t>
        </is>
      </c>
      <c r="F1500" s="3" t="inlineStr">
        <is>
          <t>Dep Stn</t>
        </is>
      </c>
      <c r="G1500" s="3" t="inlineStr">
        <is>
          <t>Arr Stn</t>
        </is>
      </c>
      <c r="H1500" s="3" t="inlineStr">
        <is>
          <t>STD</t>
        </is>
      </c>
      <c r="I1500" s="3" t="inlineStr">
        <is>
          <t>STA</t>
        </is>
      </c>
      <c r="J1500" s="3" t="inlineStr">
        <is>
          <t>subflota</t>
        </is>
      </c>
      <c r="K1500" s="3" t="inlineStr">
        <is>
          <t>Conexion</t>
        </is>
      </c>
      <c r="L1500" s="3" t="inlineStr">
        <is>
          <t>HBT</t>
        </is>
      </c>
    </row>
    <row r="1501">
      <c r="B1501" s="4" t="inlineStr">
        <is>
          <t>1693_0</t>
        </is>
      </c>
      <c r="C1501" s="4" t="inlineStr">
        <is>
          <t>19/09/2026</t>
        </is>
      </c>
      <c r="D1501" s="4" t="inlineStr">
        <is>
          <t>sábado</t>
        </is>
      </c>
      <c r="E1501" s="4" t="inlineStr">
        <is>
          <t>2301</t>
        </is>
      </c>
      <c r="F1501" s="4" t="inlineStr">
        <is>
          <t>LIM</t>
        </is>
      </c>
      <c r="G1501" s="4" t="inlineStr">
        <is>
          <t>TPP</t>
        </is>
      </c>
      <c r="H1501" s="4" t="inlineStr">
        <is>
          <t>15:40:00</t>
        </is>
      </c>
      <c r="I1501" s="4" t="inlineStr">
        <is>
          <t>17:05:00</t>
        </is>
      </c>
      <c r="J1501" s="4" t="inlineStr">
        <is>
          <t>320</t>
        </is>
      </c>
      <c r="L1501" s="4" t="inlineStr">
        <is>
          <t>01:25:00</t>
        </is>
      </c>
      <c r="M1501" s="5" t="n"/>
      <c r="O1501" s="5" t="n"/>
      <c r="Q1501" s="4">
        <f>B1501</f>
        <v/>
      </c>
      <c r="R1501" s="4">
        <f>C1501</f>
        <v/>
      </c>
      <c r="S1501" s="4">
        <f>D1501</f>
        <v/>
      </c>
      <c r="T1501" s="4">
        <f>E1501&amp;"/"&amp;E1502</f>
        <v/>
      </c>
      <c r="U1501" s="4">
        <f>F1501&amp;"-"&amp;G1501&amp;"-"&amp;F1501</f>
        <v/>
      </c>
      <c r="V1501" s="4">
        <f>IF($M$1501="","",$M$1501)</f>
        <v/>
      </c>
      <c r="W1501" s="4">
        <f>IF($O$1501="","",$O$1501)</f>
        <v/>
      </c>
      <c r="X1501" s="4">
        <f>J1501</f>
        <v/>
      </c>
    </row>
    <row r="1502">
      <c r="B1502" s="4" t="inlineStr">
        <is>
          <t>1693_0</t>
        </is>
      </c>
      <c r="C1502" s="4" t="inlineStr">
        <is>
          <t>19/09/2026</t>
        </is>
      </c>
      <c r="D1502" s="4" t="inlineStr">
        <is>
          <t>sábado</t>
        </is>
      </c>
      <c r="E1502" s="4" t="inlineStr">
        <is>
          <t>2300</t>
        </is>
      </c>
      <c r="F1502" s="4" t="inlineStr">
        <is>
          <t>TPP</t>
        </is>
      </c>
      <c r="G1502" s="4" t="inlineStr">
        <is>
          <t>LIM</t>
        </is>
      </c>
      <c r="H1502" s="4" t="inlineStr">
        <is>
          <t>17:50:00</t>
        </is>
      </c>
      <c r="I1502" s="4" t="inlineStr">
        <is>
          <t>19:20:00</t>
        </is>
      </c>
      <c r="J1502" s="4" t="inlineStr">
        <is>
          <t>320</t>
        </is>
      </c>
      <c r="K1502">
        <f>TEXT(TIMEVALUE(H1502)-TIMEVALUE(I1501)+(TIMEVALUE(H1502)&lt;TIMEVALUE(I1501)),"[h]:mm")</f>
        <v/>
      </c>
      <c r="L1502" s="4" t="inlineStr">
        <is>
          <t>01:30:00</t>
        </is>
      </c>
      <c r="O1502">
        <f>"LIM-"&amp;G1501&amp;"-LIM   LA "&amp;E1501&amp;" ("&amp;LEFT(H1501,5)&amp;"-"&amp;LEFT(I1501,5)&amp;" hrs)  /  LA "&amp;E1502&amp;" ("&amp;LEFT(H1502,5)&amp;"-"&amp;LEFT(I1502,5)&amp;" hrs)"</f>
        <v/>
      </c>
    </row>
    <row r="1503">
      <c r="J1503" s="7" t="inlineStr">
        <is>
          <t>PSV total:</t>
        </is>
      </c>
      <c r="K1503" s="8">
        <f>TEXT(TIMEVALUE(I1502)-TIMEVALUE(H1501)+(I1502&lt;H1501),"[h]:mm")</f>
        <v/>
      </c>
    </row>
    <row r="1505">
      <c r="B1505" s="3" t="inlineStr">
        <is>
          <t>Pairing ID</t>
        </is>
      </c>
      <c r="C1505" s="3" t="inlineStr">
        <is>
          <t>FECHA REAL</t>
        </is>
      </c>
      <c r="D1505" s="3" t="inlineStr">
        <is>
          <t>Day of Week</t>
        </is>
      </c>
      <c r="E1505" s="3" t="inlineStr">
        <is>
          <t>Flight No</t>
        </is>
      </c>
      <c r="F1505" s="3" t="inlineStr">
        <is>
          <t>Dep Stn</t>
        </is>
      </c>
      <c r="G1505" s="3" t="inlineStr">
        <is>
          <t>Arr Stn</t>
        </is>
      </c>
      <c r="H1505" s="3" t="inlineStr">
        <is>
          <t>STD</t>
        </is>
      </c>
      <c r="I1505" s="3" t="inlineStr">
        <is>
          <t>STA</t>
        </is>
      </c>
      <c r="J1505" s="3" t="inlineStr">
        <is>
          <t>subflota</t>
        </is>
      </c>
      <c r="K1505" s="3" t="inlineStr">
        <is>
          <t>Conexion</t>
        </is>
      </c>
      <c r="L1505" s="3" t="inlineStr">
        <is>
          <t>HBT</t>
        </is>
      </c>
    </row>
    <row r="1506">
      <c r="B1506" s="4" t="inlineStr">
        <is>
          <t>1697_0</t>
        </is>
      </c>
      <c r="C1506" s="4" t="inlineStr">
        <is>
          <t>19/09/2026</t>
        </is>
      </c>
      <c r="D1506" s="4" t="inlineStr">
        <is>
          <t>sábado</t>
        </is>
      </c>
      <c r="E1506" s="4" t="inlineStr">
        <is>
          <t>2053</t>
        </is>
      </c>
      <c r="F1506" s="4" t="inlineStr">
        <is>
          <t>LIM</t>
        </is>
      </c>
      <c r="G1506" s="4" t="inlineStr">
        <is>
          <t>TBP</t>
        </is>
      </c>
      <c r="H1506" s="4" t="inlineStr">
        <is>
          <t>16:20:00</t>
        </is>
      </c>
      <c r="I1506" s="4" t="inlineStr">
        <is>
          <t>18:10:00</t>
        </is>
      </c>
      <c r="J1506" s="4" t="inlineStr">
        <is>
          <t>320</t>
        </is>
      </c>
      <c r="L1506" s="4" t="inlineStr">
        <is>
          <t>01:50:00</t>
        </is>
      </c>
      <c r="M1506" s="5" t="n"/>
      <c r="O1506" s="5" t="n"/>
      <c r="Q1506" s="4">
        <f>B1506</f>
        <v/>
      </c>
      <c r="R1506" s="4">
        <f>C1506</f>
        <v/>
      </c>
      <c r="S1506" s="4">
        <f>D1506</f>
        <v/>
      </c>
      <c r="T1506" s="4">
        <f>E1506&amp;"/"&amp;E1507</f>
        <v/>
      </c>
      <c r="U1506" s="4">
        <f>F1506&amp;"-"&amp;G1506&amp;"-"&amp;F1506</f>
        <v/>
      </c>
      <c r="V1506" s="4">
        <f>IF($M$1506="","",$M$1506)</f>
        <v/>
      </c>
      <c r="W1506" s="4">
        <f>IF($O$1506="","",$O$1506)</f>
        <v/>
      </c>
      <c r="X1506" s="4">
        <f>J1506</f>
        <v/>
      </c>
    </row>
    <row r="1507">
      <c r="B1507" s="4" t="inlineStr">
        <is>
          <t>1697_0</t>
        </is>
      </c>
      <c r="C1507" s="4" t="inlineStr">
        <is>
          <t>19/09/2026</t>
        </is>
      </c>
      <c r="D1507" s="4" t="inlineStr">
        <is>
          <t>sábado</t>
        </is>
      </c>
      <c r="E1507" s="4" t="inlineStr">
        <is>
          <t>2054</t>
        </is>
      </c>
      <c r="F1507" s="4" t="inlineStr">
        <is>
          <t>TBP</t>
        </is>
      </c>
      <c r="G1507" s="4" t="inlineStr">
        <is>
          <t>LIM</t>
        </is>
      </c>
      <c r="H1507" s="4" t="inlineStr">
        <is>
          <t>18:50:00</t>
        </is>
      </c>
      <c r="I1507" s="4" t="inlineStr">
        <is>
          <t>20:30:00</t>
        </is>
      </c>
      <c r="J1507" s="4" t="inlineStr">
        <is>
          <t>320</t>
        </is>
      </c>
      <c r="K1507">
        <f>TEXT(TIMEVALUE(H1507)-TIMEVALUE(I1506)+(TIMEVALUE(H1507)&lt;TIMEVALUE(I1506)),"[h]:mm")</f>
        <v/>
      </c>
      <c r="L1507" s="4" t="inlineStr">
        <is>
          <t>01:40:00</t>
        </is>
      </c>
      <c r="O1507">
        <f>"LIM-"&amp;G1506&amp;"-LIM   LA "&amp;E1506&amp;" ("&amp;LEFT(H1506,5)&amp;"-"&amp;LEFT(I1506,5)&amp;" hrs)  /  LA "&amp;E1507&amp;" ("&amp;LEFT(H1507,5)&amp;"-"&amp;LEFT(I1507,5)&amp;" hrs)"</f>
        <v/>
      </c>
    </row>
    <row r="1508">
      <c r="J1508" s="7" t="inlineStr">
        <is>
          <t>PSV total:</t>
        </is>
      </c>
      <c r="K1508" s="8">
        <f>TEXT(TIMEVALUE(I1507)-TIMEVALUE(H1506)+(I1507&lt;H1506),"[h]:mm")</f>
        <v/>
      </c>
    </row>
    <row r="1510">
      <c r="B1510" s="3" t="inlineStr">
        <is>
          <t>Pairing ID</t>
        </is>
      </c>
      <c r="C1510" s="3" t="inlineStr">
        <is>
          <t>FECHA REAL</t>
        </is>
      </c>
      <c r="D1510" s="3" t="inlineStr">
        <is>
          <t>Day of Week</t>
        </is>
      </c>
      <c r="E1510" s="3" t="inlineStr">
        <is>
          <t>Flight No</t>
        </is>
      </c>
      <c r="F1510" s="3" t="inlineStr">
        <is>
          <t>Dep Stn</t>
        </is>
      </c>
      <c r="G1510" s="3" t="inlineStr">
        <is>
          <t>Arr Stn</t>
        </is>
      </c>
      <c r="H1510" s="3" t="inlineStr">
        <is>
          <t>STD</t>
        </is>
      </c>
      <c r="I1510" s="3" t="inlineStr">
        <is>
          <t>STA</t>
        </is>
      </c>
      <c r="J1510" s="3" t="inlineStr">
        <is>
          <t>subflota</t>
        </is>
      </c>
      <c r="K1510" s="3" t="inlineStr">
        <is>
          <t>Conexion</t>
        </is>
      </c>
      <c r="L1510" s="3" t="inlineStr">
        <is>
          <t>HBT</t>
        </is>
      </c>
    </row>
    <row r="1511">
      <c r="B1511" s="4" t="inlineStr">
        <is>
          <t>1698_0</t>
        </is>
      </c>
      <c r="C1511" s="4" t="inlineStr">
        <is>
          <t>19/09/2026</t>
        </is>
      </c>
      <c r="D1511" s="4" t="inlineStr">
        <is>
          <t>sábado</t>
        </is>
      </c>
      <c r="E1511" s="4" t="inlineStr">
        <is>
          <t>2215</t>
        </is>
      </c>
      <c r="F1511" s="4" t="inlineStr">
        <is>
          <t>LIM</t>
        </is>
      </c>
      <c r="G1511" s="4" t="inlineStr">
        <is>
          <t>TCQ</t>
        </is>
      </c>
      <c r="H1511" s="4" t="inlineStr">
        <is>
          <t>16:30:00</t>
        </is>
      </c>
      <c r="I1511" s="4" t="inlineStr">
        <is>
          <t>18:20:00</t>
        </is>
      </c>
      <c r="J1511" s="4" t="inlineStr">
        <is>
          <t>320</t>
        </is>
      </c>
      <c r="L1511" s="4" t="inlineStr">
        <is>
          <t>01:50:00</t>
        </is>
      </c>
      <c r="M1511" s="5" t="n"/>
      <c r="O1511" s="5" t="n"/>
      <c r="Q1511" s="4">
        <f>B1511</f>
        <v/>
      </c>
      <c r="R1511" s="4">
        <f>C1511</f>
        <v/>
      </c>
      <c r="S1511" s="4">
        <f>D1511</f>
        <v/>
      </c>
      <c r="T1511" s="4">
        <f>E1511&amp;"/"&amp;E1512</f>
        <v/>
      </c>
      <c r="U1511" s="4">
        <f>F1511&amp;"-"&amp;G1511&amp;"-"&amp;F1511</f>
        <v/>
      </c>
      <c r="V1511" s="4">
        <f>IF($M$1511="","",$M$1511)</f>
        <v/>
      </c>
      <c r="W1511" s="4">
        <f>IF($O$1511="","",$O$1511)</f>
        <v/>
      </c>
      <c r="X1511" s="4">
        <f>J1511</f>
        <v/>
      </c>
    </row>
    <row r="1512">
      <c r="B1512" s="4" t="inlineStr">
        <is>
          <t>1698_0</t>
        </is>
      </c>
      <c r="C1512" s="4" t="inlineStr">
        <is>
          <t>19/09/2026</t>
        </is>
      </c>
      <c r="D1512" s="4" t="inlineStr">
        <is>
          <t>sábado</t>
        </is>
      </c>
      <c r="E1512" s="4" t="inlineStr">
        <is>
          <t>2216</t>
        </is>
      </c>
      <c r="F1512" s="4" t="inlineStr">
        <is>
          <t>TCQ</t>
        </is>
      </c>
      <c r="G1512" s="4" t="inlineStr">
        <is>
          <t>LIM</t>
        </is>
      </c>
      <c r="H1512" s="4" t="inlineStr">
        <is>
          <t>18:55:00</t>
        </is>
      </c>
      <c r="I1512" s="4" t="inlineStr">
        <is>
          <t>20:50:00</t>
        </is>
      </c>
      <c r="J1512" s="4" t="inlineStr">
        <is>
          <t>320</t>
        </is>
      </c>
      <c r="K1512">
        <f>TEXT(TIMEVALUE(H1512)-TIMEVALUE(I1511)+(TIMEVALUE(H1512)&lt;TIMEVALUE(I1511)),"[h]:mm")</f>
        <v/>
      </c>
      <c r="L1512" s="4" t="inlineStr">
        <is>
          <t>01:55:00</t>
        </is>
      </c>
      <c r="O1512">
        <f>"LIM-"&amp;G1511&amp;"-LIM   LA "&amp;E1511&amp;" ("&amp;LEFT(H1511,5)&amp;"-"&amp;LEFT(I1511,5)&amp;" hrs)  /  LA "&amp;E1512&amp;" ("&amp;LEFT(H1512,5)&amp;"-"&amp;LEFT(I1512,5)&amp;" hrs)"</f>
        <v/>
      </c>
    </row>
    <row r="1513">
      <c r="J1513" s="7" t="inlineStr">
        <is>
          <t>PSV total:</t>
        </is>
      </c>
      <c r="K1513" s="8">
        <f>TEXT(TIMEVALUE(I1512)-TIMEVALUE(H1511)+(I1512&lt;H1511),"[h]:mm")</f>
        <v/>
      </c>
    </row>
    <row r="1515">
      <c r="B1515" s="3" t="inlineStr">
        <is>
          <t>Pairing ID</t>
        </is>
      </c>
      <c r="C1515" s="3" t="inlineStr">
        <is>
          <t>FECHA REAL</t>
        </is>
      </c>
      <c r="D1515" s="3" t="inlineStr">
        <is>
          <t>Day of Week</t>
        </is>
      </c>
      <c r="E1515" s="3" t="inlineStr">
        <is>
          <t>Flight No</t>
        </is>
      </c>
      <c r="F1515" s="3" t="inlineStr">
        <is>
          <t>Dep Stn</t>
        </is>
      </c>
      <c r="G1515" s="3" t="inlineStr">
        <is>
          <t>Arr Stn</t>
        </is>
      </c>
      <c r="H1515" s="3" t="inlineStr">
        <is>
          <t>STD</t>
        </is>
      </c>
      <c r="I1515" s="3" t="inlineStr">
        <is>
          <t>STA</t>
        </is>
      </c>
      <c r="J1515" s="3" t="inlineStr">
        <is>
          <t>subflota</t>
        </is>
      </c>
      <c r="K1515" s="3" t="inlineStr">
        <is>
          <t>Conexion</t>
        </is>
      </c>
      <c r="L1515" s="3" t="inlineStr">
        <is>
          <t>HBT</t>
        </is>
      </c>
    </row>
    <row r="1516">
      <c r="B1516" s="4" t="inlineStr">
        <is>
          <t>1742_0</t>
        </is>
      </c>
      <c r="C1516" s="4" t="inlineStr">
        <is>
          <t>20/09/2026</t>
        </is>
      </c>
      <c r="D1516" s="4" t="inlineStr">
        <is>
          <t>domingo</t>
        </is>
      </c>
      <c r="E1516" s="4" t="inlineStr">
        <is>
          <t>2013</t>
        </is>
      </c>
      <c r="F1516" s="4" t="inlineStr">
        <is>
          <t>LIM</t>
        </is>
      </c>
      <c r="G1516" s="4" t="inlineStr">
        <is>
          <t>CUZ</t>
        </is>
      </c>
      <c r="H1516" s="4" t="inlineStr">
        <is>
          <t>08:35:00</t>
        </is>
      </c>
      <c r="I1516" s="4" t="inlineStr">
        <is>
          <t>09:55:00</t>
        </is>
      </c>
      <c r="J1516" s="4" t="inlineStr">
        <is>
          <t>320</t>
        </is>
      </c>
      <c r="L1516" s="4" t="inlineStr">
        <is>
          <t>01:20:00</t>
        </is>
      </c>
      <c r="M1516" s="5" t="n"/>
      <c r="O1516" s="5" t="n"/>
      <c r="Q1516" s="4">
        <f>B1516</f>
        <v/>
      </c>
      <c r="R1516" s="4">
        <f>C1516</f>
        <v/>
      </c>
      <c r="S1516" s="4">
        <f>D1516</f>
        <v/>
      </c>
      <c r="T1516" s="4">
        <f>E1516&amp;"/"&amp;E1517</f>
        <v/>
      </c>
      <c r="U1516" s="4">
        <f>F1516&amp;"-"&amp;G1516&amp;"-"&amp;F1516</f>
        <v/>
      </c>
      <c r="V1516" s="4">
        <f>IF($M$1516="","",$M$1516)</f>
        <v/>
      </c>
      <c r="W1516" s="4">
        <f>IF($O$1516="","",$O$1516)</f>
        <v/>
      </c>
      <c r="X1516" s="4">
        <f>J1516</f>
        <v/>
      </c>
    </row>
    <row r="1517">
      <c r="B1517" s="4" t="inlineStr">
        <is>
          <t>1742_0</t>
        </is>
      </c>
      <c r="C1517" s="4" t="inlineStr">
        <is>
          <t>20/09/2026</t>
        </is>
      </c>
      <c r="D1517" s="4" t="inlineStr">
        <is>
          <t>domingo</t>
        </is>
      </c>
      <c r="E1517" s="4" t="inlineStr">
        <is>
          <t>2014</t>
        </is>
      </c>
      <c r="F1517" s="4" t="inlineStr">
        <is>
          <t>CUZ</t>
        </is>
      </c>
      <c r="G1517" s="4" t="inlineStr">
        <is>
          <t>LIM</t>
        </is>
      </c>
      <c r="H1517" s="4" t="inlineStr">
        <is>
          <t>10:35:00</t>
        </is>
      </c>
      <c r="I1517" s="4" t="inlineStr">
        <is>
          <t>12:10:00</t>
        </is>
      </c>
      <c r="J1517" s="4" t="inlineStr">
        <is>
          <t>320</t>
        </is>
      </c>
      <c r="K1517">
        <f>TEXT(TIMEVALUE(H1517)-TIMEVALUE(I1516)+(TIMEVALUE(H1517)&lt;TIMEVALUE(I1516)),"[h]:mm")</f>
        <v/>
      </c>
      <c r="L1517" s="4" t="inlineStr">
        <is>
          <t>01:35:00</t>
        </is>
      </c>
      <c r="O1517">
        <f>"LIM-"&amp;G1516&amp;"-LIM   LA "&amp;E1516&amp;" ("&amp;LEFT(H1516,5)&amp;"-"&amp;LEFT(I1516,5)&amp;" hrs)  /  LA "&amp;E1517&amp;" ("&amp;LEFT(H1517,5)&amp;"-"&amp;LEFT(I1517,5)&amp;" hrs)"</f>
        <v/>
      </c>
    </row>
    <row r="1518">
      <c r="J1518" s="7" t="inlineStr">
        <is>
          <t>PSV total:</t>
        </is>
      </c>
      <c r="K1518" s="8">
        <f>TEXT(TIMEVALUE(I1517)-TIMEVALUE(H1516)+(I1517&lt;H1516),"[h]:mm")</f>
        <v/>
      </c>
    </row>
    <row r="1520">
      <c r="B1520" s="3" t="inlineStr">
        <is>
          <t>Pairing ID</t>
        </is>
      </c>
      <c r="C1520" s="3" t="inlineStr">
        <is>
          <t>FECHA REAL</t>
        </is>
      </c>
      <c r="D1520" s="3" t="inlineStr">
        <is>
          <t>Day of Week</t>
        </is>
      </c>
      <c r="E1520" s="3" t="inlineStr">
        <is>
          <t>Flight No</t>
        </is>
      </c>
      <c r="F1520" s="3" t="inlineStr">
        <is>
          <t>Dep Stn</t>
        </is>
      </c>
      <c r="G1520" s="3" t="inlineStr">
        <is>
          <t>Arr Stn</t>
        </is>
      </c>
      <c r="H1520" s="3" t="inlineStr">
        <is>
          <t>STD</t>
        </is>
      </c>
      <c r="I1520" s="3" t="inlineStr">
        <is>
          <t>STA</t>
        </is>
      </c>
      <c r="J1520" s="3" t="inlineStr">
        <is>
          <t>subflota</t>
        </is>
      </c>
      <c r="K1520" s="3" t="inlineStr">
        <is>
          <t>Conexion</t>
        </is>
      </c>
      <c r="L1520" s="3" t="inlineStr">
        <is>
          <t>HBT</t>
        </is>
      </c>
    </row>
    <row r="1521">
      <c r="B1521" s="4" t="inlineStr">
        <is>
          <t>1746_0</t>
        </is>
      </c>
      <c r="C1521" s="4" t="inlineStr">
        <is>
          <t>20/09/2026</t>
        </is>
      </c>
      <c r="D1521" s="4" t="inlineStr">
        <is>
          <t>domingo</t>
        </is>
      </c>
      <c r="E1521" s="4" t="inlineStr">
        <is>
          <t>2007</t>
        </is>
      </c>
      <c r="F1521" s="4" t="inlineStr">
        <is>
          <t>LIM</t>
        </is>
      </c>
      <c r="G1521" s="4" t="inlineStr">
        <is>
          <t>CUZ</t>
        </is>
      </c>
      <c r="H1521" s="4" t="inlineStr">
        <is>
          <t>09:10:00</t>
        </is>
      </c>
      <c r="I1521" s="4" t="inlineStr">
        <is>
          <t>10:30:00</t>
        </is>
      </c>
      <c r="J1521" s="4" t="inlineStr">
        <is>
          <t>319</t>
        </is>
      </c>
      <c r="L1521" s="4" t="inlineStr">
        <is>
          <t>01:20:00</t>
        </is>
      </c>
      <c r="M1521" s="5" t="n"/>
      <c r="O1521" s="5" t="n"/>
      <c r="Q1521" s="4">
        <f>B1521</f>
        <v/>
      </c>
      <c r="R1521" s="4">
        <f>C1521</f>
        <v/>
      </c>
      <c r="S1521" s="4">
        <f>D1521</f>
        <v/>
      </c>
      <c r="T1521" s="4">
        <f>E1521&amp;"/"&amp;E1522</f>
        <v/>
      </c>
      <c r="U1521" s="4">
        <f>F1521&amp;"-"&amp;G1521&amp;"-"&amp;F1521</f>
        <v/>
      </c>
      <c r="V1521" s="4">
        <f>IF($M$1521="","",$M$1521)</f>
        <v/>
      </c>
      <c r="W1521" s="4">
        <f>IF($O$1521="","",$O$1521)</f>
        <v/>
      </c>
      <c r="X1521" s="4">
        <f>J1521</f>
        <v/>
      </c>
    </row>
    <row r="1522">
      <c r="B1522" s="4" t="inlineStr">
        <is>
          <t>1746_0</t>
        </is>
      </c>
      <c r="C1522" s="4" t="inlineStr">
        <is>
          <t>20/09/2026</t>
        </is>
      </c>
      <c r="D1522" s="4" t="inlineStr">
        <is>
          <t>domingo</t>
        </is>
      </c>
      <c r="E1522" s="4" t="inlineStr">
        <is>
          <t>2008</t>
        </is>
      </c>
      <c r="F1522" s="4" t="inlineStr">
        <is>
          <t>CUZ</t>
        </is>
      </c>
      <c r="G1522" s="4" t="inlineStr">
        <is>
          <t>LIM</t>
        </is>
      </c>
      <c r="H1522" s="4" t="inlineStr">
        <is>
          <t>11:20:00</t>
        </is>
      </c>
      <c r="I1522" s="4" t="inlineStr">
        <is>
          <t>12:55:00</t>
        </is>
      </c>
      <c r="J1522" s="4" t="inlineStr">
        <is>
          <t>319</t>
        </is>
      </c>
      <c r="K1522">
        <f>TEXT(TIMEVALUE(H1522)-TIMEVALUE(I1521)+(TIMEVALUE(H1522)&lt;TIMEVALUE(I1521)),"[h]:mm")</f>
        <v/>
      </c>
      <c r="L1522" s="4" t="inlineStr">
        <is>
          <t>01:35:00</t>
        </is>
      </c>
      <c r="O1522">
        <f>"LIM-"&amp;G1521&amp;"-LIM   LA "&amp;E1521&amp;" ("&amp;LEFT(H1521,5)&amp;"-"&amp;LEFT(I1521,5)&amp;" hrs)  /  LA "&amp;E1522&amp;" ("&amp;LEFT(H1522,5)&amp;"-"&amp;LEFT(I1522,5)&amp;" hrs)"</f>
        <v/>
      </c>
    </row>
    <row r="1523">
      <c r="B1523" s="4" t="inlineStr">
        <is>
          <t>1764_0</t>
        </is>
      </c>
      <c r="C1523" s="4" t="inlineStr">
        <is>
          <t>20/09/2026</t>
        </is>
      </c>
      <c r="D1523" s="4" t="inlineStr">
        <is>
          <t>domingo</t>
        </is>
      </c>
      <c r="E1523" s="4" t="inlineStr">
        <is>
          <t>2295</t>
        </is>
      </c>
      <c r="F1523" s="4" t="inlineStr">
        <is>
          <t>LIM</t>
        </is>
      </c>
      <c r="G1523" s="4" t="inlineStr">
        <is>
          <t>CJA</t>
        </is>
      </c>
      <c r="H1523" s="4" t="inlineStr">
        <is>
          <t>14:10:00</t>
        </is>
      </c>
      <c r="I1523" s="4" t="inlineStr">
        <is>
          <t>15:30:00</t>
        </is>
      </c>
      <c r="J1523" s="4" t="inlineStr">
        <is>
          <t>320</t>
        </is>
      </c>
      <c r="K1523" s="6">
        <f>TEXT(TIMEVALUE(H1523)-TIMEVALUE(I1522)+(TIMEVALUE(H1523)&lt;TIMEVALUE(I1522)),"[h]:mm")</f>
        <v/>
      </c>
      <c r="L1523" s="4" t="inlineStr">
        <is>
          <t>01:20:00</t>
        </is>
      </c>
      <c r="M1523">
        <f>IF($M$1521="","",$M$1521)</f>
        <v/>
      </c>
      <c r="O1523">
        <f>IF($O$1521="","",$O$1521)</f>
        <v/>
      </c>
      <c r="Q1523" s="4">
        <f>B1523</f>
        <v/>
      </c>
      <c r="R1523" s="4">
        <f>C1523</f>
        <v/>
      </c>
      <c r="S1523" s="4">
        <f>D1523</f>
        <v/>
      </c>
      <c r="T1523" s="4">
        <f>E1523&amp;"/"&amp;E1524</f>
        <v/>
      </c>
      <c r="U1523" s="4">
        <f>F1523&amp;"-"&amp;G1523&amp;"-"&amp;F1523</f>
        <v/>
      </c>
      <c r="V1523" s="4">
        <f>IF($M$1521="","",$M$1521)</f>
        <v/>
      </c>
      <c r="W1523" s="4">
        <f>IF($O$1521="","",$O$1521)</f>
        <v/>
      </c>
      <c r="X1523" s="4">
        <f>J1523</f>
        <v/>
      </c>
    </row>
    <row r="1524">
      <c r="B1524" s="4" t="inlineStr">
        <is>
          <t>1764_0</t>
        </is>
      </c>
      <c r="C1524" s="4" t="inlineStr">
        <is>
          <t>20/09/2026</t>
        </is>
      </c>
      <c r="D1524" s="4" t="inlineStr">
        <is>
          <t>domingo</t>
        </is>
      </c>
      <c r="E1524" s="4" t="inlineStr">
        <is>
          <t>2294</t>
        </is>
      </c>
      <c r="F1524" s="4" t="inlineStr">
        <is>
          <t>CJA</t>
        </is>
      </c>
      <c r="G1524" s="4" t="inlineStr">
        <is>
          <t>LIM</t>
        </is>
      </c>
      <c r="H1524" s="4" t="inlineStr">
        <is>
          <t>16:10:00</t>
        </is>
      </c>
      <c r="I1524" s="4" t="inlineStr">
        <is>
          <t>17:15:00</t>
        </is>
      </c>
      <c r="J1524" s="4" t="inlineStr">
        <is>
          <t>320</t>
        </is>
      </c>
      <c r="K1524">
        <f>TEXT(TIMEVALUE(H1524)-TIMEVALUE(I1523)+(TIMEVALUE(H1524)&lt;TIMEVALUE(I1523)),"[h]:mm")</f>
        <v/>
      </c>
      <c r="L1524" s="4" t="inlineStr">
        <is>
          <t>01:05:00</t>
        </is>
      </c>
      <c r="O1524">
        <f>"LIM-"&amp;G1523&amp;"-LIM   LA "&amp;E1523&amp;" ("&amp;LEFT(H1523,5)&amp;"-"&amp;LEFT(I1523,5)&amp;" hrs)  /  LA "&amp;E1524&amp;" ("&amp;LEFT(H1524,5)&amp;"-"&amp;LEFT(I1524,5)&amp;" hrs)"</f>
        <v/>
      </c>
    </row>
    <row r="1525">
      <c r="J1525" s="7" t="inlineStr">
        <is>
          <t>PSV total:</t>
        </is>
      </c>
      <c r="K1525" s="8">
        <f>TEXT(TIMEVALUE(I1524)-TIMEVALUE(H1521)+(I1524&lt;H1521),"[h]:mm")</f>
        <v/>
      </c>
    </row>
    <row r="1527">
      <c r="B1527" s="3" t="inlineStr">
        <is>
          <t>Pairing ID</t>
        </is>
      </c>
      <c r="C1527" s="3" t="inlineStr">
        <is>
          <t>FECHA REAL</t>
        </is>
      </c>
      <c r="D1527" s="3" t="inlineStr">
        <is>
          <t>Day of Week</t>
        </is>
      </c>
      <c r="E1527" s="3" t="inlineStr">
        <is>
          <t>Flight No</t>
        </is>
      </c>
      <c r="F1527" s="3" t="inlineStr">
        <is>
          <t>Dep Stn</t>
        </is>
      </c>
      <c r="G1527" s="3" t="inlineStr">
        <is>
          <t>Arr Stn</t>
        </is>
      </c>
      <c r="H1527" s="3" t="inlineStr">
        <is>
          <t>STD</t>
        </is>
      </c>
      <c r="I1527" s="3" t="inlineStr">
        <is>
          <t>STA</t>
        </is>
      </c>
      <c r="J1527" s="3" t="inlineStr">
        <is>
          <t>subflota</t>
        </is>
      </c>
      <c r="K1527" s="3" t="inlineStr">
        <is>
          <t>Conexion</t>
        </is>
      </c>
      <c r="L1527" s="3" t="inlineStr">
        <is>
          <t>HBT</t>
        </is>
      </c>
    </row>
    <row r="1528">
      <c r="B1528" s="4" t="inlineStr">
        <is>
          <t>1750_0</t>
        </is>
      </c>
      <c r="C1528" s="4" t="inlineStr">
        <is>
          <t>20/09/2026</t>
        </is>
      </c>
      <c r="D1528" s="4" t="inlineStr">
        <is>
          <t>domingo</t>
        </is>
      </c>
      <c r="E1528" s="4" t="inlineStr">
        <is>
          <t>2350</t>
        </is>
      </c>
      <c r="F1528" s="4" t="inlineStr">
        <is>
          <t>LIM</t>
        </is>
      </c>
      <c r="G1528" s="4" t="inlineStr">
        <is>
          <t>CJA</t>
        </is>
      </c>
      <c r="H1528" s="4" t="inlineStr">
        <is>
          <t>10:40:00</t>
        </is>
      </c>
      <c r="I1528" s="4" t="inlineStr">
        <is>
          <t>12:00:00</t>
        </is>
      </c>
      <c r="J1528" s="4" t="inlineStr">
        <is>
          <t>319</t>
        </is>
      </c>
      <c r="L1528" s="4" t="inlineStr">
        <is>
          <t>01:20:00</t>
        </is>
      </c>
      <c r="M1528" s="5" t="n"/>
      <c r="O1528" s="5" t="n"/>
      <c r="Q1528" s="4">
        <f>B1528</f>
        <v/>
      </c>
      <c r="R1528" s="4">
        <f>C1528</f>
        <v/>
      </c>
      <c r="S1528" s="4">
        <f>D1528</f>
        <v/>
      </c>
      <c r="T1528" s="4">
        <f>E1528&amp;"/"&amp;E1529</f>
        <v/>
      </c>
      <c r="U1528" s="4">
        <f>F1528&amp;"-"&amp;G1528&amp;"-"&amp;F1528</f>
        <v/>
      </c>
      <c r="V1528" s="4">
        <f>IF($M$1528="","",$M$1528)</f>
        <v/>
      </c>
      <c r="W1528" s="4">
        <f>IF($O$1528="","",$O$1528)</f>
        <v/>
      </c>
      <c r="X1528" s="4">
        <f>J1528</f>
        <v/>
      </c>
    </row>
    <row r="1529">
      <c r="B1529" s="4" t="inlineStr">
        <is>
          <t>1750_0</t>
        </is>
      </c>
      <c r="C1529" s="4" t="inlineStr">
        <is>
          <t>20/09/2026</t>
        </is>
      </c>
      <c r="D1529" s="4" t="inlineStr">
        <is>
          <t>domingo</t>
        </is>
      </c>
      <c r="E1529" s="4" t="inlineStr">
        <is>
          <t>2351</t>
        </is>
      </c>
      <c r="F1529" s="4" t="inlineStr">
        <is>
          <t>CJA</t>
        </is>
      </c>
      <c r="G1529" s="4" t="inlineStr">
        <is>
          <t>LIM</t>
        </is>
      </c>
      <c r="H1529" s="4" t="inlineStr">
        <is>
          <t>12:50:00</t>
        </is>
      </c>
      <c r="I1529" s="4" t="inlineStr">
        <is>
          <t>14:00:00</t>
        </is>
      </c>
      <c r="J1529" s="4" t="inlineStr">
        <is>
          <t>319</t>
        </is>
      </c>
      <c r="K1529">
        <f>TEXT(TIMEVALUE(H1529)-TIMEVALUE(I1528)+(TIMEVALUE(H1529)&lt;TIMEVALUE(I1528)),"[h]:mm")</f>
        <v/>
      </c>
      <c r="L1529" s="4" t="inlineStr">
        <is>
          <t>01:10:00</t>
        </is>
      </c>
      <c r="O1529">
        <f>"LIM-"&amp;G1528&amp;"-LIM   LA "&amp;E1528&amp;" ("&amp;LEFT(H1528,5)&amp;"-"&amp;LEFT(I1528,5)&amp;" hrs)  /  LA "&amp;E1529&amp;" ("&amp;LEFT(H1529,5)&amp;"-"&amp;LEFT(I1529,5)&amp;" hrs)"</f>
        <v/>
      </c>
    </row>
    <row r="1530">
      <c r="B1530" s="4" t="inlineStr">
        <is>
          <t>1769_0</t>
        </is>
      </c>
      <c r="C1530" s="4" t="inlineStr">
        <is>
          <t>20/09/2026</t>
        </is>
      </c>
      <c r="D1530" s="4" t="inlineStr">
        <is>
          <t>domingo</t>
        </is>
      </c>
      <c r="E1530" s="4" t="inlineStr">
        <is>
          <t>2248</t>
        </is>
      </c>
      <c r="F1530" s="4" t="inlineStr">
        <is>
          <t>LIM</t>
        </is>
      </c>
      <c r="G1530" s="4" t="inlineStr">
        <is>
          <t>CUZ</t>
        </is>
      </c>
      <c r="H1530" s="4" t="inlineStr">
        <is>
          <t>15:00:00</t>
        </is>
      </c>
      <c r="I1530" s="4" t="inlineStr">
        <is>
          <t>16:20:00</t>
        </is>
      </c>
      <c r="J1530" s="4" t="inlineStr">
        <is>
          <t>320</t>
        </is>
      </c>
      <c r="K1530" s="6">
        <f>TEXT(TIMEVALUE(H1530)-TIMEVALUE(I1529)+(TIMEVALUE(H1530)&lt;TIMEVALUE(I1529)),"[h]:mm")</f>
        <v/>
      </c>
      <c r="L1530" s="4" t="inlineStr">
        <is>
          <t>01:20:00</t>
        </is>
      </c>
      <c r="M1530">
        <f>IF($M$1528="","",$M$1528)</f>
        <v/>
      </c>
      <c r="O1530">
        <f>IF($O$1528="","",$O$1528)</f>
        <v/>
      </c>
      <c r="Q1530" s="4">
        <f>B1530</f>
        <v/>
      </c>
      <c r="R1530" s="4">
        <f>C1530</f>
        <v/>
      </c>
      <c r="S1530" s="4">
        <f>D1530</f>
        <v/>
      </c>
      <c r="T1530" s="4">
        <f>E1530&amp;"/"&amp;E1531</f>
        <v/>
      </c>
      <c r="U1530" s="4">
        <f>F1530&amp;"-"&amp;G1530&amp;"-"&amp;F1530</f>
        <v/>
      </c>
      <c r="V1530" s="4">
        <f>IF($M$1528="","",$M$1528)</f>
        <v/>
      </c>
      <c r="W1530" s="4">
        <f>IF($O$1528="","",$O$1528)</f>
        <v/>
      </c>
      <c r="X1530" s="4">
        <f>J1530</f>
        <v/>
      </c>
    </row>
    <row r="1531">
      <c r="B1531" s="4" t="inlineStr">
        <is>
          <t>1769_0</t>
        </is>
      </c>
      <c r="C1531" s="4" t="inlineStr">
        <is>
          <t>20/09/2026</t>
        </is>
      </c>
      <c r="D1531" s="4" t="inlineStr">
        <is>
          <t>domingo</t>
        </is>
      </c>
      <c r="E1531" s="4" t="inlineStr">
        <is>
          <t>2249</t>
        </is>
      </c>
      <c r="F1531" s="4" t="inlineStr">
        <is>
          <t>CUZ</t>
        </is>
      </c>
      <c r="G1531" s="4" t="inlineStr">
        <is>
          <t>LIM</t>
        </is>
      </c>
      <c r="H1531" s="4" t="inlineStr">
        <is>
          <t>17:00:00</t>
        </is>
      </c>
      <c r="I1531" s="4" t="inlineStr">
        <is>
          <t>18:35:00</t>
        </is>
      </c>
      <c r="J1531" s="4" t="inlineStr">
        <is>
          <t>320</t>
        </is>
      </c>
      <c r="K1531">
        <f>TEXT(TIMEVALUE(H1531)-TIMEVALUE(I1530)+(TIMEVALUE(H1531)&lt;TIMEVALUE(I1530)),"[h]:mm")</f>
        <v/>
      </c>
      <c r="L1531" s="4" t="inlineStr">
        <is>
          <t>01:35:00</t>
        </is>
      </c>
      <c r="O1531">
        <f>"LIM-"&amp;G1530&amp;"-LIM   LA "&amp;E1530&amp;" ("&amp;LEFT(H1530,5)&amp;"-"&amp;LEFT(I1530,5)&amp;" hrs)  /  LA "&amp;E1531&amp;" ("&amp;LEFT(H1531,5)&amp;"-"&amp;LEFT(I1531,5)&amp;" hrs)"</f>
        <v/>
      </c>
    </row>
    <row r="1532">
      <c r="J1532" s="7" t="inlineStr">
        <is>
          <t>PSV total:</t>
        </is>
      </c>
      <c r="K1532" s="8">
        <f>TEXT(TIMEVALUE(I1531)-TIMEVALUE(H1528)+(I1531&lt;H1528),"[h]:mm")</f>
        <v/>
      </c>
    </row>
    <row r="1534">
      <c r="B1534" s="3" t="inlineStr">
        <is>
          <t>Pairing ID</t>
        </is>
      </c>
      <c r="C1534" s="3" t="inlineStr">
        <is>
          <t>FECHA REAL</t>
        </is>
      </c>
      <c r="D1534" s="3" t="inlineStr">
        <is>
          <t>Day of Week</t>
        </is>
      </c>
      <c r="E1534" s="3" t="inlineStr">
        <is>
          <t>Flight No</t>
        </is>
      </c>
      <c r="F1534" s="3" t="inlineStr">
        <is>
          <t>Dep Stn</t>
        </is>
      </c>
      <c r="G1534" s="3" t="inlineStr">
        <is>
          <t>Arr Stn</t>
        </is>
      </c>
      <c r="H1534" s="3" t="inlineStr">
        <is>
          <t>STD</t>
        </is>
      </c>
      <c r="I1534" s="3" t="inlineStr">
        <is>
          <t>STA</t>
        </is>
      </c>
      <c r="J1534" s="3" t="inlineStr">
        <is>
          <t>subflota</t>
        </is>
      </c>
      <c r="K1534" s="3" t="inlineStr">
        <is>
          <t>Conexion</t>
        </is>
      </c>
      <c r="L1534" s="3" t="inlineStr">
        <is>
          <t>HBT</t>
        </is>
      </c>
    </row>
    <row r="1535">
      <c r="B1535" s="4" t="inlineStr">
        <is>
          <t>1753_0</t>
        </is>
      </c>
      <c r="C1535" s="4" t="inlineStr">
        <is>
          <t>20/09/2026</t>
        </is>
      </c>
      <c r="D1535" s="4" t="inlineStr">
        <is>
          <t>domingo</t>
        </is>
      </c>
      <c r="E1535" s="4" t="inlineStr">
        <is>
          <t>2061</t>
        </is>
      </c>
      <c r="F1535" s="4" t="inlineStr">
        <is>
          <t>LIM</t>
        </is>
      </c>
      <c r="G1535" s="4" t="inlineStr">
        <is>
          <t>CUZ</t>
        </is>
      </c>
      <c r="H1535" s="4" t="inlineStr">
        <is>
          <t>11:40:00</t>
        </is>
      </c>
      <c r="I1535" s="4" t="inlineStr">
        <is>
          <t>13:00:00</t>
        </is>
      </c>
      <c r="J1535" s="4" t="inlineStr">
        <is>
          <t>320</t>
        </is>
      </c>
      <c r="L1535" s="4" t="inlineStr">
        <is>
          <t>01:20:00</t>
        </is>
      </c>
      <c r="M1535" s="5" t="n"/>
      <c r="O1535" s="5" t="n"/>
      <c r="Q1535" s="4">
        <f>B1535</f>
        <v/>
      </c>
      <c r="R1535" s="4">
        <f>C1535</f>
        <v/>
      </c>
      <c r="S1535" s="4">
        <f>D1535</f>
        <v/>
      </c>
      <c r="T1535" s="4">
        <f>E1535&amp;"/"&amp;E1536</f>
        <v/>
      </c>
      <c r="U1535" s="4">
        <f>F1535&amp;"-"&amp;G1535&amp;"-"&amp;F1535</f>
        <v/>
      </c>
      <c r="V1535" s="4">
        <f>IF($M$1535="","",$M$1535)</f>
        <v/>
      </c>
      <c r="W1535" s="4">
        <f>IF($O$1535="","",$O$1535)</f>
        <v/>
      </c>
      <c r="X1535" s="4">
        <f>J1535</f>
        <v/>
      </c>
    </row>
    <row r="1536">
      <c r="B1536" s="4" t="inlineStr">
        <is>
          <t>1753_0</t>
        </is>
      </c>
      <c r="C1536" s="4" t="inlineStr">
        <is>
          <t>20/09/2026</t>
        </is>
      </c>
      <c r="D1536" s="4" t="inlineStr">
        <is>
          <t>domingo</t>
        </is>
      </c>
      <c r="E1536" s="4" t="inlineStr">
        <is>
          <t>2062</t>
        </is>
      </c>
      <c r="F1536" s="4" t="inlineStr">
        <is>
          <t>CUZ</t>
        </is>
      </c>
      <c r="G1536" s="4" t="inlineStr">
        <is>
          <t>LIM</t>
        </is>
      </c>
      <c r="H1536" s="4" t="inlineStr">
        <is>
          <t>13:40:00</t>
        </is>
      </c>
      <c r="I1536" s="4" t="inlineStr">
        <is>
          <t>15:15:00</t>
        </is>
      </c>
      <c r="J1536" s="4" t="inlineStr">
        <is>
          <t>320</t>
        </is>
      </c>
      <c r="K1536">
        <f>TEXT(TIMEVALUE(H1536)-TIMEVALUE(I1535)+(TIMEVALUE(H1536)&lt;TIMEVALUE(I1535)),"[h]:mm")</f>
        <v/>
      </c>
      <c r="L1536" s="4" t="inlineStr">
        <is>
          <t>01:35:00</t>
        </is>
      </c>
      <c r="O1536">
        <f>"LIM-"&amp;G1535&amp;"-LIM   LA "&amp;E1535&amp;" ("&amp;LEFT(H1535,5)&amp;"-"&amp;LEFT(I1535,5)&amp;" hrs)  /  LA "&amp;E1536&amp;" ("&amp;LEFT(H1536,5)&amp;"-"&amp;LEFT(I1536,5)&amp;" hrs)"</f>
        <v/>
      </c>
    </row>
    <row r="1537">
      <c r="B1537" s="4" t="inlineStr">
        <is>
          <t>1780_0</t>
        </is>
      </c>
      <c r="C1537" s="4" t="inlineStr">
        <is>
          <t>20/09/2026</t>
        </is>
      </c>
      <c r="D1537" s="4" t="inlineStr">
        <is>
          <t>domingo</t>
        </is>
      </c>
      <c r="E1537" s="4" t="inlineStr">
        <is>
          <t>2127</t>
        </is>
      </c>
      <c r="F1537" s="4" t="inlineStr">
        <is>
          <t>LIM</t>
        </is>
      </c>
      <c r="G1537" s="4" t="inlineStr">
        <is>
          <t>CUZ</t>
        </is>
      </c>
      <c r="H1537" s="4" t="inlineStr">
        <is>
          <t>16:10:00</t>
        </is>
      </c>
      <c r="I1537" s="4" t="inlineStr">
        <is>
          <t>17:30:00</t>
        </is>
      </c>
      <c r="J1537" s="4" t="inlineStr">
        <is>
          <t>320</t>
        </is>
      </c>
      <c r="K1537" s="6">
        <f>TEXT(TIMEVALUE(H1537)-TIMEVALUE(I1536)+(TIMEVALUE(H1537)&lt;TIMEVALUE(I1536)),"[h]:mm")</f>
        <v/>
      </c>
      <c r="L1537" s="4" t="inlineStr">
        <is>
          <t>01:20:00</t>
        </is>
      </c>
      <c r="M1537">
        <f>IF($M$1535="","",$M$1535)</f>
        <v/>
      </c>
      <c r="O1537">
        <f>IF($O$1535="","",$O$1535)</f>
        <v/>
      </c>
      <c r="Q1537" s="4">
        <f>B1537</f>
        <v/>
      </c>
      <c r="R1537" s="4">
        <f>C1537</f>
        <v/>
      </c>
      <c r="S1537" s="4">
        <f>D1537</f>
        <v/>
      </c>
      <c r="T1537" s="4">
        <f>E1537&amp;"/"&amp;E1538</f>
        <v/>
      </c>
      <c r="U1537" s="4">
        <f>F1537&amp;"-"&amp;G1537&amp;"-"&amp;F1537</f>
        <v/>
      </c>
      <c r="V1537" s="4">
        <f>IF($M$1535="","",$M$1535)</f>
        <v/>
      </c>
      <c r="W1537" s="4">
        <f>IF($O$1535="","",$O$1535)</f>
        <v/>
      </c>
      <c r="X1537" s="4">
        <f>J1537</f>
        <v/>
      </c>
    </row>
    <row r="1538">
      <c r="B1538" s="4" t="inlineStr">
        <is>
          <t>1780_0</t>
        </is>
      </c>
      <c r="C1538" s="4" t="inlineStr">
        <is>
          <t>20/09/2026</t>
        </is>
      </c>
      <c r="D1538" s="4" t="inlineStr">
        <is>
          <t>domingo</t>
        </is>
      </c>
      <c r="E1538" s="4" t="inlineStr">
        <is>
          <t>2026</t>
        </is>
      </c>
      <c r="F1538" s="4" t="inlineStr">
        <is>
          <t>CUZ</t>
        </is>
      </c>
      <c r="G1538" s="4" t="inlineStr">
        <is>
          <t>LIM</t>
        </is>
      </c>
      <c r="H1538" s="4" t="inlineStr">
        <is>
          <t>18:10:00</t>
        </is>
      </c>
      <c r="I1538" s="4" t="inlineStr">
        <is>
          <t>19:50:00</t>
        </is>
      </c>
      <c r="J1538" s="4" t="inlineStr">
        <is>
          <t>320</t>
        </is>
      </c>
      <c r="K1538">
        <f>TEXT(TIMEVALUE(H1538)-TIMEVALUE(I1537)+(TIMEVALUE(H1538)&lt;TIMEVALUE(I1537)),"[h]:mm")</f>
        <v/>
      </c>
      <c r="L1538" s="4" t="inlineStr">
        <is>
          <t>01:40:00</t>
        </is>
      </c>
      <c r="O1538">
        <f>"LIM-"&amp;G1537&amp;"-LIM   LA "&amp;E1537&amp;" ("&amp;LEFT(H1537,5)&amp;"-"&amp;LEFT(I1537,5)&amp;" hrs)  /  LA "&amp;E1538&amp;" ("&amp;LEFT(H1538,5)&amp;"-"&amp;LEFT(I1538,5)&amp;" hrs)"</f>
        <v/>
      </c>
    </row>
    <row r="1539">
      <c r="J1539" s="7" t="inlineStr">
        <is>
          <t>PSV total:</t>
        </is>
      </c>
      <c r="K1539" s="8">
        <f>TEXT(TIMEVALUE(I1538)-TIMEVALUE(H1535)+(I1538&lt;H1535),"[h]:mm")</f>
        <v/>
      </c>
    </row>
    <row r="1541">
      <c r="B1541" s="3" t="inlineStr">
        <is>
          <t>Pairing ID</t>
        </is>
      </c>
      <c r="C1541" s="3" t="inlineStr">
        <is>
          <t>FECHA REAL</t>
        </is>
      </c>
      <c r="D1541" s="3" t="inlineStr">
        <is>
          <t>Day of Week</t>
        </is>
      </c>
      <c r="E1541" s="3" t="inlineStr">
        <is>
          <t>Flight No</t>
        </is>
      </c>
      <c r="F1541" s="3" t="inlineStr">
        <is>
          <t>Dep Stn</t>
        </is>
      </c>
      <c r="G1541" s="3" t="inlineStr">
        <is>
          <t>Arr Stn</t>
        </is>
      </c>
      <c r="H1541" s="3" t="inlineStr">
        <is>
          <t>STD</t>
        </is>
      </c>
      <c r="I1541" s="3" t="inlineStr">
        <is>
          <t>STA</t>
        </is>
      </c>
      <c r="J1541" s="3" t="inlineStr">
        <is>
          <t>subflota</t>
        </is>
      </c>
      <c r="K1541" s="3" t="inlineStr">
        <is>
          <t>Conexion</t>
        </is>
      </c>
      <c r="L1541" s="3" t="inlineStr">
        <is>
          <t>HBT</t>
        </is>
      </c>
    </row>
    <row r="1542">
      <c r="B1542" s="4" t="inlineStr">
        <is>
          <t>1757_0</t>
        </is>
      </c>
      <c r="C1542" s="4" t="inlineStr">
        <is>
          <t>20/09/2026</t>
        </is>
      </c>
      <c r="D1542" s="4" t="inlineStr">
        <is>
          <t>domingo</t>
        </is>
      </c>
      <c r="E1542" s="4" t="inlineStr">
        <is>
          <t>2023</t>
        </is>
      </c>
      <c r="F1542" s="4" t="inlineStr">
        <is>
          <t>LIM</t>
        </is>
      </c>
      <c r="G1542" s="4" t="inlineStr">
        <is>
          <t>PEM</t>
        </is>
      </c>
      <c r="H1542" s="4" t="inlineStr">
        <is>
          <t>12:15:00</t>
        </is>
      </c>
      <c r="I1542" s="4" t="inlineStr">
        <is>
          <t>13:55:00</t>
        </is>
      </c>
      <c r="J1542" s="4" t="inlineStr">
        <is>
          <t>320</t>
        </is>
      </c>
      <c r="L1542" s="4" t="inlineStr">
        <is>
          <t>01:40:00</t>
        </is>
      </c>
      <c r="M1542" s="5" t="n"/>
      <c r="O1542" s="5" t="n"/>
      <c r="Q1542" s="4">
        <f>B1542</f>
        <v/>
      </c>
      <c r="R1542" s="4">
        <f>C1542</f>
        <v/>
      </c>
      <c r="S1542" s="4">
        <f>D1542</f>
        <v/>
      </c>
      <c r="T1542" s="4">
        <f>E1542&amp;"/"&amp;E1543</f>
        <v/>
      </c>
      <c r="U1542" s="4">
        <f>F1542&amp;"-"&amp;G1542&amp;"-"&amp;F1542</f>
        <v/>
      </c>
      <c r="V1542" s="4">
        <f>IF($M$1542="","",$M$1542)</f>
        <v/>
      </c>
      <c r="W1542" s="4">
        <f>IF($O$1542="","",$O$1542)</f>
        <v/>
      </c>
      <c r="X1542" s="4">
        <f>J1542</f>
        <v/>
      </c>
    </row>
    <row r="1543">
      <c r="B1543" s="4" t="inlineStr">
        <is>
          <t>1757_0</t>
        </is>
      </c>
      <c r="C1543" s="4" t="inlineStr">
        <is>
          <t>20/09/2026</t>
        </is>
      </c>
      <c r="D1543" s="4" t="inlineStr">
        <is>
          <t>domingo</t>
        </is>
      </c>
      <c r="E1543" s="4" t="inlineStr">
        <is>
          <t>2024</t>
        </is>
      </c>
      <c r="F1543" s="4" t="inlineStr">
        <is>
          <t>PEM</t>
        </is>
      </c>
      <c r="G1543" s="4" t="inlineStr">
        <is>
          <t>LIM</t>
        </is>
      </c>
      <c r="H1543" s="4" t="inlineStr">
        <is>
          <t>14:35:00</t>
        </is>
      </c>
      <c r="I1543" s="4" t="inlineStr">
        <is>
          <t>16:10:00</t>
        </is>
      </c>
      <c r="J1543" s="4" t="inlineStr">
        <is>
          <t>320</t>
        </is>
      </c>
      <c r="K1543">
        <f>TEXT(TIMEVALUE(H1543)-TIMEVALUE(I1542)+(TIMEVALUE(H1543)&lt;TIMEVALUE(I1542)),"[h]:mm")</f>
        <v/>
      </c>
      <c r="L1543" s="4" t="inlineStr">
        <is>
          <t>01:35:00</t>
        </is>
      </c>
      <c r="O1543">
        <f>"LIM-"&amp;G1542&amp;"-LIM   LA "&amp;E1542&amp;" ("&amp;LEFT(H1542,5)&amp;"-"&amp;LEFT(I1542,5)&amp;" hrs)  /  LA "&amp;E1543&amp;" ("&amp;LEFT(H1543,5)&amp;"-"&amp;LEFT(I1543,5)&amp;" hrs)"</f>
        <v/>
      </c>
    </row>
    <row r="1544">
      <c r="J1544" s="7" t="inlineStr">
        <is>
          <t>PSV total:</t>
        </is>
      </c>
      <c r="K1544" s="8">
        <f>TEXT(TIMEVALUE(I1543)-TIMEVALUE(H1542)+(I1543&lt;H1542),"[h]:mm")</f>
        <v/>
      </c>
    </row>
    <row r="1546">
      <c r="B1546" s="3" t="inlineStr">
        <is>
          <t>Pairing ID</t>
        </is>
      </c>
      <c r="C1546" s="3" t="inlineStr">
        <is>
          <t>FECHA REAL</t>
        </is>
      </c>
      <c r="D1546" s="3" t="inlineStr">
        <is>
          <t>Day of Week</t>
        </is>
      </c>
      <c r="E1546" s="3" t="inlineStr">
        <is>
          <t>Flight No</t>
        </is>
      </c>
      <c r="F1546" s="3" t="inlineStr">
        <is>
          <t>Dep Stn</t>
        </is>
      </c>
      <c r="G1546" s="3" t="inlineStr">
        <is>
          <t>Arr Stn</t>
        </is>
      </c>
      <c r="H1546" s="3" t="inlineStr">
        <is>
          <t>STD</t>
        </is>
      </c>
      <c r="I1546" s="3" t="inlineStr">
        <is>
          <t>STA</t>
        </is>
      </c>
      <c r="J1546" s="3" t="inlineStr">
        <is>
          <t>subflota</t>
        </is>
      </c>
      <c r="K1546" s="3" t="inlineStr">
        <is>
          <t>Conexion</t>
        </is>
      </c>
      <c r="L1546" s="3" t="inlineStr">
        <is>
          <t>HBT</t>
        </is>
      </c>
    </row>
    <row r="1547">
      <c r="B1547" s="4" t="inlineStr">
        <is>
          <t>1765_0</t>
        </is>
      </c>
      <c r="C1547" s="4" t="inlineStr">
        <is>
          <t>20/09/2026</t>
        </is>
      </c>
      <c r="D1547" s="4" t="inlineStr">
        <is>
          <t>domingo</t>
        </is>
      </c>
      <c r="E1547" s="4" t="inlineStr">
        <is>
          <t>2295</t>
        </is>
      </c>
      <c r="F1547" s="4" t="inlineStr">
        <is>
          <t>LIM</t>
        </is>
      </c>
      <c r="G1547" s="4" t="inlineStr">
        <is>
          <t>CJA</t>
        </is>
      </c>
      <c r="H1547" s="4" t="inlineStr">
        <is>
          <t>14:10:00</t>
        </is>
      </c>
      <c r="I1547" s="4" t="inlineStr">
        <is>
          <t>15:30:00</t>
        </is>
      </c>
      <c r="J1547" s="4" t="inlineStr">
        <is>
          <t>320</t>
        </is>
      </c>
      <c r="L1547" s="4" t="inlineStr">
        <is>
          <t>01:20:00</t>
        </is>
      </c>
      <c r="M1547" s="5" t="n"/>
      <c r="O1547" s="5" t="n"/>
      <c r="Q1547" s="4">
        <f>B1547</f>
        <v/>
      </c>
      <c r="R1547" s="4">
        <f>C1547</f>
        <v/>
      </c>
      <c r="S1547" s="4">
        <f>D1547</f>
        <v/>
      </c>
      <c r="T1547" s="4">
        <f>E1547&amp;"/"&amp;E1548</f>
        <v/>
      </c>
      <c r="U1547" s="4">
        <f>F1547&amp;"-"&amp;G1547&amp;"-"&amp;F1547</f>
        <v/>
      </c>
      <c r="V1547" s="4">
        <f>IF($M$1547="","",$M$1547)</f>
        <v/>
      </c>
      <c r="W1547" s="4">
        <f>IF($O$1547="","",$O$1547)</f>
        <v/>
      </c>
      <c r="X1547" s="4">
        <f>J1547</f>
        <v/>
      </c>
    </row>
    <row r="1548">
      <c r="B1548" s="4" t="inlineStr">
        <is>
          <t>1765_0</t>
        </is>
      </c>
      <c r="C1548" s="4" t="inlineStr">
        <is>
          <t>20/09/2026</t>
        </is>
      </c>
      <c r="D1548" s="4" t="inlineStr">
        <is>
          <t>domingo</t>
        </is>
      </c>
      <c r="E1548" s="4" t="inlineStr">
        <is>
          <t>2294</t>
        </is>
      </c>
      <c r="F1548" s="4" t="inlineStr">
        <is>
          <t>CJA</t>
        </is>
      </c>
      <c r="G1548" s="4" t="inlineStr">
        <is>
          <t>LIM</t>
        </is>
      </c>
      <c r="H1548" s="4" t="inlineStr">
        <is>
          <t>16:10:00</t>
        </is>
      </c>
      <c r="I1548" s="4" t="inlineStr">
        <is>
          <t>17:15:00</t>
        </is>
      </c>
      <c r="J1548" s="4" t="inlineStr">
        <is>
          <t>320</t>
        </is>
      </c>
      <c r="K1548">
        <f>TEXT(TIMEVALUE(H1548)-TIMEVALUE(I1547)+(TIMEVALUE(H1548)&lt;TIMEVALUE(I1547)),"[h]:mm")</f>
        <v/>
      </c>
      <c r="L1548" s="4" t="inlineStr">
        <is>
          <t>01:05:00</t>
        </is>
      </c>
      <c r="O1548">
        <f>"LIM-"&amp;G1547&amp;"-LIM   LA "&amp;E1547&amp;" ("&amp;LEFT(H1547,5)&amp;"-"&amp;LEFT(I1547,5)&amp;" hrs)  /  LA "&amp;E1548&amp;" ("&amp;LEFT(H1548,5)&amp;"-"&amp;LEFT(I1548,5)&amp;" hrs)"</f>
        <v/>
      </c>
    </row>
    <row r="1549">
      <c r="J1549" s="7" t="inlineStr">
        <is>
          <t>PSV total:</t>
        </is>
      </c>
      <c r="K1549" s="8">
        <f>TEXT(TIMEVALUE(I1548)-TIMEVALUE(H1547)+(I1548&lt;H1547),"[h]:mm")</f>
        <v/>
      </c>
    </row>
    <row r="1551">
      <c r="B1551" s="3" t="inlineStr">
        <is>
          <t>Pairing ID</t>
        </is>
      </c>
      <c r="C1551" s="3" t="inlineStr">
        <is>
          <t>FECHA REAL</t>
        </is>
      </c>
      <c r="D1551" s="3" t="inlineStr">
        <is>
          <t>Day of Week</t>
        </is>
      </c>
      <c r="E1551" s="3" t="inlineStr">
        <is>
          <t>Flight No</t>
        </is>
      </c>
      <c r="F1551" s="3" t="inlineStr">
        <is>
          <t>Dep Stn</t>
        </is>
      </c>
      <c r="G1551" s="3" t="inlineStr">
        <is>
          <t>Arr Stn</t>
        </is>
      </c>
      <c r="H1551" s="3" t="inlineStr">
        <is>
          <t>STD</t>
        </is>
      </c>
      <c r="I1551" s="3" t="inlineStr">
        <is>
          <t>STA</t>
        </is>
      </c>
      <c r="J1551" s="3" t="inlineStr">
        <is>
          <t>subflota</t>
        </is>
      </c>
      <c r="K1551" s="3" t="inlineStr">
        <is>
          <t>Conexion</t>
        </is>
      </c>
      <c r="L1551" s="3" t="inlineStr">
        <is>
          <t>HBT</t>
        </is>
      </c>
    </row>
    <row r="1552">
      <c r="B1552" s="4" t="inlineStr">
        <is>
          <t>1766_0</t>
        </is>
      </c>
      <c r="C1552" s="4" t="inlineStr">
        <is>
          <t>20/09/2026</t>
        </is>
      </c>
      <c r="D1552" s="4" t="inlineStr">
        <is>
          <t>domingo</t>
        </is>
      </c>
      <c r="E1552" s="4" t="inlineStr">
        <is>
          <t>2282</t>
        </is>
      </c>
      <c r="F1552" s="4" t="inlineStr">
        <is>
          <t>LIM</t>
        </is>
      </c>
      <c r="G1552" s="4" t="inlineStr">
        <is>
          <t>CIX</t>
        </is>
      </c>
      <c r="H1552" s="4" t="inlineStr">
        <is>
          <t>14:35:00</t>
        </is>
      </c>
      <c r="I1552" s="4" t="inlineStr">
        <is>
          <t>16:05:00</t>
        </is>
      </c>
      <c r="J1552" s="4" t="inlineStr">
        <is>
          <t>320</t>
        </is>
      </c>
      <c r="L1552" s="4" t="inlineStr">
        <is>
          <t>01:30:00</t>
        </is>
      </c>
      <c r="M1552" s="5" t="n"/>
      <c r="O1552" s="5" t="n"/>
      <c r="Q1552" s="4">
        <f>B1552</f>
        <v/>
      </c>
      <c r="R1552" s="4">
        <f>C1552</f>
        <v/>
      </c>
      <c r="S1552" s="4">
        <f>D1552</f>
        <v/>
      </c>
      <c r="T1552" s="4">
        <f>E1552&amp;"/"&amp;E1553</f>
        <v/>
      </c>
      <c r="U1552" s="4">
        <f>F1552&amp;"-"&amp;G1552&amp;"-"&amp;F1552</f>
        <v/>
      </c>
      <c r="V1552" s="4">
        <f>IF($M$1552="","",$M$1552)</f>
        <v/>
      </c>
      <c r="W1552" s="4">
        <f>IF($O$1552="","",$O$1552)</f>
        <v/>
      </c>
      <c r="X1552" s="4">
        <f>J1552</f>
        <v/>
      </c>
    </row>
    <row r="1553">
      <c r="B1553" s="4" t="inlineStr">
        <is>
          <t>1766_0</t>
        </is>
      </c>
      <c r="C1553" s="4" t="inlineStr">
        <is>
          <t>20/09/2026</t>
        </is>
      </c>
      <c r="D1553" s="4" t="inlineStr">
        <is>
          <t>domingo</t>
        </is>
      </c>
      <c r="E1553" s="4" t="inlineStr">
        <is>
          <t>2283</t>
        </is>
      </c>
      <c r="F1553" s="4" t="inlineStr">
        <is>
          <t>CIX</t>
        </is>
      </c>
      <c r="G1553" s="4" t="inlineStr">
        <is>
          <t>LIM</t>
        </is>
      </c>
      <c r="H1553" s="4" t="inlineStr">
        <is>
          <t>16:50:00</t>
        </is>
      </c>
      <c r="I1553" s="4" t="inlineStr">
        <is>
          <t>18:10:00</t>
        </is>
      </c>
      <c r="J1553" s="4" t="inlineStr">
        <is>
          <t>320</t>
        </is>
      </c>
      <c r="K1553">
        <f>TEXT(TIMEVALUE(H1553)-TIMEVALUE(I1552)+(TIMEVALUE(H1553)&lt;TIMEVALUE(I1552)),"[h]:mm")</f>
        <v/>
      </c>
      <c r="L1553" s="4" t="inlineStr">
        <is>
          <t>01:20:00</t>
        </is>
      </c>
      <c r="O1553">
        <f>"LIM-"&amp;G1552&amp;"-LIM   LA "&amp;E1552&amp;" ("&amp;LEFT(H1552,5)&amp;"-"&amp;LEFT(I1552,5)&amp;" hrs)  /  LA "&amp;E1553&amp;" ("&amp;LEFT(H1553,5)&amp;"-"&amp;LEFT(I1553,5)&amp;" hrs)"</f>
        <v/>
      </c>
    </row>
    <row r="1554">
      <c r="J1554" s="7" t="inlineStr">
        <is>
          <t>PSV total:</t>
        </is>
      </c>
      <c r="K1554" s="8">
        <f>TEXT(TIMEVALUE(I1553)-TIMEVALUE(H1552)+(I1553&lt;H1552),"[h]:mm")</f>
        <v/>
      </c>
    </row>
    <row r="1556">
      <c r="B1556" s="3" t="inlineStr">
        <is>
          <t>Pairing ID</t>
        </is>
      </c>
      <c r="C1556" s="3" t="inlineStr">
        <is>
          <t>FECHA REAL</t>
        </is>
      </c>
      <c r="D1556" s="3" t="inlineStr">
        <is>
          <t>Day of Week</t>
        </is>
      </c>
      <c r="E1556" s="3" t="inlineStr">
        <is>
          <t>Flight No</t>
        </is>
      </c>
      <c r="F1556" s="3" t="inlineStr">
        <is>
          <t>Dep Stn</t>
        </is>
      </c>
      <c r="G1556" s="3" t="inlineStr">
        <is>
          <t>Arr Stn</t>
        </is>
      </c>
      <c r="H1556" s="3" t="inlineStr">
        <is>
          <t>STD</t>
        </is>
      </c>
      <c r="I1556" s="3" t="inlineStr">
        <is>
          <t>STA</t>
        </is>
      </c>
      <c r="J1556" s="3" t="inlineStr">
        <is>
          <t>subflota</t>
        </is>
      </c>
      <c r="K1556" s="3" t="inlineStr">
        <is>
          <t>Conexion</t>
        </is>
      </c>
      <c r="L1556" s="3" t="inlineStr">
        <is>
          <t>HBT</t>
        </is>
      </c>
    </row>
    <row r="1557">
      <c r="B1557" s="4" t="inlineStr">
        <is>
          <t>1767_0</t>
        </is>
      </c>
      <c r="C1557" s="4" t="inlineStr">
        <is>
          <t>20/09/2026</t>
        </is>
      </c>
      <c r="D1557" s="4" t="inlineStr">
        <is>
          <t>domingo</t>
        </is>
      </c>
      <c r="E1557" s="4" t="inlineStr">
        <is>
          <t>2282</t>
        </is>
      </c>
      <c r="F1557" s="4" t="inlineStr">
        <is>
          <t>LIM</t>
        </is>
      </c>
      <c r="G1557" s="4" t="inlineStr">
        <is>
          <t>CIX</t>
        </is>
      </c>
      <c r="H1557" s="4" t="inlineStr">
        <is>
          <t>14:35:00</t>
        </is>
      </c>
      <c r="I1557" s="4" t="inlineStr">
        <is>
          <t>16:05:00</t>
        </is>
      </c>
      <c r="J1557" s="4" t="inlineStr">
        <is>
          <t>320</t>
        </is>
      </c>
      <c r="L1557" s="4" t="inlineStr">
        <is>
          <t>01:30:00</t>
        </is>
      </c>
      <c r="M1557" s="5" t="n"/>
      <c r="O1557" s="5" t="n"/>
      <c r="Q1557" s="4">
        <f>B1557</f>
        <v/>
      </c>
      <c r="R1557" s="4">
        <f>C1557</f>
        <v/>
      </c>
      <c r="S1557" s="4">
        <f>D1557</f>
        <v/>
      </c>
      <c r="T1557" s="4">
        <f>E1557&amp;"/"&amp;E1558</f>
        <v/>
      </c>
      <c r="U1557" s="4">
        <f>F1557&amp;"-"&amp;G1557&amp;"-"&amp;F1557</f>
        <v/>
      </c>
      <c r="V1557" s="4">
        <f>IF($M$1557="","",$M$1557)</f>
        <v/>
      </c>
      <c r="W1557" s="4">
        <f>IF($O$1557="","",$O$1557)</f>
        <v/>
      </c>
      <c r="X1557" s="4">
        <f>J1557</f>
        <v/>
      </c>
    </row>
    <row r="1558">
      <c r="B1558" s="4" t="inlineStr">
        <is>
          <t>1767_0</t>
        </is>
      </c>
      <c r="C1558" s="4" t="inlineStr">
        <is>
          <t>20/09/2026</t>
        </is>
      </c>
      <c r="D1558" s="4" t="inlineStr">
        <is>
          <t>domingo</t>
        </is>
      </c>
      <c r="E1558" s="4" t="inlineStr">
        <is>
          <t>2283</t>
        </is>
      </c>
      <c r="F1558" s="4" t="inlineStr">
        <is>
          <t>CIX</t>
        </is>
      </c>
      <c r="G1558" s="4" t="inlineStr">
        <is>
          <t>LIM</t>
        </is>
      </c>
      <c r="H1558" s="4" t="inlineStr">
        <is>
          <t>16:50:00</t>
        </is>
      </c>
      <c r="I1558" s="4" t="inlineStr">
        <is>
          <t>18:10:00</t>
        </is>
      </c>
      <c r="J1558" s="4" t="inlineStr">
        <is>
          <t>320</t>
        </is>
      </c>
      <c r="K1558">
        <f>TEXT(TIMEVALUE(H1558)-TIMEVALUE(I1557)+(TIMEVALUE(H1558)&lt;TIMEVALUE(I1557)),"[h]:mm")</f>
        <v/>
      </c>
      <c r="L1558" s="4" t="inlineStr">
        <is>
          <t>01:20:00</t>
        </is>
      </c>
      <c r="O1558">
        <f>"LIM-"&amp;G1557&amp;"-LIM   LA "&amp;E1557&amp;" ("&amp;LEFT(H1557,5)&amp;"-"&amp;LEFT(I1557,5)&amp;" hrs)  /  LA "&amp;E1558&amp;" ("&amp;LEFT(H1558,5)&amp;"-"&amp;LEFT(I1558,5)&amp;" hrs)"</f>
        <v/>
      </c>
    </row>
    <row r="1559">
      <c r="J1559" s="7" t="inlineStr">
        <is>
          <t>PSV total:</t>
        </is>
      </c>
      <c r="K1559" s="8">
        <f>TEXT(TIMEVALUE(I1558)-TIMEVALUE(H1557)+(I1558&lt;H1557),"[h]:mm")</f>
        <v/>
      </c>
    </row>
    <row r="1561">
      <c r="B1561" s="3" t="inlineStr">
        <is>
          <t>Pairing ID</t>
        </is>
      </c>
      <c r="C1561" s="3" t="inlineStr">
        <is>
          <t>FECHA REAL</t>
        </is>
      </c>
      <c r="D1561" s="3" t="inlineStr">
        <is>
          <t>Day of Week</t>
        </is>
      </c>
      <c r="E1561" s="3" t="inlineStr">
        <is>
          <t>Flight No</t>
        </is>
      </c>
      <c r="F1561" s="3" t="inlineStr">
        <is>
          <t>Dep Stn</t>
        </is>
      </c>
      <c r="G1561" s="3" t="inlineStr">
        <is>
          <t>Arr Stn</t>
        </is>
      </c>
      <c r="H1561" s="3" t="inlineStr">
        <is>
          <t>STD</t>
        </is>
      </c>
      <c r="I1561" s="3" t="inlineStr">
        <is>
          <t>STA</t>
        </is>
      </c>
      <c r="J1561" s="3" t="inlineStr">
        <is>
          <t>subflota</t>
        </is>
      </c>
      <c r="K1561" s="3" t="inlineStr">
        <is>
          <t>Conexion</t>
        </is>
      </c>
      <c r="L1561" s="3" t="inlineStr">
        <is>
          <t>HBT</t>
        </is>
      </c>
    </row>
    <row r="1562">
      <c r="B1562" s="4" t="inlineStr">
        <is>
          <t>1768_0</t>
        </is>
      </c>
      <c r="C1562" s="4" t="inlineStr">
        <is>
          <t>20/09/2026</t>
        </is>
      </c>
      <c r="D1562" s="4" t="inlineStr">
        <is>
          <t>domingo</t>
        </is>
      </c>
      <c r="E1562" s="4" t="inlineStr">
        <is>
          <t>2022</t>
        </is>
      </c>
      <c r="F1562" s="4" t="inlineStr">
        <is>
          <t>LIM</t>
        </is>
      </c>
      <c r="G1562" s="4" t="inlineStr">
        <is>
          <t>CUZ</t>
        </is>
      </c>
      <c r="H1562" s="4" t="inlineStr">
        <is>
          <t>14:50:00</t>
        </is>
      </c>
      <c r="I1562" s="4" t="inlineStr">
        <is>
          <t>16:10:00</t>
        </is>
      </c>
      <c r="J1562" s="4" t="inlineStr">
        <is>
          <t>320</t>
        </is>
      </c>
      <c r="L1562" s="4" t="inlineStr">
        <is>
          <t>01:20:00</t>
        </is>
      </c>
      <c r="M1562" s="5" t="n"/>
      <c r="O1562" s="5" t="n"/>
      <c r="Q1562" s="4">
        <f>B1562</f>
        <v/>
      </c>
      <c r="R1562" s="4">
        <f>C1562</f>
        <v/>
      </c>
      <c r="S1562" s="4">
        <f>D1562</f>
        <v/>
      </c>
      <c r="T1562" s="4">
        <f>E1562&amp;"/"&amp;E1563</f>
        <v/>
      </c>
      <c r="U1562" s="4">
        <f>F1562&amp;"-"&amp;G1562&amp;"-"&amp;F1562</f>
        <v/>
      </c>
      <c r="V1562" s="4">
        <f>IF($M$1562="","",$M$1562)</f>
        <v/>
      </c>
      <c r="W1562" s="4">
        <f>IF($O$1562="","",$O$1562)</f>
        <v/>
      </c>
      <c r="X1562" s="4">
        <f>J1562</f>
        <v/>
      </c>
    </row>
    <row r="1563">
      <c r="B1563" s="4" t="inlineStr">
        <is>
          <t>1768_0</t>
        </is>
      </c>
      <c r="C1563" s="4" t="inlineStr">
        <is>
          <t>20/09/2026</t>
        </is>
      </c>
      <c r="D1563" s="4" t="inlineStr">
        <is>
          <t>domingo</t>
        </is>
      </c>
      <c r="E1563" s="4" t="inlineStr">
        <is>
          <t>2025</t>
        </is>
      </c>
      <c r="F1563" s="4" t="inlineStr">
        <is>
          <t>CUZ</t>
        </is>
      </c>
      <c r="G1563" s="4" t="inlineStr">
        <is>
          <t>LIM</t>
        </is>
      </c>
      <c r="H1563" s="4" t="inlineStr">
        <is>
          <t>16:55:00</t>
        </is>
      </c>
      <c r="I1563" s="4" t="inlineStr">
        <is>
          <t>18:30:00</t>
        </is>
      </c>
      <c r="J1563" s="4" t="inlineStr">
        <is>
          <t>320</t>
        </is>
      </c>
      <c r="K1563">
        <f>TEXT(TIMEVALUE(H1563)-TIMEVALUE(I1562)+(TIMEVALUE(H1563)&lt;TIMEVALUE(I1562)),"[h]:mm")</f>
        <v/>
      </c>
      <c r="L1563" s="4" t="inlineStr">
        <is>
          <t>01:35:00</t>
        </is>
      </c>
      <c r="O1563">
        <f>"LIM-"&amp;G1562&amp;"-LIM   LA "&amp;E1562&amp;" ("&amp;LEFT(H1562,5)&amp;"-"&amp;LEFT(I1562,5)&amp;" hrs)  /  LA "&amp;E1563&amp;" ("&amp;LEFT(H1563,5)&amp;"-"&amp;LEFT(I1563,5)&amp;" hrs)"</f>
        <v/>
      </c>
    </row>
    <row r="1564">
      <c r="J1564" s="7" t="inlineStr">
        <is>
          <t>PSV total:</t>
        </is>
      </c>
      <c r="K1564" s="8">
        <f>TEXT(TIMEVALUE(I1563)-TIMEVALUE(H1562)+(I1563&lt;H1562),"[h]:mm")</f>
        <v/>
      </c>
    </row>
    <row r="1566">
      <c r="B1566" s="3" t="inlineStr">
        <is>
          <t>Pairing ID</t>
        </is>
      </c>
      <c r="C1566" s="3" t="inlineStr">
        <is>
          <t>FECHA REAL</t>
        </is>
      </c>
      <c r="D1566" s="3" t="inlineStr">
        <is>
          <t>Day of Week</t>
        </is>
      </c>
      <c r="E1566" s="3" t="inlineStr">
        <is>
          <t>Flight No</t>
        </is>
      </c>
      <c r="F1566" s="3" t="inlineStr">
        <is>
          <t>Dep Stn</t>
        </is>
      </c>
      <c r="G1566" s="3" t="inlineStr">
        <is>
          <t>Arr Stn</t>
        </is>
      </c>
      <c r="H1566" s="3" t="inlineStr">
        <is>
          <t>STD</t>
        </is>
      </c>
      <c r="I1566" s="3" t="inlineStr">
        <is>
          <t>STA</t>
        </is>
      </c>
      <c r="J1566" s="3" t="inlineStr">
        <is>
          <t>subflota</t>
        </is>
      </c>
      <c r="K1566" s="3" t="inlineStr">
        <is>
          <t>Conexion</t>
        </is>
      </c>
      <c r="L1566" s="3" t="inlineStr">
        <is>
          <t>HBT</t>
        </is>
      </c>
    </row>
    <row r="1567">
      <c r="B1567" s="4" t="inlineStr">
        <is>
          <t>1771_0</t>
        </is>
      </c>
      <c r="C1567" s="4" t="inlineStr">
        <is>
          <t>20/09/2026</t>
        </is>
      </c>
      <c r="D1567" s="4" t="inlineStr">
        <is>
          <t>domingo</t>
        </is>
      </c>
      <c r="E1567" s="4" t="inlineStr">
        <is>
          <t>2248</t>
        </is>
      </c>
      <c r="F1567" s="4" t="inlineStr">
        <is>
          <t>LIM</t>
        </is>
      </c>
      <c r="G1567" s="4" t="inlineStr">
        <is>
          <t>CUZ</t>
        </is>
      </c>
      <c r="H1567" s="4" t="inlineStr">
        <is>
          <t>15:00:00</t>
        </is>
      </c>
      <c r="I1567" s="4" t="inlineStr">
        <is>
          <t>16:20:00</t>
        </is>
      </c>
      <c r="J1567" s="4" t="inlineStr">
        <is>
          <t>320</t>
        </is>
      </c>
      <c r="L1567" s="4" t="inlineStr">
        <is>
          <t>01:20:00</t>
        </is>
      </c>
      <c r="M1567" s="5" t="n"/>
      <c r="O1567" s="5" t="n"/>
      <c r="Q1567" s="4">
        <f>B1567</f>
        <v/>
      </c>
      <c r="R1567" s="4">
        <f>C1567</f>
        <v/>
      </c>
      <c r="S1567" s="4">
        <f>D1567</f>
        <v/>
      </c>
      <c r="T1567" s="4">
        <f>E1567&amp;"/"&amp;E1568</f>
        <v/>
      </c>
      <c r="U1567" s="4">
        <f>F1567&amp;"-"&amp;G1567&amp;"-"&amp;F1567</f>
        <v/>
      </c>
      <c r="V1567" s="4">
        <f>IF($M$1567="","",$M$1567)</f>
        <v/>
      </c>
      <c r="W1567" s="4">
        <f>IF($O$1567="","",$O$1567)</f>
        <v/>
      </c>
      <c r="X1567" s="4">
        <f>J1567</f>
        <v/>
      </c>
    </row>
    <row r="1568">
      <c r="B1568" s="4" t="inlineStr">
        <is>
          <t>1771_0</t>
        </is>
      </c>
      <c r="C1568" s="4" t="inlineStr">
        <is>
          <t>20/09/2026</t>
        </is>
      </c>
      <c r="D1568" s="4" t="inlineStr">
        <is>
          <t>domingo</t>
        </is>
      </c>
      <c r="E1568" s="4" t="inlineStr">
        <is>
          <t>2249</t>
        </is>
      </c>
      <c r="F1568" s="4" t="inlineStr">
        <is>
          <t>CUZ</t>
        </is>
      </c>
      <c r="G1568" s="4" t="inlineStr">
        <is>
          <t>LIM</t>
        </is>
      </c>
      <c r="H1568" s="4" t="inlineStr">
        <is>
          <t>17:00:00</t>
        </is>
      </c>
      <c r="I1568" s="4" t="inlineStr">
        <is>
          <t>18:35:00</t>
        </is>
      </c>
      <c r="J1568" s="4" t="inlineStr">
        <is>
          <t>320</t>
        </is>
      </c>
      <c r="K1568">
        <f>TEXT(TIMEVALUE(H1568)-TIMEVALUE(I1567)+(TIMEVALUE(H1568)&lt;TIMEVALUE(I1567)),"[h]:mm")</f>
        <v/>
      </c>
      <c r="L1568" s="4" t="inlineStr">
        <is>
          <t>01:35:00</t>
        </is>
      </c>
      <c r="O1568">
        <f>"LIM-"&amp;G1567&amp;"-LIM   LA "&amp;E1567&amp;" ("&amp;LEFT(H1567,5)&amp;"-"&amp;LEFT(I1567,5)&amp;" hrs)  /  LA "&amp;E1568&amp;" ("&amp;LEFT(H1568,5)&amp;"-"&amp;LEFT(I1568,5)&amp;" hrs)"</f>
        <v/>
      </c>
    </row>
    <row r="1569">
      <c r="J1569" s="7" t="inlineStr">
        <is>
          <t>PSV total:</t>
        </is>
      </c>
      <c r="K1569" s="8">
        <f>TEXT(TIMEVALUE(I1568)-TIMEVALUE(H1567)+(I1568&lt;H1567),"[h]:mm")</f>
        <v/>
      </c>
    </row>
    <row r="1571">
      <c r="B1571" s="3" t="inlineStr">
        <is>
          <t>Pairing ID</t>
        </is>
      </c>
      <c r="C1571" s="3" t="inlineStr">
        <is>
          <t>FECHA REAL</t>
        </is>
      </c>
      <c r="D1571" s="3" t="inlineStr">
        <is>
          <t>Day of Week</t>
        </is>
      </c>
      <c r="E1571" s="3" t="inlineStr">
        <is>
          <t>Flight No</t>
        </is>
      </c>
      <c r="F1571" s="3" t="inlineStr">
        <is>
          <t>Dep Stn</t>
        </is>
      </c>
      <c r="G1571" s="3" t="inlineStr">
        <is>
          <t>Arr Stn</t>
        </is>
      </c>
      <c r="H1571" s="3" t="inlineStr">
        <is>
          <t>STD</t>
        </is>
      </c>
      <c r="I1571" s="3" t="inlineStr">
        <is>
          <t>STA</t>
        </is>
      </c>
      <c r="J1571" s="3" t="inlineStr">
        <is>
          <t>subflota</t>
        </is>
      </c>
      <c r="K1571" s="3" t="inlineStr">
        <is>
          <t>Conexion</t>
        </is>
      </c>
      <c r="L1571" s="3" t="inlineStr">
        <is>
          <t>HBT</t>
        </is>
      </c>
    </row>
    <row r="1572">
      <c r="B1572" s="4" t="inlineStr">
        <is>
          <t>1770_0</t>
        </is>
      </c>
      <c r="C1572" s="4" t="inlineStr">
        <is>
          <t>20/09/2026</t>
        </is>
      </c>
      <c r="D1572" s="4" t="inlineStr">
        <is>
          <t>domingo</t>
        </is>
      </c>
      <c r="E1572" s="4" t="inlineStr">
        <is>
          <t>2338</t>
        </is>
      </c>
      <c r="F1572" s="4" t="inlineStr">
        <is>
          <t>LIM</t>
        </is>
      </c>
      <c r="G1572" s="4" t="inlineStr">
        <is>
          <t>PIU</t>
        </is>
      </c>
      <c r="H1572" s="4" t="inlineStr">
        <is>
          <t>15:00:00</t>
        </is>
      </c>
      <c r="I1572" s="4" t="inlineStr">
        <is>
          <t>16:45:00</t>
        </is>
      </c>
      <c r="J1572" s="4" t="inlineStr">
        <is>
          <t>319</t>
        </is>
      </c>
      <c r="L1572" s="4" t="inlineStr">
        <is>
          <t>01:45:00</t>
        </is>
      </c>
      <c r="M1572" s="5" t="n"/>
      <c r="O1572" s="5" t="n"/>
      <c r="Q1572" s="4">
        <f>B1572</f>
        <v/>
      </c>
      <c r="R1572" s="4">
        <f>C1572</f>
        <v/>
      </c>
      <c r="S1572" s="4">
        <f>D1572</f>
        <v/>
      </c>
      <c r="T1572" s="4">
        <f>E1572&amp;"/"&amp;E1573</f>
        <v/>
      </c>
      <c r="U1572" s="4">
        <f>F1572&amp;"-"&amp;G1572&amp;"-"&amp;F1572</f>
        <v/>
      </c>
      <c r="V1572" s="4">
        <f>IF($M$1572="","",$M$1572)</f>
        <v/>
      </c>
      <c r="W1572" s="4">
        <f>IF($O$1572="","",$O$1572)</f>
        <v/>
      </c>
      <c r="X1572" s="4">
        <f>J1572</f>
        <v/>
      </c>
    </row>
    <row r="1573">
      <c r="B1573" s="4" t="inlineStr">
        <is>
          <t>1770_0</t>
        </is>
      </c>
      <c r="C1573" s="4" t="inlineStr">
        <is>
          <t>20/09/2026</t>
        </is>
      </c>
      <c r="D1573" s="4" t="inlineStr">
        <is>
          <t>domingo</t>
        </is>
      </c>
      <c r="E1573" s="4" t="inlineStr">
        <is>
          <t>2339</t>
        </is>
      </c>
      <c r="F1573" s="4" t="inlineStr">
        <is>
          <t>PIU</t>
        </is>
      </c>
      <c r="G1573" s="4" t="inlineStr">
        <is>
          <t>LIM</t>
        </is>
      </c>
      <c r="H1573" s="4" t="inlineStr">
        <is>
          <t>17:20:00</t>
        </is>
      </c>
      <c r="I1573" s="4" t="inlineStr">
        <is>
          <t>18:50:00</t>
        </is>
      </c>
      <c r="J1573" s="4" t="inlineStr">
        <is>
          <t>319</t>
        </is>
      </c>
      <c r="K1573">
        <f>TEXT(TIMEVALUE(H1573)-TIMEVALUE(I1572)+(TIMEVALUE(H1573)&lt;TIMEVALUE(I1572)),"[h]:mm")</f>
        <v/>
      </c>
      <c r="L1573" s="4" t="inlineStr">
        <is>
          <t>01:30:00</t>
        </is>
      </c>
      <c r="O1573">
        <f>"LIM-"&amp;G1572&amp;"-LIM   LA "&amp;E1572&amp;" ("&amp;LEFT(H1572,5)&amp;"-"&amp;LEFT(I1572,5)&amp;" hrs)  /  LA "&amp;E1573&amp;" ("&amp;LEFT(H1573,5)&amp;"-"&amp;LEFT(I1573,5)&amp;" hrs)"</f>
        <v/>
      </c>
    </row>
    <row r="1574">
      <c r="J1574" s="7" t="inlineStr">
        <is>
          <t>PSV total:</t>
        </is>
      </c>
      <c r="K1574" s="8">
        <f>TEXT(TIMEVALUE(I1573)-TIMEVALUE(H1572)+(I1573&lt;H1572),"[h]:mm")</f>
        <v/>
      </c>
    </row>
    <row r="1576">
      <c r="B1576" s="3" t="inlineStr">
        <is>
          <t>Pairing ID</t>
        </is>
      </c>
      <c r="C1576" s="3" t="inlineStr">
        <is>
          <t>FECHA REAL</t>
        </is>
      </c>
      <c r="D1576" s="3" t="inlineStr">
        <is>
          <t>Day of Week</t>
        </is>
      </c>
      <c r="E1576" s="3" t="inlineStr">
        <is>
          <t>Flight No</t>
        </is>
      </c>
      <c r="F1576" s="3" t="inlineStr">
        <is>
          <t>Dep Stn</t>
        </is>
      </c>
      <c r="G1576" s="3" t="inlineStr">
        <is>
          <t>Arr Stn</t>
        </is>
      </c>
      <c r="H1576" s="3" t="inlineStr">
        <is>
          <t>STD</t>
        </is>
      </c>
      <c r="I1576" s="3" t="inlineStr">
        <is>
          <t>STA</t>
        </is>
      </c>
      <c r="J1576" s="3" t="inlineStr">
        <is>
          <t>subflota</t>
        </is>
      </c>
      <c r="K1576" s="3" t="inlineStr">
        <is>
          <t>Conexion</t>
        </is>
      </c>
      <c r="L1576" s="3" t="inlineStr">
        <is>
          <t>HBT</t>
        </is>
      </c>
    </row>
    <row r="1577">
      <c r="B1577" s="4" t="inlineStr">
        <is>
          <t>1774_0</t>
        </is>
      </c>
      <c r="C1577" s="4" t="inlineStr">
        <is>
          <t>20/09/2026</t>
        </is>
      </c>
      <c r="D1577" s="4" t="inlineStr">
        <is>
          <t>domingo</t>
        </is>
      </c>
      <c r="E1577" s="4" t="inlineStr">
        <is>
          <t>2297</t>
        </is>
      </c>
      <c r="F1577" s="4" t="inlineStr">
        <is>
          <t>LIM</t>
        </is>
      </c>
      <c r="G1577" s="4" t="inlineStr">
        <is>
          <t>CJA</t>
        </is>
      </c>
      <c r="H1577" s="4" t="inlineStr">
        <is>
          <t>15:15:00</t>
        </is>
      </c>
      <c r="I1577" s="4" t="inlineStr">
        <is>
          <t>16:35:00</t>
        </is>
      </c>
      <c r="J1577" s="4" t="inlineStr">
        <is>
          <t>319</t>
        </is>
      </c>
      <c r="L1577" s="4" t="inlineStr">
        <is>
          <t>01:20:00</t>
        </is>
      </c>
      <c r="M1577" s="5" t="n"/>
      <c r="O1577" s="5" t="n"/>
      <c r="Q1577" s="4">
        <f>B1577</f>
        <v/>
      </c>
      <c r="R1577" s="4">
        <f>C1577</f>
        <v/>
      </c>
      <c r="S1577" s="4">
        <f>D1577</f>
        <v/>
      </c>
      <c r="T1577" s="4">
        <f>E1577&amp;"/"&amp;E1578</f>
        <v/>
      </c>
      <c r="U1577" s="4">
        <f>F1577&amp;"-"&amp;G1577&amp;"-"&amp;F1577</f>
        <v/>
      </c>
      <c r="V1577" s="4">
        <f>IF($M$1577="","",$M$1577)</f>
        <v/>
      </c>
      <c r="W1577" s="4">
        <f>IF($O$1577="","",$O$1577)</f>
        <v/>
      </c>
      <c r="X1577" s="4">
        <f>J1577</f>
        <v/>
      </c>
    </row>
    <row r="1578">
      <c r="B1578" s="4" t="inlineStr">
        <is>
          <t>1774_0</t>
        </is>
      </c>
      <c r="C1578" s="4" t="inlineStr">
        <is>
          <t>20/09/2026</t>
        </is>
      </c>
      <c r="D1578" s="4" t="inlineStr">
        <is>
          <t>domingo</t>
        </is>
      </c>
      <c r="E1578" s="4" t="inlineStr">
        <is>
          <t>2296</t>
        </is>
      </c>
      <c r="F1578" s="4" t="inlineStr">
        <is>
          <t>CJA</t>
        </is>
      </c>
      <c r="G1578" s="4" t="inlineStr">
        <is>
          <t>LIM</t>
        </is>
      </c>
      <c r="H1578" s="4" t="inlineStr">
        <is>
          <t>17:20:00</t>
        </is>
      </c>
      <c r="I1578" s="4" t="inlineStr">
        <is>
          <t>18:25:00</t>
        </is>
      </c>
      <c r="J1578" s="4" t="inlineStr">
        <is>
          <t>319</t>
        </is>
      </c>
      <c r="K1578">
        <f>TEXT(TIMEVALUE(H1578)-TIMEVALUE(I1577)+(TIMEVALUE(H1578)&lt;TIMEVALUE(I1577)),"[h]:mm")</f>
        <v/>
      </c>
      <c r="L1578" s="4" t="inlineStr">
        <is>
          <t>01:05:00</t>
        </is>
      </c>
      <c r="O1578">
        <f>"LIM-"&amp;G1577&amp;"-LIM   LA "&amp;E1577&amp;" ("&amp;LEFT(H1577,5)&amp;"-"&amp;LEFT(I1577,5)&amp;" hrs)  /  LA "&amp;E1578&amp;" ("&amp;LEFT(H1578,5)&amp;"-"&amp;LEFT(I1578,5)&amp;" hrs)"</f>
        <v/>
      </c>
    </row>
    <row r="1579">
      <c r="J1579" s="7" t="inlineStr">
        <is>
          <t>PSV total:</t>
        </is>
      </c>
      <c r="K1579" s="8">
        <f>TEXT(TIMEVALUE(I1578)-TIMEVALUE(H1577)+(I1578&lt;H1577),"[h]:mm")</f>
        <v/>
      </c>
    </row>
    <row r="1581">
      <c r="B1581" s="3" t="inlineStr">
        <is>
          <t>Pairing ID</t>
        </is>
      </c>
      <c r="C1581" s="3" t="inlineStr">
        <is>
          <t>FECHA REAL</t>
        </is>
      </c>
      <c r="D1581" s="3" t="inlineStr">
        <is>
          <t>Day of Week</t>
        </is>
      </c>
      <c r="E1581" s="3" t="inlineStr">
        <is>
          <t>Flight No</t>
        </is>
      </c>
      <c r="F1581" s="3" t="inlineStr">
        <is>
          <t>Dep Stn</t>
        </is>
      </c>
      <c r="G1581" s="3" t="inlineStr">
        <is>
          <t>Arr Stn</t>
        </is>
      </c>
      <c r="H1581" s="3" t="inlineStr">
        <is>
          <t>STD</t>
        </is>
      </c>
      <c r="I1581" s="3" t="inlineStr">
        <is>
          <t>STA</t>
        </is>
      </c>
      <c r="J1581" s="3" t="inlineStr">
        <is>
          <t>subflota</t>
        </is>
      </c>
      <c r="K1581" s="3" t="inlineStr">
        <is>
          <t>Conexion</t>
        </is>
      </c>
      <c r="L1581" s="3" t="inlineStr">
        <is>
          <t>HBT</t>
        </is>
      </c>
    </row>
    <row r="1582">
      <c r="B1582" s="4" t="inlineStr">
        <is>
          <t>1776_0</t>
        </is>
      </c>
      <c r="C1582" s="4" t="inlineStr">
        <is>
          <t>20/09/2026</t>
        </is>
      </c>
      <c r="D1582" s="4" t="inlineStr">
        <is>
          <t>domingo</t>
        </is>
      </c>
      <c r="E1582" s="4" t="inlineStr">
        <is>
          <t>2312</t>
        </is>
      </c>
      <c r="F1582" s="4" t="inlineStr">
        <is>
          <t>LIM</t>
        </is>
      </c>
      <c r="G1582" s="4" t="inlineStr">
        <is>
          <t>CIX</t>
        </is>
      </c>
      <c r="H1582" s="4" t="inlineStr">
        <is>
          <t>15:35:00</t>
        </is>
      </c>
      <c r="I1582" s="4" t="inlineStr">
        <is>
          <t>17:05:00</t>
        </is>
      </c>
      <c r="J1582" s="4" t="inlineStr">
        <is>
          <t>320</t>
        </is>
      </c>
      <c r="L1582" s="4" t="inlineStr">
        <is>
          <t>01:30:00</t>
        </is>
      </c>
      <c r="M1582" s="5" t="n"/>
      <c r="O1582" s="5" t="n"/>
      <c r="Q1582" s="4">
        <f>B1582</f>
        <v/>
      </c>
      <c r="R1582" s="4">
        <f>C1582</f>
        <v/>
      </c>
      <c r="S1582" s="4">
        <f>D1582</f>
        <v/>
      </c>
      <c r="T1582" s="4">
        <f>E1582&amp;"/"&amp;E1583</f>
        <v/>
      </c>
      <c r="U1582" s="4">
        <f>F1582&amp;"-"&amp;G1582&amp;"-"&amp;F1582</f>
        <v/>
      </c>
      <c r="V1582" s="4">
        <f>IF($M$1582="","",$M$1582)</f>
        <v/>
      </c>
      <c r="W1582" s="4">
        <f>IF($O$1582="","",$O$1582)</f>
        <v/>
      </c>
      <c r="X1582" s="4">
        <f>J1582</f>
        <v/>
      </c>
    </row>
    <row r="1583">
      <c r="B1583" s="4" t="inlineStr">
        <is>
          <t>1776_0</t>
        </is>
      </c>
      <c r="C1583" s="4" t="inlineStr">
        <is>
          <t>20/09/2026</t>
        </is>
      </c>
      <c r="D1583" s="4" t="inlineStr">
        <is>
          <t>domingo</t>
        </is>
      </c>
      <c r="E1583" s="4" t="inlineStr">
        <is>
          <t>2313</t>
        </is>
      </c>
      <c r="F1583" s="4" t="inlineStr">
        <is>
          <t>CIX</t>
        </is>
      </c>
      <c r="G1583" s="4" t="inlineStr">
        <is>
          <t>LIM</t>
        </is>
      </c>
      <c r="H1583" s="4" t="inlineStr">
        <is>
          <t>17:50:00</t>
        </is>
      </c>
      <c r="I1583" s="4" t="inlineStr">
        <is>
          <t>19:10:00</t>
        </is>
      </c>
      <c r="J1583" s="4" t="inlineStr">
        <is>
          <t>320</t>
        </is>
      </c>
      <c r="K1583">
        <f>TEXT(TIMEVALUE(H1583)-TIMEVALUE(I1582)+(TIMEVALUE(H1583)&lt;TIMEVALUE(I1582)),"[h]:mm")</f>
        <v/>
      </c>
      <c r="L1583" s="4" t="inlineStr">
        <is>
          <t>01:20:00</t>
        </is>
      </c>
      <c r="O1583">
        <f>"LIM-"&amp;G1582&amp;"-LIM   LA "&amp;E1582&amp;" ("&amp;LEFT(H1582,5)&amp;"-"&amp;LEFT(I1582,5)&amp;" hrs)  /  LA "&amp;E1583&amp;" ("&amp;LEFT(H1583,5)&amp;"-"&amp;LEFT(I1583,5)&amp;" hrs)"</f>
        <v/>
      </c>
    </row>
    <row r="1584">
      <c r="J1584" s="7" t="inlineStr">
        <is>
          <t>PSV total:</t>
        </is>
      </c>
      <c r="K1584" s="8">
        <f>TEXT(TIMEVALUE(I1583)-TIMEVALUE(H1582)+(I1583&lt;H1582),"[h]:mm")</f>
        <v/>
      </c>
    </row>
    <row r="1586">
      <c r="B1586" s="3" t="inlineStr">
        <is>
          <t>Pairing ID</t>
        </is>
      </c>
      <c r="C1586" s="3" t="inlineStr">
        <is>
          <t>FECHA REAL</t>
        </is>
      </c>
      <c r="D1586" s="3" t="inlineStr">
        <is>
          <t>Day of Week</t>
        </is>
      </c>
      <c r="E1586" s="3" t="inlineStr">
        <is>
          <t>Flight No</t>
        </is>
      </c>
      <c r="F1586" s="3" t="inlineStr">
        <is>
          <t>Dep Stn</t>
        </is>
      </c>
      <c r="G1586" s="3" t="inlineStr">
        <is>
          <t>Arr Stn</t>
        </is>
      </c>
      <c r="H1586" s="3" t="inlineStr">
        <is>
          <t>STD</t>
        </is>
      </c>
      <c r="I1586" s="3" t="inlineStr">
        <is>
          <t>STA</t>
        </is>
      </c>
      <c r="J1586" s="3" t="inlineStr">
        <is>
          <t>subflota</t>
        </is>
      </c>
      <c r="K1586" s="3" t="inlineStr">
        <is>
          <t>Conexion</t>
        </is>
      </c>
      <c r="L1586" s="3" t="inlineStr">
        <is>
          <t>HBT</t>
        </is>
      </c>
    </row>
    <row r="1587">
      <c r="B1587" s="4" t="inlineStr">
        <is>
          <t>1777_0</t>
        </is>
      </c>
      <c r="C1587" s="4" t="inlineStr">
        <is>
          <t>20/09/2026</t>
        </is>
      </c>
      <c r="D1587" s="4" t="inlineStr">
        <is>
          <t>domingo</t>
        </is>
      </c>
      <c r="E1587" s="4" t="inlineStr">
        <is>
          <t>2301</t>
        </is>
      </c>
      <c r="F1587" s="4" t="inlineStr">
        <is>
          <t>LIM</t>
        </is>
      </c>
      <c r="G1587" s="4" t="inlineStr">
        <is>
          <t>TPP</t>
        </is>
      </c>
      <c r="H1587" s="4" t="inlineStr">
        <is>
          <t>15:40:00</t>
        </is>
      </c>
      <c r="I1587" s="4" t="inlineStr">
        <is>
          <t>17:05:00</t>
        </is>
      </c>
      <c r="J1587" s="4" t="inlineStr">
        <is>
          <t>320</t>
        </is>
      </c>
      <c r="L1587" s="4" t="inlineStr">
        <is>
          <t>01:25:00</t>
        </is>
      </c>
      <c r="M1587" s="5" t="n"/>
      <c r="O1587" s="5" t="n"/>
      <c r="Q1587" s="4">
        <f>B1587</f>
        <v/>
      </c>
      <c r="R1587" s="4">
        <f>C1587</f>
        <v/>
      </c>
      <c r="S1587" s="4">
        <f>D1587</f>
        <v/>
      </c>
      <c r="T1587" s="4">
        <f>E1587&amp;"/"&amp;E1588</f>
        <v/>
      </c>
      <c r="U1587" s="4">
        <f>F1587&amp;"-"&amp;G1587&amp;"-"&amp;F1587</f>
        <v/>
      </c>
      <c r="V1587" s="4">
        <f>IF($M$1587="","",$M$1587)</f>
        <v/>
      </c>
      <c r="W1587" s="4">
        <f>IF($O$1587="","",$O$1587)</f>
        <v/>
      </c>
      <c r="X1587" s="4">
        <f>J1587</f>
        <v/>
      </c>
    </row>
    <row r="1588">
      <c r="B1588" s="4" t="inlineStr">
        <is>
          <t>1777_0</t>
        </is>
      </c>
      <c r="C1588" s="4" t="inlineStr">
        <is>
          <t>20/09/2026</t>
        </is>
      </c>
      <c r="D1588" s="4" t="inlineStr">
        <is>
          <t>domingo</t>
        </is>
      </c>
      <c r="E1588" s="4" t="inlineStr">
        <is>
          <t>2300</t>
        </is>
      </c>
      <c r="F1588" s="4" t="inlineStr">
        <is>
          <t>TPP</t>
        </is>
      </c>
      <c r="G1588" s="4" t="inlineStr">
        <is>
          <t>LIM</t>
        </is>
      </c>
      <c r="H1588" s="4" t="inlineStr">
        <is>
          <t>17:50:00</t>
        </is>
      </c>
      <c r="I1588" s="4" t="inlineStr">
        <is>
          <t>19:20:00</t>
        </is>
      </c>
      <c r="J1588" s="4" t="inlineStr">
        <is>
          <t>320</t>
        </is>
      </c>
      <c r="K1588">
        <f>TEXT(TIMEVALUE(H1588)-TIMEVALUE(I1587)+(TIMEVALUE(H1588)&lt;TIMEVALUE(I1587)),"[h]:mm")</f>
        <v/>
      </c>
      <c r="L1588" s="4" t="inlineStr">
        <is>
          <t>01:30:00</t>
        </is>
      </c>
      <c r="O1588">
        <f>"LIM-"&amp;G1587&amp;"-LIM   LA "&amp;E1587&amp;" ("&amp;LEFT(H1587,5)&amp;"-"&amp;LEFT(I1587,5)&amp;" hrs)  /  LA "&amp;E1588&amp;" ("&amp;LEFT(H1588,5)&amp;"-"&amp;LEFT(I1588,5)&amp;" hrs)"</f>
        <v/>
      </c>
    </row>
    <row r="1589">
      <c r="J1589" s="7" t="inlineStr">
        <is>
          <t>PSV total:</t>
        </is>
      </c>
      <c r="K1589" s="8">
        <f>TEXT(TIMEVALUE(I1588)-TIMEVALUE(H1587)+(I1588&lt;H1587),"[h]:mm")</f>
        <v/>
      </c>
    </row>
    <row r="1591">
      <c r="B1591" s="3" t="inlineStr">
        <is>
          <t>Pairing ID</t>
        </is>
      </c>
      <c r="C1591" s="3" t="inlineStr">
        <is>
          <t>FECHA REAL</t>
        </is>
      </c>
      <c r="D1591" s="3" t="inlineStr">
        <is>
          <t>Day of Week</t>
        </is>
      </c>
      <c r="E1591" s="3" t="inlineStr">
        <is>
          <t>Flight No</t>
        </is>
      </c>
      <c r="F1591" s="3" t="inlineStr">
        <is>
          <t>Dep Stn</t>
        </is>
      </c>
      <c r="G1591" s="3" t="inlineStr">
        <is>
          <t>Arr Stn</t>
        </is>
      </c>
      <c r="H1591" s="3" t="inlineStr">
        <is>
          <t>STD</t>
        </is>
      </c>
      <c r="I1591" s="3" t="inlineStr">
        <is>
          <t>STA</t>
        </is>
      </c>
      <c r="J1591" s="3" t="inlineStr">
        <is>
          <t>subflota</t>
        </is>
      </c>
      <c r="K1591" s="3" t="inlineStr">
        <is>
          <t>Conexion</t>
        </is>
      </c>
      <c r="L1591" s="3" t="inlineStr">
        <is>
          <t>HBT</t>
        </is>
      </c>
    </row>
    <row r="1592">
      <c r="B1592" s="4" t="inlineStr">
        <is>
          <t>1778_0</t>
        </is>
      </c>
      <c r="C1592" s="4" t="inlineStr">
        <is>
          <t>20/09/2026</t>
        </is>
      </c>
      <c r="D1592" s="4" t="inlineStr">
        <is>
          <t>domingo</t>
        </is>
      </c>
      <c r="E1592" s="4" t="inlineStr">
        <is>
          <t>2089</t>
        </is>
      </c>
      <c r="F1592" s="4" t="inlineStr">
        <is>
          <t>LIM</t>
        </is>
      </c>
      <c r="G1592" s="4" t="inlineStr">
        <is>
          <t>TCQ</t>
        </is>
      </c>
      <c r="H1592" s="4" t="inlineStr">
        <is>
          <t>15:45:00</t>
        </is>
      </c>
      <c r="I1592" s="4" t="inlineStr">
        <is>
          <t>17:35:00</t>
        </is>
      </c>
      <c r="J1592" s="4" t="inlineStr">
        <is>
          <t>319</t>
        </is>
      </c>
      <c r="L1592" s="4" t="inlineStr">
        <is>
          <t>01:50:00</t>
        </is>
      </c>
      <c r="M1592" s="5" t="n"/>
      <c r="O1592" s="5" t="n"/>
      <c r="Q1592" s="4">
        <f>B1592</f>
        <v/>
      </c>
      <c r="R1592" s="4">
        <f>C1592</f>
        <v/>
      </c>
      <c r="S1592" s="4">
        <f>D1592</f>
        <v/>
      </c>
      <c r="T1592" s="4">
        <f>E1592&amp;"/"&amp;E1593</f>
        <v/>
      </c>
      <c r="U1592" s="4">
        <f>F1592&amp;"-"&amp;G1592&amp;"-"&amp;F1592</f>
        <v/>
      </c>
      <c r="V1592" s="4">
        <f>IF($M$1592="","",$M$1592)</f>
        <v/>
      </c>
      <c r="W1592" s="4">
        <f>IF($O$1592="","",$O$1592)</f>
        <v/>
      </c>
      <c r="X1592" s="4">
        <f>J1592</f>
        <v/>
      </c>
    </row>
    <row r="1593">
      <c r="B1593" s="4" t="inlineStr">
        <is>
          <t>1778_0</t>
        </is>
      </c>
      <c r="C1593" s="4" t="inlineStr">
        <is>
          <t>20/09/2026</t>
        </is>
      </c>
      <c r="D1593" s="4" t="inlineStr">
        <is>
          <t>domingo</t>
        </is>
      </c>
      <c r="E1593" s="4" t="inlineStr">
        <is>
          <t>2090</t>
        </is>
      </c>
      <c r="F1593" s="4" t="inlineStr">
        <is>
          <t>TCQ</t>
        </is>
      </c>
      <c r="G1593" s="4" t="inlineStr">
        <is>
          <t>LIM</t>
        </is>
      </c>
      <c r="H1593" s="4" t="inlineStr">
        <is>
          <t>18:15:00</t>
        </is>
      </c>
      <c r="I1593" s="4" t="inlineStr">
        <is>
          <t>20:10:00</t>
        </is>
      </c>
      <c r="J1593" s="4" t="inlineStr">
        <is>
          <t>319</t>
        </is>
      </c>
      <c r="K1593">
        <f>TEXT(TIMEVALUE(H1593)-TIMEVALUE(I1592)+(TIMEVALUE(H1593)&lt;TIMEVALUE(I1592)),"[h]:mm")</f>
        <v/>
      </c>
      <c r="L1593" s="4" t="inlineStr">
        <is>
          <t>01:55:00</t>
        </is>
      </c>
      <c r="O1593">
        <f>"LIM-"&amp;G1592&amp;"-LIM   LA "&amp;E1592&amp;" ("&amp;LEFT(H1592,5)&amp;"-"&amp;LEFT(I1592,5)&amp;" hrs)  /  LA "&amp;E1593&amp;" ("&amp;LEFT(H1593,5)&amp;"-"&amp;LEFT(I1593,5)&amp;" hrs)"</f>
        <v/>
      </c>
    </row>
    <row r="1594">
      <c r="J1594" s="7" t="inlineStr">
        <is>
          <t>PSV total:</t>
        </is>
      </c>
      <c r="K1594" s="8">
        <f>TEXT(TIMEVALUE(I1593)-TIMEVALUE(H1592)+(I1593&lt;H1592),"[h]:mm")</f>
        <v/>
      </c>
    </row>
    <row r="1596">
      <c r="B1596" s="3" t="inlineStr">
        <is>
          <t>Pairing ID</t>
        </is>
      </c>
      <c r="C1596" s="3" t="inlineStr">
        <is>
          <t>FECHA REAL</t>
        </is>
      </c>
      <c r="D1596" s="3" t="inlineStr">
        <is>
          <t>Day of Week</t>
        </is>
      </c>
      <c r="E1596" s="3" t="inlineStr">
        <is>
          <t>Flight No</t>
        </is>
      </c>
      <c r="F1596" s="3" t="inlineStr">
        <is>
          <t>Dep Stn</t>
        </is>
      </c>
      <c r="G1596" s="3" t="inlineStr">
        <is>
          <t>Arr Stn</t>
        </is>
      </c>
      <c r="H1596" s="3" t="inlineStr">
        <is>
          <t>STD</t>
        </is>
      </c>
      <c r="I1596" s="3" t="inlineStr">
        <is>
          <t>STA</t>
        </is>
      </c>
      <c r="J1596" s="3" t="inlineStr">
        <is>
          <t>subflota</t>
        </is>
      </c>
      <c r="K1596" s="3" t="inlineStr">
        <is>
          <t>Conexion</t>
        </is>
      </c>
      <c r="L1596" s="3" t="inlineStr">
        <is>
          <t>HBT</t>
        </is>
      </c>
    </row>
    <row r="1597">
      <c r="B1597" s="4" t="inlineStr">
        <is>
          <t>1781_0</t>
        </is>
      </c>
      <c r="C1597" s="4" t="inlineStr">
        <is>
          <t>20/09/2026</t>
        </is>
      </c>
      <c r="D1597" s="4" t="inlineStr">
        <is>
          <t>domingo</t>
        </is>
      </c>
      <c r="E1597" s="4" t="inlineStr">
        <is>
          <t>2053</t>
        </is>
      </c>
      <c r="F1597" s="4" t="inlineStr">
        <is>
          <t>LIM</t>
        </is>
      </c>
      <c r="G1597" s="4" t="inlineStr">
        <is>
          <t>TBP</t>
        </is>
      </c>
      <c r="H1597" s="4" t="inlineStr">
        <is>
          <t>16:20:00</t>
        </is>
      </c>
      <c r="I1597" s="4" t="inlineStr">
        <is>
          <t>18:10:00</t>
        </is>
      </c>
      <c r="J1597" s="4" t="inlineStr">
        <is>
          <t>320</t>
        </is>
      </c>
      <c r="L1597" s="4" t="inlineStr">
        <is>
          <t>01:50:00</t>
        </is>
      </c>
      <c r="M1597" s="5" t="n"/>
      <c r="O1597" s="5" t="n"/>
      <c r="Q1597" s="4">
        <f>B1597</f>
        <v/>
      </c>
      <c r="R1597" s="4">
        <f>C1597</f>
        <v/>
      </c>
      <c r="S1597" s="4">
        <f>D1597</f>
        <v/>
      </c>
      <c r="T1597" s="4">
        <f>E1597&amp;"/"&amp;E1598</f>
        <v/>
      </c>
      <c r="U1597" s="4">
        <f>F1597&amp;"-"&amp;G1597&amp;"-"&amp;F1597</f>
        <v/>
      </c>
      <c r="V1597" s="4">
        <f>IF($M$1597="","",$M$1597)</f>
        <v/>
      </c>
      <c r="W1597" s="4">
        <f>IF($O$1597="","",$O$1597)</f>
        <v/>
      </c>
      <c r="X1597" s="4">
        <f>J1597</f>
        <v/>
      </c>
    </row>
    <row r="1598">
      <c r="B1598" s="4" t="inlineStr">
        <is>
          <t>1781_0</t>
        </is>
      </c>
      <c r="C1598" s="4" t="inlineStr">
        <is>
          <t>20/09/2026</t>
        </is>
      </c>
      <c r="D1598" s="4" t="inlineStr">
        <is>
          <t>domingo</t>
        </is>
      </c>
      <c r="E1598" s="4" t="inlineStr">
        <is>
          <t>2054</t>
        </is>
      </c>
      <c r="F1598" s="4" t="inlineStr">
        <is>
          <t>TBP</t>
        </is>
      </c>
      <c r="G1598" s="4" t="inlineStr">
        <is>
          <t>LIM</t>
        </is>
      </c>
      <c r="H1598" s="4" t="inlineStr">
        <is>
          <t>18:50:00</t>
        </is>
      </c>
      <c r="I1598" s="4" t="inlineStr">
        <is>
          <t>20:30:00</t>
        </is>
      </c>
      <c r="J1598" s="4" t="inlineStr">
        <is>
          <t>320</t>
        </is>
      </c>
      <c r="K1598">
        <f>TEXT(TIMEVALUE(H1598)-TIMEVALUE(I1597)+(TIMEVALUE(H1598)&lt;TIMEVALUE(I1597)),"[h]:mm")</f>
        <v/>
      </c>
      <c r="L1598" s="4" t="inlineStr">
        <is>
          <t>01:40:00</t>
        </is>
      </c>
      <c r="O1598">
        <f>"LIM-"&amp;G1597&amp;"-LIM   LA "&amp;E1597&amp;" ("&amp;LEFT(H1597,5)&amp;"-"&amp;LEFT(I1597,5)&amp;" hrs)  /  LA "&amp;E1598&amp;" ("&amp;LEFT(H1598,5)&amp;"-"&amp;LEFT(I1598,5)&amp;" hrs)"</f>
        <v/>
      </c>
    </row>
    <row r="1599">
      <c r="J1599" s="7" t="inlineStr">
        <is>
          <t>PSV total:</t>
        </is>
      </c>
      <c r="K1599" s="8">
        <f>TEXT(TIMEVALUE(I1598)-TIMEVALUE(H1597)+(I1598&lt;H1597),"[h]:mm")</f>
        <v/>
      </c>
    </row>
    <row r="1601">
      <c r="B1601" s="3" t="inlineStr">
        <is>
          <t>Pairing ID</t>
        </is>
      </c>
      <c r="C1601" s="3" t="inlineStr">
        <is>
          <t>FECHA REAL</t>
        </is>
      </c>
      <c r="D1601" s="3" t="inlineStr">
        <is>
          <t>Day of Week</t>
        </is>
      </c>
      <c r="E1601" s="3" t="inlineStr">
        <is>
          <t>Flight No</t>
        </is>
      </c>
      <c r="F1601" s="3" t="inlineStr">
        <is>
          <t>Dep Stn</t>
        </is>
      </c>
      <c r="G1601" s="3" t="inlineStr">
        <is>
          <t>Arr Stn</t>
        </is>
      </c>
      <c r="H1601" s="3" t="inlineStr">
        <is>
          <t>STD</t>
        </is>
      </c>
      <c r="I1601" s="3" t="inlineStr">
        <is>
          <t>STA</t>
        </is>
      </c>
      <c r="J1601" s="3" t="inlineStr">
        <is>
          <t>subflota</t>
        </is>
      </c>
      <c r="K1601" s="3" t="inlineStr">
        <is>
          <t>Conexion</t>
        </is>
      </c>
      <c r="L1601" s="3" t="inlineStr">
        <is>
          <t>HBT</t>
        </is>
      </c>
    </row>
    <row r="1602">
      <c r="B1602" s="4" t="inlineStr">
        <is>
          <t>1782_0</t>
        </is>
      </c>
      <c r="C1602" s="4" t="inlineStr">
        <is>
          <t>20/09/2026</t>
        </is>
      </c>
      <c r="D1602" s="4" t="inlineStr">
        <is>
          <t>domingo</t>
        </is>
      </c>
      <c r="E1602" s="4" t="inlineStr">
        <is>
          <t>2276</t>
        </is>
      </c>
      <c r="F1602" s="4" t="inlineStr">
        <is>
          <t>LIM</t>
        </is>
      </c>
      <c r="G1602" s="4" t="inlineStr">
        <is>
          <t>CUZ</t>
        </is>
      </c>
      <c r="H1602" s="4" t="inlineStr">
        <is>
          <t>16:35:00</t>
        </is>
      </c>
      <c r="I1602" s="4" t="inlineStr">
        <is>
          <t>17:55:00</t>
        </is>
      </c>
      <c r="J1602" s="4" t="inlineStr">
        <is>
          <t>320</t>
        </is>
      </c>
      <c r="L1602" s="4" t="inlineStr">
        <is>
          <t>01:20:00</t>
        </is>
      </c>
      <c r="M1602" s="5" t="n"/>
      <c r="O1602" s="5" t="n"/>
      <c r="Q1602" s="4">
        <f>B1602</f>
        <v/>
      </c>
      <c r="R1602" s="4">
        <f>C1602</f>
        <v/>
      </c>
      <c r="S1602" s="4">
        <f>D1602</f>
        <v/>
      </c>
      <c r="T1602" s="4">
        <f>E1602&amp;"/"&amp;E1603</f>
        <v/>
      </c>
      <c r="U1602" s="4">
        <f>F1602&amp;"-"&amp;G1602&amp;"-"&amp;F1602</f>
        <v/>
      </c>
      <c r="V1602" s="4">
        <f>IF($M$1602="","",$M$1602)</f>
        <v/>
      </c>
      <c r="W1602" s="4">
        <f>IF($O$1602="","",$O$1602)</f>
        <v/>
      </c>
      <c r="X1602" s="4">
        <f>J1602</f>
        <v/>
      </c>
    </row>
    <row r="1603">
      <c r="B1603" s="4" t="inlineStr">
        <is>
          <t>1782_0</t>
        </is>
      </c>
      <c r="C1603" s="4" t="inlineStr">
        <is>
          <t>20/09/2026</t>
        </is>
      </c>
      <c r="D1603" s="4" t="inlineStr">
        <is>
          <t>domingo</t>
        </is>
      </c>
      <c r="E1603" s="4" t="inlineStr">
        <is>
          <t>2277</t>
        </is>
      </c>
      <c r="F1603" s="4" t="inlineStr">
        <is>
          <t>CUZ</t>
        </is>
      </c>
      <c r="G1603" s="4" t="inlineStr">
        <is>
          <t>LIM</t>
        </is>
      </c>
      <c r="H1603" s="4" t="inlineStr">
        <is>
          <t>18:50:00</t>
        </is>
      </c>
      <c r="I1603" s="4" t="inlineStr">
        <is>
          <t>20:25:00</t>
        </is>
      </c>
      <c r="J1603" s="4" t="inlineStr">
        <is>
          <t>320</t>
        </is>
      </c>
      <c r="K1603">
        <f>TEXT(TIMEVALUE(H1603)-TIMEVALUE(I1602)+(TIMEVALUE(H1603)&lt;TIMEVALUE(I1602)),"[h]:mm")</f>
        <v/>
      </c>
      <c r="L1603" s="4" t="inlineStr">
        <is>
          <t>01:35:00</t>
        </is>
      </c>
      <c r="O1603">
        <f>"LIM-"&amp;G1602&amp;"-LIM   LA "&amp;E1602&amp;" ("&amp;LEFT(H1602,5)&amp;"-"&amp;LEFT(I1602,5)&amp;" hrs)  /  LA "&amp;E1603&amp;" ("&amp;LEFT(H1603,5)&amp;"-"&amp;LEFT(I1603,5)&amp;" hrs)"</f>
        <v/>
      </c>
    </row>
    <row r="1604">
      <c r="J1604" s="7" t="inlineStr">
        <is>
          <t>PSV total:</t>
        </is>
      </c>
      <c r="K1604" s="8">
        <f>TEXT(TIMEVALUE(I1603)-TIMEVALUE(H1602)+(I1603&lt;H1602),"[h]:mm")</f>
        <v/>
      </c>
    </row>
    <row r="1606">
      <c r="B1606" s="3" t="inlineStr">
        <is>
          <t>Pairing ID</t>
        </is>
      </c>
      <c r="C1606" s="3" t="inlineStr">
        <is>
          <t>FECHA REAL</t>
        </is>
      </c>
      <c r="D1606" s="3" t="inlineStr">
        <is>
          <t>Day of Week</t>
        </is>
      </c>
      <c r="E1606" s="3" t="inlineStr">
        <is>
          <t>Flight No</t>
        </is>
      </c>
      <c r="F1606" s="3" t="inlineStr">
        <is>
          <t>Dep Stn</t>
        </is>
      </c>
      <c r="G1606" s="3" t="inlineStr">
        <is>
          <t>Arr Stn</t>
        </is>
      </c>
      <c r="H1606" s="3" t="inlineStr">
        <is>
          <t>STD</t>
        </is>
      </c>
      <c r="I1606" s="3" t="inlineStr">
        <is>
          <t>STA</t>
        </is>
      </c>
      <c r="J1606" s="3" t="inlineStr">
        <is>
          <t>subflota</t>
        </is>
      </c>
      <c r="K1606" s="3" t="inlineStr">
        <is>
          <t>Conexion</t>
        </is>
      </c>
      <c r="L1606" s="3" t="inlineStr">
        <is>
          <t>HBT</t>
        </is>
      </c>
    </row>
    <row r="1607">
      <c r="B1607" s="4" t="inlineStr">
        <is>
          <t>1842_0</t>
        </is>
      </c>
      <c r="C1607" s="4" t="inlineStr">
        <is>
          <t>21/09/2026</t>
        </is>
      </c>
      <c r="D1607" s="4" t="inlineStr">
        <is>
          <t>lunes</t>
        </is>
      </c>
      <c r="E1607" s="4" t="inlineStr">
        <is>
          <t>2299</t>
        </is>
      </c>
      <c r="F1607" s="4" t="inlineStr">
        <is>
          <t>LIM</t>
        </is>
      </c>
      <c r="G1607" s="4" t="inlineStr">
        <is>
          <t>CJA</t>
        </is>
      </c>
      <c r="H1607" s="4" t="inlineStr">
        <is>
          <t>11:35:00</t>
        </is>
      </c>
      <c r="I1607" s="4" t="inlineStr">
        <is>
          <t>12:55:00</t>
        </is>
      </c>
      <c r="J1607" s="4" t="inlineStr">
        <is>
          <t>320</t>
        </is>
      </c>
      <c r="L1607" s="4" t="inlineStr">
        <is>
          <t>01:20:00</t>
        </is>
      </c>
      <c r="M1607" s="5" t="n"/>
      <c r="O1607" s="5" t="n"/>
      <c r="Q1607" s="4">
        <f>B1607</f>
        <v/>
      </c>
      <c r="R1607" s="4">
        <f>C1607</f>
        <v/>
      </c>
      <c r="S1607" s="4">
        <f>D1607</f>
        <v/>
      </c>
      <c r="T1607" s="4">
        <f>E1607&amp;"/"&amp;E1608</f>
        <v/>
      </c>
      <c r="U1607" s="4">
        <f>F1607&amp;"-"&amp;G1607&amp;"-"&amp;F1607</f>
        <v/>
      </c>
      <c r="V1607" s="4">
        <f>IF($M$1607="","",$M$1607)</f>
        <v/>
      </c>
      <c r="W1607" s="4">
        <f>IF($O$1607="","",$O$1607)</f>
        <v/>
      </c>
      <c r="X1607" s="4">
        <f>J1607</f>
        <v/>
      </c>
    </row>
    <row r="1608">
      <c r="B1608" s="4" t="inlineStr">
        <is>
          <t>1842_0</t>
        </is>
      </c>
      <c r="C1608" s="4" t="inlineStr">
        <is>
          <t>21/09/2026</t>
        </is>
      </c>
      <c r="D1608" s="4" t="inlineStr">
        <is>
          <t>lunes</t>
        </is>
      </c>
      <c r="E1608" s="4" t="inlineStr">
        <is>
          <t>2298</t>
        </is>
      </c>
      <c r="F1608" s="4" t="inlineStr">
        <is>
          <t>CJA</t>
        </is>
      </c>
      <c r="G1608" s="4" t="inlineStr">
        <is>
          <t>LIM</t>
        </is>
      </c>
      <c r="H1608" s="4" t="inlineStr">
        <is>
          <t>13:45:00</t>
        </is>
      </c>
      <c r="I1608" s="4" t="inlineStr">
        <is>
          <t>14:55:00</t>
        </is>
      </c>
      <c r="J1608" s="4" t="inlineStr">
        <is>
          <t>320</t>
        </is>
      </c>
      <c r="K1608">
        <f>TEXT(TIMEVALUE(H1608)-TIMEVALUE(I1607)+(TIMEVALUE(H1608)&lt;TIMEVALUE(I1607)),"[h]:mm")</f>
        <v/>
      </c>
      <c r="L1608" s="4" t="inlineStr">
        <is>
          <t>01:10:00</t>
        </is>
      </c>
      <c r="O1608">
        <f>"LIM-"&amp;G1607&amp;"-LIM   LA "&amp;E1607&amp;" ("&amp;LEFT(H1607,5)&amp;"-"&amp;LEFT(I1607,5)&amp;" hrs)  /  LA "&amp;E1608&amp;" ("&amp;LEFT(H1608,5)&amp;"-"&amp;LEFT(I1608,5)&amp;" hrs)"</f>
        <v/>
      </c>
    </row>
    <row r="1609">
      <c r="B1609" s="4" t="inlineStr">
        <is>
          <t>1873_0</t>
        </is>
      </c>
      <c r="C1609" s="4" t="inlineStr">
        <is>
          <t>21/09/2026</t>
        </is>
      </c>
      <c r="D1609" s="4" t="inlineStr">
        <is>
          <t>lunes</t>
        </is>
      </c>
      <c r="E1609" s="4" t="inlineStr">
        <is>
          <t>2053</t>
        </is>
      </c>
      <c r="F1609" s="4" t="inlineStr">
        <is>
          <t>LIM</t>
        </is>
      </c>
      <c r="G1609" s="4" t="inlineStr">
        <is>
          <t>TBP</t>
        </is>
      </c>
      <c r="H1609" s="4" t="inlineStr">
        <is>
          <t>16:20:00</t>
        </is>
      </c>
      <c r="I1609" s="4" t="inlineStr">
        <is>
          <t>18:10:00</t>
        </is>
      </c>
      <c r="J1609" s="4" t="inlineStr">
        <is>
          <t>320</t>
        </is>
      </c>
      <c r="K1609" s="6">
        <f>TEXT(TIMEVALUE(H1609)-TIMEVALUE(I1608)+(TIMEVALUE(H1609)&lt;TIMEVALUE(I1608)),"[h]:mm")</f>
        <v/>
      </c>
      <c r="L1609" s="4" t="inlineStr">
        <is>
          <t>01:50:00</t>
        </is>
      </c>
      <c r="M1609">
        <f>IF($M$1607="","",$M$1607)</f>
        <v/>
      </c>
      <c r="O1609">
        <f>IF($O$1607="","",$O$1607)</f>
        <v/>
      </c>
      <c r="Q1609" s="4">
        <f>B1609</f>
        <v/>
      </c>
      <c r="R1609" s="4">
        <f>C1609</f>
        <v/>
      </c>
      <c r="S1609" s="4">
        <f>D1609</f>
        <v/>
      </c>
      <c r="T1609" s="4">
        <f>E1609&amp;"/"&amp;E1610</f>
        <v/>
      </c>
      <c r="U1609" s="4">
        <f>F1609&amp;"-"&amp;G1609&amp;"-"&amp;F1609</f>
        <v/>
      </c>
      <c r="V1609" s="4">
        <f>IF($M$1607="","",$M$1607)</f>
        <v/>
      </c>
      <c r="W1609" s="4">
        <f>IF($O$1607="","",$O$1607)</f>
        <v/>
      </c>
      <c r="X1609" s="4">
        <f>J1609</f>
        <v/>
      </c>
    </row>
    <row r="1610">
      <c r="B1610" s="4" t="inlineStr">
        <is>
          <t>1873_0</t>
        </is>
      </c>
      <c r="C1610" s="4" t="inlineStr">
        <is>
          <t>21/09/2026</t>
        </is>
      </c>
      <c r="D1610" s="4" t="inlineStr">
        <is>
          <t>lunes</t>
        </is>
      </c>
      <c r="E1610" s="4" t="inlineStr">
        <is>
          <t>2054</t>
        </is>
      </c>
      <c r="F1610" s="4" t="inlineStr">
        <is>
          <t>TBP</t>
        </is>
      </c>
      <c r="G1610" s="4" t="inlineStr">
        <is>
          <t>LIM</t>
        </is>
      </c>
      <c r="H1610" s="4" t="inlineStr">
        <is>
          <t>18:50:00</t>
        </is>
      </c>
      <c r="I1610" s="4" t="inlineStr">
        <is>
          <t>20:30:00</t>
        </is>
      </c>
      <c r="J1610" s="4" t="inlineStr">
        <is>
          <t>320</t>
        </is>
      </c>
      <c r="K1610">
        <f>TEXT(TIMEVALUE(H1610)-TIMEVALUE(I1609)+(TIMEVALUE(H1610)&lt;TIMEVALUE(I1609)),"[h]:mm")</f>
        <v/>
      </c>
      <c r="L1610" s="4" t="inlineStr">
        <is>
          <t>01:40:00</t>
        </is>
      </c>
      <c r="O1610">
        <f>"LIM-"&amp;G1609&amp;"-LIM   LA "&amp;E1609&amp;" ("&amp;LEFT(H1609,5)&amp;"-"&amp;LEFT(I1609,5)&amp;" hrs)  /  LA "&amp;E1610&amp;" ("&amp;LEFT(H1610,5)&amp;"-"&amp;LEFT(I1610,5)&amp;" hrs)"</f>
        <v/>
      </c>
    </row>
    <row r="1611">
      <c r="J1611" s="7" t="inlineStr">
        <is>
          <t>PSV total:</t>
        </is>
      </c>
      <c r="K1611" s="8">
        <f>TEXT(TIMEVALUE(I1610)-TIMEVALUE(H1607)+(I1610&lt;H1607),"[h]:mm")</f>
        <v/>
      </c>
    </row>
    <row r="1613">
      <c r="B1613" s="3" t="inlineStr">
        <is>
          <t>Pairing ID</t>
        </is>
      </c>
      <c r="C1613" s="3" t="inlineStr">
        <is>
          <t>FECHA REAL</t>
        </is>
      </c>
      <c r="D1613" s="3" t="inlineStr">
        <is>
          <t>Day of Week</t>
        </is>
      </c>
      <c r="E1613" s="3" t="inlineStr">
        <is>
          <t>Flight No</t>
        </is>
      </c>
      <c r="F1613" s="3" t="inlineStr">
        <is>
          <t>Dep Stn</t>
        </is>
      </c>
      <c r="G1613" s="3" t="inlineStr">
        <is>
          <t>Arr Stn</t>
        </is>
      </c>
      <c r="H1613" s="3" t="inlineStr">
        <is>
          <t>STD</t>
        </is>
      </c>
      <c r="I1613" s="3" t="inlineStr">
        <is>
          <t>STA</t>
        </is>
      </c>
      <c r="J1613" s="3" t="inlineStr">
        <is>
          <t>subflota</t>
        </is>
      </c>
      <c r="K1613" s="3" t="inlineStr">
        <is>
          <t>Conexion</t>
        </is>
      </c>
      <c r="L1613" s="3" t="inlineStr">
        <is>
          <t>HBT</t>
        </is>
      </c>
    </row>
    <row r="1614">
      <c r="B1614" s="4" t="inlineStr">
        <is>
          <t>1846_0</t>
        </is>
      </c>
      <c r="C1614" s="4" t="inlineStr">
        <is>
          <t>21/09/2026</t>
        </is>
      </c>
      <c r="D1614" s="4" t="inlineStr">
        <is>
          <t>lunes</t>
        </is>
      </c>
      <c r="E1614" s="4" t="inlineStr">
        <is>
          <t>2061</t>
        </is>
      </c>
      <c r="F1614" s="4" t="inlineStr">
        <is>
          <t>LIM</t>
        </is>
      </c>
      <c r="G1614" s="4" t="inlineStr">
        <is>
          <t>CUZ</t>
        </is>
      </c>
      <c r="H1614" s="4" t="inlineStr">
        <is>
          <t>11:40:00</t>
        </is>
      </c>
      <c r="I1614" s="4" t="inlineStr">
        <is>
          <t>13:00:00</t>
        </is>
      </c>
      <c r="J1614" s="4" t="inlineStr">
        <is>
          <t>320</t>
        </is>
      </c>
      <c r="L1614" s="4" t="inlineStr">
        <is>
          <t>01:20:00</t>
        </is>
      </c>
      <c r="M1614" s="5" t="n"/>
      <c r="O1614" s="5" t="n"/>
      <c r="Q1614" s="4">
        <f>B1614</f>
        <v/>
      </c>
      <c r="R1614" s="4">
        <f>C1614</f>
        <v/>
      </c>
      <c r="S1614" s="4">
        <f>D1614</f>
        <v/>
      </c>
      <c r="T1614" s="4">
        <f>E1614&amp;"/"&amp;E1615</f>
        <v/>
      </c>
      <c r="U1614" s="4">
        <f>F1614&amp;"-"&amp;G1614&amp;"-"&amp;F1614</f>
        <v/>
      </c>
      <c r="V1614" s="4">
        <f>IF($M$1614="","",$M$1614)</f>
        <v/>
      </c>
      <c r="W1614" s="4">
        <f>IF($O$1614="","",$O$1614)</f>
        <v/>
      </c>
      <c r="X1614" s="4">
        <f>J1614</f>
        <v/>
      </c>
    </row>
    <row r="1615">
      <c r="B1615" s="4" t="inlineStr">
        <is>
          <t>1846_0</t>
        </is>
      </c>
      <c r="C1615" s="4" t="inlineStr">
        <is>
          <t>21/09/2026</t>
        </is>
      </c>
      <c r="D1615" s="4" t="inlineStr">
        <is>
          <t>lunes</t>
        </is>
      </c>
      <c r="E1615" s="4" t="inlineStr">
        <is>
          <t>2062</t>
        </is>
      </c>
      <c r="F1615" s="4" t="inlineStr">
        <is>
          <t>CUZ</t>
        </is>
      </c>
      <c r="G1615" s="4" t="inlineStr">
        <is>
          <t>LIM</t>
        </is>
      </c>
      <c r="H1615" s="4" t="inlineStr">
        <is>
          <t>13:40:00</t>
        </is>
      </c>
      <c r="I1615" s="4" t="inlineStr">
        <is>
          <t>15:15:00</t>
        </is>
      </c>
      <c r="J1615" s="4" t="inlineStr">
        <is>
          <t>320</t>
        </is>
      </c>
      <c r="K1615">
        <f>TEXT(TIMEVALUE(H1615)-TIMEVALUE(I1614)+(TIMEVALUE(H1615)&lt;TIMEVALUE(I1614)),"[h]:mm")</f>
        <v/>
      </c>
      <c r="L1615" s="4" t="inlineStr">
        <is>
          <t>01:35:00</t>
        </is>
      </c>
      <c r="O1615">
        <f>"LIM-"&amp;G1614&amp;"-LIM   LA "&amp;E1614&amp;" ("&amp;LEFT(H1614,5)&amp;"-"&amp;LEFT(I1614,5)&amp;" hrs)  /  LA "&amp;E1615&amp;" ("&amp;LEFT(H1615,5)&amp;"-"&amp;LEFT(I1615,5)&amp;" hrs)"</f>
        <v/>
      </c>
    </row>
    <row r="1616">
      <c r="B1616" s="4" t="inlineStr">
        <is>
          <t>1874_0</t>
        </is>
      </c>
      <c r="C1616" s="4" t="inlineStr">
        <is>
          <t>21/09/2026</t>
        </is>
      </c>
      <c r="D1616" s="4" t="inlineStr">
        <is>
          <t>lunes</t>
        </is>
      </c>
      <c r="E1616" s="4" t="inlineStr">
        <is>
          <t>2053</t>
        </is>
      </c>
      <c r="F1616" s="4" t="inlineStr">
        <is>
          <t>LIM</t>
        </is>
      </c>
      <c r="G1616" s="4" t="inlineStr">
        <is>
          <t>TBP</t>
        </is>
      </c>
      <c r="H1616" s="4" t="inlineStr">
        <is>
          <t>16:20:00</t>
        </is>
      </c>
      <c r="I1616" s="4" t="inlineStr">
        <is>
          <t>18:10:00</t>
        </is>
      </c>
      <c r="J1616" s="4" t="inlineStr">
        <is>
          <t>320</t>
        </is>
      </c>
      <c r="K1616" s="6">
        <f>TEXT(TIMEVALUE(H1616)-TIMEVALUE(I1615)+(TIMEVALUE(H1616)&lt;TIMEVALUE(I1615)),"[h]:mm")</f>
        <v/>
      </c>
      <c r="L1616" s="4" t="inlineStr">
        <is>
          <t>01:50:00</t>
        </is>
      </c>
      <c r="M1616">
        <f>IF($M$1614="","",$M$1614)</f>
        <v/>
      </c>
      <c r="O1616">
        <f>IF($O$1614="","",$O$1614)</f>
        <v/>
      </c>
      <c r="Q1616" s="4">
        <f>B1616</f>
        <v/>
      </c>
      <c r="R1616" s="4">
        <f>C1616</f>
        <v/>
      </c>
      <c r="S1616" s="4">
        <f>D1616</f>
        <v/>
      </c>
      <c r="T1616" s="4">
        <f>E1616&amp;"/"&amp;E1617</f>
        <v/>
      </c>
      <c r="U1616" s="4">
        <f>F1616&amp;"-"&amp;G1616&amp;"-"&amp;F1616</f>
        <v/>
      </c>
      <c r="V1616" s="4">
        <f>IF($M$1614="","",$M$1614)</f>
        <v/>
      </c>
      <c r="W1616" s="4">
        <f>IF($O$1614="","",$O$1614)</f>
        <v/>
      </c>
      <c r="X1616" s="4">
        <f>J1616</f>
        <v/>
      </c>
    </row>
    <row r="1617">
      <c r="B1617" s="4" t="inlineStr">
        <is>
          <t>1874_0</t>
        </is>
      </c>
      <c r="C1617" s="4" t="inlineStr">
        <is>
          <t>21/09/2026</t>
        </is>
      </c>
      <c r="D1617" s="4" t="inlineStr">
        <is>
          <t>lunes</t>
        </is>
      </c>
      <c r="E1617" s="4" t="inlineStr">
        <is>
          <t>2054</t>
        </is>
      </c>
      <c r="F1617" s="4" t="inlineStr">
        <is>
          <t>TBP</t>
        </is>
      </c>
      <c r="G1617" s="4" t="inlineStr">
        <is>
          <t>LIM</t>
        </is>
      </c>
      <c r="H1617" s="4" t="inlineStr">
        <is>
          <t>18:50:00</t>
        </is>
      </c>
      <c r="I1617" s="4" t="inlineStr">
        <is>
          <t>20:30:00</t>
        </is>
      </c>
      <c r="J1617" s="4" t="inlineStr">
        <is>
          <t>320</t>
        </is>
      </c>
      <c r="K1617">
        <f>TEXT(TIMEVALUE(H1617)-TIMEVALUE(I1616)+(TIMEVALUE(H1617)&lt;TIMEVALUE(I1616)),"[h]:mm")</f>
        <v/>
      </c>
      <c r="L1617" s="4" t="inlineStr">
        <is>
          <t>01:40:00</t>
        </is>
      </c>
      <c r="O1617">
        <f>"LIM-"&amp;G1616&amp;"-LIM   LA "&amp;E1616&amp;" ("&amp;LEFT(H1616,5)&amp;"-"&amp;LEFT(I1616,5)&amp;" hrs)  /  LA "&amp;E1617&amp;" ("&amp;LEFT(H1617,5)&amp;"-"&amp;LEFT(I1617,5)&amp;" hrs)"</f>
        <v/>
      </c>
    </row>
    <row r="1618">
      <c r="J1618" s="7" t="inlineStr">
        <is>
          <t>PSV total:</t>
        </is>
      </c>
      <c r="K1618" s="8">
        <f>TEXT(TIMEVALUE(I1617)-TIMEVALUE(H1614)+(I1617&lt;H1614),"[h]:mm")</f>
        <v/>
      </c>
    </row>
    <row r="1620">
      <c r="B1620" s="3" t="inlineStr">
        <is>
          <t>Pairing ID</t>
        </is>
      </c>
      <c r="C1620" s="3" t="inlineStr">
        <is>
          <t>FECHA REAL</t>
        </is>
      </c>
      <c r="D1620" s="3" t="inlineStr">
        <is>
          <t>Day of Week</t>
        </is>
      </c>
      <c r="E1620" s="3" t="inlineStr">
        <is>
          <t>Flight No</t>
        </is>
      </c>
      <c r="F1620" s="3" t="inlineStr">
        <is>
          <t>Dep Stn</t>
        </is>
      </c>
      <c r="G1620" s="3" t="inlineStr">
        <is>
          <t>Arr Stn</t>
        </is>
      </c>
      <c r="H1620" s="3" t="inlineStr">
        <is>
          <t>STD</t>
        </is>
      </c>
      <c r="I1620" s="3" t="inlineStr">
        <is>
          <t>STA</t>
        </is>
      </c>
      <c r="J1620" s="3" t="inlineStr">
        <is>
          <t>subflota</t>
        </is>
      </c>
      <c r="K1620" s="3" t="inlineStr">
        <is>
          <t>Conexion</t>
        </is>
      </c>
      <c r="L1620" s="3" t="inlineStr">
        <is>
          <t>HBT</t>
        </is>
      </c>
    </row>
    <row r="1621">
      <c r="B1621" s="4" t="inlineStr">
        <is>
          <t>1845_0</t>
        </is>
      </c>
      <c r="C1621" s="4" t="inlineStr">
        <is>
          <t>21/09/2026</t>
        </is>
      </c>
      <c r="D1621" s="4" t="inlineStr">
        <is>
          <t>lunes</t>
        </is>
      </c>
      <c r="E1621" s="4" t="inlineStr">
        <is>
          <t>2316</t>
        </is>
      </c>
      <c r="F1621" s="4" t="inlineStr">
        <is>
          <t>LIM</t>
        </is>
      </c>
      <c r="G1621" s="4" t="inlineStr">
        <is>
          <t>PIU</t>
        </is>
      </c>
      <c r="H1621" s="4" t="inlineStr">
        <is>
          <t>11:40:00</t>
        </is>
      </c>
      <c r="I1621" s="4" t="inlineStr">
        <is>
          <t>13:25:00</t>
        </is>
      </c>
      <c r="J1621" s="4" t="inlineStr">
        <is>
          <t>320</t>
        </is>
      </c>
      <c r="L1621" s="4" t="inlineStr">
        <is>
          <t>01:45:00</t>
        </is>
      </c>
      <c r="M1621" s="5" t="n"/>
      <c r="O1621" s="5" t="n"/>
      <c r="Q1621" s="4">
        <f>B1621</f>
        <v/>
      </c>
      <c r="R1621" s="4">
        <f>C1621</f>
        <v/>
      </c>
      <c r="S1621" s="4">
        <f>D1621</f>
        <v/>
      </c>
      <c r="T1621" s="4">
        <f>E1621&amp;"/"&amp;E1622</f>
        <v/>
      </c>
      <c r="U1621" s="4">
        <f>F1621&amp;"-"&amp;G1621&amp;"-"&amp;F1621</f>
        <v/>
      </c>
      <c r="V1621" s="4">
        <f>IF($M$1621="","",$M$1621)</f>
        <v/>
      </c>
      <c r="W1621" s="4">
        <f>IF($O$1621="","",$O$1621)</f>
        <v/>
      </c>
      <c r="X1621" s="4">
        <f>J1621</f>
        <v/>
      </c>
    </row>
    <row r="1622">
      <c r="B1622" s="4" t="inlineStr">
        <is>
          <t>1845_0</t>
        </is>
      </c>
      <c r="C1622" s="4" t="inlineStr">
        <is>
          <t>21/09/2026</t>
        </is>
      </c>
      <c r="D1622" s="4" t="inlineStr">
        <is>
          <t>lunes</t>
        </is>
      </c>
      <c r="E1622" s="4" t="inlineStr">
        <is>
          <t>2317</t>
        </is>
      </c>
      <c r="F1622" s="4" t="inlineStr">
        <is>
          <t>PIU</t>
        </is>
      </c>
      <c r="G1622" s="4" t="inlineStr">
        <is>
          <t>LIM</t>
        </is>
      </c>
      <c r="H1622" s="4" t="inlineStr">
        <is>
          <t>14:05:00</t>
        </is>
      </c>
      <c r="I1622" s="4" t="inlineStr">
        <is>
          <t>15:40:00</t>
        </is>
      </c>
      <c r="J1622" s="4" t="inlineStr">
        <is>
          <t>320</t>
        </is>
      </c>
      <c r="K1622">
        <f>TEXT(TIMEVALUE(H1622)-TIMEVALUE(I1621)+(TIMEVALUE(H1622)&lt;TIMEVALUE(I1621)),"[h]:mm")</f>
        <v/>
      </c>
      <c r="L1622" s="4" t="inlineStr">
        <is>
          <t>01:35:00</t>
        </is>
      </c>
      <c r="O1622">
        <f>"LIM-"&amp;G1621&amp;"-LIM   LA "&amp;E1621&amp;" ("&amp;LEFT(H1621,5)&amp;"-"&amp;LEFT(I1621,5)&amp;" hrs)  /  LA "&amp;E1622&amp;" ("&amp;LEFT(H1622,5)&amp;"-"&amp;LEFT(I1622,5)&amp;" hrs)"</f>
        <v/>
      </c>
    </row>
    <row r="1623">
      <c r="B1623" s="4" t="inlineStr">
        <is>
          <t>1875_0</t>
        </is>
      </c>
      <c r="C1623" s="4" t="inlineStr">
        <is>
          <t>21/09/2026</t>
        </is>
      </c>
      <c r="D1623" s="4" t="inlineStr">
        <is>
          <t>lunes</t>
        </is>
      </c>
      <c r="E1623" s="4" t="inlineStr">
        <is>
          <t>2304</t>
        </is>
      </c>
      <c r="F1623" s="4" t="inlineStr">
        <is>
          <t>LIM</t>
        </is>
      </c>
      <c r="G1623" s="4" t="inlineStr">
        <is>
          <t>PIU</t>
        </is>
      </c>
      <c r="H1623" s="4" t="inlineStr">
        <is>
          <t>16:55:00</t>
        </is>
      </c>
      <c r="I1623" s="4" t="inlineStr">
        <is>
          <t>18:35:00</t>
        </is>
      </c>
      <c r="J1623" s="4" t="inlineStr">
        <is>
          <t>320</t>
        </is>
      </c>
      <c r="K1623" s="6">
        <f>TEXT(TIMEVALUE(H1623)-TIMEVALUE(I1622)+(TIMEVALUE(H1623)&lt;TIMEVALUE(I1622)),"[h]:mm")</f>
        <v/>
      </c>
      <c r="L1623" s="4" t="inlineStr">
        <is>
          <t>01:40:00</t>
        </is>
      </c>
      <c r="M1623">
        <f>IF($M$1621="","",$M$1621)</f>
        <v/>
      </c>
      <c r="O1623">
        <f>IF($O$1621="","",$O$1621)</f>
        <v/>
      </c>
      <c r="Q1623" s="4">
        <f>B1623</f>
        <v/>
      </c>
      <c r="R1623" s="4">
        <f>C1623</f>
        <v/>
      </c>
      <c r="S1623" s="4">
        <f>D1623</f>
        <v/>
      </c>
      <c r="T1623" s="4">
        <f>E1623&amp;"/"&amp;E1624</f>
        <v/>
      </c>
      <c r="U1623" s="4">
        <f>F1623&amp;"-"&amp;G1623&amp;"-"&amp;F1623</f>
        <v/>
      </c>
      <c r="V1623" s="4">
        <f>IF($M$1621="","",$M$1621)</f>
        <v/>
      </c>
      <c r="W1623" s="4">
        <f>IF($O$1621="","",$O$1621)</f>
        <v/>
      </c>
      <c r="X1623" s="4">
        <f>J1623</f>
        <v/>
      </c>
    </row>
    <row r="1624">
      <c r="B1624" s="4" t="inlineStr">
        <is>
          <t>1875_0</t>
        </is>
      </c>
      <c r="C1624" s="4" t="inlineStr">
        <is>
          <t>21/09/2026</t>
        </is>
      </c>
      <c r="D1624" s="4" t="inlineStr">
        <is>
          <t>lunes</t>
        </is>
      </c>
      <c r="E1624" s="4" t="inlineStr">
        <is>
          <t>2305</t>
        </is>
      </c>
      <c r="F1624" s="4" t="inlineStr">
        <is>
          <t>PIU</t>
        </is>
      </c>
      <c r="G1624" s="4" t="inlineStr">
        <is>
          <t>LIM</t>
        </is>
      </c>
      <c r="H1624" s="4" t="inlineStr">
        <is>
          <t>19:10:00</t>
        </is>
      </c>
      <c r="I1624" s="4" t="inlineStr">
        <is>
          <t>20:40:00</t>
        </is>
      </c>
      <c r="J1624" s="4" t="inlineStr">
        <is>
          <t>320</t>
        </is>
      </c>
      <c r="K1624">
        <f>TEXT(TIMEVALUE(H1624)-TIMEVALUE(I1623)+(TIMEVALUE(H1624)&lt;TIMEVALUE(I1623)),"[h]:mm")</f>
        <v/>
      </c>
      <c r="L1624" s="4" t="inlineStr">
        <is>
          <t>01:30:00</t>
        </is>
      </c>
      <c r="O1624">
        <f>"LIM-"&amp;G1623&amp;"-LIM   LA "&amp;E1623&amp;" ("&amp;LEFT(H1623,5)&amp;"-"&amp;LEFT(I1623,5)&amp;" hrs)  /  LA "&amp;E1624&amp;" ("&amp;LEFT(H1624,5)&amp;"-"&amp;LEFT(I1624,5)&amp;" hrs)"</f>
        <v/>
      </c>
    </row>
    <row r="1625">
      <c r="J1625" s="7" t="inlineStr">
        <is>
          <t>PSV total:</t>
        </is>
      </c>
      <c r="K1625" s="8">
        <f>TEXT(TIMEVALUE(I1624)-TIMEVALUE(H1621)+(I1624&lt;H1621),"[h]:mm")</f>
        <v/>
      </c>
    </row>
    <row r="1627">
      <c r="B1627" s="3" t="inlineStr">
        <is>
          <t>Pairing ID</t>
        </is>
      </c>
      <c r="C1627" s="3" t="inlineStr">
        <is>
          <t>FECHA REAL</t>
        </is>
      </c>
      <c r="D1627" s="3" t="inlineStr">
        <is>
          <t>Day of Week</t>
        </is>
      </c>
      <c r="E1627" s="3" t="inlineStr">
        <is>
          <t>Flight No</t>
        </is>
      </c>
      <c r="F1627" s="3" t="inlineStr">
        <is>
          <t>Dep Stn</t>
        </is>
      </c>
      <c r="G1627" s="3" t="inlineStr">
        <is>
          <t>Arr Stn</t>
        </is>
      </c>
      <c r="H1627" s="3" t="inlineStr">
        <is>
          <t>STD</t>
        </is>
      </c>
      <c r="I1627" s="3" t="inlineStr">
        <is>
          <t>STA</t>
        </is>
      </c>
      <c r="J1627" s="3" t="inlineStr">
        <is>
          <t>subflota</t>
        </is>
      </c>
      <c r="K1627" s="3" t="inlineStr">
        <is>
          <t>Conexion</t>
        </is>
      </c>
      <c r="L1627" s="3" t="inlineStr">
        <is>
          <t>HBT</t>
        </is>
      </c>
    </row>
    <row r="1628">
      <c r="B1628" s="4" t="inlineStr">
        <is>
          <t>1855_0</t>
        </is>
      </c>
      <c r="C1628" s="4" t="inlineStr">
        <is>
          <t>21/09/2026</t>
        </is>
      </c>
      <c r="D1628" s="4" t="inlineStr">
        <is>
          <t>lunes</t>
        </is>
      </c>
      <c r="E1628" s="4" t="inlineStr">
        <is>
          <t>2028</t>
        </is>
      </c>
      <c r="F1628" s="4" t="inlineStr">
        <is>
          <t>LIM</t>
        </is>
      </c>
      <c r="G1628" s="4" t="inlineStr">
        <is>
          <t>CUZ</t>
        </is>
      </c>
      <c r="H1628" s="4" t="inlineStr">
        <is>
          <t>13:25:00</t>
        </is>
      </c>
      <c r="I1628" s="4" t="inlineStr">
        <is>
          <t>14:45:00</t>
        </is>
      </c>
      <c r="J1628" s="4" t="inlineStr">
        <is>
          <t>320</t>
        </is>
      </c>
      <c r="L1628" s="4" t="inlineStr">
        <is>
          <t>01:20:00</t>
        </is>
      </c>
      <c r="M1628" s="5" t="n"/>
      <c r="O1628" s="5" t="n"/>
      <c r="Q1628" s="4">
        <f>B1628</f>
        <v/>
      </c>
      <c r="R1628" s="4">
        <f>C1628</f>
        <v/>
      </c>
      <c r="S1628" s="4">
        <f>D1628</f>
        <v/>
      </c>
      <c r="T1628" s="4">
        <f>E1628&amp;"/"&amp;E1629</f>
        <v/>
      </c>
      <c r="U1628" s="4">
        <f>F1628&amp;"-"&amp;G1628&amp;"-"&amp;F1628</f>
        <v/>
      </c>
      <c r="V1628" s="4">
        <f>IF($M$1628="","",$M$1628)</f>
        <v/>
      </c>
      <c r="W1628" s="4">
        <f>IF($O$1628="","",$O$1628)</f>
        <v/>
      </c>
      <c r="X1628" s="4">
        <f>J1628</f>
        <v/>
      </c>
    </row>
    <row r="1629">
      <c r="B1629" s="4" t="inlineStr">
        <is>
          <t>1855_0</t>
        </is>
      </c>
      <c r="C1629" s="4" t="inlineStr">
        <is>
          <t>21/09/2026</t>
        </is>
      </c>
      <c r="D1629" s="4" t="inlineStr">
        <is>
          <t>lunes</t>
        </is>
      </c>
      <c r="E1629" s="4" t="inlineStr">
        <is>
          <t>2029</t>
        </is>
      </c>
      <c r="F1629" s="4" t="inlineStr">
        <is>
          <t>CUZ</t>
        </is>
      </c>
      <c r="G1629" s="4" t="inlineStr">
        <is>
          <t>LIM</t>
        </is>
      </c>
      <c r="H1629" s="4" t="inlineStr">
        <is>
          <t>15:30:00</t>
        </is>
      </c>
      <c r="I1629" s="4" t="inlineStr">
        <is>
          <t>17:05:00</t>
        </is>
      </c>
      <c r="J1629" s="4" t="inlineStr">
        <is>
          <t>320</t>
        </is>
      </c>
      <c r="K1629">
        <f>TEXT(TIMEVALUE(H1629)-TIMEVALUE(I1628)+(TIMEVALUE(H1629)&lt;TIMEVALUE(I1628)),"[h]:mm")</f>
        <v/>
      </c>
      <c r="L1629" s="4" t="inlineStr">
        <is>
          <t>01:35:00</t>
        </is>
      </c>
      <c r="O1629">
        <f>"LIM-"&amp;G1628&amp;"-LIM   LA "&amp;E1628&amp;" ("&amp;LEFT(H1628,5)&amp;"-"&amp;LEFT(I1628,5)&amp;" hrs)  /  LA "&amp;E1629&amp;" ("&amp;LEFT(H1629,5)&amp;"-"&amp;LEFT(I1629,5)&amp;" hrs)"</f>
        <v/>
      </c>
    </row>
    <row r="1630">
      <c r="B1630" s="4" t="inlineStr">
        <is>
          <t>1876_0</t>
        </is>
      </c>
      <c r="C1630" s="4" t="inlineStr">
        <is>
          <t>21/09/2026</t>
        </is>
      </c>
      <c r="D1630" s="4" t="inlineStr">
        <is>
          <t>lunes</t>
        </is>
      </c>
      <c r="E1630" s="4" t="inlineStr">
        <is>
          <t>2236</t>
        </is>
      </c>
      <c r="F1630" s="4" t="inlineStr">
        <is>
          <t>LIM</t>
        </is>
      </c>
      <c r="G1630" s="4" t="inlineStr">
        <is>
          <t>PIU</t>
        </is>
      </c>
      <c r="H1630" s="4" t="inlineStr">
        <is>
          <t>18:00:00</t>
        </is>
      </c>
      <c r="I1630" s="4" t="inlineStr">
        <is>
          <t>19:40:00</t>
        </is>
      </c>
      <c r="J1630" s="4" t="inlineStr">
        <is>
          <t>320</t>
        </is>
      </c>
      <c r="K1630" s="6">
        <f>TEXT(TIMEVALUE(H1630)-TIMEVALUE(I1629)+(TIMEVALUE(H1630)&lt;TIMEVALUE(I1629)),"[h]:mm")</f>
        <v/>
      </c>
      <c r="L1630" s="4" t="inlineStr">
        <is>
          <t>01:40:00</t>
        </is>
      </c>
      <c r="M1630">
        <f>IF($M$1628="","",$M$1628)</f>
        <v/>
      </c>
      <c r="O1630">
        <f>IF($O$1628="","",$O$1628)</f>
        <v/>
      </c>
      <c r="Q1630" s="4">
        <f>B1630</f>
        <v/>
      </c>
      <c r="R1630" s="4">
        <f>C1630</f>
        <v/>
      </c>
      <c r="S1630" s="4">
        <f>D1630</f>
        <v/>
      </c>
      <c r="T1630" s="4">
        <f>E1630&amp;"/"&amp;E1631</f>
        <v/>
      </c>
      <c r="U1630" s="4">
        <f>F1630&amp;"-"&amp;G1630&amp;"-"&amp;F1630</f>
        <v/>
      </c>
      <c r="V1630" s="4">
        <f>IF($M$1628="","",$M$1628)</f>
        <v/>
      </c>
      <c r="W1630" s="4">
        <f>IF($O$1628="","",$O$1628)</f>
        <v/>
      </c>
      <c r="X1630" s="4">
        <f>J1630</f>
        <v/>
      </c>
    </row>
    <row r="1631">
      <c r="B1631" s="4" t="inlineStr">
        <is>
          <t>1876_0</t>
        </is>
      </c>
      <c r="C1631" s="4" t="inlineStr">
        <is>
          <t>21/09/2026</t>
        </is>
      </c>
      <c r="D1631" s="4" t="inlineStr">
        <is>
          <t>lunes</t>
        </is>
      </c>
      <c r="E1631" s="4" t="inlineStr">
        <is>
          <t>2237</t>
        </is>
      </c>
      <c r="F1631" s="4" t="inlineStr">
        <is>
          <t>PIU</t>
        </is>
      </c>
      <c r="G1631" s="4" t="inlineStr">
        <is>
          <t>LIM</t>
        </is>
      </c>
      <c r="H1631" s="4" t="inlineStr">
        <is>
          <t>20:20:00</t>
        </is>
      </c>
      <c r="I1631" s="4" t="inlineStr">
        <is>
          <t>21:50:00</t>
        </is>
      </c>
      <c r="J1631" s="4" t="inlineStr">
        <is>
          <t>320</t>
        </is>
      </c>
      <c r="K1631">
        <f>TEXT(TIMEVALUE(H1631)-TIMEVALUE(I1630)+(TIMEVALUE(H1631)&lt;TIMEVALUE(I1630)),"[h]:mm")</f>
        <v/>
      </c>
      <c r="L1631" s="4" t="inlineStr">
        <is>
          <t>01:30:00</t>
        </is>
      </c>
      <c r="O1631">
        <f>"LIM-"&amp;G1630&amp;"-LIM   LA "&amp;E1630&amp;" ("&amp;LEFT(H1630,5)&amp;"-"&amp;LEFT(I1630,5)&amp;" hrs)  /  LA "&amp;E1631&amp;" ("&amp;LEFT(H1631,5)&amp;"-"&amp;LEFT(I1631,5)&amp;" hrs)"</f>
        <v/>
      </c>
    </row>
    <row r="1632">
      <c r="J1632" s="7" t="inlineStr">
        <is>
          <t>PSV total:</t>
        </is>
      </c>
      <c r="K1632" s="8">
        <f>TEXT(TIMEVALUE(I1631)-TIMEVALUE(H1628)+(I1631&lt;H1628),"[h]:mm")</f>
        <v/>
      </c>
    </row>
    <row r="1634">
      <c r="B1634" s="3" t="inlineStr">
        <is>
          <t>Pairing ID</t>
        </is>
      </c>
      <c r="C1634" s="3" t="inlineStr">
        <is>
          <t>FECHA REAL</t>
        </is>
      </c>
      <c r="D1634" s="3" t="inlineStr">
        <is>
          <t>Day of Week</t>
        </is>
      </c>
      <c r="E1634" s="3" t="inlineStr">
        <is>
          <t>Flight No</t>
        </is>
      </c>
      <c r="F1634" s="3" t="inlineStr">
        <is>
          <t>Dep Stn</t>
        </is>
      </c>
      <c r="G1634" s="3" t="inlineStr">
        <is>
          <t>Arr Stn</t>
        </is>
      </c>
      <c r="H1634" s="3" t="inlineStr">
        <is>
          <t>STD</t>
        </is>
      </c>
      <c r="I1634" s="3" t="inlineStr">
        <is>
          <t>STA</t>
        </is>
      </c>
      <c r="J1634" s="3" t="inlineStr">
        <is>
          <t>subflota</t>
        </is>
      </c>
      <c r="K1634" s="3" t="inlineStr">
        <is>
          <t>Conexion</t>
        </is>
      </c>
      <c r="L1634" s="3" t="inlineStr">
        <is>
          <t>HBT</t>
        </is>
      </c>
    </row>
    <row r="1635">
      <c r="B1635" s="4" t="inlineStr">
        <is>
          <t>1858_0</t>
        </is>
      </c>
      <c r="C1635" s="4" t="inlineStr">
        <is>
          <t>21/09/2026</t>
        </is>
      </c>
      <c r="D1635" s="4" t="inlineStr">
        <is>
          <t>lunes</t>
        </is>
      </c>
      <c r="E1635" s="4" t="inlineStr">
        <is>
          <t>2087</t>
        </is>
      </c>
      <c r="F1635" s="4" t="inlineStr">
        <is>
          <t>LIM</t>
        </is>
      </c>
      <c r="G1635" s="4" t="inlineStr">
        <is>
          <t>TPP</t>
        </is>
      </c>
      <c r="H1635" s="4" t="inlineStr">
        <is>
          <t>14:05:00</t>
        </is>
      </c>
      <c r="I1635" s="4" t="inlineStr">
        <is>
          <t>15:30:00</t>
        </is>
      </c>
      <c r="J1635" s="4" t="inlineStr">
        <is>
          <t>320</t>
        </is>
      </c>
      <c r="L1635" s="4" t="inlineStr">
        <is>
          <t>01:25:00</t>
        </is>
      </c>
      <c r="M1635" s="5" t="n"/>
      <c r="O1635" s="5" t="n"/>
      <c r="Q1635" s="4">
        <f>B1635</f>
        <v/>
      </c>
      <c r="R1635" s="4">
        <f>C1635</f>
        <v/>
      </c>
      <c r="S1635" s="4">
        <f>D1635</f>
        <v/>
      </c>
      <c r="T1635" s="4">
        <f>E1635&amp;"/"&amp;E1636</f>
        <v/>
      </c>
      <c r="U1635" s="4">
        <f>F1635&amp;"-"&amp;G1635&amp;"-"&amp;F1635</f>
        <v/>
      </c>
      <c r="V1635" s="4">
        <f>IF($M$1635="","",$M$1635)</f>
        <v/>
      </c>
      <c r="W1635" s="4">
        <f>IF($O$1635="","",$O$1635)</f>
        <v/>
      </c>
      <c r="X1635" s="4">
        <f>J1635</f>
        <v/>
      </c>
    </row>
    <row r="1636">
      <c r="B1636" s="4" t="inlineStr">
        <is>
          <t>1858_0</t>
        </is>
      </c>
      <c r="C1636" s="4" t="inlineStr">
        <is>
          <t>21/09/2026</t>
        </is>
      </c>
      <c r="D1636" s="4" t="inlineStr">
        <is>
          <t>lunes</t>
        </is>
      </c>
      <c r="E1636" s="4" t="inlineStr">
        <is>
          <t>2088</t>
        </is>
      </c>
      <c r="F1636" s="4" t="inlineStr">
        <is>
          <t>TPP</t>
        </is>
      </c>
      <c r="G1636" s="4" t="inlineStr">
        <is>
          <t>LIM</t>
        </is>
      </c>
      <c r="H1636" s="4" t="inlineStr">
        <is>
          <t>16:05:00</t>
        </is>
      </c>
      <c r="I1636" s="4" t="inlineStr">
        <is>
          <t>17:30:00</t>
        </is>
      </c>
      <c r="J1636" s="4" t="inlineStr">
        <is>
          <t>320</t>
        </is>
      </c>
      <c r="K1636">
        <f>TEXT(TIMEVALUE(H1636)-TIMEVALUE(I1635)+(TIMEVALUE(H1636)&lt;TIMEVALUE(I1635)),"[h]:mm")</f>
        <v/>
      </c>
      <c r="L1636" s="4" t="inlineStr">
        <is>
          <t>01:25:00</t>
        </is>
      </c>
      <c r="O1636">
        <f>"LIM-"&amp;G1635&amp;"-LIM   LA "&amp;E1635&amp;" ("&amp;LEFT(H1635,5)&amp;"-"&amp;LEFT(I1635,5)&amp;" hrs)  /  LA "&amp;E1636&amp;" ("&amp;LEFT(H1636,5)&amp;"-"&amp;LEFT(I1636,5)&amp;" hrs)"</f>
        <v/>
      </c>
    </row>
    <row r="1637">
      <c r="J1637" s="7" t="inlineStr">
        <is>
          <t>PSV total:</t>
        </is>
      </c>
      <c r="K1637" s="8">
        <f>TEXT(TIMEVALUE(I1636)-TIMEVALUE(H1635)+(I1636&lt;H1635),"[h]:mm")</f>
        <v/>
      </c>
    </row>
    <row r="1639">
      <c r="B1639" s="3" t="inlineStr">
        <is>
          <t>Pairing ID</t>
        </is>
      </c>
      <c r="C1639" s="3" t="inlineStr">
        <is>
          <t>FECHA REAL</t>
        </is>
      </c>
      <c r="D1639" s="3" t="inlineStr">
        <is>
          <t>Day of Week</t>
        </is>
      </c>
      <c r="E1639" s="3" t="inlineStr">
        <is>
          <t>Flight No</t>
        </is>
      </c>
      <c r="F1639" s="3" t="inlineStr">
        <is>
          <t>Dep Stn</t>
        </is>
      </c>
      <c r="G1639" s="3" t="inlineStr">
        <is>
          <t>Arr Stn</t>
        </is>
      </c>
      <c r="H1639" s="3" t="inlineStr">
        <is>
          <t>STD</t>
        </is>
      </c>
      <c r="I1639" s="3" t="inlineStr">
        <is>
          <t>STA</t>
        </is>
      </c>
      <c r="J1639" s="3" t="inlineStr">
        <is>
          <t>subflota</t>
        </is>
      </c>
      <c r="K1639" s="3" t="inlineStr">
        <is>
          <t>Conexion</t>
        </is>
      </c>
      <c r="L1639" s="3" t="inlineStr">
        <is>
          <t>HBT</t>
        </is>
      </c>
    </row>
    <row r="1640">
      <c r="B1640" s="4" t="inlineStr">
        <is>
          <t>1859_0</t>
        </is>
      </c>
      <c r="C1640" s="4" t="inlineStr">
        <is>
          <t>21/09/2026</t>
        </is>
      </c>
      <c r="D1640" s="4" t="inlineStr">
        <is>
          <t>lunes</t>
        </is>
      </c>
      <c r="E1640" s="4" t="inlineStr">
        <is>
          <t>2295</t>
        </is>
      </c>
      <c r="F1640" s="4" t="inlineStr">
        <is>
          <t>LIM</t>
        </is>
      </c>
      <c r="G1640" s="4" t="inlineStr">
        <is>
          <t>CJA</t>
        </is>
      </c>
      <c r="H1640" s="4" t="inlineStr">
        <is>
          <t>14:10:00</t>
        </is>
      </c>
      <c r="I1640" s="4" t="inlineStr">
        <is>
          <t>15:30:00</t>
        </is>
      </c>
      <c r="J1640" s="4" t="inlineStr">
        <is>
          <t>320</t>
        </is>
      </c>
      <c r="L1640" s="4" t="inlineStr">
        <is>
          <t>01:20:00</t>
        </is>
      </c>
      <c r="M1640" s="5" t="n"/>
      <c r="O1640" s="5" t="n"/>
      <c r="Q1640" s="4">
        <f>B1640</f>
        <v/>
      </c>
      <c r="R1640" s="4">
        <f>C1640</f>
        <v/>
      </c>
      <c r="S1640" s="4">
        <f>D1640</f>
        <v/>
      </c>
      <c r="T1640" s="4">
        <f>E1640&amp;"/"&amp;E1641</f>
        <v/>
      </c>
      <c r="U1640" s="4">
        <f>F1640&amp;"-"&amp;G1640&amp;"-"&amp;F1640</f>
        <v/>
      </c>
      <c r="V1640" s="4">
        <f>IF($M$1640="","",$M$1640)</f>
        <v/>
      </c>
      <c r="W1640" s="4">
        <f>IF($O$1640="","",$O$1640)</f>
        <v/>
      </c>
      <c r="X1640" s="4">
        <f>J1640</f>
        <v/>
      </c>
    </row>
    <row r="1641">
      <c r="B1641" s="4" t="inlineStr">
        <is>
          <t>1859_0</t>
        </is>
      </c>
      <c r="C1641" s="4" t="inlineStr">
        <is>
          <t>21/09/2026</t>
        </is>
      </c>
      <c r="D1641" s="4" t="inlineStr">
        <is>
          <t>lunes</t>
        </is>
      </c>
      <c r="E1641" s="4" t="inlineStr">
        <is>
          <t>2294</t>
        </is>
      </c>
      <c r="F1641" s="4" t="inlineStr">
        <is>
          <t>CJA</t>
        </is>
      </c>
      <c r="G1641" s="4" t="inlineStr">
        <is>
          <t>LIM</t>
        </is>
      </c>
      <c r="H1641" s="4" t="inlineStr">
        <is>
          <t>16:10:00</t>
        </is>
      </c>
      <c r="I1641" s="4" t="inlineStr">
        <is>
          <t>17:15:00</t>
        </is>
      </c>
      <c r="J1641" s="4" t="inlineStr">
        <is>
          <t>320</t>
        </is>
      </c>
      <c r="K1641">
        <f>TEXT(TIMEVALUE(H1641)-TIMEVALUE(I1640)+(TIMEVALUE(H1641)&lt;TIMEVALUE(I1640)),"[h]:mm")</f>
        <v/>
      </c>
      <c r="L1641" s="4" t="inlineStr">
        <is>
          <t>01:05:00</t>
        </is>
      </c>
      <c r="O1641">
        <f>"LIM-"&amp;G1640&amp;"-LIM   LA "&amp;E1640&amp;" ("&amp;LEFT(H1640,5)&amp;"-"&amp;LEFT(I1640,5)&amp;" hrs)  /  LA "&amp;E1641&amp;" ("&amp;LEFT(H1641,5)&amp;"-"&amp;LEFT(I1641,5)&amp;" hrs)"</f>
        <v/>
      </c>
    </row>
    <row r="1642">
      <c r="J1642" s="7" t="inlineStr">
        <is>
          <t>PSV total:</t>
        </is>
      </c>
      <c r="K1642" s="8">
        <f>TEXT(TIMEVALUE(I1641)-TIMEVALUE(H1640)+(I1641&lt;H1640),"[h]:mm")</f>
        <v/>
      </c>
    </row>
    <row r="1644">
      <c r="B1644" s="3" t="inlineStr">
        <is>
          <t>Pairing ID</t>
        </is>
      </c>
      <c r="C1644" s="3" t="inlineStr">
        <is>
          <t>FECHA REAL</t>
        </is>
      </c>
      <c r="D1644" s="3" t="inlineStr">
        <is>
          <t>Day of Week</t>
        </is>
      </c>
      <c r="E1644" s="3" t="inlineStr">
        <is>
          <t>Flight No</t>
        </is>
      </c>
      <c r="F1644" s="3" t="inlineStr">
        <is>
          <t>Dep Stn</t>
        </is>
      </c>
      <c r="G1644" s="3" t="inlineStr">
        <is>
          <t>Arr Stn</t>
        </is>
      </c>
      <c r="H1644" s="3" t="inlineStr">
        <is>
          <t>STD</t>
        </is>
      </c>
      <c r="I1644" s="3" t="inlineStr">
        <is>
          <t>STA</t>
        </is>
      </c>
      <c r="J1644" s="3" t="inlineStr">
        <is>
          <t>subflota</t>
        </is>
      </c>
      <c r="K1644" s="3" t="inlineStr">
        <is>
          <t>Conexion</t>
        </is>
      </c>
      <c r="L1644" s="3" t="inlineStr">
        <is>
          <t>HBT</t>
        </is>
      </c>
    </row>
    <row r="1645">
      <c r="B1645" s="4" t="inlineStr">
        <is>
          <t>1862_0</t>
        </is>
      </c>
      <c r="C1645" s="4" t="inlineStr">
        <is>
          <t>21/09/2026</t>
        </is>
      </c>
      <c r="D1645" s="4" t="inlineStr">
        <is>
          <t>lunes</t>
        </is>
      </c>
      <c r="E1645" s="4" t="inlineStr">
        <is>
          <t>2264</t>
        </is>
      </c>
      <c r="F1645" s="4" t="inlineStr">
        <is>
          <t>LIM</t>
        </is>
      </c>
      <c r="G1645" s="4" t="inlineStr">
        <is>
          <t>PEM</t>
        </is>
      </c>
      <c r="H1645" s="4" t="inlineStr">
        <is>
          <t>14:55:00</t>
        </is>
      </c>
      <c r="I1645" s="4" t="inlineStr">
        <is>
          <t>16:40:00</t>
        </is>
      </c>
      <c r="J1645" s="4" t="inlineStr">
        <is>
          <t>320</t>
        </is>
      </c>
      <c r="L1645" s="4" t="inlineStr">
        <is>
          <t>01:45:00</t>
        </is>
      </c>
      <c r="M1645" s="5" t="n"/>
      <c r="O1645" s="5" t="n"/>
      <c r="Q1645" s="4">
        <f>B1645</f>
        <v/>
      </c>
      <c r="R1645" s="4">
        <f>C1645</f>
        <v/>
      </c>
      <c r="S1645" s="4">
        <f>D1645</f>
        <v/>
      </c>
      <c r="T1645" s="4">
        <f>E1645&amp;"/"&amp;E1646</f>
        <v/>
      </c>
      <c r="U1645" s="4">
        <f>F1645&amp;"-"&amp;G1645&amp;"-"&amp;F1645</f>
        <v/>
      </c>
      <c r="V1645" s="4">
        <f>IF($M$1645="","",$M$1645)</f>
        <v/>
      </c>
      <c r="W1645" s="4">
        <f>IF($O$1645="","",$O$1645)</f>
        <v/>
      </c>
      <c r="X1645" s="4">
        <f>J1645</f>
        <v/>
      </c>
    </row>
    <row r="1646">
      <c r="B1646" s="4" t="inlineStr">
        <is>
          <t>1862_0</t>
        </is>
      </c>
      <c r="C1646" s="4" t="inlineStr">
        <is>
          <t>21/09/2026</t>
        </is>
      </c>
      <c r="D1646" s="4" t="inlineStr">
        <is>
          <t>lunes</t>
        </is>
      </c>
      <c r="E1646" s="4" t="inlineStr">
        <is>
          <t>2265</t>
        </is>
      </c>
      <c r="F1646" s="4" t="inlineStr">
        <is>
          <t>PEM</t>
        </is>
      </c>
      <c r="G1646" s="4" t="inlineStr">
        <is>
          <t>LIM</t>
        </is>
      </c>
      <c r="H1646" s="4" t="inlineStr">
        <is>
          <t>17:20:00</t>
        </is>
      </c>
      <c r="I1646" s="4" t="inlineStr">
        <is>
          <t>18:55:00</t>
        </is>
      </c>
      <c r="J1646" s="4" t="inlineStr">
        <is>
          <t>320</t>
        </is>
      </c>
      <c r="K1646">
        <f>TEXT(TIMEVALUE(H1646)-TIMEVALUE(I1645)+(TIMEVALUE(H1646)&lt;TIMEVALUE(I1645)),"[h]:mm")</f>
        <v/>
      </c>
      <c r="L1646" s="4" t="inlineStr">
        <is>
          <t>01:35:00</t>
        </is>
      </c>
      <c r="O1646">
        <f>"LIM-"&amp;G1645&amp;"-LIM   LA "&amp;E1645&amp;" ("&amp;LEFT(H1645,5)&amp;"-"&amp;LEFT(I1645,5)&amp;" hrs)  /  LA "&amp;E1646&amp;" ("&amp;LEFT(H1646,5)&amp;"-"&amp;LEFT(I1646,5)&amp;" hrs)"</f>
        <v/>
      </c>
    </row>
    <row r="1647">
      <c r="J1647" s="7" t="inlineStr">
        <is>
          <t>PSV total:</t>
        </is>
      </c>
      <c r="K1647" s="8">
        <f>TEXT(TIMEVALUE(I1646)-TIMEVALUE(H1645)+(I1646&lt;H1645),"[h]:mm")</f>
        <v/>
      </c>
    </row>
    <row r="1649">
      <c r="B1649" s="3" t="inlineStr">
        <is>
          <t>Pairing ID</t>
        </is>
      </c>
      <c r="C1649" s="3" t="inlineStr">
        <is>
          <t>FECHA REAL</t>
        </is>
      </c>
      <c r="D1649" s="3" t="inlineStr">
        <is>
          <t>Day of Week</t>
        </is>
      </c>
      <c r="E1649" s="3" t="inlineStr">
        <is>
          <t>Flight No</t>
        </is>
      </c>
      <c r="F1649" s="3" t="inlineStr">
        <is>
          <t>Dep Stn</t>
        </is>
      </c>
      <c r="G1649" s="3" t="inlineStr">
        <is>
          <t>Arr Stn</t>
        </is>
      </c>
      <c r="H1649" s="3" t="inlineStr">
        <is>
          <t>STD</t>
        </is>
      </c>
      <c r="I1649" s="3" t="inlineStr">
        <is>
          <t>STA</t>
        </is>
      </c>
      <c r="J1649" s="3" t="inlineStr">
        <is>
          <t>subflota</t>
        </is>
      </c>
      <c r="K1649" s="3" t="inlineStr">
        <is>
          <t>Conexion</t>
        </is>
      </c>
      <c r="L1649" s="3" t="inlineStr">
        <is>
          <t>HBT</t>
        </is>
      </c>
    </row>
    <row r="1650">
      <c r="B1650" s="4" t="inlineStr">
        <is>
          <t>1864_0</t>
        </is>
      </c>
      <c r="C1650" s="4" t="inlineStr">
        <is>
          <t>21/09/2026</t>
        </is>
      </c>
      <c r="D1650" s="4" t="inlineStr">
        <is>
          <t>lunes</t>
        </is>
      </c>
      <c r="E1650" s="4" t="inlineStr">
        <is>
          <t>2338</t>
        </is>
      </c>
      <c r="F1650" s="4" t="inlineStr">
        <is>
          <t>LIM</t>
        </is>
      </c>
      <c r="G1650" s="4" t="inlineStr">
        <is>
          <t>PIU</t>
        </is>
      </c>
      <c r="H1650" s="4" t="inlineStr">
        <is>
          <t>15:00:00</t>
        </is>
      </c>
      <c r="I1650" s="4" t="inlineStr">
        <is>
          <t>16:45:00</t>
        </is>
      </c>
      <c r="J1650" s="4" t="inlineStr">
        <is>
          <t>320</t>
        </is>
      </c>
      <c r="L1650" s="4" t="inlineStr">
        <is>
          <t>01:45:00</t>
        </is>
      </c>
      <c r="M1650" s="5" t="n"/>
      <c r="O1650" s="5" t="n"/>
      <c r="Q1650" s="4">
        <f>B1650</f>
        <v/>
      </c>
      <c r="R1650" s="4">
        <f>C1650</f>
        <v/>
      </c>
      <c r="S1650" s="4">
        <f>D1650</f>
        <v/>
      </c>
      <c r="T1650" s="4">
        <f>E1650&amp;"/"&amp;E1651</f>
        <v/>
      </c>
      <c r="U1650" s="4">
        <f>F1650&amp;"-"&amp;G1650&amp;"-"&amp;F1650</f>
        <v/>
      </c>
      <c r="V1650" s="4">
        <f>IF($M$1650="","",$M$1650)</f>
        <v/>
      </c>
      <c r="W1650" s="4">
        <f>IF($O$1650="","",$O$1650)</f>
        <v/>
      </c>
      <c r="X1650" s="4">
        <f>J1650</f>
        <v/>
      </c>
    </row>
    <row r="1651">
      <c r="B1651" s="4" t="inlineStr">
        <is>
          <t>1864_0</t>
        </is>
      </c>
      <c r="C1651" s="4" t="inlineStr">
        <is>
          <t>21/09/2026</t>
        </is>
      </c>
      <c r="D1651" s="4" t="inlineStr">
        <is>
          <t>lunes</t>
        </is>
      </c>
      <c r="E1651" s="4" t="inlineStr">
        <is>
          <t>2339</t>
        </is>
      </c>
      <c r="F1651" s="4" t="inlineStr">
        <is>
          <t>PIU</t>
        </is>
      </c>
      <c r="G1651" s="4" t="inlineStr">
        <is>
          <t>LIM</t>
        </is>
      </c>
      <c r="H1651" s="4" t="inlineStr">
        <is>
          <t>17:20:00</t>
        </is>
      </c>
      <c r="I1651" s="4" t="inlineStr">
        <is>
          <t>18:50:00</t>
        </is>
      </c>
      <c r="J1651" s="4" t="inlineStr">
        <is>
          <t>320</t>
        </is>
      </c>
      <c r="K1651">
        <f>TEXT(TIMEVALUE(H1651)-TIMEVALUE(I1650)+(TIMEVALUE(H1651)&lt;TIMEVALUE(I1650)),"[h]:mm")</f>
        <v/>
      </c>
      <c r="L1651" s="4" t="inlineStr">
        <is>
          <t>01:30:00</t>
        </is>
      </c>
      <c r="O1651">
        <f>"LIM-"&amp;G1650&amp;"-LIM   LA "&amp;E1650&amp;" ("&amp;LEFT(H1650,5)&amp;"-"&amp;LEFT(I1650,5)&amp;" hrs)  /  LA "&amp;E1651&amp;" ("&amp;LEFT(H1651,5)&amp;"-"&amp;LEFT(I1651,5)&amp;" hrs)"</f>
        <v/>
      </c>
    </row>
    <row r="1652">
      <c r="J1652" s="7" t="inlineStr">
        <is>
          <t>PSV total:</t>
        </is>
      </c>
      <c r="K1652" s="8">
        <f>TEXT(TIMEVALUE(I1651)-TIMEVALUE(H1650)+(I1651&lt;H1650),"[h]:mm")</f>
        <v/>
      </c>
    </row>
    <row r="1654">
      <c r="B1654" s="3" t="inlineStr">
        <is>
          <t>Pairing ID</t>
        </is>
      </c>
      <c r="C1654" s="3" t="inlineStr">
        <is>
          <t>FECHA REAL</t>
        </is>
      </c>
      <c r="D1654" s="3" t="inlineStr">
        <is>
          <t>Day of Week</t>
        </is>
      </c>
      <c r="E1654" s="3" t="inlineStr">
        <is>
          <t>Flight No</t>
        </is>
      </c>
      <c r="F1654" s="3" t="inlineStr">
        <is>
          <t>Dep Stn</t>
        </is>
      </c>
      <c r="G1654" s="3" t="inlineStr">
        <is>
          <t>Arr Stn</t>
        </is>
      </c>
      <c r="H1654" s="3" t="inlineStr">
        <is>
          <t>STD</t>
        </is>
      </c>
      <c r="I1654" s="3" t="inlineStr">
        <is>
          <t>STA</t>
        </is>
      </c>
      <c r="J1654" s="3" t="inlineStr">
        <is>
          <t>subflota</t>
        </is>
      </c>
      <c r="K1654" s="3" t="inlineStr">
        <is>
          <t>Conexion</t>
        </is>
      </c>
      <c r="L1654" s="3" t="inlineStr">
        <is>
          <t>HBT</t>
        </is>
      </c>
    </row>
    <row r="1655">
      <c r="B1655" s="4" t="inlineStr">
        <is>
          <t>1863_0</t>
        </is>
      </c>
      <c r="C1655" s="4" t="inlineStr">
        <is>
          <t>21/09/2026</t>
        </is>
      </c>
      <c r="D1655" s="4" t="inlineStr">
        <is>
          <t>lunes</t>
        </is>
      </c>
      <c r="E1655" s="4" t="inlineStr">
        <is>
          <t>2248</t>
        </is>
      </c>
      <c r="F1655" s="4" t="inlineStr">
        <is>
          <t>LIM</t>
        </is>
      </c>
      <c r="G1655" s="4" t="inlineStr">
        <is>
          <t>CUZ</t>
        </is>
      </c>
      <c r="H1655" s="4" t="inlineStr">
        <is>
          <t>15:00:00</t>
        </is>
      </c>
      <c r="I1655" s="4" t="inlineStr">
        <is>
          <t>16:20:00</t>
        </is>
      </c>
      <c r="J1655" s="4" t="inlineStr">
        <is>
          <t>320</t>
        </is>
      </c>
      <c r="L1655" s="4" t="inlineStr">
        <is>
          <t>01:20:00</t>
        </is>
      </c>
      <c r="M1655" s="5" t="n"/>
      <c r="O1655" s="5" t="n"/>
      <c r="Q1655" s="4">
        <f>B1655</f>
        <v/>
      </c>
      <c r="R1655" s="4">
        <f>C1655</f>
        <v/>
      </c>
      <c r="S1655" s="4">
        <f>D1655</f>
        <v/>
      </c>
      <c r="T1655" s="4">
        <f>E1655&amp;"/"&amp;E1656</f>
        <v/>
      </c>
      <c r="U1655" s="4">
        <f>F1655&amp;"-"&amp;G1655&amp;"-"&amp;F1655</f>
        <v/>
      </c>
      <c r="V1655" s="4">
        <f>IF($M$1655="","",$M$1655)</f>
        <v/>
      </c>
      <c r="W1655" s="4">
        <f>IF($O$1655="","",$O$1655)</f>
        <v/>
      </c>
      <c r="X1655" s="4">
        <f>J1655</f>
        <v/>
      </c>
    </row>
    <row r="1656">
      <c r="B1656" s="4" t="inlineStr">
        <is>
          <t>1863_0</t>
        </is>
      </c>
      <c r="C1656" s="4" t="inlineStr">
        <is>
          <t>21/09/2026</t>
        </is>
      </c>
      <c r="D1656" s="4" t="inlineStr">
        <is>
          <t>lunes</t>
        </is>
      </c>
      <c r="E1656" s="4" t="inlineStr">
        <is>
          <t>2249</t>
        </is>
      </c>
      <c r="F1656" s="4" t="inlineStr">
        <is>
          <t>CUZ</t>
        </is>
      </c>
      <c r="G1656" s="4" t="inlineStr">
        <is>
          <t>LIM</t>
        </is>
      </c>
      <c r="H1656" s="4" t="inlineStr">
        <is>
          <t>17:00:00</t>
        </is>
      </c>
      <c r="I1656" s="4" t="inlineStr">
        <is>
          <t>18:35:00</t>
        </is>
      </c>
      <c r="J1656" s="4" t="inlineStr">
        <is>
          <t>320</t>
        </is>
      </c>
      <c r="K1656">
        <f>TEXT(TIMEVALUE(H1656)-TIMEVALUE(I1655)+(TIMEVALUE(H1656)&lt;TIMEVALUE(I1655)),"[h]:mm")</f>
        <v/>
      </c>
      <c r="L1656" s="4" t="inlineStr">
        <is>
          <t>01:35:00</t>
        </is>
      </c>
      <c r="O1656">
        <f>"LIM-"&amp;G1655&amp;"-LIM   LA "&amp;E1655&amp;" ("&amp;LEFT(H1655,5)&amp;"-"&amp;LEFT(I1655,5)&amp;" hrs)  /  LA "&amp;E1656&amp;" ("&amp;LEFT(H1656,5)&amp;"-"&amp;LEFT(I1656,5)&amp;" hrs)"</f>
        <v/>
      </c>
    </row>
    <row r="1657">
      <c r="J1657" s="7" t="inlineStr">
        <is>
          <t>PSV total:</t>
        </is>
      </c>
      <c r="K1657" s="8">
        <f>TEXT(TIMEVALUE(I1656)-TIMEVALUE(H1655)+(I1656&lt;H1655),"[h]:mm")</f>
        <v/>
      </c>
    </row>
    <row r="1659">
      <c r="B1659" s="3" t="inlineStr">
        <is>
          <t>Pairing ID</t>
        </is>
      </c>
      <c r="C1659" s="3" t="inlineStr">
        <is>
          <t>FECHA REAL</t>
        </is>
      </c>
      <c r="D1659" s="3" t="inlineStr">
        <is>
          <t>Day of Week</t>
        </is>
      </c>
      <c r="E1659" s="3" t="inlineStr">
        <is>
          <t>Flight No</t>
        </is>
      </c>
      <c r="F1659" s="3" t="inlineStr">
        <is>
          <t>Dep Stn</t>
        </is>
      </c>
      <c r="G1659" s="3" t="inlineStr">
        <is>
          <t>Arr Stn</t>
        </is>
      </c>
      <c r="H1659" s="3" t="inlineStr">
        <is>
          <t>STD</t>
        </is>
      </c>
      <c r="I1659" s="3" t="inlineStr">
        <is>
          <t>STA</t>
        </is>
      </c>
      <c r="J1659" s="3" t="inlineStr">
        <is>
          <t>subflota</t>
        </is>
      </c>
      <c r="K1659" s="3" t="inlineStr">
        <is>
          <t>Conexion</t>
        </is>
      </c>
      <c r="L1659" s="3" t="inlineStr">
        <is>
          <t>HBT</t>
        </is>
      </c>
    </row>
    <row r="1660">
      <c r="B1660" s="4" t="inlineStr">
        <is>
          <t>1867_0</t>
        </is>
      </c>
      <c r="C1660" s="4" t="inlineStr">
        <is>
          <t>21/09/2026</t>
        </is>
      </c>
      <c r="D1660" s="4" t="inlineStr">
        <is>
          <t>lunes</t>
        </is>
      </c>
      <c r="E1660" s="4" t="inlineStr">
        <is>
          <t>2297</t>
        </is>
      </c>
      <c r="F1660" s="4" t="inlineStr">
        <is>
          <t>LIM</t>
        </is>
      </c>
      <c r="G1660" s="4" t="inlineStr">
        <is>
          <t>CJA</t>
        </is>
      </c>
      <c r="H1660" s="4" t="inlineStr">
        <is>
          <t>15:15:00</t>
        </is>
      </c>
      <c r="I1660" s="4" t="inlineStr">
        <is>
          <t>16:35:00</t>
        </is>
      </c>
      <c r="J1660" s="4" t="inlineStr">
        <is>
          <t>320</t>
        </is>
      </c>
      <c r="L1660" s="4" t="inlineStr">
        <is>
          <t>01:20:00</t>
        </is>
      </c>
      <c r="M1660" s="5" t="n"/>
      <c r="O1660" s="5" t="n"/>
      <c r="Q1660" s="4">
        <f>B1660</f>
        <v/>
      </c>
      <c r="R1660" s="4">
        <f>C1660</f>
        <v/>
      </c>
      <c r="S1660" s="4">
        <f>D1660</f>
        <v/>
      </c>
      <c r="T1660" s="4">
        <f>E1660&amp;"/"&amp;E1661</f>
        <v/>
      </c>
      <c r="U1660" s="4">
        <f>F1660&amp;"-"&amp;G1660&amp;"-"&amp;F1660</f>
        <v/>
      </c>
      <c r="V1660" s="4">
        <f>IF($M$1660="","",$M$1660)</f>
        <v/>
      </c>
      <c r="W1660" s="4">
        <f>IF($O$1660="","",$O$1660)</f>
        <v/>
      </c>
      <c r="X1660" s="4">
        <f>J1660</f>
        <v/>
      </c>
    </row>
    <row r="1661">
      <c r="B1661" s="4" t="inlineStr">
        <is>
          <t>1867_0</t>
        </is>
      </c>
      <c r="C1661" s="4" t="inlineStr">
        <is>
          <t>21/09/2026</t>
        </is>
      </c>
      <c r="D1661" s="4" t="inlineStr">
        <is>
          <t>lunes</t>
        </is>
      </c>
      <c r="E1661" s="4" t="inlineStr">
        <is>
          <t>2296</t>
        </is>
      </c>
      <c r="F1661" s="4" t="inlineStr">
        <is>
          <t>CJA</t>
        </is>
      </c>
      <c r="G1661" s="4" t="inlineStr">
        <is>
          <t>LIM</t>
        </is>
      </c>
      <c r="H1661" s="4" t="inlineStr">
        <is>
          <t>17:20:00</t>
        </is>
      </c>
      <c r="I1661" s="4" t="inlineStr">
        <is>
          <t>18:25:00</t>
        </is>
      </c>
      <c r="J1661" s="4" t="inlineStr">
        <is>
          <t>320</t>
        </is>
      </c>
      <c r="K1661">
        <f>TEXT(TIMEVALUE(H1661)-TIMEVALUE(I1660)+(TIMEVALUE(H1661)&lt;TIMEVALUE(I1660)),"[h]:mm")</f>
        <v/>
      </c>
      <c r="L1661" s="4" t="inlineStr">
        <is>
          <t>01:05:00</t>
        </is>
      </c>
      <c r="O1661">
        <f>"LIM-"&amp;G1660&amp;"-LIM   LA "&amp;E1660&amp;" ("&amp;LEFT(H1660,5)&amp;"-"&amp;LEFT(I1660,5)&amp;" hrs)  /  LA "&amp;E1661&amp;" ("&amp;LEFT(H1661,5)&amp;"-"&amp;LEFT(I1661,5)&amp;" hrs)"</f>
        <v/>
      </c>
    </row>
    <row r="1662">
      <c r="J1662" s="7" t="inlineStr">
        <is>
          <t>PSV total:</t>
        </is>
      </c>
      <c r="K1662" s="8">
        <f>TEXT(TIMEVALUE(I1661)-TIMEVALUE(H1660)+(I1661&lt;H1660),"[h]:mm")</f>
        <v/>
      </c>
    </row>
    <row r="1664">
      <c r="B1664" s="3" t="inlineStr">
        <is>
          <t>Pairing ID</t>
        </is>
      </c>
      <c r="C1664" s="3" t="inlineStr">
        <is>
          <t>FECHA REAL</t>
        </is>
      </c>
      <c r="D1664" s="3" t="inlineStr">
        <is>
          <t>Day of Week</t>
        </is>
      </c>
      <c r="E1664" s="3" t="inlineStr">
        <is>
          <t>Flight No</t>
        </is>
      </c>
      <c r="F1664" s="3" t="inlineStr">
        <is>
          <t>Dep Stn</t>
        </is>
      </c>
      <c r="G1664" s="3" t="inlineStr">
        <is>
          <t>Arr Stn</t>
        </is>
      </c>
      <c r="H1664" s="3" t="inlineStr">
        <is>
          <t>STD</t>
        </is>
      </c>
      <c r="I1664" s="3" t="inlineStr">
        <is>
          <t>STA</t>
        </is>
      </c>
      <c r="J1664" s="3" t="inlineStr">
        <is>
          <t>subflota</t>
        </is>
      </c>
      <c r="K1664" s="3" t="inlineStr">
        <is>
          <t>Conexion</t>
        </is>
      </c>
      <c r="L1664" s="3" t="inlineStr">
        <is>
          <t>HBT</t>
        </is>
      </c>
    </row>
    <row r="1665">
      <c r="B1665" s="4" t="inlineStr">
        <is>
          <t>1870_0</t>
        </is>
      </c>
      <c r="C1665" s="4" t="inlineStr">
        <is>
          <t>21/09/2026</t>
        </is>
      </c>
      <c r="D1665" s="4" t="inlineStr">
        <is>
          <t>lunes</t>
        </is>
      </c>
      <c r="E1665" s="4" t="inlineStr">
        <is>
          <t>2312</t>
        </is>
      </c>
      <c r="F1665" s="4" t="inlineStr">
        <is>
          <t>LIM</t>
        </is>
      </c>
      <c r="G1665" s="4" t="inlineStr">
        <is>
          <t>CIX</t>
        </is>
      </c>
      <c r="H1665" s="4" t="inlineStr">
        <is>
          <t>15:35:00</t>
        </is>
      </c>
      <c r="I1665" s="4" t="inlineStr">
        <is>
          <t>17:05:00</t>
        </is>
      </c>
      <c r="J1665" s="4" t="inlineStr">
        <is>
          <t>319</t>
        </is>
      </c>
      <c r="L1665" s="4" t="inlineStr">
        <is>
          <t>01:30:00</t>
        </is>
      </c>
      <c r="M1665" s="5" t="n"/>
      <c r="O1665" s="5" t="n"/>
      <c r="Q1665" s="4">
        <f>B1665</f>
        <v/>
      </c>
      <c r="R1665" s="4">
        <f>C1665</f>
        <v/>
      </c>
      <c r="S1665" s="4">
        <f>D1665</f>
        <v/>
      </c>
      <c r="T1665" s="4">
        <f>E1665&amp;"/"&amp;E1666</f>
        <v/>
      </c>
      <c r="U1665" s="4">
        <f>F1665&amp;"-"&amp;G1665&amp;"-"&amp;F1665</f>
        <v/>
      </c>
      <c r="V1665" s="4">
        <f>IF($M$1665="","",$M$1665)</f>
        <v/>
      </c>
      <c r="W1665" s="4">
        <f>IF($O$1665="","",$O$1665)</f>
        <v/>
      </c>
      <c r="X1665" s="4">
        <f>J1665</f>
        <v/>
      </c>
    </row>
    <row r="1666">
      <c r="B1666" s="4" t="inlineStr">
        <is>
          <t>1870_0</t>
        </is>
      </c>
      <c r="C1666" s="4" t="inlineStr">
        <is>
          <t>21/09/2026</t>
        </is>
      </c>
      <c r="D1666" s="4" t="inlineStr">
        <is>
          <t>lunes</t>
        </is>
      </c>
      <c r="E1666" s="4" t="inlineStr">
        <is>
          <t>2313</t>
        </is>
      </c>
      <c r="F1666" s="4" t="inlineStr">
        <is>
          <t>CIX</t>
        </is>
      </c>
      <c r="G1666" s="4" t="inlineStr">
        <is>
          <t>LIM</t>
        </is>
      </c>
      <c r="H1666" s="4" t="inlineStr">
        <is>
          <t>17:50:00</t>
        </is>
      </c>
      <c r="I1666" s="4" t="inlineStr">
        <is>
          <t>19:10:00</t>
        </is>
      </c>
      <c r="J1666" s="4" t="inlineStr">
        <is>
          <t>319</t>
        </is>
      </c>
      <c r="K1666">
        <f>TEXT(TIMEVALUE(H1666)-TIMEVALUE(I1665)+(TIMEVALUE(H1666)&lt;TIMEVALUE(I1665)),"[h]:mm")</f>
        <v/>
      </c>
      <c r="L1666" s="4" t="inlineStr">
        <is>
          <t>01:20:00</t>
        </is>
      </c>
      <c r="O1666">
        <f>"LIM-"&amp;G1665&amp;"-LIM   LA "&amp;E1665&amp;" ("&amp;LEFT(H1665,5)&amp;"-"&amp;LEFT(I1665,5)&amp;" hrs)  /  LA "&amp;E1666&amp;" ("&amp;LEFT(H1666,5)&amp;"-"&amp;LEFT(I1666,5)&amp;" hrs)"</f>
        <v/>
      </c>
    </row>
    <row r="1667">
      <c r="J1667" s="7" t="inlineStr">
        <is>
          <t>PSV total:</t>
        </is>
      </c>
      <c r="K1667" s="8">
        <f>TEXT(TIMEVALUE(I1666)-TIMEVALUE(H1665)+(I1666&lt;H1665),"[h]:mm")</f>
        <v/>
      </c>
    </row>
    <row r="1669">
      <c r="B1669" s="3" t="inlineStr">
        <is>
          <t>Pairing ID</t>
        </is>
      </c>
      <c r="C1669" s="3" t="inlineStr">
        <is>
          <t>FECHA REAL</t>
        </is>
      </c>
      <c r="D1669" s="3" t="inlineStr">
        <is>
          <t>Day of Week</t>
        </is>
      </c>
      <c r="E1669" s="3" t="inlineStr">
        <is>
          <t>Flight No</t>
        </is>
      </c>
      <c r="F1669" s="3" t="inlineStr">
        <is>
          <t>Dep Stn</t>
        </is>
      </c>
      <c r="G1669" s="3" t="inlineStr">
        <is>
          <t>Arr Stn</t>
        </is>
      </c>
      <c r="H1669" s="3" t="inlineStr">
        <is>
          <t>STD</t>
        </is>
      </c>
      <c r="I1669" s="3" t="inlineStr">
        <is>
          <t>STA</t>
        </is>
      </c>
      <c r="J1669" s="3" t="inlineStr">
        <is>
          <t>subflota</t>
        </is>
      </c>
      <c r="K1669" s="3" t="inlineStr">
        <is>
          <t>Conexion</t>
        </is>
      </c>
      <c r="L1669" s="3" t="inlineStr">
        <is>
          <t>HBT</t>
        </is>
      </c>
    </row>
    <row r="1670">
      <c r="B1670" s="4" t="inlineStr">
        <is>
          <t>1871_0</t>
        </is>
      </c>
      <c r="C1670" s="4" t="inlineStr">
        <is>
          <t>21/09/2026</t>
        </is>
      </c>
      <c r="D1670" s="4" t="inlineStr">
        <is>
          <t>lunes</t>
        </is>
      </c>
      <c r="E1670" s="4" t="inlineStr">
        <is>
          <t>2301</t>
        </is>
      </c>
      <c r="F1670" s="4" t="inlineStr">
        <is>
          <t>LIM</t>
        </is>
      </c>
      <c r="G1670" s="4" t="inlineStr">
        <is>
          <t>TPP</t>
        </is>
      </c>
      <c r="H1670" s="4" t="inlineStr">
        <is>
          <t>15:40:00</t>
        </is>
      </c>
      <c r="I1670" s="4" t="inlineStr">
        <is>
          <t>17:05:00</t>
        </is>
      </c>
      <c r="J1670" s="4" t="inlineStr">
        <is>
          <t>320</t>
        </is>
      </c>
      <c r="L1670" s="4" t="inlineStr">
        <is>
          <t>01:25:00</t>
        </is>
      </c>
      <c r="M1670" s="5" t="n"/>
      <c r="O1670" s="5" t="n"/>
      <c r="Q1670" s="4">
        <f>B1670</f>
        <v/>
      </c>
      <c r="R1670" s="4">
        <f>C1670</f>
        <v/>
      </c>
      <c r="S1670" s="4">
        <f>D1670</f>
        <v/>
      </c>
      <c r="T1670" s="4">
        <f>E1670&amp;"/"&amp;E1671</f>
        <v/>
      </c>
      <c r="U1670" s="4">
        <f>F1670&amp;"-"&amp;G1670&amp;"-"&amp;F1670</f>
        <v/>
      </c>
      <c r="V1670" s="4">
        <f>IF($M$1670="","",$M$1670)</f>
        <v/>
      </c>
      <c r="W1670" s="4">
        <f>IF($O$1670="","",$O$1670)</f>
        <v/>
      </c>
      <c r="X1670" s="4">
        <f>J1670</f>
        <v/>
      </c>
    </row>
    <row r="1671">
      <c r="B1671" s="4" t="inlineStr">
        <is>
          <t>1871_0</t>
        </is>
      </c>
      <c r="C1671" s="4" t="inlineStr">
        <is>
          <t>21/09/2026</t>
        </is>
      </c>
      <c r="D1671" s="4" t="inlineStr">
        <is>
          <t>lunes</t>
        </is>
      </c>
      <c r="E1671" s="4" t="inlineStr">
        <is>
          <t>2300</t>
        </is>
      </c>
      <c r="F1671" s="4" t="inlineStr">
        <is>
          <t>TPP</t>
        </is>
      </c>
      <c r="G1671" s="4" t="inlineStr">
        <is>
          <t>LIM</t>
        </is>
      </c>
      <c r="H1671" s="4" t="inlineStr">
        <is>
          <t>17:50:00</t>
        </is>
      </c>
      <c r="I1671" s="4" t="inlineStr">
        <is>
          <t>19:15:00</t>
        </is>
      </c>
      <c r="J1671" s="4" t="inlineStr">
        <is>
          <t>320</t>
        </is>
      </c>
      <c r="K1671">
        <f>TEXT(TIMEVALUE(H1671)-TIMEVALUE(I1670)+(TIMEVALUE(H1671)&lt;TIMEVALUE(I1670)),"[h]:mm")</f>
        <v/>
      </c>
      <c r="L1671" s="4" t="inlineStr">
        <is>
          <t>01:25:00</t>
        </is>
      </c>
      <c r="O1671">
        <f>"LIM-"&amp;G1670&amp;"-LIM   LA "&amp;E1670&amp;" ("&amp;LEFT(H1670,5)&amp;"-"&amp;LEFT(I1670,5)&amp;" hrs)  /  LA "&amp;E1671&amp;" ("&amp;LEFT(H1671,5)&amp;"-"&amp;LEFT(I1671,5)&amp;" hrs)"</f>
        <v/>
      </c>
    </row>
    <row r="1672">
      <c r="J1672" s="7" t="inlineStr">
        <is>
          <t>PSV total:</t>
        </is>
      </c>
      <c r="K1672" s="8">
        <f>TEXT(TIMEVALUE(I1671)-TIMEVALUE(H1670)+(I1671&lt;H1670),"[h]:mm")</f>
        <v/>
      </c>
    </row>
    <row r="1674">
      <c r="B1674" s="3" t="inlineStr">
        <is>
          <t>Pairing ID</t>
        </is>
      </c>
      <c r="C1674" s="3" t="inlineStr">
        <is>
          <t>FECHA REAL</t>
        </is>
      </c>
      <c r="D1674" s="3" t="inlineStr">
        <is>
          <t>Day of Week</t>
        </is>
      </c>
      <c r="E1674" s="3" t="inlineStr">
        <is>
          <t>Flight No</t>
        </is>
      </c>
      <c r="F1674" s="3" t="inlineStr">
        <is>
          <t>Dep Stn</t>
        </is>
      </c>
      <c r="G1674" s="3" t="inlineStr">
        <is>
          <t>Arr Stn</t>
        </is>
      </c>
      <c r="H1674" s="3" t="inlineStr">
        <is>
          <t>STD</t>
        </is>
      </c>
      <c r="I1674" s="3" t="inlineStr">
        <is>
          <t>STA</t>
        </is>
      </c>
      <c r="J1674" s="3" t="inlineStr">
        <is>
          <t>subflota</t>
        </is>
      </c>
      <c r="K1674" s="3" t="inlineStr">
        <is>
          <t>Conexion</t>
        </is>
      </c>
      <c r="L1674" s="3" t="inlineStr">
        <is>
          <t>HBT</t>
        </is>
      </c>
    </row>
    <row r="1675">
      <c r="B1675" s="4" t="inlineStr">
        <is>
          <t>1879_0</t>
        </is>
      </c>
      <c r="C1675" s="4" t="inlineStr">
        <is>
          <t>21/09/2026</t>
        </is>
      </c>
      <c r="D1675" s="4" t="inlineStr">
        <is>
          <t>lunes</t>
        </is>
      </c>
      <c r="E1675" s="4" t="inlineStr">
        <is>
          <t>2221</t>
        </is>
      </c>
      <c r="F1675" s="4" t="inlineStr">
        <is>
          <t>LIM</t>
        </is>
      </c>
      <c r="G1675" s="4" t="inlineStr">
        <is>
          <t>CUZ</t>
        </is>
      </c>
      <c r="H1675" s="4" t="inlineStr">
        <is>
          <t>22:00:00</t>
        </is>
      </c>
      <c r="I1675" s="4" t="inlineStr">
        <is>
          <t>23:25:00</t>
        </is>
      </c>
      <c r="J1675" s="4" t="inlineStr">
        <is>
          <t>320</t>
        </is>
      </c>
      <c r="L1675" s="4" t="inlineStr">
        <is>
          <t>01:25:00</t>
        </is>
      </c>
      <c r="M1675" s="5" t="n"/>
      <c r="O1675" s="5" t="n"/>
      <c r="Q1675" s="4">
        <f>B1675</f>
        <v/>
      </c>
      <c r="R1675" s="4">
        <f>C1675</f>
        <v/>
      </c>
      <c r="S1675" s="4">
        <f>D1675</f>
        <v/>
      </c>
      <c r="T1675" s="4">
        <f>E1675&amp;"/"&amp;E1676</f>
        <v/>
      </c>
      <c r="U1675" s="4">
        <f>F1675&amp;"-"&amp;G1675&amp;"-"&amp;F1675</f>
        <v/>
      </c>
      <c r="V1675" s="4">
        <f>IF($M$1675="","",$M$1675)</f>
        <v/>
      </c>
      <c r="W1675" s="4">
        <f>IF($O$1675="","",$O$1675)</f>
        <v/>
      </c>
      <c r="X1675" s="4">
        <f>J1675</f>
        <v/>
      </c>
    </row>
    <row r="1676">
      <c r="B1676" s="4" t="inlineStr">
        <is>
          <t>1879_0</t>
        </is>
      </c>
      <c r="C1676" s="4" t="inlineStr">
        <is>
          <t>21/09/2026</t>
        </is>
      </c>
      <c r="D1676" s="4" t="inlineStr">
        <is>
          <t>lunes</t>
        </is>
      </c>
      <c r="E1676" s="4" t="inlineStr">
        <is>
          <t>2222</t>
        </is>
      </c>
      <c r="F1676" s="4" t="inlineStr">
        <is>
          <t>CUZ</t>
        </is>
      </c>
      <c r="G1676" s="4" t="inlineStr">
        <is>
          <t>LIM</t>
        </is>
      </c>
      <c r="H1676" s="4" t="inlineStr">
        <is>
          <t>00:05:00</t>
        </is>
      </c>
      <c r="I1676" s="4" t="inlineStr">
        <is>
          <t>01:35:00</t>
        </is>
      </c>
      <c r="J1676" s="4" t="inlineStr">
        <is>
          <t>320</t>
        </is>
      </c>
      <c r="K1676">
        <f>TEXT(TIMEVALUE(H1676)-TIMEVALUE(I1675)+(TIMEVALUE(H1676)&lt;TIMEVALUE(I1675)),"[h]:mm")</f>
        <v/>
      </c>
      <c r="L1676" s="4" t="inlineStr">
        <is>
          <t>01:30:00</t>
        </is>
      </c>
      <c r="O1676">
        <f>"LIM-"&amp;G1675&amp;"-LIM   LA "&amp;E1675&amp;" ("&amp;LEFT(H1675,5)&amp;"-"&amp;LEFT(I1675,5)&amp;" hrs)  /  LA "&amp;E1676&amp;" ("&amp;LEFT(H1676,5)&amp;"-"&amp;LEFT(I1676,5)&amp;" hrs)"</f>
        <v/>
      </c>
    </row>
    <row r="1677">
      <c r="J1677" s="7" t="inlineStr">
        <is>
          <t>PSV total:</t>
        </is>
      </c>
      <c r="K1677" s="8">
        <f>TEXT(TIMEVALUE(I1676)-TIMEVALUE(H1675)+(I1676&lt;H1675),"[h]:mm")</f>
        <v/>
      </c>
    </row>
    <row r="1679">
      <c r="B1679" s="3" t="inlineStr">
        <is>
          <t>Pairing ID</t>
        </is>
      </c>
      <c r="C1679" s="3" t="inlineStr">
        <is>
          <t>FECHA REAL</t>
        </is>
      </c>
      <c r="D1679" s="3" t="inlineStr">
        <is>
          <t>Day of Week</t>
        </is>
      </c>
      <c r="E1679" s="3" t="inlineStr">
        <is>
          <t>Flight No</t>
        </is>
      </c>
      <c r="F1679" s="3" t="inlineStr">
        <is>
          <t>Dep Stn</t>
        </is>
      </c>
      <c r="G1679" s="3" t="inlineStr">
        <is>
          <t>Arr Stn</t>
        </is>
      </c>
      <c r="H1679" s="3" t="inlineStr">
        <is>
          <t>STD</t>
        </is>
      </c>
      <c r="I1679" s="3" t="inlineStr">
        <is>
          <t>STA</t>
        </is>
      </c>
      <c r="J1679" s="3" t="inlineStr">
        <is>
          <t>subflota</t>
        </is>
      </c>
      <c r="K1679" s="3" t="inlineStr">
        <is>
          <t>Conexion</t>
        </is>
      </c>
      <c r="L1679" s="3" t="inlineStr">
        <is>
          <t>HBT</t>
        </is>
      </c>
    </row>
    <row r="1680">
      <c r="B1680" s="4" t="inlineStr">
        <is>
          <t>1922_0</t>
        </is>
      </c>
      <c r="C1680" s="4" t="inlineStr">
        <is>
          <t>22/09/2026</t>
        </is>
      </c>
      <c r="D1680" s="4" t="inlineStr">
        <is>
          <t>martes</t>
        </is>
      </c>
      <c r="E1680" s="4" t="inlineStr">
        <is>
          <t>2015</t>
        </is>
      </c>
      <c r="F1680" s="4" t="inlineStr">
        <is>
          <t>LIM</t>
        </is>
      </c>
      <c r="G1680" s="4" t="inlineStr">
        <is>
          <t>PIU</t>
        </is>
      </c>
      <c r="H1680" s="4" t="inlineStr">
        <is>
          <t>10:55:00</t>
        </is>
      </c>
      <c r="I1680" s="4" t="inlineStr">
        <is>
          <t>12:40:00</t>
        </is>
      </c>
      <c r="J1680" s="4" t="inlineStr">
        <is>
          <t>320</t>
        </is>
      </c>
      <c r="L1680" s="4" t="inlineStr">
        <is>
          <t>01:45:00</t>
        </is>
      </c>
      <c r="M1680" s="5" t="n"/>
      <c r="O1680" s="5" t="n"/>
      <c r="Q1680" s="4">
        <f>B1680</f>
        <v/>
      </c>
      <c r="R1680" s="4">
        <f>C1680</f>
        <v/>
      </c>
      <c r="S1680" s="4">
        <f>D1680</f>
        <v/>
      </c>
      <c r="T1680" s="4">
        <f>E1680&amp;"/"&amp;E1681</f>
        <v/>
      </c>
      <c r="U1680" s="4">
        <f>F1680&amp;"-"&amp;G1680&amp;"-"&amp;F1680</f>
        <v/>
      </c>
      <c r="V1680" s="4">
        <f>IF($M$1680="","",$M$1680)</f>
        <v/>
      </c>
      <c r="W1680" s="4">
        <f>IF($O$1680="","",$O$1680)</f>
        <v/>
      </c>
      <c r="X1680" s="4">
        <f>J1680</f>
        <v/>
      </c>
    </row>
    <row r="1681">
      <c r="B1681" s="4" t="inlineStr">
        <is>
          <t>1922_0</t>
        </is>
      </c>
      <c r="C1681" s="4" t="inlineStr">
        <is>
          <t>22/09/2026</t>
        </is>
      </c>
      <c r="D1681" s="4" t="inlineStr">
        <is>
          <t>martes</t>
        </is>
      </c>
      <c r="E1681" s="4" t="inlineStr">
        <is>
          <t>2016</t>
        </is>
      </c>
      <c r="F1681" s="4" t="inlineStr">
        <is>
          <t>PIU</t>
        </is>
      </c>
      <c r="G1681" s="4" t="inlineStr">
        <is>
          <t>LIM</t>
        </is>
      </c>
      <c r="H1681" s="4" t="inlineStr">
        <is>
          <t>13:20:00</t>
        </is>
      </c>
      <c r="I1681" s="4" t="inlineStr">
        <is>
          <t>14:55:00</t>
        </is>
      </c>
      <c r="J1681" s="4" t="inlineStr">
        <is>
          <t>320</t>
        </is>
      </c>
      <c r="K1681">
        <f>TEXT(TIMEVALUE(H1681)-TIMEVALUE(I1680)+(TIMEVALUE(H1681)&lt;TIMEVALUE(I1680)),"[h]:mm")</f>
        <v/>
      </c>
      <c r="L1681" s="4" t="inlineStr">
        <is>
          <t>01:35:00</t>
        </is>
      </c>
      <c r="O1681">
        <f>"LIM-"&amp;G1680&amp;"-LIM   LA "&amp;E1680&amp;" ("&amp;LEFT(H1680,5)&amp;"-"&amp;LEFT(I1680,5)&amp;" hrs)  /  LA "&amp;E1681&amp;" ("&amp;LEFT(H1681,5)&amp;"-"&amp;LEFT(I1681,5)&amp;" hrs)"</f>
        <v/>
      </c>
    </row>
    <row r="1682">
      <c r="B1682" s="4" t="inlineStr">
        <is>
          <t>1948_0</t>
        </is>
      </c>
      <c r="C1682" s="4" t="inlineStr">
        <is>
          <t>22/09/2026</t>
        </is>
      </c>
      <c r="D1682" s="4" t="inlineStr">
        <is>
          <t>martes</t>
        </is>
      </c>
      <c r="E1682" s="4" t="inlineStr">
        <is>
          <t>2053</t>
        </is>
      </c>
      <c r="F1682" s="4" t="inlineStr">
        <is>
          <t>LIM</t>
        </is>
      </c>
      <c r="G1682" s="4" t="inlineStr">
        <is>
          <t>TBP</t>
        </is>
      </c>
      <c r="H1682" s="4" t="inlineStr">
        <is>
          <t>16:20:00</t>
        </is>
      </c>
      <c r="I1682" s="4" t="inlineStr">
        <is>
          <t>18:10:00</t>
        </is>
      </c>
      <c r="J1682" s="4" t="inlineStr">
        <is>
          <t>320</t>
        </is>
      </c>
      <c r="K1682" s="6">
        <f>TEXT(TIMEVALUE(H1682)-TIMEVALUE(I1681)+(TIMEVALUE(H1682)&lt;TIMEVALUE(I1681)),"[h]:mm")</f>
        <v/>
      </c>
      <c r="L1682" s="4" t="inlineStr">
        <is>
          <t>01:50:00</t>
        </is>
      </c>
      <c r="M1682">
        <f>IF($M$1680="","",$M$1680)</f>
        <v/>
      </c>
      <c r="O1682">
        <f>IF($O$1680="","",$O$1680)</f>
        <v/>
      </c>
      <c r="Q1682" s="4">
        <f>B1682</f>
        <v/>
      </c>
      <c r="R1682" s="4">
        <f>C1682</f>
        <v/>
      </c>
      <c r="S1682" s="4">
        <f>D1682</f>
        <v/>
      </c>
      <c r="T1682" s="4">
        <f>E1682&amp;"/"&amp;E1683</f>
        <v/>
      </c>
      <c r="U1682" s="4">
        <f>F1682&amp;"-"&amp;G1682&amp;"-"&amp;F1682</f>
        <v/>
      </c>
      <c r="V1682" s="4">
        <f>IF($M$1680="","",$M$1680)</f>
        <v/>
      </c>
      <c r="W1682" s="4">
        <f>IF($O$1680="","",$O$1680)</f>
        <v/>
      </c>
      <c r="X1682" s="4">
        <f>J1682</f>
        <v/>
      </c>
    </row>
    <row r="1683">
      <c r="B1683" s="4" t="inlineStr">
        <is>
          <t>1948_0</t>
        </is>
      </c>
      <c r="C1683" s="4" t="inlineStr">
        <is>
          <t>22/09/2026</t>
        </is>
      </c>
      <c r="D1683" s="4" t="inlineStr">
        <is>
          <t>martes</t>
        </is>
      </c>
      <c r="E1683" s="4" t="inlineStr">
        <is>
          <t>2054</t>
        </is>
      </c>
      <c r="F1683" s="4" t="inlineStr">
        <is>
          <t>TBP</t>
        </is>
      </c>
      <c r="G1683" s="4" t="inlineStr">
        <is>
          <t>LIM</t>
        </is>
      </c>
      <c r="H1683" s="4" t="inlineStr">
        <is>
          <t>18:50:00</t>
        </is>
      </c>
      <c r="I1683" s="4" t="inlineStr">
        <is>
          <t>20:30:00</t>
        </is>
      </c>
      <c r="J1683" s="4" t="inlineStr">
        <is>
          <t>320</t>
        </is>
      </c>
      <c r="K1683">
        <f>TEXT(TIMEVALUE(H1683)-TIMEVALUE(I1682)+(TIMEVALUE(H1683)&lt;TIMEVALUE(I1682)),"[h]:mm")</f>
        <v/>
      </c>
      <c r="L1683" s="4" t="inlineStr">
        <is>
          <t>01:40:00</t>
        </is>
      </c>
      <c r="O1683">
        <f>"LIM-"&amp;G1682&amp;"-LIM   LA "&amp;E1682&amp;" ("&amp;LEFT(H1682,5)&amp;"-"&amp;LEFT(I1682,5)&amp;" hrs)  /  LA "&amp;E1683&amp;" ("&amp;LEFT(H1683,5)&amp;"-"&amp;LEFT(I1683,5)&amp;" hrs)"</f>
        <v/>
      </c>
    </row>
    <row r="1684">
      <c r="J1684" s="7" t="inlineStr">
        <is>
          <t>PSV total:</t>
        </is>
      </c>
      <c r="K1684" s="8">
        <f>TEXT(TIMEVALUE(I1683)-TIMEVALUE(H1680)+(I1683&lt;H1680),"[h]:mm")</f>
        <v/>
      </c>
    </row>
    <row r="1686">
      <c r="B1686" s="3" t="inlineStr">
        <is>
          <t>Pairing ID</t>
        </is>
      </c>
      <c r="C1686" s="3" t="inlineStr">
        <is>
          <t>FECHA REAL</t>
        </is>
      </c>
      <c r="D1686" s="3" t="inlineStr">
        <is>
          <t>Day of Week</t>
        </is>
      </c>
      <c r="E1686" s="3" t="inlineStr">
        <is>
          <t>Flight No</t>
        </is>
      </c>
      <c r="F1686" s="3" t="inlineStr">
        <is>
          <t>Dep Stn</t>
        </is>
      </c>
      <c r="G1686" s="3" t="inlineStr">
        <is>
          <t>Arr Stn</t>
        </is>
      </c>
      <c r="H1686" s="3" t="inlineStr">
        <is>
          <t>STD</t>
        </is>
      </c>
      <c r="I1686" s="3" t="inlineStr">
        <is>
          <t>STA</t>
        </is>
      </c>
      <c r="J1686" s="3" t="inlineStr">
        <is>
          <t>subflota</t>
        </is>
      </c>
      <c r="K1686" s="3" t="inlineStr">
        <is>
          <t>Conexion</t>
        </is>
      </c>
      <c r="L1686" s="3" t="inlineStr">
        <is>
          <t>HBT</t>
        </is>
      </c>
    </row>
    <row r="1687">
      <c r="B1687" s="4" t="inlineStr">
        <is>
          <t>1927_0</t>
        </is>
      </c>
      <c r="C1687" s="4" t="inlineStr">
        <is>
          <t>22/09/2026</t>
        </is>
      </c>
      <c r="D1687" s="4" t="inlineStr">
        <is>
          <t>martes</t>
        </is>
      </c>
      <c r="E1687" s="4" t="inlineStr">
        <is>
          <t>2120</t>
        </is>
      </c>
      <c r="F1687" s="4" t="inlineStr">
        <is>
          <t>LIM</t>
        </is>
      </c>
      <c r="G1687" s="4" t="inlineStr">
        <is>
          <t>CUZ</t>
        </is>
      </c>
      <c r="H1687" s="4" t="inlineStr">
        <is>
          <t>12:35:00</t>
        </is>
      </c>
      <c r="I1687" s="4" t="inlineStr">
        <is>
          <t>13:55:00</t>
        </is>
      </c>
      <c r="J1687" s="4" t="inlineStr">
        <is>
          <t>320</t>
        </is>
      </c>
      <c r="L1687" s="4" t="inlineStr">
        <is>
          <t>01:20:00</t>
        </is>
      </c>
      <c r="M1687" s="5" t="n"/>
      <c r="O1687" s="5" t="n"/>
      <c r="Q1687" s="4">
        <f>B1687</f>
        <v/>
      </c>
      <c r="R1687" s="4">
        <f>C1687</f>
        <v/>
      </c>
      <c r="S1687" s="4">
        <f>D1687</f>
        <v/>
      </c>
      <c r="T1687" s="4">
        <f>E1687&amp;"/"&amp;E1688</f>
        <v/>
      </c>
      <c r="U1687" s="4">
        <f>F1687&amp;"-"&amp;G1687&amp;"-"&amp;F1687</f>
        <v/>
      </c>
      <c r="V1687" s="4">
        <f>IF($M$1687="","",$M$1687)</f>
        <v/>
      </c>
      <c r="W1687" s="4">
        <f>IF($O$1687="","",$O$1687)</f>
        <v/>
      </c>
      <c r="X1687" s="4">
        <f>J1687</f>
        <v/>
      </c>
    </row>
    <row r="1688">
      <c r="B1688" s="4" t="inlineStr">
        <is>
          <t>1927_0</t>
        </is>
      </c>
      <c r="C1688" s="4" t="inlineStr">
        <is>
          <t>22/09/2026</t>
        </is>
      </c>
      <c r="D1688" s="4" t="inlineStr">
        <is>
          <t>martes</t>
        </is>
      </c>
      <c r="E1688" s="4" t="inlineStr">
        <is>
          <t>2121</t>
        </is>
      </c>
      <c r="F1688" s="4" t="inlineStr">
        <is>
          <t>CUZ</t>
        </is>
      </c>
      <c r="G1688" s="4" t="inlineStr">
        <is>
          <t>LIM</t>
        </is>
      </c>
      <c r="H1688" s="4" t="inlineStr">
        <is>
          <t>17:35:00</t>
        </is>
      </c>
      <c r="I1688" s="4" t="inlineStr">
        <is>
          <t>19:10:00</t>
        </is>
      </c>
      <c r="J1688" s="4" t="inlineStr">
        <is>
          <t>320</t>
        </is>
      </c>
      <c r="K1688">
        <f>TEXT(TIMEVALUE(H1688)-TIMEVALUE(I1687)+(TIMEVALUE(H1688)&lt;TIMEVALUE(I1687)),"[h]:mm")</f>
        <v/>
      </c>
      <c r="L1688" s="4" t="inlineStr">
        <is>
          <t>01:35:00</t>
        </is>
      </c>
      <c r="O1688">
        <f>"LIM-"&amp;G1687&amp;"-LIM   LA "&amp;E1687&amp;" ("&amp;LEFT(H1687,5)&amp;"-"&amp;LEFT(I1687,5)&amp;" hrs)  /  LA "&amp;E1688&amp;" ("&amp;LEFT(H1688,5)&amp;"-"&amp;LEFT(I1688,5)&amp;" hrs)"</f>
        <v/>
      </c>
    </row>
    <row r="1689">
      <c r="B1689" s="4" t="inlineStr">
        <is>
          <t>1955_0</t>
        </is>
      </c>
      <c r="C1689" s="4" t="inlineStr">
        <is>
          <t>22/09/2026</t>
        </is>
      </c>
      <c r="D1689" s="4" t="inlineStr">
        <is>
          <t>martes</t>
        </is>
      </c>
      <c r="E1689" s="4" t="inlineStr">
        <is>
          <t>2278</t>
        </is>
      </c>
      <c r="F1689" s="4" t="inlineStr">
        <is>
          <t>LIM</t>
        </is>
      </c>
      <c r="G1689" s="4" t="inlineStr">
        <is>
          <t>CIX</t>
        </is>
      </c>
      <c r="H1689" s="4" t="inlineStr">
        <is>
          <t>20:10:00</t>
        </is>
      </c>
      <c r="I1689" s="4" t="inlineStr">
        <is>
          <t>21:40:00</t>
        </is>
      </c>
      <c r="J1689" s="4" t="inlineStr">
        <is>
          <t>320</t>
        </is>
      </c>
      <c r="K1689" s="6">
        <f>TEXT(TIMEVALUE(H1689)-TIMEVALUE(I1688)+(TIMEVALUE(H1689)&lt;TIMEVALUE(I1688)),"[h]:mm")</f>
        <v/>
      </c>
      <c r="L1689" s="4" t="inlineStr">
        <is>
          <t>01:30:00</t>
        </is>
      </c>
      <c r="M1689">
        <f>IF($M$1687="","",$M$1687)</f>
        <v/>
      </c>
      <c r="O1689">
        <f>IF($O$1687="","",$O$1687)</f>
        <v/>
      </c>
      <c r="Q1689" s="4">
        <f>B1689</f>
        <v/>
      </c>
      <c r="R1689" s="4">
        <f>C1689</f>
        <v/>
      </c>
      <c r="S1689" s="4">
        <f>D1689</f>
        <v/>
      </c>
      <c r="T1689" s="4">
        <f>E1689&amp;"/"&amp;E1690</f>
        <v/>
      </c>
      <c r="U1689" s="4">
        <f>F1689&amp;"-"&amp;G1689&amp;"-"&amp;F1689</f>
        <v/>
      </c>
      <c r="V1689" s="4">
        <f>IF($M$1687="","",$M$1687)</f>
        <v/>
      </c>
      <c r="W1689" s="4">
        <f>IF($O$1687="","",$O$1687)</f>
        <v/>
      </c>
      <c r="X1689" s="4">
        <f>J1689</f>
        <v/>
      </c>
    </row>
    <row r="1690">
      <c r="B1690" s="4" t="inlineStr">
        <is>
          <t>1955_0</t>
        </is>
      </c>
      <c r="C1690" s="4" t="inlineStr">
        <is>
          <t>22/09/2026</t>
        </is>
      </c>
      <c r="D1690" s="4" t="inlineStr">
        <is>
          <t>martes</t>
        </is>
      </c>
      <c r="E1690" s="4" t="inlineStr">
        <is>
          <t>2279</t>
        </is>
      </c>
      <c r="F1690" s="4" t="inlineStr">
        <is>
          <t>CIX</t>
        </is>
      </c>
      <c r="G1690" s="4" t="inlineStr">
        <is>
          <t>LIM</t>
        </is>
      </c>
      <c r="H1690" s="4" t="inlineStr">
        <is>
          <t>22:15:00</t>
        </is>
      </c>
      <c r="I1690" s="4" t="inlineStr">
        <is>
          <t>23:35:00</t>
        </is>
      </c>
      <c r="J1690" s="4" t="inlineStr">
        <is>
          <t>320</t>
        </is>
      </c>
      <c r="K1690">
        <f>TEXT(TIMEVALUE(H1690)-TIMEVALUE(I1689)+(TIMEVALUE(H1690)&lt;TIMEVALUE(I1689)),"[h]:mm")</f>
        <v/>
      </c>
      <c r="L1690" s="4" t="inlineStr">
        <is>
          <t>01:20:00</t>
        </is>
      </c>
      <c r="O1690">
        <f>"LIM-"&amp;G1689&amp;"-LIM   LA "&amp;E1689&amp;" ("&amp;LEFT(H1689,5)&amp;"-"&amp;LEFT(I1689,5)&amp;" hrs)  /  LA "&amp;E1690&amp;" ("&amp;LEFT(H1690,5)&amp;"-"&amp;LEFT(I1690,5)&amp;" hrs)"</f>
        <v/>
      </c>
    </row>
    <row r="1691">
      <c r="J1691" s="7" t="inlineStr">
        <is>
          <t>PSV total:</t>
        </is>
      </c>
      <c r="K1691" s="8">
        <f>TEXT(TIMEVALUE(I1690)-TIMEVALUE(H1687)+(I1690&lt;H1687),"[h]:mm")</f>
        <v/>
      </c>
    </row>
    <row r="1693">
      <c r="B1693" s="3" t="inlineStr">
        <is>
          <t>Pairing ID</t>
        </is>
      </c>
      <c r="C1693" s="3" t="inlineStr">
        <is>
          <t>FECHA REAL</t>
        </is>
      </c>
      <c r="D1693" s="3" t="inlineStr">
        <is>
          <t>Day of Week</t>
        </is>
      </c>
      <c r="E1693" s="3" t="inlineStr">
        <is>
          <t>Flight No</t>
        </is>
      </c>
      <c r="F1693" s="3" t="inlineStr">
        <is>
          <t>Dep Stn</t>
        </is>
      </c>
      <c r="G1693" s="3" t="inlineStr">
        <is>
          <t>Arr Stn</t>
        </is>
      </c>
      <c r="H1693" s="3" t="inlineStr">
        <is>
          <t>STD</t>
        </is>
      </c>
      <c r="I1693" s="3" t="inlineStr">
        <is>
          <t>STA</t>
        </is>
      </c>
      <c r="J1693" s="3" t="inlineStr">
        <is>
          <t>subflota</t>
        </is>
      </c>
      <c r="K1693" s="3" t="inlineStr">
        <is>
          <t>Conexion</t>
        </is>
      </c>
      <c r="L1693" s="3" t="inlineStr">
        <is>
          <t>HBT</t>
        </is>
      </c>
    </row>
    <row r="1694">
      <c r="B1694" s="4" t="inlineStr">
        <is>
          <t>1931_0</t>
        </is>
      </c>
      <c r="C1694" s="4" t="inlineStr">
        <is>
          <t>22/09/2026</t>
        </is>
      </c>
      <c r="D1694" s="4" t="inlineStr">
        <is>
          <t>martes</t>
        </is>
      </c>
      <c r="E1694" s="4" t="inlineStr">
        <is>
          <t>2308</t>
        </is>
      </c>
      <c r="F1694" s="4" t="inlineStr">
        <is>
          <t>LIM</t>
        </is>
      </c>
      <c r="G1694" s="4" t="inlineStr">
        <is>
          <t>PIU</t>
        </is>
      </c>
      <c r="H1694" s="4" t="inlineStr">
        <is>
          <t>12:50:00</t>
        </is>
      </c>
      <c r="I1694" s="4" t="inlineStr">
        <is>
          <t>14:35:00</t>
        </is>
      </c>
      <c r="J1694" s="4" t="inlineStr">
        <is>
          <t>319</t>
        </is>
      </c>
      <c r="L1694" s="4" t="inlineStr">
        <is>
          <t>01:45:00</t>
        </is>
      </c>
      <c r="M1694" s="5" t="n"/>
      <c r="O1694" s="5" t="n"/>
      <c r="Q1694" s="4">
        <f>B1694</f>
        <v/>
      </c>
      <c r="R1694" s="4">
        <f>C1694</f>
        <v/>
      </c>
      <c r="S1694" s="4">
        <f>D1694</f>
        <v/>
      </c>
      <c r="T1694" s="4">
        <f>E1694&amp;"/"&amp;E1695</f>
        <v/>
      </c>
      <c r="U1694" s="4">
        <f>F1694&amp;"-"&amp;G1694&amp;"-"&amp;F1694</f>
        <v/>
      </c>
      <c r="V1694" s="4">
        <f>IF($M$1694="","",$M$1694)</f>
        <v/>
      </c>
      <c r="W1694" s="4">
        <f>IF($O$1694="","",$O$1694)</f>
        <v/>
      </c>
      <c r="X1694" s="4">
        <f>J1694</f>
        <v/>
      </c>
    </row>
    <row r="1695">
      <c r="B1695" s="4" t="inlineStr">
        <is>
          <t>1931_0</t>
        </is>
      </c>
      <c r="C1695" s="4" t="inlineStr">
        <is>
          <t>22/09/2026</t>
        </is>
      </c>
      <c r="D1695" s="4" t="inlineStr">
        <is>
          <t>martes</t>
        </is>
      </c>
      <c r="E1695" s="4" t="inlineStr">
        <is>
          <t>2309</t>
        </is>
      </c>
      <c r="F1695" s="4" t="inlineStr">
        <is>
          <t>PIU</t>
        </is>
      </c>
      <c r="G1695" s="4" t="inlineStr">
        <is>
          <t>LIM</t>
        </is>
      </c>
      <c r="H1695" s="4" t="inlineStr">
        <is>
          <t>15:25:00</t>
        </is>
      </c>
      <c r="I1695" s="4" t="inlineStr">
        <is>
          <t>16:55:00</t>
        </is>
      </c>
      <c r="J1695" s="4" t="inlineStr">
        <is>
          <t>319</t>
        </is>
      </c>
      <c r="K1695">
        <f>TEXT(TIMEVALUE(H1695)-TIMEVALUE(I1694)+(TIMEVALUE(H1695)&lt;TIMEVALUE(I1694)),"[h]:mm")</f>
        <v/>
      </c>
      <c r="L1695" s="4" t="inlineStr">
        <is>
          <t>01:30:00</t>
        </is>
      </c>
      <c r="O1695">
        <f>"LIM-"&amp;G1694&amp;"-LIM   LA "&amp;E1694&amp;" ("&amp;LEFT(H1694,5)&amp;"-"&amp;LEFT(I1694,5)&amp;" hrs)  /  LA "&amp;E1695&amp;" ("&amp;LEFT(H1695,5)&amp;"-"&amp;LEFT(I1695,5)&amp;" hrs)"</f>
        <v/>
      </c>
    </row>
    <row r="1696">
      <c r="B1696" s="4" t="inlineStr">
        <is>
          <t>1953_0</t>
        </is>
      </c>
      <c r="C1696" s="4" t="inlineStr">
        <is>
          <t>22/09/2026</t>
        </is>
      </c>
      <c r="D1696" s="4" t="inlineStr">
        <is>
          <t>martes</t>
        </is>
      </c>
      <c r="E1696" s="4" t="inlineStr">
        <is>
          <t>2236</t>
        </is>
      </c>
      <c r="F1696" s="4" t="inlineStr">
        <is>
          <t>LIM</t>
        </is>
      </c>
      <c r="G1696" s="4" t="inlineStr">
        <is>
          <t>PIU</t>
        </is>
      </c>
      <c r="H1696" s="4" t="inlineStr">
        <is>
          <t>18:00:00</t>
        </is>
      </c>
      <c r="I1696" s="4" t="inlineStr">
        <is>
          <t>19:40:00</t>
        </is>
      </c>
      <c r="J1696" s="4" t="inlineStr">
        <is>
          <t>320</t>
        </is>
      </c>
      <c r="K1696" s="6">
        <f>TEXT(TIMEVALUE(H1696)-TIMEVALUE(I1695)+(TIMEVALUE(H1696)&lt;TIMEVALUE(I1695)),"[h]:mm")</f>
        <v/>
      </c>
      <c r="L1696" s="4" t="inlineStr">
        <is>
          <t>01:40:00</t>
        </is>
      </c>
      <c r="M1696">
        <f>IF($M$1694="","",$M$1694)</f>
        <v/>
      </c>
      <c r="O1696">
        <f>IF($O$1694="","",$O$1694)</f>
        <v/>
      </c>
      <c r="Q1696" s="4">
        <f>B1696</f>
        <v/>
      </c>
      <c r="R1696" s="4">
        <f>C1696</f>
        <v/>
      </c>
      <c r="S1696" s="4">
        <f>D1696</f>
        <v/>
      </c>
      <c r="T1696" s="4">
        <f>E1696&amp;"/"&amp;E1697</f>
        <v/>
      </c>
      <c r="U1696" s="4">
        <f>F1696&amp;"-"&amp;G1696&amp;"-"&amp;F1696</f>
        <v/>
      </c>
      <c r="V1696" s="4">
        <f>IF($M$1694="","",$M$1694)</f>
        <v/>
      </c>
      <c r="W1696" s="4">
        <f>IF($O$1694="","",$O$1694)</f>
        <v/>
      </c>
      <c r="X1696" s="4">
        <f>J1696</f>
        <v/>
      </c>
    </row>
    <row r="1697">
      <c r="B1697" s="4" t="inlineStr">
        <is>
          <t>1953_0</t>
        </is>
      </c>
      <c r="C1697" s="4" t="inlineStr">
        <is>
          <t>22/09/2026</t>
        </is>
      </c>
      <c r="D1697" s="4" t="inlineStr">
        <is>
          <t>martes</t>
        </is>
      </c>
      <c r="E1697" s="4" t="inlineStr">
        <is>
          <t>2237</t>
        </is>
      </c>
      <c r="F1697" s="4" t="inlineStr">
        <is>
          <t>PIU</t>
        </is>
      </c>
      <c r="G1697" s="4" t="inlineStr">
        <is>
          <t>LIM</t>
        </is>
      </c>
      <c r="H1697" s="4" t="inlineStr">
        <is>
          <t>20:20:00</t>
        </is>
      </c>
      <c r="I1697" s="4" t="inlineStr">
        <is>
          <t>21:50:00</t>
        </is>
      </c>
      <c r="J1697" s="4" t="inlineStr">
        <is>
          <t>320</t>
        </is>
      </c>
      <c r="K1697">
        <f>TEXT(TIMEVALUE(H1697)-TIMEVALUE(I1696)+(TIMEVALUE(H1697)&lt;TIMEVALUE(I1696)),"[h]:mm")</f>
        <v/>
      </c>
      <c r="L1697" s="4" t="inlineStr">
        <is>
          <t>01:30:00</t>
        </is>
      </c>
      <c r="O1697">
        <f>"LIM-"&amp;G1696&amp;"-LIM   LA "&amp;E1696&amp;" ("&amp;LEFT(H1696,5)&amp;"-"&amp;LEFT(I1696,5)&amp;" hrs)  /  LA "&amp;E1697&amp;" ("&amp;LEFT(H1697,5)&amp;"-"&amp;LEFT(I1697,5)&amp;" hrs)"</f>
        <v/>
      </c>
    </row>
    <row r="1698">
      <c r="J1698" s="7" t="inlineStr">
        <is>
          <t>PSV total:</t>
        </is>
      </c>
      <c r="K1698" s="8">
        <f>TEXT(TIMEVALUE(I1697)-TIMEVALUE(H1694)+(I1697&lt;H1694),"[h]:mm")</f>
        <v/>
      </c>
    </row>
    <row r="1700">
      <c r="B1700" s="3" t="inlineStr">
        <is>
          <t>Pairing ID</t>
        </is>
      </c>
      <c r="C1700" s="3" t="inlineStr">
        <is>
          <t>FECHA REAL</t>
        </is>
      </c>
      <c r="D1700" s="3" t="inlineStr">
        <is>
          <t>Day of Week</t>
        </is>
      </c>
      <c r="E1700" s="3" t="inlineStr">
        <is>
          <t>Flight No</t>
        </is>
      </c>
      <c r="F1700" s="3" t="inlineStr">
        <is>
          <t>Dep Stn</t>
        </is>
      </c>
      <c r="G1700" s="3" t="inlineStr">
        <is>
          <t>Arr Stn</t>
        </is>
      </c>
      <c r="H1700" s="3" t="inlineStr">
        <is>
          <t>STD</t>
        </is>
      </c>
      <c r="I1700" s="3" t="inlineStr">
        <is>
          <t>STA</t>
        </is>
      </c>
      <c r="J1700" s="3" t="inlineStr">
        <is>
          <t>subflota</t>
        </is>
      </c>
      <c r="K1700" s="3" t="inlineStr">
        <is>
          <t>Conexion</t>
        </is>
      </c>
      <c r="L1700" s="3" t="inlineStr">
        <is>
          <t>HBT</t>
        </is>
      </c>
    </row>
    <row r="1701">
      <c r="B1701" s="4" t="inlineStr">
        <is>
          <t>1936_0</t>
        </is>
      </c>
      <c r="C1701" s="4" t="inlineStr">
        <is>
          <t>22/09/2026</t>
        </is>
      </c>
      <c r="D1701" s="4" t="inlineStr">
        <is>
          <t>martes</t>
        </is>
      </c>
      <c r="E1701" s="4" t="inlineStr">
        <is>
          <t>2067</t>
        </is>
      </c>
      <c r="F1701" s="4" t="inlineStr">
        <is>
          <t>LIM</t>
        </is>
      </c>
      <c r="G1701" s="4" t="inlineStr">
        <is>
          <t>TCQ</t>
        </is>
      </c>
      <c r="H1701" s="4" t="inlineStr">
        <is>
          <t>13:45:00</t>
        </is>
      </c>
      <c r="I1701" s="4" t="inlineStr">
        <is>
          <t>15:35:00</t>
        </is>
      </c>
      <c r="J1701" s="4" t="inlineStr">
        <is>
          <t>320</t>
        </is>
      </c>
      <c r="L1701" s="4" t="inlineStr">
        <is>
          <t>01:50:00</t>
        </is>
      </c>
      <c r="M1701" s="5" t="n"/>
      <c r="O1701" s="5" t="n"/>
      <c r="Q1701" s="4">
        <f>B1701</f>
        <v/>
      </c>
      <c r="R1701" s="4">
        <f>C1701</f>
        <v/>
      </c>
      <c r="S1701" s="4">
        <f>D1701</f>
        <v/>
      </c>
      <c r="T1701" s="4">
        <f>E1701&amp;"/"&amp;E1702</f>
        <v/>
      </c>
      <c r="U1701" s="4">
        <f>F1701&amp;"-"&amp;G1701&amp;"-"&amp;F1701</f>
        <v/>
      </c>
      <c r="V1701" s="4">
        <f>IF($M$1701="","",$M$1701)</f>
        <v/>
      </c>
      <c r="W1701" s="4">
        <f>IF($O$1701="","",$O$1701)</f>
        <v/>
      </c>
      <c r="X1701" s="4">
        <f>J1701</f>
        <v/>
      </c>
    </row>
    <row r="1702">
      <c r="B1702" s="4" t="inlineStr">
        <is>
          <t>1936_0</t>
        </is>
      </c>
      <c r="C1702" s="4" t="inlineStr">
        <is>
          <t>22/09/2026</t>
        </is>
      </c>
      <c r="D1702" s="4" t="inlineStr">
        <is>
          <t>martes</t>
        </is>
      </c>
      <c r="E1702" s="4" t="inlineStr">
        <is>
          <t>2068</t>
        </is>
      </c>
      <c r="F1702" s="4" t="inlineStr">
        <is>
          <t>TCQ</t>
        </is>
      </c>
      <c r="G1702" s="4" t="inlineStr">
        <is>
          <t>LIM</t>
        </is>
      </c>
      <c r="H1702" s="4" t="inlineStr">
        <is>
          <t>16:20:00</t>
        </is>
      </c>
      <c r="I1702" s="4" t="inlineStr">
        <is>
          <t>18:15:00</t>
        </is>
      </c>
      <c r="J1702" s="4" t="inlineStr">
        <is>
          <t>320</t>
        </is>
      </c>
      <c r="K1702">
        <f>TEXT(TIMEVALUE(H1702)-TIMEVALUE(I1701)+(TIMEVALUE(H1702)&lt;TIMEVALUE(I1701)),"[h]:mm")</f>
        <v/>
      </c>
      <c r="L1702" s="4" t="inlineStr">
        <is>
          <t>01:55:00</t>
        </is>
      </c>
      <c r="O1702">
        <f>"LIM-"&amp;G1701&amp;"-LIM   LA "&amp;E1701&amp;" ("&amp;LEFT(H1701,5)&amp;"-"&amp;LEFT(I1701,5)&amp;" hrs)  /  LA "&amp;E1702&amp;" ("&amp;LEFT(H1702,5)&amp;"-"&amp;LEFT(I1702,5)&amp;" hrs)"</f>
        <v/>
      </c>
    </row>
    <row r="1703">
      <c r="J1703" s="7" t="inlineStr">
        <is>
          <t>PSV total:</t>
        </is>
      </c>
      <c r="K1703" s="8">
        <f>TEXT(TIMEVALUE(I1702)-TIMEVALUE(H1701)+(I1702&lt;H1701),"[h]:mm")</f>
        <v/>
      </c>
    </row>
    <row r="1705">
      <c r="B1705" s="3" t="inlineStr">
        <is>
          <t>Pairing ID</t>
        </is>
      </c>
      <c r="C1705" s="3" t="inlineStr">
        <is>
          <t>FECHA REAL</t>
        </is>
      </c>
      <c r="D1705" s="3" t="inlineStr">
        <is>
          <t>Day of Week</t>
        </is>
      </c>
      <c r="E1705" s="3" t="inlineStr">
        <is>
          <t>Flight No</t>
        </is>
      </c>
      <c r="F1705" s="3" t="inlineStr">
        <is>
          <t>Dep Stn</t>
        </is>
      </c>
      <c r="G1705" s="3" t="inlineStr">
        <is>
          <t>Arr Stn</t>
        </is>
      </c>
      <c r="H1705" s="3" t="inlineStr">
        <is>
          <t>STD</t>
        </is>
      </c>
      <c r="I1705" s="3" t="inlineStr">
        <is>
          <t>STA</t>
        </is>
      </c>
      <c r="J1705" s="3" t="inlineStr">
        <is>
          <t>subflota</t>
        </is>
      </c>
      <c r="K1705" s="3" t="inlineStr">
        <is>
          <t>Conexion</t>
        </is>
      </c>
      <c r="L1705" s="3" t="inlineStr">
        <is>
          <t>HBT</t>
        </is>
      </c>
    </row>
    <row r="1706">
      <c r="B1706" s="4" t="inlineStr">
        <is>
          <t>1938_0</t>
        </is>
      </c>
      <c r="C1706" s="4" t="inlineStr">
        <is>
          <t>22/09/2026</t>
        </is>
      </c>
      <c r="D1706" s="4" t="inlineStr">
        <is>
          <t>martes</t>
        </is>
      </c>
      <c r="E1706" s="4" t="inlineStr">
        <is>
          <t>2295</t>
        </is>
      </c>
      <c r="F1706" s="4" t="inlineStr">
        <is>
          <t>LIM</t>
        </is>
      </c>
      <c r="G1706" s="4" t="inlineStr">
        <is>
          <t>CJA</t>
        </is>
      </c>
      <c r="H1706" s="4" t="inlineStr">
        <is>
          <t>14:10:00</t>
        </is>
      </c>
      <c r="I1706" s="4" t="inlineStr">
        <is>
          <t>15:30:00</t>
        </is>
      </c>
      <c r="J1706" s="4" t="inlineStr">
        <is>
          <t>319</t>
        </is>
      </c>
      <c r="L1706" s="4" t="inlineStr">
        <is>
          <t>01:20:00</t>
        </is>
      </c>
      <c r="M1706" s="5" t="n"/>
      <c r="O1706" s="5" t="n"/>
      <c r="Q1706" s="4">
        <f>B1706</f>
        <v/>
      </c>
      <c r="R1706" s="4">
        <f>C1706</f>
        <v/>
      </c>
      <c r="S1706" s="4">
        <f>D1706</f>
        <v/>
      </c>
      <c r="T1706" s="4">
        <f>E1706&amp;"/"&amp;E1707</f>
        <v/>
      </c>
      <c r="U1706" s="4">
        <f>F1706&amp;"-"&amp;G1706&amp;"-"&amp;F1706</f>
        <v/>
      </c>
      <c r="V1706" s="4">
        <f>IF($M$1706="","",$M$1706)</f>
        <v/>
      </c>
      <c r="W1706" s="4">
        <f>IF($O$1706="","",$O$1706)</f>
        <v/>
      </c>
      <c r="X1706" s="4">
        <f>J1706</f>
        <v/>
      </c>
    </row>
    <row r="1707">
      <c r="B1707" s="4" t="inlineStr">
        <is>
          <t>1938_0</t>
        </is>
      </c>
      <c r="C1707" s="4" t="inlineStr">
        <is>
          <t>22/09/2026</t>
        </is>
      </c>
      <c r="D1707" s="4" t="inlineStr">
        <is>
          <t>martes</t>
        </is>
      </c>
      <c r="E1707" s="4" t="inlineStr">
        <is>
          <t>2294</t>
        </is>
      </c>
      <c r="F1707" s="4" t="inlineStr">
        <is>
          <t>CJA</t>
        </is>
      </c>
      <c r="G1707" s="4" t="inlineStr">
        <is>
          <t>LIM</t>
        </is>
      </c>
      <c r="H1707" s="4" t="inlineStr">
        <is>
          <t>16:10:00</t>
        </is>
      </c>
      <c r="I1707" s="4" t="inlineStr">
        <is>
          <t>17:15:00</t>
        </is>
      </c>
      <c r="J1707" s="4" t="inlineStr">
        <is>
          <t>319</t>
        </is>
      </c>
      <c r="K1707">
        <f>TEXT(TIMEVALUE(H1707)-TIMEVALUE(I1706)+(TIMEVALUE(H1707)&lt;TIMEVALUE(I1706)),"[h]:mm")</f>
        <v/>
      </c>
      <c r="L1707" s="4" t="inlineStr">
        <is>
          <t>01:05:00</t>
        </is>
      </c>
      <c r="O1707">
        <f>"LIM-"&amp;G1706&amp;"-LIM   LA "&amp;E1706&amp;" ("&amp;LEFT(H1706,5)&amp;"-"&amp;LEFT(I1706,5)&amp;" hrs)  /  LA "&amp;E1707&amp;" ("&amp;LEFT(H1707,5)&amp;"-"&amp;LEFT(I1707,5)&amp;" hrs)"</f>
        <v/>
      </c>
    </row>
    <row r="1708">
      <c r="J1708" s="7" t="inlineStr">
        <is>
          <t>PSV total:</t>
        </is>
      </c>
      <c r="K1708" s="8">
        <f>TEXT(TIMEVALUE(I1707)-TIMEVALUE(H1706)+(I1707&lt;H1706),"[h]:mm")</f>
        <v/>
      </c>
    </row>
    <row r="1710">
      <c r="B1710" s="3" t="inlineStr">
        <is>
          <t>Pairing ID</t>
        </is>
      </c>
      <c r="C1710" s="3" t="inlineStr">
        <is>
          <t>FECHA REAL</t>
        </is>
      </c>
      <c r="D1710" s="3" t="inlineStr">
        <is>
          <t>Day of Week</t>
        </is>
      </c>
      <c r="E1710" s="3" t="inlineStr">
        <is>
          <t>Flight No</t>
        </is>
      </c>
      <c r="F1710" s="3" t="inlineStr">
        <is>
          <t>Dep Stn</t>
        </is>
      </c>
      <c r="G1710" s="3" t="inlineStr">
        <is>
          <t>Arr Stn</t>
        </is>
      </c>
      <c r="H1710" s="3" t="inlineStr">
        <is>
          <t>STD</t>
        </is>
      </c>
      <c r="I1710" s="3" t="inlineStr">
        <is>
          <t>STA</t>
        </is>
      </c>
      <c r="J1710" s="3" t="inlineStr">
        <is>
          <t>subflota</t>
        </is>
      </c>
      <c r="K1710" s="3" t="inlineStr">
        <is>
          <t>Conexion</t>
        </is>
      </c>
      <c r="L1710" s="3" t="inlineStr">
        <is>
          <t>HBT</t>
        </is>
      </c>
    </row>
    <row r="1711">
      <c r="B1711" s="4" t="inlineStr">
        <is>
          <t>1941_0</t>
        </is>
      </c>
      <c r="C1711" s="4" t="inlineStr">
        <is>
          <t>22/09/2026</t>
        </is>
      </c>
      <c r="D1711" s="4" t="inlineStr">
        <is>
          <t>martes</t>
        </is>
      </c>
      <c r="E1711" s="4" t="inlineStr">
        <is>
          <t>2338</t>
        </is>
      </c>
      <c r="F1711" s="4" t="inlineStr">
        <is>
          <t>LIM</t>
        </is>
      </c>
      <c r="G1711" s="4" t="inlineStr">
        <is>
          <t>PIU</t>
        </is>
      </c>
      <c r="H1711" s="4" t="inlineStr">
        <is>
          <t>15:00:00</t>
        </is>
      </c>
      <c r="I1711" s="4" t="inlineStr">
        <is>
          <t>16:45:00</t>
        </is>
      </c>
      <c r="J1711" s="4" t="inlineStr">
        <is>
          <t>320</t>
        </is>
      </c>
      <c r="L1711" s="4" t="inlineStr">
        <is>
          <t>01:45:00</t>
        </is>
      </c>
      <c r="M1711" s="5" t="n"/>
      <c r="O1711" s="5" t="n"/>
      <c r="Q1711" s="4">
        <f>B1711</f>
        <v/>
      </c>
      <c r="R1711" s="4">
        <f>C1711</f>
        <v/>
      </c>
      <c r="S1711" s="4">
        <f>D1711</f>
        <v/>
      </c>
      <c r="T1711" s="4">
        <f>E1711&amp;"/"&amp;E1712</f>
        <v/>
      </c>
      <c r="U1711" s="4">
        <f>F1711&amp;"-"&amp;G1711&amp;"-"&amp;F1711</f>
        <v/>
      </c>
      <c r="V1711" s="4">
        <f>IF($M$1711="","",$M$1711)</f>
        <v/>
      </c>
      <c r="W1711" s="4">
        <f>IF($O$1711="","",$O$1711)</f>
        <v/>
      </c>
      <c r="X1711" s="4">
        <f>J1711</f>
        <v/>
      </c>
    </row>
    <row r="1712">
      <c r="B1712" s="4" t="inlineStr">
        <is>
          <t>1941_0</t>
        </is>
      </c>
      <c r="C1712" s="4" t="inlineStr">
        <is>
          <t>22/09/2026</t>
        </is>
      </c>
      <c r="D1712" s="4" t="inlineStr">
        <is>
          <t>martes</t>
        </is>
      </c>
      <c r="E1712" s="4" t="inlineStr">
        <is>
          <t>2339</t>
        </is>
      </c>
      <c r="F1712" s="4" t="inlineStr">
        <is>
          <t>PIU</t>
        </is>
      </c>
      <c r="G1712" s="4" t="inlineStr">
        <is>
          <t>LIM</t>
        </is>
      </c>
      <c r="H1712" s="4" t="inlineStr">
        <is>
          <t>17:20:00</t>
        </is>
      </c>
      <c r="I1712" s="4" t="inlineStr">
        <is>
          <t>18:50:00</t>
        </is>
      </c>
      <c r="J1712" s="4" t="inlineStr">
        <is>
          <t>320</t>
        </is>
      </c>
      <c r="K1712">
        <f>TEXT(TIMEVALUE(H1712)-TIMEVALUE(I1711)+(TIMEVALUE(H1712)&lt;TIMEVALUE(I1711)),"[h]:mm")</f>
        <v/>
      </c>
      <c r="L1712" s="4" t="inlineStr">
        <is>
          <t>01:30:00</t>
        </is>
      </c>
      <c r="O1712">
        <f>"LIM-"&amp;G1711&amp;"-LIM   LA "&amp;E1711&amp;" ("&amp;LEFT(H1711,5)&amp;"-"&amp;LEFT(I1711,5)&amp;" hrs)  /  LA "&amp;E1712&amp;" ("&amp;LEFT(H1712,5)&amp;"-"&amp;LEFT(I1712,5)&amp;" hrs)"</f>
        <v/>
      </c>
    </row>
    <row r="1713">
      <c r="J1713" s="7" t="inlineStr">
        <is>
          <t>PSV total:</t>
        </is>
      </c>
      <c r="K1713" s="8">
        <f>TEXT(TIMEVALUE(I1712)-TIMEVALUE(H1711)+(I1712&lt;H1711),"[h]:mm")</f>
        <v/>
      </c>
    </row>
    <row r="1715">
      <c r="B1715" s="3" t="inlineStr">
        <is>
          <t>Pairing ID</t>
        </is>
      </c>
      <c r="C1715" s="3" t="inlineStr">
        <is>
          <t>FECHA REAL</t>
        </is>
      </c>
      <c r="D1715" s="3" t="inlineStr">
        <is>
          <t>Day of Week</t>
        </is>
      </c>
      <c r="E1715" s="3" t="inlineStr">
        <is>
          <t>Flight No</t>
        </is>
      </c>
      <c r="F1715" s="3" t="inlineStr">
        <is>
          <t>Dep Stn</t>
        </is>
      </c>
      <c r="G1715" s="3" t="inlineStr">
        <is>
          <t>Arr Stn</t>
        </is>
      </c>
      <c r="H1715" s="3" t="inlineStr">
        <is>
          <t>STD</t>
        </is>
      </c>
      <c r="I1715" s="3" t="inlineStr">
        <is>
          <t>STA</t>
        </is>
      </c>
      <c r="J1715" s="3" t="inlineStr">
        <is>
          <t>subflota</t>
        </is>
      </c>
      <c r="K1715" s="3" t="inlineStr">
        <is>
          <t>Conexion</t>
        </is>
      </c>
      <c r="L1715" s="3" t="inlineStr">
        <is>
          <t>HBT</t>
        </is>
      </c>
    </row>
    <row r="1716">
      <c r="B1716" s="4" t="inlineStr">
        <is>
          <t>1943_0</t>
        </is>
      </c>
      <c r="C1716" s="4" t="inlineStr">
        <is>
          <t>22/09/2026</t>
        </is>
      </c>
      <c r="D1716" s="4" t="inlineStr">
        <is>
          <t>martes</t>
        </is>
      </c>
      <c r="E1716" s="4" t="inlineStr">
        <is>
          <t>2297</t>
        </is>
      </c>
      <c r="F1716" s="4" t="inlineStr">
        <is>
          <t>LIM</t>
        </is>
      </c>
      <c r="G1716" s="4" t="inlineStr">
        <is>
          <t>CJA</t>
        </is>
      </c>
      <c r="H1716" s="4" t="inlineStr">
        <is>
          <t>15:15:00</t>
        </is>
      </c>
      <c r="I1716" s="4" t="inlineStr">
        <is>
          <t>16:35:00</t>
        </is>
      </c>
      <c r="J1716" s="4" t="inlineStr">
        <is>
          <t>319</t>
        </is>
      </c>
      <c r="L1716" s="4" t="inlineStr">
        <is>
          <t>01:20:00</t>
        </is>
      </c>
      <c r="M1716" s="5" t="n"/>
      <c r="O1716" s="5" t="n"/>
      <c r="Q1716" s="4">
        <f>B1716</f>
        <v/>
      </c>
      <c r="R1716" s="4">
        <f>C1716</f>
        <v/>
      </c>
      <c r="S1716" s="4">
        <f>D1716</f>
        <v/>
      </c>
      <c r="T1716" s="4">
        <f>E1716&amp;"/"&amp;E1717</f>
        <v/>
      </c>
      <c r="U1716" s="4">
        <f>F1716&amp;"-"&amp;G1716&amp;"-"&amp;F1716</f>
        <v/>
      </c>
      <c r="V1716" s="4">
        <f>IF($M$1716="","",$M$1716)</f>
        <v/>
      </c>
      <c r="W1716" s="4">
        <f>IF($O$1716="","",$O$1716)</f>
        <v/>
      </c>
      <c r="X1716" s="4">
        <f>J1716</f>
        <v/>
      </c>
    </row>
    <row r="1717">
      <c r="B1717" s="4" t="inlineStr">
        <is>
          <t>1943_0</t>
        </is>
      </c>
      <c r="C1717" s="4" t="inlineStr">
        <is>
          <t>22/09/2026</t>
        </is>
      </c>
      <c r="D1717" s="4" t="inlineStr">
        <is>
          <t>martes</t>
        </is>
      </c>
      <c r="E1717" s="4" t="inlineStr">
        <is>
          <t>2296</t>
        </is>
      </c>
      <c r="F1717" s="4" t="inlineStr">
        <is>
          <t>CJA</t>
        </is>
      </c>
      <c r="G1717" s="4" t="inlineStr">
        <is>
          <t>LIM</t>
        </is>
      </c>
      <c r="H1717" s="4" t="inlineStr">
        <is>
          <t>17:20:00</t>
        </is>
      </c>
      <c r="I1717" s="4" t="inlineStr">
        <is>
          <t>18:25:00</t>
        </is>
      </c>
      <c r="J1717" s="4" t="inlineStr">
        <is>
          <t>319</t>
        </is>
      </c>
      <c r="K1717">
        <f>TEXT(TIMEVALUE(H1717)-TIMEVALUE(I1716)+(TIMEVALUE(H1717)&lt;TIMEVALUE(I1716)),"[h]:mm")</f>
        <v/>
      </c>
      <c r="L1717" s="4" t="inlineStr">
        <is>
          <t>01:05:00</t>
        </is>
      </c>
      <c r="O1717">
        <f>"LIM-"&amp;G1716&amp;"-LIM   LA "&amp;E1716&amp;" ("&amp;LEFT(H1716,5)&amp;"-"&amp;LEFT(I1716,5)&amp;" hrs)  /  LA "&amp;E1717&amp;" ("&amp;LEFT(H1717,5)&amp;"-"&amp;LEFT(I1717,5)&amp;" hrs)"</f>
        <v/>
      </c>
    </row>
    <row r="1718">
      <c r="J1718" s="7" t="inlineStr">
        <is>
          <t>PSV total:</t>
        </is>
      </c>
      <c r="K1718" s="8">
        <f>TEXT(TIMEVALUE(I1717)-TIMEVALUE(H1716)+(I1717&lt;H1716),"[h]:mm")</f>
        <v/>
      </c>
    </row>
    <row r="1720">
      <c r="B1720" s="3" t="inlineStr">
        <is>
          <t>Pairing ID</t>
        </is>
      </c>
      <c r="C1720" s="3" t="inlineStr">
        <is>
          <t>FECHA REAL</t>
        </is>
      </c>
      <c r="D1720" s="3" t="inlineStr">
        <is>
          <t>Day of Week</t>
        </is>
      </c>
      <c r="E1720" s="3" t="inlineStr">
        <is>
          <t>Flight No</t>
        </is>
      </c>
      <c r="F1720" s="3" t="inlineStr">
        <is>
          <t>Dep Stn</t>
        </is>
      </c>
      <c r="G1720" s="3" t="inlineStr">
        <is>
          <t>Arr Stn</t>
        </is>
      </c>
      <c r="H1720" s="3" t="inlineStr">
        <is>
          <t>STD</t>
        </is>
      </c>
      <c r="I1720" s="3" t="inlineStr">
        <is>
          <t>STA</t>
        </is>
      </c>
      <c r="J1720" s="3" t="inlineStr">
        <is>
          <t>subflota</t>
        </is>
      </c>
      <c r="K1720" s="3" t="inlineStr">
        <is>
          <t>Conexion</t>
        </is>
      </c>
      <c r="L1720" s="3" t="inlineStr">
        <is>
          <t>HBT</t>
        </is>
      </c>
    </row>
    <row r="1721">
      <c r="B1721" s="4" t="inlineStr">
        <is>
          <t>1945_0</t>
        </is>
      </c>
      <c r="C1721" s="4" t="inlineStr">
        <is>
          <t>22/09/2026</t>
        </is>
      </c>
      <c r="D1721" s="4" t="inlineStr">
        <is>
          <t>martes</t>
        </is>
      </c>
      <c r="E1721" s="4" t="inlineStr">
        <is>
          <t>2312</t>
        </is>
      </c>
      <c r="F1721" s="4" t="inlineStr">
        <is>
          <t>LIM</t>
        </is>
      </c>
      <c r="G1721" s="4" t="inlineStr">
        <is>
          <t>CIX</t>
        </is>
      </c>
      <c r="H1721" s="4" t="inlineStr">
        <is>
          <t>15:35:00</t>
        </is>
      </c>
      <c r="I1721" s="4" t="inlineStr">
        <is>
          <t>17:05:00</t>
        </is>
      </c>
      <c r="J1721" s="4" t="inlineStr">
        <is>
          <t>320</t>
        </is>
      </c>
      <c r="L1721" s="4" t="inlineStr">
        <is>
          <t>01:30:00</t>
        </is>
      </c>
      <c r="M1721" s="5" t="n"/>
      <c r="O1721" s="5" t="n"/>
      <c r="Q1721" s="4">
        <f>B1721</f>
        <v/>
      </c>
      <c r="R1721" s="4">
        <f>C1721</f>
        <v/>
      </c>
      <c r="S1721" s="4">
        <f>D1721</f>
        <v/>
      </c>
      <c r="T1721" s="4">
        <f>E1721&amp;"/"&amp;E1722</f>
        <v/>
      </c>
      <c r="U1721" s="4">
        <f>F1721&amp;"-"&amp;G1721&amp;"-"&amp;F1721</f>
        <v/>
      </c>
      <c r="V1721" s="4">
        <f>IF($M$1721="","",$M$1721)</f>
        <v/>
      </c>
      <c r="W1721" s="4">
        <f>IF($O$1721="","",$O$1721)</f>
        <v/>
      </c>
      <c r="X1721" s="4">
        <f>J1721</f>
        <v/>
      </c>
    </row>
    <row r="1722">
      <c r="B1722" s="4" t="inlineStr">
        <is>
          <t>1945_0</t>
        </is>
      </c>
      <c r="C1722" s="4" t="inlineStr">
        <is>
          <t>22/09/2026</t>
        </is>
      </c>
      <c r="D1722" s="4" t="inlineStr">
        <is>
          <t>martes</t>
        </is>
      </c>
      <c r="E1722" s="4" t="inlineStr">
        <is>
          <t>2313</t>
        </is>
      </c>
      <c r="F1722" s="4" t="inlineStr">
        <is>
          <t>CIX</t>
        </is>
      </c>
      <c r="G1722" s="4" t="inlineStr">
        <is>
          <t>LIM</t>
        </is>
      </c>
      <c r="H1722" s="4" t="inlineStr">
        <is>
          <t>17:50:00</t>
        </is>
      </c>
      <c r="I1722" s="4" t="inlineStr">
        <is>
          <t>19:10:00</t>
        </is>
      </c>
      <c r="J1722" s="4" t="inlineStr">
        <is>
          <t>320</t>
        </is>
      </c>
      <c r="K1722">
        <f>TEXT(TIMEVALUE(H1722)-TIMEVALUE(I1721)+(TIMEVALUE(H1722)&lt;TIMEVALUE(I1721)),"[h]:mm")</f>
        <v/>
      </c>
      <c r="L1722" s="4" t="inlineStr">
        <is>
          <t>01:20:00</t>
        </is>
      </c>
      <c r="O1722">
        <f>"LIM-"&amp;G1721&amp;"-LIM   LA "&amp;E1721&amp;" ("&amp;LEFT(H1721,5)&amp;"-"&amp;LEFT(I1721,5)&amp;" hrs)  /  LA "&amp;E1722&amp;" ("&amp;LEFT(H1722,5)&amp;"-"&amp;LEFT(I1722,5)&amp;" hrs)"</f>
        <v/>
      </c>
    </row>
    <row r="1723">
      <c r="J1723" s="7" t="inlineStr">
        <is>
          <t>PSV total:</t>
        </is>
      </c>
      <c r="K1723" s="8">
        <f>TEXT(TIMEVALUE(I1722)-TIMEVALUE(H1721)+(I1722&lt;H1721),"[h]:mm")</f>
        <v/>
      </c>
    </row>
    <row r="1725">
      <c r="B1725" s="3" t="inlineStr">
        <is>
          <t>Pairing ID</t>
        </is>
      </c>
      <c r="C1725" s="3" t="inlineStr">
        <is>
          <t>FECHA REAL</t>
        </is>
      </c>
      <c r="D1725" s="3" t="inlineStr">
        <is>
          <t>Day of Week</t>
        </is>
      </c>
      <c r="E1725" s="3" t="inlineStr">
        <is>
          <t>Flight No</t>
        </is>
      </c>
      <c r="F1725" s="3" t="inlineStr">
        <is>
          <t>Dep Stn</t>
        </is>
      </c>
      <c r="G1725" s="3" t="inlineStr">
        <is>
          <t>Arr Stn</t>
        </is>
      </c>
      <c r="H1725" s="3" t="inlineStr">
        <is>
          <t>STD</t>
        </is>
      </c>
      <c r="I1725" s="3" t="inlineStr">
        <is>
          <t>STA</t>
        </is>
      </c>
      <c r="J1725" s="3" t="inlineStr">
        <is>
          <t>subflota</t>
        </is>
      </c>
      <c r="K1725" s="3" t="inlineStr">
        <is>
          <t>Conexion</t>
        </is>
      </c>
      <c r="L1725" s="3" t="inlineStr">
        <is>
          <t>HBT</t>
        </is>
      </c>
    </row>
    <row r="1726">
      <c r="B1726" s="4" t="inlineStr">
        <is>
          <t>1946_0</t>
        </is>
      </c>
      <c r="C1726" s="4" t="inlineStr">
        <is>
          <t>22/09/2026</t>
        </is>
      </c>
      <c r="D1726" s="4" t="inlineStr">
        <is>
          <t>martes</t>
        </is>
      </c>
      <c r="E1726" s="4" t="inlineStr">
        <is>
          <t>2301</t>
        </is>
      </c>
      <c r="F1726" s="4" t="inlineStr">
        <is>
          <t>LIM</t>
        </is>
      </c>
      <c r="G1726" s="4" t="inlineStr">
        <is>
          <t>TPP</t>
        </is>
      </c>
      <c r="H1726" s="4" t="inlineStr">
        <is>
          <t>15:40:00</t>
        </is>
      </c>
      <c r="I1726" s="4" t="inlineStr">
        <is>
          <t>17:05:00</t>
        </is>
      </c>
      <c r="J1726" s="4" t="inlineStr">
        <is>
          <t>320</t>
        </is>
      </c>
      <c r="L1726" s="4" t="inlineStr">
        <is>
          <t>01:25:00</t>
        </is>
      </c>
      <c r="M1726" s="5" t="n"/>
      <c r="O1726" s="5" t="n"/>
      <c r="Q1726" s="4">
        <f>B1726</f>
        <v/>
      </c>
      <c r="R1726" s="4">
        <f>C1726</f>
        <v/>
      </c>
      <c r="S1726" s="4">
        <f>D1726</f>
        <v/>
      </c>
      <c r="T1726" s="4">
        <f>E1726&amp;"/"&amp;E1727</f>
        <v/>
      </c>
      <c r="U1726" s="4">
        <f>F1726&amp;"-"&amp;G1726&amp;"-"&amp;F1726</f>
        <v/>
      </c>
      <c r="V1726" s="4">
        <f>IF($M$1726="","",$M$1726)</f>
        <v/>
      </c>
      <c r="W1726" s="4">
        <f>IF($O$1726="","",$O$1726)</f>
        <v/>
      </c>
      <c r="X1726" s="4">
        <f>J1726</f>
        <v/>
      </c>
    </row>
    <row r="1727">
      <c r="B1727" s="4" t="inlineStr">
        <is>
          <t>1946_0</t>
        </is>
      </c>
      <c r="C1727" s="4" t="inlineStr">
        <is>
          <t>22/09/2026</t>
        </is>
      </c>
      <c r="D1727" s="4" t="inlineStr">
        <is>
          <t>martes</t>
        </is>
      </c>
      <c r="E1727" s="4" t="inlineStr">
        <is>
          <t>2300</t>
        </is>
      </c>
      <c r="F1727" s="4" t="inlineStr">
        <is>
          <t>TPP</t>
        </is>
      </c>
      <c r="G1727" s="4" t="inlineStr">
        <is>
          <t>LIM</t>
        </is>
      </c>
      <c r="H1727" s="4" t="inlineStr">
        <is>
          <t>17:50:00</t>
        </is>
      </c>
      <c r="I1727" s="4" t="inlineStr">
        <is>
          <t>19:15:00</t>
        </is>
      </c>
      <c r="J1727" s="4" t="inlineStr">
        <is>
          <t>320</t>
        </is>
      </c>
      <c r="K1727">
        <f>TEXT(TIMEVALUE(H1727)-TIMEVALUE(I1726)+(TIMEVALUE(H1727)&lt;TIMEVALUE(I1726)),"[h]:mm")</f>
        <v/>
      </c>
      <c r="L1727" s="4" t="inlineStr">
        <is>
          <t>01:25:00</t>
        </is>
      </c>
      <c r="O1727">
        <f>"LIM-"&amp;G1726&amp;"-LIM   LA "&amp;E1726&amp;" ("&amp;LEFT(H1726,5)&amp;"-"&amp;LEFT(I1726,5)&amp;" hrs)  /  LA "&amp;E1727&amp;" ("&amp;LEFT(H1727,5)&amp;"-"&amp;LEFT(I1727,5)&amp;" hrs)"</f>
        <v/>
      </c>
    </row>
    <row r="1728">
      <c r="J1728" s="7" t="inlineStr">
        <is>
          <t>PSV total:</t>
        </is>
      </c>
      <c r="K1728" s="8">
        <f>TEXT(TIMEVALUE(I1727)-TIMEVALUE(H1726)+(I1727&lt;H1726),"[h]:mm")</f>
        <v/>
      </c>
    </row>
    <row r="1730">
      <c r="B1730" s="3" t="inlineStr">
        <is>
          <t>Pairing ID</t>
        </is>
      </c>
      <c r="C1730" s="3" t="inlineStr">
        <is>
          <t>FECHA REAL</t>
        </is>
      </c>
      <c r="D1730" s="3" t="inlineStr">
        <is>
          <t>Day of Week</t>
        </is>
      </c>
      <c r="E1730" s="3" t="inlineStr">
        <is>
          <t>Flight No</t>
        </is>
      </c>
      <c r="F1730" s="3" t="inlineStr">
        <is>
          <t>Dep Stn</t>
        </is>
      </c>
      <c r="G1730" s="3" t="inlineStr">
        <is>
          <t>Arr Stn</t>
        </is>
      </c>
      <c r="H1730" s="3" t="inlineStr">
        <is>
          <t>STD</t>
        </is>
      </c>
      <c r="I1730" s="3" t="inlineStr">
        <is>
          <t>STA</t>
        </is>
      </c>
      <c r="J1730" s="3" t="inlineStr">
        <is>
          <t>subflota</t>
        </is>
      </c>
      <c r="K1730" s="3" t="inlineStr">
        <is>
          <t>Conexion</t>
        </is>
      </c>
      <c r="L1730" s="3" t="inlineStr">
        <is>
          <t>HBT</t>
        </is>
      </c>
    </row>
    <row r="1731">
      <c r="B1731" s="4" t="inlineStr">
        <is>
          <t>1949_0</t>
        </is>
      </c>
      <c r="C1731" s="4" t="inlineStr">
        <is>
          <t>22/09/2026</t>
        </is>
      </c>
      <c r="D1731" s="4" t="inlineStr">
        <is>
          <t>martes</t>
        </is>
      </c>
      <c r="E1731" s="4" t="inlineStr">
        <is>
          <t>2215</t>
        </is>
      </c>
      <c r="F1731" s="4" t="inlineStr">
        <is>
          <t>LIM</t>
        </is>
      </c>
      <c r="G1731" s="4" t="inlineStr">
        <is>
          <t>TCQ</t>
        </is>
      </c>
      <c r="H1731" s="4" t="inlineStr">
        <is>
          <t>16:30:00</t>
        </is>
      </c>
      <c r="I1731" s="4" t="inlineStr">
        <is>
          <t>18:20:00</t>
        </is>
      </c>
      <c r="J1731" s="4" t="inlineStr">
        <is>
          <t>320</t>
        </is>
      </c>
      <c r="L1731" s="4" t="inlineStr">
        <is>
          <t>01:50:00</t>
        </is>
      </c>
      <c r="M1731" s="5" t="n"/>
      <c r="O1731" s="5" t="n"/>
      <c r="Q1731" s="4">
        <f>B1731</f>
        <v/>
      </c>
      <c r="R1731" s="4">
        <f>C1731</f>
        <v/>
      </c>
      <c r="S1731" s="4">
        <f>D1731</f>
        <v/>
      </c>
      <c r="T1731" s="4">
        <f>E1731&amp;"/"&amp;E1732</f>
        <v/>
      </c>
      <c r="U1731" s="4">
        <f>F1731&amp;"-"&amp;G1731&amp;"-"&amp;F1731</f>
        <v/>
      </c>
      <c r="V1731" s="4">
        <f>IF($M$1731="","",$M$1731)</f>
        <v/>
      </c>
      <c r="W1731" s="4">
        <f>IF($O$1731="","",$O$1731)</f>
        <v/>
      </c>
      <c r="X1731" s="4">
        <f>J1731</f>
        <v/>
      </c>
    </row>
    <row r="1732">
      <c r="B1732" s="4" t="inlineStr">
        <is>
          <t>1949_0</t>
        </is>
      </c>
      <c r="C1732" s="4" t="inlineStr">
        <is>
          <t>22/09/2026</t>
        </is>
      </c>
      <c r="D1732" s="4" t="inlineStr">
        <is>
          <t>martes</t>
        </is>
      </c>
      <c r="E1732" s="4" t="inlineStr">
        <is>
          <t>2216</t>
        </is>
      </c>
      <c r="F1732" s="4" t="inlineStr">
        <is>
          <t>TCQ</t>
        </is>
      </c>
      <c r="G1732" s="4" t="inlineStr">
        <is>
          <t>LIM</t>
        </is>
      </c>
      <c r="H1732" s="4" t="inlineStr">
        <is>
          <t>18:55:00</t>
        </is>
      </c>
      <c r="I1732" s="4" t="inlineStr">
        <is>
          <t>20:50:00</t>
        </is>
      </c>
      <c r="J1732" s="4" t="inlineStr">
        <is>
          <t>320</t>
        </is>
      </c>
      <c r="K1732">
        <f>TEXT(TIMEVALUE(H1732)-TIMEVALUE(I1731)+(TIMEVALUE(H1732)&lt;TIMEVALUE(I1731)),"[h]:mm")</f>
        <v/>
      </c>
      <c r="L1732" s="4" t="inlineStr">
        <is>
          <t>01:55:00</t>
        </is>
      </c>
      <c r="O1732">
        <f>"LIM-"&amp;G1731&amp;"-LIM   LA "&amp;E1731&amp;" ("&amp;LEFT(H1731,5)&amp;"-"&amp;LEFT(I1731,5)&amp;" hrs)  /  LA "&amp;E1732&amp;" ("&amp;LEFT(H1732,5)&amp;"-"&amp;LEFT(I1732,5)&amp;" hrs)"</f>
        <v/>
      </c>
    </row>
    <row r="1733">
      <c r="J1733" s="7" t="inlineStr">
        <is>
          <t>PSV total:</t>
        </is>
      </c>
      <c r="K1733" s="8">
        <f>TEXT(TIMEVALUE(I1732)-TIMEVALUE(H1731)+(I1732&lt;H1731),"[h]:mm")</f>
        <v/>
      </c>
    </row>
    <row r="1735">
      <c r="B1735" s="3" t="inlineStr">
        <is>
          <t>Pairing ID</t>
        </is>
      </c>
      <c r="C1735" s="3" t="inlineStr">
        <is>
          <t>FECHA REAL</t>
        </is>
      </c>
      <c r="D1735" s="3" t="inlineStr">
        <is>
          <t>Day of Week</t>
        </is>
      </c>
      <c r="E1735" s="3" t="inlineStr">
        <is>
          <t>Flight No</t>
        </is>
      </c>
      <c r="F1735" s="3" t="inlineStr">
        <is>
          <t>Dep Stn</t>
        </is>
      </c>
      <c r="G1735" s="3" t="inlineStr">
        <is>
          <t>Arr Stn</t>
        </is>
      </c>
      <c r="H1735" s="3" t="inlineStr">
        <is>
          <t>STD</t>
        </is>
      </c>
      <c r="I1735" s="3" t="inlineStr">
        <is>
          <t>STA</t>
        </is>
      </c>
      <c r="J1735" s="3" t="inlineStr">
        <is>
          <t>subflota</t>
        </is>
      </c>
      <c r="K1735" s="3" t="inlineStr">
        <is>
          <t>Conexion</t>
        </is>
      </c>
      <c r="L1735" s="3" t="inlineStr">
        <is>
          <t>HBT</t>
        </is>
      </c>
    </row>
    <row r="1736">
      <c r="B1736" s="4" t="inlineStr">
        <is>
          <t>1950_0</t>
        </is>
      </c>
      <c r="C1736" s="4" t="inlineStr">
        <is>
          <t>22/09/2026</t>
        </is>
      </c>
      <c r="D1736" s="4" t="inlineStr">
        <is>
          <t>martes</t>
        </is>
      </c>
      <c r="E1736" s="4" t="inlineStr">
        <is>
          <t>2276</t>
        </is>
      </c>
      <c r="F1736" s="4" t="inlineStr">
        <is>
          <t>LIM</t>
        </is>
      </c>
      <c r="G1736" s="4" t="inlineStr">
        <is>
          <t>CUZ</t>
        </is>
      </c>
      <c r="H1736" s="4" t="inlineStr">
        <is>
          <t>16:35:00</t>
        </is>
      </c>
      <c r="I1736" s="4" t="inlineStr">
        <is>
          <t>17:55:00</t>
        </is>
      </c>
      <c r="J1736" s="4" t="inlineStr">
        <is>
          <t>320</t>
        </is>
      </c>
      <c r="L1736" s="4" t="inlineStr">
        <is>
          <t>01:20:00</t>
        </is>
      </c>
      <c r="M1736" s="5" t="n"/>
      <c r="O1736" s="5" t="n"/>
      <c r="Q1736" s="4">
        <f>B1736</f>
        <v/>
      </c>
      <c r="R1736" s="4">
        <f>C1736</f>
        <v/>
      </c>
      <c r="S1736" s="4">
        <f>D1736</f>
        <v/>
      </c>
      <c r="T1736" s="4">
        <f>E1736&amp;"/"&amp;E1737</f>
        <v/>
      </c>
      <c r="U1736" s="4">
        <f>F1736&amp;"-"&amp;G1736&amp;"-"&amp;F1736</f>
        <v/>
      </c>
      <c r="V1736" s="4">
        <f>IF($M$1736="","",$M$1736)</f>
        <v/>
      </c>
      <c r="W1736" s="4">
        <f>IF($O$1736="","",$O$1736)</f>
        <v/>
      </c>
      <c r="X1736" s="4">
        <f>J1736</f>
        <v/>
      </c>
    </row>
    <row r="1737">
      <c r="B1737" s="4" t="inlineStr">
        <is>
          <t>1950_0</t>
        </is>
      </c>
      <c r="C1737" s="4" t="inlineStr">
        <is>
          <t>22/09/2026</t>
        </is>
      </c>
      <c r="D1737" s="4" t="inlineStr">
        <is>
          <t>martes</t>
        </is>
      </c>
      <c r="E1737" s="4" t="inlineStr">
        <is>
          <t>2277</t>
        </is>
      </c>
      <c r="F1737" s="4" t="inlineStr">
        <is>
          <t>CUZ</t>
        </is>
      </c>
      <c r="G1737" s="4" t="inlineStr">
        <is>
          <t>LIM</t>
        </is>
      </c>
      <c r="H1737" s="4" t="inlineStr">
        <is>
          <t>18:50:00</t>
        </is>
      </c>
      <c r="I1737" s="4" t="inlineStr">
        <is>
          <t>20:25:00</t>
        </is>
      </c>
      <c r="J1737" s="4" t="inlineStr">
        <is>
          <t>320</t>
        </is>
      </c>
      <c r="K1737">
        <f>TEXT(TIMEVALUE(H1737)-TIMEVALUE(I1736)+(TIMEVALUE(H1737)&lt;TIMEVALUE(I1736)),"[h]:mm")</f>
        <v/>
      </c>
      <c r="L1737" s="4" t="inlineStr">
        <is>
          <t>01:35:00</t>
        </is>
      </c>
      <c r="O1737">
        <f>"LIM-"&amp;G1736&amp;"-LIM   LA "&amp;E1736&amp;" ("&amp;LEFT(H1736,5)&amp;"-"&amp;LEFT(I1736,5)&amp;" hrs)  /  LA "&amp;E1737&amp;" ("&amp;LEFT(H1737,5)&amp;"-"&amp;LEFT(I1737,5)&amp;" hrs)"</f>
        <v/>
      </c>
    </row>
    <row r="1738">
      <c r="J1738" s="7" t="inlineStr">
        <is>
          <t>PSV total:</t>
        </is>
      </c>
      <c r="K1738" s="8">
        <f>TEXT(TIMEVALUE(I1737)-TIMEVALUE(H1736)+(I1737&lt;H1736),"[h]:mm")</f>
        <v/>
      </c>
    </row>
    <row r="1740">
      <c r="B1740" s="3" t="inlineStr">
        <is>
          <t>Pairing ID</t>
        </is>
      </c>
      <c r="C1740" s="3" t="inlineStr">
        <is>
          <t>FECHA REAL</t>
        </is>
      </c>
      <c r="D1740" s="3" t="inlineStr">
        <is>
          <t>Day of Week</t>
        </is>
      </c>
      <c r="E1740" s="3" t="inlineStr">
        <is>
          <t>Flight No</t>
        </is>
      </c>
      <c r="F1740" s="3" t="inlineStr">
        <is>
          <t>Dep Stn</t>
        </is>
      </c>
      <c r="G1740" s="3" t="inlineStr">
        <is>
          <t>Arr Stn</t>
        </is>
      </c>
      <c r="H1740" s="3" t="inlineStr">
        <is>
          <t>STD</t>
        </is>
      </c>
      <c r="I1740" s="3" t="inlineStr">
        <is>
          <t>STA</t>
        </is>
      </c>
      <c r="J1740" s="3" t="inlineStr">
        <is>
          <t>subflota</t>
        </is>
      </c>
      <c r="K1740" s="3" t="inlineStr">
        <is>
          <t>Conexion</t>
        </is>
      </c>
      <c r="L1740" s="3" t="inlineStr">
        <is>
          <t>HBT</t>
        </is>
      </c>
    </row>
    <row r="1741">
      <c r="B1741" s="4" t="inlineStr">
        <is>
          <t>1951_0</t>
        </is>
      </c>
      <c r="C1741" s="4" t="inlineStr">
        <is>
          <t>22/09/2026</t>
        </is>
      </c>
      <c r="D1741" s="4" t="inlineStr">
        <is>
          <t>martes</t>
        </is>
      </c>
      <c r="E1741" s="4" t="inlineStr">
        <is>
          <t>2276</t>
        </is>
      </c>
      <c r="F1741" s="4" t="inlineStr">
        <is>
          <t>LIM</t>
        </is>
      </c>
      <c r="G1741" s="4" t="inlineStr">
        <is>
          <t>CUZ</t>
        </is>
      </c>
      <c r="H1741" s="4" t="inlineStr">
        <is>
          <t>16:35:00</t>
        </is>
      </c>
      <c r="I1741" s="4" t="inlineStr">
        <is>
          <t>17:55:00</t>
        </is>
      </c>
      <c r="J1741" s="4" t="inlineStr">
        <is>
          <t>320</t>
        </is>
      </c>
      <c r="L1741" s="4" t="inlineStr">
        <is>
          <t>01:20:00</t>
        </is>
      </c>
      <c r="M1741" s="5" t="n"/>
      <c r="O1741" s="5" t="n"/>
      <c r="Q1741" s="4">
        <f>B1741</f>
        <v/>
      </c>
      <c r="R1741" s="4">
        <f>C1741</f>
        <v/>
      </c>
      <c r="S1741" s="4">
        <f>D1741</f>
        <v/>
      </c>
      <c r="T1741" s="4">
        <f>E1741&amp;"/"&amp;E1742</f>
        <v/>
      </c>
      <c r="U1741" s="4">
        <f>F1741&amp;"-"&amp;G1741&amp;"-"&amp;F1741</f>
        <v/>
      </c>
      <c r="V1741" s="4">
        <f>IF($M$1741="","",$M$1741)</f>
        <v/>
      </c>
      <c r="W1741" s="4">
        <f>IF($O$1741="","",$O$1741)</f>
        <v/>
      </c>
      <c r="X1741" s="4">
        <f>J1741</f>
        <v/>
      </c>
    </row>
    <row r="1742">
      <c r="B1742" s="4" t="inlineStr">
        <is>
          <t>1951_0</t>
        </is>
      </c>
      <c r="C1742" s="4" t="inlineStr">
        <is>
          <t>22/09/2026</t>
        </is>
      </c>
      <c r="D1742" s="4" t="inlineStr">
        <is>
          <t>martes</t>
        </is>
      </c>
      <c r="E1742" s="4" t="inlineStr">
        <is>
          <t>2277</t>
        </is>
      </c>
      <c r="F1742" s="4" t="inlineStr">
        <is>
          <t>CUZ</t>
        </is>
      </c>
      <c r="G1742" s="4" t="inlineStr">
        <is>
          <t>LIM</t>
        </is>
      </c>
      <c r="H1742" s="4" t="inlineStr">
        <is>
          <t>18:50:00</t>
        </is>
      </c>
      <c r="I1742" s="4" t="inlineStr">
        <is>
          <t>20:25:00</t>
        </is>
      </c>
      <c r="J1742" s="4" t="inlineStr">
        <is>
          <t>320</t>
        </is>
      </c>
      <c r="K1742">
        <f>TEXT(TIMEVALUE(H1742)-TIMEVALUE(I1741)+(TIMEVALUE(H1742)&lt;TIMEVALUE(I1741)),"[h]:mm")</f>
        <v/>
      </c>
      <c r="L1742" s="4" t="inlineStr">
        <is>
          <t>01:35:00</t>
        </is>
      </c>
      <c r="O1742">
        <f>"LIM-"&amp;G1741&amp;"-LIM   LA "&amp;E1741&amp;" ("&amp;LEFT(H1741,5)&amp;"-"&amp;LEFT(I1741,5)&amp;" hrs)  /  LA "&amp;E1742&amp;" ("&amp;LEFT(H1742,5)&amp;"-"&amp;LEFT(I1742,5)&amp;" hrs)"</f>
        <v/>
      </c>
    </row>
    <row r="1743">
      <c r="J1743" s="7" t="inlineStr">
        <is>
          <t>PSV total:</t>
        </is>
      </c>
      <c r="K1743" s="8">
        <f>TEXT(TIMEVALUE(I1742)-TIMEVALUE(H1741)+(I1742&lt;H1741),"[h]:mm")</f>
        <v/>
      </c>
    </row>
    <row r="1745">
      <c r="B1745" s="3" t="inlineStr">
        <is>
          <t>Pairing ID</t>
        </is>
      </c>
      <c r="C1745" s="3" t="inlineStr">
        <is>
          <t>FECHA REAL</t>
        </is>
      </c>
      <c r="D1745" s="3" t="inlineStr">
        <is>
          <t>Day of Week</t>
        </is>
      </c>
      <c r="E1745" s="3" t="inlineStr">
        <is>
          <t>Flight No</t>
        </is>
      </c>
      <c r="F1745" s="3" t="inlineStr">
        <is>
          <t>Dep Stn</t>
        </is>
      </c>
      <c r="G1745" s="3" t="inlineStr">
        <is>
          <t>Arr Stn</t>
        </is>
      </c>
      <c r="H1745" s="3" t="inlineStr">
        <is>
          <t>STD</t>
        </is>
      </c>
      <c r="I1745" s="3" t="inlineStr">
        <is>
          <t>STA</t>
        </is>
      </c>
      <c r="J1745" s="3" t="inlineStr">
        <is>
          <t>subflota</t>
        </is>
      </c>
      <c r="K1745" s="3" t="inlineStr">
        <is>
          <t>Conexion</t>
        </is>
      </c>
      <c r="L1745" s="3" t="inlineStr">
        <is>
          <t>HBT</t>
        </is>
      </c>
    </row>
    <row r="1746">
      <c r="B1746" s="4" t="inlineStr">
        <is>
          <t>1993_0</t>
        </is>
      </c>
      <c r="C1746" s="4" t="inlineStr">
        <is>
          <t>23/09/2026</t>
        </is>
      </c>
      <c r="D1746" s="4" t="inlineStr">
        <is>
          <t>miércoles</t>
        </is>
      </c>
      <c r="E1746" s="4" t="inlineStr">
        <is>
          <t>2013</t>
        </is>
      </c>
      <c r="F1746" s="4" t="inlineStr">
        <is>
          <t>LIM</t>
        </is>
      </c>
      <c r="G1746" s="4" t="inlineStr">
        <is>
          <t>CUZ</t>
        </is>
      </c>
      <c r="H1746" s="4" t="inlineStr">
        <is>
          <t>08:35:00</t>
        </is>
      </c>
      <c r="I1746" s="4" t="inlineStr">
        <is>
          <t>09:55:00</t>
        </is>
      </c>
      <c r="J1746" s="4" t="inlineStr">
        <is>
          <t>319</t>
        </is>
      </c>
      <c r="L1746" s="4" t="inlineStr">
        <is>
          <t>01:20:00</t>
        </is>
      </c>
      <c r="M1746" s="5" t="n"/>
      <c r="O1746" s="5" t="n"/>
      <c r="Q1746" s="4">
        <f>B1746</f>
        <v/>
      </c>
      <c r="R1746" s="4">
        <f>C1746</f>
        <v/>
      </c>
      <c r="S1746" s="4">
        <f>D1746</f>
        <v/>
      </c>
      <c r="T1746" s="4">
        <f>E1746&amp;"/"&amp;E1747</f>
        <v/>
      </c>
      <c r="U1746" s="4">
        <f>F1746&amp;"-"&amp;G1746&amp;"-"&amp;F1746</f>
        <v/>
      </c>
      <c r="V1746" s="4">
        <f>IF($M$1746="","",$M$1746)</f>
        <v/>
      </c>
      <c r="W1746" s="4">
        <f>IF($O$1746="","",$O$1746)</f>
        <v/>
      </c>
      <c r="X1746" s="4">
        <f>J1746</f>
        <v/>
      </c>
    </row>
    <row r="1747">
      <c r="B1747" s="4" t="inlineStr">
        <is>
          <t>1993_0</t>
        </is>
      </c>
      <c r="C1747" s="4" t="inlineStr">
        <is>
          <t>23/09/2026</t>
        </is>
      </c>
      <c r="D1747" s="4" t="inlineStr">
        <is>
          <t>miércoles</t>
        </is>
      </c>
      <c r="E1747" s="4" t="inlineStr">
        <is>
          <t>2014</t>
        </is>
      </c>
      <c r="F1747" s="4" t="inlineStr">
        <is>
          <t>CUZ</t>
        </is>
      </c>
      <c r="G1747" s="4" t="inlineStr">
        <is>
          <t>LIM</t>
        </is>
      </c>
      <c r="H1747" s="4" t="inlineStr">
        <is>
          <t>10:40:00</t>
        </is>
      </c>
      <c r="I1747" s="4" t="inlineStr">
        <is>
          <t>12:15:00</t>
        </is>
      </c>
      <c r="J1747" s="4" t="inlineStr">
        <is>
          <t>319</t>
        </is>
      </c>
      <c r="K1747">
        <f>TEXT(TIMEVALUE(H1747)-TIMEVALUE(I1746)+(TIMEVALUE(H1747)&lt;TIMEVALUE(I1746)),"[h]:mm")</f>
        <v/>
      </c>
      <c r="L1747" s="4" t="inlineStr">
        <is>
          <t>01:35:00</t>
        </is>
      </c>
      <c r="O1747">
        <f>"LIM-"&amp;G1746&amp;"-LIM   LA "&amp;E1746&amp;" ("&amp;LEFT(H1746,5)&amp;"-"&amp;LEFT(I1746,5)&amp;" hrs)  /  LA "&amp;E1747&amp;" ("&amp;LEFT(H1747,5)&amp;"-"&amp;LEFT(I1747,5)&amp;" hrs)"</f>
        <v/>
      </c>
    </row>
    <row r="1748">
      <c r="J1748" s="7" t="inlineStr">
        <is>
          <t>PSV total:</t>
        </is>
      </c>
      <c r="K1748" s="8">
        <f>TEXT(TIMEVALUE(I1747)-TIMEVALUE(H1746)+(I1747&lt;H1746),"[h]:mm")</f>
        <v/>
      </c>
    </row>
    <row r="1750">
      <c r="B1750" s="3" t="inlineStr">
        <is>
          <t>Pairing ID</t>
        </is>
      </c>
      <c r="C1750" s="3" t="inlineStr">
        <is>
          <t>FECHA REAL</t>
        </is>
      </c>
      <c r="D1750" s="3" t="inlineStr">
        <is>
          <t>Day of Week</t>
        </is>
      </c>
      <c r="E1750" s="3" t="inlineStr">
        <is>
          <t>Flight No</t>
        </is>
      </c>
      <c r="F1750" s="3" t="inlineStr">
        <is>
          <t>Dep Stn</t>
        </is>
      </c>
      <c r="G1750" s="3" t="inlineStr">
        <is>
          <t>Arr Stn</t>
        </is>
      </c>
      <c r="H1750" s="3" t="inlineStr">
        <is>
          <t>STD</t>
        </is>
      </c>
      <c r="I1750" s="3" t="inlineStr">
        <is>
          <t>STA</t>
        </is>
      </c>
      <c r="J1750" s="3" t="inlineStr">
        <is>
          <t>subflota</t>
        </is>
      </c>
      <c r="K1750" s="3" t="inlineStr">
        <is>
          <t>Conexion</t>
        </is>
      </c>
      <c r="L1750" s="3" t="inlineStr">
        <is>
          <t>HBT</t>
        </is>
      </c>
    </row>
    <row r="1751">
      <c r="B1751" s="4" t="inlineStr">
        <is>
          <t>1997_0</t>
        </is>
      </c>
      <c r="C1751" s="4" t="inlineStr">
        <is>
          <t>23/09/2026</t>
        </is>
      </c>
      <c r="D1751" s="4" t="inlineStr">
        <is>
          <t>miércoles</t>
        </is>
      </c>
      <c r="E1751" s="4" t="inlineStr">
        <is>
          <t>2007</t>
        </is>
      </c>
      <c r="F1751" s="4" t="inlineStr">
        <is>
          <t>LIM</t>
        </is>
      </c>
      <c r="G1751" s="4" t="inlineStr">
        <is>
          <t>CUZ</t>
        </is>
      </c>
      <c r="H1751" s="4" t="inlineStr">
        <is>
          <t>09:10:00</t>
        </is>
      </c>
      <c r="I1751" s="4" t="inlineStr">
        <is>
          <t>10:30:00</t>
        </is>
      </c>
      <c r="J1751" s="4" t="inlineStr">
        <is>
          <t>319</t>
        </is>
      </c>
      <c r="L1751" s="4" t="inlineStr">
        <is>
          <t>01:20:00</t>
        </is>
      </c>
      <c r="M1751" s="5" t="n"/>
      <c r="O1751" s="5" t="n"/>
      <c r="Q1751" s="4">
        <f>B1751</f>
        <v/>
      </c>
      <c r="R1751" s="4">
        <f>C1751</f>
        <v/>
      </c>
      <c r="S1751" s="4">
        <f>D1751</f>
        <v/>
      </c>
      <c r="T1751" s="4">
        <f>E1751&amp;"/"&amp;E1752</f>
        <v/>
      </c>
      <c r="U1751" s="4">
        <f>F1751&amp;"-"&amp;G1751&amp;"-"&amp;F1751</f>
        <v/>
      </c>
      <c r="V1751" s="4">
        <f>IF($M$1751="","",$M$1751)</f>
        <v/>
      </c>
      <c r="W1751" s="4">
        <f>IF($O$1751="","",$O$1751)</f>
        <v/>
      </c>
      <c r="X1751" s="4">
        <f>J1751</f>
        <v/>
      </c>
    </row>
    <row r="1752">
      <c r="B1752" s="4" t="inlineStr">
        <is>
          <t>1997_0</t>
        </is>
      </c>
      <c r="C1752" s="4" t="inlineStr">
        <is>
          <t>23/09/2026</t>
        </is>
      </c>
      <c r="D1752" s="4" t="inlineStr">
        <is>
          <t>miércoles</t>
        </is>
      </c>
      <c r="E1752" s="4" t="inlineStr">
        <is>
          <t>2008</t>
        </is>
      </c>
      <c r="F1752" s="4" t="inlineStr">
        <is>
          <t>CUZ</t>
        </is>
      </c>
      <c r="G1752" s="4" t="inlineStr">
        <is>
          <t>LIM</t>
        </is>
      </c>
      <c r="H1752" s="4" t="inlineStr">
        <is>
          <t>11:20:00</t>
        </is>
      </c>
      <c r="I1752" s="4" t="inlineStr">
        <is>
          <t>12:55:00</t>
        </is>
      </c>
      <c r="J1752" s="4" t="inlineStr">
        <is>
          <t>319</t>
        </is>
      </c>
      <c r="K1752">
        <f>TEXT(TIMEVALUE(H1752)-TIMEVALUE(I1751)+(TIMEVALUE(H1752)&lt;TIMEVALUE(I1751)),"[h]:mm")</f>
        <v/>
      </c>
      <c r="L1752" s="4" t="inlineStr">
        <is>
          <t>01:35:00</t>
        </is>
      </c>
      <c r="O1752">
        <f>"LIM-"&amp;G1751&amp;"-LIM   LA "&amp;E1751&amp;" ("&amp;LEFT(H1751,5)&amp;"-"&amp;LEFT(I1751,5)&amp;" hrs)  /  LA "&amp;E1752&amp;" ("&amp;LEFT(H1752,5)&amp;"-"&amp;LEFT(I1752,5)&amp;" hrs)"</f>
        <v/>
      </c>
    </row>
    <row r="1753">
      <c r="B1753" s="4" t="inlineStr">
        <is>
          <t>2018_0</t>
        </is>
      </c>
      <c r="C1753" s="4" t="inlineStr">
        <is>
          <t>23/09/2026</t>
        </is>
      </c>
      <c r="D1753" s="4" t="inlineStr">
        <is>
          <t>miércoles</t>
        </is>
      </c>
      <c r="E1753" s="4" t="inlineStr">
        <is>
          <t>2087</t>
        </is>
      </c>
      <c r="F1753" s="4" t="inlineStr">
        <is>
          <t>LIM</t>
        </is>
      </c>
      <c r="G1753" s="4" t="inlineStr">
        <is>
          <t>TPP</t>
        </is>
      </c>
      <c r="H1753" s="4" t="inlineStr">
        <is>
          <t>14:05:00</t>
        </is>
      </c>
      <c r="I1753" s="4" t="inlineStr">
        <is>
          <t>15:30:00</t>
        </is>
      </c>
      <c r="J1753" s="4" t="inlineStr">
        <is>
          <t>320</t>
        </is>
      </c>
      <c r="K1753" s="6">
        <f>TEXT(TIMEVALUE(H1753)-TIMEVALUE(I1752)+(TIMEVALUE(H1753)&lt;TIMEVALUE(I1752)),"[h]:mm")</f>
        <v/>
      </c>
      <c r="L1753" s="4" t="inlineStr">
        <is>
          <t>01:25:00</t>
        </is>
      </c>
      <c r="M1753">
        <f>IF($M$1751="","",$M$1751)</f>
        <v/>
      </c>
      <c r="O1753">
        <f>IF($O$1751="","",$O$1751)</f>
        <v/>
      </c>
      <c r="Q1753" s="4">
        <f>B1753</f>
        <v/>
      </c>
      <c r="R1753" s="4">
        <f>C1753</f>
        <v/>
      </c>
      <c r="S1753" s="4">
        <f>D1753</f>
        <v/>
      </c>
      <c r="T1753" s="4">
        <f>E1753&amp;"/"&amp;E1754</f>
        <v/>
      </c>
      <c r="U1753" s="4">
        <f>F1753&amp;"-"&amp;G1753&amp;"-"&amp;F1753</f>
        <v/>
      </c>
      <c r="V1753" s="4">
        <f>IF($M$1751="","",$M$1751)</f>
        <v/>
      </c>
      <c r="W1753" s="4">
        <f>IF($O$1751="","",$O$1751)</f>
        <v/>
      </c>
      <c r="X1753" s="4">
        <f>J1753</f>
        <v/>
      </c>
    </row>
    <row r="1754">
      <c r="B1754" s="4" t="inlineStr">
        <is>
          <t>2018_0</t>
        </is>
      </c>
      <c r="C1754" s="4" t="inlineStr">
        <is>
          <t>23/09/2026</t>
        </is>
      </c>
      <c r="D1754" s="4" t="inlineStr">
        <is>
          <t>miércoles</t>
        </is>
      </c>
      <c r="E1754" s="4" t="inlineStr">
        <is>
          <t>2088</t>
        </is>
      </c>
      <c r="F1754" s="4" t="inlineStr">
        <is>
          <t>TPP</t>
        </is>
      </c>
      <c r="G1754" s="4" t="inlineStr">
        <is>
          <t>LIM</t>
        </is>
      </c>
      <c r="H1754" s="4" t="inlineStr">
        <is>
          <t>16:05:00</t>
        </is>
      </c>
      <c r="I1754" s="4" t="inlineStr">
        <is>
          <t>17:30:00</t>
        </is>
      </c>
      <c r="J1754" s="4" t="inlineStr">
        <is>
          <t>320</t>
        </is>
      </c>
      <c r="K1754">
        <f>TEXT(TIMEVALUE(H1754)-TIMEVALUE(I1753)+(TIMEVALUE(H1754)&lt;TIMEVALUE(I1753)),"[h]:mm")</f>
        <v/>
      </c>
      <c r="L1754" s="4" t="inlineStr">
        <is>
          <t>01:25:00</t>
        </is>
      </c>
      <c r="O1754">
        <f>"LIM-"&amp;G1753&amp;"-LIM   LA "&amp;E1753&amp;" ("&amp;LEFT(H1753,5)&amp;"-"&amp;LEFT(I1753,5)&amp;" hrs)  /  LA "&amp;E1754&amp;" ("&amp;LEFT(H1754,5)&amp;"-"&amp;LEFT(I1754,5)&amp;" hrs)"</f>
        <v/>
      </c>
    </row>
    <row r="1755">
      <c r="J1755" s="7" t="inlineStr">
        <is>
          <t>PSV total:</t>
        </is>
      </c>
      <c r="K1755" s="8">
        <f>TEXT(TIMEVALUE(I1754)-TIMEVALUE(H1751)+(I1754&lt;H1751),"[h]:mm")</f>
        <v/>
      </c>
    </row>
    <row r="1757">
      <c r="B1757" s="3" t="inlineStr">
        <is>
          <t>Pairing ID</t>
        </is>
      </c>
      <c r="C1757" s="3" t="inlineStr">
        <is>
          <t>FECHA REAL</t>
        </is>
      </c>
      <c r="D1757" s="3" t="inlineStr">
        <is>
          <t>Day of Week</t>
        </is>
      </c>
      <c r="E1757" s="3" t="inlineStr">
        <is>
          <t>Flight No</t>
        </is>
      </c>
      <c r="F1757" s="3" t="inlineStr">
        <is>
          <t>Dep Stn</t>
        </is>
      </c>
      <c r="G1757" s="3" t="inlineStr">
        <is>
          <t>Arr Stn</t>
        </is>
      </c>
      <c r="H1757" s="3" t="inlineStr">
        <is>
          <t>STD</t>
        </is>
      </c>
      <c r="I1757" s="3" t="inlineStr">
        <is>
          <t>STA</t>
        </is>
      </c>
      <c r="J1757" s="3" t="inlineStr">
        <is>
          <t>subflota</t>
        </is>
      </c>
      <c r="K1757" s="3" t="inlineStr">
        <is>
          <t>Conexion</t>
        </is>
      </c>
      <c r="L1757" s="3" t="inlineStr">
        <is>
          <t>HBT</t>
        </is>
      </c>
    </row>
    <row r="1758">
      <c r="B1758" s="4" t="inlineStr">
        <is>
          <t>2002_0</t>
        </is>
      </c>
      <c r="C1758" s="4" t="inlineStr">
        <is>
          <t>23/09/2026</t>
        </is>
      </c>
      <c r="D1758" s="4" t="inlineStr">
        <is>
          <t>miércoles</t>
        </is>
      </c>
      <c r="E1758" s="4" t="inlineStr">
        <is>
          <t>2266</t>
        </is>
      </c>
      <c r="F1758" s="4" t="inlineStr">
        <is>
          <t>LIM</t>
        </is>
      </c>
      <c r="G1758" s="4" t="inlineStr">
        <is>
          <t>CUZ</t>
        </is>
      </c>
      <c r="H1758" s="4" t="inlineStr">
        <is>
          <t>11:10:00</t>
        </is>
      </c>
      <c r="I1758" s="4" t="inlineStr">
        <is>
          <t>12:30:00</t>
        </is>
      </c>
      <c r="J1758" s="4" t="inlineStr">
        <is>
          <t>320</t>
        </is>
      </c>
      <c r="L1758" s="4" t="inlineStr">
        <is>
          <t>01:20:00</t>
        </is>
      </c>
      <c r="M1758" s="5" t="n"/>
      <c r="O1758" s="5" t="n"/>
      <c r="Q1758" s="4">
        <f>B1758</f>
        <v/>
      </c>
      <c r="R1758" s="4">
        <f>C1758</f>
        <v/>
      </c>
      <c r="S1758" s="4">
        <f>D1758</f>
        <v/>
      </c>
      <c r="T1758" s="4">
        <f>E1758&amp;"/"&amp;E1759</f>
        <v/>
      </c>
      <c r="U1758" s="4">
        <f>F1758&amp;"-"&amp;G1758&amp;"-"&amp;F1758</f>
        <v/>
      </c>
      <c r="V1758" s="4">
        <f>IF($M$1758="","",$M$1758)</f>
        <v/>
      </c>
      <c r="W1758" s="4">
        <f>IF($O$1758="","",$O$1758)</f>
        <v/>
      </c>
      <c r="X1758" s="4">
        <f>J1758</f>
        <v/>
      </c>
    </row>
    <row r="1759">
      <c r="B1759" s="4" t="inlineStr">
        <is>
          <t>2002_0</t>
        </is>
      </c>
      <c r="C1759" s="4" t="inlineStr">
        <is>
          <t>23/09/2026</t>
        </is>
      </c>
      <c r="D1759" s="4" t="inlineStr">
        <is>
          <t>miércoles</t>
        </is>
      </c>
      <c r="E1759" s="4" t="inlineStr">
        <is>
          <t>2267</t>
        </is>
      </c>
      <c r="F1759" s="4" t="inlineStr">
        <is>
          <t>CUZ</t>
        </is>
      </c>
      <c r="G1759" s="4" t="inlineStr">
        <is>
          <t>LIM</t>
        </is>
      </c>
      <c r="H1759" s="4" t="inlineStr">
        <is>
          <t>13:10:00</t>
        </is>
      </c>
      <c r="I1759" s="4" t="inlineStr">
        <is>
          <t>14:45:00</t>
        </is>
      </c>
      <c r="J1759" s="4" t="inlineStr">
        <is>
          <t>320</t>
        </is>
      </c>
      <c r="K1759">
        <f>TEXT(TIMEVALUE(H1759)-TIMEVALUE(I1758)+(TIMEVALUE(H1759)&lt;TIMEVALUE(I1758)),"[h]:mm")</f>
        <v/>
      </c>
      <c r="L1759" s="4" t="inlineStr">
        <is>
          <t>01:35:00</t>
        </is>
      </c>
      <c r="O1759">
        <f>"LIM-"&amp;G1758&amp;"-LIM   LA "&amp;E1758&amp;" ("&amp;LEFT(H1758,5)&amp;"-"&amp;LEFT(I1758,5)&amp;" hrs)  /  LA "&amp;E1759&amp;" ("&amp;LEFT(H1759,5)&amp;"-"&amp;LEFT(I1759,5)&amp;" hrs)"</f>
        <v/>
      </c>
    </row>
    <row r="1760">
      <c r="B1760" s="4" t="inlineStr">
        <is>
          <t>2030_0</t>
        </is>
      </c>
      <c r="C1760" s="4" t="inlineStr">
        <is>
          <t>23/09/2026</t>
        </is>
      </c>
      <c r="D1760" s="4" t="inlineStr">
        <is>
          <t>miércoles</t>
        </is>
      </c>
      <c r="E1760" s="4" t="inlineStr">
        <is>
          <t>2301</t>
        </is>
      </c>
      <c r="F1760" s="4" t="inlineStr">
        <is>
          <t>LIM</t>
        </is>
      </c>
      <c r="G1760" s="4" t="inlineStr">
        <is>
          <t>TPP</t>
        </is>
      </c>
      <c r="H1760" s="4" t="inlineStr">
        <is>
          <t>15:40:00</t>
        </is>
      </c>
      <c r="I1760" s="4" t="inlineStr">
        <is>
          <t>17:05:00</t>
        </is>
      </c>
      <c r="J1760" s="4" t="inlineStr">
        <is>
          <t>320</t>
        </is>
      </c>
      <c r="K1760" s="6">
        <f>TEXT(TIMEVALUE(H1760)-TIMEVALUE(I1759)+(TIMEVALUE(H1760)&lt;TIMEVALUE(I1759)),"[h]:mm")</f>
        <v/>
      </c>
      <c r="L1760" s="4" t="inlineStr">
        <is>
          <t>01:25:00</t>
        </is>
      </c>
      <c r="M1760">
        <f>IF($M$1758="","",$M$1758)</f>
        <v/>
      </c>
      <c r="O1760">
        <f>IF($O$1758="","",$O$1758)</f>
        <v/>
      </c>
      <c r="Q1760" s="4">
        <f>B1760</f>
        <v/>
      </c>
      <c r="R1760" s="4">
        <f>C1760</f>
        <v/>
      </c>
      <c r="S1760" s="4">
        <f>D1760</f>
        <v/>
      </c>
      <c r="T1760" s="4">
        <f>E1760&amp;"/"&amp;E1761</f>
        <v/>
      </c>
      <c r="U1760" s="4">
        <f>F1760&amp;"-"&amp;G1760&amp;"-"&amp;F1760</f>
        <v/>
      </c>
      <c r="V1760" s="4">
        <f>IF($M$1758="","",$M$1758)</f>
        <v/>
      </c>
      <c r="W1760" s="4">
        <f>IF($O$1758="","",$O$1758)</f>
        <v/>
      </c>
      <c r="X1760" s="4">
        <f>J1760</f>
        <v/>
      </c>
    </row>
    <row r="1761">
      <c r="B1761" s="4" t="inlineStr">
        <is>
          <t>2030_0</t>
        </is>
      </c>
      <c r="C1761" s="4" t="inlineStr">
        <is>
          <t>23/09/2026</t>
        </is>
      </c>
      <c r="D1761" s="4" t="inlineStr">
        <is>
          <t>miércoles</t>
        </is>
      </c>
      <c r="E1761" s="4" t="inlineStr">
        <is>
          <t>2300</t>
        </is>
      </c>
      <c r="F1761" s="4" t="inlineStr">
        <is>
          <t>TPP</t>
        </is>
      </c>
      <c r="G1761" s="4" t="inlineStr">
        <is>
          <t>LIM</t>
        </is>
      </c>
      <c r="H1761" s="4" t="inlineStr">
        <is>
          <t>17:50:00</t>
        </is>
      </c>
      <c r="I1761" s="4" t="inlineStr">
        <is>
          <t>19:20:00</t>
        </is>
      </c>
      <c r="J1761" s="4" t="inlineStr">
        <is>
          <t>320</t>
        </is>
      </c>
      <c r="K1761">
        <f>TEXT(TIMEVALUE(H1761)-TIMEVALUE(I1760)+(TIMEVALUE(H1761)&lt;TIMEVALUE(I1760)),"[h]:mm")</f>
        <v/>
      </c>
      <c r="L1761" s="4" t="inlineStr">
        <is>
          <t>01:30:00</t>
        </is>
      </c>
      <c r="O1761">
        <f>"LIM-"&amp;G1760&amp;"-LIM   LA "&amp;E1760&amp;" ("&amp;LEFT(H1760,5)&amp;"-"&amp;LEFT(I1760,5)&amp;" hrs)  /  LA "&amp;E1761&amp;" ("&amp;LEFT(H1761,5)&amp;"-"&amp;LEFT(I1761,5)&amp;" hrs)"</f>
        <v/>
      </c>
    </row>
    <row r="1762">
      <c r="J1762" s="7" t="inlineStr">
        <is>
          <t>PSV total:</t>
        </is>
      </c>
      <c r="K1762" s="8">
        <f>TEXT(TIMEVALUE(I1761)-TIMEVALUE(H1758)+(I1761&lt;H1758),"[h]:mm")</f>
        <v/>
      </c>
    </row>
    <row r="1764">
      <c r="B1764" s="3" t="inlineStr">
        <is>
          <t>Pairing ID</t>
        </is>
      </c>
      <c r="C1764" s="3" t="inlineStr">
        <is>
          <t>FECHA REAL</t>
        </is>
      </c>
      <c r="D1764" s="3" t="inlineStr">
        <is>
          <t>Day of Week</t>
        </is>
      </c>
      <c r="E1764" s="3" t="inlineStr">
        <is>
          <t>Flight No</t>
        </is>
      </c>
      <c r="F1764" s="3" t="inlineStr">
        <is>
          <t>Dep Stn</t>
        </is>
      </c>
      <c r="G1764" s="3" t="inlineStr">
        <is>
          <t>Arr Stn</t>
        </is>
      </c>
      <c r="H1764" s="3" t="inlineStr">
        <is>
          <t>STD</t>
        </is>
      </c>
      <c r="I1764" s="3" t="inlineStr">
        <is>
          <t>STA</t>
        </is>
      </c>
      <c r="J1764" s="3" t="inlineStr">
        <is>
          <t>subflota</t>
        </is>
      </c>
      <c r="K1764" s="3" t="inlineStr">
        <is>
          <t>Conexion</t>
        </is>
      </c>
      <c r="L1764" s="3" t="inlineStr">
        <is>
          <t>HBT</t>
        </is>
      </c>
    </row>
    <row r="1765">
      <c r="B1765" s="4" t="inlineStr">
        <is>
          <t>2006_0</t>
        </is>
      </c>
      <c r="C1765" s="4" t="inlineStr">
        <is>
          <t>23/09/2026</t>
        </is>
      </c>
      <c r="D1765" s="4" t="inlineStr">
        <is>
          <t>miércoles</t>
        </is>
      </c>
      <c r="E1765" s="4" t="inlineStr">
        <is>
          <t>2061</t>
        </is>
      </c>
      <c r="F1765" s="4" t="inlineStr">
        <is>
          <t>LIM</t>
        </is>
      </c>
      <c r="G1765" s="4" t="inlineStr">
        <is>
          <t>CUZ</t>
        </is>
      </c>
      <c r="H1765" s="4" t="inlineStr">
        <is>
          <t>11:40:00</t>
        </is>
      </c>
      <c r="I1765" s="4" t="inlineStr">
        <is>
          <t>13:00:00</t>
        </is>
      </c>
      <c r="J1765" s="4" t="inlineStr">
        <is>
          <t>320</t>
        </is>
      </c>
      <c r="L1765" s="4" t="inlineStr">
        <is>
          <t>01:20:00</t>
        </is>
      </c>
      <c r="M1765" s="5" t="n"/>
      <c r="O1765" s="5" t="n"/>
      <c r="Q1765" s="4">
        <f>B1765</f>
        <v/>
      </c>
      <c r="R1765" s="4">
        <f>C1765</f>
        <v/>
      </c>
      <c r="S1765" s="4">
        <f>D1765</f>
        <v/>
      </c>
      <c r="T1765" s="4">
        <f>E1765&amp;"/"&amp;E1766</f>
        <v/>
      </c>
      <c r="U1765" s="4">
        <f>F1765&amp;"-"&amp;G1765&amp;"-"&amp;F1765</f>
        <v/>
      </c>
      <c r="V1765" s="4">
        <f>IF($M$1765="","",$M$1765)</f>
        <v/>
      </c>
      <c r="W1765" s="4">
        <f>IF($O$1765="","",$O$1765)</f>
        <v/>
      </c>
      <c r="X1765" s="4">
        <f>J1765</f>
        <v/>
      </c>
    </row>
    <row r="1766">
      <c r="B1766" s="4" t="inlineStr">
        <is>
          <t>2006_0</t>
        </is>
      </c>
      <c r="C1766" s="4" t="inlineStr">
        <is>
          <t>23/09/2026</t>
        </is>
      </c>
      <c r="D1766" s="4" t="inlineStr">
        <is>
          <t>miércoles</t>
        </is>
      </c>
      <c r="E1766" s="4" t="inlineStr">
        <is>
          <t>2062</t>
        </is>
      </c>
      <c r="F1766" s="4" t="inlineStr">
        <is>
          <t>CUZ</t>
        </is>
      </c>
      <c r="G1766" s="4" t="inlineStr">
        <is>
          <t>LIM</t>
        </is>
      </c>
      <c r="H1766" s="4" t="inlineStr">
        <is>
          <t>13:40:00</t>
        </is>
      </c>
      <c r="I1766" s="4" t="inlineStr">
        <is>
          <t>15:15:00</t>
        </is>
      </c>
      <c r="J1766" s="4" t="inlineStr">
        <is>
          <t>320</t>
        </is>
      </c>
      <c r="K1766">
        <f>TEXT(TIMEVALUE(H1766)-TIMEVALUE(I1765)+(TIMEVALUE(H1766)&lt;TIMEVALUE(I1765)),"[h]:mm")</f>
        <v/>
      </c>
      <c r="L1766" s="4" t="inlineStr">
        <is>
          <t>01:35:00</t>
        </is>
      </c>
      <c r="O1766">
        <f>"LIM-"&amp;G1765&amp;"-LIM   LA "&amp;E1765&amp;" ("&amp;LEFT(H1765,5)&amp;"-"&amp;LEFT(I1765,5)&amp;" hrs)  /  LA "&amp;E1766&amp;" ("&amp;LEFT(H1766,5)&amp;"-"&amp;LEFT(I1766,5)&amp;" hrs)"</f>
        <v/>
      </c>
    </row>
    <row r="1767">
      <c r="B1767" s="4" t="inlineStr">
        <is>
          <t>2034_0</t>
        </is>
      </c>
      <c r="C1767" s="4" t="inlineStr">
        <is>
          <t>23/09/2026</t>
        </is>
      </c>
      <c r="D1767" s="4" t="inlineStr">
        <is>
          <t>miércoles</t>
        </is>
      </c>
      <c r="E1767" s="4" t="inlineStr">
        <is>
          <t>2127</t>
        </is>
      </c>
      <c r="F1767" s="4" t="inlineStr">
        <is>
          <t>LIM</t>
        </is>
      </c>
      <c r="G1767" s="4" t="inlineStr">
        <is>
          <t>CUZ</t>
        </is>
      </c>
      <c r="H1767" s="4" t="inlineStr">
        <is>
          <t>16:10:00</t>
        </is>
      </c>
      <c r="I1767" s="4" t="inlineStr">
        <is>
          <t>17:30:00</t>
        </is>
      </c>
      <c r="J1767" s="4" t="inlineStr">
        <is>
          <t>320</t>
        </is>
      </c>
      <c r="K1767" s="6">
        <f>TEXT(TIMEVALUE(H1767)-TIMEVALUE(I1766)+(TIMEVALUE(H1767)&lt;TIMEVALUE(I1766)),"[h]:mm")</f>
        <v/>
      </c>
      <c r="L1767" s="4" t="inlineStr">
        <is>
          <t>01:20:00</t>
        </is>
      </c>
      <c r="M1767">
        <f>IF($M$1765="","",$M$1765)</f>
        <v/>
      </c>
      <c r="O1767">
        <f>IF($O$1765="","",$O$1765)</f>
        <v/>
      </c>
      <c r="Q1767" s="4">
        <f>B1767</f>
        <v/>
      </c>
      <c r="R1767" s="4">
        <f>C1767</f>
        <v/>
      </c>
      <c r="S1767" s="4">
        <f>D1767</f>
        <v/>
      </c>
      <c r="T1767" s="4">
        <f>E1767&amp;"/"&amp;E1768</f>
        <v/>
      </c>
      <c r="U1767" s="4">
        <f>F1767&amp;"-"&amp;G1767&amp;"-"&amp;F1767</f>
        <v/>
      </c>
      <c r="V1767" s="4">
        <f>IF($M$1765="","",$M$1765)</f>
        <v/>
      </c>
      <c r="W1767" s="4">
        <f>IF($O$1765="","",$O$1765)</f>
        <v/>
      </c>
      <c r="X1767" s="4">
        <f>J1767</f>
        <v/>
      </c>
    </row>
    <row r="1768">
      <c r="B1768" s="4" t="inlineStr">
        <is>
          <t>2034_0</t>
        </is>
      </c>
      <c r="C1768" s="4" t="inlineStr">
        <is>
          <t>23/09/2026</t>
        </is>
      </c>
      <c r="D1768" s="4" t="inlineStr">
        <is>
          <t>miércoles</t>
        </is>
      </c>
      <c r="E1768" s="4" t="inlineStr">
        <is>
          <t>2026</t>
        </is>
      </c>
      <c r="F1768" s="4" t="inlineStr">
        <is>
          <t>CUZ</t>
        </is>
      </c>
      <c r="G1768" s="4" t="inlineStr">
        <is>
          <t>LIM</t>
        </is>
      </c>
      <c r="H1768" s="4" t="inlineStr">
        <is>
          <t>18:10:00</t>
        </is>
      </c>
      <c r="I1768" s="4" t="inlineStr">
        <is>
          <t>19:50:00</t>
        </is>
      </c>
      <c r="J1768" s="4" t="inlineStr">
        <is>
          <t>320</t>
        </is>
      </c>
      <c r="K1768">
        <f>TEXT(TIMEVALUE(H1768)-TIMEVALUE(I1767)+(TIMEVALUE(H1768)&lt;TIMEVALUE(I1767)),"[h]:mm")</f>
        <v/>
      </c>
      <c r="L1768" s="4" t="inlineStr">
        <is>
          <t>01:40:00</t>
        </is>
      </c>
      <c r="O1768">
        <f>"LIM-"&amp;G1767&amp;"-LIM   LA "&amp;E1767&amp;" ("&amp;LEFT(H1767,5)&amp;"-"&amp;LEFT(I1767,5)&amp;" hrs)  /  LA "&amp;E1768&amp;" ("&amp;LEFT(H1768,5)&amp;"-"&amp;LEFT(I1768,5)&amp;" hrs)"</f>
        <v/>
      </c>
    </row>
    <row r="1769">
      <c r="J1769" s="7" t="inlineStr">
        <is>
          <t>PSV total:</t>
        </is>
      </c>
      <c r="K1769" s="8">
        <f>TEXT(TIMEVALUE(I1768)-TIMEVALUE(H1765)+(I1768&lt;H1765),"[h]:mm")</f>
        <v/>
      </c>
    </row>
    <row r="1771">
      <c r="B1771" s="3" t="inlineStr">
        <is>
          <t>Pairing ID</t>
        </is>
      </c>
      <c r="C1771" s="3" t="inlineStr">
        <is>
          <t>FECHA REAL</t>
        </is>
      </c>
      <c r="D1771" s="3" t="inlineStr">
        <is>
          <t>Day of Week</t>
        </is>
      </c>
      <c r="E1771" s="3" t="inlineStr">
        <is>
          <t>Flight No</t>
        </is>
      </c>
      <c r="F1771" s="3" t="inlineStr">
        <is>
          <t>Dep Stn</t>
        </is>
      </c>
      <c r="G1771" s="3" t="inlineStr">
        <is>
          <t>Arr Stn</t>
        </is>
      </c>
      <c r="H1771" s="3" t="inlineStr">
        <is>
          <t>STD</t>
        </is>
      </c>
      <c r="I1771" s="3" t="inlineStr">
        <is>
          <t>STA</t>
        </is>
      </c>
      <c r="J1771" s="3" t="inlineStr">
        <is>
          <t>subflota</t>
        </is>
      </c>
      <c r="K1771" s="3" t="inlineStr">
        <is>
          <t>Conexion</t>
        </is>
      </c>
      <c r="L1771" s="3" t="inlineStr">
        <is>
          <t>HBT</t>
        </is>
      </c>
    </row>
    <row r="1772">
      <c r="B1772" s="4" t="inlineStr">
        <is>
          <t>2008_0</t>
        </is>
      </c>
      <c r="C1772" s="4" t="inlineStr">
        <is>
          <t>23/09/2026</t>
        </is>
      </c>
      <c r="D1772" s="4" t="inlineStr">
        <is>
          <t>miércoles</t>
        </is>
      </c>
      <c r="E1772" s="4" t="inlineStr">
        <is>
          <t>2023</t>
        </is>
      </c>
      <c r="F1772" s="4" t="inlineStr">
        <is>
          <t>LIM</t>
        </is>
      </c>
      <c r="G1772" s="4" t="inlineStr">
        <is>
          <t>PEM</t>
        </is>
      </c>
      <c r="H1772" s="4" t="inlineStr">
        <is>
          <t>12:15:00</t>
        </is>
      </c>
      <c r="I1772" s="4" t="inlineStr">
        <is>
          <t>13:55:00</t>
        </is>
      </c>
      <c r="J1772" s="4" t="inlineStr">
        <is>
          <t>319</t>
        </is>
      </c>
      <c r="L1772" s="4" t="inlineStr">
        <is>
          <t>01:40:00</t>
        </is>
      </c>
      <c r="M1772" s="5" t="n"/>
      <c r="O1772" s="5" t="n"/>
      <c r="Q1772" s="4">
        <f>B1772</f>
        <v/>
      </c>
      <c r="R1772" s="4">
        <f>C1772</f>
        <v/>
      </c>
      <c r="S1772" s="4">
        <f>D1772</f>
        <v/>
      </c>
      <c r="T1772" s="4">
        <f>E1772&amp;"/"&amp;E1773</f>
        <v/>
      </c>
      <c r="U1772" s="4">
        <f>F1772&amp;"-"&amp;G1772&amp;"-"&amp;F1772</f>
        <v/>
      </c>
      <c r="V1772" s="4">
        <f>IF($M$1772="","",$M$1772)</f>
        <v/>
      </c>
      <c r="W1772" s="4">
        <f>IF($O$1772="","",$O$1772)</f>
        <v/>
      </c>
      <c r="X1772" s="4">
        <f>J1772</f>
        <v/>
      </c>
    </row>
    <row r="1773">
      <c r="B1773" s="4" t="inlineStr">
        <is>
          <t>2008_0</t>
        </is>
      </c>
      <c r="C1773" s="4" t="inlineStr">
        <is>
          <t>23/09/2026</t>
        </is>
      </c>
      <c r="D1773" s="4" t="inlineStr">
        <is>
          <t>miércoles</t>
        </is>
      </c>
      <c r="E1773" s="4" t="inlineStr">
        <is>
          <t>2024</t>
        </is>
      </c>
      <c r="F1773" s="4" t="inlineStr">
        <is>
          <t>PEM</t>
        </is>
      </c>
      <c r="G1773" s="4" t="inlineStr">
        <is>
          <t>LIM</t>
        </is>
      </c>
      <c r="H1773" s="4" t="inlineStr">
        <is>
          <t>14:35:00</t>
        </is>
      </c>
      <c r="I1773" s="4" t="inlineStr">
        <is>
          <t>16:10:00</t>
        </is>
      </c>
      <c r="J1773" s="4" t="inlineStr">
        <is>
          <t>319</t>
        </is>
      </c>
      <c r="K1773">
        <f>TEXT(TIMEVALUE(H1773)-TIMEVALUE(I1772)+(TIMEVALUE(H1773)&lt;TIMEVALUE(I1772)),"[h]:mm")</f>
        <v/>
      </c>
      <c r="L1773" s="4" t="inlineStr">
        <is>
          <t>01:35:00</t>
        </is>
      </c>
      <c r="O1773">
        <f>"LIM-"&amp;G1772&amp;"-LIM   LA "&amp;E1772&amp;" ("&amp;LEFT(H1772,5)&amp;"-"&amp;LEFT(I1772,5)&amp;" hrs)  /  LA "&amp;E1773&amp;" ("&amp;LEFT(H1773,5)&amp;"-"&amp;LEFT(I1773,5)&amp;" hrs)"</f>
        <v/>
      </c>
    </row>
    <row r="1774">
      <c r="B1774" s="4" t="inlineStr">
        <is>
          <t>2036_0</t>
        </is>
      </c>
      <c r="C1774" s="4" t="inlineStr">
        <is>
          <t>23/09/2026</t>
        </is>
      </c>
      <c r="D1774" s="4" t="inlineStr">
        <is>
          <t>miércoles</t>
        </is>
      </c>
      <c r="E1774" s="4" t="inlineStr">
        <is>
          <t>2213</t>
        </is>
      </c>
      <c r="F1774" s="4" t="inlineStr">
        <is>
          <t>LIM</t>
        </is>
      </c>
      <c r="G1774" s="4" t="inlineStr">
        <is>
          <t>CIX</t>
        </is>
      </c>
      <c r="H1774" s="4" t="inlineStr">
        <is>
          <t>17:20:00</t>
        </is>
      </c>
      <c r="I1774" s="4" t="inlineStr">
        <is>
          <t>18:50:00</t>
        </is>
      </c>
      <c r="J1774" s="4" t="inlineStr">
        <is>
          <t>319</t>
        </is>
      </c>
      <c r="K1774" s="6">
        <f>TEXT(TIMEVALUE(H1774)-TIMEVALUE(I1773)+(TIMEVALUE(H1774)&lt;TIMEVALUE(I1773)),"[h]:mm")</f>
        <v/>
      </c>
      <c r="L1774" s="4" t="inlineStr">
        <is>
          <t>01:30:00</t>
        </is>
      </c>
      <c r="M1774">
        <f>IF($M$1772="","",$M$1772)</f>
        <v/>
      </c>
      <c r="O1774">
        <f>IF($O$1772="","",$O$1772)</f>
        <v/>
      </c>
      <c r="Q1774" s="4">
        <f>B1774</f>
        <v/>
      </c>
      <c r="R1774" s="4">
        <f>C1774</f>
        <v/>
      </c>
      <c r="S1774" s="4">
        <f>D1774</f>
        <v/>
      </c>
      <c r="T1774" s="4">
        <f>E1774&amp;"/"&amp;E1775</f>
        <v/>
      </c>
      <c r="U1774" s="4">
        <f>F1774&amp;"-"&amp;G1774&amp;"-"&amp;F1774</f>
        <v/>
      </c>
      <c r="V1774" s="4">
        <f>IF($M$1772="","",$M$1772)</f>
        <v/>
      </c>
      <c r="W1774" s="4">
        <f>IF($O$1772="","",$O$1772)</f>
        <v/>
      </c>
      <c r="X1774" s="4">
        <f>J1774</f>
        <v/>
      </c>
    </row>
    <row r="1775">
      <c r="B1775" s="4" t="inlineStr">
        <is>
          <t>2036_0</t>
        </is>
      </c>
      <c r="C1775" s="4" t="inlineStr">
        <is>
          <t>23/09/2026</t>
        </is>
      </c>
      <c r="D1775" s="4" t="inlineStr">
        <is>
          <t>miércoles</t>
        </is>
      </c>
      <c r="E1775" s="4" t="inlineStr">
        <is>
          <t>2214</t>
        </is>
      </c>
      <c r="F1775" s="4" t="inlineStr">
        <is>
          <t>CIX</t>
        </is>
      </c>
      <c r="G1775" s="4" t="inlineStr">
        <is>
          <t>LIM</t>
        </is>
      </c>
      <c r="H1775" s="4" t="inlineStr">
        <is>
          <t>19:25:00</t>
        </is>
      </c>
      <c r="I1775" s="4" t="inlineStr">
        <is>
          <t>20:40:00</t>
        </is>
      </c>
      <c r="J1775" s="4" t="inlineStr">
        <is>
          <t>319</t>
        </is>
      </c>
      <c r="K1775">
        <f>TEXT(TIMEVALUE(H1775)-TIMEVALUE(I1774)+(TIMEVALUE(H1775)&lt;TIMEVALUE(I1774)),"[h]:mm")</f>
        <v/>
      </c>
      <c r="L1775" s="4" t="inlineStr">
        <is>
          <t>01:15:00</t>
        </is>
      </c>
      <c r="O1775">
        <f>"LIM-"&amp;G1774&amp;"-LIM   LA "&amp;E1774&amp;" ("&amp;LEFT(H1774,5)&amp;"-"&amp;LEFT(I1774,5)&amp;" hrs)  /  LA "&amp;E1775&amp;" ("&amp;LEFT(H1775,5)&amp;"-"&amp;LEFT(I1775,5)&amp;" hrs)"</f>
        <v/>
      </c>
    </row>
    <row r="1776">
      <c r="J1776" s="7" t="inlineStr">
        <is>
          <t>PSV total:</t>
        </is>
      </c>
      <c r="K1776" s="8">
        <f>TEXT(TIMEVALUE(I1775)-TIMEVALUE(H1772)+(I1775&lt;H1772),"[h]:mm")</f>
        <v/>
      </c>
    </row>
    <row r="1778">
      <c r="B1778" s="3" t="inlineStr">
        <is>
          <t>Pairing ID</t>
        </is>
      </c>
      <c r="C1778" s="3" t="inlineStr">
        <is>
          <t>FECHA REAL</t>
        </is>
      </c>
      <c r="D1778" s="3" t="inlineStr">
        <is>
          <t>Day of Week</t>
        </is>
      </c>
      <c r="E1778" s="3" t="inlineStr">
        <is>
          <t>Flight No</t>
        </is>
      </c>
      <c r="F1778" s="3" t="inlineStr">
        <is>
          <t>Dep Stn</t>
        </is>
      </c>
      <c r="G1778" s="3" t="inlineStr">
        <is>
          <t>Arr Stn</t>
        </is>
      </c>
      <c r="H1778" s="3" t="inlineStr">
        <is>
          <t>STD</t>
        </is>
      </c>
      <c r="I1778" s="3" t="inlineStr">
        <is>
          <t>STA</t>
        </is>
      </c>
      <c r="J1778" s="3" t="inlineStr">
        <is>
          <t>subflota</t>
        </is>
      </c>
      <c r="K1778" s="3" t="inlineStr">
        <is>
          <t>Conexion</t>
        </is>
      </c>
      <c r="L1778" s="3" t="inlineStr">
        <is>
          <t>HBT</t>
        </is>
      </c>
    </row>
    <row r="1779">
      <c r="B1779" s="4" t="inlineStr">
        <is>
          <t>2011_0</t>
        </is>
      </c>
      <c r="C1779" s="4" t="inlineStr">
        <is>
          <t>23/09/2026</t>
        </is>
      </c>
      <c r="D1779" s="4" t="inlineStr">
        <is>
          <t>miércoles</t>
        </is>
      </c>
      <c r="E1779" s="4" t="inlineStr">
        <is>
          <t>2308</t>
        </is>
      </c>
      <c r="F1779" s="4" t="inlineStr">
        <is>
          <t>LIM</t>
        </is>
      </c>
      <c r="G1779" s="4" t="inlineStr">
        <is>
          <t>PIU</t>
        </is>
      </c>
      <c r="H1779" s="4" t="inlineStr">
        <is>
          <t>12:50:00</t>
        </is>
      </c>
      <c r="I1779" s="4" t="inlineStr">
        <is>
          <t>14:35:00</t>
        </is>
      </c>
      <c r="J1779" s="4" t="inlineStr">
        <is>
          <t>319</t>
        </is>
      </c>
      <c r="L1779" s="4" t="inlineStr">
        <is>
          <t>01:45:00</t>
        </is>
      </c>
      <c r="M1779" s="5" t="n"/>
      <c r="O1779" s="5" t="n"/>
      <c r="Q1779" s="4">
        <f>B1779</f>
        <v/>
      </c>
      <c r="R1779" s="4">
        <f>C1779</f>
        <v/>
      </c>
      <c r="S1779" s="4">
        <f>D1779</f>
        <v/>
      </c>
      <c r="T1779" s="4">
        <f>E1779&amp;"/"&amp;E1780</f>
        <v/>
      </c>
      <c r="U1779" s="4">
        <f>F1779&amp;"-"&amp;G1779&amp;"-"&amp;F1779</f>
        <v/>
      </c>
      <c r="V1779" s="4">
        <f>IF($M$1779="","",$M$1779)</f>
        <v/>
      </c>
      <c r="W1779" s="4">
        <f>IF($O$1779="","",$O$1779)</f>
        <v/>
      </c>
      <c r="X1779" s="4">
        <f>J1779</f>
        <v/>
      </c>
    </row>
    <row r="1780">
      <c r="B1780" s="4" t="inlineStr">
        <is>
          <t>2011_0</t>
        </is>
      </c>
      <c r="C1780" s="4" t="inlineStr">
        <is>
          <t>23/09/2026</t>
        </is>
      </c>
      <c r="D1780" s="4" t="inlineStr">
        <is>
          <t>miércoles</t>
        </is>
      </c>
      <c r="E1780" s="4" t="inlineStr">
        <is>
          <t>2309</t>
        </is>
      </c>
      <c r="F1780" s="4" t="inlineStr">
        <is>
          <t>PIU</t>
        </is>
      </c>
      <c r="G1780" s="4" t="inlineStr">
        <is>
          <t>LIM</t>
        </is>
      </c>
      <c r="H1780" s="4" t="inlineStr">
        <is>
          <t>15:25:00</t>
        </is>
      </c>
      <c r="I1780" s="4" t="inlineStr">
        <is>
          <t>16:55:00</t>
        </is>
      </c>
      <c r="J1780" s="4" t="inlineStr">
        <is>
          <t>319</t>
        </is>
      </c>
      <c r="K1780">
        <f>TEXT(TIMEVALUE(H1780)-TIMEVALUE(I1779)+(TIMEVALUE(H1780)&lt;TIMEVALUE(I1779)),"[h]:mm")</f>
        <v/>
      </c>
      <c r="L1780" s="4" t="inlineStr">
        <is>
          <t>01:30:00</t>
        </is>
      </c>
      <c r="O1780">
        <f>"LIM-"&amp;G1779&amp;"-LIM   LA "&amp;E1779&amp;" ("&amp;LEFT(H1779,5)&amp;"-"&amp;LEFT(I1779,5)&amp;" hrs)  /  LA "&amp;E1780&amp;" ("&amp;LEFT(H1780,5)&amp;"-"&amp;LEFT(I1780,5)&amp;" hrs)"</f>
        <v/>
      </c>
    </row>
    <row r="1781">
      <c r="B1781" s="4" t="inlineStr">
        <is>
          <t>2037_0</t>
        </is>
      </c>
      <c r="C1781" s="4" t="inlineStr">
        <is>
          <t>23/09/2026</t>
        </is>
      </c>
      <c r="D1781" s="4" t="inlineStr">
        <is>
          <t>miércoles</t>
        </is>
      </c>
      <c r="E1781" s="4" t="inlineStr">
        <is>
          <t>2310</t>
        </is>
      </c>
      <c r="F1781" s="4" t="inlineStr">
        <is>
          <t>LIM</t>
        </is>
      </c>
      <c r="G1781" s="4" t="inlineStr">
        <is>
          <t>CIX</t>
        </is>
      </c>
      <c r="H1781" s="4" t="inlineStr">
        <is>
          <t>18:20:00</t>
        </is>
      </c>
      <c r="I1781" s="4" t="inlineStr">
        <is>
          <t>19:45:00</t>
        </is>
      </c>
      <c r="J1781" s="4" t="inlineStr">
        <is>
          <t>320</t>
        </is>
      </c>
      <c r="K1781" s="6">
        <f>TEXT(TIMEVALUE(H1781)-TIMEVALUE(I1780)+(TIMEVALUE(H1781)&lt;TIMEVALUE(I1780)),"[h]:mm")</f>
        <v/>
      </c>
      <c r="L1781" s="4" t="inlineStr">
        <is>
          <t>01:25:00</t>
        </is>
      </c>
      <c r="M1781">
        <f>IF($M$1779="","",$M$1779)</f>
        <v/>
      </c>
      <c r="O1781">
        <f>IF($O$1779="","",$O$1779)</f>
        <v/>
      </c>
      <c r="Q1781" s="4">
        <f>B1781</f>
        <v/>
      </c>
      <c r="R1781" s="4">
        <f>C1781</f>
        <v/>
      </c>
      <c r="S1781" s="4">
        <f>D1781</f>
        <v/>
      </c>
      <c r="T1781" s="4">
        <f>E1781&amp;"/"&amp;E1782</f>
        <v/>
      </c>
      <c r="U1781" s="4">
        <f>F1781&amp;"-"&amp;G1781&amp;"-"&amp;F1781</f>
        <v/>
      </c>
      <c r="V1781" s="4">
        <f>IF($M$1779="","",$M$1779)</f>
        <v/>
      </c>
      <c r="W1781" s="4">
        <f>IF($O$1779="","",$O$1779)</f>
        <v/>
      </c>
      <c r="X1781" s="4">
        <f>J1781</f>
        <v/>
      </c>
    </row>
    <row r="1782">
      <c r="B1782" s="4" t="inlineStr">
        <is>
          <t>2037_0</t>
        </is>
      </c>
      <c r="C1782" s="4" t="inlineStr">
        <is>
          <t>23/09/2026</t>
        </is>
      </c>
      <c r="D1782" s="4" t="inlineStr">
        <is>
          <t>miércoles</t>
        </is>
      </c>
      <c r="E1782" s="4" t="inlineStr">
        <is>
          <t>2311</t>
        </is>
      </c>
      <c r="F1782" s="4" t="inlineStr">
        <is>
          <t>CIX</t>
        </is>
      </c>
      <c r="G1782" s="4" t="inlineStr">
        <is>
          <t>LIM</t>
        </is>
      </c>
      <c r="H1782" s="4" t="inlineStr">
        <is>
          <t>20:20:00</t>
        </is>
      </c>
      <c r="I1782" s="4" t="inlineStr">
        <is>
          <t>21:35:00</t>
        </is>
      </c>
      <c r="J1782" s="4" t="inlineStr">
        <is>
          <t>320</t>
        </is>
      </c>
      <c r="K1782">
        <f>TEXT(TIMEVALUE(H1782)-TIMEVALUE(I1781)+(TIMEVALUE(H1782)&lt;TIMEVALUE(I1781)),"[h]:mm")</f>
        <v/>
      </c>
      <c r="L1782" s="4" t="inlineStr">
        <is>
          <t>01:15:00</t>
        </is>
      </c>
      <c r="O1782">
        <f>"LIM-"&amp;G1781&amp;"-LIM   LA "&amp;E1781&amp;" ("&amp;LEFT(H1781,5)&amp;"-"&amp;LEFT(I1781,5)&amp;" hrs)  /  LA "&amp;E1782&amp;" ("&amp;LEFT(H1782,5)&amp;"-"&amp;LEFT(I1782,5)&amp;" hrs)"</f>
        <v/>
      </c>
    </row>
    <row r="1783">
      <c r="J1783" s="7" t="inlineStr">
        <is>
          <t>PSV total:</t>
        </is>
      </c>
      <c r="K1783" s="8">
        <f>TEXT(TIMEVALUE(I1782)-TIMEVALUE(H1779)+(I1782&lt;H1779),"[h]:mm")</f>
        <v/>
      </c>
    </row>
    <row r="1785">
      <c r="B1785" s="3" t="inlineStr">
        <is>
          <t>Pairing ID</t>
        </is>
      </c>
      <c r="C1785" s="3" t="inlineStr">
        <is>
          <t>FECHA REAL</t>
        </is>
      </c>
      <c r="D1785" s="3" t="inlineStr">
        <is>
          <t>Day of Week</t>
        </is>
      </c>
      <c r="E1785" s="3" t="inlineStr">
        <is>
          <t>Flight No</t>
        </is>
      </c>
      <c r="F1785" s="3" t="inlineStr">
        <is>
          <t>Dep Stn</t>
        </is>
      </c>
      <c r="G1785" s="3" t="inlineStr">
        <is>
          <t>Arr Stn</t>
        </is>
      </c>
      <c r="H1785" s="3" t="inlineStr">
        <is>
          <t>STD</t>
        </is>
      </c>
      <c r="I1785" s="3" t="inlineStr">
        <is>
          <t>STA</t>
        </is>
      </c>
      <c r="J1785" s="3" t="inlineStr">
        <is>
          <t>subflota</t>
        </is>
      </c>
      <c r="K1785" s="3" t="inlineStr">
        <is>
          <t>Conexion</t>
        </is>
      </c>
      <c r="L1785" s="3" t="inlineStr">
        <is>
          <t>HBT</t>
        </is>
      </c>
    </row>
    <row r="1786">
      <c r="B1786" s="4" t="inlineStr">
        <is>
          <t>2016_0</t>
        </is>
      </c>
      <c r="C1786" s="4" t="inlineStr">
        <is>
          <t>23/09/2026</t>
        </is>
      </c>
      <c r="D1786" s="4" t="inlineStr">
        <is>
          <t>miércoles</t>
        </is>
      </c>
      <c r="E1786" s="4" t="inlineStr">
        <is>
          <t>2067</t>
        </is>
      </c>
      <c r="F1786" s="4" t="inlineStr">
        <is>
          <t>LIM</t>
        </is>
      </c>
      <c r="G1786" s="4" t="inlineStr">
        <is>
          <t>TCQ</t>
        </is>
      </c>
      <c r="H1786" s="4" t="inlineStr">
        <is>
          <t>13:45:00</t>
        </is>
      </c>
      <c r="I1786" s="4" t="inlineStr">
        <is>
          <t>15:35:00</t>
        </is>
      </c>
      <c r="J1786" s="4" t="inlineStr">
        <is>
          <t>320</t>
        </is>
      </c>
      <c r="L1786" s="4" t="inlineStr">
        <is>
          <t>01:50:00</t>
        </is>
      </c>
      <c r="M1786" s="5" t="n"/>
      <c r="O1786" s="5" t="n"/>
      <c r="Q1786" s="4">
        <f>B1786</f>
        <v/>
      </c>
      <c r="R1786" s="4">
        <f>C1786</f>
        <v/>
      </c>
      <c r="S1786" s="4">
        <f>D1786</f>
        <v/>
      </c>
      <c r="T1786" s="4">
        <f>E1786&amp;"/"&amp;E1787</f>
        <v/>
      </c>
      <c r="U1786" s="4">
        <f>F1786&amp;"-"&amp;G1786&amp;"-"&amp;F1786</f>
        <v/>
      </c>
      <c r="V1786" s="4">
        <f>IF($M$1786="","",$M$1786)</f>
        <v/>
      </c>
      <c r="W1786" s="4">
        <f>IF($O$1786="","",$O$1786)</f>
        <v/>
      </c>
      <c r="X1786" s="4">
        <f>J1786</f>
        <v/>
      </c>
    </row>
    <row r="1787">
      <c r="B1787" s="4" t="inlineStr">
        <is>
          <t>2016_0</t>
        </is>
      </c>
      <c r="C1787" s="4" t="inlineStr">
        <is>
          <t>23/09/2026</t>
        </is>
      </c>
      <c r="D1787" s="4" t="inlineStr">
        <is>
          <t>miércoles</t>
        </is>
      </c>
      <c r="E1787" s="4" t="inlineStr">
        <is>
          <t>2068</t>
        </is>
      </c>
      <c r="F1787" s="4" t="inlineStr">
        <is>
          <t>TCQ</t>
        </is>
      </c>
      <c r="G1787" s="4" t="inlineStr">
        <is>
          <t>LIM</t>
        </is>
      </c>
      <c r="H1787" s="4" t="inlineStr">
        <is>
          <t>16:20:00</t>
        </is>
      </c>
      <c r="I1787" s="4" t="inlineStr">
        <is>
          <t>18:15:00</t>
        </is>
      </c>
      <c r="J1787" s="4" t="inlineStr">
        <is>
          <t>320</t>
        </is>
      </c>
      <c r="K1787">
        <f>TEXT(TIMEVALUE(H1787)-TIMEVALUE(I1786)+(TIMEVALUE(H1787)&lt;TIMEVALUE(I1786)),"[h]:mm")</f>
        <v/>
      </c>
      <c r="L1787" s="4" t="inlineStr">
        <is>
          <t>01:55:00</t>
        </is>
      </c>
      <c r="O1787">
        <f>"LIM-"&amp;G1786&amp;"-LIM   LA "&amp;E1786&amp;" ("&amp;LEFT(H1786,5)&amp;"-"&amp;LEFT(I1786,5)&amp;" hrs)  /  LA "&amp;E1787&amp;" ("&amp;LEFT(H1787,5)&amp;"-"&amp;LEFT(I1787,5)&amp;" hrs)"</f>
        <v/>
      </c>
    </row>
    <row r="1788">
      <c r="J1788" s="7" t="inlineStr">
        <is>
          <t>PSV total:</t>
        </is>
      </c>
      <c r="K1788" s="8">
        <f>TEXT(TIMEVALUE(I1787)-TIMEVALUE(H1786)+(I1787&lt;H1786),"[h]:mm")</f>
        <v/>
      </c>
    </row>
    <row r="1790">
      <c r="B1790" s="3" t="inlineStr">
        <is>
          <t>Pairing ID</t>
        </is>
      </c>
      <c r="C1790" s="3" t="inlineStr">
        <is>
          <t>FECHA REAL</t>
        </is>
      </c>
      <c r="D1790" s="3" t="inlineStr">
        <is>
          <t>Day of Week</t>
        </is>
      </c>
      <c r="E1790" s="3" t="inlineStr">
        <is>
          <t>Flight No</t>
        </is>
      </c>
      <c r="F1790" s="3" t="inlineStr">
        <is>
          <t>Dep Stn</t>
        </is>
      </c>
      <c r="G1790" s="3" t="inlineStr">
        <is>
          <t>Arr Stn</t>
        </is>
      </c>
      <c r="H1790" s="3" t="inlineStr">
        <is>
          <t>STD</t>
        </is>
      </c>
      <c r="I1790" s="3" t="inlineStr">
        <is>
          <t>STA</t>
        </is>
      </c>
      <c r="J1790" s="3" t="inlineStr">
        <is>
          <t>subflota</t>
        </is>
      </c>
      <c r="K1790" s="3" t="inlineStr">
        <is>
          <t>Conexion</t>
        </is>
      </c>
      <c r="L1790" s="3" t="inlineStr">
        <is>
          <t>HBT</t>
        </is>
      </c>
    </row>
    <row r="1791">
      <c r="B1791" s="4" t="inlineStr">
        <is>
          <t>2019_0</t>
        </is>
      </c>
      <c r="C1791" s="4" t="inlineStr">
        <is>
          <t>23/09/2026</t>
        </is>
      </c>
      <c r="D1791" s="4" t="inlineStr">
        <is>
          <t>miércoles</t>
        </is>
      </c>
      <c r="E1791" s="4" t="inlineStr">
        <is>
          <t>2295</t>
        </is>
      </c>
      <c r="F1791" s="4" t="inlineStr">
        <is>
          <t>LIM</t>
        </is>
      </c>
      <c r="G1791" s="4" t="inlineStr">
        <is>
          <t>CJA</t>
        </is>
      </c>
      <c r="H1791" s="4" t="inlineStr">
        <is>
          <t>14:10:00</t>
        </is>
      </c>
      <c r="I1791" s="4" t="inlineStr">
        <is>
          <t>15:30:00</t>
        </is>
      </c>
      <c r="J1791" s="4" t="inlineStr">
        <is>
          <t>319</t>
        </is>
      </c>
      <c r="L1791" s="4" t="inlineStr">
        <is>
          <t>01:20:00</t>
        </is>
      </c>
      <c r="M1791" s="5" t="n"/>
      <c r="O1791" s="5" t="n"/>
      <c r="Q1791" s="4">
        <f>B1791</f>
        <v/>
      </c>
      <c r="R1791" s="4">
        <f>C1791</f>
        <v/>
      </c>
      <c r="S1791" s="4">
        <f>D1791</f>
        <v/>
      </c>
      <c r="T1791" s="4">
        <f>E1791&amp;"/"&amp;E1792</f>
        <v/>
      </c>
      <c r="U1791" s="4">
        <f>F1791&amp;"-"&amp;G1791&amp;"-"&amp;F1791</f>
        <v/>
      </c>
      <c r="V1791" s="4">
        <f>IF($M$1791="","",$M$1791)</f>
        <v/>
      </c>
      <c r="W1791" s="4">
        <f>IF($O$1791="","",$O$1791)</f>
        <v/>
      </c>
      <c r="X1791" s="4">
        <f>J1791</f>
        <v/>
      </c>
    </row>
    <row r="1792">
      <c r="B1792" s="4" t="inlineStr">
        <is>
          <t>2019_0</t>
        </is>
      </c>
      <c r="C1792" s="4" t="inlineStr">
        <is>
          <t>23/09/2026</t>
        </is>
      </c>
      <c r="D1792" s="4" t="inlineStr">
        <is>
          <t>miércoles</t>
        </is>
      </c>
      <c r="E1792" s="4" t="inlineStr">
        <is>
          <t>2294</t>
        </is>
      </c>
      <c r="F1792" s="4" t="inlineStr">
        <is>
          <t>CJA</t>
        </is>
      </c>
      <c r="G1792" s="4" t="inlineStr">
        <is>
          <t>LIM</t>
        </is>
      </c>
      <c r="H1792" s="4" t="inlineStr">
        <is>
          <t>16:10:00</t>
        </is>
      </c>
      <c r="I1792" s="4" t="inlineStr">
        <is>
          <t>17:15:00</t>
        </is>
      </c>
      <c r="J1792" s="4" t="inlineStr">
        <is>
          <t>319</t>
        </is>
      </c>
      <c r="K1792">
        <f>TEXT(TIMEVALUE(H1792)-TIMEVALUE(I1791)+(TIMEVALUE(H1792)&lt;TIMEVALUE(I1791)),"[h]:mm")</f>
        <v/>
      </c>
      <c r="L1792" s="4" t="inlineStr">
        <is>
          <t>01:05:00</t>
        </is>
      </c>
      <c r="O1792">
        <f>"LIM-"&amp;G1791&amp;"-LIM   LA "&amp;E1791&amp;" ("&amp;LEFT(H1791,5)&amp;"-"&amp;LEFT(I1791,5)&amp;" hrs)  /  LA "&amp;E1792&amp;" ("&amp;LEFT(H1792,5)&amp;"-"&amp;LEFT(I1792,5)&amp;" hrs)"</f>
        <v/>
      </c>
    </row>
    <row r="1793">
      <c r="B1793" s="4" t="inlineStr">
        <is>
          <t>2038_0</t>
        </is>
      </c>
      <c r="C1793" s="4" t="inlineStr">
        <is>
          <t>23/09/2026</t>
        </is>
      </c>
      <c r="D1793" s="4" t="inlineStr">
        <is>
          <t>miércoles</t>
        </is>
      </c>
      <c r="E1793" s="4" t="inlineStr">
        <is>
          <t>2091</t>
        </is>
      </c>
      <c r="F1793" s="4" t="inlineStr">
        <is>
          <t>LIM</t>
        </is>
      </c>
      <c r="G1793" s="4" t="inlineStr">
        <is>
          <t>TPP</t>
        </is>
      </c>
      <c r="H1793" s="4" t="inlineStr">
        <is>
          <t>18:30:00</t>
        </is>
      </c>
      <c r="I1793" s="4" t="inlineStr">
        <is>
          <t>19:55:00</t>
        </is>
      </c>
      <c r="J1793" s="4" t="inlineStr">
        <is>
          <t>319</t>
        </is>
      </c>
      <c r="K1793" s="6">
        <f>TEXT(TIMEVALUE(H1793)-TIMEVALUE(I1792)+(TIMEVALUE(H1793)&lt;TIMEVALUE(I1792)),"[h]:mm")</f>
        <v/>
      </c>
      <c r="L1793" s="4" t="inlineStr">
        <is>
          <t>01:25:00</t>
        </is>
      </c>
      <c r="M1793">
        <f>IF($M$1791="","",$M$1791)</f>
        <v/>
      </c>
      <c r="O1793">
        <f>IF($O$1791="","",$O$1791)</f>
        <v/>
      </c>
      <c r="Q1793" s="4">
        <f>B1793</f>
        <v/>
      </c>
      <c r="R1793" s="4">
        <f>C1793</f>
        <v/>
      </c>
      <c r="S1793" s="4">
        <f>D1793</f>
        <v/>
      </c>
      <c r="T1793" s="4">
        <f>E1793&amp;"/"&amp;E1794</f>
        <v/>
      </c>
      <c r="U1793" s="4">
        <f>F1793&amp;"-"&amp;G1793&amp;"-"&amp;F1793</f>
        <v/>
      </c>
      <c r="V1793" s="4">
        <f>IF($M$1791="","",$M$1791)</f>
        <v/>
      </c>
      <c r="W1793" s="4">
        <f>IF($O$1791="","",$O$1791)</f>
        <v/>
      </c>
      <c r="X1793" s="4">
        <f>J1793</f>
        <v/>
      </c>
    </row>
    <row r="1794">
      <c r="B1794" s="4" t="inlineStr">
        <is>
          <t>2038_0</t>
        </is>
      </c>
      <c r="C1794" s="4" t="inlineStr">
        <is>
          <t>23/09/2026</t>
        </is>
      </c>
      <c r="D1794" s="4" t="inlineStr">
        <is>
          <t>miércoles</t>
        </is>
      </c>
      <c r="E1794" s="4" t="inlineStr">
        <is>
          <t>2092</t>
        </is>
      </c>
      <c r="F1794" s="4" t="inlineStr">
        <is>
          <t>TPP</t>
        </is>
      </c>
      <c r="G1794" s="4" t="inlineStr">
        <is>
          <t>LIM</t>
        </is>
      </c>
      <c r="H1794" s="4" t="inlineStr">
        <is>
          <t>20:30:00</t>
        </is>
      </c>
      <c r="I1794" s="4" t="inlineStr">
        <is>
          <t>21:55:00</t>
        </is>
      </c>
      <c r="J1794" s="4" t="inlineStr">
        <is>
          <t>319</t>
        </is>
      </c>
      <c r="K1794">
        <f>TEXT(TIMEVALUE(H1794)-TIMEVALUE(I1793)+(TIMEVALUE(H1794)&lt;TIMEVALUE(I1793)),"[h]:mm")</f>
        <v/>
      </c>
      <c r="L1794" s="4" t="inlineStr">
        <is>
          <t>01:25:00</t>
        </is>
      </c>
      <c r="O1794">
        <f>"LIM-"&amp;G1793&amp;"-LIM   LA "&amp;E1793&amp;" ("&amp;LEFT(H1793,5)&amp;"-"&amp;LEFT(I1793,5)&amp;" hrs)  /  LA "&amp;E1794&amp;" ("&amp;LEFT(H1794,5)&amp;"-"&amp;LEFT(I1794,5)&amp;" hrs)"</f>
        <v/>
      </c>
    </row>
    <row r="1795">
      <c r="J1795" s="7" t="inlineStr">
        <is>
          <t>PSV total:</t>
        </is>
      </c>
      <c r="K1795" s="8">
        <f>TEXT(TIMEVALUE(I1794)-TIMEVALUE(H1791)+(I1794&lt;H1791),"[h]:mm")</f>
        <v/>
      </c>
    </row>
    <row r="1797">
      <c r="B1797" s="3" t="inlineStr">
        <is>
          <t>Pairing ID</t>
        </is>
      </c>
      <c r="C1797" s="3" t="inlineStr">
        <is>
          <t>FECHA REAL</t>
        </is>
      </c>
      <c r="D1797" s="3" t="inlineStr">
        <is>
          <t>Day of Week</t>
        </is>
      </c>
      <c r="E1797" s="3" t="inlineStr">
        <is>
          <t>Flight No</t>
        </is>
      </c>
      <c r="F1797" s="3" t="inlineStr">
        <is>
          <t>Dep Stn</t>
        </is>
      </c>
      <c r="G1797" s="3" t="inlineStr">
        <is>
          <t>Arr Stn</t>
        </is>
      </c>
      <c r="H1797" s="3" t="inlineStr">
        <is>
          <t>STD</t>
        </is>
      </c>
      <c r="I1797" s="3" t="inlineStr">
        <is>
          <t>STA</t>
        </is>
      </c>
      <c r="J1797" s="3" t="inlineStr">
        <is>
          <t>subflota</t>
        </is>
      </c>
      <c r="K1797" s="3" t="inlineStr">
        <is>
          <t>Conexion</t>
        </is>
      </c>
      <c r="L1797" s="3" t="inlineStr">
        <is>
          <t>HBT</t>
        </is>
      </c>
    </row>
    <row r="1798">
      <c r="B1798" s="4" t="inlineStr">
        <is>
          <t>2020_0</t>
        </is>
      </c>
      <c r="C1798" s="4" t="inlineStr">
        <is>
          <t>23/09/2026</t>
        </is>
      </c>
      <c r="D1798" s="4" t="inlineStr">
        <is>
          <t>miércoles</t>
        </is>
      </c>
      <c r="E1798" s="4" t="inlineStr">
        <is>
          <t>2022</t>
        </is>
      </c>
      <c r="F1798" s="4" t="inlineStr">
        <is>
          <t>LIM</t>
        </is>
      </c>
      <c r="G1798" s="4" t="inlineStr">
        <is>
          <t>CUZ</t>
        </is>
      </c>
      <c r="H1798" s="4" t="inlineStr">
        <is>
          <t>14:30:00</t>
        </is>
      </c>
      <c r="I1798" s="4" t="inlineStr">
        <is>
          <t>15:50:00</t>
        </is>
      </c>
      <c r="J1798" s="4" t="inlineStr">
        <is>
          <t>320</t>
        </is>
      </c>
      <c r="L1798" s="4" t="inlineStr">
        <is>
          <t>01:20:00</t>
        </is>
      </c>
      <c r="M1798" s="5" t="n"/>
      <c r="O1798" s="5" t="n"/>
      <c r="Q1798" s="4">
        <f>B1798</f>
        <v/>
      </c>
      <c r="R1798" s="4">
        <f>C1798</f>
        <v/>
      </c>
      <c r="S1798" s="4">
        <f>D1798</f>
        <v/>
      </c>
      <c r="T1798" s="4">
        <f>E1798&amp;"/"&amp;E1799</f>
        <v/>
      </c>
      <c r="U1798" s="4">
        <f>F1798&amp;"-"&amp;G1798&amp;"-"&amp;F1798</f>
        <v/>
      </c>
      <c r="V1798" s="4">
        <f>IF($M$1798="","",$M$1798)</f>
        <v/>
      </c>
      <c r="W1798" s="4">
        <f>IF($O$1798="","",$O$1798)</f>
        <v/>
      </c>
      <c r="X1798" s="4">
        <f>J1798</f>
        <v/>
      </c>
    </row>
    <row r="1799">
      <c r="B1799" s="4" t="inlineStr">
        <is>
          <t>2020_0</t>
        </is>
      </c>
      <c r="C1799" s="4" t="inlineStr">
        <is>
          <t>23/09/2026</t>
        </is>
      </c>
      <c r="D1799" s="4" t="inlineStr">
        <is>
          <t>miércoles</t>
        </is>
      </c>
      <c r="E1799" s="4" t="inlineStr">
        <is>
          <t>2025</t>
        </is>
      </c>
      <c r="F1799" s="4" t="inlineStr">
        <is>
          <t>CUZ</t>
        </is>
      </c>
      <c r="G1799" s="4" t="inlineStr">
        <is>
          <t>LIM</t>
        </is>
      </c>
      <c r="H1799" s="4" t="inlineStr">
        <is>
          <t>16:35:00</t>
        </is>
      </c>
      <c r="I1799" s="4" t="inlineStr">
        <is>
          <t>18:10:00</t>
        </is>
      </c>
      <c r="J1799" s="4" t="inlineStr">
        <is>
          <t>320</t>
        </is>
      </c>
      <c r="K1799">
        <f>TEXT(TIMEVALUE(H1799)-TIMEVALUE(I1798)+(TIMEVALUE(H1799)&lt;TIMEVALUE(I1798)),"[h]:mm")</f>
        <v/>
      </c>
      <c r="L1799" s="4" t="inlineStr">
        <is>
          <t>01:35:00</t>
        </is>
      </c>
      <c r="O1799">
        <f>"LIM-"&amp;G1798&amp;"-LIM   LA "&amp;E1798&amp;" ("&amp;LEFT(H1798,5)&amp;"-"&amp;LEFT(I1798,5)&amp;" hrs)  /  LA "&amp;E1799&amp;" ("&amp;LEFT(H1799,5)&amp;"-"&amp;LEFT(I1799,5)&amp;" hrs)"</f>
        <v/>
      </c>
    </row>
    <row r="1800">
      <c r="J1800" s="7" t="inlineStr">
        <is>
          <t>PSV total:</t>
        </is>
      </c>
      <c r="K1800" s="8">
        <f>TEXT(TIMEVALUE(I1799)-TIMEVALUE(H1798)+(I1799&lt;H1798),"[h]:mm")</f>
        <v/>
      </c>
    </row>
    <row r="1802">
      <c r="B1802" s="3" t="inlineStr">
        <is>
          <t>Pairing ID</t>
        </is>
      </c>
      <c r="C1802" s="3" t="inlineStr">
        <is>
          <t>FECHA REAL</t>
        </is>
      </c>
      <c r="D1802" s="3" t="inlineStr">
        <is>
          <t>Day of Week</t>
        </is>
      </c>
      <c r="E1802" s="3" t="inlineStr">
        <is>
          <t>Flight No</t>
        </is>
      </c>
      <c r="F1802" s="3" t="inlineStr">
        <is>
          <t>Dep Stn</t>
        </is>
      </c>
      <c r="G1802" s="3" t="inlineStr">
        <is>
          <t>Arr Stn</t>
        </is>
      </c>
      <c r="H1802" s="3" t="inlineStr">
        <is>
          <t>STD</t>
        </is>
      </c>
      <c r="I1802" s="3" t="inlineStr">
        <is>
          <t>STA</t>
        </is>
      </c>
      <c r="J1802" s="3" t="inlineStr">
        <is>
          <t>subflota</t>
        </is>
      </c>
      <c r="K1802" s="3" t="inlineStr">
        <is>
          <t>Conexion</t>
        </is>
      </c>
      <c r="L1802" s="3" t="inlineStr">
        <is>
          <t>HBT</t>
        </is>
      </c>
    </row>
    <row r="1803">
      <c r="B1803" s="4" t="inlineStr">
        <is>
          <t>2021_0</t>
        </is>
      </c>
      <c r="C1803" s="4" t="inlineStr">
        <is>
          <t>23/09/2026</t>
        </is>
      </c>
      <c r="D1803" s="4" t="inlineStr">
        <is>
          <t>miércoles</t>
        </is>
      </c>
      <c r="E1803" s="4" t="inlineStr">
        <is>
          <t>2282</t>
        </is>
      </c>
      <c r="F1803" s="4" t="inlineStr">
        <is>
          <t>LIM</t>
        </is>
      </c>
      <c r="G1803" s="4" t="inlineStr">
        <is>
          <t>CIX</t>
        </is>
      </c>
      <c r="H1803" s="4" t="inlineStr">
        <is>
          <t>14:45:00</t>
        </is>
      </c>
      <c r="I1803" s="4" t="inlineStr">
        <is>
          <t>16:15:00</t>
        </is>
      </c>
      <c r="J1803" s="4" t="inlineStr">
        <is>
          <t>319</t>
        </is>
      </c>
      <c r="L1803" s="4" t="inlineStr">
        <is>
          <t>01:30:00</t>
        </is>
      </c>
      <c r="M1803" s="5" t="n"/>
      <c r="O1803" s="5" t="n"/>
      <c r="Q1803" s="4">
        <f>B1803</f>
        <v/>
      </c>
      <c r="R1803" s="4">
        <f>C1803</f>
        <v/>
      </c>
      <c r="S1803" s="4">
        <f>D1803</f>
        <v/>
      </c>
      <c r="T1803" s="4">
        <f>E1803&amp;"/"&amp;E1804</f>
        <v/>
      </c>
      <c r="U1803" s="4">
        <f>F1803&amp;"-"&amp;G1803&amp;"-"&amp;F1803</f>
        <v/>
      </c>
      <c r="V1803" s="4">
        <f>IF($M$1803="","",$M$1803)</f>
        <v/>
      </c>
      <c r="W1803" s="4">
        <f>IF($O$1803="","",$O$1803)</f>
        <v/>
      </c>
      <c r="X1803" s="4">
        <f>J1803</f>
        <v/>
      </c>
    </row>
    <row r="1804">
      <c r="B1804" s="4" t="inlineStr">
        <is>
          <t>2021_0</t>
        </is>
      </c>
      <c r="C1804" s="4" t="inlineStr">
        <is>
          <t>23/09/2026</t>
        </is>
      </c>
      <c r="D1804" s="4" t="inlineStr">
        <is>
          <t>miércoles</t>
        </is>
      </c>
      <c r="E1804" s="4" t="inlineStr">
        <is>
          <t>2283</t>
        </is>
      </c>
      <c r="F1804" s="4" t="inlineStr">
        <is>
          <t>CIX</t>
        </is>
      </c>
      <c r="G1804" s="4" t="inlineStr">
        <is>
          <t>LIM</t>
        </is>
      </c>
      <c r="H1804" s="4" t="inlineStr">
        <is>
          <t>16:50:00</t>
        </is>
      </c>
      <c r="I1804" s="4" t="inlineStr">
        <is>
          <t>18:10:00</t>
        </is>
      </c>
      <c r="J1804" s="4" t="inlineStr">
        <is>
          <t>319</t>
        </is>
      </c>
      <c r="K1804">
        <f>TEXT(TIMEVALUE(H1804)-TIMEVALUE(I1803)+(TIMEVALUE(H1804)&lt;TIMEVALUE(I1803)),"[h]:mm")</f>
        <v/>
      </c>
      <c r="L1804" s="4" t="inlineStr">
        <is>
          <t>01:20:00</t>
        </is>
      </c>
      <c r="O1804">
        <f>"LIM-"&amp;G1803&amp;"-LIM   LA "&amp;E1803&amp;" ("&amp;LEFT(H1803,5)&amp;"-"&amp;LEFT(I1803,5)&amp;" hrs)  /  LA "&amp;E1804&amp;" ("&amp;LEFT(H1804,5)&amp;"-"&amp;LEFT(I1804,5)&amp;" hrs)"</f>
        <v/>
      </c>
    </row>
    <row r="1805">
      <c r="J1805" s="7" t="inlineStr">
        <is>
          <t>PSV total:</t>
        </is>
      </c>
      <c r="K1805" s="8">
        <f>TEXT(TIMEVALUE(I1804)-TIMEVALUE(H1803)+(I1804&lt;H1803),"[h]:mm")</f>
        <v/>
      </c>
    </row>
    <row r="1807">
      <c r="B1807" s="3" t="inlineStr">
        <is>
          <t>Pairing ID</t>
        </is>
      </c>
      <c r="C1807" s="3" t="inlineStr">
        <is>
          <t>FECHA REAL</t>
        </is>
      </c>
      <c r="D1807" s="3" t="inlineStr">
        <is>
          <t>Day of Week</t>
        </is>
      </c>
      <c r="E1807" s="3" t="inlineStr">
        <is>
          <t>Flight No</t>
        </is>
      </c>
      <c r="F1807" s="3" t="inlineStr">
        <is>
          <t>Dep Stn</t>
        </is>
      </c>
      <c r="G1807" s="3" t="inlineStr">
        <is>
          <t>Arr Stn</t>
        </is>
      </c>
      <c r="H1807" s="3" t="inlineStr">
        <is>
          <t>STD</t>
        </is>
      </c>
      <c r="I1807" s="3" t="inlineStr">
        <is>
          <t>STA</t>
        </is>
      </c>
      <c r="J1807" s="3" t="inlineStr">
        <is>
          <t>subflota</t>
        </is>
      </c>
      <c r="K1807" s="3" t="inlineStr">
        <is>
          <t>Conexion</t>
        </is>
      </c>
      <c r="L1807" s="3" t="inlineStr">
        <is>
          <t>HBT</t>
        </is>
      </c>
    </row>
    <row r="1808">
      <c r="B1808" s="4" t="inlineStr">
        <is>
          <t>2022_0</t>
        </is>
      </c>
      <c r="C1808" s="4" t="inlineStr">
        <is>
          <t>23/09/2026</t>
        </is>
      </c>
      <c r="D1808" s="4" t="inlineStr">
        <is>
          <t>miércoles</t>
        </is>
      </c>
      <c r="E1808" s="4" t="inlineStr">
        <is>
          <t>2264</t>
        </is>
      </c>
      <c r="F1808" s="4" t="inlineStr">
        <is>
          <t>LIM</t>
        </is>
      </c>
      <c r="G1808" s="4" t="inlineStr">
        <is>
          <t>PEM</t>
        </is>
      </c>
      <c r="H1808" s="4" t="inlineStr">
        <is>
          <t>14:55:00</t>
        </is>
      </c>
      <c r="I1808" s="4" t="inlineStr">
        <is>
          <t>16:40:00</t>
        </is>
      </c>
      <c r="J1808" s="4" t="inlineStr">
        <is>
          <t>319</t>
        </is>
      </c>
      <c r="L1808" s="4" t="inlineStr">
        <is>
          <t>01:45:00</t>
        </is>
      </c>
      <c r="M1808" s="5" t="n"/>
      <c r="O1808" s="5" t="n"/>
      <c r="Q1808" s="4">
        <f>B1808</f>
        <v/>
      </c>
      <c r="R1808" s="4">
        <f>C1808</f>
        <v/>
      </c>
      <c r="S1808" s="4">
        <f>D1808</f>
        <v/>
      </c>
      <c r="T1808" s="4">
        <f>E1808&amp;"/"&amp;E1809</f>
        <v/>
      </c>
      <c r="U1808" s="4">
        <f>F1808&amp;"-"&amp;G1808&amp;"-"&amp;F1808</f>
        <v/>
      </c>
      <c r="V1808" s="4">
        <f>IF($M$1808="","",$M$1808)</f>
        <v/>
      </c>
      <c r="W1808" s="4">
        <f>IF($O$1808="","",$O$1808)</f>
        <v/>
      </c>
      <c r="X1808" s="4">
        <f>J1808</f>
        <v/>
      </c>
    </row>
    <row r="1809">
      <c r="B1809" s="4" t="inlineStr">
        <is>
          <t>2022_0</t>
        </is>
      </c>
      <c r="C1809" s="4" t="inlineStr">
        <is>
          <t>23/09/2026</t>
        </is>
      </c>
      <c r="D1809" s="4" t="inlineStr">
        <is>
          <t>miércoles</t>
        </is>
      </c>
      <c r="E1809" s="4" t="inlineStr">
        <is>
          <t>2265</t>
        </is>
      </c>
      <c r="F1809" s="4" t="inlineStr">
        <is>
          <t>PEM</t>
        </is>
      </c>
      <c r="G1809" s="4" t="inlineStr">
        <is>
          <t>LIM</t>
        </is>
      </c>
      <c r="H1809" s="4" t="inlineStr">
        <is>
          <t>17:20:00</t>
        </is>
      </c>
      <c r="I1809" s="4" t="inlineStr">
        <is>
          <t>18:55:00</t>
        </is>
      </c>
      <c r="J1809" s="4" t="inlineStr">
        <is>
          <t>319</t>
        </is>
      </c>
      <c r="K1809">
        <f>TEXT(TIMEVALUE(H1809)-TIMEVALUE(I1808)+(TIMEVALUE(H1809)&lt;TIMEVALUE(I1808)),"[h]:mm")</f>
        <v/>
      </c>
      <c r="L1809" s="4" t="inlineStr">
        <is>
          <t>01:35:00</t>
        </is>
      </c>
      <c r="O1809">
        <f>"LIM-"&amp;G1808&amp;"-LIM   LA "&amp;E1808&amp;" ("&amp;LEFT(H1808,5)&amp;"-"&amp;LEFT(I1808,5)&amp;" hrs)  /  LA "&amp;E1809&amp;" ("&amp;LEFT(H1809,5)&amp;"-"&amp;LEFT(I1809,5)&amp;" hrs)"</f>
        <v/>
      </c>
    </row>
    <row r="1810">
      <c r="B1810" s="4" t="inlineStr">
        <is>
          <t>2040_0</t>
        </is>
      </c>
      <c r="C1810" s="4" t="inlineStr">
        <is>
          <t>23/09/2026</t>
        </is>
      </c>
      <c r="D1810" s="4" t="inlineStr">
        <is>
          <t>miércoles</t>
        </is>
      </c>
      <c r="E1810" s="4" t="inlineStr">
        <is>
          <t>2278</t>
        </is>
      </c>
      <c r="F1810" s="4" t="inlineStr">
        <is>
          <t>LIM</t>
        </is>
      </c>
      <c r="G1810" s="4" t="inlineStr">
        <is>
          <t>CIX</t>
        </is>
      </c>
      <c r="H1810" s="4" t="inlineStr">
        <is>
          <t>20:10:00</t>
        </is>
      </c>
      <c r="I1810" s="4" t="inlineStr">
        <is>
          <t>21:40:00</t>
        </is>
      </c>
      <c r="J1810" s="4" t="inlineStr">
        <is>
          <t>320</t>
        </is>
      </c>
      <c r="K1810" s="6">
        <f>TEXT(TIMEVALUE(H1810)-TIMEVALUE(I1809)+(TIMEVALUE(H1810)&lt;TIMEVALUE(I1809)),"[h]:mm")</f>
        <v/>
      </c>
      <c r="L1810" s="4" t="inlineStr">
        <is>
          <t>01:30:00</t>
        </is>
      </c>
      <c r="M1810">
        <f>IF($M$1808="","",$M$1808)</f>
        <v/>
      </c>
      <c r="O1810">
        <f>IF($O$1808="","",$O$1808)</f>
        <v/>
      </c>
      <c r="Q1810" s="4">
        <f>B1810</f>
        <v/>
      </c>
      <c r="R1810" s="4">
        <f>C1810</f>
        <v/>
      </c>
      <c r="S1810" s="4">
        <f>D1810</f>
        <v/>
      </c>
      <c r="T1810" s="4">
        <f>E1810&amp;"/"&amp;E1811</f>
        <v/>
      </c>
      <c r="U1810" s="4">
        <f>F1810&amp;"-"&amp;G1810&amp;"-"&amp;F1810</f>
        <v/>
      </c>
      <c r="V1810" s="4">
        <f>IF($M$1808="","",$M$1808)</f>
        <v/>
      </c>
      <c r="W1810" s="4">
        <f>IF($O$1808="","",$O$1808)</f>
        <v/>
      </c>
      <c r="X1810" s="4">
        <f>J1810</f>
        <v/>
      </c>
    </row>
    <row r="1811">
      <c r="B1811" s="4" t="inlineStr">
        <is>
          <t>2040_0</t>
        </is>
      </c>
      <c r="C1811" s="4" t="inlineStr">
        <is>
          <t>23/09/2026</t>
        </is>
      </c>
      <c r="D1811" s="4" t="inlineStr">
        <is>
          <t>miércoles</t>
        </is>
      </c>
      <c r="E1811" s="4" t="inlineStr">
        <is>
          <t>2279</t>
        </is>
      </c>
      <c r="F1811" s="4" t="inlineStr">
        <is>
          <t>CIX</t>
        </is>
      </c>
      <c r="G1811" s="4" t="inlineStr">
        <is>
          <t>LIM</t>
        </is>
      </c>
      <c r="H1811" s="4" t="inlineStr">
        <is>
          <t>22:15:00</t>
        </is>
      </c>
      <c r="I1811" s="4" t="inlineStr">
        <is>
          <t>23:35:00</t>
        </is>
      </c>
      <c r="J1811" s="4" t="inlineStr">
        <is>
          <t>320</t>
        </is>
      </c>
      <c r="K1811">
        <f>TEXT(TIMEVALUE(H1811)-TIMEVALUE(I1810)+(TIMEVALUE(H1811)&lt;TIMEVALUE(I1810)),"[h]:mm")</f>
        <v/>
      </c>
      <c r="L1811" s="4" t="inlineStr">
        <is>
          <t>01:20:00</t>
        </is>
      </c>
      <c r="O1811">
        <f>"LIM-"&amp;G1810&amp;"-LIM   LA "&amp;E1810&amp;" ("&amp;LEFT(H1810,5)&amp;"-"&amp;LEFT(I1810,5)&amp;" hrs)  /  LA "&amp;E1811&amp;" ("&amp;LEFT(H1811,5)&amp;"-"&amp;LEFT(I1811,5)&amp;" hrs)"</f>
        <v/>
      </c>
    </row>
    <row r="1812">
      <c r="J1812" s="7" t="inlineStr">
        <is>
          <t>PSV total:</t>
        </is>
      </c>
      <c r="K1812" s="8">
        <f>TEXT(TIMEVALUE(I1811)-TIMEVALUE(H1808)+(I1811&lt;H1808),"[h]:mm")</f>
        <v/>
      </c>
    </row>
    <row r="1814">
      <c r="B1814" s="3" t="inlineStr">
        <is>
          <t>Pairing ID</t>
        </is>
      </c>
      <c r="C1814" s="3" t="inlineStr">
        <is>
          <t>FECHA REAL</t>
        </is>
      </c>
      <c r="D1814" s="3" t="inlineStr">
        <is>
          <t>Day of Week</t>
        </is>
      </c>
      <c r="E1814" s="3" t="inlineStr">
        <is>
          <t>Flight No</t>
        </is>
      </c>
      <c r="F1814" s="3" t="inlineStr">
        <is>
          <t>Dep Stn</t>
        </is>
      </c>
      <c r="G1814" s="3" t="inlineStr">
        <is>
          <t>Arr Stn</t>
        </is>
      </c>
      <c r="H1814" s="3" t="inlineStr">
        <is>
          <t>STD</t>
        </is>
      </c>
      <c r="I1814" s="3" t="inlineStr">
        <is>
          <t>STA</t>
        </is>
      </c>
      <c r="J1814" s="3" t="inlineStr">
        <is>
          <t>subflota</t>
        </is>
      </c>
      <c r="K1814" s="3" t="inlineStr">
        <is>
          <t>Conexion</t>
        </is>
      </c>
      <c r="L1814" s="3" t="inlineStr">
        <is>
          <t>HBT</t>
        </is>
      </c>
    </row>
    <row r="1815">
      <c r="B1815" s="4" t="inlineStr">
        <is>
          <t>2023_0</t>
        </is>
      </c>
      <c r="C1815" s="4" t="inlineStr">
        <is>
          <t>23/09/2026</t>
        </is>
      </c>
      <c r="D1815" s="4" t="inlineStr">
        <is>
          <t>miércoles</t>
        </is>
      </c>
      <c r="E1815" s="4" t="inlineStr">
        <is>
          <t>2338</t>
        </is>
      </c>
      <c r="F1815" s="4" t="inlineStr">
        <is>
          <t>LIM</t>
        </is>
      </c>
      <c r="G1815" s="4" t="inlineStr">
        <is>
          <t>PIU</t>
        </is>
      </c>
      <c r="H1815" s="4" t="inlineStr">
        <is>
          <t>15:00:00</t>
        </is>
      </c>
      <c r="I1815" s="4" t="inlineStr">
        <is>
          <t>16:45:00</t>
        </is>
      </c>
      <c r="J1815" s="4" t="inlineStr">
        <is>
          <t>319</t>
        </is>
      </c>
      <c r="L1815" s="4" t="inlineStr">
        <is>
          <t>01:45:00</t>
        </is>
      </c>
      <c r="M1815" s="5" t="n"/>
      <c r="O1815" s="5" t="n"/>
      <c r="Q1815" s="4">
        <f>B1815</f>
        <v/>
      </c>
      <c r="R1815" s="4">
        <f>C1815</f>
        <v/>
      </c>
      <c r="S1815" s="4">
        <f>D1815</f>
        <v/>
      </c>
      <c r="T1815" s="4">
        <f>E1815&amp;"/"&amp;E1816</f>
        <v/>
      </c>
      <c r="U1815" s="4">
        <f>F1815&amp;"-"&amp;G1815&amp;"-"&amp;F1815</f>
        <v/>
      </c>
      <c r="V1815" s="4">
        <f>IF($M$1815="","",$M$1815)</f>
        <v/>
      </c>
      <c r="W1815" s="4">
        <f>IF($O$1815="","",$O$1815)</f>
        <v/>
      </c>
      <c r="X1815" s="4">
        <f>J1815</f>
        <v/>
      </c>
    </row>
    <row r="1816">
      <c r="B1816" s="4" t="inlineStr">
        <is>
          <t>2023_0</t>
        </is>
      </c>
      <c r="C1816" s="4" t="inlineStr">
        <is>
          <t>23/09/2026</t>
        </is>
      </c>
      <c r="D1816" s="4" t="inlineStr">
        <is>
          <t>miércoles</t>
        </is>
      </c>
      <c r="E1816" s="4" t="inlineStr">
        <is>
          <t>2339</t>
        </is>
      </c>
      <c r="F1816" s="4" t="inlineStr">
        <is>
          <t>PIU</t>
        </is>
      </c>
      <c r="G1816" s="4" t="inlineStr">
        <is>
          <t>LIM</t>
        </is>
      </c>
      <c r="H1816" s="4" t="inlineStr">
        <is>
          <t>17:20:00</t>
        </is>
      </c>
      <c r="I1816" s="4" t="inlineStr">
        <is>
          <t>18:50:00</t>
        </is>
      </c>
      <c r="J1816" s="4" t="inlineStr">
        <is>
          <t>319</t>
        </is>
      </c>
      <c r="K1816">
        <f>TEXT(TIMEVALUE(H1816)-TIMEVALUE(I1815)+(TIMEVALUE(H1816)&lt;TIMEVALUE(I1815)),"[h]:mm")</f>
        <v/>
      </c>
      <c r="L1816" s="4" t="inlineStr">
        <is>
          <t>01:30:00</t>
        </is>
      </c>
      <c r="O1816">
        <f>"LIM-"&amp;G1815&amp;"-LIM   LA "&amp;E1815&amp;" ("&amp;LEFT(H1815,5)&amp;"-"&amp;LEFT(I1815,5)&amp;" hrs)  /  LA "&amp;E1816&amp;" ("&amp;LEFT(H1816,5)&amp;"-"&amp;LEFT(I1816,5)&amp;" hrs)"</f>
        <v/>
      </c>
    </row>
    <row r="1817">
      <c r="J1817" s="7" t="inlineStr">
        <is>
          <t>PSV total:</t>
        </is>
      </c>
      <c r="K1817" s="8">
        <f>TEXT(TIMEVALUE(I1816)-TIMEVALUE(H1815)+(I1816&lt;H1815),"[h]:mm")</f>
        <v/>
      </c>
    </row>
    <row r="1819">
      <c r="B1819" s="3" t="inlineStr">
        <is>
          <t>Pairing ID</t>
        </is>
      </c>
      <c r="C1819" s="3" t="inlineStr">
        <is>
          <t>FECHA REAL</t>
        </is>
      </c>
      <c r="D1819" s="3" t="inlineStr">
        <is>
          <t>Day of Week</t>
        </is>
      </c>
      <c r="E1819" s="3" t="inlineStr">
        <is>
          <t>Flight No</t>
        </is>
      </c>
      <c r="F1819" s="3" t="inlineStr">
        <is>
          <t>Dep Stn</t>
        </is>
      </c>
      <c r="G1819" s="3" t="inlineStr">
        <is>
          <t>Arr Stn</t>
        </is>
      </c>
      <c r="H1819" s="3" t="inlineStr">
        <is>
          <t>STD</t>
        </is>
      </c>
      <c r="I1819" s="3" t="inlineStr">
        <is>
          <t>STA</t>
        </is>
      </c>
      <c r="J1819" s="3" t="inlineStr">
        <is>
          <t>subflota</t>
        </is>
      </c>
      <c r="K1819" s="3" t="inlineStr">
        <is>
          <t>Conexion</t>
        </is>
      </c>
      <c r="L1819" s="3" t="inlineStr">
        <is>
          <t>HBT</t>
        </is>
      </c>
    </row>
    <row r="1820">
      <c r="B1820" s="4" t="inlineStr">
        <is>
          <t>2027_0</t>
        </is>
      </c>
      <c r="C1820" s="4" t="inlineStr">
        <is>
          <t>23/09/2026</t>
        </is>
      </c>
      <c r="D1820" s="4" t="inlineStr">
        <is>
          <t>miércoles</t>
        </is>
      </c>
      <c r="E1820" s="4" t="inlineStr">
        <is>
          <t>2297</t>
        </is>
      </c>
      <c r="F1820" s="4" t="inlineStr">
        <is>
          <t>LIM</t>
        </is>
      </c>
      <c r="G1820" s="4" t="inlineStr">
        <is>
          <t>CJA</t>
        </is>
      </c>
      <c r="H1820" s="4" t="inlineStr">
        <is>
          <t>15:15:00</t>
        </is>
      </c>
      <c r="I1820" s="4" t="inlineStr">
        <is>
          <t>16:35:00</t>
        </is>
      </c>
      <c r="J1820" s="4" t="inlineStr">
        <is>
          <t>319</t>
        </is>
      </c>
      <c r="L1820" s="4" t="inlineStr">
        <is>
          <t>01:20:00</t>
        </is>
      </c>
      <c r="M1820" s="5" t="n"/>
      <c r="O1820" s="5" t="n"/>
      <c r="Q1820" s="4">
        <f>B1820</f>
        <v/>
      </c>
      <c r="R1820" s="4">
        <f>C1820</f>
        <v/>
      </c>
      <c r="S1820" s="4">
        <f>D1820</f>
        <v/>
      </c>
      <c r="T1820" s="4">
        <f>E1820&amp;"/"&amp;E1821</f>
        <v/>
      </c>
      <c r="U1820" s="4">
        <f>F1820&amp;"-"&amp;G1820&amp;"-"&amp;F1820</f>
        <v/>
      </c>
      <c r="V1820" s="4">
        <f>IF($M$1820="","",$M$1820)</f>
        <v/>
      </c>
      <c r="W1820" s="4">
        <f>IF($O$1820="","",$O$1820)</f>
        <v/>
      </c>
      <c r="X1820" s="4">
        <f>J1820</f>
        <v/>
      </c>
    </row>
    <row r="1821">
      <c r="B1821" s="4" t="inlineStr">
        <is>
          <t>2027_0</t>
        </is>
      </c>
      <c r="C1821" s="4" t="inlineStr">
        <is>
          <t>23/09/2026</t>
        </is>
      </c>
      <c r="D1821" s="4" t="inlineStr">
        <is>
          <t>miércoles</t>
        </is>
      </c>
      <c r="E1821" s="4" t="inlineStr">
        <is>
          <t>2296</t>
        </is>
      </c>
      <c r="F1821" s="4" t="inlineStr">
        <is>
          <t>CJA</t>
        </is>
      </c>
      <c r="G1821" s="4" t="inlineStr">
        <is>
          <t>LIM</t>
        </is>
      </c>
      <c r="H1821" s="4" t="inlineStr">
        <is>
          <t>17:20:00</t>
        </is>
      </c>
      <c r="I1821" s="4" t="inlineStr">
        <is>
          <t>18:25:00</t>
        </is>
      </c>
      <c r="J1821" s="4" t="inlineStr">
        <is>
          <t>319</t>
        </is>
      </c>
      <c r="K1821">
        <f>TEXT(TIMEVALUE(H1821)-TIMEVALUE(I1820)+(TIMEVALUE(H1821)&lt;TIMEVALUE(I1820)),"[h]:mm")</f>
        <v/>
      </c>
      <c r="L1821" s="4" t="inlineStr">
        <is>
          <t>01:05:00</t>
        </is>
      </c>
      <c r="O1821">
        <f>"LIM-"&amp;G1820&amp;"-LIM   LA "&amp;E1820&amp;" ("&amp;LEFT(H1820,5)&amp;"-"&amp;LEFT(I1820,5)&amp;" hrs)  /  LA "&amp;E1821&amp;" ("&amp;LEFT(H1821,5)&amp;"-"&amp;LEFT(I1821,5)&amp;" hrs)"</f>
        <v/>
      </c>
    </row>
    <row r="1822">
      <c r="J1822" s="7" t="inlineStr">
        <is>
          <t>PSV total:</t>
        </is>
      </c>
      <c r="K1822" s="8">
        <f>TEXT(TIMEVALUE(I1821)-TIMEVALUE(H1820)+(I1821&lt;H1820),"[h]:mm")</f>
        <v/>
      </c>
    </row>
    <row r="1824">
      <c r="B1824" s="3" t="inlineStr">
        <is>
          <t>Pairing ID</t>
        </is>
      </c>
      <c r="C1824" s="3" t="inlineStr">
        <is>
          <t>FECHA REAL</t>
        </is>
      </c>
      <c r="D1824" s="3" t="inlineStr">
        <is>
          <t>Day of Week</t>
        </is>
      </c>
      <c r="E1824" s="3" t="inlineStr">
        <is>
          <t>Flight No</t>
        </is>
      </c>
      <c r="F1824" s="3" t="inlineStr">
        <is>
          <t>Dep Stn</t>
        </is>
      </c>
      <c r="G1824" s="3" t="inlineStr">
        <is>
          <t>Arr Stn</t>
        </is>
      </c>
      <c r="H1824" s="3" t="inlineStr">
        <is>
          <t>STD</t>
        </is>
      </c>
      <c r="I1824" s="3" t="inlineStr">
        <is>
          <t>STA</t>
        </is>
      </c>
      <c r="J1824" s="3" t="inlineStr">
        <is>
          <t>subflota</t>
        </is>
      </c>
      <c r="K1824" s="3" t="inlineStr">
        <is>
          <t>Conexion</t>
        </is>
      </c>
      <c r="L1824" s="3" t="inlineStr">
        <is>
          <t>HBT</t>
        </is>
      </c>
    </row>
    <row r="1825">
      <c r="B1825" s="4" t="inlineStr">
        <is>
          <t>2029_0</t>
        </is>
      </c>
      <c r="C1825" s="4" t="inlineStr">
        <is>
          <t>23/09/2026</t>
        </is>
      </c>
      <c r="D1825" s="4" t="inlineStr">
        <is>
          <t>miércoles</t>
        </is>
      </c>
      <c r="E1825" s="4" t="inlineStr">
        <is>
          <t>2312</t>
        </is>
      </c>
      <c r="F1825" s="4" t="inlineStr">
        <is>
          <t>LIM</t>
        </is>
      </c>
      <c r="G1825" s="4" t="inlineStr">
        <is>
          <t>CIX</t>
        </is>
      </c>
      <c r="H1825" s="4" t="inlineStr">
        <is>
          <t>15:35:00</t>
        </is>
      </c>
      <c r="I1825" s="4" t="inlineStr">
        <is>
          <t>17:05:00</t>
        </is>
      </c>
      <c r="J1825" s="4" t="inlineStr">
        <is>
          <t>320</t>
        </is>
      </c>
      <c r="L1825" s="4" t="inlineStr">
        <is>
          <t>01:30:00</t>
        </is>
      </c>
      <c r="M1825" s="5" t="n"/>
      <c r="O1825" s="5" t="n"/>
      <c r="Q1825" s="4">
        <f>B1825</f>
        <v/>
      </c>
      <c r="R1825" s="4">
        <f>C1825</f>
        <v/>
      </c>
      <c r="S1825" s="4">
        <f>D1825</f>
        <v/>
      </c>
      <c r="T1825" s="4">
        <f>E1825&amp;"/"&amp;E1826</f>
        <v/>
      </c>
      <c r="U1825" s="4">
        <f>F1825&amp;"-"&amp;G1825&amp;"-"&amp;F1825</f>
        <v/>
      </c>
      <c r="V1825" s="4">
        <f>IF($M$1825="","",$M$1825)</f>
        <v/>
      </c>
      <c r="W1825" s="4">
        <f>IF($O$1825="","",$O$1825)</f>
        <v/>
      </c>
      <c r="X1825" s="4">
        <f>J1825</f>
        <v/>
      </c>
    </row>
    <row r="1826">
      <c r="B1826" s="4" t="inlineStr">
        <is>
          <t>2029_0</t>
        </is>
      </c>
      <c r="C1826" s="4" t="inlineStr">
        <is>
          <t>23/09/2026</t>
        </is>
      </c>
      <c r="D1826" s="4" t="inlineStr">
        <is>
          <t>miércoles</t>
        </is>
      </c>
      <c r="E1826" s="4" t="inlineStr">
        <is>
          <t>2313</t>
        </is>
      </c>
      <c r="F1826" s="4" t="inlineStr">
        <is>
          <t>CIX</t>
        </is>
      </c>
      <c r="G1826" s="4" t="inlineStr">
        <is>
          <t>LIM</t>
        </is>
      </c>
      <c r="H1826" s="4" t="inlineStr">
        <is>
          <t>17:50:00</t>
        </is>
      </c>
      <c r="I1826" s="4" t="inlineStr">
        <is>
          <t>19:10:00</t>
        </is>
      </c>
      <c r="J1826" s="4" t="inlineStr">
        <is>
          <t>320</t>
        </is>
      </c>
      <c r="K1826">
        <f>TEXT(TIMEVALUE(H1826)-TIMEVALUE(I1825)+(TIMEVALUE(H1826)&lt;TIMEVALUE(I1825)),"[h]:mm")</f>
        <v/>
      </c>
      <c r="L1826" s="4" t="inlineStr">
        <is>
          <t>01:20:00</t>
        </is>
      </c>
      <c r="O1826">
        <f>"LIM-"&amp;G1825&amp;"-LIM   LA "&amp;E1825&amp;" ("&amp;LEFT(H1825,5)&amp;"-"&amp;LEFT(I1825,5)&amp;" hrs)  /  LA "&amp;E1826&amp;" ("&amp;LEFT(H1826,5)&amp;"-"&amp;LEFT(I1826,5)&amp;" hrs)"</f>
        <v/>
      </c>
    </row>
    <row r="1827">
      <c r="J1827" s="7" t="inlineStr">
        <is>
          <t>PSV total:</t>
        </is>
      </c>
      <c r="K1827" s="8">
        <f>TEXT(TIMEVALUE(I1826)-TIMEVALUE(H1825)+(I1826&lt;H1825),"[h]:mm")</f>
        <v/>
      </c>
    </row>
    <row r="1829">
      <c r="B1829" s="3" t="inlineStr">
        <is>
          <t>Pairing ID</t>
        </is>
      </c>
      <c r="C1829" s="3" t="inlineStr">
        <is>
          <t>FECHA REAL</t>
        </is>
      </c>
      <c r="D1829" s="3" t="inlineStr">
        <is>
          <t>Day of Week</t>
        </is>
      </c>
      <c r="E1829" s="3" t="inlineStr">
        <is>
          <t>Flight No</t>
        </is>
      </c>
      <c r="F1829" s="3" t="inlineStr">
        <is>
          <t>Dep Stn</t>
        </is>
      </c>
      <c r="G1829" s="3" t="inlineStr">
        <is>
          <t>Arr Stn</t>
        </is>
      </c>
      <c r="H1829" s="3" t="inlineStr">
        <is>
          <t>STD</t>
        </is>
      </c>
      <c r="I1829" s="3" t="inlineStr">
        <is>
          <t>STA</t>
        </is>
      </c>
      <c r="J1829" s="3" t="inlineStr">
        <is>
          <t>subflota</t>
        </is>
      </c>
      <c r="K1829" s="3" t="inlineStr">
        <is>
          <t>Conexion</t>
        </is>
      </c>
      <c r="L1829" s="3" t="inlineStr">
        <is>
          <t>HBT</t>
        </is>
      </c>
    </row>
    <row r="1830">
      <c r="B1830" s="4" t="inlineStr">
        <is>
          <t>2031_0</t>
        </is>
      </c>
      <c r="C1830" s="4" t="inlineStr">
        <is>
          <t>23/09/2026</t>
        </is>
      </c>
      <c r="D1830" s="4" t="inlineStr">
        <is>
          <t>miércoles</t>
        </is>
      </c>
      <c r="E1830" s="4" t="inlineStr">
        <is>
          <t>2301</t>
        </is>
      </c>
      <c r="F1830" s="4" t="inlineStr">
        <is>
          <t>LIM</t>
        </is>
      </c>
      <c r="G1830" s="4" t="inlineStr">
        <is>
          <t>TPP</t>
        </is>
      </c>
      <c r="H1830" s="4" t="inlineStr">
        <is>
          <t>15:40:00</t>
        </is>
      </c>
      <c r="I1830" s="4" t="inlineStr">
        <is>
          <t>17:05:00</t>
        </is>
      </c>
      <c r="J1830" s="4" t="inlineStr">
        <is>
          <t>320</t>
        </is>
      </c>
      <c r="L1830" s="4" t="inlineStr">
        <is>
          <t>01:25:00</t>
        </is>
      </c>
      <c r="M1830" s="5" t="n"/>
      <c r="O1830" s="5" t="n"/>
      <c r="Q1830" s="4">
        <f>B1830</f>
        <v/>
      </c>
      <c r="R1830" s="4">
        <f>C1830</f>
        <v/>
      </c>
      <c r="S1830" s="4">
        <f>D1830</f>
        <v/>
      </c>
      <c r="T1830" s="4">
        <f>E1830&amp;"/"&amp;E1831</f>
        <v/>
      </c>
      <c r="U1830" s="4">
        <f>F1830&amp;"-"&amp;G1830&amp;"-"&amp;F1830</f>
        <v/>
      </c>
      <c r="V1830" s="4">
        <f>IF($M$1830="","",$M$1830)</f>
        <v/>
      </c>
      <c r="W1830" s="4">
        <f>IF($O$1830="","",$O$1830)</f>
        <v/>
      </c>
      <c r="X1830" s="4">
        <f>J1830</f>
        <v/>
      </c>
    </row>
    <row r="1831">
      <c r="B1831" s="4" t="inlineStr">
        <is>
          <t>2031_0</t>
        </is>
      </c>
      <c r="C1831" s="4" t="inlineStr">
        <is>
          <t>23/09/2026</t>
        </is>
      </c>
      <c r="D1831" s="4" t="inlineStr">
        <is>
          <t>miércoles</t>
        </is>
      </c>
      <c r="E1831" s="4" t="inlineStr">
        <is>
          <t>2300</t>
        </is>
      </c>
      <c r="F1831" s="4" t="inlineStr">
        <is>
          <t>TPP</t>
        </is>
      </c>
      <c r="G1831" s="4" t="inlineStr">
        <is>
          <t>LIM</t>
        </is>
      </c>
      <c r="H1831" s="4" t="inlineStr">
        <is>
          <t>17:50:00</t>
        </is>
      </c>
      <c r="I1831" s="4" t="inlineStr">
        <is>
          <t>19:20:00</t>
        </is>
      </c>
      <c r="J1831" s="4" t="inlineStr">
        <is>
          <t>320</t>
        </is>
      </c>
      <c r="K1831">
        <f>TEXT(TIMEVALUE(H1831)-TIMEVALUE(I1830)+(TIMEVALUE(H1831)&lt;TIMEVALUE(I1830)),"[h]:mm")</f>
        <v/>
      </c>
      <c r="L1831" s="4" t="inlineStr">
        <is>
          <t>01:30:00</t>
        </is>
      </c>
      <c r="O1831">
        <f>"LIM-"&amp;G1830&amp;"-LIM   LA "&amp;E1830&amp;" ("&amp;LEFT(H1830,5)&amp;"-"&amp;LEFT(I1830,5)&amp;" hrs)  /  LA "&amp;E1831&amp;" ("&amp;LEFT(H1831,5)&amp;"-"&amp;LEFT(I1831,5)&amp;" hrs)"</f>
        <v/>
      </c>
    </row>
    <row r="1832">
      <c r="J1832" s="7" t="inlineStr">
        <is>
          <t>PSV total:</t>
        </is>
      </c>
      <c r="K1832" s="8">
        <f>TEXT(TIMEVALUE(I1831)-TIMEVALUE(H1830)+(I1831&lt;H1830),"[h]:mm")</f>
        <v/>
      </c>
    </row>
    <row r="1834">
      <c r="B1834" s="3" t="inlineStr">
        <is>
          <t>Pairing ID</t>
        </is>
      </c>
      <c r="C1834" s="3" t="inlineStr">
        <is>
          <t>FECHA REAL</t>
        </is>
      </c>
      <c r="D1834" s="3" t="inlineStr">
        <is>
          <t>Day of Week</t>
        </is>
      </c>
      <c r="E1834" s="3" t="inlineStr">
        <is>
          <t>Flight No</t>
        </is>
      </c>
      <c r="F1834" s="3" t="inlineStr">
        <is>
          <t>Dep Stn</t>
        </is>
      </c>
      <c r="G1834" s="3" t="inlineStr">
        <is>
          <t>Arr Stn</t>
        </is>
      </c>
      <c r="H1834" s="3" t="inlineStr">
        <is>
          <t>STD</t>
        </is>
      </c>
      <c r="I1834" s="3" t="inlineStr">
        <is>
          <t>STA</t>
        </is>
      </c>
      <c r="J1834" s="3" t="inlineStr">
        <is>
          <t>subflota</t>
        </is>
      </c>
      <c r="K1834" s="3" t="inlineStr">
        <is>
          <t>Conexion</t>
        </is>
      </c>
      <c r="L1834" s="3" t="inlineStr">
        <is>
          <t>HBT</t>
        </is>
      </c>
    </row>
    <row r="1835">
      <c r="B1835" s="4" t="inlineStr">
        <is>
          <t>2035_0</t>
        </is>
      </c>
      <c r="C1835" s="4" t="inlineStr">
        <is>
          <t>23/09/2026</t>
        </is>
      </c>
      <c r="D1835" s="4" t="inlineStr">
        <is>
          <t>miércoles</t>
        </is>
      </c>
      <c r="E1835" s="4" t="inlineStr">
        <is>
          <t>2276</t>
        </is>
      </c>
      <c r="F1835" s="4" t="inlineStr">
        <is>
          <t>LIM</t>
        </is>
      </c>
      <c r="G1835" s="4" t="inlineStr">
        <is>
          <t>CUZ</t>
        </is>
      </c>
      <c r="H1835" s="4" t="inlineStr">
        <is>
          <t>16:35:00</t>
        </is>
      </c>
      <c r="I1835" s="4" t="inlineStr">
        <is>
          <t>17:55:00</t>
        </is>
      </c>
      <c r="J1835" s="4" t="inlineStr">
        <is>
          <t>320</t>
        </is>
      </c>
      <c r="L1835" s="4" t="inlineStr">
        <is>
          <t>01:20:00</t>
        </is>
      </c>
      <c r="M1835" s="5" t="n"/>
      <c r="O1835" s="5" t="n"/>
      <c r="Q1835" s="4">
        <f>B1835</f>
        <v/>
      </c>
      <c r="R1835" s="4">
        <f>C1835</f>
        <v/>
      </c>
      <c r="S1835" s="4">
        <f>D1835</f>
        <v/>
      </c>
      <c r="T1835" s="4">
        <f>E1835&amp;"/"&amp;E1836</f>
        <v/>
      </c>
      <c r="U1835" s="4">
        <f>F1835&amp;"-"&amp;G1835&amp;"-"&amp;F1835</f>
        <v/>
      </c>
      <c r="V1835" s="4">
        <f>IF($M$1835="","",$M$1835)</f>
        <v/>
      </c>
      <c r="W1835" s="4">
        <f>IF($O$1835="","",$O$1835)</f>
        <v/>
      </c>
      <c r="X1835" s="4">
        <f>J1835</f>
        <v/>
      </c>
    </row>
    <row r="1836">
      <c r="B1836" s="4" t="inlineStr">
        <is>
          <t>2035_0</t>
        </is>
      </c>
      <c r="C1836" s="4" t="inlineStr">
        <is>
          <t>23/09/2026</t>
        </is>
      </c>
      <c r="D1836" s="4" t="inlineStr">
        <is>
          <t>miércoles</t>
        </is>
      </c>
      <c r="E1836" s="4" t="inlineStr">
        <is>
          <t>2277</t>
        </is>
      </c>
      <c r="F1836" s="4" t="inlineStr">
        <is>
          <t>CUZ</t>
        </is>
      </c>
      <c r="G1836" s="4" t="inlineStr">
        <is>
          <t>LIM</t>
        </is>
      </c>
      <c r="H1836" s="4" t="inlineStr">
        <is>
          <t>18:50:00</t>
        </is>
      </c>
      <c r="I1836" s="4" t="inlineStr">
        <is>
          <t>20:25:00</t>
        </is>
      </c>
      <c r="J1836" s="4" t="inlineStr">
        <is>
          <t>320</t>
        </is>
      </c>
      <c r="K1836">
        <f>TEXT(TIMEVALUE(H1836)-TIMEVALUE(I1835)+(TIMEVALUE(H1836)&lt;TIMEVALUE(I1835)),"[h]:mm")</f>
        <v/>
      </c>
      <c r="L1836" s="4" t="inlineStr">
        <is>
          <t>01:35:00</t>
        </is>
      </c>
      <c r="O1836">
        <f>"LIM-"&amp;G1835&amp;"-LIM   LA "&amp;E1835&amp;" ("&amp;LEFT(H1835,5)&amp;"-"&amp;LEFT(I1835,5)&amp;" hrs)  /  LA "&amp;E1836&amp;" ("&amp;LEFT(H1836,5)&amp;"-"&amp;LEFT(I1836,5)&amp;" hrs)"</f>
        <v/>
      </c>
    </row>
    <row r="1837">
      <c r="J1837" s="7" t="inlineStr">
        <is>
          <t>PSV total:</t>
        </is>
      </c>
      <c r="K1837" s="8">
        <f>TEXT(TIMEVALUE(I1836)-TIMEVALUE(H1835)+(I1836&lt;H1835),"[h]:mm")</f>
        <v/>
      </c>
    </row>
    <row r="1839">
      <c r="B1839" s="3" t="inlineStr">
        <is>
          <t>Pairing ID</t>
        </is>
      </c>
      <c r="C1839" s="3" t="inlineStr">
        <is>
          <t>FECHA REAL</t>
        </is>
      </c>
      <c r="D1839" s="3" t="inlineStr">
        <is>
          <t>Day of Week</t>
        </is>
      </c>
      <c r="E1839" s="3" t="inlineStr">
        <is>
          <t>Flight No</t>
        </is>
      </c>
      <c r="F1839" s="3" t="inlineStr">
        <is>
          <t>Dep Stn</t>
        </is>
      </c>
      <c r="G1839" s="3" t="inlineStr">
        <is>
          <t>Arr Stn</t>
        </is>
      </c>
      <c r="H1839" s="3" t="inlineStr">
        <is>
          <t>STD</t>
        </is>
      </c>
      <c r="I1839" s="3" t="inlineStr">
        <is>
          <t>STA</t>
        </is>
      </c>
      <c r="J1839" s="3" t="inlineStr">
        <is>
          <t>subflota</t>
        </is>
      </c>
      <c r="K1839" s="3" t="inlineStr">
        <is>
          <t>Conexion</t>
        </is>
      </c>
      <c r="L1839" s="3" t="inlineStr">
        <is>
          <t>HBT</t>
        </is>
      </c>
    </row>
    <row r="1840">
      <c r="B1840" s="4" t="inlineStr">
        <is>
          <t>2081_0</t>
        </is>
      </c>
      <c r="C1840" s="4" t="inlineStr">
        <is>
          <t>24/09/2026</t>
        </is>
      </c>
      <c r="D1840" s="4" t="inlineStr">
        <is>
          <t>jueves</t>
        </is>
      </c>
      <c r="E1840" s="4" t="inlineStr">
        <is>
          <t>2013</t>
        </is>
      </c>
      <c r="F1840" s="4" t="inlineStr">
        <is>
          <t>LIM</t>
        </is>
      </c>
      <c r="G1840" s="4" t="inlineStr">
        <is>
          <t>CUZ</t>
        </is>
      </c>
      <c r="H1840" s="4" t="inlineStr">
        <is>
          <t>08:35:00</t>
        </is>
      </c>
      <c r="I1840" s="4" t="inlineStr">
        <is>
          <t>09:55:00</t>
        </is>
      </c>
      <c r="J1840" s="4" t="inlineStr">
        <is>
          <t>320</t>
        </is>
      </c>
      <c r="L1840" s="4" t="inlineStr">
        <is>
          <t>01:20:00</t>
        </is>
      </c>
      <c r="M1840" s="5" t="n"/>
      <c r="O1840" s="5" t="n"/>
      <c r="Q1840" s="4">
        <f>B1840</f>
        <v/>
      </c>
      <c r="R1840" s="4">
        <f>C1840</f>
        <v/>
      </c>
      <c r="S1840" s="4">
        <f>D1840</f>
        <v/>
      </c>
      <c r="T1840" s="4">
        <f>E1840&amp;"/"&amp;E1841</f>
        <v/>
      </c>
      <c r="U1840" s="4">
        <f>F1840&amp;"-"&amp;G1840&amp;"-"&amp;F1840</f>
        <v/>
      </c>
      <c r="V1840" s="4">
        <f>IF($M$1840="","",$M$1840)</f>
        <v/>
      </c>
      <c r="W1840" s="4">
        <f>IF($O$1840="","",$O$1840)</f>
        <v/>
      </c>
      <c r="X1840" s="4">
        <f>J1840</f>
        <v/>
      </c>
    </row>
    <row r="1841">
      <c r="B1841" s="4" t="inlineStr">
        <is>
          <t>2081_0</t>
        </is>
      </c>
      <c r="C1841" s="4" t="inlineStr">
        <is>
          <t>24/09/2026</t>
        </is>
      </c>
      <c r="D1841" s="4" t="inlineStr">
        <is>
          <t>jueves</t>
        </is>
      </c>
      <c r="E1841" s="4" t="inlineStr">
        <is>
          <t>2014</t>
        </is>
      </c>
      <c r="F1841" s="4" t="inlineStr">
        <is>
          <t>CUZ</t>
        </is>
      </c>
      <c r="G1841" s="4" t="inlineStr">
        <is>
          <t>LIM</t>
        </is>
      </c>
      <c r="H1841" s="4" t="inlineStr">
        <is>
          <t>10:40:00</t>
        </is>
      </c>
      <c r="I1841" s="4" t="inlineStr">
        <is>
          <t>12:15:00</t>
        </is>
      </c>
      <c r="J1841" s="4" t="inlineStr">
        <is>
          <t>320</t>
        </is>
      </c>
      <c r="K1841">
        <f>TEXT(TIMEVALUE(H1841)-TIMEVALUE(I1840)+(TIMEVALUE(H1841)&lt;TIMEVALUE(I1840)),"[h]:mm")</f>
        <v/>
      </c>
      <c r="L1841" s="4" t="inlineStr">
        <is>
          <t>01:35:00</t>
        </is>
      </c>
      <c r="O1841">
        <f>"LIM-"&amp;G1840&amp;"-LIM   LA "&amp;E1840&amp;" ("&amp;LEFT(H1840,5)&amp;"-"&amp;LEFT(I1840,5)&amp;" hrs)  /  LA "&amp;E1841&amp;" ("&amp;LEFT(H1841,5)&amp;"-"&amp;LEFT(I1841,5)&amp;" hrs)"</f>
        <v/>
      </c>
    </row>
    <row r="1842">
      <c r="J1842" s="7" t="inlineStr">
        <is>
          <t>PSV total:</t>
        </is>
      </c>
      <c r="K1842" s="8">
        <f>TEXT(TIMEVALUE(I1841)-TIMEVALUE(H1840)+(I1841&lt;H1840),"[h]:mm")</f>
        <v/>
      </c>
    </row>
    <row r="1844">
      <c r="B1844" s="3" t="inlineStr">
        <is>
          <t>Pairing ID</t>
        </is>
      </c>
      <c r="C1844" s="3" t="inlineStr">
        <is>
          <t>FECHA REAL</t>
        </is>
      </c>
      <c r="D1844" s="3" t="inlineStr">
        <is>
          <t>Day of Week</t>
        </is>
      </c>
      <c r="E1844" s="3" t="inlineStr">
        <is>
          <t>Flight No</t>
        </is>
      </c>
      <c r="F1844" s="3" t="inlineStr">
        <is>
          <t>Dep Stn</t>
        </is>
      </c>
      <c r="G1844" s="3" t="inlineStr">
        <is>
          <t>Arr Stn</t>
        </is>
      </c>
      <c r="H1844" s="3" t="inlineStr">
        <is>
          <t>STD</t>
        </is>
      </c>
      <c r="I1844" s="3" t="inlineStr">
        <is>
          <t>STA</t>
        </is>
      </c>
      <c r="J1844" s="3" t="inlineStr">
        <is>
          <t>subflota</t>
        </is>
      </c>
      <c r="K1844" s="3" t="inlineStr">
        <is>
          <t>Conexion</t>
        </is>
      </c>
      <c r="L1844" s="3" t="inlineStr">
        <is>
          <t>HBT</t>
        </is>
      </c>
    </row>
    <row r="1845">
      <c r="B1845" s="4" t="inlineStr">
        <is>
          <t>2087_0</t>
        </is>
      </c>
      <c r="C1845" s="4" t="inlineStr">
        <is>
          <t>24/09/2026</t>
        </is>
      </c>
      <c r="D1845" s="4" t="inlineStr">
        <is>
          <t>jueves</t>
        </is>
      </c>
      <c r="E1845" s="4" t="inlineStr">
        <is>
          <t>2052</t>
        </is>
      </c>
      <c r="F1845" s="4" t="inlineStr">
        <is>
          <t>LIM</t>
        </is>
      </c>
      <c r="G1845" s="4" t="inlineStr">
        <is>
          <t>TBP</t>
        </is>
      </c>
      <c r="H1845" s="4" t="inlineStr">
        <is>
          <t>10:20:00</t>
        </is>
      </c>
      <c r="I1845" s="4" t="inlineStr">
        <is>
          <t>12:15:00</t>
        </is>
      </c>
      <c r="J1845" s="4" t="inlineStr">
        <is>
          <t>320</t>
        </is>
      </c>
      <c r="L1845" s="4" t="inlineStr">
        <is>
          <t>01:55:00</t>
        </is>
      </c>
      <c r="M1845" s="5" t="n"/>
      <c r="O1845" s="5" t="n"/>
      <c r="Q1845" s="4">
        <f>B1845</f>
        <v/>
      </c>
      <c r="R1845" s="4">
        <f>C1845</f>
        <v/>
      </c>
      <c r="S1845" s="4">
        <f>D1845</f>
        <v/>
      </c>
      <c r="T1845" s="4">
        <f>E1845&amp;"/"&amp;E1846</f>
        <v/>
      </c>
      <c r="U1845" s="4">
        <f>F1845&amp;"-"&amp;G1845&amp;"-"&amp;F1845</f>
        <v/>
      </c>
      <c r="V1845" s="4">
        <f>IF($M$1845="","",$M$1845)</f>
        <v/>
      </c>
      <c r="W1845" s="4">
        <f>IF($O$1845="","",$O$1845)</f>
        <v/>
      </c>
      <c r="X1845" s="4">
        <f>J1845</f>
        <v/>
      </c>
    </row>
    <row r="1846">
      <c r="B1846" s="4" t="inlineStr">
        <is>
          <t>2087_0</t>
        </is>
      </c>
      <c r="C1846" s="4" t="inlineStr">
        <is>
          <t>24/09/2026</t>
        </is>
      </c>
      <c r="D1846" s="4" t="inlineStr">
        <is>
          <t>jueves</t>
        </is>
      </c>
      <c r="E1846" s="4" t="inlineStr">
        <is>
          <t>2051</t>
        </is>
      </c>
      <c r="F1846" s="4" t="inlineStr">
        <is>
          <t>TBP</t>
        </is>
      </c>
      <c r="G1846" s="4" t="inlineStr">
        <is>
          <t>LIM</t>
        </is>
      </c>
      <c r="H1846" s="4" t="inlineStr">
        <is>
          <t>12:55:00</t>
        </is>
      </c>
      <c r="I1846" s="4" t="inlineStr">
        <is>
          <t>14:35:00</t>
        </is>
      </c>
      <c r="J1846" s="4" t="inlineStr">
        <is>
          <t>320</t>
        </is>
      </c>
      <c r="K1846">
        <f>TEXT(TIMEVALUE(H1846)-TIMEVALUE(I1845)+(TIMEVALUE(H1846)&lt;TIMEVALUE(I1845)),"[h]:mm")</f>
        <v/>
      </c>
      <c r="L1846" s="4" t="inlineStr">
        <is>
          <t>01:40:00</t>
        </is>
      </c>
      <c r="O1846">
        <f>"LIM-"&amp;G1845&amp;"-LIM   LA "&amp;E1845&amp;" ("&amp;LEFT(H1845,5)&amp;"-"&amp;LEFT(I1845,5)&amp;" hrs)  /  LA "&amp;E1846&amp;" ("&amp;LEFT(H1846,5)&amp;"-"&amp;LEFT(I1846,5)&amp;" hrs)"</f>
        <v/>
      </c>
    </row>
    <row r="1847">
      <c r="B1847" s="4" t="inlineStr">
        <is>
          <t>2115_0</t>
        </is>
      </c>
      <c r="C1847" s="4" t="inlineStr">
        <is>
          <t>24/09/2026</t>
        </is>
      </c>
      <c r="D1847" s="4" t="inlineStr">
        <is>
          <t>jueves</t>
        </is>
      </c>
      <c r="E1847" s="4" t="inlineStr">
        <is>
          <t>2312</t>
        </is>
      </c>
      <c r="F1847" s="4" t="inlineStr">
        <is>
          <t>LIM</t>
        </is>
      </c>
      <c r="G1847" s="4" t="inlineStr">
        <is>
          <t>CIX</t>
        </is>
      </c>
      <c r="H1847" s="4" t="inlineStr">
        <is>
          <t>15:35:00</t>
        </is>
      </c>
      <c r="I1847" s="4" t="inlineStr">
        <is>
          <t>17:05:00</t>
        </is>
      </c>
      <c r="J1847" s="4" t="inlineStr">
        <is>
          <t>320</t>
        </is>
      </c>
      <c r="K1847" s="6">
        <f>TEXT(TIMEVALUE(H1847)-TIMEVALUE(I1846)+(TIMEVALUE(H1847)&lt;TIMEVALUE(I1846)),"[h]:mm")</f>
        <v/>
      </c>
      <c r="L1847" s="4" t="inlineStr">
        <is>
          <t>01:30:00</t>
        </is>
      </c>
      <c r="M1847">
        <f>IF($M$1845="","",$M$1845)</f>
        <v/>
      </c>
      <c r="O1847">
        <f>IF($O$1845="","",$O$1845)</f>
        <v/>
      </c>
      <c r="Q1847" s="4">
        <f>B1847</f>
        <v/>
      </c>
      <c r="R1847" s="4">
        <f>C1847</f>
        <v/>
      </c>
      <c r="S1847" s="4">
        <f>D1847</f>
        <v/>
      </c>
      <c r="T1847" s="4">
        <f>E1847&amp;"/"&amp;E1848</f>
        <v/>
      </c>
      <c r="U1847" s="4">
        <f>F1847&amp;"-"&amp;G1847&amp;"-"&amp;F1847</f>
        <v/>
      </c>
      <c r="V1847" s="4">
        <f>IF($M$1845="","",$M$1845)</f>
        <v/>
      </c>
      <c r="W1847" s="4">
        <f>IF($O$1845="","",$O$1845)</f>
        <v/>
      </c>
      <c r="X1847" s="4">
        <f>J1847</f>
        <v/>
      </c>
    </row>
    <row r="1848">
      <c r="B1848" s="4" t="inlineStr">
        <is>
          <t>2115_0</t>
        </is>
      </c>
      <c r="C1848" s="4" t="inlineStr">
        <is>
          <t>24/09/2026</t>
        </is>
      </c>
      <c r="D1848" s="4" t="inlineStr">
        <is>
          <t>jueves</t>
        </is>
      </c>
      <c r="E1848" s="4" t="inlineStr">
        <is>
          <t>2313</t>
        </is>
      </c>
      <c r="F1848" s="4" t="inlineStr">
        <is>
          <t>CIX</t>
        </is>
      </c>
      <c r="G1848" s="4" t="inlineStr">
        <is>
          <t>LIM</t>
        </is>
      </c>
      <c r="H1848" s="4" t="inlineStr">
        <is>
          <t>17:50:00</t>
        </is>
      </c>
      <c r="I1848" s="4" t="inlineStr">
        <is>
          <t>19:10:00</t>
        </is>
      </c>
      <c r="J1848" s="4" t="inlineStr">
        <is>
          <t>320</t>
        </is>
      </c>
      <c r="K1848">
        <f>TEXT(TIMEVALUE(H1848)-TIMEVALUE(I1847)+(TIMEVALUE(H1848)&lt;TIMEVALUE(I1847)),"[h]:mm")</f>
        <v/>
      </c>
      <c r="L1848" s="4" t="inlineStr">
        <is>
          <t>01:20:00</t>
        </is>
      </c>
      <c r="O1848">
        <f>"LIM-"&amp;G1847&amp;"-LIM   LA "&amp;E1847&amp;" ("&amp;LEFT(H1847,5)&amp;"-"&amp;LEFT(I1847,5)&amp;" hrs)  /  LA "&amp;E1848&amp;" ("&amp;LEFT(H1848,5)&amp;"-"&amp;LEFT(I1848,5)&amp;" hrs)"</f>
        <v/>
      </c>
    </row>
    <row r="1849">
      <c r="J1849" s="7" t="inlineStr">
        <is>
          <t>PSV total:</t>
        </is>
      </c>
      <c r="K1849" s="8">
        <f>TEXT(TIMEVALUE(I1848)-TIMEVALUE(H1845)+(I1848&lt;H1845),"[h]:mm")</f>
        <v/>
      </c>
    </row>
    <row r="1851">
      <c r="B1851" s="3" t="inlineStr">
        <is>
          <t>Pairing ID</t>
        </is>
      </c>
      <c r="C1851" s="3" t="inlineStr">
        <is>
          <t>FECHA REAL</t>
        </is>
      </c>
      <c r="D1851" s="3" t="inlineStr">
        <is>
          <t>Day of Week</t>
        </is>
      </c>
      <c r="E1851" s="3" t="inlineStr">
        <is>
          <t>Flight No</t>
        </is>
      </c>
      <c r="F1851" s="3" t="inlineStr">
        <is>
          <t>Dep Stn</t>
        </is>
      </c>
      <c r="G1851" s="3" t="inlineStr">
        <is>
          <t>Arr Stn</t>
        </is>
      </c>
      <c r="H1851" s="3" t="inlineStr">
        <is>
          <t>STD</t>
        </is>
      </c>
      <c r="I1851" s="3" t="inlineStr">
        <is>
          <t>STA</t>
        </is>
      </c>
      <c r="J1851" s="3" t="inlineStr">
        <is>
          <t>subflota</t>
        </is>
      </c>
      <c r="K1851" s="3" t="inlineStr">
        <is>
          <t>Conexion</t>
        </is>
      </c>
      <c r="L1851" s="3" t="inlineStr">
        <is>
          <t>HBT</t>
        </is>
      </c>
    </row>
    <row r="1852">
      <c r="B1852" s="4" t="inlineStr">
        <is>
          <t>2089_0</t>
        </is>
      </c>
      <c r="C1852" s="4" t="inlineStr">
        <is>
          <t>24/09/2026</t>
        </is>
      </c>
      <c r="D1852" s="4" t="inlineStr">
        <is>
          <t>jueves</t>
        </is>
      </c>
      <c r="E1852" s="4" t="inlineStr">
        <is>
          <t>2299</t>
        </is>
      </c>
      <c r="F1852" s="4" t="inlineStr">
        <is>
          <t>LIM</t>
        </is>
      </c>
      <c r="G1852" s="4" t="inlineStr">
        <is>
          <t>CJA</t>
        </is>
      </c>
      <c r="H1852" s="4" t="inlineStr">
        <is>
          <t>11:35:00</t>
        </is>
      </c>
      <c r="I1852" s="4" t="inlineStr">
        <is>
          <t>12:55:00</t>
        </is>
      </c>
      <c r="J1852" s="4" t="inlineStr">
        <is>
          <t>320</t>
        </is>
      </c>
      <c r="L1852" s="4" t="inlineStr">
        <is>
          <t>01:20:00</t>
        </is>
      </c>
      <c r="M1852" s="5" t="n"/>
      <c r="O1852" s="5" t="n"/>
      <c r="Q1852" s="4">
        <f>B1852</f>
        <v/>
      </c>
      <c r="R1852" s="4">
        <f>C1852</f>
        <v/>
      </c>
      <c r="S1852" s="4">
        <f>D1852</f>
        <v/>
      </c>
      <c r="T1852" s="4">
        <f>E1852&amp;"/"&amp;E1853</f>
        <v/>
      </c>
      <c r="U1852" s="4">
        <f>F1852&amp;"-"&amp;G1852&amp;"-"&amp;F1852</f>
        <v/>
      </c>
      <c r="V1852" s="4">
        <f>IF($M$1852="","",$M$1852)</f>
        <v/>
      </c>
      <c r="W1852" s="4">
        <f>IF($O$1852="","",$O$1852)</f>
        <v/>
      </c>
      <c r="X1852" s="4">
        <f>J1852</f>
        <v/>
      </c>
    </row>
    <row r="1853">
      <c r="B1853" s="4" t="inlineStr">
        <is>
          <t>2089_0</t>
        </is>
      </c>
      <c r="C1853" s="4" t="inlineStr">
        <is>
          <t>24/09/2026</t>
        </is>
      </c>
      <c r="D1853" s="4" t="inlineStr">
        <is>
          <t>jueves</t>
        </is>
      </c>
      <c r="E1853" s="4" t="inlineStr">
        <is>
          <t>2298</t>
        </is>
      </c>
      <c r="F1853" s="4" t="inlineStr">
        <is>
          <t>CJA</t>
        </is>
      </c>
      <c r="G1853" s="4" t="inlineStr">
        <is>
          <t>LIM</t>
        </is>
      </c>
      <c r="H1853" s="4" t="inlineStr">
        <is>
          <t>13:40:00</t>
        </is>
      </c>
      <c r="I1853" s="4" t="inlineStr">
        <is>
          <t>14:50:00</t>
        </is>
      </c>
      <c r="J1853" s="4" t="inlineStr">
        <is>
          <t>320</t>
        </is>
      </c>
      <c r="K1853">
        <f>TEXT(TIMEVALUE(H1853)-TIMEVALUE(I1852)+(TIMEVALUE(H1853)&lt;TIMEVALUE(I1852)),"[h]:mm")</f>
        <v/>
      </c>
      <c r="L1853" s="4" t="inlineStr">
        <is>
          <t>01:10:00</t>
        </is>
      </c>
      <c r="O1853">
        <f>"LIM-"&amp;G1852&amp;"-LIM   LA "&amp;E1852&amp;" ("&amp;LEFT(H1852,5)&amp;"-"&amp;LEFT(I1852,5)&amp;" hrs)  /  LA "&amp;E1853&amp;" ("&amp;LEFT(H1853,5)&amp;"-"&amp;LEFT(I1853,5)&amp;" hrs)"</f>
        <v/>
      </c>
    </row>
    <row r="1854">
      <c r="J1854" s="7" t="inlineStr">
        <is>
          <t>PSV total:</t>
        </is>
      </c>
      <c r="K1854" s="8">
        <f>TEXT(TIMEVALUE(I1853)-TIMEVALUE(H1852)+(I1853&lt;H1852),"[h]:mm")</f>
        <v/>
      </c>
    </row>
    <row r="1856">
      <c r="B1856" s="3" t="inlineStr">
        <is>
          <t>Pairing ID</t>
        </is>
      </c>
      <c r="C1856" s="3" t="inlineStr">
        <is>
          <t>FECHA REAL</t>
        </is>
      </c>
      <c r="D1856" s="3" t="inlineStr">
        <is>
          <t>Day of Week</t>
        </is>
      </c>
      <c r="E1856" s="3" t="inlineStr">
        <is>
          <t>Flight No</t>
        </is>
      </c>
      <c r="F1856" s="3" t="inlineStr">
        <is>
          <t>Dep Stn</t>
        </is>
      </c>
      <c r="G1856" s="3" t="inlineStr">
        <is>
          <t>Arr Stn</t>
        </is>
      </c>
      <c r="H1856" s="3" t="inlineStr">
        <is>
          <t>STD</t>
        </is>
      </c>
      <c r="I1856" s="3" t="inlineStr">
        <is>
          <t>STA</t>
        </is>
      </c>
      <c r="J1856" s="3" t="inlineStr">
        <is>
          <t>subflota</t>
        </is>
      </c>
      <c r="K1856" s="3" t="inlineStr">
        <is>
          <t>Conexion</t>
        </is>
      </c>
      <c r="L1856" s="3" t="inlineStr">
        <is>
          <t>HBT</t>
        </is>
      </c>
    </row>
    <row r="1857">
      <c r="B1857" s="4" t="inlineStr">
        <is>
          <t>2094_0</t>
        </is>
      </c>
      <c r="C1857" s="4" t="inlineStr">
        <is>
          <t>24/09/2026</t>
        </is>
      </c>
      <c r="D1857" s="4" t="inlineStr">
        <is>
          <t>jueves</t>
        </is>
      </c>
      <c r="E1857" s="4" t="inlineStr">
        <is>
          <t>2023</t>
        </is>
      </c>
      <c r="F1857" s="4" t="inlineStr">
        <is>
          <t>LIM</t>
        </is>
      </c>
      <c r="G1857" s="4" t="inlineStr">
        <is>
          <t>PEM</t>
        </is>
      </c>
      <c r="H1857" s="4" t="inlineStr">
        <is>
          <t>12:15:00</t>
        </is>
      </c>
      <c r="I1857" s="4" t="inlineStr">
        <is>
          <t>13:55:00</t>
        </is>
      </c>
      <c r="J1857" s="4" t="inlineStr">
        <is>
          <t>320</t>
        </is>
      </c>
      <c r="L1857" s="4" t="inlineStr">
        <is>
          <t>01:40:00</t>
        </is>
      </c>
      <c r="M1857" s="5" t="n"/>
      <c r="O1857" s="5" t="n"/>
      <c r="Q1857" s="4">
        <f>B1857</f>
        <v/>
      </c>
      <c r="R1857" s="4">
        <f>C1857</f>
        <v/>
      </c>
      <c r="S1857" s="4">
        <f>D1857</f>
        <v/>
      </c>
      <c r="T1857" s="4">
        <f>E1857&amp;"/"&amp;E1858</f>
        <v/>
      </c>
      <c r="U1857" s="4">
        <f>F1857&amp;"-"&amp;G1857&amp;"-"&amp;F1857</f>
        <v/>
      </c>
      <c r="V1857" s="4">
        <f>IF($M$1857="","",$M$1857)</f>
        <v/>
      </c>
      <c r="W1857" s="4">
        <f>IF($O$1857="","",$O$1857)</f>
        <v/>
      </c>
      <c r="X1857" s="4">
        <f>J1857</f>
        <v/>
      </c>
    </row>
    <row r="1858">
      <c r="B1858" s="4" t="inlineStr">
        <is>
          <t>2094_0</t>
        </is>
      </c>
      <c r="C1858" s="4" t="inlineStr">
        <is>
          <t>24/09/2026</t>
        </is>
      </c>
      <c r="D1858" s="4" t="inlineStr">
        <is>
          <t>jueves</t>
        </is>
      </c>
      <c r="E1858" s="4" t="inlineStr">
        <is>
          <t>2024</t>
        </is>
      </c>
      <c r="F1858" s="4" t="inlineStr">
        <is>
          <t>PEM</t>
        </is>
      </c>
      <c r="G1858" s="4" t="inlineStr">
        <is>
          <t>LIM</t>
        </is>
      </c>
      <c r="H1858" s="4" t="inlineStr">
        <is>
          <t>14:35:00</t>
        </is>
      </c>
      <c r="I1858" s="4" t="inlineStr">
        <is>
          <t>16:10:00</t>
        </is>
      </c>
      <c r="J1858" s="4" t="inlineStr">
        <is>
          <t>320</t>
        </is>
      </c>
      <c r="K1858">
        <f>TEXT(TIMEVALUE(H1858)-TIMEVALUE(I1857)+(TIMEVALUE(H1858)&lt;TIMEVALUE(I1857)),"[h]:mm")</f>
        <v/>
      </c>
      <c r="L1858" s="4" t="inlineStr">
        <is>
          <t>01:35:00</t>
        </is>
      </c>
      <c r="O1858">
        <f>"LIM-"&amp;G1857&amp;"-LIM   LA "&amp;E1857&amp;" ("&amp;LEFT(H1857,5)&amp;"-"&amp;LEFT(I1857,5)&amp;" hrs)  /  LA "&amp;E1858&amp;" ("&amp;LEFT(H1858,5)&amp;"-"&amp;LEFT(I1858,5)&amp;" hrs)"</f>
        <v/>
      </c>
    </row>
    <row r="1859">
      <c r="J1859" s="7" t="inlineStr">
        <is>
          <t>PSV total:</t>
        </is>
      </c>
      <c r="K1859" s="8">
        <f>TEXT(TIMEVALUE(I1858)-TIMEVALUE(H1857)+(I1858&lt;H1857),"[h]:mm")</f>
        <v/>
      </c>
    </row>
    <row r="1861">
      <c r="B1861" s="3" t="inlineStr">
        <is>
          <t>Pairing ID</t>
        </is>
      </c>
      <c r="C1861" s="3" t="inlineStr">
        <is>
          <t>FECHA REAL</t>
        </is>
      </c>
      <c r="D1861" s="3" t="inlineStr">
        <is>
          <t>Day of Week</t>
        </is>
      </c>
      <c r="E1861" s="3" t="inlineStr">
        <is>
          <t>Flight No</t>
        </is>
      </c>
      <c r="F1861" s="3" t="inlineStr">
        <is>
          <t>Dep Stn</t>
        </is>
      </c>
      <c r="G1861" s="3" t="inlineStr">
        <is>
          <t>Arr Stn</t>
        </is>
      </c>
      <c r="H1861" s="3" t="inlineStr">
        <is>
          <t>STD</t>
        </is>
      </c>
      <c r="I1861" s="3" t="inlineStr">
        <is>
          <t>STA</t>
        </is>
      </c>
      <c r="J1861" s="3" t="inlineStr">
        <is>
          <t>subflota</t>
        </is>
      </c>
      <c r="K1861" s="3" t="inlineStr">
        <is>
          <t>Conexion</t>
        </is>
      </c>
      <c r="L1861" s="3" t="inlineStr">
        <is>
          <t>HBT</t>
        </is>
      </c>
    </row>
    <row r="1862">
      <c r="B1862" s="4" t="inlineStr">
        <is>
          <t>2097_0</t>
        </is>
      </c>
      <c r="C1862" s="4" t="inlineStr">
        <is>
          <t>24/09/2026</t>
        </is>
      </c>
      <c r="D1862" s="4" t="inlineStr">
        <is>
          <t>jueves</t>
        </is>
      </c>
      <c r="E1862" s="4" t="inlineStr">
        <is>
          <t>2308</t>
        </is>
      </c>
      <c r="F1862" s="4" t="inlineStr">
        <is>
          <t>LIM</t>
        </is>
      </c>
      <c r="G1862" s="4" t="inlineStr">
        <is>
          <t>PIU</t>
        </is>
      </c>
      <c r="H1862" s="4" t="inlineStr">
        <is>
          <t>12:50:00</t>
        </is>
      </c>
      <c r="I1862" s="4" t="inlineStr">
        <is>
          <t>14:35:00</t>
        </is>
      </c>
      <c r="J1862" s="4" t="inlineStr">
        <is>
          <t>320</t>
        </is>
      </c>
      <c r="L1862" s="4" t="inlineStr">
        <is>
          <t>01:45:00</t>
        </is>
      </c>
      <c r="M1862" s="5" t="n"/>
      <c r="O1862" s="5" t="n"/>
      <c r="Q1862" s="4">
        <f>B1862</f>
        <v/>
      </c>
      <c r="R1862" s="4">
        <f>C1862</f>
        <v/>
      </c>
      <c r="S1862" s="4">
        <f>D1862</f>
        <v/>
      </c>
      <c r="T1862" s="4">
        <f>E1862&amp;"/"&amp;E1863</f>
        <v/>
      </c>
      <c r="U1862" s="4">
        <f>F1862&amp;"-"&amp;G1862&amp;"-"&amp;F1862</f>
        <v/>
      </c>
      <c r="V1862" s="4">
        <f>IF($M$1862="","",$M$1862)</f>
        <v/>
      </c>
      <c r="W1862" s="4">
        <f>IF($O$1862="","",$O$1862)</f>
        <v/>
      </c>
      <c r="X1862" s="4">
        <f>J1862</f>
        <v/>
      </c>
    </row>
    <row r="1863">
      <c r="B1863" s="4" t="inlineStr">
        <is>
          <t>2097_0</t>
        </is>
      </c>
      <c r="C1863" s="4" t="inlineStr">
        <is>
          <t>24/09/2026</t>
        </is>
      </c>
      <c r="D1863" s="4" t="inlineStr">
        <is>
          <t>jueves</t>
        </is>
      </c>
      <c r="E1863" s="4" t="inlineStr">
        <is>
          <t>2309</t>
        </is>
      </c>
      <c r="F1863" s="4" t="inlineStr">
        <is>
          <t>PIU</t>
        </is>
      </c>
      <c r="G1863" s="4" t="inlineStr">
        <is>
          <t>LIM</t>
        </is>
      </c>
      <c r="H1863" s="4" t="inlineStr">
        <is>
          <t>15:25:00</t>
        </is>
      </c>
      <c r="I1863" s="4" t="inlineStr">
        <is>
          <t>16:55:00</t>
        </is>
      </c>
      <c r="J1863" s="4" t="inlineStr">
        <is>
          <t>320</t>
        </is>
      </c>
      <c r="K1863">
        <f>TEXT(TIMEVALUE(H1863)-TIMEVALUE(I1862)+(TIMEVALUE(H1863)&lt;TIMEVALUE(I1862)),"[h]:mm")</f>
        <v/>
      </c>
      <c r="L1863" s="4" t="inlineStr">
        <is>
          <t>01:30:00</t>
        </is>
      </c>
      <c r="O1863">
        <f>"LIM-"&amp;G1862&amp;"-LIM   LA "&amp;E1862&amp;" ("&amp;LEFT(H1862,5)&amp;"-"&amp;LEFT(I1862,5)&amp;" hrs)  /  LA "&amp;E1863&amp;" ("&amp;LEFT(H1863,5)&amp;"-"&amp;LEFT(I1863,5)&amp;" hrs)"</f>
        <v/>
      </c>
    </row>
    <row r="1864">
      <c r="B1864" s="4" t="inlineStr">
        <is>
          <t>2122_0</t>
        </is>
      </c>
      <c r="C1864" s="4" t="inlineStr">
        <is>
          <t>24/09/2026</t>
        </is>
      </c>
      <c r="D1864" s="4" t="inlineStr">
        <is>
          <t>jueves</t>
        </is>
      </c>
      <c r="E1864" s="4" t="inlineStr">
        <is>
          <t>2310</t>
        </is>
      </c>
      <c r="F1864" s="4" t="inlineStr">
        <is>
          <t>LIM</t>
        </is>
      </c>
      <c r="G1864" s="4" t="inlineStr">
        <is>
          <t>CIX</t>
        </is>
      </c>
      <c r="H1864" s="4" t="inlineStr">
        <is>
          <t>18:20:00</t>
        </is>
      </c>
      <c r="I1864" s="4" t="inlineStr">
        <is>
          <t>19:45:00</t>
        </is>
      </c>
      <c r="J1864" s="4" t="inlineStr">
        <is>
          <t>320</t>
        </is>
      </c>
      <c r="K1864" s="6">
        <f>TEXT(TIMEVALUE(H1864)-TIMEVALUE(I1863)+(TIMEVALUE(H1864)&lt;TIMEVALUE(I1863)),"[h]:mm")</f>
        <v/>
      </c>
      <c r="L1864" s="4" t="inlineStr">
        <is>
          <t>01:25:00</t>
        </is>
      </c>
      <c r="M1864">
        <f>IF($M$1862="","",$M$1862)</f>
        <v/>
      </c>
      <c r="O1864">
        <f>IF($O$1862="","",$O$1862)</f>
        <v/>
      </c>
      <c r="Q1864" s="4">
        <f>B1864</f>
        <v/>
      </c>
      <c r="R1864" s="4">
        <f>C1864</f>
        <v/>
      </c>
      <c r="S1864" s="4">
        <f>D1864</f>
        <v/>
      </c>
      <c r="T1864" s="4">
        <f>E1864&amp;"/"&amp;E1865</f>
        <v/>
      </c>
      <c r="U1864" s="4">
        <f>F1864&amp;"-"&amp;G1864&amp;"-"&amp;F1864</f>
        <v/>
      </c>
      <c r="V1864" s="4">
        <f>IF($M$1862="","",$M$1862)</f>
        <v/>
      </c>
      <c r="W1864" s="4">
        <f>IF($O$1862="","",$O$1862)</f>
        <v/>
      </c>
      <c r="X1864" s="4">
        <f>J1864</f>
        <v/>
      </c>
    </row>
    <row r="1865">
      <c r="B1865" s="4" t="inlineStr">
        <is>
          <t>2122_0</t>
        </is>
      </c>
      <c r="C1865" s="4" t="inlineStr">
        <is>
          <t>24/09/2026</t>
        </is>
      </c>
      <c r="D1865" s="4" t="inlineStr">
        <is>
          <t>jueves</t>
        </is>
      </c>
      <c r="E1865" s="4" t="inlineStr">
        <is>
          <t>2311</t>
        </is>
      </c>
      <c r="F1865" s="4" t="inlineStr">
        <is>
          <t>CIX</t>
        </is>
      </c>
      <c r="G1865" s="4" t="inlineStr">
        <is>
          <t>LIM</t>
        </is>
      </c>
      <c r="H1865" s="4" t="inlineStr">
        <is>
          <t>20:20:00</t>
        </is>
      </c>
      <c r="I1865" s="4" t="inlineStr">
        <is>
          <t>21:35:00</t>
        </is>
      </c>
      <c r="J1865" s="4" t="inlineStr">
        <is>
          <t>320</t>
        </is>
      </c>
      <c r="K1865">
        <f>TEXT(TIMEVALUE(H1865)-TIMEVALUE(I1864)+(TIMEVALUE(H1865)&lt;TIMEVALUE(I1864)),"[h]:mm")</f>
        <v/>
      </c>
      <c r="L1865" s="4" t="inlineStr">
        <is>
          <t>01:15:00</t>
        </is>
      </c>
      <c r="O1865">
        <f>"LIM-"&amp;G1864&amp;"-LIM   LA "&amp;E1864&amp;" ("&amp;LEFT(H1864,5)&amp;"-"&amp;LEFT(I1864,5)&amp;" hrs)  /  LA "&amp;E1865&amp;" ("&amp;LEFT(H1865,5)&amp;"-"&amp;LEFT(I1865,5)&amp;" hrs)"</f>
        <v/>
      </c>
    </row>
    <row r="1866">
      <c r="J1866" s="7" t="inlineStr">
        <is>
          <t>PSV total:</t>
        </is>
      </c>
      <c r="K1866" s="8">
        <f>TEXT(TIMEVALUE(I1865)-TIMEVALUE(H1862)+(I1865&lt;H1862),"[h]:mm")</f>
        <v/>
      </c>
    </row>
    <row r="1868">
      <c r="B1868" s="3" t="inlineStr">
        <is>
          <t>Pairing ID</t>
        </is>
      </c>
      <c r="C1868" s="3" t="inlineStr">
        <is>
          <t>FECHA REAL</t>
        </is>
      </c>
      <c r="D1868" s="3" t="inlineStr">
        <is>
          <t>Day of Week</t>
        </is>
      </c>
      <c r="E1868" s="3" t="inlineStr">
        <is>
          <t>Flight No</t>
        </is>
      </c>
      <c r="F1868" s="3" t="inlineStr">
        <is>
          <t>Dep Stn</t>
        </is>
      </c>
      <c r="G1868" s="3" t="inlineStr">
        <is>
          <t>Arr Stn</t>
        </is>
      </c>
      <c r="H1868" s="3" t="inlineStr">
        <is>
          <t>STD</t>
        </is>
      </c>
      <c r="I1868" s="3" t="inlineStr">
        <is>
          <t>STA</t>
        </is>
      </c>
      <c r="J1868" s="3" t="inlineStr">
        <is>
          <t>subflota</t>
        </is>
      </c>
      <c r="K1868" s="3" t="inlineStr">
        <is>
          <t>Conexion</t>
        </is>
      </c>
      <c r="L1868" s="3" t="inlineStr">
        <is>
          <t>HBT</t>
        </is>
      </c>
    </row>
    <row r="1869">
      <c r="B1869" s="4" t="inlineStr">
        <is>
          <t>2102_0</t>
        </is>
      </c>
      <c r="C1869" s="4" t="inlineStr">
        <is>
          <t>24/09/2026</t>
        </is>
      </c>
      <c r="D1869" s="4" t="inlineStr">
        <is>
          <t>jueves</t>
        </is>
      </c>
      <c r="E1869" s="4" t="inlineStr">
        <is>
          <t>2067</t>
        </is>
      </c>
      <c r="F1869" s="4" t="inlineStr">
        <is>
          <t>LIM</t>
        </is>
      </c>
      <c r="G1869" s="4" t="inlineStr">
        <is>
          <t>TCQ</t>
        </is>
      </c>
      <c r="H1869" s="4" t="inlineStr">
        <is>
          <t>13:45:00</t>
        </is>
      </c>
      <c r="I1869" s="4" t="inlineStr">
        <is>
          <t>15:35:00</t>
        </is>
      </c>
      <c r="J1869" s="4" t="inlineStr">
        <is>
          <t>320</t>
        </is>
      </c>
      <c r="L1869" s="4" t="inlineStr">
        <is>
          <t>01:50:00</t>
        </is>
      </c>
      <c r="M1869" s="5" t="n"/>
      <c r="O1869" s="5" t="n"/>
      <c r="Q1869" s="4">
        <f>B1869</f>
        <v/>
      </c>
      <c r="R1869" s="4">
        <f>C1869</f>
        <v/>
      </c>
      <c r="S1869" s="4">
        <f>D1869</f>
        <v/>
      </c>
      <c r="T1869" s="4">
        <f>E1869&amp;"/"&amp;E1870</f>
        <v/>
      </c>
      <c r="U1869" s="4">
        <f>F1869&amp;"-"&amp;G1869&amp;"-"&amp;F1869</f>
        <v/>
      </c>
      <c r="V1869" s="4">
        <f>IF($M$1869="","",$M$1869)</f>
        <v/>
      </c>
      <c r="W1869" s="4">
        <f>IF($O$1869="","",$O$1869)</f>
        <v/>
      </c>
      <c r="X1869" s="4">
        <f>J1869</f>
        <v/>
      </c>
    </row>
    <row r="1870">
      <c r="B1870" s="4" t="inlineStr">
        <is>
          <t>2102_0</t>
        </is>
      </c>
      <c r="C1870" s="4" t="inlineStr">
        <is>
          <t>24/09/2026</t>
        </is>
      </c>
      <c r="D1870" s="4" t="inlineStr">
        <is>
          <t>jueves</t>
        </is>
      </c>
      <c r="E1870" s="4" t="inlineStr">
        <is>
          <t>2068</t>
        </is>
      </c>
      <c r="F1870" s="4" t="inlineStr">
        <is>
          <t>TCQ</t>
        </is>
      </c>
      <c r="G1870" s="4" t="inlineStr">
        <is>
          <t>LIM</t>
        </is>
      </c>
      <c r="H1870" s="4" t="inlineStr">
        <is>
          <t>16:20:00</t>
        </is>
      </c>
      <c r="I1870" s="4" t="inlineStr">
        <is>
          <t>18:15:00</t>
        </is>
      </c>
      <c r="J1870" s="4" t="inlineStr">
        <is>
          <t>320</t>
        </is>
      </c>
      <c r="K1870">
        <f>TEXT(TIMEVALUE(H1870)-TIMEVALUE(I1869)+(TIMEVALUE(H1870)&lt;TIMEVALUE(I1869)),"[h]:mm")</f>
        <v/>
      </c>
      <c r="L1870" s="4" t="inlineStr">
        <is>
          <t>01:55:00</t>
        </is>
      </c>
      <c r="O1870">
        <f>"LIM-"&amp;G1869&amp;"-LIM   LA "&amp;E1869&amp;" ("&amp;LEFT(H1869,5)&amp;"-"&amp;LEFT(I1869,5)&amp;" hrs)  /  LA "&amp;E1870&amp;" ("&amp;LEFT(H1870,5)&amp;"-"&amp;LEFT(I1870,5)&amp;" hrs)"</f>
        <v/>
      </c>
    </row>
    <row r="1871">
      <c r="J1871" s="7" t="inlineStr">
        <is>
          <t>PSV total:</t>
        </is>
      </c>
      <c r="K1871" s="8">
        <f>TEXT(TIMEVALUE(I1870)-TIMEVALUE(H1869)+(I1870&lt;H1869),"[h]:mm")</f>
        <v/>
      </c>
    </row>
    <row r="1873">
      <c r="B1873" s="3" t="inlineStr">
        <is>
          <t>Pairing ID</t>
        </is>
      </c>
      <c r="C1873" s="3" t="inlineStr">
        <is>
          <t>FECHA REAL</t>
        </is>
      </c>
      <c r="D1873" s="3" t="inlineStr">
        <is>
          <t>Day of Week</t>
        </is>
      </c>
      <c r="E1873" s="3" t="inlineStr">
        <is>
          <t>Flight No</t>
        </is>
      </c>
      <c r="F1873" s="3" t="inlineStr">
        <is>
          <t>Dep Stn</t>
        </is>
      </c>
      <c r="G1873" s="3" t="inlineStr">
        <is>
          <t>Arr Stn</t>
        </is>
      </c>
      <c r="H1873" s="3" t="inlineStr">
        <is>
          <t>STD</t>
        </is>
      </c>
      <c r="I1873" s="3" t="inlineStr">
        <is>
          <t>STA</t>
        </is>
      </c>
      <c r="J1873" s="3" t="inlineStr">
        <is>
          <t>subflota</t>
        </is>
      </c>
      <c r="K1873" s="3" t="inlineStr">
        <is>
          <t>Conexion</t>
        </is>
      </c>
      <c r="L1873" s="3" t="inlineStr">
        <is>
          <t>HBT</t>
        </is>
      </c>
    </row>
    <row r="1874">
      <c r="B1874" s="4" t="inlineStr">
        <is>
          <t>2104_0</t>
        </is>
      </c>
      <c r="C1874" s="4" t="inlineStr">
        <is>
          <t>24/09/2026</t>
        </is>
      </c>
      <c r="D1874" s="4" t="inlineStr">
        <is>
          <t>jueves</t>
        </is>
      </c>
      <c r="E1874" s="4" t="inlineStr">
        <is>
          <t>2087</t>
        </is>
      </c>
      <c r="F1874" s="4" t="inlineStr">
        <is>
          <t>LIM</t>
        </is>
      </c>
      <c r="G1874" s="4" t="inlineStr">
        <is>
          <t>TPP</t>
        </is>
      </c>
      <c r="H1874" s="4" t="inlineStr">
        <is>
          <t>14:05:00</t>
        </is>
      </c>
      <c r="I1874" s="4" t="inlineStr">
        <is>
          <t>15:30:00</t>
        </is>
      </c>
      <c r="J1874" s="4" t="inlineStr">
        <is>
          <t>320</t>
        </is>
      </c>
      <c r="L1874" s="4" t="inlineStr">
        <is>
          <t>01:25:00</t>
        </is>
      </c>
      <c r="M1874" s="5" t="n"/>
      <c r="O1874" s="5" t="n"/>
      <c r="Q1874" s="4">
        <f>B1874</f>
        <v/>
      </c>
      <c r="R1874" s="4">
        <f>C1874</f>
        <v/>
      </c>
      <c r="S1874" s="4">
        <f>D1874</f>
        <v/>
      </c>
      <c r="T1874" s="4">
        <f>E1874&amp;"/"&amp;E1875</f>
        <v/>
      </c>
      <c r="U1874" s="4">
        <f>F1874&amp;"-"&amp;G1874&amp;"-"&amp;F1874</f>
        <v/>
      </c>
      <c r="V1874" s="4">
        <f>IF($M$1874="","",$M$1874)</f>
        <v/>
      </c>
      <c r="W1874" s="4">
        <f>IF($O$1874="","",$O$1874)</f>
        <v/>
      </c>
      <c r="X1874" s="4">
        <f>J1874</f>
        <v/>
      </c>
    </row>
    <row r="1875">
      <c r="B1875" s="4" t="inlineStr">
        <is>
          <t>2104_0</t>
        </is>
      </c>
      <c r="C1875" s="4" t="inlineStr">
        <is>
          <t>24/09/2026</t>
        </is>
      </c>
      <c r="D1875" s="4" t="inlineStr">
        <is>
          <t>jueves</t>
        </is>
      </c>
      <c r="E1875" s="4" t="inlineStr">
        <is>
          <t>2088</t>
        </is>
      </c>
      <c r="F1875" s="4" t="inlineStr">
        <is>
          <t>TPP</t>
        </is>
      </c>
      <c r="G1875" s="4" t="inlineStr">
        <is>
          <t>LIM</t>
        </is>
      </c>
      <c r="H1875" s="4" t="inlineStr">
        <is>
          <t>16:05:00</t>
        </is>
      </c>
      <c r="I1875" s="4" t="inlineStr">
        <is>
          <t>17:30:00</t>
        </is>
      </c>
      <c r="J1875" s="4" t="inlineStr">
        <is>
          <t>320</t>
        </is>
      </c>
      <c r="K1875">
        <f>TEXT(TIMEVALUE(H1875)-TIMEVALUE(I1874)+(TIMEVALUE(H1875)&lt;TIMEVALUE(I1874)),"[h]:mm")</f>
        <v/>
      </c>
      <c r="L1875" s="4" t="inlineStr">
        <is>
          <t>01:25:00</t>
        </is>
      </c>
      <c r="O1875">
        <f>"LIM-"&amp;G1874&amp;"-LIM   LA "&amp;E1874&amp;" ("&amp;LEFT(H1874,5)&amp;"-"&amp;LEFT(I1874,5)&amp;" hrs)  /  LA "&amp;E1875&amp;" ("&amp;LEFT(H1875,5)&amp;"-"&amp;LEFT(I1875,5)&amp;" hrs)"</f>
        <v/>
      </c>
    </row>
    <row r="1876">
      <c r="J1876" s="7" t="inlineStr">
        <is>
          <t>PSV total:</t>
        </is>
      </c>
      <c r="K1876" s="8">
        <f>TEXT(TIMEVALUE(I1875)-TIMEVALUE(H1874)+(I1875&lt;H1874),"[h]:mm")</f>
        <v/>
      </c>
    </row>
    <row r="1878">
      <c r="B1878" s="3" t="inlineStr">
        <is>
          <t>Pairing ID</t>
        </is>
      </c>
      <c r="C1878" s="3" t="inlineStr">
        <is>
          <t>FECHA REAL</t>
        </is>
      </c>
      <c r="D1878" s="3" t="inlineStr">
        <is>
          <t>Day of Week</t>
        </is>
      </c>
      <c r="E1878" s="3" t="inlineStr">
        <is>
          <t>Flight No</t>
        </is>
      </c>
      <c r="F1878" s="3" t="inlineStr">
        <is>
          <t>Dep Stn</t>
        </is>
      </c>
      <c r="G1878" s="3" t="inlineStr">
        <is>
          <t>Arr Stn</t>
        </is>
      </c>
      <c r="H1878" s="3" t="inlineStr">
        <is>
          <t>STD</t>
        </is>
      </c>
      <c r="I1878" s="3" t="inlineStr">
        <is>
          <t>STA</t>
        </is>
      </c>
      <c r="J1878" s="3" t="inlineStr">
        <is>
          <t>subflota</t>
        </is>
      </c>
      <c r="K1878" s="3" t="inlineStr">
        <is>
          <t>Conexion</t>
        </is>
      </c>
      <c r="L1878" s="3" t="inlineStr">
        <is>
          <t>HBT</t>
        </is>
      </c>
    </row>
    <row r="1879">
      <c r="B1879" s="4" t="inlineStr">
        <is>
          <t>2108_0</t>
        </is>
      </c>
      <c r="C1879" s="4" t="inlineStr">
        <is>
          <t>24/09/2026</t>
        </is>
      </c>
      <c r="D1879" s="4" t="inlineStr">
        <is>
          <t>jueves</t>
        </is>
      </c>
      <c r="E1879" s="4" t="inlineStr">
        <is>
          <t>2282</t>
        </is>
      </c>
      <c r="F1879" s="4" t="inlineStr">
        <is>
          <t>LIM</t>
        </is>
      </c>
      <c r="G1879" s="4" t="inlineStr">
        <is>
          <t>CIX</t>
        </is>
      </c>
      <c r="H1879" s="4" t="inlineStr">
        <is>
          <t>14:35:00</t>
        </is>
      </c>
      <c r="I1879" s="4" t="inlineStr">
        <is>
          <t>16:05:00</t>
        </is>
      </c>
      <c r="J1879" s="4" t="inlineStr">
        <is>
          <t>320</t>
        </is>
      </c>
      <c r="L1879" s="4" t="inlineStr">
        <is>
          <t>01:30:00</t>
        </is>
      </c>
      <c r="M1879" s="5" t="n"/>
      <c r="O1879" s="5" t="n"/>
      <c r="Q1879" s="4">
        <f>B1879</f>
        <v/>
      </c>
      <c r="R1879" s="4">
        <f>C1879</f>
        <v/>
      </c>
      <c r="S1879" s="4">
        <f>D1879</f>
        <v/>
      </c>
      <c r="T1879" s="4">
        <f>E1879&amp;"/"&amp;E1880</f>
        <v/>
      </c>
      <c r="U1879" s="4">
        <f>F1879&amp;"-"&amp;G1879&amp;"-"&amp;F1879</f>
        <v/>
      </c>
      <c r="V1879" s="4">
        <f>IF($M$1879="","",$M$1879)</f>
        <v/>
      </c>
      <c r="W1879" s="4">
        <f>IF($O$1879="","",$O$1879)</f>
        <v/>
      </c>
      <c r="X1879" s="4">
        <f>J1879</f>
        <v/>
      </c>
    </row>
    <row r="1880">
      <c r="B1880" s="4" t="inlineStr">
        <is>
          <t>2108_0</t>
        </is>
      </c>
      <c r="C1880" s="4" t="inlineStr">
        <is>
          <t>24/09/2026</t>
        </is>
      </c>
      <c r="D1880" s="4" t="inlineStr">
        <is>
          <t>jueves</t>
        </is>
      </c>
      <c r="E1880" s="4" t="inlineStr">
        <is>
          <t>2283</t>
        </is>
      </c>
      <c r="F1880" s="4" t="inlineStr">
        <is>
          <t>CIX</t>
        </is>
      </c>
      <c r="G1880" s="4" t="inlineStr">
        <is>
          <t>LIM</t>
        </is>
      </c>
      <c r="H1880" s="4" t="inlineStr">
        <is>
          <t>16:50:00</t>
        </is>
      </c>
      <c r="I1880" s="4" t="inlineStr">
        <is>
          <t>18:10:00</t>
        </is>
      </c>
      <c r="J1880" s="4" t="inlineStr">
        <is>
          <t>320</t>
        </is>
      </c>
      <c r="K1880">
        <f>TEXT(TIMEVALUE(H1880)-TIMEVALUE(I1879)+(TIMEVALUE(H1880)&lt;TIMEVALUE(I1879)),"[h]:mm")</f>
        <v/>
      </c>
      <c r="L1880" s="4" t="inlineStr">
        <is>
          <t>01:20:00</t>
        </is>
      </c>
      <c r="O1880">
        <f>"LIM-"&amp;G1879&amp;"-LIM   LA "&amp;E1879&amp;" ("&amp;LEFT(H1879,5)&amp;"-"&amp;LEFT(I1879,5)&amp;" hrs)  /  LA "&amp;E1880&amp;" ("&amp;LEFT(H1880,5)&amp;"-"&amp;LEFT(I1880,5)&amp;" hrs)"</f>
        <v/>
      </c>
    </row>
    <row r="1881">
      <c r="J1881" s="7" t="inlineStr">
        <is>
          <t>PSV total:</t>
        </is>
      </c>
      <c r="K1881" s="8">
        <f>TEXT(TIMEVALUE(I1880)-TIMEVALUE(H1879)+(I1880&lt;H1879),"[h]:mm")</f>
        <v/>
      </c>
    </row>
    <row r="1883">
      <c r="B1883" s="3" t="inlineStr">
        <is>
          <t>Pairing ID</t>
        </is>
      </c>
      <c r="C1883" s="3" t="inlineStr">
        <is>
          <t>FECHA REAL</t>
        </is>
      </c>
      <c r="D1883" s="3" t="inlineStr">
        <is>
          <t>Day of Week</t>
        </is>
      </c>
      <c r="E1883" s="3" t="inlineStr">
        <is>
          <t>Flight No</t>
        </is>
      </c>
      <c r="F1883" s="3" t="inlineStr">
        <is>
          <t>Dep Stn</t>
        </is>
      </c>
      <c r="G1883" s="3" t="inlineStr">
        <is>
          <t>Arr Stn</t>
        </is>
      </c>
      <c r="H1883" s="3" t="inlineStr">
        <is>
          <t>STD</t>
        </is>
      </c>
      <c r="I1883" s="3" t="inlineStr">
        <is>
          <t>STA</t>
        </is>
      </c>
      <c r="J1883" s="3" t="inlineStr">
        <is>
          <t>subflota</t>
        </is>
      </c>
      <c r="K1883" s="3" t="inlineStr">
        <is>
          <t>Conexion</t>
        </is>
      </c>
      <c r="L1883" s="3" t="inlineStr">
        <is>
          <t>HBT</t>
        </is>
      </c>
    </row>
    <row r="1884">
      <c r="B1884" s="4" t="inlineStr">
        <is>
          <t>2109_0</t>
        </is>
      </c>
      <c r="C1884" s="4" t="inlineStr">
        <is>
          <t>24/09/2026</t>
        </is>
      </c>
      <c r="D1884" s="4" t="inlineStr">
        <is>
          <t>jueves</t>
        </is>
      </c>
      <c r="E1884" s="4" t="inlineStr">
        <is>
          <t>2264</t>
        </is>
      </c>
      <c r="F1884" s="4" t="inlineStr">
        <is>
          <t>LIM</t>
        </is>
      </c>
      <c r="G1884" s="4" t="inlineStr">
        <is>
          <t>PEM</t>
        </is>
      </c>
      <c r="H1884" s="4" t="inlineStr">
        <is>
          <t>14:55:00</t>
        </is>
      </c>
      <c r="I1884" s="4" t="inlineStr">
        <is>
          <t>16:40:00</t>
        </is>
      </c>
      <c r="J1884" s="4" t="inlineStr">
        <is>
          <t>319</t>
        </is>
      </c>
      <c r="L1884" s="4" t="inlineStr">
        <is>
          <t>01:45:00</t>
        </is>
      </c>
      <c r="M1884" s="5" t="n"/>
      <c r="O1884" s="5" t="n"/>
      <c r="Q1884" s="4">
        <f>B1884</f>
        <v/>
      </c>
      <c r="R1884" s="4">
        <f>C1884</f>
        <v/>
      </c>
      <c r="S1884" s="4">
        <f>D1884</f>
        <v/>
      </c>
      <c r="T1884" s="4">
        <f>E1884&amp;"/"&amp;E1885</f>
        <v/>
      </c>
      <c r="U1884" s="4">
        <f>F1884&amp;"-"&amp;G1884&amp;"-"&amp;F1884</f>
        <v/>
      </c>
      <c r="V1884" s="4">
        <f>IF($M$1884="","",$M$1884)</f>
        <v/>
      </c>
      <c r="W1884" s="4">
        <f>IF($O$1884="","",$O$1884)</f>
        <v/>
      </c>
      <c r="X1884" s="4">
        <f>J1884</f>
        <v/>
      </c>
    </row>
    <row r="1885">
      <c r="B1885" s="4" t="inlineStr">
        <is>
          <t>2109_0</t>
        </is>
      </c>
      <c r="C1885" s="4" t="inlineStr">
        <is>
          <t>24/09/2026</t>
        </is>
      </c>
      <c r="D1885" s="4" t="inlineStr">
        <is>
          <t>jueves</t>
        </is>
      </c>
      <c r="E1885" s="4" t="inlineStr">
        <is>
          <t>2265</t>
        </is>
      </c>
      <c r="F1885" s="4" t="inlineStr">
        <is>
          <t>PEM</t>
        </is>
      </c>
      <c r="G1885" s="4" t="inlineStr">
        <is>
          <t>LIM</t>
        </is>
      </c>
      <c r="H1885" s="4" t="inlineStr">
        <is>
          <t>17:20:00</t>
        </is>
      </c>
      <c r="I1885" s="4" t="inlineStr">
        <is>
          <t>18:55:00</t>
        </is>
      </c>
      <c r="J1885" s="4" t="inlineStr">
        <is>
          <t>319</t>
        </is>
      </c>
      <c r="K1885">
        <f>TEXT(TIMEVALUE(H1885)-TIMEVALUE(I1884)+(TIMEVALUE(H1885)&lt;TIMEVALUE(I1884)),"[h]:mm")</f>
        <v/>
      </c>
      <c r="L1885" s="4" t="inlineStr">
        <is>
          <t>01:35:00</t>
        </is>
      </c>
      <c r="O1885">
        <f>"LIM-"&amp;G1884&amp;"-LIM   LA "&amp;E1884&amp;" ("&amp;LEFT(H1884,5)&amp;"-"&amp;LEFT(I1884,5)&amp;" hrs)  /  LA "&amp;E1885&amp;" ("&amp;LEFT(H1885,5)&amp;"-"&amp;LEFT(I1885,5)&amp;" hrs)"</f>
        <v/>
      </c>
    </row>
    <row r="1886">
      <c r="J1886" s="7" t="inlineStr">
        <is>
          <t>PSV total:</t>
        </is>
      </c>
      <c r="K1886" s="8">
        <f>TEXT(TIMEVALUE(I1885)-TIMEVALUE(H1884)+(I1885&lt;H1884),"[h]:mm")</f>
        <v/>
      </c>
    </row>
    <row r="1888">
      <c r="B1888" s="3" t="inlineStr">
        <is>
          <t>Pairing ID</t>
        </is>
      </c>
      <c r="C1888" s="3" t="inlineStr">
        <is>
          <t>FECHA REAL</t>
        </is>
      </c>
      <c r="D1888" s="3" t="inlineStr">
        <is>
          <t>Day of Week</t>
        </is>
      </c>
      <c r="E1888" s="3" t="inlineStr">
        <is>
          <t>Flight No</t>
        </is>
      </c>
      <c r="F1888" s="3" t="inlineStr">
        <is>
          <t>Dep Stn</t>
        </is>
      </c>
      <c r="G1888" s="3" t="inlineStr">
        <is>
          <t>Arr Stn</t>
        </is>
      </c>
      <c r="H1888" s="3" t="inlineStr">
        <is>
          <t>STD</t>
        </is>
      </c>
      <c r="I1888" s="3" t="inlineStr">
        <is>
          <t>STA</t>
        </is>
      </c>
      <c r="J1888" s="3" t="inlineStr">
        <is>
          <t>subflota</t>
        </is>
      </c>
      <c r="K1888" s="3" t="inlineStr">
        <is>
          <t>Conexion</t>
        </is>
      </c>
      <c r="L1888" s="3" t="inlineStr">
        <is>
          <t>HBT</t>
        </is>
      </c>
    </row>
    <row r="1889">
      <c r="B1889" s="4" t="inlineStr">
        <is>
          <t>2111_0</t>
        </is>
      </c>
      <c r="C1889" s="4" t="inlineStr">
        <is>
          <t>24/09/2026</t>
        </is>
      </c>
      <c r="D1889" s="4" t="inlineStr">
        <is>
          <t>jueves</t>
        </is>
      </c>
      <c r="E1889" s="4" t="inlineStr">
        <is>
          <t>2338</t>
        </is>
      </c>
      <c r="F1889" s="4" t="inlineStr">
        <is>
          <t>LIM</t>
        </is>
      </c>
      <c r="G1889" s="4" t="inlineStr">
        <is>
          <t>PIU</t>
        </is>
      </c>
      <c r="H1889" s="4" t="inlineStr">
        <is>
          <t>15:00:00</t>
        </is>
      </c>
      <c r="I1889" s="4" t="inlineStr">
        <is>
          <t>16:45:00</t>
        </is>
      </c>
      <c r="J1889" s="4" t="inlineStr">
        <is>
          <t>320</t>
        </is>
      </c>
      <c r="L1889" s="4" t="inlineStr">
        <is>
          <t>01:45:00</t>
        </is>
      </c>
      <c r="M1889" s="5" t="n"/>
      <c r="O1889" s="5" t="n"/>
      <c r="Q1889" s="4">
        <f>B1889</f>
        <v/>
      </c>
      <c r="R1889" s="4">
        <f>C1889</f>
        <v/>
      </c>
      <c r="S1889" s="4">
        <f>D1889</f>
        <v/>
      </c>
      <c r="T1889" s="4">
        <f>E1889&amp;"/"&amp;E1890</f>
        <v/>
      </c>
      <c r="U1889" s="4">
        <f>F1889&amp;"-"&amp;G1889&amp;"-"&amp;F1889</f>
        <v/>
      </c>
      <c r="V1889" s="4">
        <f>IF($M$1889="","",$M$1889)</f>
        <v/>
      </c>
      <c r="W1889" s="4">
        <f>IF($O$1889="","",$O$1889)</f>
        <v/>
      </c>
      <c r="X1889" s="4">
        <f>J1889</f>
        <v/>
      </c>
    </row>
    <row r="1890">
      <c r="B1890" s="4" t="inlineStr">
        <is>
          <t>2111_0</t>
        </is>
      </c>
      <c r="C1890" s="4" t="inlineStr">
        <is>
          <t>24/09/2026</t>
        </is>
      </c>
      <c r="D1890" s="4" t="inlineStr">
        <is>
          <t>jueves</t>
        </is>
      </c>
      <c r="E1890" s="4" t="inlineStr">
        <is>
          <t>2339</t>
        </is>
      </c>
      <c r="F1890" s="4" t="inlineStr">
        <is>
          <t>PIU</t>
        </is>
      </c>
      <c r="G1890" s="4" t="inlineStr">
        <is>
          <t>LIM</t>
        </is>
      </c>
      <c r="H1890" s="4" t="inlineStr">
        <is>
          <t>17:20:00</t>
        </is>
      </c>
      <c r="I1890" s="4" t="inlineStr">
        <is>
          <t>18:50:00</t>
        </is>
      </c>
      <c r="J1890" s="4" t="inlineStr">
        <is>
          <t>320</t>
        </is>
      </c>
      <c r="K1890">
        <f>TEXT(TIMEVALUE(H1890)-TIMEVALUE(I1889)+(TIMEVALUE(H1890)&lt;TIMEVALUE(I1889)),"[h]:mm")</f>
        <v/>
      </c>
      <c r="L1890" s="4" t="inlineStr">
        <is>
          <t>01:30:00</t>
        </is>
      </c>
      <c r="O1890">
        <f>"LIM-"&amp;G1889&amp;"-LIM   LA "&amp;E1889&amp;" ("&amp;LEFT(H1889,5)&amp;"-"&amp;LEFT(I1889,5)&amp;" hrs)  /  LA "&amp;E1890&amp;" ("&amp;LEFT(H1890,5)&amp;"-"&amp;LEFT(I1890,5)&amp;" hrs)"</f>
        <v/>
      </c>
    </row>
    <row r="1891">
      <c r="J1891" s="7" t="inlineStr">
        <is>
          <t>PSV total:</t>
        </is>
      </c>
      <c r="K1891" s="8">
        <f>TEXT(TIMEVALUE(I1890)-TIMEVALUE(H1889)+(I1890&lt;H1889),"[h]:mm")</f>
        <v/>
      </c>
    </row>
    <row r="1893">
      <c r="B1893" s="3" t="inlineStr">
        <is>
          <t>Pairing ID</t>
        </is>
      </c>
      <c r="C1893" s="3" t="inlineStr">
        <is>
          <t>FECHA REAL</t>
        </is>
      </c>
      <c r="D1893" s="3" t="inlineStr">
        <is>
          <t>Day of Week</t>
        </is>
      </c>
      <c r="E1893" s="3" t="inlineStr">
        <is>
          <t>Flight No</t>
        </is>
      </c>
      <c r="F1893" s="3" t="inlineStr">
        <is>
          <t>Dep Stn</t>
        </is>
      </c>
      <c r="G1893" s="3" t="inlineStr">
        <is>
          <t>Arr Stn</t>
        </is>
      </c>
      <c r="H1893" s="3" t="inlineStr">
        <is>
          <t>STD</t>
        </is>
      </c>
      <c r="I1893" s="3" t="inlineStr">
        <is>
          <t>STA</t>
        </is>
      </c>
      <c r="J1893" s="3" t="inlineStr">
        <is>
          <t>subflota</t>
        </is>
      </c>
      <c r="K1893" s="3" t="inlineStr">
        <is>
          <t>Conexion</t>
        </is>
      </c>
      <c r="L1893" s="3" t="inlineStr">
        <is>
          <t>HBT</t>
        </is>
      </c>
    </row>
    <row r="1894">
      <c r="B1894" s="4" t="inlineStr">
        <is>
          <t>2110_0</t>
        </is>
      </c>
      <c r="C1894" s="4" t="inlineStr">
        <is>
          <t>24/09/2026</t>
        </is>
      </c>
      <c r="D1894" s="4" t="inlineStr">
        <is>
          <t>jueves</t>
        </is>
      </c>
      <c r="E1894" s="4" t="inlineStr">
        <is>
          <t>2338</t>
        </is>
      </c>
      <c r="F1894" s="4" t="inlineStr">
        <is>
          <t>LIM</t>
        </is>
      </c>
      <c r="G1894" s="4" t="inlineStr">
        <is>
          <t>PIU</t>
        </is>
      </c>
      <c r="H1894" s="4" t="inlineStr">
        <is>
          <t>15:00:00</t>
        </is>
      </c>
      <c r="I1894" s="4" t="inlineStr">
        <is>
          <t>16:45:00</t>
        </is>
      </c>
      <c r="J1894" s="4" t="inlineStr">
        <is>
          <t>320</t>
        </is>
      </c>
      <c r="L1894" s="4" t="inlineStr">
        <is>
          <t>01:45:00</t>
        </is>
      </c>
      <c r="M1894" s="5" t="n"/>
      <c r="O1894" s="5" t="n"/>
      <c r="Q1894" s="4">
        <f>B1894</f>
        <v/>
      </c>
      <c r="R1894" s="4">
        <f>C1894</f>
        <v/>
      </c>
      <c r="S1894" s="4">
        <f>D1894</f>
        <v/>
      </c>
      <c r="T1894" s="4">
        <f>E1894&amp;"/"&amp;E1895</f>
        <v/>
      </c>
      <c r="U1894" s="4">
        <f>F1894&amp;"-"&amp;G1894&amp;"-"&amp;F1894</f>
        <v/>
      </c>
      <c r="V1894" s="4">
        <f>IF($M$1894="","",$M$1894)</f>
        <v/>
      </c>
      <c r="W1894" s="4">
        <f>IF($O$1894="","",$O$1894)</f>
        <v/>
      </c>
      <c r="X1894" s="4">
        <f>J1894</f>
        <v/>
      </c>
    </row>
    <row r="1895">
      <c r="B1895" s="4" t="inlineStr">
        <is>
          <t>2110_0</t>
        </is>
      </c>
      <c r="C1895" s="4" t="inlineStr">
        <is>
          <t>24/09/2026</t>
        </is>
      </c>
      <c r="D1895" s="4" t="inlineStr">
        <is>
          <t>jueves</t>
        </is>
      </c>
      <c r="E1895" s="4" t="inlineStr">
        <is>
          <t>2339</t>
        </is>
      </c>
      <c r="F1895" s="4" t="inlineStr">
        <is>
          <t>PIU</t>
        </is>
      </c>
      <c r="G1895" s="4" t="inlineStr">
        <is>
          <t>LIM</t>
        </is>
      </c>
      <c r="H1895" s="4" t="inlineStr">
        <is>
          <t>17:20:00</t>
        </is>
      </c>
      <c r="I1895" s="4" t="inlineStr">
        <is>
          <t>18:50:00</t>
        </is>
      </c>
      <c r="J1895" s="4" t="inlineStr">
        <is>
          <t>320</t>
        </is>
      </c>
      <c r="K1895">
        <f>TEXT(TIMEVALUE(H1895)-TIMEVALUE(I1894)+(TIMEVALUE(H1895)&lt;TIMEVALUE(I1894)),"[h]:mm")</f>
        <v/>
      </c>
      <c r="L1895" s="4" t="inlineStr">
        <is>
          <t>01:30:00</t>
        </is>
      </c>
      <c r="O1895">
        <f>"LIM-"&amp;G1894&amp;"-LIM   LA "&amp;E1894&amp;" ("&amp;LEFT(H1894,5)&amp;"-"&amp;LEFT(I1894,5)&amp;" hrs)  /  LA "&amp;E1895&amp;" ("&amp;LEFT(H1895,5)&amp;"-"&amp;LEFT(I1895,5)&amp;" hrs)"</f>
        <v/>
      </c>
    </row>
    <row r="1896">
      <c r="J1896" s="7" t="inlineStr">
        <is>
          <t>PSV total:</t>
        </is>
      </c>
      <c r="K1896" s="8">
        <f>TEXT(TIMEVALUE(I1895)-TIMEVALUE(H1894)+(I1895&lt;H1894),"[h]:mm")</f>
        <v/>
      </c>
    </row>
    <row r="1898">
      <c r="B1898" s="3" t="inlineStr">
        <is>
          <t>Pairing ID</t>
        </is>
      </c>
      <c r="C1898" s="3" t="inlineStr">
        <is>
          <t>FECHA REAL</t>
        </is>
      </c>
      <c r="D1898" s="3" t="inlineStr">
        <is>
          <t>Day of Week</t>
        </is>
      </c>
      <c r="E1898" s="3" t="inlineStr">
        <is>
          <t>Flight No</t>
        </is>
      </c>
      <c r="F1898" s="3" t="inlineStr">
        <is>
          <t>Dep Stn</t>
        </is>
      </c>
      <c r="G1898" s="3" t="inlineStr">
        <is>
          <t>Arr Stn</t>
        </is>
      </c>
      <c r="H1898" s="3" t="inlineStr">
        <is>
          <t>STD</t>
        </is>
      </c>
      <c r="I1898" s="3" t="inlineStr">
        <is>
          <t>STA</t>
        </is>
      </c>
      <c r="J1898" s="3" t="inlineStr">
        <is>
          <t>subflota</t>
        </is>
      </c>
      <c r="K1898" s="3" t="inlineStr">
        <is>
          <t>Conexion</t>
        </is>
      </c>
      <c r="L1898" s="3" t="inlineStr">
        <is>
          <t>HBT</t>
        </is>
      </c>
    </row>
    <row r="1899">
      <c r="B1899" s="4" t="inlineStr">
        <is>
          <t>2117_0</t>
        </is>
      </c>
      <c r="C1899" s="4" t="inlineStr">
        <is>
          <t>24/09/2026</t>
        </is>
      </c>
      <c r="D1899" s="4" t="inlineStr">
        <is>
          <t>jueves</t>
        </is>
      </c>
      <c r="E1899" s="4" t="inlineStr">
        <is>
          <t>2053</t>
        </is>
      </c>
      <c r="F1899" s="4" t="inlineStr">
        <is>
          <t>LIM</t>
        </is>
      </c>
      <c r="G1899" s="4" t="inlineStr">
        <is>
          <t>TBP</t>
        </is>
      </c>
      <c r="H1899" s="4" t="inlineStr">
        <is>
          <t>16:20:00</t>
        </is>
      </c>
      <c r="I1899" s="4" t="inlineStr">
        <is>
          <t>18:10:00</t>
        </is>
      </c>
      <c r="J1899" s="4" t="inlineStr">
        <is>
          <t>320</t>
        </is>
      </c>
      <c r="L1899" s="4" t="inlineStr">
        <is>
          <t>01:50:00</t>
        </is>
      </c>
      <c r="M1899" s="5" t="n"/>
      <c r="O1899" s="5" t="n"/>
      <c r="Q1899" s="4">
        <f>B1899</f>
        <v/>
      </c>
      <c r="R1899" s="4">
        <f>C1899</f>
        <v/>
      </c>
      <c r="S1899" s="4">
        <f>D1899</f>
        <v/>
      </c>
      <c r="T1899" s="4">
        <f>E1899&amp;"/"&amp;E1900</f>
        <v/>
      </c>
      <c r="U1899" s="4">
        <f>F1899&amp;"-"&amp;G1899&amp;"-"&amp;F1899</f>
        <v/>
      </c>
      <c r="V1899" s="4">
        <f>IF($M$1899="","",$M$1899)</f>
        <v/>
      </c>
      <c r="W1899" s="4">
        <f>IF($O$1899="","",$O$1899)</f>
        <v/>
      </c>
      <c r="X1899" s="4">
        <f>J1899</f>
        <v/>
      </c>
    </row>
    <row r="1900">
      <c r="B1900" s="4" t="inlineStr">
        <is>
          <t>2117_0</t>
        </is>
      </c>
      <c r="C1900" s="4" t="inlineStr">
        <is>
          <t>24/09/2026</t>
        </is>
      </c>
      <c r="D1900" s="4" t="inlineStr">
        <is>
          <t>jueves</t>
        </is>
      </c>
      <c r="E1900" s="4" t="inlineStr">
        <is>
          <t>2054</t>
        </is>
      </c>
      <c r="F1900" s="4" t="inlineStr">
        <is>
          <t>TBP</t>
        </is>
      </c>
      <c r="G1900" s="4" t="inlineStr">
        <is>
          <t>LIM</t>
        </is>
      </c>
      <c r="H1900" s="4" t="inlineStr">
        <is>
          <t>18:50:00</t>
        </is>
      </c>
      <c r="I1900" s="4" t="inlineStr">
        <is>
          <t>20:30:00</t>
        </is>
      </c>
      <c r="J1900" s="4" t="inlineStr">
        <is>
          <t>320</t>
        </is>
      </c>
      <c r="K1900">
        <f>TEXT(TIMEVALUE(H1900)-TIMEVALUE(I1899)+(TIMEVALUE(H1900)&lt;TIMEVALUE(I1899)),"[h]:mm")</f>
        <v/>
      </c>
      <c r="L1900" s="4" t="inlineStr">
        <is>
          <t>01:40:00</t>
        </is>
      </c>
      <c r="O1900">
        <f>"LIM-"&amp;G1899&amp;"-LIM   LA "&amp;E1899&amp;" ("&amp;LEFT(H1899,5)&amp;"-"&amp;LEFT(I1899,5)&amp;" hrs)  /  LA "&amp;E1900&amp;" ("&amp;LEFT(H1900,5)&amp;"-"&amp;LEFT(I1900,5)&amp;" hrs)"</f>
        <v/>
      </c>
    </row>
    <row r="1901">
      <c r="J1901" s="7" t="inlineStr">
        <is>
          <t>PSV total:</t>
        </is>
      </c>
      <c r="K1901" s="8">
        <f>TEXT(TIMEVALUE(I1900)-TIMEVALUE(H1899)+(I1900&lt;H1899),"[h]:mm")</f>
        <v/>
      </c>
    </row>
    <row r="1903">
      <c r="B1903" s="3" t="inlineStr">
        <is>
          <t>Pairing ID</t>
        </is>
      </c>
      <c r="C1903" s="3" t="inlineStr">
        <is>
          <t>FECHA REAL</t>
        </is>
      </c>
      <c r="D1903" s="3" t="inlineStr">
        <is>
          <t>Day of Week</t>
        </is>
      </c>
      <c r="E1903" s="3" t="inlineStr">
        <is>
          <t>Flight No</t>
        </is>
      </c>
      <c r="F1903" s="3" t="inlineStr">
        <is>
          <t>Dep Stn</t>
        </is>
      </c>
      <c r="G1903" s="3" t="inlineStr">
        <is>
          <t>Arr Stn</t>
        </is>
      </c>
      <c r="H1903" s="3" t="inlineStr">
        <is>
          <t>STD</t>
        </is>
      </c>
      <c r="I1903" s="3" t="inlineStr">
        <is>
          <t>STA</t>
        </is>
      </c>
      <c r="J1903" s="3" t="inlineStr">
        <is>
          <t>subflota</t>
        </is>
      </c>
      <c r="K1903" s="3" t="inlineStr">
        <is>
          <t>Conexion</t>
        </is>
      </c>
      <c r="L1903" s="3" t="inlineStr">
        <is>
          <t>HBT</t>
        </is>
      </c>
    </row>
    <row r="1904">
      <c r="B1904" s="4" t="inlineStr">
        <is>
          <t>2118_0</t>
        </is>
      </c>
      <c r="C1904" s="4" t="inlineStr">
        <is>
          <t>24/09/2026</t>
        </is>
      </c>
      <c r="D1904" s="4" t="inlineStr">
        <is>
          <t>jueves</t>
        </is>
      </c>
      <c r="E1904" s="4" t="inlineStr">
        <is>
          <t>2276</t>
        </is>
      </c>
      <c r="F1904" s="4" t="inlineStr">
        <is>
          <t>LIM</t>
        </is>
      </c>
      <c r="G1904" s="4" t="inlineStr">
        <is>
          <t>CUZ</t>
        </is>
      </c>
      <c r="H1904" s="4" t="inlineStr">
        <is>
          <t>16:35:00</t>
        </is>
      </c>
      <c r="I1904" s="4" t="inlineStr">
        <is>
          <t>17:55:00</t>
        </is>
      </c>
      <c r="J1904" s="4" t="inlineStr">
        <is>
          <t>320</t>
        </is>
      </c>
      <c r="L1904" s="4" t="inlineStr">
        <is>
          <t>01:20:00</t>
        </is>
      </c>
      <c r="M1904" s="5" t="n"/>
      <c r="O1904" s="5" t="n"/>
      <c r="Q1904" s="4">
        <f>B1904</f>
        <v/>
      </c>
      <c r="R1904" s="4">
        <f>C1904</f>
        <v/>
      </c>
      <c r="S1904" s="4">
        <f>D1904</f>
        <v/>
      </c>
      <c r="T1904" s="4">
        <f>E1904&amp;"/"&amp;E1905</f>
        <v/>
      </c>
      <c r="U1904" s="4">
        <f>F1904&amp;"-"&amp;G1904&amp;"-"&amp;F1904</f>
        <v/>
      </c>
      <c r="V1904" s="4">
        <f>IF($M$1904="","",$M$1904)</f>
        <v/>
      </c>
      <c r="W1904" s="4">
        <f>IF($O$1904="","",$O$1904)</f>
        <v/>
      </c>
      <c r="X1904" s="4">
        <f>J1904</f>
        <v/>
      </c>
    </row>
    <row r="1905">
      <c r="B1905" s="4" t="inlineStr">
        <is>
          <t>2118_0</t>
        </is>
      </c>
      <c r="C1905" s="4" t="inlineStr">
        <is>
          <t>24/09/2026</t>
        </is>
      </c>
      <c r="D1905" s="4" t="inlineStr">
        <is>
          <t>jueves</t>
        </is>
      </c>
      <c r="E1905" s="4" t="inlineStr">
        <is>
          <t>2277</t>
        </is>
      </c>
      <c r="F1905" s="4" t="inlineStr">
        <is>
          <t>CUZ</t>
        </is>
      </c>
      <c r="G1905" s="4" t="inlineStr">
        <is>
          <t>LIM</t>
        </is>
      </c>
      <c r="H1905" s="4" t="inlineStr">
        <is>
          <t>18:50:00</t>
        </is>
      </c>
      <c r="I1905" s="4" t="inlineStr">
        <is>
          <t>20:25:00</t>
        </is>
      </c>
      <c r="J1905" s="4" t="inlineStr">
        <is>
          <t>320</t>
        </is>
      </c>
      <c r="K1905">
        <f>TEXT(TIMEVALUE(H1905)-TIMEVALUE(I1904)+(TIMEVALUE(H1905)&lt;TIMEVALUE(I1904)),"[h]:mm")</f>
        <v/>
      </c>
      <c r="L1905" s="4" t="inlineStr">
        <is>
          <t>01:35:00</t>
        </is>
      </c>
      <c r="O1905">
        <f>"LIM-"&amp;G1904&amp;"-LIM   LA "&amp;E1904&amp;" ("&amp;LEFT(H1904,5)&amp;"-"&amp;LEFT(I1904,5)&amp;" hrs)  /  LA "&amp;E1905&amp;" ("&amp;LEFT(H1905,5)&amp;"-"&amp;LEFT(I1905,5)&amp;" hrs)"</f>
        <v/>
      </c>
    </row>
    <row r="1906">
      <c r="J1906" s="7" t="inlineStr">
        <is>
          <t>PSV total:</t>
        </is>
      </c>
      <c r="K1906" s="8">
        <f>TEXT(TIMEVALUE(I1905)-TIMEVALUE(H1904)+(I1905&lt;H1904),"[h]:mm")</f>
        <v/>
      </c>
    </row>
    <row r="1908">
      <c r="B1908" s="3" t="inlineStr">
        <is>
          <t>Pairing ID</t>
        </is>
      </c>
      <c r="C1908" s="3" t="inlineStr">
        <is>
          <t>FECHA REAL</t>
        </is>
      </c>
      <c r="D1908" s="3" t="inlineStr">
        <is>
          <t>Day of Week</t>
        </is>
      </c>
      <c r="E1908" s="3" t="inlineStr">
        <is>
          <t>Flight No</t>
        </is>
      </c>
      <c r="F1908" s="3" t="inlineStr">
        <is>
          <t>Dep Stn</t>
        </is>
      </c>
      <c r="G1908" s="3" t="inlineStr">
        <is>
          <t>Arr Stn</t>
        </is>
      </c>
      <c r="H1908" s="3" t="inlineStr">
        <is>
          <t>STD</t>
        </is>
      </c>
      <c r="I1908" s="3" t="inlineStr">
        <is>
          <t>STA</t>
        </is>
      </c>
      <c r="J1908" s="3" t="inlineStr">
        <is>
          <t>subflota</t>
        </is>
      </c>
      <c r="K1908" s="3" t="inlineStr">
        <is>
          <t>Conexion</t>
        </is>
      </c>
      <c r="L1908" s="3" t="inlineStr">
        <is>
          <t>HBT</t>
        </is>
      </c>
    </row>
    <row r="1909">
      <c r="B1909" s="4" t="inlineStr">
        <is>
          <t>2163_0</t>
        </is>
      </c>
      <c r="C1909" s="4" t="inlineStr">
        <is>
          <t>25/09/2026</t>
        </is>
      </c>
      <c r="D1909" s="4" t="inlineStr">
        <is>
          <t>viernes</t>
        </is>
      </c>
      <c r="E1909" s="4" t="inlineStr">
        <is>
          <t>2013</t>
        </is>
      </c>
      <c r="F1909" s="4" t="inlineStr">
        <is>
          <t>LIM</t>
        </is>
      </c>
      <c r="G1909" s="4" t="inlineStr">
        <is>
          <t>CUZ</t>
        </is>
      </c>
      <c r="H1909" s="4" t="inlineStr">
        <is>
          <t>08:35:00</t>
        </is>
      </c>
      <c r="I1909" s="4" t="inlineStr">
        <is>
          <t>09:55:00</t>
        </is>
      </c>
      <c r="J1909" s="4" t="inlineStr">
        <is>
          <t>319</t>
        </is>
      </c>
      <c r="L1909" s="4" t="inlineStr">
        <is>
          <t>01:20:00</t>
        </is>
      </c>
      <c r="M1909" s="5" t="n"/>
      <c r="O1909" s="5" t="n"/>
      <c r="Q1909" s="4">
        <f>B1909</f>
        <v/>
      </c>
      <c r="R1909" s="4">
        <f>C1909</f>
        <v/>
      </c>
      <c r="S1909" s="4">
        <f>D1909</f>
        <v/>
      </c>
      <c r="T1909" s="4">
        <f>E1909&amp;"/"&amp;E1910</f>
        <v/>
      </c>
      <c r="U1909" s="4">
        <f>F1909&amp;"-"&amp;G1909&amp;"-"&amp;F1909</f>
        <v/>
      </c>
      <c r="V1909" s="4">
        <f>IF($M$1909="","",$M$1909)</f>
        <v/>
      </c>
      <c r="W1909" s="4">
        <f>IF($O$1909="","",$O$1909)</f>
        <v/>
      </c>
      <c r="X1909" s="4">
        <f>J1909</f>
        <v/>
      </c>
    </row>
    <row r="1910">
      <c r="B1910" s="4" t="inlineStr">
        <is>
          <t>2163_0</t>
        </is>
      </c>
      <c r="C1910" s="4" t="inlineStr">
        <is>
          <t>25/09/2026</t>
        </is>
      </c>
      <c r="D1910" s="4" t="inlineStr">
        <is>
          <t>viernes</t>
        </is>
      </c>
      <c r="E1910" s="4" t="inlineStr">
        <is>
          <t>2014</t>
        </is>
      </c>
      <c r="F1910" s="4" t="inlineStr">
        <is>
          <t>CUZ</t>
        </is>
      </c>
      <c r="G1910" s="4" t="inlineStr">
        <is>
          <t>LIM</t>
        </is>
      </c>
      <c r="H1910" s="4" t="inlineStr">
        <is>
          <t>10:40:00</t>
        </is>
      </c>
      <c r="I1910" s="4" t="inlineStr">
        <is>
          <t>12:15:00</t>
        </is>
      </c>
      <c r="J1910" s="4" t="inlineStr">
        <is>
          <t>319</t>
        </is>
      </c>
      <c r="K1910">
        <f>TEXT(TIMEVALUE(H1910)-TIMEVALUE(I1909)+(TIMEVALUE(H1910)&lt;TIMEVALUE(I1909)),"[h]:mm")</f>
        <v/>
      </c>
      <c r="L1910" s="4" t="inlineStr">
        <is>
          <t>01:35:00</t>
        </is>
      </c>
      <c r="O1910">
        <f>"LIM-"&amp;G1909&amp;"-LIM   LA "&amp;E1909&amp;" ("&amp;LEFT(H1909,5)&amp;"-"&amp;LEFT(I1909,5)&amp;" hrs)  /  LA "&amp;E1910&amp;" ("&amp;LEFT(H1910,5)&amp;"-"&amp;LEFT(I1910,5)&amp;" hrs)"</f>
        <v/>
      </c>
    </row>
    <row r="1911">
      <c r="J1911" s="7" t="inlineStr">
        <is>
          <t>PSV total:</t>
        </is>
      </c>
      <c r="K1911" s="8">
        <f>TEXT(TIMEVALUE(I1910)-TIMEVALUE(H1909)+(I1910&lt;H1909),"[h]:mm")</f>
        <v/>
      </c>
    </row>
    <row r="1913">
      <c r="B1913" s="3" t="inlineStr">
        <is>
          <t>Pairing ID</t>
        </is>
      </c>
      <c r="C1913" s="3" t="inlineStr">
        <is>
          <t>FECHA REAL</t>
        </is>
      </c>
      <c r="D1913" s="3" t="inlineStr">
        <is>
          <t>Day of Week</t>
        </is>
      </c>
      <c r="E1913" s="3" t="inlineStr">
        <is>
          <t>Flight No</t>
        </is>
      </c>
      <c r="F1913" s="3" t="inlineStr">
        <is>
          <t>Dep Stn</t>
        </is>
      </c>
      <c r="G1913" s="3" t="inlineStr">
        <is>
          <t>Arr Stn</t>
        </is>
      </c>
      <c r="H1913" s="3" t="inlineStr">
        <is>
          <t>STD</t>
        </is>
      </c>
      <c r="I1913" s="3" t="inlineStr">
        <is>
          <t>STA</t>
        </is>
      </c>
      <c r="J1913" s="3" t="inlineStr">
        <is>
          <t>subflota</t>
        </is>
      </c>
      <c r="K1913" s="3" t="inlineStr">
        <is>
          <t>Conexion</t>
        </is>
      </c>
      <c r="L1913" s="3" t="inlineStr">
        <is>
          <t>HBT</t>
        </is>
      </c>
    </row>
    <row r="1914">
      <c r="B1914" s="4" t="inlineStr">
        <is>
          <t>2171_0</t>
        </is>
      </c>
      <c r="C1914" s="4" t="inlineStr">
        <is>
          <t>25/09/2026</t>
        </is>
      </c>
      <c r="D1914" s="4" t="inlineStr">
        <is>
          <t>viernes</t>
        </is>
      </c>
      <c r="E1914" s="4" t="inlineStr">
        <is>
          <t>2299</t>
        </is>
      </c>
      <c r="F1914" s="4" t="inlineStr">
        <is>
          <t>LIM</t>
        </is>
      </c>
      <c r="G1914" s="4" t="inlineStr">
        <is>
          <t>CJA</t>
        </is>
      </c>
      <c r="H1914" s="4" t="inlineStr">
        <is>
          <t>11:35:00</t>
        </is>
      </c>
      <c r="I1914" s="4" t="inlineStr">
        <is>
          <t>12:55:00</t>
        </is>
      </c>
      <c r="J1914" s="4" t="inlineStr">
        <is>
          <t>319</t>
        </is>
      </c>
      <c r="L1914" s="4" t="inlineStr">
        <is>
          <t>01:20:00</t>
        </is>
      </c>
      <c r="M1914" s="5" t="n"/>
      <c r="O1914" s="5" t="n"/>
      <c r="Q1914" s="4">
        <f>B1914</f>
        <v/>
      </c>
      <c r="R1914" s="4">
        <f>C1914</f>
        <v/>
      </c>
      <c r="S1914" s="4">
        <f>D1914</f>
        <v/>
      </c>
      <c r="T1914" s="4">
        <f>E1914&amp;"/"&amp;E1915</f>
        <v/>
      </c>
      <c r="U1914" s="4">
        <f>F1914&amp;"-"&amp;G1914&amp;"-"&amp;F1914</f>
        <v/>
      </c>
      <c r="V1914" s="4">
        <f>IF($M$1914="","",$M$1914)</f>
        <v/>
      </c>
      <c r="W1914" s="4">
        <f>IF($O$1914="","",$O$1914)</f>
        <v/>
      </c>
      <c r="X1914" s="4">
        <f>J1914</f>
        <v/>
      </c>
    </row>
    <row r="1915">
      <c r="B1915" s="4" t="inlineStr">
        <is>
          <t>2171_0</t>
        </is>
      </c>
      <c r="C1915" s="4" t="inlineStr">
        <is>
          <t>25/09/2026</t>
        </is>
      </c>
      <c r="D1915" s="4" t="inlineStr">
        <is>
          <t>viernes</t>
        </is>
      </c>
      <c r="E1915" s="4" t="inlineStr">
        <is>
          <t>2298</t>
        </is>
      </c>
      <c r="F1915" s="4" t="inlineStr">
        <is>
          <t>CJA</t>
        </is>
      </c>
      <c r="G1915" s="4" t="inlineStr">
        <is>
          <t>LIM</t>
        </is>
      </c>
      <c r="H1915" s="4" t="inlineStr">
        <is>
          <t>13:45:00</t>
        </is>
      </c>
      <c r="I1915" s="4" t="inlineStr">
        <is>
          <t>14:55:00</t>
        </is>
      </c>
      <c r="J1915" s="4" t="inlineStr">
        <is>
          <t>319</t>
        </is>
      </c>
      <c r="K1915">
        <f>TEXT(TIMEVALUE(H1915)-TIMEVALUE(I1914)+(TIMEVALUE(H1915)&lt;TIMEVALUE(I1914)),"[h]:mm")</f>
        <v/>
      </c>
      <c r="L1915" s="4" t="inlineStr">
        <is>
          <t>01:10:00</t>
        </is>
      </c>
      <c r="O1915">
        <f>"LIM-"&amp;G1914&amp;"-LIM   LA "&amp;E1914&amp;" ("&amp;LEFT(H1914,5)&amp;"-"&amp;LEFT(I1914,5)&amp;" hrs)  /  LA "&amp;E1915&amp;" ("&amp;LEFT(H1915,5)&amp;"-"&amp;LEFT(I1915,5)&amp;" hrs)"</f>
        <v/>
      </c>
    </row>
    <row r="1916">
      <c r="B1916" s="4" t="inlineStr">
        <is>
          <t>2205_0</t>
        </is>
      </c>
      <c r="C1916" s="4" t="inlineStr">
        <is>
          <t>25/09/2026</t>
        </is>
      </c>
      <c r="D1916" s="4" t="inlineStr">
        <is>
          <t>viernes</t>
        </is>
      </c>
      <c r="E1916" s="4" t="inlineStr">
        <is>
          <t>2127</t>
        </is>
      </c>
      <c r="F1916" s="4" t="inlineStr">
        <is>
          <t>LIM</t>
        </is>
      </c>
      <c r="G1916" s="4" t="inlineStr">
        <is>
          <t>CUZ</t>
        </is>
      </c>
      <c r="H1916" s="4" t="inlineStr">
        <is>
          <t>16:10:00</t>
        </is>
      </c>
      <c r="I1916" s="4" t="inlineStr">
        <is>
          <t>17:30:00</t>
        </is>
      </c>
      <c r="J1916" s="4" t="inlineStr">
        <is>
          <t>320</t>
        </is>
      </c>
      <c r="K1916" s="6">
        <f>TEXT(TIMEVALUE(H1916)-TIMEVALUE(I1915)+(TIMEVALUE(H1916)&lt;TIMEVALUE(I1915)),"[h]:mm")</f>
        <v/>
      </c>
      <c r="L1916" s="4" t="inlineStr">
        <is>
          <t>01:20:00</t>
        </is>
      </c>
      <c r="M1916">
        <f>IF($M$1914="","",$M$1914)</f>
        <v/>
      </c>
      <c r="O1916">
        <f>IF($O$1914="","",$O$1914)</f>
        <v/>
      </c>
      <c r="Q1916" s="4">
        <f>B1916</f>
        <v/>
      </c>
      <c r="R1916" s="4">
        <f>C1916</f>
        <v/>
      </c>
      <c r="S1916" s="4">
        <f>D1916</f>
        <v/>
      </c>
      <c r="T1916" s="4">
        <f>E1916&amp;"/"&amp;E1917</f>
        <v/>
      </c>
      <c r="U1916" s="4">
        <f>F1916&amp;"-"&amp;G1916&amp;"-"&amp;F1916</f>
        <v/>
      </c>
      <c r="V1916" s="4">
        <f>IF($M$1914="","",$M$1914)</f>
        <v/>
      </c>
      <c r="W1916" s="4">
        <f>IF($O$1914="","",$O$1914)</f>
        <v/>
      </c>
      <c r="X1916" s="4">
        <f>J1916</f>
        <v/>
      </c>
    </row>
    <row r="1917">
      <c r="B1917" s="4" t="inlineStr">
        <is>
          <t>2205_0</t>
        </is>
      </c>
      <c r="C1917" s="4" t="inlineStr">
        <is>
          <t>25/09/2026</t>
        </is>
      </c>
      <c r="D1917" s="4" t="inlineStr">
        <is>
          <t>viernes</t>
        </is>
      </c>
      <c r="E1917" s="4" t="inlineStr">
        <is>
          <t>2026</t>
        </is>
      </c>
      <c r="F1917" s="4" t="inlineStr">
        <is>
          <t>CUZ</t>
        </is>
      </c>
      <c r="G1917" s="4" t="inlineStr">
        <is>
          <t>LIM</t>
        </is>
      </c>
      <c r="H1917" s="4" t="inlineStr">
        <is>
          <t>18:10:00</t>
        </is>
      </c>
      <c r="I1917" s="4" t="inlineStr">
        <is>
          <t>19:50:00</t>
        </is>
      </c>
      <c r="J1917" s="4" t="inlineStr">
        <is>
          <t>320</t>
        </is>
      </c>
      <c r="K1917">
        <f>TEXT(TIMEVALUE(H1917)-TIMEVALUE(I1916)+(TIMEVALUE(H1917)&lt;TIMEVALUE(I1916)),"[h]:mm")</f>
        <v/>
      </c>
      <c r="L1917" s="4" t="inlineStr">
        <is>
          <t>01:40:00</t>
        </is>
      </c>
      <c r="O1917">
        <f>"LIM-"&amp;G1916&amp;"-LIM   LA "&amp;E1916&amp;" ("&amp;LEFT(H1916,5)&amp;"-"&amp;LEFT(I1916,5)&amp;" hrs)  /  LA "&amp;E1917&amp;" ("&amp;LEFT(H1917,5)&amp;"-"&amp;LEFT(I1917,5)&amp;" hrs)"</f>
        <v/>
      </c>
    </row>
    <row r="1918">
      <c r="J1918" s="7" t="inlineStr">
        <is>
          <t>PSV total:</t>
        </is>
      </c>
      <c r="K1918" s="8">
        <f>TEXT(TIMEVALUE(I1917)-TIMEVALUE(H1914)+(I1917&lt;H1914),"[h]:mm")</f>
        <v/>
      </c>
    </row>
    <row r="1920">
      <c r="B1920" s="3" t="inlineStr">
        <is>
          <t>Pairing ID</t>
        </is>
      </c>
      <c r="C1920" s="3" t="inlineStr">
        <is>
          <t>FECHA REAL</t>
        </is>
      </c>
      <c r="D1920" s="3" t="inlineStr">
        <is>
          <t>Day of Week</t>
        </is>
      </c>
      <c r="E1920" s="3" t="inlineStr">
        <is>
          <t>Flight No</t>
        </is>
      </c>
      <c r="F1920" s="3" t="inlineStr">
        <is>
          <t>Dep Stn</t>
        </is>
      </c>
      <c r="G1920" s="3" t="inlineStr">
        <is>
          <t>Arr Stn</t>
        </is>
      </c>
      <c r="H1920" s="3" t="inlineStr">
        <is>
          <t>STD</t>
        </is>
      </c>
      <c r="I1920" s="3" t="inlineStr">
        <is>
          <t>STA</t>
        </is>
      </c>
      <c r="J1920" s="3" t="inlineStr">
        <is>
          <t>subflota</t>
        </is>
      </c>
      <c r="K1920" s="3" t="inlineStr">
        <is>
          <t>Conexion</t>
        </is>
      </c>
      <c r="L1920" s="3" t="inlineStr">
        <is>
          <t>HBT</t>
        </is>
      </c>
    </row>
    <row r="1921">
      <c r="B1921" s="4" t="inlineStr">
        <is>
          <t>2174_0</t>
        </is>
      </c>
      <c r="C1921" s="4" t="inlineStr">
        <is>
          <t>25/09/2026</t>
        </is>
      </c>
      <c r="D1921" s="4" t="inlineStr">
        <is>
          <t>viernes</t>
        </is>
      </c>
      <c r="E1921" s="4" t="inlineStr">
        <is>
          <t>2316</t>
        </is>
      </c>
      <c r="F1921" s="4" t="inlineStr">
        <is>
          <t>LIM</t>
        </is>
      </c>
      <c r="G1921" s="4" t="inlineStr">
        <is>
          <t>PIU</t>
        </is>
      </c>
      <c r="H1921" s="4" t="inlineStr">
        <is>
          <t>11:40:00</t>
        </is>
      </c>
      <c r="I1921" s="4" t="inlineStr">
        <is>
          <t>13:25:00</t>
        </is>
      </c>
      <c r="J1921" s="4" t="inlineStr">
        <is>
          <t>319</t>
        </is>
      </c>
      <c r="L1921" s="4" t="inlineStr">
        <is>
          <t>01:45:00</t>
        </is>
      </c>
      <c r="M1921" s="5" t="n"/>
      <c r="O1921" s="5" t="n"/>
      <c r="Q1921" s="4">
        <f>B1921</f>
        <v/>
      </c>
      <c r="R1921" s="4">
        <f>C1921</f>
        <v/>
      </c>
      <c r="S1921" s="4">
        <f>D1921</f>
        <v/>
      </c>
      <c r="T1921" s="4">
        <f>E1921&amp;"/"&amp;E1922</f>
        <v/>
      </c>
      <c r="U1921" s="4">
        <f>F1921&amp;"-"&amp;G1921&amp;"-"&amp;F1921</f>
        <v/>
      </c>
      <c r="V1921" s="4">
        <f>IF($M$1921="","",$M$1921)</f>
        <v/>
      </c>
      <c r="W1921" s="4">
        <f>IF($O$1921="","",$O$1921)</f>
        <v/>
      </c>
      <c r="X1921" s="4">
        <f>J1921</f>
        <v/>
      </c>
    </row>
    <row r="1922">
      <c r="B1922" s="4" t="inlineStr">
        <is>
          <t>2174_0</t>
        </is>
      </c>
      <c r="C1922" s="4" t="inlineStr">
        <is>
          <t>25/09/2026</t>
        </is>
      </c>
      <c r="D1922" s="4" t="inlineStr">
        <is>
          <t>viernes</t>
        </is>
      </c>
      <c r="E1922" s="4" t="inlineStr">
        <is>
          <t>2317</t>
        </is>
      </c>
      <c r="F1922" s="4" t="inlineStr">
        <is>
          <t>PIU</t>
        </is>
      </c>
      <c r="G1922" s="4" t="inlineStr">
        <is>
          <t>LIM</t>
        </is>
      </c>
      <c r="H1922" s="4" t="inlineStr">
        <is>
          <t>14:05:00</t>
        </is>
      </c>
      <c r="I1922" s="4" t="inlineStr">
        <is>
          <t>15:40:00</t>
        </is>
      </c>
      <c r="J1922" s="4" t="inlineStr">
        <is>
          <t>319</t>
        </is>
      </c>
      <c r="K1922">
        <f>TEXT(TIMEVALUE(H1922)-TIMEVALUE(I1921)+(TIMEVALUE(H1922)&lt;TIMEVALUE(I1921)),"[h]:mm")</f>
        <v/>
      </c>
      <c r="L1922" s="4" t="inlineStr">
        <is>
          <t>01:35:00</t>
        </is>
      </c>
      <c r="O1922">
        <f>"LIM-"&amp;G1921&amp;"-LIM   LA "&amp;E1921&amp;" ("&amp;LEFT(H1921,5)&amp;"-"&amp;LEFT(I1921,5)&amp;" hrs)  /  LA "&amp;E1922&amp;" ("&amp;LEFT(H1922,5)&amp;"-"&amp;LEFT(I1922,5)&amp;" hrs)"</f>
        <v/>
      </c>
    </row>
    <row r="1923">
      <c r="B1923" s="4" t="inlineStr">
        <is>
          <t>2206_0</t>
        </is>
      </c>
      <c r="C1923" s="4" t="inlineStr">
        <is>
          <t>25/09/2026</t>
        </is>
      </c>
      <c r="D1923" s="4" t="inlineStr">
        <is>
          <t>viernes</t>
        </is>
      </c>
      <c r="E1923" s="4" t="inlineStr">
        <is>
          <t>2276</t>
        </is>
      </c>
      <c r="F1923" s="4" t="inlineStr">
        <is>
          <t>LIM</t>
        </is>
      </c>
      <c r="G1923" s="4" t="inlineStr">
        <is>
          <t>CUZ</t>
        </is>
      </c>
      <c r="H1923" s="4" t="inlineStr">
        <is>
          <t>16:35:00</t>
        </is>
      </c>
      <c r="I1923" s="4" t="inlineStr">
        <is>
          <t>17:55:00</t>
        </is>
      </c>
      <c r="J1923" s="4" t="inlineStr">
        <is>
          <t>320</t>
        </is>
      </c>
      <c r="K1923" s="6">
        <f>TEXT(TIMEVALUE(H1923)-TIMEVALUE(I1922)+(TIMEVALUE(H1923)&lt;TIMEVALUE(I1922)),"[h]:mm")</f>
        <v/>
      </c>
      <c r="L1923" s="4" t="inlineStr">
        <is>
          <t>01:20:00</t>
        </is>
      </c>
      <c r="M1923">
        <f>IF($M$1921="","",$M$1921)</f>
        <v/>
      </c>
      <c r="O1923">
        <f>IF($O$1921="","",$O$1921)</f>
        <v/>
      </c>
      <c r="Q1923" s="4">
        <f>B1923</f>
        <v/>
      </c>
      <c r="R1923" s="4">
        <f>C1923</f>
        <v/>
      </c>
      <c r="S1923" s="4">
        <f>D1923</f>
        <v/>
      </c>
      <c r="T1923" s="4">
        <f>E1923&amp;"/"&amp;E1924</f>
        <v/>
      </c>
      <c r="U1923" s="4">
        <f>F1923&amp;"-"&amp;G1923&amp;"-"&amp;F1923</f>
        <v/>
      </c>
      <c r="V1923" s="4">
        <f>IF($M$1921="","",$M$1921)</f>
        <v/>
      </c>
      <c r="W1923" s="4">
        <f>IF($O$1921="","",$O$1921)</f>
        <v/>
      </c>
      <c r="X1923" s="4">
        <f>J1923</f>
        <v/>
      </c>
    </row>
    <row r="1924">
      <c r="B1924" s="4" t="inlineStr">
        <is>
          <t>2206_0</t>
        </is>
      </c>
      <c r="C1924" s="4" t="inlineStr">
        <is>
          <t>25/09/2026</t>
        </is>
      </c>
      <c r="D1924" s="4" t="inlineStr">
        <is>
          <t>viernes</t>
        </is>
      </c>
      <c r="E1924" s="4" t="inlineStr">
        <is>
          <t>2277</t>
        </is>
      </c>
      <c r="F1924" s="4" t="inlineStr">
        <is>
          <t>CUZ</t>
        </is>
      </c>
      <c r="G1924" s="4" t="inlineStr">
        <is>
          <t>LIM</t>
        </is>
      </c>
      <c r="H1924" s="4" t="inlineStr">
        <is>
          <t>18:50:00</t>
        </is>
      </c>
      <c r="I1924" s="4" t="inlineStr">
        <is>
          <t>20:25:00</t>
        </is>
      </c>
      <c r="J1924" s="4" t="inlineStr">
        <is>
          <t>320</t>
        </is>
      </c>
      <c r="K1924">
        <f>TEXT(TIMEVALUE(H1924)-TIMEVALUE(I1923)+(TIMEVALUE(H1924)&lt;TIMEVALUE(I1923)),"[h]:mm")</f>
        <v/>
      </c>
      <c r="L1924" s="4" t="inlineStr">
        <is>
          <t>01:35:00</t>
        </is>
      </c>
      <c r="O1924">
        <f>"LIM-"&amp;G1923&amp;"-LIM   LA "&amp;E1923&amp;" ("&amp;LEFT(H1923,5)&amp;"-"&amp;LEFT(I1923,5)&amp;" hrs)  /  LA "&amp;E1924&amp;" ("&amp;LEFT(H1924,5)&amp;"-"&amp;LEFT(I1924,5)&amp;" hrs)"</f>
        <v/>
      </c>
    </row>
    <row r="1925">
      <c r="J1925" s="7" t="inlineStr">
        <is>
          <t>PSV total:</t>
        </is>
      </c>
      <c r="K1925" s="8">
        <f>TEXT(TIMEVALUE(I1924)-TIMEVALUE(H1921)+(I1924&lt;H1921),"[h]:mm")</f>
        <v/>
      </c>
    </row>
    <row r="1927">
      <c r="B1927" s="3" t="inlineStr">
        <is>
          <t>Pairing ID</t>
        </is>
      </c>
      <c r="C1927" s="3" t="inlineStr">
        <is>
          <t>FECHA REAL</t>
        </is>
      </c>
      <c r="D1927" s="3" t="inlineStr">
        <is>
          <t>Day of Week</t>
        </is>
      </c>
      <c r="E1927" s="3" t="inlineStr">
        <is>
          <t>Flight No</t>
        </is>
      </c>
      <c r="F1927" s="3" t="inlineStr">
        <is>
          <t>Dep Stn</t>
        </is>
      </c>
      <c r="G1927" s="3" t="inlineStr">
        <is>
          <t>Arr Stn</t>
        </is>
      </c>
      <c r="H1927" s="3" t="inlineStr">
        <is>
          <t>STD</t>
        </is>
      </c>
      <c r="I1927" s="3" t="inlineStr">
        <is>
          <t>STA</t>
        </is>
      </c>
      <c r="J1927" s="3" t="inlineStr">
        <is>
          <t>subflota</t>
        </is>
      </c>
      <c r="K1927" s="3" t="inlineStr">
        <is>
          <t>Conexion</t>
        </is>
      </c>
      <c r="L1927" s="3" t="inlineStr">
        <is>
          <t>HBT</t>
        </is>
      </c>
    </row>
    <row r="1928">
      <c r="B1928" s="4" t="inlineStr">
        <is>
          <t>2176_0</t>
        </is>
      </c>
      <c r="C1928" s="4" t="inlineStr">
        <is>
          <t>25/09/2026</t>
        </is>
      </c>
      <c r="D1928" s="4" t="inlineStr">
        <is>
          <t>viernes</t>
        </is>
      </c>
      <c r="E1928" s="4" t="inlineStr">
        <is>
          <t>2356</t>
        </is>
      </c>
      <c r="F1928" s="4" t="inlineStr">
        <is>
          <t>LIM</t>
        </is>
      </c>
      <c r="G1928" s="4" t="inlineStr">
        <is>
          <t>CUZ</t>
        </is>
      </c>
      <c r="H1928" s="4" t="inlineStr">
        <is>
          <t>12:10:00</t>
        </is>
      </c>
      <c r="I1928" s="4" t="inlineStr">
        <is>
          <t>13:35:00</t>
        </is>
      </c>
      <c r="J1928" s="4" t="inlineStr">
        <is>
          <t>320</t>
        </is>
      </c>
      <c r="L1928" s="4" t="inlineStr">
        <is>
          <t>01:25:00</t>
        </is>
      </c>
      <c r="M1928" s="5" t="n"/>
      <c r="O1928" s="5" t="n"/>
      <c r="Q1928" s="4">
        <f>B1928</f>
        <v/>
      </c>
      <c r="R1928" s="4">
        <f>C1928</f>
        <v/>
      </c>
      <c r="S1928" s="4">
        <f>D1928</f>
        <v/>
      </c>
      <c r="T1928" s="4">
        <f>E1928&amp;"/"&amp;E1929</f>
        <v/>
      </c>
      <c r="U1928" s="4">
        <f>F1928&amp;"-"&amp;G1928&amp;"-"&amp;F1928</f>
        <v/>
      </c>
      <c r="V1928" s="4">
        <f>IF($M$1928="","",$M$1928)</f>
        <v/>
      </c>
      <c r="W1928" s="4">
        <f>IF($O$1928="","",$O$1928)</f>
        <v/>
      </c>
      <c r="X1928" s="4">
        <f>J1928</f>
        <v/>
      </c>
    </row>
    <row r="1929">
      <c r="B1929" s="4" t="inlineStr">
        <is>
          <t>2176_0</t>
        </is>
      </c>
      <c r="C1929" s="4" t="inlineStr">
        <is>
          <t>25/09/2026</t>
        </is>
      </c>
      <c r="D1929" s="4" t="inlineStr">
        <is>
          <t>viernes</t>
        </is>
      </c>
      <c r="E1929" s="4" t="inlineStr">
        <is>
          <t>2357</t>
        </is>
      </c>
      <c r="F1929" s="4" t="inlineStr">
        <is>
          <t>CUZ</t>
        </is>
      </c>
      <c r="G1929" s="4" t="inlineStr">
        <is>
          <t>LIM</t>
        </is>
      </c>
      <c r="H1929" s="4" t="inlineStr">
        <is>
          <t>14:15:00</t>
        </is>
      </c>
      <c r="I1929" s="4" t="inlineStr">
        <is>
          <t>15:50:00</t>
        </is>
      </c>
      <c r="J1929" s="4" t="inlineStr">
        <is>
          <t>320</t>
        </is>
      </c>
      <c r="K1929">
        <f>TEXT(TIMEVALUE(H1929)-TIMEVALUE(I1928)+(TIMEVALUE(H1929)&lt;TIMEVALUE(I1928)),"[h]:mm")</f>
        <v/>
      </c>
      <c r="L1929" s="4" t="inlineStr">
        <is>
          <t>01:35:00</t>
        </is>
      </c>
      <c r="O1929">
        <f>"LIM-"&amp;G1928&amp;"-LIM   LA "&amp;E1928&amp;" ("&amp;LEFT(H1928,5)&amp;"-"&amp;LEFT(I1928,5)&amp;" hrs)  /  LA "&amp;E1929&amp;" ("&amp;LEFT(H1929,5)&amp;"-"&amp;LEFT(I1929,5)&amp;" hrs)"</f>
        <v/>
      </c>
    </row>
    <row r="1930">
      <c r="J1930" s="7" t="inlineStr">
        <is>
          <t>PSV total:</t>
        </is>
      </c>
      <c r="K1930" s="8">
        <f>TEXT(TIMEVALUE(I1929)-TIMEVALUE(H1928)+(I1929&lt;H1928),"[h]:mm")</f>
        <v/>
      </c>
    </row>
    <row r="1932">
      <c r="B1932" s="3" t="inlineStr">
        <is>
          <t>Pairing ID</t>
        </is>
      </c>
      <c r="C1932" s="3" t="inlineStr">
        <is>
          <t>FECHA REAL</t>
        </is>
      </c>
      <c r="D1932" s="3" t="inlineStr">
        <is>
          <t>Day of Week</t>
        </is>
      </c>
      <c r="E1932" s="3" t="inlineStr">
        <is>
          <t>Flight No</t>
        </is>
      </c>
      <c r="F1932" s="3" t="inlineStr">
        <is>
          <t>Dep Stn</t>
        </is>
      </c>
      <c r="G1932" s="3" t="inlineStr">
        <is>
          <t>Arr Stn</t>
        </is>
      </c>
      <c r="H1932" s="3" t="inlineStr">
        <is>
          <t>STD</t>
        </is>
      </c>
      <c r="I1932" s="3" t="inlineStr">
        <is>
          <t>STA</t>
        </is>
      </c>
      <c r="J1932" s="3" t="inlineStr">
        <is>
          <t>subflota</t>
        </is>
      </c>
      <c r="K1932" s="3" t="inlineStr">
        <is>
          <t>Conexion</t>
        </is>
      </c>
      <c r="L1932" s="3" t="inlineStr">
        <is>
          <t>HBT</t>
        </is>
      </c>
    </row>
    <row r="1933">
      <c r="B1933" s="4" t="inlineStr">
        <is>
          <t>2178_0</t>
        </is>
      </c>
      <c r="C1933" s="4" t="inlineStr">
        <is>
          <t>25/09/2026</t>
        </is>
      </c>
      <c r="D1933" s="4" t="inlineStr">
        <is>
          <t>viernes</t>
        </is>
      </c>
      <c r="E1933" s="4" t="inlineStr">
        <is>
          <t>2023</t>
        </is>
      </c>
      <c r="F1933" s="4" t="inlineStr">
        <is>
          <t>LIM</t>
        </is>
      </c>
      <c r="G1933" s="4" t="inlineStr">
        <is>
          <t>PEM</t>
        </is>
      </c>
      <c r="H1933" s="4" t="inlineStr">
        <is>
          <t>12:15:00</t>
        </is>
      </c>
      <c r="I1933" s="4" t="inlineStr">
        <is>
          <t>13:55:00</t>
        </is>
      </c>
      <c r="J1933" s="4" t="inlineStr">
        <is>
          <t>319</t>
        </is>
      </c>
      <c r="L1933" s="4" t="inlineStr">
        <is>
          <t>01:40:00</t>
        </is>
      </c>
      <c r="M1933" s="5" t="n"/>
      <c r="O1933" s="5" t="n"/>
      <c r="Q1933" s="4">
        <f>B1933</f>
        <v/>
      </c>
      <c r="R1933" s="4">
        <f>C1933</f>
        <v/>
      </c>
      <c r="S1933" s="4">
        <f>D1933</f>
        <v/>
      </c>
      <c r="T1933" s="4">
        <f>E1933&amp;"/"&amp;E1934</f>
        <v/>
      </c>
      <c r="U1933" s="4">
        <f>F1933&amp;"-"&amp;G1933&amp;"-"&amp;F1933</f>
        <v/>
      </c>
      <c r="V1933" s="4">
        <f>IF($M$1933="","",$M$1933)</f>
        <v/>
      </c>
      <c r="W1933" s="4">
        <f>IF($O$1933="","",$O$1933)</f>
        <v/>
      </c>
      <c r="X1933" s="4">
        <f>J1933</f>
        <v/>
      </c>
    </row>
    <row r="1934">
      <c r="B1934" s="4" t="inlineStr">
        <is>
          <t>2178_0</t>
        </is>
      </c>
      <c r="C1934" s="4" t="inlineStr">
        <is>
          <t>25/09/2026</t>
        </is>
      </c>
      <c r="D1934" s="4" t="inlineStr">
        <is>
          <t>viernes</t>
        </is>
      </c>
      <c r="E1934" s="4" t="inlineStr">
        <is>
          <t>2024</t>
        </is>
      </c>
      <c r="F1934" s="4" t="inlineStr">
        <is>
          <t>PEM</t>
        </is>
      </c>
      <c r="G1934" s="4" t="inlineStr">
        <is>
          <t>LIM</t>
        </is>
      </c>
      <c r="H1934" s="4" t="inlineStr">
        <is>
          <t>14:35:00</t>
        </is>
      </c>
      <c r="I1934" s="4" t="inlineStr">
        <is>
          <t>16:10:00</t>
        </is>
      </c>
      <c r="J1934" s="4" t="inlineStr">
        <is>
          <t>319</t>
        </is>
      </c>
      <c r="K1934">
        <f>TEXT(TIMEVALUE(H1934)-TIMEVALUE(I1933)+(TIMEVALUE(H1934)&lt;TIMEVALUE(I1933)),"[h]:mm")</f>
        <v/>
      </c>
      <c r="L1934" s="4" t="inlineStr">
        <is>
          <t>01:35:00</t>
        </is>
      </c>
      <c r="O1934">
        <f>"LIM-"&amp;G1933&amp;"-LIM   LA "&amp;E1933&amp;" ("&amp;LEFT(H1933,5)&amp;"-"&amp;LEFT(I1933,5)&amp;" hrs)  /  LA "&amp;E1934&amp;" ("&amp;LEFT(H1934,5)&amp;"-"&amp;LEFT(I1934,5)&amp;" hrs)"</f>
        <v/>
      </c>
    </row>
    <row r="1935">
      <c r="J1935" s="7" t="inlineStr">
        <is>
          <t>PSV total:</t>
        </is>
      </c>
      <c r="K1935" s="8">
        <f>TEXT(TIMEVALUE(I1934)-TIMEVALUE(H1933)+(I1934&lt;H1933),"[h]:mm")</f>
        <v/>
      </c>
    </row>
    <row r="1937">
      <c r="B1937" s="3" t="inlineStr">
        <is>
          <t>Pairing ID</t>
        </is>
      </c>
      <c r="C1937" s="3" t="inlineStr">
        <is>
          <t>FECHA REAL</t>
        </is>
      </c>
      <c r="D1937" s="3" t="inlineStr">
        <is>
          <t>Day of Week</t>
        </is>
      </c>
      <c r="E1937" s="3" t="inlineStr">
        <is>
          <t>Flight No</t>
        </is>
      </c>
      <c r="F1937" s="3" t="inlineStr">
        <is>
          <t>Dep Stn</t>
        </is>
      </c>
      <c r="G1937" s="3" t="inlineStr">
        <is>
          <t>Arr Stn</t>
        </is>
      </c>
      <c r="H1937" s="3" t="inlineStr">
        <is>
          <t>STD</t>
        </is>
      </c>
      <c r="I1937" s="3" t="inlineStr">
        <is>
          <t>STA</t>
        </is>
      </c>
      <c r="J1937" s="3" t="inlineStr">
        <is>
          <t>subflota</t>
        </is>
      </c>
      <c r="K1937" s="3" t="inlineStr">
        <is>
          <t>Conexion</t>
        </is>
      </c>
      <c r="L1937" s="3" t="inlineStr">
        <is>
          <t>HBT</t>
        </is>
      </c>
    </row>
    <row r="1938">
      <c r="B1938" s="4" t="inlineStr">
        <is>
          <t>2184_0</t>
        </is>
      </c>
      <c r="C1938" s="4" t="inlineStr">
        <is>
          <t>25/09/2026</t>
        </is>
      </c>
      <c r="D1938" s="4" t="inlineStr">
        <is>
          <t>viernes</t>
        </is>
      </c>
      <c r="E1938" s="4" t="inlineStr">
        <is>
          <t>2270</t>
        </is>
      </c>
      <c r="F1938" s="4" t="inlineStr">
        <is>
          <t>LIM</t>
        </is>
      </c>
      <c r="G1938" s="4" t="inlineStr">
        <is>
          <t>CIX</t>
        </is>
      </c>
      <c r="H1938" s="4" t="inlineStr">
        <is>
          <t>13:00:00</t>
        </is>
      </c>
      <c r="I1938" s="4" t="inlineStr">
        <is>
          <t>14:30:00</t>
        </is>
      </c>
      <c r="J1938" s="4" t="inlineStr">
        <is>
          <t>319</t>
        </is>
      </c>
      <c r="L1938" s="4" t="inlineStr">
        <is>
          <t>01:30:00</t>
        </is>
      </c>
      <c r="M1938" s="5" t="n"/>
      <c r="O1938" s="5" t="n"/>
      <c r="Q1938" s="4">
        <f>B1938</f>
        <v/>
      </c>
      <c r="R1938" s="4">
        <f>C1938</f>
        <v/>
      </c>
      <c r="S1938" s="4">
        <f>D1938</f>
        <v/>
      </c>
      <c r="T1938" s="4">
        <f>E1938&amp;"/"&amp;E1939</f>
        <v/>
      </c>
      <c r="U1938" s="4">
        <f>F1938&amp;"-"&amp;G1938&amp;"-"&amp;F1938</f>
        <v/>
      </c>
      <c r="V1938" s="4">
        <f>IF($M$1938="","",$M$1938)</f>
        <v/>
      </c>
      <c r="W1938" s="4">
        <f>IF($O$1938="","",$O$1938)</f>
        <v/>
      </c>
      <c r="X1938" s="4">
        <f>J1938</f>
        <v/>
      </c>
    </row>
    <row r="1939">
      <c r="B1939" s="4" t="inlineStr">
        <is>
          <t>2184_0</t>
        </is>
      </c>
      <c r="C1939" s="4" t="inlineStr">
        <is>
          <t>25/09/2026</t>
        </is>
      </c>
      <c r="D1939" s="4" t="inlineStr">
        <is>
          <t>viernes</t>
        </is>
      </c>
      <c r="E1939" s="4" t="inlineStr">
        <is>
          <t>2271</t>
        </is>
      </c>
      <c r="F1939" s="4" t="inlineStr">
        <is>
          <t>CIX</t>
        </is>
      </c>
      <c r="G1939" s="4" t="inlineStr">
        <is>
          <t>LIM</t>
        </is>
      </c>
      <c r="H1939" s="4" t="inlineStr">
        <is>
          <t>15:05:00</t>
        </is>
      </c>
      <c r="I1939" s="4" t="inlineStr">
        <is>
          <t>16:20:00</t>
        </is>
      </c>
      <c r="J1939" s="4" t="inlineStr">
        <is>
          <t>319</t>
        </is>
      </c>
      <c r="K1939">
        <f>TEXT(TIMEVALUE(H1939)-TIMEVALUE(I1938)+(TIMEVALUE(H1939)&lt;TIMEVALUE(I1938)),"[h]:mm")</f>
        <v/>
      </c>
      <c r="L1939" s="4" t="inlineStr">
        <is>
          <t>01:15:00</t>
        </is>
      </c>
      <c r="O1939">
        <f>"LIM-"&amp;G1938&amp;"-LIM   LA "&amp;E1938&amp;" ("&amp;LEFT(H1938,5)&amp;"-"&amp;LEFT(I1938,5)&amp;" hrs)  /  LA "&amp;E1939&amp;" ("&amp;LEFT(H1939,5)&amp;"-"&amp;LEFT(I1939,5)&amp;" hrs)"</f>
        <v/>
      </c>
    </row>
    <row r="1940">
      <c r="J1940" s="7" t="inlineStr">
        <is>
          <t>PSV total:</t>
        </is>
      </c>
      <c r="K1940" s="8">
        <f>TEXT(TIMEVALUE(I1939)-TIMEVALUE(H1938)+(I1939&lt;H1938),"[h]:mm")</f>
        <v/>
      </c>
    </row>
    <row r="1942">
      <c r="B1942" s="3" t="inlineStr">
        <is>
          <t>Pairing ID</t>
        </is>
      </c>
      <c r="C1942" s="3" t="inlineStr">
        <is>
          <t>FECHA REAL</t>
        </is>
      </c>
      <c r="D1942" s="3" t="inlineStr">
        <is>
          <t>Day of Week</t>
        </is>
      </c>
      <c r="E1942" s="3" t="inlineStr">
        <is>
          <t>Flight No</t>
        </is>
      </c>
      <c r="F1942" s="3" t="inlineStr">
        <is>
          <t>Dep Stn</t>
        </is>
      </c>
      <c r="G1942" s="3" t="inlineStr">
        <is>
          <t>Arr Stn</t>
        </is>
      </c>
      <c r="H1942" s="3" t="inlineStr">
        <is>
          <t>STD</t>
        </is>
      </c>
      <c r="I1942" s="3" t="inlineStr">
        <is>
          <t>STA</t>
        </is>
      </c>
      <c r="J1942" s="3" t="inlineStr">
        <is>
          <t>subflota</t>
        </is>
      </c>
      <c r="K1942" s="3" t="inlineStr">
        <is>
          <t>Conexion</t>
        </is>
      </c>
      <c r="L1942" s="3" t="inlineStr">
        <is>
          <t>HBT</t>
        </is>
      </c>
    </row>
    <row r="1943">
      <c r="B1943" s="4" t="inlineStr">
        <is>
          <t>2187_0</t>
        </is>
      </c>
      <c r="C1943" s="4" t="inlineStr">
        <is>
          <t>25/09/2026</t>
        </is>
      </c>
      <c r="D1943" s="4" t="inlineStr">
        <is>
          <t>viernes</t>
        </is>
      </c>
      <c r="E1943" s="4" t="inlineStr">
        <is>
          <t>2067</t>
        </is>
      </c>
      <c r="F1943" s="4" t="inlineStr">
        <is>
          <t>LIM</t>
        </is>
      </c>
      <c r="G1943" s="4" t="inlineStr">
        <is>
          <t>TCQ</t>
        </is>
      </c>
      <c r="H1943" s="4" t="inlineStr">
        <is>
          <t>13:45:00</t>
        </is>
      </c>
      <c r="I1943" s="4" t="inlineStr">
        <is>
          <t>15:35:00</t>
        </is>
      </c>
      <c r="J1943" s="4" t="inlineStr">
        <is>
          <t>320</t>
        </is>
      </c>
      <c r="L1943" s="4" t="inlineStr">
        <is>
          <t>01:50:00</t>
        </is>
      </c>
      <c r="M1943" s="5" t="n"/>
      <c r="O1943" s="5" t="n"/>
      <c r="Q1943" s="4">
        <f>B1943</f>
        <v/>
      </c>
      <c r="R1943" s="4">
        <f>C1943</f>
        <v/>
      </c>
      <c r="S1943" s="4">
        <f>D1943</f>
        <v/>
      </c>
      <c r="T1943" s="4">
        <f>E1943&amp;"/"&amp;E1944</f>
        <v/>
      </c>
      <c r="U1943" s="4">
        <f>F1943&amp;"-"&amp;G1943&amp;"-"&amp;F1943</f>
        <v/>
      </c>
      <c r="V1943" s="4">
        <f>IF($M$1943="","",$M$1943)</f>
        <v/>
      </c>
      <c r="W1943" s="4">
        <f>IF($O$1943="","",$O$1943)</f>
        <v/>
      </c>
      <c r="X1943" s="4">
        <f>J1943</f>
        <v/>
      </c>
    </row>
    <row r="1944">
      <c r="B1944" s="4" t="inlineStr">
        <is>
          <t>2187_0</t>
        </is>
      </c>
      <c r="C1944" s="4" t="inlineStr">
        <is>
          <t>25/09/2026</t>
        </is>
      </c>
      <c r="D1944" s="4" t="inlineStr">
        <is>
          <t>viernes</t>
        </is>
      </c>
      <c r="E1944" s="4" t="inlineStr">
        <is>
          <t>2068</t>
        </is>
      </c>
      <c r="F1944" s="4" t="inlineStr">
        <is>
          <t>TCQ</t>
        </is>
      </c>
      <c r="G1944" s="4" t="inlineStr">
        <is>
          <t>LIM</t>
        </is>
      </c>
      <c r="H1944" s="4" t="inlineStr">
        <is>
          <t>16:20:00</t>
        </is>
      </c>
      <c r="I1944" s="4" t="inlineStr">
        <is>
          <t>18:15:00</t>
        </is>
      </c>
      <c r="J1944" s="4" t="inlineStr">
        <is>
          <t>320</t>
        </is>
      </c>
      <c r="K1944">
        <f>TEXT(TIMEVALUE(H1944)-TIMEVALUE(I1943)+(TIMEVALUE(H1944)&lt;TIMEVALUE(I1943)),"[h]:mm")</f>
        <v/>
      </c>
      <c r="L1944" s="4" t="inlineStr">
        <is>
          <t>01:55:00</t>
        </is>
      </c>
      <c r="O1944">
        <f>"LIM-"&amp;G1943&amp;"-LIM   LA "&amp;E1943&amp;" ("&amp;LEFT(H1943,5)&amp;"-"&amp;LEFT(I1943,5)&amp;" hrs)  /  LA "&amp;E1944&amp;" ("&amp;LEFT(H1944,5)&amp;"-"&amp;LEFT(I1944,5)&amp;" hrs)"</f>
        <v/>
      </c>
    </row>
    <row r="1945">
      <c r="J1945" s="7" t="inlineStr">
        <is>
          <t>PSV total:</t>
        </is>
      </c>
      <c r="K1945" s="8">
        <f>TEXT(TIMEVALUE(I1944)-TIMEVALUE(H1943)+(I1944&lt;H1943),"[h]:mm")</f>
        <v/>
      </c>
    </row>
    <row r="1947">
      <c r="B1947" s="3" t="inlineStr">
        <is>
          <t>Pairing ID</t>
        </is>
      </c>
      <c r="C1947" s="3" t="inlineStr">
        <is>
          <t>FECHA REAL</t>
        </is>
      </c>
      <c r="D1947" s="3" t="inlineStr">
        <is>
          <t>Day of Week</t>
        </is>
      </c>
      <c r="E1947" s="3" t="inlineStr">
        <is>
          <t>Flight No</t>
        </is>
      </c>
      <c r="F1947" s="3" t="inlineStr">
        <is>
          <t>Dep Stn</t>
        </is>
      </c>
      <c r="G1947" s="3" t="inlineStr">
        <is>
          <t>Arr Stn</t>
        </is>
      </c>
      <c r="H1947" s="3" t="inlineStr">
        <is>
          <t>STD</t>
        </is>
      </c>
      <c r="I1947" s="3" t="inlineStr">
        <is>
          <t>STA</t>
        </is>
      </c>
      <c r="J1947" s="3" t="inlineStr">
        <is>
          <t>subflota</t>
        </is>
      </c>
      <c r="K1947" s="3" t="inlineStr">
        <is>
          <t>Conexion</t>
        </is>
      </c>
      <c r="L1947" s="3" t="inlineStr">
        <is>
          <t>HBT</t>
        </is>
      </c>
    </row>
    <row r="1948">
      <c r="B1948" s="4" t="inlineStr">
        <is>
          <t>2189_0</t>
        </is>
      </c>
      <c r="C1948" s="4" t="inlineStr">
        <is>
          <t>25/09/2026</t>
        </is>
      </c>
      <c r="D1948" s="4" t="inlineStr">
        <is>
          <t>viernes</t>
        </is>
      </c>
      <c r="E1948" s="4" t="inlineStr">
        <is>
          <t>2295</t>
        </is>
      </c>
      <c r="F1948" s="4" t="inlineStr">
        <is>
          <t>LIM</t>
        </is>
      </c>
      <c r="G1948" s="4" t="inlineStr">
        <is>
          <t>CJA</t>
        </is>
      </c>
      <c r="H1948" s="4" t="inlineStr">
        <is>
          <t>14:10:00</t>
        </is>
      </c>
      <c r="I1948" s="4" t="inlineStr">
        <is>
          <t>15:30:00</t>
        </is>
      </c>
      <c r="J1948" s="4" t="inlineStr">
        <is>
          <t>320</t>
        </is>
      </c>
      <c r="L1948" s="4" t="inlineStr">
        <is>
          <t>01:20:00</t>
        </is>
      </c>
      <c r="M1948" s="5" t="n"/>
      <c r="O1948" s="5" t="n"/>
      <c r="Q1948" s="4">
        <f>B1948</f>
        <v/>
      </c>
      <c r="R1948" s="4">
        <f>C1948</f>
        <v/>
      </c>
      <c r="S1948" s="4">
        <f>D1948</f>
        <v/>
      </c>
      <c r="T1948" s="4">
        <f>E1948&amp;"/"&amp;E1949</f>
        <v/>
      </c>
      <c r="U1948" s="4">
        <f>F1948&amp;"-"&amp;G1948&amp;"-"&amp;F1948</f>
        <v/>
      </c>
      <c r="V1948" s="4">
        <f>IF($M$1948="","",$M$1948)</f>
        <v/>
      </c>
      <c r="W1948" s="4">
        <f>IF($O$1948="","",$O$1948)</f>
        <v/>
      </c>
      <c r="X1948" s="4">
        <f>J1948</f>
        <v/>
      </c>
    </row>
    <row r="1949">
      <c r="B1949" s="4" t="inlineStr">
        <is>
          <t>2189_0</t>
        </is>
      </c>
      <c r="C1949" s="4" t="inlineStr">
        <is>
          <t>25/09/2026</t>
        </is>
      </c>
      <c r="D1949" s="4" t="inlineStr">
        <is>
          <t>viernes</t>
        </is>
      </c>
      <c r="E1949" s="4" t="inlineStr">
        <is>
          <t>2294</t>
        </is>
      </c>
      <c r="F1949" s="4" t="inlineStr">
        <is>
          <t>CJA</t>
        </is>
      </c>
      <c r="G1949" s="4" t="inlineStr">
        <is>
          <t>LIM</t>
        </is>
      </c>
      <c r="H1949" s="4" t="inlineStr">
        <is>
          <t>16:10:00</t>
        </is>
      </c>
      <c r="I1949" s="4" t="inlineStr">
        <is>
          <t>17:15:00</t>
        </is>
      </c>
      <c r="J1949" s="4" t="inlineStr">
        <is>
          <t>320</t>
        </is>
      </c>
      <c r="K1949">
        <f>TEXT(TIMEVALUE(H1949)-TIMEVALUE(I1948)+(TIMEVALUE(H1949)&lt;TIMEVALUE(I1948)),"[h]:mm")</f>
        <v/>
      </c>
      <c r="L1949" s="4" t="inlineStr">
        <is>
          <t>01:05:00</t>
        </is>
      </c>
      <c r="O1949">
        <f>"LIM-"&amp;G1948&amp;"-LIM   LA "&amp;E1948&amp;" ("&amp;LEFT(H1948,5)&amp;"-"&amp;LEFT(I1948,5)&amp;" hrs)  /  LA "&amp;E1949&amp;" ("&amp;LEFT(H1949,5)&amp;"-"&amp;LEFT(I1949,5)&amp;" hrs)"</f>
        <v/>
      </c>
    </row>
    <row r="1950">
      <c r="B1950" s="4" t="inlineStr">
        <is>
          <t>2210_0</t>
        </is>
      </c>
      <c r="C1950" s="4" t="inlineStr">
        <is>
          <t>25/09/2026</t>
        </is>
      </c>
      <c r="D1950" s="4" t="inlineStr">
        <is>
          <t>viernes</t>
        </is>
      </c>
      <c r="E1950" s="4" t="inlineStr">
        <is>
          <t>2310</t>
        </is>
      </c>
      <c r="F1950" s="4" t="inlineStr">
        <is>
          <t>LIM</t>
        </is>
      </c>
      <c r="G1950" s="4" t="inlineStr">
        <is>
          <t>CIX</t>
        </is>
      </c>
      <c r="H1950" s="4" t="inlineStr">
        <is>
          <t>18:20:00</t>
        </is>
      </c>
      <c r="I1950" s="4" t="inlineStr">
        <is>
          <t>19:45:00</t>
        </is>
      </c>
      <c r="J1950" s="4" t="inlineStr">
        <is>
          <t>320</t>
        </is>
      </c>
      <c r="K1950" s="6">
        <f>TEXT(TIMEVALUE(H1950)-TIMEVALUE(I1949)+(TIMEVALUE(H1950)&lt;TIMEVALUE(I1949)),"[h]:mm")</f>
        <v/>
      </c>
      <c r="L1950" s="4" t="inlineStr">
        <is>
          <t>01:25:00</t>
        </is>
      </c>
      <c r="M1950">
        <f>IF($M$1948="","",$M$1948)</f>
        <v/>
      </c>
      <c r="O1950">
        <f>IF($O$1948="","",$O$1948)</f>
        <v/>
      </c>
      <c r="Q1950" s="4">
        <f>B1950</f>
        <v/>
      </c>
      <c r="R1950" s="4">
        <f>C1950</f>
        <v/>
      </c>
      <c r="S1950" s="4">
        <f>D1950</f>
        <v/>
      </c>
      <c r="T1950" s="4">
        <f>E1950&amp;"/"&amp;E1951</f>
        <v/>
      </c>
      <c r="U1950" s="4">
        <f>F1950&amp;"-"&amp;G1950&amp;"-"&amp;F1950</f>
        <v/>
      </c>
      <c r="V1950" s="4">
        <f>IF($M$1948="","",$M$1948)</f>
        <v/>
      </c>
      <c r="W1950" s="4">
        <f>IF($O$1948="","",$O$1948)</f>
        <v/>
      </c>
      <c r="X1950" s="4">
        <f>J1950</f>
        <v/>
      </c>
    </row>
    <row r="1951">
      <c r="B1951" s="4" t="inlineStr">
        <is>
          <t>2210_0</t>
        </is>
      </c>
      <c r="C1951" s="4" t="inlineStr">
        <is>
          <t>25/09/2026</t>
        </is>
      </c>
      <c r="D1951" s="4" t="inlineStr">
        <is>
          <t>viernes</t>
        </is>
      </c>
      <c r="E1951" s="4" t="inlineStr">
        <is>
          <t>2311</t>
        </is>
      </c>
      <c r="F1951" s="4" t="inlineStr">
        <is>
          <t>CIX</t>
        </is>
      </c>
      <c r="G1951" s="4" t="inlineStr">
        <is>
          <t>LIM</t>
        </is>
      </c>
      <c r="H1951" s="4" t="inlineStr">
        <is>
          <t>20:20:00</t>
        </is>
      </c>
      <c r="I1951" s="4" t="inlineStr">
        <is>
          <t>21:35:00</t>
        </is>
      </c>
      <c r="J1951" s="4" t="inlineStr">
        <is>
          <t>320</t>
        </is>
      </c>
      <c r="K1951">
        <f>TEXT(TIMEVALUE(H1951)-TIMEVALUE(I1950)+(TIMEVALUE(H1951)&lt;TIMEVALUE(I1950)),"[h]:mm")</f>
        <v/>
      </c>
      <c r="L1951" s="4" t="inlineStr">
        <is>
          <t>01:15:00</t>
        </is>
      </c>
      <c r="O1951">
        <f>"LIM-"&amp;G1950&amp;"-LIM   LA "&amp;E1950&amp;" ("&amp;LEFT(H1950,5)&amp;"-"&amp;LEFT(I1950,5)&amp;" hrs)  /  LA "&amp;E1951&amp;" ("&amp;LEFT(H1951,5)&amp;"-"&amp;LEFT(I1951,5)&amp;" hrs)"</f>
        <v/>
      </c>
    </row>
    <row r="1952">
      <c r="J1952" s="7" t="inlineStr">
        <is>
          <t>PSV total:</t>
        </is>
      </c>
      <c r="K1952" s="8">
        <f>TEXT(TIMEVALUE(I1951)-TIMEVALUE(H1948)+(I1951&lt;H1948),"[h]:mm")</f>
        <v/>
      </c>
    </row>
    <row r="1954">
      <c r="B1954" s="3" t="inlineStr">
        <is>
          <t>Pairing ID</t>
        </is>
      </c>
      <c r="C1954" s="3" t="inlineStr">
        <is>
          <t>FECHA REAL</t>
        </is>
      </c>
      <c r="D1954" s="3" t="inlineStr">
        <is>
          <t>Day of Week</t>
        </is>
      </c>
      <c r="E1954" s="3" t="inlineStr">
        <is>
          <t>Flight No</t>
        </is>
      </c>
      <c r="F1954" s="3" t="inlineStr">
        <is>
          <t>Dep Stn</t>
        </is>
      </c>
      <c r="G1954" s="3" t="inlineStr">
        <is>
          <t>Arr Stn</t>
        </is>
      </c>
      <c r="H1954" s="3" t="inlineStr">
        <is>
          <t>STD</t>
        </is>
      </c>
      <c r="I1954" s="3" t="inlineStr">
        <is>
          <t>STA</t>
        </is>
      </c>
      <c r="J1954" s="3" t="inlineStr">
        <is>
          <t>subflota</t>
        </is>
      </c>
      <c r="K1954" s="3" t="inlineStr">
        <is>
          <t>Conexion</t>
        </is>
      </c>
      <c r="L1954" s="3" t="inlineStr">
        <is>
          <t>HBT</t>
        </is>
      </c>
    </row>
    <row r="1955">
      <c r="B1955" s="4" t="inlineStr">
        <is>
          <t>2193_0</t>
        </is>
      </c>
      <c r="C1955" s="4" t="inlineStr">
        <is>
          <t>25/09/2026</t>
        </is>
      </c>
      <c r="D1955" s="4" t="inlineStr">
        <is>
          <t>viernes</t>
        </is>
      </c>
      <c r="E1955" s="4" t="inlineStr">
        <is>
          <t>2338</t>
        </is>
      </c>
      <c r="F1955" s="4" t="inlineStr">
        <is>
          <t>LIM</t>
        </is>
      </c>
      <c r="G1955" s="4" t="inlineStr">
        <is>
          <t>PIU</t>
        </is>
      </c>
      <c r="H1955" s="4" t="inlineStr">
        <is>
          <t>14:55:00</t>
        </is>
      </c>
      <c r="I1955" s="4" t="inlineStr">
        <is>
          <t>16:45:00</t>
        </is>
      </c>
      <c r="J1955" s="4" t="inlineStr">
        <is>
          <t>320</t>
        </is>
      </c>
      <c r="L1955" s="4" t="inlineStr">
        <is>
          <t>01:50:00</t>
        </is>
      </c>
      <c r="M1955" s="5" t="n"/>
      <c r="O1955" s="5" t="n"/>
      <c r="Q1955" s="4">
        <f>B1955</f>
        <v/>
      </c>
      <c r="R1955" s="4">
        <f>C1955</f>
        <v/>
      </c>
      <c r="S1955" s="4">
        <f>D1955</f>
        <v/>
      </c>
      <c r="T1955" s="4">
        <f>E1955&amp;"/"&amp;E1956</f>
        <v/>
      </c>
      <c r="U1955" s="4">
        <f>F1955&amp;"-"&amp;G1955&amp;"-"&amp;F1955</f>
        <v/>
      </c>
      <c r="V1955" s="4">
        <f>IF($M$1955="","",$M$1955)</f>
        <v/>
      </c>
      <c r="W1955" s="4">
        <f>IF($O$1955="","",$O$1955)</f>
        <v/>
      </c>
      <c r="X1955" s="4">
        <f>J1955</f>
        <v/>
      </c>
    </row>
    <row r="1956">
      <c r="B1956" s="4" t="inlineStr">
        <is>
          <t>2193_0</t>
        </is>
      </c>
      <c r="C1956" s="4" t="inlineStr">
        <is>
          <t>25/09/2026</t>
        </is>
      </c>
      <c r="D1956" s="4" t="inlineStr">
        <is>
          <t>viernes</t>
        </is>
      </c>
      <c r="E1956" s="4" t="inlineStr">
        <is>
          <t>2339</t>
        </is>
      </c>
      <c r="F1956" s="4" t="inlineStr">
        <is>
          <t>PIU</t>
        </is>
      </c>
      <c r="G1956" s="4" t="inlineStr">
        <is>
          <t>LIM</t>
        </is>
      </c>
      <c r="H1956" s="4" t="inlineStr">
        <is>
          <t>17:20:00</t>
        </is>
      </c>
      <c r="I1956" s="4" t="inlineStr">
        <is>
          <t>18:50:00</t>
        </is>
      </c>
      <c r="J1956" s="4" t="inlineStr">
        <is>
          <t>320</t>
        </is>
      </c>
      <c r="K1956">
        <f>TEXT(TIMEVALUE(H1956)-TIMEVALUE(I1955)+(TIMEVALUE(H1956)&lt;TIMEVALUE(I1955)),"[h]:mm")</f>
        <v/>
      </c>
      <c r="L1956" s="4" t="inlineStr">
        <is>
          <t>01:30:00</t>
        </is>
      </c>
      <c r="O1956">
        <f>"LIM-"&amp;G1955&amp;"-LIM   LA "&amp;E1955&amp;" ("&amp;LEFT(H1955,5)&amp;"-"&amp;LEFT(I1955,5)&amp;" hrs)  /  LA "&amp;E1956&amp;" ("&amp;LEFT(H1956,5)&amp;"-"&amp;LEFT(I1956,5)&amp;" hrs)"</f>
        <v/>
      </c>
    </row>
    <row r="1957">
      <c r="J1957" s="7" t="inlineStr">
        <is>
          <t>PSV total:</t>
        </is>
      </c>
      <c r="K1957" s="8">
        <f>TEXT(TIMEVALUE(I1956)-TIMEVALUE(H1955)+(I1956&lt;H1955),"[h]:mm")</f>
        <v/>
      </c>
    </row>
    <row r="1959">
      <c r="B1959" s="3" t="inlineStr">
        <is>
          <t>Pairing ID</t>
        </is>
      </c>
      <c r="C1959" s="3" t="inlineStr">
        <is>
          <t>FECHA REAL</t>
        </is>
      </c>
      <c r="D1959" s="3" t="inlineStr">
        <is>
          <t>Day of Week</t>
        </is>
      </c>
      <c r="E1959" s="3" t="inlineStr">
        <is>
          <t>Flight No</t>
        </is>
      </c>
      <c r="F1959" s="3" t="inlineStr">
        <is>
          <t>Dep Stn</t>
        </is>
      </c>
      <c r="G1959" s="3" t="inlineStr">
        <is>
          <t>Arr Stn</t>
        </is>
      </c>
      <c r="H1959" s="3" t="inlineStr">
        <is>
          <t>STD</t>
        </is>
      </c>
      <c r="I1959" s="3" t="inlineStr">
        <is>
          <t>STA</t>
        </is>
      </c>
      <c r="J1959" s="3" t="inlineStr">
        <is>
          <t>subflota</t>
        </is>
      </c>
      <c r="K1959" s="3" t="inlineStr">
        <is>
          <t>Conexion</t>
        </is>
      </c>
      <c r="L1959" s="3" t="inlineStr">
        <is>
          <t>HBT</t>
        </is>
      </c>
    </row>
    <row r="1960">
      <c r="B1960" s="4" t="inlineStr">
        <is>
          <t>2192_0</t>
        </is>
      </c>
      <c r="C1960" s="4" t="inlineStr">
        <is>
          <t>25/09/2026</t>
        </is>
      </c>
      <c r="D1960" s="4" t="inlineStr">
        <is>
          <t>viernes</t>
        </is>
      </c>
      <c r="E1960" s="4" t="inlineStr">
        <is>
          <t>2338</t>
        </is>
      </c>
      <c r="F1960" s="4" t="inlineStr">
        <is>
          <t>LIM</t>
        </is>
      </c>
      <c r="G1960" s="4" t="inlineStr">
        <is>
          <t>PIU</t>
        </is>
      </c>
      <c r="H1960" s="4" t="inlineStr">
        <is>
          <t>14:55:00</t>
        </is>
      </c>
      <c r="I1960" s="4" t="inlineStr">
        <is>
          <t>16:45:00</t>
        </is>
      </c>
      <c r="J1960" s="4" t="inlineStr">
        <is>
          <t>320</t>
        </is>
      </c>
      <c r="L1960" s="4" t="inlineStr">
        <is>
          <t>01:50:00</t>
        </is>
      </c>
      <c r="M1960" s="5" t="n"/>
      <c r="O1960" s="5" t="n"/>
      <c r="Q1960" s="4">
        <f>B1960</f>
        <v/>
      </c>
      <c r="R1960" s="4">
        <f>C1960</f>
        <v/>
      </c>
      <c r="S1960" s="4">
        <f>D1960</f>
        <v/>
      </c>
      <c r="T1960" s="4">
        <f>E1960&amp;"/"&amp;E1961</f>
        <v/>
      </c>
      <c r="U1960" s="4">
        <f>F1960&amp;"-"&amp;G1960&amp;"-"&amp;F1960</f>
        <v/>
      </c>
      <c r="V1960" s="4">
        <f>IF($M$1960="","",$M$1960)</f>
        <v/>
      </c>
      <c r="W1960" s="4">
        <f>IF($O$1960="","",$O$1960)</f>
        <v/>
      </c>
      <c r="X1960" s="4">
        <f>J1960</f>
        <v/>
      </c>
    </row>
    <row r="1961">
      <c r="B1961" s="4" t="inlineStr">
        <is>
          <t>2192_0</t>
        </is>
      </c>
      <c r="C1961" s="4" t="inlineStr">
        <is>
          <t>25/09/2026</t>
        </is>
      </c>
      <c r="D1961" s="4" t="inlineStr">
        <is>
          <t>viernes</t>
        </is>
      </c>
      <c r="E1961" s="4" t="inlineStr">
        <is>
          <t>2339</t>
        </is>
      </c>
      <c r="F1961" s="4" t="inlineStr">
        <is>
          <t>PIU</t>
        </is>
      </c>
      <c r="G1961" s="4" t="inlineStr">
        <is>
          <t>LIM</t>
        </is>
      </c>
      <c r="H1961" s="4" t="inlineStr">
        <is>
          <t>17:20:00</t>
        </is>
      </c>
      <c r="I1961" s="4" t="inlineStr">
        <is>
          <t>18:50:00</t>
        </is>
      </c>
      <c r="J1961" s="4" t="inlineStr">
        <is>
          <t>320</t>
        </is>
      </c>
      <c r="K1961">
        <f>TEXT(TIMEVALUE(H1961)-TIMEVALUE(I1960)+(TIMEVALUE(H1961)&lt;TIMEVALUE(I1960)),"[h]:mm")</f>
        <v/>
      </c>
      <c r="L1961" s="4" t="inlineStr">
        <is>
          <t>01:30:00</t>
        </is>
      </c>
      <c r="O1961">
        <f>"LIM-"&amp;G1960&amp;"-LIM   LA "&amp;E1960&amp;" ("&amp;LEFT(H1960,5)&amp;"-"&amp;LEFT(I1960,5)&amp;" hrs)  /  LA "&amp;E1961&amp;" ("&amp;LEFT(H1961,5)&amp;"-"&amp;LEFT(I1961,5)&amp;" hrs)"</f>
        <v/>
      </c>
    </row>
    <row r="1962">
      <c r="J1962" s="7" t="inlineStr">
        <is>
          <t>PSV total:</t>
        </is>
      </c>
      <c r="K1962" s="8">
        <f>TEXT(TIMEVALUE(I1961)-TIMEVALUE(H1960)+(I1961&lt;H1960),"[h]:mm")</f>
        <v/>
      </c>
    </row>
    <row r="1964">
      <c r="B1964" s="3" t="inlineStr">
        <is>
          <t>Pairing ID</t>
        </is>
      </c>
      <c r="C1964" s="3" t="inlineStr">
        <is>
          <t>FECHA REAL</t>
        </is>
      </c>
      <c r="D1964" s="3" t="inlineStr">
        <is>
          <t>Day of Week</t>
        </is>
      </c>
      <c r="E1964" s="3" t="inlineStr">
        <is>
          <t>Flight No</t>
        </is>
      </c>
      <c r="F1964" s="3" t="inlineStr">
        <is>
          <t>Dep Stn</t>
        </is>
      </c>
      <c r="G1964" s="3" t="inlineStr">
        <is>
          <t>Arr Stn</t>
        </is>
      </c>
      <c r="H1964" s="3" t="inlineStr">
        <is>
          <t>STD</t>
        </is>
      </c>
      <c r="I1964" s="3" t="inlineStr">
        <is>
          <t>STA</t>
        </is>
      </c>
      <c r="J1964" s="3" t="inlineStr">
        <is>
          <t>subflota</t>
        </is>
      </c>
      <c r="K1964" s="3" t="inlineStr">
        <is>
          <t>Conexion</t>
        </is>
      </c>
      <c r="L1964" s="3" t="inlineStr">
        <is>
          <t>HBT</t>
        </is>
      </c>
    </row>
    <row r="1965">
      <c r="B1965" s="4" t="inlineStr">
        <is>
          <t>2194_0</t>
        </is>
      </c>
      <c r="C1965" s="4" t="inlineStr">
        <is>
          <t>25/09/2026</t>
        </is>
      </c>
      <c r="D1965" s="4" t="inlineStr">
        <is>
          <t>viernes</t>
        </is>
      </c>
      <c r="E1965" s="4" t="inlineStr">
        <is>
          <t>2248</t>
        </is>
      </c>
      <c r="F1965" s="4" t="inlineStr">
        <is>
          <t>LIM</t>
        </is>
      </c>
      <c r="G1965" s="4" t="inlineStr">
        <is>
          <t>CUZ</t>
        </is>
      </c>
      <c r="H1965" s="4" t="inlineStr">
        <is>
          <t>15:00:00</t>
        </is>
      </c>
      <c r="I1965" s="4" t="inlineStr">
        <is>
          <t>16:20:00</t>
        </is>
      </c>
      <c r="J1965" s="4" t="inlineStr">
        <is>
          <t>320</t>
        </is>
      </c>
      <c r="L1965" s="4" t="inlineStr">
        <is>
          <t>01:20:00</t>
        </is>
      </c>
      <c r="M1965" s="5" t="n"/>
      <c r="O1965" s="5" t="n"/>
      <c r="Q1965" s="4">
        <f>B1965</f>
        <v/>
      </c>
      <c r="R1965" s="4">
        <f>C1965</f>
        <v/>
      </c>
      <c r="S1965" s="4">
        <f>D1965</f>
        <v/>
      </c>
      <c r="T1965" s="4">
        <f>E1965&amp;"/"&amp;E1966</f>
        <v/>
      </c>
      <c r="U1965" s="4">
        <f>F1965&amp;"-"&amp;G1965&amp;"-"&amp;F1965</f>
        <v/>
      </c>
      <c r="V1965" s="4">
        <f>IF($M$1965="","",$M$1965)</f>
        <v/>
      </c>
      <c r="W1965" s="4">
        <f>IF($O$1965="","",$O$1965)</f>
        <v/>
      </c>
      <c r="X1965" s="4">
        <f>J1965</f>
        <v/>
      </c>
    </row>
    <row r="1966">
      <c r="B1966" s="4" t="inlineStr">
        <is>
          <t>2194_0</t>
        </is>
      </c>
      <c r="C1966" s="4" t="inlineStr">
        <is>
          <t>25/09/2026</t>
        </is>
      </c>
      <c r="D1966" s="4" t="inlineStr">
        <is>
          <t>viernes</t>
        </is>
      </c>
      <c r="E1966" s="4" t="inlineStr">
        <is>
          <t>2249</t>
        </is>
      </c>
      <c r="F1966" s="4" t="inlineStr">
        <is>
          <t>CUZ</t>
        </is>
      </c>
      <c r="G1966" s="4" t="inlineStr">
        <is>
          <t>LIM</t>
        </is>
      </c>
      <c r="H1966" s="4" t="inlineStr">
        <is>
          <t>17:00:00</t>
        </is>
      </c>
      <c r="I1966" s="4" t="inlineStr">
        <is>
          <t>18:35:00</t>
        </is>
      </c>
      <c r="J1966" s="4" t="inlineStr">
        <is>
          <t>320</t>
        </is>
      </c>
      <c r="K1966">
        <f>TEXT(TIMEVALUE(H1966)-TIMEVALUE(I1965)+(TIMEVALUE(H1966)&lt;TIMEVALUE(I1965)),"[h]:mm")</f>
        <v/>
      </c>
      <c r="L1966" s="4" t="inlineStr">
        <is>
          <t>01:35:00</t>
        </is>
      </c>
      <c r="O1966">
        <f>"LIM-"&amp;G1965&amp;"-LIM   LA "&amp;E1965&amp;" ("&amp;LEFT(H1965,5)&amp;"-"&amp;LEFT(I1965,5)&amp;" hrs)  /  LA "&amp;E1966&amp;" ("&amp;LEFT(H1966,5)&amp;"-"&amp;LEFT(I1966,5)&amp;" hrs)"</f>
        <v/>
      </c>
    </row>
    <row r="1967">
      <c r="J1967" s="7" t="inlineStr">
        <is>
          <t>PSV total:</t>
        </is>
      </c>
      <c r="K1967" s="8">
        <f>TEXT(TIMEVALUE(I1966)-TIMEVALUE(H1965)+(I1966&lt;H1965),"[h]:mm")</f>
        <v/>
      </c>
    </row>
    <row r="1969">
      <c r="B1969" s="3" t="inlineStr">
        <is>
          <t>Pairing ID</t>
        </is>
      </c>
      <c r="C1969" s="3" t="inlineStr">
        <is>
          <t>FECHA REAL</t>
        </is>
      </c>
      <c r="D1969" s="3" t="inlineStr">
        <is>
          <t>Day of Week</t>
        </is>
      </c>
      <c r="E1969" s="3" t="inlineStr">
        <is>
          <t>Flight No</t>
        </is>
      </c>
      <c r="F1969" s="3" t="inlineStr">
        <is>
          <t>Dep Stn</t>
        </is>
      </c>
      <c r="G1969" s="3" t="inlineStr">
        <is>
          <t>Arr Stn</t>
        </is>
      </c>
      <c r="H1969" s="3" t="inlineStr">
        <is>
          <t>STD</t>
        </is>
      </c>
      <c r="I1969" s="3" t="inlineStr">
        <is>
          <t>STA</t>
        </is>
      </c>
      <c r="J1969" s="3" t="inlineStr">
        <is>
          <t>subflota</t>
        </is>
      </c>
      <c r="K1969" s="3" t="inlineStr">
        <is>
          <t>Conexion</t>
        </is>
      </c>
      <c r="L1969" s="3" t="inlineStr">
        <is>
          <t>HBT</t>
        </is>
      </c>
    </row>
    <row r="1970">
      <c r="B1970" s="4" t="inlineStr">
        <is>
          <t>2197_0</t>
        </is>
      </c>
      <c r="C1970" s="4" t="inlineStr">
        <is>
          <t>25/09/2026</t>
        </is>
      </c>
      <c r="D1970" s="4" t="inlineStr">
        <is>
          <t>viernes</t>
        </is>
      </c>
      <c r="E1970" s="4" t="inlineStr">
        <is>
          <t>2297</t>
        </is>
      </c>
      <c r="F1970" s="4" t="inlineStr">
        <is>
          <t>LIM</t>
        </is>
      </c>
      <c r="G1970" s="4" t="inlineStr">
        <is>
          <t>CJA</t>
        </is>
      </c>
      <c r="H1970" s="4" t="inlineStr">
        <is>
          <t>15:15:00</t>
        </is>
      </c>
      <c r="I1970" s="4" t="inlineStr">
        <is>
          <t>16:35:00</t>
        </is>
      </c>
      <c r="J1970" s="4" t="inlineStr">
        <is>
          <t>320</t>
        </is>
      </c>
      <c r="L1970" s="4" t="inlineStr">
        <is>
          <t>01:20:00</t>
        </is>
      </c>
      <c r="M1970" s="5" t="n"/>
      <c r="O1970" s="5" t="n"/>
      <c r="Q1970" s="4">
        <f>B1970</f>
        <v/>
      </c>
      <c r="R1970" s="4">
        <f>C1970</f>
        <v/>
      </c>
      <c r="S1970" s="4">
        <f>D1970</f>
        <v/>
      </c>
      <c r="T1970" s="4">
        <f>E1970&amp;"/"&amp;E1971</f>
        <v/>
      </c>
      <c r="U1970" s="4">
        <f>F1970&amp;"-"&amp;G1970&amp;"-"&amp;F1970</f>
        <v/>
      </c>
      <c r="V1970" s="4">
        <f>IF($M$1970="","",$M$1970)</f>
        <v/>
      </c>
      <c r="W1970" s="4">
        <f>IF($O$1970="","",$O$1970)</f>
        <v/>
      </c>
      <c r="X1970" s="4">
        <f>J1970</f>
        <v/>
      </c>
    </row>
    <row r="1971">
      <c r="B1971" s="4" t="inlineStr">
        <is>
          <t>2197_0</t>
        </is>
      </c>
      <c r="C1971" s="4" t="inlineStr">
        <is>
          <t>25/09/2026</t>
        </is>
      </c>
      <c r="D1971" s="4" t="inlineStr">
        <is>
          <t>viernes</t>
        </is>
      </c>
      <c r="E1971" s="4" t="inlineStr">
        <is>
          <t>2296</t>
        </is>
      </c>
      <c r="F1971" s="4" t="inlineStr">
        <is>
          <t>CJA</t>
        </is>
      </c>
      <c r="G1971" s="4" t="inlineStr">
        <is>
          <t>LIM</t>
        </is>
      </c>
      <c r="H1971" s="4" t="inlineStr">
        <is>
          <t>17:20:00</t>
        </is>
      </c>
      <c r="I1971" s="4" t="inlineStr">
        <is>
          <t>18:25:00</t>
        </is>
      </c>
      <c r="J1971" s="4" t="inlineStr">
        <is>
          <t>320</t>
        </is>
      </c>
      <c r="K1971">
        <f>TEXT(TIMEVALUE(H1971)-TIMEVALUE(I1970)+(TIMEVALUE(H1971)&lt;TIMEVALUE(I1970)),"[h]:mm")</f>
        <v/>
      </c>
      <c r="L1971" s="4" t="inlineStr">
        <is>
          <t>01:05:00</t>
        </is>
      </c>
      <c r="O1971">
        <f>"LIM-"&amp;G1970&amp;"-LIM   LA "&amp;E1970&amp;" ("&amp;LEFT(H1970,5)&amp;"-"&amp;LEFT(I1970,5)&amp;" hrs)  /  LA "&amp;E1971&amp;" ("&amp;LEFT(H1971,5)&amp;"-"&amp;LEFT(I1971,5)&amp;" hrs)"</f>
        <v/>
      </c>
    </row>
    <row r="1972">
      <c r="J1972" s="7" t="inlineStr">
        <is>
          <t>PSV total:</t>
        </is>
      </c>
      <c r="K1972" s="8">
        <f>TEXT(TIMEVALUE(I1971)-TIMEVALUE(H1970)+(I1971&lt;H1970),"[h]:mm")</f>
        <v/>
      </c>
    </row>
    <row r="1974">
      <c r="B1974" s="3" t="inlineStr">
        <is>
          <t>Pairing ID</t>
        </is>
      </c>
      <c r="C1974" s="3" t="inlineStr">
        <is>
          <t>FECHA REAL</t>
        </is>
      </c>
      <c r="D1974" s="3" t="inlineStr">
        <is>
          <t>Day of Week</t>
        </is>
      </c>
      <c r="E1974" s="3" t="inlineStr">
        <is>
          <t>Flight No</t>
        </is>
      </c>
      <c r="F1974" s="3" t="inlineStr">
        <is>
          <t>Dep Stn</t>
        </is>
      </c>
      <c r="G1974" s="3" t="inlineStr">
        <is>
          <t>Arr Stn</t>
        </is>
      </c>
      <c r="H1974" s="3" t="inlineStr">
        <is>
          <t>STD</t>
        </is>
      </c>
      <c r="I1974" s="3" t="inlineStr">
        <is>
          <t>STA</t>
        </is>
      </c>
      <c r="J1974" s="3" t="inlineStr">
        <is>
          <t>subflota</t>
        </is>
      </c>
      <c r="K1974" s="3" t="inlineStr">
        <is>
          <t>Conexion</t>
        </is>
      </c>
      <c r="L1974" s="3" t="inlineStr">
        <is>
          <t>HBT</t>
        </is>
      </c>
    </row>
    <row r="1975">
      <c r="B1975" s="4" t="inlineStr">
        <is>
          <t>2199_0</t>
        </is>
      </c>
      <c r="C1975" s="4" t="inlineStr">
        <is>
          <t>25/09/2026</t>
        </is>
      </c>
      <c r="D1975" s="4" t="inlineStr">
        <is>
          <t>viernes</t>
        </is>
      </c>
      <c r="E1975" s="4" t="inlineStr">
        <is>
          <t>2312</t>
        </is>
      </c>
      <c r="F1975" s="4" t="inlineStr">
        <is>
          <t>LIM</t>
        </is>
      </c>
      <c r="G1975" s="4" t="inlineStr">
        <is>
          <t>CIX</t>
        </is>
      </c>
      <c r="H1975" s="4" t="inlineStr">
        <is>
          <t>15:35:00</t>
        </is>
      </c>
      <c r="I1975" s="4" t="inlineStr">
        <is>
          <t>17:05:00</t>
        </is>
      </c>
      <c r="J1975" s="4" t="inlineStr">
        <is>
          <t>320</t>
        </is>
      </c>
      <c r="L1975" s="4" t="inlineStr">
        <is>
          <t>01:30:00</t>
        </is>
      </c>
      <c r="M1975" s="5" t="n"/>
      <c r="O1975" s="5" t="n"/>
      <c r="Q1975" s="4">
        <f>B1975</f>
        <v/>
      </c>
      <c r="R1975" s="4">
        <f>C1975</f>
        <v/>
      </c>
      <c r="S1975" s="4">
        <f>D1975</f>
        <v/>
      </c>
      <c r="T1975" s="4">
        <f>E1975&amp;"/"&amp;E1976</f>
        <v/>
      </c>
      <c r="U1975" s="4">
        <f>F1975&amp;"-"&amp;G1975&amp;"-"&amp;F1975</f>
        <v/>
      </c>
      <c r="V1975" s="4">
        <f>IF($M$1975="","",$M$1975)</f>
        <v/>
      </c>
      <c r="W1975" s="4">
        <f>IF($O$1975="","",$O$1975)</f>
        <v/>
      </c>
      <c r="X1975" s="4">
        <f>J1975</f>
        <v/>
      </c>
    </row>
    <row r="1976">
      <c r="B1976" s="4" t="inlineStr">
        <is>
          <t>2199_0</t>
        </is>
      </c>
      <c r="C1976" s="4" t="inlineStr">
        <is>
          <t>25/09/2026</t>
        </is>
      </c>
      <c r="D1976" s="4" t="inlineStr">
        <is>
          <t>viernes</t>
        </is>
      </c>
      <c r="E1976" s="4" t="inlineStr">
        <is>
          <t>2313</t>
        </is>
      </c>
      <c r="F1976" s="4" t="inlineStr">
        <is>
          <t>CIX</t>
        </is>
      </c>
      <c r="G1976" s="4" t="inlineStr">
        <is>
          <t>LIM</t>
        </is>
      </c>
      <c r="H1976" s="4" t="inlineStr">
        <is>
          <t>17:50:00</t>
        </is>
      </c>
      <c r="I1976" s="4" t="inlineStr">
        <is>
          <t>19:10:00</t>
        </is>
      </c>
      <c r="J1976" s="4" t="inlineStr">
        <is>
          <t>320</t>
        </is>
      </c>
      <c r="K1976">
        <f>TEXT(TIMEVALUE(H1976)-TIMEVALUE(I1975)+(TIMEVALUE(H1976)&lt;TIMEVALUE(I1975)),"[h]:mm")</f>
        <v/>
      </c>
      <c r="L1976" s="4" t="inlineStr">
        <is>
          <t>01:20:00</t>
        </is>
      </c>
      <c r="O1976">
        <f>"LIM-"&amp;G1975&amp;"-LIM   LA "&amp;E1975&amp;" ("&amp;LEFT(H1975,5)&amp;"-"&amp;LEFT(I1975,5)&amp;" hrs)  /  LA "&amp;E1976&amp;" ("&amp;LEFT(H1976,5)&amp;"-"&amp;LEFT(I1976,5)&amp;" hrs)"</f>
        <v/>
      </c>
    </row>
    <row r="1977">
      <c r="J1977" s="7" t="inlineStr">
        <is>
          <t>PSV total:</t>
        </is>
      </c>
      <c r="K1977" s="8">
        <f>TEXT(TIMEVALUE(I1976)-TIMEVALUE(H1975)+(I1976&lt;H1975),"[h]:mm")</f>
        <v/>
      </c>
    </row>
    <row r="1979">
      <c r="B1979" s="3" t="inlineStr">
        <is>
          <t>Pairing ID</t>
        </is>
      </c>
      <c r="C1979" s="3" t="inlineStr">
        <is>
          <t>FECHA REAL</t>
        </is>
      </c>
      <c r="D1979" s="3" t="inlineStr">
        <is>
          <t>Day of Week</t>
        </is>
      </c>
      <c r="E1979" s="3" t="inlineStr">
        <is>
          <t>Flight No</t>
        </is>
      </c>
      <c r="F1979" s="3" t="inlineStr">
        <is>
          <t>Dep Stn</t>
        </is>
      </c>
      <c r="G1979" s="3" t="inlineStr">
        <is>
          <t>Arr Stn</t>
        </is>
      </c>
      <c r="H1979" s="3" t="inlineStr">
        <is>
          <t>STD</t>
        </is>
      </c>
      <c r="I1979" s="3" t="inlineStr">
        <is>
          <t>STA</t>
        </is>
      </c>
      <c r="J1979" s="3" t="inlineStr">
        <is>
          <t>subflota</t>
        </is>
      </c>
      <c r="K1979" s="3" t="inlineStr">
        <is>
          <t>Conexion</t>
        </is>
      </c>
      <c r="L1979" s="3" t="inlineStr">
        <is>
          <t>HBT</t>
        </is>
      </c>
    </row>
    <row r="1980">
      <c r="B1980" s="4" t="inlineStr">
        <is>
          <t>2200_0</t>
        </is>
      </c>
      <c r="C1980" s="4" t="inlineStr">
        <is>
          <t>25/09/2026</t>
        </is>
      </c>
      <c r="D1980" s="4" t="inlineStr">
        <is>
          <t>viernes</t>
        </is>
      </c>
      <c r="E1980" s="4" t="inlineStr">
        <is>
          <t>2301</t>
        </is>
      </c>
      <c r="F1980" s="4" t="inlineStr">
        <is>
          <t>LIM</t>
        </is>
      </c>
      <c r="G1980" s="4" t="inlineStr">
        <is>
          <t>TPP</t>
        </is>
      </c>
      <c r="H1980" s="4" t="inlineStr">
        <is>
          <t>15:40:00</t>
        </is>
      </c>
      <c r="I1980" s="4" t="inlineStr">
        <is>
          <t>17:05:00</t>
        </is>
      </c>
      <c r="J1980" s="4" t="inlineStr">
        <is>
          <t>319</t>
        </is>
      </c>
      <c r="L1980" s="4" t="inlineStr">
        <is>
          <t>01:25:00</t>
        </is>
      </c>
      <c r="M1980" s="5" t="n"/>
      <c r="O1980" s="5" t="n"/>
      <c r="Q1980" s="4">
        <f>B1980</f>
        <v/>
      </c>
      <c r="R1980" s="4">
        <f>C1980</f>
        <v/>
      </c>
      <c r="S1980" s="4">
        <f>D1980</f>
        <v/>
      </c>
      <c r="T1980" s="4">
        <f>E1980&amp;"/"&amp;E1981</f>
        <v/>
      </c>
      <c r="U1980" s="4">
        <f>F1980&amp;"-"&amp;G1980&amp;"-"&amp;F1980</f>
        <v/>
      </c>
      <c r="V1980" s="4">
        <f>IF($M$1980="","",$M$1980)</f>
        <v/>
      </c>
      <c r="W1980" s="4">
        <f>IF($O$1980="","",$O$1980)</f>
        <v/>
      </c>
      <c r="X1980" s="4">
        <f>J1980</f>
        <v/>
      </c>
    </row>
    <row r="1981">
      <c r="B1981" s="4" t="inlineStr">
        <is>
          <t>2200_0</t>
        </is>
      </c>
      <c r="C1981" s="4" t="inlineStr">
        <is>
          <t>25/09/2026</t>
        </is>
      </c>
      <c r="D1981" s="4" t="inlineStr">
        <is>
          <t>viernes</t>
        </is>
      </c>
      <c r="E1981" s="4" t="inlineStr">
        <is>
          <t>2300</t>
        </is>
      </c>
      <c r="F1981" s="4" t="inlineStr">
        <is>
          <t>TPP</t>
        </is>
      </c>
      <c r="G1981" s="4" t="inlineStr">
        <is>
          <t>LIM</t>
        </is>
      </c>
      <c r="H1981" s="4" t="inlineStr">
        <is>
          <t>17:50:00</t>
        </is>
      </c>
      <c r="I1981" s="4" t="inlineStr">
        <is>
          <t>19:15:00</t>
        </is>
      </c>
      <c r="J1981" s="4" t="inlineStr">
        <is>
          <t>319</t>
        </is>
      </c>
      <c r="K1981">
        <f>TEXT(TIMEVALUE(H1981)-TIMEVALUE(I1980)+(TIMEVALUE(H1981)&lt;TIMEVALUE(I1980)),"[h]:mm")</f>
        <v/>
      </c>
      <c r="L1981" s="4" t="inlineStr">
        <is>
          <t>01:25:00</t>
        </is>
      </c>
      <c r="O1981">
        <f>"LIM-"&amp;G1980&amp;"-LIM   LA "&amp;E1980&amp;" ("&amp;LEFT(H1980,5)&amp;"-"&amp;LEFT(I1980,5)&amp;" hrs)  /  LA "&amp;E1981&amp;" ("&amp;LEFT(H1981,5)&amp;"-"&amp;LEFT(I1981,5)&amp;" hrs)"</f>
        <v/>
      </c>
    </row>
    <row r="1982">
      <c r="J1982" s="7" t="inlineStr">
        <is>
          <t>PSV total:</t>
        </is>
      </c>
      <c r="K1982" s="8">
        <f>TEXT(TIMEVALUE(I1981)-TIMEVALUE(H1980)+(I1981&lt;H1980),"[h]:mm")</f>
        <v/>
      </c>
    </row>
    <row r="1984">
      <c r="B1984" s="3" t="inlineStr">
        <is>
          <t>Pairing ID</t>
        </is>
      </c>
      <c r="C1984" s="3" t="inlineStr">
        <is>
          <t>FECHA REAL</t>
        </is>
      </c>
      <c r="D1984" s="3" t="inlineStr">
        <is>
          <t>Day of Week</t>
        </is>
      </c>
      <c r="E1984" s="3" t="inlineStr">
        <is>
          <t>Flight No</t>
        </is>
      </c>
      <c r="F1984" s="3" t="inlineStr">
        <is>
          <t>Dep Stn</t>
        </is>
      </c>
      <c r="G1984" s="3" t="inlineStr">
        <is>
          <t>Arr Stn</t>
        </is>
      </c>
      <c r="H1984" s="3" t="inlineStr">
        <is>
          <t>STD</t>
        </is>
      </c>
      <c r="I1984" s="3" t="inlineStr">
        <is>
          <t>STA</t>
        </is>
      </c>
      <c r="J1984" s="3" t="inlineStr">
        <is>
          <t>subflota</t>
        </is>
      </c>
      <c r="K1984" s="3" t="inlineStr">
        <is>
          <t>Conexion</t>
        </is>
      </c>
      <c r="L1984" s="3" t="inlineStr">
        <is>
          <t>HBT</t>
        </is>
      </c>
    </row>
    <row r="1985">
      <c r="B1985" s="4" t="inlineStr">
        <is>
          <t>2248_0</t>
        </is>
      </c>
      <c r="C1985" s="4" t="inlineStr">
        <is>
          <t>26/09/2026</t>
        </is>
      </c>
      <c r="D1985" s="4" t="inlineStr">
        <is>
          <t>sábado</t>
        </is>
      </c>
      <c r="E1985" s="4" t="inlineStr">
        <is>
          <t>2013</t>
        </is>
      </c>
      <c r="F1985" s="4" t="inlineStr">
        <is>
          <t>LIM</t>
        </is>
      </c>
      <c r="G1985" s="4" t="inlineStr">
        <is>
          <t>CUZ</t>
        </is>
      </c>
      <c r="H1985" s="4" t="inlineStr">
        <is>
          <t>08:35:00</t>
        </is>
      </c>
      <c r="I1985" s="4" t="inlineStr">
        <is>
          <t>09:55:00</t>
        </is>
      </c>
      <c r="J1985" s="4" t="inlineStr">
        <is>
          <t>320</t>
        </is>
      </c>
      <c r="L1985" s="4" t="inlineStr">
        <is>
          <t>01:20:00</t>
        </is>
      </c>
      <c r="M1985" s="5" t="n"/>
      <c r="O1985" s="5" t="n"/>
      <c r="Q1985" s="4">
        <f>B1985</f>
        <v/>
      </c>
      <c r="R1985" s="4">
        <f>C1985</f>
        <v/>
      </c>
      <c r="S1985" s="4">
        <f>D1985</f>
        <v/>
      </c>
      <c r="T1985" s="4">
        <f>E1985&amp;"/"&amp;E1986</f>
        <v/>
      </c>
      <c r="U1985" s="4">
        <f>F1985&amp;"-"&amp;G1985&amp;"-"&amp;F1985</f>
        <v/>
      </c>
      <c r="V1985" s="4">
        <f>IF($M$1985="","",$M$1985)</f>
        <v/>
      </c>
      <c r="W1985" s="4">
        <f>IF($O$1985="","",$O$1985)</f>
        <v/>
      </c>
      <c r="X1985" s="4">
        <f>J1985</f>
        <v/>
      </c>
    </row>
    <row r="1986">
      <c r="B1986" s="4" t="inlineStr">
        <is>
          <t>2248_0</t>
        </is>
      </c>
      <c r="C1986" s="4" t="inlineStr">
        <is>
          <t>26/09/2026</t>
        </is>
      </c>
      <c r="D1986" s="4" t="inlineStr">
        <is>
          <t>sábado</t>
        </is>
      </c>
      <c r="E1986" s="4" t="inlineStr">
        <is>
          <t>2014</t>
        </is>
      </c>
      <c r="F1986" s="4" t="inlineStr">
        <is>
          <t>CUZ</t>
        </is>
      </c>
      <c r="G1986" s="4" t="inlineStr">
        <is>
          <t>LIM</t>
        </is>
      </c>
      <c r="H1986" s="4" t="inlineStr">
        <is>
          <t>10:40:00</t>
        </is>
      </c>
      <c r="I1986" s="4" t="inlineStr">
        <is>
          <t>12:15:00</t>
        </is>
      </c>
      <c r="J1986" s="4" t="inlineStr">
        <is>
          <t>320</t>
        </is>
      </c>
      <c r="K1986">
        <f>TEXT(TIMEVALUE(H1986)-TIMEVALUE(I1985)+(TIMEVALUE(H1986)&lt;TIMEVALUE(I1985)),"[h]:mm")</f>
        <v/>
      </c>
      <c r="L1986" s="4" t="inlineStr">
        <is>
          <t>01:35:00</t>
        </is>
      </c>
      <c r="O1986">
        <f>"LIM-"&amp;G1985&amp;"-LIM   LA "&amp;E1985&amp;" ("&amp;LEFT(H1985,5)&amp;"-"&amp;LEFT(I1985,5)&amp;" hrs)  /  LA "&amp;E1986&amp;" ("&amp;LEFT(H1986,5)&amp;"-"&amp;LEFT(I1986,5)&amp;" hrs)"</f>
        <v/>
      </c>
    </row>
    <row r="1987">
      <c r="J1987" s="7" t="inlineStr">
        <is>
          <t>PSV total:</t>
        </is>
      </c>
      <c r="K1987" s="8">
        <f>TEXT(TIMEVALUE(I1986)-TIMEVALUE(H1985)+(I1986&lt;H1985),"[h]:mm")</f>
        <v/>
      </c>
    </row>
    <row r="1989">
      <c r="B1989" s="3" t="inlineStr">
        <is>
          <t>Pairing ID</t>
        </is>
      </c>
      <c r="C1989" s="3" t="inlineStr">
        <is>
          <t>FECHA REAL</t>
        </is>
      </c>
      <c r="D1989" s="3" t="inlineStr">
        <is>
          <t>Day of Week</t>
        </is>
      </c>
      <c r="E1989" s="3" t="inlineStr">
        <is>
          <t>Flight No</t>
        </is>
      </c>
      <c r="F1989" s="3" t="inlineStr">
        <is>
          <t>Dep Stn</t>
        </is>
      </c>
      <c r="G1989" s="3" t="inlineStr">
        <is>
          <t>Arr Stn</t>
        </is>
      </c>
      <c r="H1989" s="3" t="inlineStr">
        <is>
          <t>STD</t>
        </is>
      </c>
      <c r="I1989" s="3" t="inlineStr">
        <is>
          <t>STA</t>
        </is>
      </c>
      <c r="J1989" s="3" t="inlineStr">
        <is>
          <t>subflota</t>
        </is>
      </c>
      <c r="K1989" s="3" t="inlineStr">
        <is>
          <t>Conexion</t>
        </is>
      </c>
      <c r="L1989" s="3" t="inlineStr">
        <is>
          <t>HBT</t>
        </is>
      </c>
    </row>
    <row r="1990">
      <c r="B1990" s="4" t="inlineStr">
        <is>
          <t>2255_0</t>
        </is>
      </c>
      <c r="C1990" s="4" t="inlineStr">
        <is>
          <t>26/09/2026</t>
        </is>
      </c>
      <c r="D1990" s="4" t="inlineStr">
        <is>
          <t>sábado</t>
        </is>
      </c>
      <c r="E1990" s="4" t="inlineStr">
        <is>
          <t>2266</t>
        </is>
      </c>
      <c r="F1990" s="4" t="inlineStr">
        <is>
          <t>LIM</t>
        </is>
      </c>
      <c r="G1990" s="4" t="inlineStr">
        <is>
          <t>CUZ</t>
        </is>
      </c>
      <c r="H1990" s="4" t="inlineStr">
        <is>
          <t>11:10:00</t>
        </is>
      </c>
      <c r="I1990" s="4" t="inlineStr">
        <is>
          <t>12:30:00</t>
        </is>
      </c>
      <c r="J1990" s="4" t="inlineStr">
        <is>
          <t>320</t>
        </is>
      </c>
      <c r="L1990" s="4" t="inlineStr">
        <is>
          <t>01:20:00</t>
        </is>
      </c>
      <c r="M1990" s="5" t="n"/>
      <c r="O1990" s="5" t="n"/>
      <c r="Q1990" s="4">
        <f>B1990</f>
        <v/>
      </c>
      <c r="R1990" s="4">
        <f>C1990</f>
        <v/>
      </c>
      <c r="S1990" s="4">
        <f>D1990</f>
        <v/>
      </c>
      <c r="T1990" s="4">
        <f>E1990&amp;"/"&amp;E1991</f>
        <v/>
      </c>
      <c r="U1990" s="4">
        <f>F1990&amp;"-"&amp;G1990&amp;"-"&amp;F1990</f>
        <v/>
      </c>
      <c r="V1990" s="4">
        <f>IF($M$1990="","",$M$1990)</f>
        <v/>
      </c>
      <c r="W1990" s="4">
        <f>IF($O$1990="","",$O$1990)</f>
        <v/>
      </c>
      <c r="X1990" s="4">
        <f>J1990</f>
        <v/>
      </c>
    </row>
    <row r="1991">
      <c r="B1991" s="4" t="inlineStr">
        <is>
          <t>2255_0</t>
        </is>
      </c>
      <c r="C1991" s="4" t="inlineStr">
        <is>
          <t>26/09/2026</t>
        </is>
      </c>
      <c r="D1991" s="4" t="inlineStr">
        <is>
          <t>sábado</t>
        </is>
      </c>
      <c r="E1991" s="4" t="inlineStr">
        <is>
          <t>2267</t>
        </is>
      </c>
      <c r="F1991" s="4" t="inlineStr">
        <is>
          <t>CUZ</t>
        </is>
      </c>
      <c r="G1991" s="4" t="inlineStr">
        <is>
          <t>LIM</t>
        </is>
      </c>
      <c r="H1991" s="4" t="inlineStr">
        <is>
          <t>13:10:00</t>
        </is>
      </c>
      <c r="I1991" s="4" t="inlineStr">
        <is>
          <t>14:45:00</t>
        </is>
      </c>
      <c r="J1991" s="4" t="inlineStr">
        <is>
          <t>320</t>
        </is>
      </c>
      <c r="K1991">
        <f>TEXT(TIMEVALUE(H1991)-TIMEVALUE(I1990)+(TIMEVALUE(H1991)&lt;TIMEVALUE(I1990)),"[h]:mm")</f>
        <v/>
      </c>
      <c r="L1991" s="4" t="inlineStr">
        <is>
          <t>01:35:00</t>
        </is>
      </c>
      <c r="O1991">
        <f>"LIM-"&amp;G1990&amp;"-LIM   LA "&amp;E1990&amp;" ("&amp;LEFT(H1990,5)&amp;"-"&amp;LEFT(I1990,5)&amp;" hrs)  /  LA "&amp;E1991&amp;" ("&amp;LEFT(H1991,5)&amp;"-"&amp;LEFT(I1991,5)&amp;" hrs)"</f>
        <v/>
      </c>
    </row>
    <row r="1992">
      <c r="B1992" s="4" t="inlineStr">
        <is>
          <t>2281_0</t>
        </is>
      </c>
      <c r="C1992" s="4" t="inlineStr">
        <is>
          <t>26/09/2026</t>
        </is>
      </c>
      <c r="D1992" s="4" t="inlineStr">
        <is>
          <t>sábado</t>
        </is>
      </c>
      <c r="E1992" s="4" t="inlineStr">
        <is>
          <t>2301</t>
        </is>
      </c>
      <c r="F1992" s="4" t="inlineStr">
        <is>
          <t>LIM</t>
        </is>
      </c>
      <c r="G1992" s="4" t="inlineStr">
        <is>
          <t>TPP</t>
        </is>
      </c>
      <c r="H1992" s="4" t="inlineStr">
        <is>
          <t>15:40:00</t>
        </is>
      </c>
      <c r="I1992" s="4" t="inlineStr">
        <is>
          <t>17:05:00</t>
        </is>
      </c>
      <c r="J1992" s="4" t="inlineStr">
        <is>
          <t>320</t>
        </is>
      </c>
      <c r="K1992" s="6">
        <f>TEXT(TIMEVALUE(H1992)-TIMEVALUE(I1991)+(TIMEVALUE(H1992)&lt;TIMEVALUE(I1991)),"[h]:mm")</f>
        <v/>
      </c>
      <c r="L1992" s="4" t="inlineStr">
        <is>
          <t>01:25:00</t>
        </is>
      </c>
      <c r="M1992">
        <f>IF($M$1990="","",$M$1990)</f>
        <v/>
      </c>
      <c r="O1992">
        <f>IF($O$1990="","",$O$1990)</f>
        <v/>
      </c>
      <c r="Q1992" s="4">
        <f>B1992</f>
        <v/>
      </c>
      <c r="R1992" s="4">
        <f>C1992</f>
        <v/>
      </c>
      <c r="S1992" s="4">
        <f>D1992</f>
        <v/>
      </c>
      <c r="T1992" s="4">
        <f>E1992&amp;"/"&amp;E1993</f>
        <v/>
      </c>
      <c r="U1992" s="4">
        <f>F1992&amp;"-"&amp;G1992&amp;"-"&amp;F1992</f>
        <v/>
      </c>
      <c r="V1992" s="4">
        <f>IF($M$1990="","",$M$1990)</f>
        <v/>
      </c>
      <c r="W1992" s="4">
        <f>IF($O$1990="","",$O$1990)</f>
        <v/>
      </c>
      <c r="X1992" s="4">
        <f>J1992</f>
        <v/>
      </c>
    </row>
    <row r="1993">
      <c r="B1993" s="4" t="inlineStr">
        <is>
          <t>2281_0</t>
        </is>
      </c>
      <c r="C1993" s="4" t="inlineStr">
        <is>
          <t>26/09/2026</t>
        </is>
      </c>
      <c r="D1993" s="4" t="inlineStr">
        <is>
          <t>sábado</t>
        </is>
      </c>
      <c r="E1993" s="4" t="inlineStr">
        <is>
          <t>2300</t>
        </is>
      </c>
      <c r="F1993" s="4" t="inlineStr">
        <is>
          <t>TPP</t>
        </is>
      </c>
      <c r="G1993" s="4" t="inlineStr">
        <is>
          <t>LIM</t>
        </is>
      </c>
      <c r="H1993" s="4" t="inlineStr">
        <is>
          <t>17:50:00</t>
        </is>
      </c>
      <c r="I1993" s="4" t="inlineStr">
        <is>
          <t>19:20:00</t>
        </is>
      </c>
      <c r="J1993" s="4" t="inlineStr">
        <is>
          <t>320</t>
        </is>
      </c>
      <c r="K1993">
        <f>TEXT(TIMEVALUE(H1993)-TIMEVALUE(I1992)+(TIMEVALUE(H1993)&lt;TIMEVALUE(I1992)),"[h]:mm")</f>
        <v/>
      </c>
      <c r="L1993" s="4" t="inlineStr">
        <is>
          <t>01:30:00</t>
        </is>
      </c>
      <c r="O1993">
        <f>"LIM-"&amp;G1992&amp;"-LIM   LA "&amp;E1992&amp;" ("&amp;LEFT(H1992,5)&amp;"-"&amp;LEFT(I1992,5)&amp;" hrs)  /  LA "&amp;E1993&amp;" ("&amp;LEFT(H1993,5)&amp;"-"&amp;LEFT(I1993,5)&amp;" hrs)"</f>
        <v/>
      </c>
    </row>
    <row r="1994">
      <c r="J1994" s="7" t="inlineStr">
        <is>
          <t>PSV total:</t>
        </is>
      </c>
      <c r="K1994" s="8">
        <f>TEXT(TIMEVALUE(I1993)-TIMEVALUE(H1990)+(I1993&lt;H1990),"[h]:mm")</f>
        <v/>
      </c>
    </row>
    <row r="1996">
      <c r="B1996" s="3" t="inlineStr">
        <is>
          <t>Pairing ID</t>
        </is>
      </c>
      <c r="C1996" s="3" t="inlineStr">
        <is>
          <t>FECHA REAL</t>
        </is>
      </c>
      <c r="D1996" s="3" t="inlineStr">
        <is>
          <t>Day of Week</t>
        </is>
      </c>
      <c r="E1996" s="3" t="inlineStr">
        <is>
          <t>Flight No</t>
        </is>
      </c>
      <c r="F1996" s="3" t="inlineStr">
        <is>
          <t>Dep Stn</t>
        </is>
      </c>
      <c r="G1996" s="3" t="inlineStr">
        <is>
          <t>Arr Stn</t>
        </is>
      </c>
      <c r="H1996" s="3" t="inlineStr">
        <is>
          <t>STD</t>
        </is>
      </c>
      <c r="I1996" s="3" t="inlineStr">
        <is>
          <t>STA</t>
        </is>
      </c>
      <c r="J1996" s="3" t="inlineStr">
        <is>
          <t>subflota</t>
        </is>
      </c>
      <c r="K1996" s="3" t="inlineStr">
        <is>
          <t>Conexion</t>
        </is>
      </c>
      <c r="L1996" s="3" t="inlineStr">
        <is>
          <t>HBT</t>
        </is>
      </c>
    </row>
    <row r="1997">
      <c r="B1997" s="4" t="inlineStr">
        <is>
          <t>2261_0</t>
        </is>
      </c>
      <c r="C1997" s="4" t="inlineStr">
        <is>
          <t>26/09/2026</t>
        </is>
      </c>
      <c r="D1997" s="4" t="inlineStr">
        <is>
          <t>sábado</t>
        </is>
      </c>
      <c r="E1997" s="4" t="inlineStr">
        <is>
          <t>2023</t>
        </is>
      </c>
      <c r="F1997" s="4" t="inlineStr">
        <is>
          <t>LIM</t>
        </is>
      </c>
      <c r="G1997" s="4" t="inlineStr">
        <is>
          <t>PEM</t>
        </is>
      </c>
      <c r="H1997" s="4" t="inlineStr">
        <is>
          <t>12:15:00</t>
        </is>
      </c>
      <c r="I1997" s="4" t="inlineStr">
        <is>
          <t>13:55:00</t>
        </is>
      </c>
      <c r="J1997" s="4" t="inlineStr">
        <is>
          <t>320</t>
        </is>
      </c>
      <c r="L1997" s="4" t="inlineStr">
        <is>
          <t>01:40:00</t>
        </is>
      </c>
      <c r="M1997" s="5" t="n"/>
      <c r="O1997" s="5" t="n"/>
      <c r="Q1997" s="4">
        <f>B1997</f>
        <v/>
      </c>
      <c r="R1997" s="4">
        <f>C1997</f>
        <v/>
      </c>
      <c r="S1997" s="4">
        <f>D1997</f>
        <v/>
      </c>
      <c r="T1997" s="4">
        <f>E1997&amp;"/"&amp;E1998</f>
        <v/>
      </c>
      <c r="U1997" s="4">
        <f>F1997&amp;"-"&amp;G1997&amp;"-"&amp;F1997</f>
        <v/>
      </c>
      <c r="V1997" s="4">
        <f>IF($M$1997="","",$M$1997)</f>
        <v/>
      </c>
      <c r="W1997" s="4">
        <f>IF($O$1997="","",$O$1997)</f>
        <v/>
      </c>
      <c r="X1997" s="4">
        <f>J1997</f>
        <v/>
      </c>
    </row>
    <row r="1998">
      <c r="B1998" s="4" t="inlineStr">
        <is>
          <t>2261_0</t>
        </is>
      </c>
      <c r="C1998" s="4" t="inlineStr">
        <is>
          <t>26/09/2026</t>
        </is>
      </c>
      <c r="D1998" s="4" t="inlineStr">
        <is>
          <t>sábado</t>
        </is>
      </c>
      <c r="E1998" s="4" t="inlineStr">
        <is>
          <t>2024</t>
        </is>
      </c>
      <c r="F1998" s="4" t="inlineStr">
        <is>
          <t>PEM</t>
        </is>
      </c>
      <c r="G1998" s="4" t="inlineStr">
        <is>
          <t>LIM</t>
        </is>
      </c>
      <c r="H1998" s="4" t="inlineStr">
        <is>
          <t>14:35:00</t>
        </is>
      </c>
      <c r="I1998" s="4" t="inlineStr">
        <is>
          <t>16:10:00</t>
        </is>
      </c>
      <c r="J1998" s="4" t="inlineStr">
        <is>
          <t>320</t>
        </is>
      </c>
      <c r="K1998">
        <f>TEXT(TIMEVALUE(H1998)-TIMEVALUE(I1997)+(TIMEVALUE(H1998)&lt;TIMEVALUE(I1997)),"[h]:mm")</f>
        <v/>
      </c>
      <c r="L1998" s="4" t="inlineStr">
        <is>
          <t>01:35:00</t>
        </is>
      </c>
      <c r="O1998">
        <f>"LIM-"&amp;G1997&amp;"-LIM   LA "&amp;E1997&amp;" ("&amp;LEFT(H1997,5)&amp;"-"&amp;LEFT(I1997,5)&amp;" hrs)  /  LA "&amp;E1998&amp;" ("&amp;LEFT(H1998,5)&amp;"-"&amp;LEFT(I1998,5)&amp;" hrs)"</f>
        <v/>
      </c>
    </row>
    <row r="1999">
      <c r="J1999" s="7" t="inlineStr">
        <is>
          <t>PSV total:</t>
        </is>
      </c>
      <c r="K1999" s="8">
        <f>TEXT(TIMEVALUE(I1998)-TIMEVALUE(H1997)+(I1998&lt;H1997),"[h]:mm")</f>
        <v/>
      </c>
    </row>
    <row r="2001">
      <c r="B2001" s="3" t="inlineStr">
        <is>
          <t>Pairing ID</t>
        </is>
      </c>
      <c r="C2001" s="3" t="inlineStr">
        <is>
          <t>FECHA REAL</t>
        </is>
      </c>
      <c r="D2001" s="3" t="inlineStr">
        <is>
          <t>Day of Week</t>
        </is>
      </c>
      <c r="E2001" s="3" t="inlineStr">
        <is>
          <t>Flight No</t>
        </is>
      </c>
      <c r="F2001" s="3" t="inlineStr">
        <is>
          <t>Dep Stn</t>
        </is>
      </c>
      <c r="G2001" s="3" t="inlineStr">
        <is>
          <t>Arr Stn</t>
        </is>
      </c>
      <c r="H2001" s="3" t="inlineStr">
        <is>
          <t>STD</t>
        </is>
      </c>
      <c r="I2001" s="3" t="inlineStr">
        <is>
          <t>STA</t>
        </is>
      </c>
      <c r="J2001" s="3" t="inlineStr">
        <is>
          <t>subflota</t>
        </is>
      </c>
      <c r="K2001" s="3" t="inlineStr">
        <is>
          <t>Conexion</t>
        </is>
      </c>
      <c r="L2001" s="3" t="inlineStr">
        <is>
          <t>HBT</t>
        </is>
      </c>
    </row>
    <row r="2002">
      <c r="B2002" s="4" t="inlineStr">
        <is>
          <t>2269_0</t>
        </is>
      </c>
      <c r="C2002" s="4" t="inlineStr">
        <is>
          <t>26/09/2026</t>
        </is>
      </c>
      <c r="D2002" s="4" t="inlineStr">
        <is>
          <t>sábado</t>
        </is>
      </c>
      <c r="E2002" s="4" t="inlineStr">
        <is>
          <t>2067</t>
        </is>
      </c>
      <c r="F2002" s="4" t="inlineStr">
        <is>
          <t>LIM</t>
        </is>
      </c>
      <c r="G2002" s="4" t="inlineStr">
        <is>
          <t>TCQ</t>
        </is>
      </c>
      <c r="H2002" s="4" t="inlineStr">
        <is>
          <t>13:45:00</t>
        </is>
      </c>
      <c r="I2002" s="4" t="inlineStr">
        <is>
          <t>15:35:00</t>
        </is>
      </c>
      <c r="J2002" s="4" t="inlineStr">
        <is>
          <t>320</t>
        </is>
      </c>
      <c r="L2002" s="4" t="inlineStr">
        <is>
          <t>01:50:00</t>
        </is>
      </c>
      <c r="M2002" s="5" t="n"/>
      <c r="O2002" s="5" t="n"/>
      <c r="Q2002" s="4">
        <f>B2002</f>
        <v/>
      </c>
      <c r="R2002" s="4">
        <f>C2002</f>
        <v/>
      </c>
      <c r="S2002" s="4">
        <f>D2002</f>
        <v/>
      </c>
      <c r="T2002" s="4">
        <f>E2002&amp;"/"&amp;E2003</f>
        <v/>
      </c>
      <c r="U2002" s="4">
        <f>F2002&amp;"-"&amp;G2002&amp;"-"&amp;F2002</f>
        <v/>
      </c>
      <c r="V2002" s="4">
        <f>IF($M$2002="","",$M$2002)</f>
        <v/>
      </c>
      <c r="W2002" s="4">
        <f>IF($O$2002="","",$O$2002)</f>
        <v/>
      </c>
      <c r="X2002" s="4">
        <f>J2002</f>
        <v/>
      </c>
    </row>
    <row r="2003">
      <c r="B2003" s="4" t="inlineStr">
        <is>
          <t>2269_0</t>
        </is>
      </c>
      <c r="C2003" s="4" t="inlineStr">
        <is>
          <t>26/09/2026</t>
        </is>
      </c>
      <c r="D2003" s="4" t="inlineStr">
        <is>
          <t>sábado</t>
        </is>
      </c>
      <c r="E2003" s="4" t="inlineStr">
        <is>
          <t>2068</t>
        </is>
      </c>
      <c r="F2003" s="4" t="inlineStr">
        <is>
          <t>TCQ</t>
        </is>
      </c>
      <c r="G2003" s="4" t="inlineStr">
        <is>
          <t>LIM</t>
        </is>
      </c>
      <c r="H2003" s="4" t="inlineStr">
        <is>
          <t>16:20:00</t>
        </is>
      </c>
      <c r="I2003" s="4" t="inlineStr">
        <is>
          <t>18:15:00</t>
        </is>
      </c>
      <c r="J2003" s="4" t="inlineStr">
        <is>
          <t>320</t>
        </is>
      </c>
      <c r="K2003">
        <f>TEXT(TIMEVALUE(H2003)-TIMEVALUE(I2002)+(TIMEVALUE(H2003)&lt;TIMEVALUE(I2002)),"[h]:mm")</f>
        <v/>
      </c>
      <c r="L2003" s="4" t="inlineStr">
        <is>
          <t>01:55:00</t>
        </is>
      </c>
      <c r="O2003">
        <f>"LIM-"&amp;G2002&amp;"-LIM   LA "&amp;E2002&amp;" ("&amp;LEFT(H2002,5)&amp;"-"&amp;LEFT(I2002,5)&amp;" hrs)  /  LA "&amp;E2003&amp;" ("&amp;LEFT(H2003,5)&amp;"-"&amp;LEFT(I2003,5)&amp;" hrs)"</f>
        <v/>
      </c>
    </row>
    <row r="2004">
      <c r="J2004" s="7" t="inlineStr">
        <is>
          <t>PSV total:</t>
        </is>
      </c>
      <c r="K2004" s="8">
        <f>TEXT(TIMEVALUE(I2003)-TIMEVALUE(H2002)+(I2003&lt;H2002),"[h]:mm")</f>
        <v/>
      </c>
    </row>
    <row r="2006">
      <c r="B2006" s="3" t="inlineStr">
        <is>
          <t>Pairing ID</t>
        </is>
      </c>
      <c r="C2006" s="3" t="inlineStr">
        <is>
          <t>FECHA REAL</t>
        </is>
      </c>
      <c r="D2006" s="3" t="inlineStr">
        <is>
          <t>Day of Week</t>
        </is>
      </c>
      <c r="E2006" s="3" t="inlineStr">
        <is>
          <t>Flight No</t>
        </is>
      </c>
      <c r="F2006" s="3" t="inlineStr">
        <is>
          <t>Dep Stn</t>
        </is>
      </c>
      <c r="G2006" s="3" t="inlineStr">
        <is>
          <t>Arr Stn</t>
        </is>
      </c>
      <c r="H2006" s="3" t="inlineStr">
        <is>
          <t>STD</t>
        </is>
      </c>
      <c r="I2006" s="3" t="inlineStr">
        <is>
          <t>STA</t>
        </is>
      </c>
      <c r="J2006" s="3" t="inlineStr">
        <is>
          <t>subflota</t>
        </is>
      </c>
      <c r="K2006" s="3" t="inlineStr">
        <is>
          <t>Conexion</t>
        </is>
      </c>
      <c r="L2006" s="3" t="inlineStr">
        <is>
          <t>HBT</t>
        </is>
      </c>
    </row>
    <row r="2007">
      <c r="B2007" s="4" t="inlineStr">
        <is>
          <t>2271_0</t>
        </is>
      </c>
      <c r="C2007" s="4" t="inlineStr">
        <is>
          <t>26/09/2026</t>
        </is>
      </c>
      <c r="D2007" s="4" t="inlineStr">
        <is>
          <t>sábado</t>
        </is>
      </c>
      <c r="E2007" s="4" t="inlineStr">
        <is>
          <t>2295</t>
        </is>
      </c>
      <c r="F2007" s="4" t="inlineStr">
        <is>
          <t>LIM</t>
        </is>
      </c>
      <c r="G2007" s="4" t="inlineStr">
        <is>
          <t>CJA</t>
        </is>
      </c>
      <c r="H2007" s="4" t="inlineStr">
        <is>
          <t>14:10:00</t>
        </is>
      </c>
      <c r="I2007" s="4" t="inlineStr">
        <is>
          <t>15:30:00</t>
        </is>
      </c>
      <c r="J2007" s="4" t="inlineStr">
        <is>
          <t>320</t>
        </is>
      </c>
      <c r="L2007" s="4" t="inlineStr">
        <is>
          <t>01:20:00</t>
        </is>
      </c>
      <c r="M2007" s="5" t="n"/>
      <c r="O2007" s="5" t="n"/>
      <c r="Q2007" s="4">
        <f>B2007</f>
        <v/>
      </c>
      <c r="R2007" s="4">
        <f>C2007</f>
        <v/>
      </c>
      <c r="S2007" s="4">
        <f>D2007</f>
        <v/>
      </c>
      <c r="T2007" s="4">
        <f>E2007&amp;"/"&amp;E2008</f>
        <v/>
      </c>
      <c r="U2007" s="4">
        <f>F2007&amp;"-"&amp;G2007&amp;"-"&amp;F2007</f>
        <v/>
      </c>
      <c r="V2007" s="4">
        <f>IF($M$2007="","",$M$2007)</f>
        <v/>
      </c>
      <c r="W2007" s="4">
        <f>IF($O$2007="","",$O$2007)</f>
        <v/>
      </c>
      <c r="X2007" s="4">
        <f>J2007</f>
        <v/>
      </c>
    </row>
    <row r="2008">
      <c r="B2008" s="4" t="inlineStr">
        <is>
          <t>2271_0</t>
        </is>
      </c>
      <c r="C2008" s="4" t="inlineStr">
        <is>
          <t>26/09/2026</t>
        </is>
      </c>
      <c r="D2008" s="4" t="inlineStr">
        <is>
          <t>sábado</t>
        </is>
      </c>
      <c r="E2008" s="4" t="inlineStr">
        <is>
          <t>2294</t>
        </is>
      </c>
      <c r="F2008" s="4" t="inlineStr">
        <is>
          <t>CJA</t>
        </is>
      </c>
      <c r="G2008" s="4" t="inlineStr">
        <is>
          <t>LIM</t>
        </is>
      </c>
      <c r="H2008" s="4" t="inlineStr">
        <is>
          <t>16:10:00</t>
        </is>
      </c>
      <c r="I2008" s="4" t="inlineStr">
        <is>
          <t>17:15:00</t>
        </is>
      </c>
      <c r="J2008" s="4" t="inlineStr">
        <is>
          <t>320</t>
        </is>
      </c>
      <c r="K2008">
        <f>TEXT(TIMEVALUE(H2008)-TIMEVALUE(I2007)+(TIMEVALUE(H2008)&lt;TIMEVALUE(I2007)),"[h]:mm")</f>
        <v/>
      </c>
      <c r="L2008" s="4" t="inlineStr">
        <is>
          <t>01:05:00</t>
        </is>
      </c>
      <c r="O2008">
        <f>"LIM-"&amp;G2007&amp;"-LIM   LA "&amp;E2007&amp;" ("&amp;LEFT(H2007,5)&amp;"-"&amp;LEFT(I2007,5)&amp;" hrs)  /  LA "&amp;E2008&amp;" ("&amp;LEFT(H2008,5)&amp;"-"&amp;LEFT(I2008,5)&amp;" hrs)"</f>
        <v/>
      </c>
    </row>
    <row r="2009">
      <c r="B2009" s="4" t="inlineStr">
        <is>
          <t>2287_0</t>
        </is>
      </c>
      <c r="C2009" s="4" t="inlineStr">
        <is>
          <t>26/09/2026</t>
        </is>
      </c>
      <c r="D2009" s="4" t="inlineStr">
        <is>
          <t>sábado</t>
        </is>
      </c>
      <c r="E2009" s="4" t="inlineStr">
        <is>
          <t>2091</t>
        </is>
      </c>
      <c r="F2009" s="4" t="inlineStr">
        <is>
          <t>LIM</t>
        </is>
      </c>
      <c r="G2009" s="4" t="inlineStr">
        <is>
          <t>TPP</t>
        </is>
      </c>
      <c r="H2009" s="4" t="inlineStr">
        <is>
          <t>18:35:00</t>
        </is>
      </c>
      <c r="I2009" s="4" t="inlineStr">
        <is>
          <t>20:00:00</t>
        </is>
      </c>
      <c r="J2009" s="4" t="inlineStr">
        <is>
          <t>320</t>
        </is>
      </c>
      <c r="K2009" s="6">
        <f>TEXT(TIMEVALUE(H2009)-TIMEVALUE(I2008)+(TIMEVALUE(H2009)&lt;TIMEVALUE(I2008)),"[h]:mm")</f>
        <v/>
      </c>
      <c r="L2009" s="4" t="inlineStr">
        <is>
          <t>01:25:00</t>
        </is>
      </c>
      <c r="M2009">
        <f>IF($M$2007="","",$M$2007)</f>
        <v/>
      </c>
      <c r="O2009">
        <f>IF($O$2007="","",$O$2007)</f>
        <v/>
      </c>
      <c r="Q2009" s="4">
        <f>B2009</f>
        <v/>
      </c>
      <c r="R2009" s="4">
        <f>C2009</f>
        <v/>
      </c>
      <c r="S2009" s="4">
        <f>D2009</f>
        <v/>
      </c>
      <c r="T2009" s="4">
        <f>E2009&amp;"/"&amp;E2010</f>
        <v/>
      </c>
      <c r="U2009" s="4">
        <f>F2009&amp;"-"&amp;G2009&amp;"-"&amp;F2009</f>
        <v/>
      </c>
      <c r="V2009" s="4">
        <f>IF($M$2007="","",$M$2007)</f>
        <v/>
      </c>
      <c r="W2009" s="4">
        <f>IF($O$2007="","",$O$2007)</f>
        <v/>
      </c>
      <c r="X2009" s="4">
        <f>J2009</f>
        <v/>
      </c>
    </row>
    <row r="2010">
      <c r="B2010" s="4" t="inlineStr">
        <is>
          <t>2287_0</t>
        </is>
      </c>
      <c r="C2010" s="4" t="inlineStr">
        <is>
          <t>26/09/2026</t>
        </is>
      </c>
      <c r="D2010" s="4" t="inlineStr">
        <is>
          <t>sábado</t>
        </is>
      </c>
      <c r="E2010" s="4" t="inlineStr">
        <is>
          <t>2092</t>
        </is>
      </c>
      <c r="F2010" s="4" t="inlineStr">
        <is>
          <t>TPP</t>
        </is>
      </c>
      <c r="G2010" s="4" t="inlineStr">
        <is>
          <t>LIM</t>
        </is>
      </c>
      <c r="H2010" s="4" t="inlineStr">
        <is>
          <t>20:40:00</t>
        </is>
      </c>
      <c r="I2010" s="4" t="inlineStr">
        <is>
          <t>22:05:00</t>
        </is>
      </c>
      <c r="J2010" s="4" t="inlineStr">
        <is>
          <t>320</t>
        </is>
      </c>
      <c r="K2010">
        <f>TEXT(TIMEVALUE(H2010)-TIMEVALUE(I2009)+(TIMEVALUE(H2010)&lt;TIMEVALUE(I2009)),"[h]:mm")</f>
        <v/>
      </c>
      <c r="L2010" s="4" t="inlineStr">
        <is>
          <t>01:25:00</t>
        </is>
      </c>
      <c r="O2010">
        <f>"LIM-"&amp;G2009&amp;"-LIM   LA "&amp;E2009&amp;" ("&amp;LEFT(H2009,5)&amp;"-"&amp;LEFT(I2009,5)&amp;" hrs)  /  LA "&amp;E2010&amp;" ("&amp;LEFT(H2010,5)&amp;"-"&amp;LEFT(I2010,5)&amp;" hrs)"</f>
        <v/>
      </c>
    </row>
    <row r="2011">
      <c r="J2011" s="7" t="inlineStr">
        <is>
          <t>PSV total:</t>
        </is>
      </c>
      <c r="K2011" s="8">
        <f>TEXT(TIMEVALUE(I2010)-TIMEVALUE(H2007)+(I2010&lt;H2007),"[h]:mm")</f>
        <v/>
      </c>
    </row>
    <row r="2013">
      <c r="B2013" s="3" t="inlineStr">
        <is>
          <t>Pairing ID</t>
        </is>
      </c>
      <c r="C2013" s="3" t="inlineStr">
        <is>
          <t>FECHA REAL</t>
        </is>
      </c>
      <c r="D2013" s="3" t="inlineStr">
        <is>
          <t>Day of Week</t>
        </is>
      </c>
      <c r="E2013" s="3" t="inlineStr">
        <is>
          <t>Flight No</t>
        </is>
      </c>
      <c r="F2013" s="3" t="inlineStr">
        <is>
          <t>Dep Stn</t>
        </is>
      </c>
      <c r="G2013" s="3" t="inlineStr">
        <is>
          <t>Arr Stn</t>
        </is>
      </c>
      <c r="H2013" s="3" t="inlineStr">
        <is>
          <t>STD</t>
        </is>
      </c>
      <c r="I2013" s="3" t="inlineStr">
        <is>
          <t>STA</t>
        </is>
      </c>
      <c r="J2013" s="3" t="inlineStr">
        <is>
          <t>subflota</t>
        </is>
      </c>
      <c r="K2013" s="3" t="inlineStr">
        <is>
          <t>Conexion</t>
        </is>
      </c>
      <c r="L2013" s="3" t="inlineStr">
        <is>
          <t>HBT</t>
        </is>
      </c>
    </row>
    <row r="2014">
      <c r="B2014" s="4" t="inlineStr">
        <is>
          <t>2274_0</t>
        </is>
      </c>
      <c r="C2014" s="4" t="inlineStr">
        <is>
          <t>26/09/2026</t>
        </is>
      </c>
      <c r="D2014" s="4" t="inlineStr">
        <is>
          <t>sábado</t>
        </is>
      </c>
      <c r="E2014" s="4" t="inlineStr">
        <is>
          <t>2264</t>
        </is>
      </c>
      <c r="F2014" s="4" t="inlineStr">
        <is>
          <t>LIM</t>
        </is>
      </c>
      <c r="G2014" s="4" t="inlineStr">
        <is>
          <t>PEM</t>
        </is>
      </c>
      <c r="H2014" s="4" t="inlineStr">
        <is>
          <t>14:55:00</t>
        </is>
      </c>
      <c r="I2014" s="4" t="inlineStr">
        <is>
          <t>16:40:00</t>
        </is>
      </c>
      <c r="J2014" s="4" t="inlineStr">
        <is>
          <t>320</t>
        </is>
      </c>
      <c r="L2014" s="4" t="inlineStr">
        <is>
          <t>01:45:00</t>
        </is>
      </c>
      <c r="M2014" s="5" t="n"/>
      <c r="O2014" s="5" t="n"/>
      <c r="Q2014" s="4">
        <f>B2014</f>
        <v/>
      </c>
      <c r="R2014" s="4">
        <f>C2014</f>
        <v/>
      </c>
      <c r="S2014" s="4">
        <f>D2014</f>
        <v/>
      </c>
      <c r="T2014" s="4">
        <f>E2014&amp;"/"&amp;E2015</f>
        <v/>
      </c>
      <c r="U2014" s="4">
        <f>F2014&amp;"-"&amp;G2014&amp;"-"&amp;F2014</f>
        <v/>
      </c>
      <c r="V2014" s="4">
        <f>IF($M$2014="","",$M$2014)</f>
        <v/>
      </c>
      <c r="W2014" s="4">
        <f>IF($O$2014="","",$O$2014)</f>
        <v/>
      </c>
      <c r="X2014" s="4">
        <f>J2014</f>
        <v/>
      </c>
    </row>
    <row r="2015">
      <c r="B2015" s="4" t="inlineStr">
        <is>
          <t>2274_0</t>
        </is>
      </c>
      <c r="C2015" s="4" t="inlineStr">
        <is>
          <t>26/09/2026</t>
        </is>
      </c>
      <c r="D2015" s="4" t="inlineStr">
        <is>
          <t>sábado</t>
        </is>
      </c>
      <c r="E2015" s="4" t="inlineStr">
        <is>
          <t>2265</t>
        </is>
      </c>
      <c r="F2015" s="4" t="inlineStr">
        <is>
          <t>PEM</t>
        </is>
      </c>
      <c r="G2015" s="4" t="inlineStr">
        <is>
          <t>LIM</t>
        </is>
      </c>
      <c r="H2015" s="4" t="inlineStr">
        <is>
          <t>17:20:00</t>
        </is>
      </c>
      <c r="I2015" s="4" t="inlineStr">
        <is>
          <t>18:55:00</t>
        </is>
      </c>
      <c r="J2015" s="4" t="inlineStr">
        <is>
          <t>320</t>
        </is>
      </c>
      <c r="K2015">
        <f>TEXT(TIMEVALUE(H2015)-TIMEVALUE(I2014)+(TIMEVALUE(H2015)&lt;TIMEVALUE(I2014)),"[h]:mm")</f>
        <v/>
      </c>
      <c r="L2015" s="4" t="inlineStr">
        <is>
          <t>01:35:00</t>
        </is>
      </c>
      <c r="O2015">
        <f>"LIM-"&amp;G2014&amp;"-LIM   LA "&amp;E2014&amp;" ("&amp;LEFT(H2014,5)&amp;"-"&amp;LEFT(I2014,5)&amp;" hrs)  /  LA "&amp;E2015&amp;" ("&amp;LEFT(H2015,5)&amp;"-"&amp;LEFT(I2015,5)&amp;" hrs)"</f>
        <v/>
      </c>
    </row>
    <row r="2016">
      <c r="J2016" s="7" t="inlineStr">
        <is>
          <t>PSV total:</t>
        </is>
      </c>
      <c r="K2016" s="8">
        <f>TEXT(TIMEVALUE(I2015)-TIMEVALUE(H2014)+(I2015&lt;H2014),"[h]:mm")</f>
        <v/>
      </c>
    </row>
    <row r="2018">
      <c r="B2018" s="3" t="inlineStr">
        <is>
          <t>Pairing ID</t>
        </is>
      </c>
      <c r="C2018" s="3" t="inlineStr">
        <is>
          <t>FECHA REAL</t>
        </is>
      </c>
      <c r="D2018" s="3" t="inlineStr">
        <is>
          <t>Day of Week</t>
        </is>
      </c>
      <c r="E2018" s="3" t="inlineStr">
        <is>
          <t>Flight No</t>
        </is>
      </c>
      <c r="F2018" s="3" t="inlineStr">
        <is>
          <t>Dep Stn</t>
        </is>
      </c>
      <c r="G2018" s="3" t="inlineStr">
        <is>
          <t>Arr Stn</t>
        </is>
      </c>
      <c r="H2018" s="3" t="inlineStr">
        <is>
          <t>STD</t>
        </is>
      </c>
      <c r="I2018" s="3" t="inlineStr">
        <is>
          <t>STA</t>
        </is>
      </c>
      <c r="J2018" s="3" t="inlineStr">
        <is>
          <t>subflota</t>
        </is>
      </c>
      <c r="K2018" s="3" t="inlineStr">
        <is>
          <t>Conexion</t>
        </is>
      </c>
      <c r="L2018" s="3" t="inlineStr">
        <is>
          <t>HBT</t>
        </is>
      </c>
    </row>
    <row r="2019">
      <c r="B2019" s="4" t="inlineStr">
        <is>
          <t>2275_0</t>
        </is>
      </c>
      <c r="C2019" s="4" t="inlineStr">
        <is>
          <t>26/09/2026</t>
        </is>
      </c>
      <c r="D2019" s="4" t="inlineStr">
        <is>
          <t>sábado</t>
        </is>
      </c>
      <c r="E2019" s="4" t="inlineStr">
        <is>
          <t>2338</t>
        </is>
      </c>
      <c r="F2019" s="4" t="inlineStr">
        <is>
          <t>LIM</t>
        </is>
      </c>
      <c r="G2019" s="4" t="inlineStr">
        <is>
          <t>PIU</t>
        </is>
      </c>
      <c r="H2019" s="4" t="inlineStr">
        <is>
          <t>15:00:00</t>
        </is>
      </c>
      <c r="I2019" s="4" t="inlineStr">
        <is>
          <t>16:45:00</t>
        </is>
      </c>
      <c r="J2019" s="4" t="inlineStr">
        <is>
          <t>320</t>
        </is>
      </c>
      <c r="L2019" s="4" t="inlineStr">
        <is>
          <t>01:45:00</t>
        </is>
      </c>
      <c r="M2019" s="5" t="n"/>
      <c r="O2019" s="5" t="n"/>
      <c r="Q2019" s="4">
        <f>B2019</f>
        <v/>
      </c>
      <c r="R2019" s="4">
        <f>C2019</f>
        <v/>
      </c>
      <c r="S2019" s="4">
        <f>D2019</f>
        <v/>
      </c>
      <c r="T2019" s="4">
        <f>E2019&amp;"/"&amp;E2020</f>
        <v/>
      </c>
      <c r="U2019" s="4">
        <f>F2019&amp;"-"&amp;G2019&amp;"-"&amp;F2019</f>
        <v/>
      </c>
      <c r="V2019" s="4">
        <f>IF($M$2019="","",$M$2019)</f>
        <v/>
      </c>
      <c r="W2019" s="4">
        <f>IF($O$2019="","",$O$2019)</f>
        <v/>
      </c>
      <c r="X2019" s="4">
        <f>J2019</f>
        <v/>
      </c>
    </row>
    <row r="2020">
      <c r="B2020" s="4" t="inlineStr">
        <is>
          <t>2275_0</t>
        </is>
      </c>
      <c r="C2020" s="4" t="inlineStr">
        <is>
          <t>26/09/2026</t>
        </is>
      </c>
      <c r="D2020" s="4" t="inlineStr">
        <is>
          <t>sábado</t>
        </is>
      </c>
      <c r="E2020" s="4" t="inlineStr">
        <is>
          <t>2339</t>
        </is>
      </c>
      <c r="F2020" s="4" t="inlineStr">
        <is>
          <t>PIU</t>
        </is>
      </c>
      <c r="G2020" s="4" t="inlineStr">
        <is>
          <t>LIM</t>
        </is>
      </c>
      <c r="H2020" s="4" t="inlineStr">
        <is>
          <t>17:20:00</t>
        </is>
      </c>
      <c r="I2020" s="4" t="inlineStr">
        <is>
          <t>18:50:00</t>
        </is>
      </c>
      <c r="J2020" s="4" t="inlineStr">
        <is>
          <t>320</t>
        </is>
      </c>
      <c r="K2020">
        <f>TEXT(TIMEVALUE(H2020)-TIMEVALUE(I2019)+(TIMEVALUE(H2020)&lt;TIMEVALUE(I2019)),"[h]:mm")</f>
        <v/>
      </c>
      <c r="L2020" s="4" t="inlineStr">
        <is>
          <t>01:30:00</t>
        </is>
      </c>
      <c r="O2020">
        <f>"LIM-"&amp;G2019&amp;"-LIM   LA "&amp;E2019&amp;" ("&amp;LEFT(H2019,5)&amp;"-"&amp;LEFT(I2019,5)&amp;" hrs)  /  LA "&amp;E2020&amp;" ("&amp;LEFT(H2020,5)&amp;"-"&amp;LEFT(I2020,5)&amp;" hrs)"</f>
        <v/>
      </c>
    </row>
    <row r="2021">
      <c r="J2021" s="7" t="inlineStr">
        <is>
          <t>PSV total:</t>
        </is>
      </c>
      <c r="K2021" s="8">
        <f>TEXT(TIMEVALUE(I2020)-TIMEVALUE(H2019)+(I2020&lt;H2019),"[h]:mm")</f>
        <v/>
      </c>
    </row>
    <row r="2023">
      <c r="B2023" s="3" t="inlineStr">
        <is>
          <t>Pairing ID</t>
        </is>
      </c>
      <c r="C2023" s="3" t="inlineStr">
        <is>
          <t>FECHA REAL</t>
        </is>
      </c>
      <c r="D2023" s="3" t="inlineStr">
        <is>
          <t>Day of Week</t>
        </is>
      </c>
      <c r="E2023" s="3" t="inlineStr">
        <is>
          <t>Flight No</t>
        </is>
      </c>
      <c r="F2023" s="3" t="inlineStr">
        <is>
          <t>Dep Stn</t>
        </is>
      </c>
      <c r="G2023" s="3" t="inlineStr">
        <is>
          <t>Arr Stn</t>
        </is>
      </c>
      <c r="H2023" s="3" t="inlineStr">
        <is>
          <t>STD</t>
        </is>
      </c>
      <c r="I2023" s="3" t="inlineStr">
        <is>
          <t>STA</t>
        </is>
      </c>
      <c r="J2023" s="3" t="inlineStr">
        <is>
          <t>subflota</t>
        </is>
      </c>
      <c r="K2023" s="3" t="inlineStr">
        <is>
          <t>Conexion</t>
        </is>
      </c>
      <c r="L2023" s="3" t="inlineStr">
        <is>
          <t>HBT</t>
        </is>
      </c>
    </row>
    <row r="2024">
      <c r="B2024" s="4" t="inlineStr">
        <is>
          <t>2278_0</t>
        </is>
      </c>
      <c r="C2024" s="4" t="inlineStr">
        <is>
          <t>26/09/2026</t>
        </is>
      </c>
      <c r="D2024" s="4" t="inlineStr">
        <is>
          <t>sábado</t>
        </is>
      </c>
      <c r="E2024" s="4" t="inlineStr">
        <is>
          <t>2297</t>
        </is>
      </c>
      <c r="F2024" s="4" t="inlineStr">
        <is>
          <t>LIM</t>
        </is>
      </c>
      <c r="G2024" s="4" t="inlineStr">
        <is>
          <t>CJA</t>
        </is>
      </c>
      <c r="H2024" s="4" t="inlineStr">
        <is>
          <t>15:15:00</t>
        </is>
      </c>
      <c r="I2024" s="4" t="inlineStr">
        <is>
          <t>16:35:00</t>
        </is>
      </c>
      <c r="J2024" s="4" t="inlineStr">
        <is>
          <t>320</t>
        </is>
      </c>
      <c r="L2024" s="4" t="inlineStr">
        <is>
          <t>01:20:00</t>
        </is>
      </c>
      <c r="M2024" s="5" t="n"/>
      <c r="O2024" s="5" t="n"/>
      <c r="Q2024" s="4">
        <f>B2024</f>
        <v/>
      </c>
      <c r="R2024" s="4">
        <f>C2024</f>
        <v/>
      </c>
      <c r="S2024" s="4">
        <f>D2024</f>
        <v/>
      </c>
      <c r="T2024" s="4">
        <f>E2024&amp;"/"&amp;E2025</f>
        <v/>
      </c>
      <c r="U2024" s="4">
        <f>F2024&amp;"-"&amp;G2024&amp;"-"&amp;F2024</f>
        <v/>
      </c>
      <c r="V2024" s="4">
        <f>IF($M$2024="","",$M$2024)</f>
        <v/>
      </c>
      <c r="W2024" s="4">
        <f>IF($O$2024="","",$O$2024)</f>
        <v/>
      </c>
      <c r="X2024" s="4">
        <f>J2024</f>
        <v/>
      </c>
    </row>
    <row r="2025">
      <c r="B2025" s="4" t="inlineStr">
        <is>
          <t>2278_0</t>
        </is>
      </c>
      <c r="C2025" s="4" t="inlineStr">
        <is>
          <t>26/09/2026</t>
        </is>
      </c>
      <c r="D2025" s="4" t="inlineStr">
        <is>
          <t>sábado</t>
        </is>
      </c>
      <c r="E2025" s="4" t="inlineStr">
        <is>
          <t>2296</t>
        </is>
      </c>
      <c r="F2025" s="4" t="inlineStr">
        <is>
          <t>CJA</t>
        </is>
      </c>
      <c r="G2025" s="4" t="inlineStr">
        <is>
          <t>LIM</t>
        </is>
      </c>
      <c r="H2025" s="4" t="inlineStr">
        <is>
          <t>17:20:00</t>
        </is>
      </c>
      <c r="I2025" s="4" t="inlineStr">
        <is>
          <t>18:25:00</t>
        </is>
      </c>
      <c r="J2025" s="4" t="inlineStr">
        <is>
          <t>320</t>
        </is>
      </c>
      <c r="K2025">
        <f>TEXT(TIMEVALUE(H2025)-TIMEVALUE(I2024)+(TIMEVALUE(H2025)&lt;TIMEVALUE(I2024)),"[h]:mm")</f>
        <v/>
      </c>
      <c r="L2025" s="4" t="inlineStr">
        <is>
          <t>01:05:00</t>
        </is>
      </c>
      <c r="O2025">
        <f>"LIM-"&amp;G2024&amp;"-LIM   LA "&amp;E2024&amp;" ("&amp;LEFT(H2024,5)&amp;"-"&amp;LEFT(I2024,5)&amp;" hrs)  /  LA "&amp;E2025&amp;" ("&amp;LEFT(H2025,5)&amp;"-"&amp;LEFT(I2025,5)&amp;" hrs)"</f>
        <v/>
      </c>
    </row>
    <row r="2026">
      <c r="J2026" s="7" t="inlineStr">
        <is>
          <t>PSV total:</t>
        </is>
      </c>
      <c r="K2026" s="8">
        <f>TEXT(TIMEVALUE(I2025)-TIMEVALUE(H2024)+(I2025&lt;H2024),"[h]:mm")</f>
        <v/>
      </c>
    </row>
    <row r="2028">
      <c r="B2028" s="3" t="inlineStr">
        <is>
          <t>Pairing ID</t>
        </is>
      </c>
      <c r="C2028" s="3" t="inlineStr">
        <is>
          <t>FECHA REAL</t>
        </is>
      </c>
      <c r="D2028" s="3" t="inlineStr">
        <is>
          <t>Day of Week</t>
        </is>
      </c>
      <c r="E2028" s="3" t="inlineStr">
        <is>
          <t>Flight No</t>
        </is>
      </c>
      <c r="F2028" s="3" t="inlineStr">
        <is>
          <t>Dep Stn</t>
        </is>
      </c>
      <c r="G2028" s="3" t="inlineStr">
        <is>
          <t>Arr Stn</t>
        </is>
      </c>
      <c r="H2028" s="3" t="inlineStr">
        <is>
          <t>STD</t>
        </is>
      </c>
      <c r="I2028" s="3" t="inlineStr">
        <is>
          <t>STA</t>
        </is>
      </c>
      <c r="J2028" s="3" t="inlineStr">
        <is>
          <t>subflota</t>
        </is>
      </c>
      <c r="K2028" s="3" t="inlineStr">
        <is>
          <t>Conexion</t>
        </is>
      </c>
      <c r="L2028" s="3" t="inlineStr">
        <is>
          <t>HBT</t>
        </is>
      </c>
    </row>
    <row r="2029">
      <c r="B2029" s="4" t="inlineStr">
        <is>
          <t>2280_0</t>
        </is>
      </c>
      <c r="C2029" s="4" t="inlineStr">
        <is>
          <t>26/09/2026</t>
        </is>
      </c>
      <c r="D2029" s="4" t="inlineStr">
        <is>
          <t>sábado</t>
        </is>
      </c>
      <c r="E2029" s="4" t="inlineStr">
        <is>
          <t>2312</t>
        </is>
      </c>
      <c r="F2029" s="4" t="inlineStr">
        <is>
          <t>LIM</t>
        </is>
      </c>
      <c r="G2029" s="4" t="inlineStr">
        <is>
          <t>CIX</t>
        </is>
      </c>
      <c r="H2029" s="4" t="inlineStr">
        <is>
          <t>15:35:00</t>
        </is>
      </c>
      <c r="I2029" s="4" t="inlineStr">
        <is>
          <t>17:05:00</t>
        </is>
      </c>
      <c r="J2029" s="4" t="inlineStr">
        <is>
          <t>320</t>
        </is>
      </c>
      <c r="L2029" s="4" t="inlineStr">
        <is>
          <t>01:30:00</t>
        </is>
      </c>
      <c r="M2029" s="5" t="n"/>
      <c r="O2029" s="5" t="n"/>
      <c r="Q2029" s="4">
        <f>B2029</f>
        <v/>
      </c>
      <c r="R2029" s="4">
        <f>C2029</f>
        <v/>
      </c>
      <c r="S2029" s="4">
        <f>D2029</f>
        <v/>
      </c>
      <c r="T2029" s="4">
        <f>E2029&amp;"/"&amp;E2030</f>
        <v/>
      </c>
      <c r="U2029" s="4">
        <f>F2029&amp;"-"&amp;G2029&amp;"-"&amp;F2029</f>
        <v/>
      </c>
      <c r="V2029" s="4">
        <f>IF($M$2029="","",$M$2029)</f>
        <v/>
      </c>
      <c r="W2029" s="4">
        <f>IF($O$2029="","",$O$2029)</f>
        <v/>
      </c>
      <c r="X2029" s="4">
        <f>J2029</f>
        <v/>
      </c>
    </row>
    <row r="2030">
      <c r="B2030" s="4" t="inlineStr">
        <is>
          <t>2280_0</t>
        </is>
      </c>
      <c r="C2030" s="4" t="inlineStr">
        <is>
          <t>26/09/2026</t>
        </is>
      </c>
      <c r="D2030" s="4" t="inlineStr">
        <is>
          <t>sábado</t>
        </is>
      </c>
      <c r="E2030" s="4" t="inlineStr">
        <is>
          <t>2313</t>
        </is>
      </c>
      <c r="F2030" s="4" t="inlineStr">
        <is>
          <t>CIX</t>
        </is>
      </c>
      <c r="G2030" s="4" t="inlineStr">
        <is>
          <t>LIM</t>
        </is>
      </c>
      <c r="H2030" s="4" t="inlineStr">
        <is>
          <t>17:50:00</t>
        </is>
      </c>
      <c r="I2030" s="4" t="inlineStr">
        <is>
          <t>19:10:00</t>
        </is>
      </c>
      <c r="J2030" s="4" t="inlineStr">
        <is>
          <t>320</t>
        </is>
      </c>
      <c r="K2030">
        <f>TEXT(TIMEVALUE(H2030)-TIMEVALUE(I2029)+(TIMEVALUE(H2030)&lt;TIMEVALUE(I2029)),"[h]:mm")</f>
        <v/>
      </c>
      <c r="L2030" s="4" t="inlineStr">
        <is>
          <t>01:20:00</t>
        </is>
      </c>
      <c r="O2030">
        <f>"LIM-"&amp;G2029&amp;"-LIM   LA "&amp;E2029&amp;" ("&amp;LEFT(H2029,5)&amp;"-"&amp;LEFT(I2029,5)&amp;" hrs)  /  LA "&amp;E2030&amp;" ("&amp;LEFT(H2030,5)&amp;"-"&amp;LEFT(I2030,5)&amp;" hrs)"</f>
        <v/>
      </c>
    </row>
    <row r="2031">
      <c r="J2031" s="7" t="inlineStr">
        <is>
          <t>PSV total:</t>
        </is>
      </c>
      <c r="K2031" s="8">
        <f>TEXT(TIMEVALUE(I2030)-TIMEVALUE(H2029)+(I2030&lt;H2029),"[h]:mm")</f>
        <v/>
      </c>
    </row>
    <row r="2033">
      <c r="B2033" s="3" t="inlineStr">
        <is>
          <t>Pairing ID</t>
        </is>
      </c>
      <c r="C2033" s="3" t="inlineStr">
        <is>
          <t>FECHA REAL</t>
        </is>
      </c>
      <c r="D2033" s="3" t="inlineStr">
        <is>
          <t>Day of Week</t>
        </is>
      </c>
      <c r="E2033" s="3" t="inlineStr">
        <is>
          <t>Flight No</t>
        </is>
      </c>
      <c r="F2033" s="3" t="inlineStr">
        <is>
          <t>Dep Stn</t>
        </is>
      </c>
      <c r="G2033" s="3" t="inlineStr">
        <is>
          <t>Arr Stn</t>
        </is>
      </c>
      <c r="H2033" s="3" t="inlineStr">
        <is>
          <t>STD</t>
        </is>
      </c>
      <c r="I2033" s="3" t="inlineStr">
        <is>
          <t>STA</t>
        </is>
      </c>
      <c r="J2033" s="3" t="inlineStr">
        <is>
          <t>subflota</t>
        </is>
      </c>
      <c r="K2033" s="3" t="inlineStr">
        <is>
          <t>Conexion</t>
        </is>
      </c>
      <c r="L2033" s="3" t="inlineStr">
        <is>
          <t>HBT</t>
        </is>
      </c>
    </row>
    <row r="2034">
      <c r="B2034" s="4" t="inlineStr">
        <is>
          <t>2325_0</t>
        </is>
      </c>
      <c r="C2034" s="4" t="inlineStr">
        <is>
          <t>27/09/2026</t>
        </is>
      </c>
      <c r="D2034" s="4" t="inlineStr">
        <is>
          <t>domingo</t>
        </is>
      </c>
      <c r="E2034" s="4" t="inlineStr">
        <is>
          <t>2013</t>
        </is>
      </c>
      <c r="F2034" s="4" t="inlineStr">
        <is>
          <t>LIM</t>
        </is>
      </c>
      <c r="G2034" s="4" t="inlineStr">
        <is>
          <t>CUZ</t>
        </is>
      </c>
      <c r="H2034" s="4" t="inlineStr">
        <is>
          <t>08:35:00</t>
        </is>
      </c>
      <c r="I2034" s="4" t="inlineStr">
        <is>
          <t>09:55:00</t>
        </is>
      </c>
      <c r="J2034" s="4" t="inlineStr">
        <is>
          <t>320</t>
        </is>
      </c>
      <c r="L2034" s="4" t="inlineStr">
        <is>
          <t>01:20:00</t>
        </is>
      </c>
      <c r="M2034" s="5" t="n"/>
      <c r="O2034" s="5" t="n"/>
      <c r="Q2034" s="4">
        <f>B2034</f>
        <v/>
      </c>
      <c r="R2034" s="4">
        <f>C2034</f>
        <v/>
      </c>
      <c r="S2034" s="4">
        <f>D2034</f>
        <v/>
      </c>
      <c r="T2034" s="4">
        <f>E2034&amp;"/"&amp;E2035</f>
        <v/>
      </c>
      <c r="U2034" s="4">
        <f>F2034&amp;"-"&amp;G2034&amp;"-"&amp;F2034</f>
        <v/>
      </c>
      <c r="V2034" s="4">
        <f>IF($M$2034="","",$M$2034)</f>
        <v/>
      </c>
      <c r="W2034" s="4">
        <f>IF($O$2034="","",$O$2034)</f>
        <v/>
      </c>
      <c r="X2034" s="4">
        <f>J2034</f>
        <v/>
      </c>
    </row>
    <row r="2035">
      <c r="B2035" s="4" t="inlineStr">
        <is>
          <t>2325_0</t>
        </is>
      </c>
      <c r="C2035" s="4" t="inlineStr">
        <is>
          <t>27/09/2026</t>
        </is>
      </c>
      <c r="D2035" s="4" t="inlineStr">
        <is>
          <t>domingo</t>
        </is>
      </c>
      <c r="E2035" s="4" t="inlineStr">
        <is>
          <t>2014</t>
        </is>
      </c>
      <c r="F2035" s="4" t="inlineStr">
        <is>
          <t>CUZ</t>
        </is>
      </c>
      <c r="G2035" s="4" t="inlineStr">
        <is>
          <t>LIM</t>
        </is>
      </c>
      <c r="H2035" s="4" t="inlineStr">
        <is>
          <t>10:35:00</t>
        </is>
      </c>
      <c r="I2035" s="4" t="inlineStr">
        <is>
          <t>12:10:00</t>
        </is>
      </c>
      <c r="J2035" s="4" t="inlineStr">
        <is>
          <t>320</t>
        </is>
      </c>
      <c r="K2035">
        <f>TEXT(TIMEVALUE(H2035)-TIMEVALUE(I2034)+(TIMEVALUE(H2035)&lt;TIMEVALUE(I2034)),"[h]:mm")</f>
        <v/>
      </c>
      <c r="L2035" s="4" t="inlineStr">
        <is>
          <t>01:35:00</t>
        </is>
      </c>
      <c r="O2035">
        <f>"LIM-"&amp;G2034&amp;"-LIM   LA "&amp;E2034&amp;" ("&amp;LEFT(H2034,5)&amp;"-"&amp;LEFT(I2034,5)&amp;" hrs)  /  LA "&amp;E2035&amp;" ("&amp;LEFT(H2035,5)&amp;"-"&amp;LEFT(I2035,5)&amp;" hrs)"</f>
        <v/>
      </c>
    </row>
    <row r="2036">
      <c r="J2036" s="7" t="inlineStr">
        <is>
          <t>PSV total:</t>
        </is>
      </c>
      <c r="K2036" s="8">
        <f>TEXT(TIMEVALUE(I2035)-TIMEVALUE(H2034)+(I2035&lt;H2034),"[h]:mm")</f>
        <v/>
      </c>
    </row>
    <row r="2038">
      <c r="B2038" s="3" t="inlineStr">
        <is>
          <t>Pairing ID</t>
        </is>
      </c>
      <c r="C2038" s="3" t="inlineStr">
        <is>
          <t>FECHA REAL</t>
        </is>
      </c>
      <c r="D2038" s="3" t="inlineStr">
        <is>
          <t>Day of Week</t>
        </is>
      </c>
      <c r="E2038" s="3" t="inlineStr">
        <is>
          <t>Flight No</t>
        </is>
      </c>
      <c r="F2038" s="3" t="inlineStr">
        <is>
          <t>Dep Stn</t>
        </is>
      </c>
      <c r="G2038" s="3" t="inlineStr">
        <is>
          <t>Arr Stn</t>
        </is>
      </c>
      <c r="H2038" s="3" t="inlineStr">
        <is>
          <t>STD</t>
        </is>
      </c>
      <c r="I2038" s="3" t="inlineStr">
        <is>
          <t>STA</t>
        </is>
      </c>
      <c r="J2038" s="3" t="inlineStr">
        <is>
          <t>subflota</t>
        </is>
      </c>
      <c r="K2038" s="3" t="inlineStr">
        <is>
          <t>Conexion</t>
        </is>
      </c>
      <c r="L2038" s="3" t="inlineStr">
        <is>
          <t>HBT</t>
        </is>
      </c>
    </row>
    <row r="2039">
      <c r="B2039" s="4" t="inlineStr">
        <is>
          <t>2333_0</t>
        </is>
      </c>
      <c r="C2039" s="4" t="inlineStr">
        <is>
          <t>27/09/2026</t>
        </is>
      </c>
      <c r="D2039" s="4" t="inlineStr">
        <is>
          <t>domingo</t>
        </is>
      </c>
      <c r="E2039" s="4" t="inlineStr">
        <is>
          <t>2238</t>
        </is>
      </c>
      <c r="F2039" s="4" t="inlineStr">
        <is>
          <t>LIM</t>
        </is>
      </c>
      <c r="G2039" s="4" t="inlineStr">
        <is>
          <t>CUZ</t>
        </is>
      </c>
      <c r="H2039" s="4" t="inlineStr">
        <is>
          <t>10:10:00</t>
        </is>
      </c>
      <c r="I2039" s="4" t="inlineStr">
        <is>
          <t>11:35:00</t>
        </is>
      </c>
      <c r="J2039" s="4" t="inlineStr">
        <is>
          <t>320</t>
        </is>
      </c>
      <c r="L2039" s="4" t="inlineStr">
        <is>
          <t>01:25:00</t>
        </is>
      </c>
      <c r="M2039" s="5" t="n"/>
      <c r="O2039" s="5" t="n"/>
      <c r="Q2039" s="4">
        <f>B2039</f>
        <v/>
      </c>
      <c r="R2039" s="4">
        <f>C2039</f>
        <v/>
      </c>
      <c r="S2039" s="4">
        <f>D2039</f>
        <v/>
      </c>
      <c r="T2039" s="4">
        <f>E2039&amp;"/"&amp;E2040</f>
        <v/>
      </c>
      <c r="U2039" s="4">
        <f>F2039&amp;"-"&amp;G2039&amp;"-"&amp;F2039</f>
        <v/>
      </c>
      <c r="V2039" s="4">
        <f>IF($M$2039="","",$M$2039)</f>
        <v/>
      </c>
      <c r="W2039" s="4">
        <f>IF($O$2039="","",$O$2039)</f>
        <v/>
      </c>
      <c r="X2039" s="4">
        <f>J2039</f>
        <v/>
      </c>
    </row>
    <row r="2040">
      <c r="B2040" s="4" t="inlineStr">
        <is>
          <t>2333_0</t>
        </is>
      </c>
      <c r="C2040" s="4" t="inlineStr">
        <is>
          <t>27/09/2026</t>
        </is>
      </c>
      <c r="D2040" s="4" t="inlineStr">
        <is>
          <t>domingo</t>
        </is>
      </c>
      <c r="E2040" s="4" t="inlineStr">
        <is>
          <t>2239</t>
        </is>
      </c>
      <c r="F2040" s="4" t="inlineStr">
        <is>
          <t>CUZ</t>
        </is>
      </c>
      <c r="G2040" s="4" t="inlineStr">
        <is>
          <t>LIM</t>
        </is>
      </c>
      <c r="H2040" s="4" t="inlineStr">
        <is>
          <t>12:10:00</t>
        </is>
      </c>
      <c r="I2040" s="4" t="inlineStr">
        <is>
          <t>13:45:00</t>
        </is>
      </c>
      <c r="J2040" s="4" t="inlineStr">
        <is>
          <t>320</t>
        </is>
      </c>
      <c r="K2040">
        <f>TEXT(TIMEVALUE(H2040)-TIMEVALUE(I2039)+(TIMEVALUE(H2040)&lt;TIMEVALUE(I2039)),"[h]:mm")</f>
        <v/>
      </c>
      <c r="L2040" s="4" t="inlineStr">
        <is>
          <t>01:35:00</t>
        </is>
      </c>
      <c r="O2040">
        <f>"LIM-"&amp;G2039&amp;"-LIM   LA "&amp;E2039&amp;" ("&amp;LEFT(H2039,5)&amp;"-"&amp;LEFT(I2039,5)&amp;" hrs)  /  LA "&amp;E2040&amp;" ("&amp;LEFT(H2040,5)&amp;"-"&amp;LEFT(I2040,5)&amp;" hrs)"</f>
        <v/>
      </c>
    </row>
    <row r="2041">
      <c r="B2041" s="4" t="inlineStr">
        <is>
          <t>2352_0</t>
        </is>
      </c>
      <c r="C2041" s="4" t="inlineStr">
        <is>
          <t>27/09/2026</t>
        </is>
      </c>
      <c r="D2041" s="4" t="inlineStr">
        <is>
          <t>domingo</t>
        </is>
      </c>
      <c r="E2041" s="4" t="inlineStr">
        <is>
          <t>2022</t>
        </is>
      </c>
      <c r="F2041" s="4" t="inlineStr">
        <is>
          <t>LIM</t>
        </is>
      </c>
      <c r="G2041" s="4" t="inlineStr">
        <is>
          <t>CUZ</t>
        </is>
      </c>
      <c r="H2041" s="4" t="inlineStr">
        <is>
          <t>14:50:00</t>
        </is>
      </c>
      <c r="I2041" s="4" t="inlineStr">
        <is>
          <t>16:10:00</t>
        </is>
      </c>
      <c r="J2041" s="4" t="inlineStr">
        <is>
          <t>320</t>
        </is>
      </c>
      <c r="K2041" s="6">
        <f>TEXT(TIMEVALUE(H2041)-TIMEVALUE(I2040)+(TIMEVALUE(H2041)&lt;TIMEVALUE(I2040)),"[h]:mm")</f>
        <v/>
      </c>
      <c r="L2041" s="4" t="inlineStr">
        <is>
          <t>01:20:00</t>
        </is>
      </c>
      <c r="M2041">
        <f>IF($M$2039="","",$M$2039)</f>
        <v/>
      </c>
      <c r="O2041">
        <f>IF($O$2039="","",$O$2039)</f>
        <v/>
      </c>
      <c r="Q2041" s="4">
        <f>B2041</f>
        <v/>
      </c>
      <c r="R2041" s="4">
        <f>C2041</f>
        <v/>
      </c>
      <c r="S2041" s="4">
        <f>D2041</f>
        <v/>
      </c>
      <c r="T2041" s="4">
        <f>E2041&amp;"/"&amp;E2042</f>
        <v/>
      </c>
      <c r="U2041" s="4">
        <f>F2041&amp;"-"&amp;G2041&amp;"-"&amp;F2041</f>
        <v/>
      </c>
      <c r="V2041" s="4">
        <f>IF($M$2039="","",$M$2039)</f>
        <v/>
      </c>
      <c r="W2041" s="4">
        <f>IF($O$2039="","",$O$2039)</f>
        <v/>
      </c>
      <c r="X2041" s="4">
        <f>J2041</f>
        <v/>
      </c>
    </row>
    <row r="2042">
      <c r="B2042" s="4" t="inlineStr">
        <is>
          <t>2352_0</t>
        </is>
      </c>
      <c r="C2042" s="4" t="inlineStr">
        <is>
          <t>27/09/2026</t>
        </is>
      </c>
      <c r="D2042" s="4" t="inlineStr">
        <is>
          <t>domingo</t>
        </is>
      </c>
      <c r="E2042" s="4" t="inlineStr">
        <is>
          <t>2249</t>
        </is>
      </c>
      <c r="F2042" s="4" t="inlineStr">
        <is>
          <t>CUZ</t>
        </is>
      </c>
      <c r="G2042" s="4" t="inlineStr">
        <is>
          <t>LIM</t>
        </is>
      </c>
      <c r="H2042" s="4" t="inlineStr">
        <is>
          <t>17:00:00</t>
        </is>
      </c>
      <c r="I2042" s="4" t="inlineStr">
        <is>
          <t>18:35:00</t>
        </is>
      </c>
      <c r="J2042" s="4" t="inlineStr">
        <is>
          <t>320</t>
        </is>
      </c>
      <c r="K2042">
        <f>TEXT(TIMEVALUE(H2042)-TIMEVALUE(I2041)+(TIMEVALUE(H2042)&lt;TIMEVALUE(I2041)),"[h]:mm")</f>
        <v/>
      </c>
      <c r="L2042" s="4" t="inlineStr">
        <is>
          <t>01:35:00</t>
        </is>
      </c>
      <c r="O2042">
        <f>"LIM-"&amp;G2041&amp;"-LIM   LA "&amp;E2041&amp;" ("&amp;LEFT(H2041,5)&amp;"-"&amp;LEFT(I2041,5)&amp;" hrs)  /  LA "&amp;E2042&amp;" ("&amp;LEFT(H2042,5)&amp;"-"&amp;LEFT(I2042,5)&amp;" hrs)"</f>
        <v/>
      </c>
    </row>
    <row r="2043">
      <c r="J2043" s="7" t="inlineStr">
        <is>
          <t>PSV total:</t>
        </is>
      </c>
      <c r="K2043" s="8">
        <f>TEXT(TIMEVALUE(I2042)-TIMEVALUE(H2039)+(I2042&lt;H2039),"[h]:mm")</f>
        <v/>
      </c>
    </row>
    <row r="2045">
      <c r="B2045" s="3" t="inlineStr">
        <is>
          <t>Pairing ID</t>
        </is>
      </c>
      <c r="C2045" s="3" t="inlineStr">
        <is>
          <t>FECHA REAL</t>
        </is>
      </c>
      <c r="D2045" s="3" t="inlineStr">
        <is>
          <t>Day of Week</t>
        </is>
      </c>
      <c r="E2045" s="3" t="inlineStr">
        <is>
          <t>Flight No</t>
        </is>
      </c>
      <c r="F2045" s="3" t="inlineStr">
        <is>
          <t>Dep Stn</t>
        </is>
      </c>
      <c r="G2045" s="3" t="inlineStr">
        <is>
          <t>Arr Stn</t>
        </is>
      </c>
      <c r="H2045" s="3" t="inlineStr">
        <is>
          <t>STD</t>
        </is>
      </c>
      <c r="I2045" s="3" t="inlineStr">
        <is>
          <t>STA</t>
        </is>
      </c>
      <c r="J2045" s="3" t="inlineStr">
        <is>
          <t>subflota</t>
        </is>
      </c>
      <c r="K2045" s="3" t="inlineStr">
        <is>
          <t>Conexion</t>
        </is>
      </c>
      <c r="L2045" s="3" t="inlineStr">
        <is>
          <t>HBT</t>
        </is>
      </c>
    </row>
    <row r="2046">
      <c r="B2046" s="4" t="inlineStr">
        <is>
          <t>2334_0</t>
        </is>
      </c>
      <c r="C2046" s="4" t="inlineStr">
        <is>
          <t>27/09/2026</t>
        </is>
      </c>
      <c r="D2046" s="4" t="inlineStr">
        <is>
          <t>domingo</t>
        </is>
      </c>
      <c r="E2046" s="4" t="inlineStr">
        <is>
          <t>2299</t>
        </is>
      </c>
      <c r="F2046" s="4" t="inlineStr">
        <is>
          <t>LIM</t>
        </is>
      </c>
      <c r="G2046" s="4" t="inlineStr">
        <is>
          <t>CJA</t>
        </is>
      </c>
      <c r="H2046" s="4" t="inlineStr">
        <is>
          <t>11:35:00</t>
        </is>
      </c>
      <c r="I2046" s="4" t="inlineStr">
        <is>
          <t>12:55:00</t>
        </is>
      </c>
      <c r="J2046" s="4" t="inlineStr">
        <is>
          <t>320</t>
        </is>
      </c>
      <c r="L2046" s="4" t="inlineStr">
        <is>
          <t>01:20:00</t>
        </is>
      </c>
      <c r="M2046" s="5" t="n"/>
      <c r="O2046" s="5" t="n"/>
      <c r="Q2046" s="4">
        <f>B2046</f>
        <v/>
      </c>
      <c r="R2046" s="4">
        <f>C2046</f>
        <v/>
      </c>
      <c r="S2046" s="4">
        <f>D2046</f>
        <v/>
      </c>
      <c r="T2046" s="4">
        <f>E2046&amp;"/"&amp;E2047</f>
        <v/>
      </c>
      <c r="U2046" s="4">
        <f>F2046&amp;"-"&amp;G2046&amp;"-"&amp;F2046</f>
        <v/>
      </c>
      <c r="V2046" s="4">
        <f>IF($M$2046="","",$M$2046)</f>
        <v/>
      </c>
      <c r="W2046" s="4">
        <f>IF($O$2046="","",$O$2046)</f>
        <v/>
      </c>
      <c r="X2046" s="4">
        <f>J2046</f>
        <v/>
      </c>
    </row>
    <row r="2047">
      <c r="B2047" s="4" t="inlineStr">
        <is>
          <t>2334_0</t>
        </is>
      </c>
      <c r="C2047" s="4" t="inlineStr">
        <is>
          <t>27/09/2026</t>
        </is>
      </c>
      <c r="D2047" s="4" t="inlineStr">
        <is>
          <t>domingo</t>
        </is>
      </c>
      <c r="E2047" s="4" t="inlineStr">
        <is>
          <t>2298</t>
        </is>
      </c>
      <c r="F2047" s="4" t="inlineStr">
        <is>
          <t>CJA</t>
        </is>
      </c>
      <c r="G2047" s="4" t="inlineStr">
        <is>
          <t>LIM</t>
        </is>
      </c>
      <c r="H2047" s="4" t="inlineStr">
        <is>
          <t>13:45:00</t>
        </is>
      </c>
      <c r="I2047" s="4" t="inlineStr">
        <is>
          <t>14:55:00</t>
        </is>
      </c>
      <c r="J2047" s="4" t="inlineStr">
        <is>
          <t>320</t>
        </is>
      </c>
      <c r="K2047">
        <f>TEXT(TIMEVALUE(H2047)-TIMEVALUE(I2046)+(TIMEVALUE(H2047)&lt;TIMEVALUE(I2046)),"[h]:mm")</f>
        <v/>
      </c>
      <c r="L2047" s="4" t="inlineStr">
        <is>
          <t>01:10:00</t>
        </is>
      </c>
      <c r="O2047">
        <f>"LIM-"&amp;G2046&amp;"-LIM   LA "&amp;E2046&amp;" ("&amp;LEFT(H2046,5)&amp;"-"&amp;LEFT(I2046,5)&amp;" hrs)  /  LA "&amp;E2047&amp;" ("&amp;LEFT(H2047,5)&amp;"-"&amp;LEFT(I2047,5)&amp;" hrs)"</f>
        <v/>
      </c>
    </row>
    <row r="2048">
      <c r="B2048" s="4" t="inlineStr">
        <is>
          <t>2362_0</t>
        </is>
      </c>
      <c r="C2048" s="4" t="inlineStr">
        <is>
          <t>27/09/2026</t>
        </is>
      </c>
      <c r="D2048" s="4" t="inlineStr">
        <is>
          <t>domingo</t>
        </is>
      </c>
      <c r="E2048" s="4" t="inlineStr">
        <is>
          <t>2127</t>
        </is>
      </c>
      <c r="F2048" s="4" t="inlineStr">
        <is>
          <t>LIM</t>
        </is>
      </c>
      <c r="G2048" s="4" t="inlineStr">
        <is>
          <t>CUZ</t>
        </is>
      </c>
      <c r="H2048" s="4" t="inlineStr">
        <is>
          <t>16:10:00</t>
        </is>
      </c>
      <c r="I2048" s="4" t="inlineStr">
        <is>
          <t>17:30:00</t>
        </is>
      </c>
      <c r="J2048" s="4" t="inlineStr">
        <is>
          <t>320</t>
        </is>
      </c>
      <c r="K2048" s="6">
        <f>TEXT(TIMEVALUE(H2048)-TIMEVALUE(I2047)+(TIMEVALUE(H2048)&lt;TIMEVALUE(I2047)),"[h]:mm")</f>
        <v/>
      </c>
      <c r="L2048" s="4" t="inlineStr">
        <is>
          <t>01:20:00</t>
        </is>
      </c>
      <c r="M2048">
        <f>IF($M$2046="","",$M$2046)</f>
        <v/>
      </c>
      <c r="O2048">
        <f>IF($O$2046="","",$O$2046)</f>
        <v/>
      </c>
      <c r="Q2048" s="4">
        <f>B2048</f>
        <v/>
      </c>
      <c r="R2048" s="4">
        <f>C2048</f>
        <v/>
      </c>
      <c r="S2048" s="4">
        <f>D2048</f>
        <v/>
      </c>
      <c r="T2048" s="4">
        <f>E2048&amp;"/"&amp;E2049</f>
        <v/>
      </c>
      <c r="U2048" s="4">
        <f>F2048&amp;"-"&amp;G2048&amp;"-"&amp;F2048</f>
        <v/>
      </c>
      <c r="V2048" s="4">
        <f>IF($M$2046="","",$M$2046)</f>
        <v/>
      </c>
      <c r="W2048" s="4">
        <f>IF($O$2046="","",$O$2046)</f>
        <v/>
      </c>
      <c r="X2048" s="4">
        <f>J2048</f>
        <v/>
      </c>
    </row>
    <row r="2049">
      <c r="B2049" s="4" t="inlineStr">
        <is>
          <t>2362_0</t>
        </is>
      </c>
      <c r="C2049" s="4" t="inlineStr">
        <is>
          <t>27/09/2026</t>
        </is>
      </c>
      <c r="D2049" s="4" t="inlineStr">
        <is>
          <t>domingo</t>
        </is>
      </c>
      <c r="E2049" s="4" t="inlineStr">
        <is>
          <t>2026</t>
        </is>
      </c>
      <c r="F2049" s="4" t="inlineStr">
        <is>
          <t>CUZ</t>
        </is>
      </c>
      <c r="G2049" s="4" t="inlineStr">
        <is>
          <t>LIM</t>
        </is>
      </c>
      <c r="H2049" s="4" t="inlineStr">
        <is>
          <t>18:10:00</t>
        </is>
      </c>
      <c r="I2049" s="4" t="inlineStr">
        <is>
          <t>19:50:00</t>
        </is>
      </c>
      <c r="J2049" s="4" t="inlineStr">
        <is>
          <t>320</t>
        </is>
      </c>
      <c r="K2049">
        <f>TEXT(TIMEVALUE(H2049)-TIMEVALUE(I2048)+(TIMEVALUE(H2049)&lt;TIMEVALUE(I2048)),"[h]:mm")</f>
        <v/>
      </c>
      <c r="L2049" s="4" t="inlineStr">
        <is>
          <t>01:40:00</t>
        </is>
      </c>
      <c r="O2049">
        <f>"LIM-"&amp;G2048&amp;"-LIM   LA "&amp;E2048&amp;" ("&amp;LEFT(H2048,5)&amp;"-"&amp;LEFT(I2048,5)&amp;" hrs)  /  LA "&amp;E2049&amp;" ("&amp;LEFT(H2049,5)&amp;"-"&amp;LEFT(I2049,5)&amp;" hrs)"</f>
        <v/>
      </c>
    </row>
    <row r="2050">
      <c r="J2050" s="7" t="inlineStr">
        <is>
          <t>PSV total:</t>
        </is>
      </c>
      <c r="K2050" s="8">
        <f>TEXT(TIMEVALUE(I2049)-TIMEVALUE(H2046)+(I2049&lt;H2046),"[h]:mm")</f>
        <v/>
      </c>
    </row>
    <row r="2052">
      <c r="B2052" s="3" t="inlineStr">
        <is>
          <t>Pairing ID</t>
        </is>
      </c>
      <c r="C2052" s="3" t="inlineStr">
        <is>
          <t>FECHA REAL</t>
        </is>
      </c>
      <c r="D2052" s="3" t="inlineStr">
        <is>
          <t>Day of Week</t>
        </is>
      </c>
      <c r="E2052" s="3" t="inlineStr">
        <is>
          <t>Flight No</t>
        </is>
      </c>
      <c r="F2052" s="3" t="inlineStr">
        <is>
          <t>Dep Stn</t>
        </is>
      </c>
      <c r="G2052" s="3" t="inlineStr">
        <is>
          <t>Arr Stn</t>
        </is>
      </c>
      <c r="H2052" s="3" t="inlineStr">
        <is>
          <t>STD</t>
        </is>
      </c>
      <c r="I2052" s="3" t="inlineStr">
        <is>
          <t>STA</t>
        </is>
      </c>
      <c r="J2052" s="3" t="inlineStr">
        <is>
          <t>subflota</t>
        </is>
      </c>
      <c r="K2052" s="3" t="inlineStr">
        <is>
          <t>Conexion</t>
        </is>
      </c>
      <c r="L2052" s="3" t="inlineStr">
        <is>
          <t>HBT</t>
        </is>
      </c>
    </row>
    <row r="2053">
      <c r="B2053" s="4" t="inlineStr">
        <is>
          <t>2337_0</t>
        </is>
      </c>
      <c r="C2053" s="4" t="inlineStr">
        <is>
          <t>27/09/2026</t>
        </is>
      </c>
      <c r="D2053" s="4" t="inlineStr">
        <is>
          <t>domingo</t>
        </is>
      </c>
      <c r="E2053" s="4" t="inlineStr">
        <is>
          <t>2061</t>
        </is>
      </c>
      <c r="F2053" s="4" t="inlineStr">
        <is>
          <t>LIM</t>
        </is>
      </c>
      <c r="G2053" s="4" t="inlineStr">
        <is>
          <t>CUZ</t>
        </is>
      </c>
      <c r="H2053" s="4" t="inlineStr">
        <is>
          <t>11:40:00</t>
        </is>
      </c>
      <c r="I2053" s="4" t="inlineStr">
        <is>
          <t>13:00:00</t>
        </is>
      </c>
      <c r="J2053" s="4" t="inlineStr">
        <is>
          <t>320</t>
        </is>
      </c>
      <c r="L2053" s="4" t="inlineStr">
        <is>
          <t>01:20:00</t>
        </is>
      </c>
      <c r="M2053" s="5" t="n"/>
      <c r="O2053" s="5" t="n"/>
      <c r="Q2053" s="4">
        <f>B2053</f>
        <v/>
      </c>
      <c r="R2053" s="4">
        <f>C2053</f>
        <v/>
      </c>
      <c r="S2053" s="4">
        <f>D2053</f>
        <v/>
      </c>
      <c r="T2053" s="4">
        <f>E2053&amp;"/"&amp;E2054</f>
        <v/>
      </c>
      <c r="U2053" s="4">
        <f>F2053&amp;"-"&amp;G2053&amp;"-"&amp;F2053</f>
        <v/>
      </c>
      <c r="V2053" s="4">
        <f>IF($M$2053="","",$M$2053)</f>
        <v/>
      </c>
      <c r="W2053" s="4">
        <f>IF($O$2053="","",$O$2053)</f>
        <v/>
      </c>
      <c r="X2053" s="4">
        <f>J2053</f>
        <v/>
      </c>
    </row>
    <row r="2054">
      <c r="B2054" s="4" t="inlineStr">
        <is>
          <t>2337_0</t>
        </is>
      </c>
      <c r="C2054" s="4" t="inlineStr">
        <is>
          <t>27/09/2026</t>
        </is>
      </c>
      <c r="D2054" s="4" t="inlineStr">
        <is>
          <t>domingo</t>
        </is>
      </c>
      <c r="E2054" s="4" t="inlineStr">
        <is>
          <t>2062</t>
        </is>
      </c>
      <c r="F2054" s="4" t="inlineStr">
        <is>
          <t>CUZ</t>
        </is>
      </c>
      <c r="G2054" s="4" t="inlineStr">
        <is>
          <t>LIM</t>
        </is>
      </c>
      <c r="H2054" s="4" t="inlineStr">
        <is>
          <t>13:40:00</t>
        </is>
      </c>
      <c r="I2054" s="4" t="inlineStr">
        <is>
          <t>15:15:00</t>
        </is>
      </c>
      <c r="J2054" s="4" t="inlineStr">
        <is>
          <t>320</t>
        </is>
      </c>
      <c r="K2054">
        <f>TEXT(TIMEVALUE(H2054)-TIMEVALUE(I2053)+(TIMEVALUE(H2054)&lt;TIMEVALUE(I2053)),"[h]:mm")</f>
        <v/>
      </c>
      <c r="L2054" s="4" t="inlineStr">
        <is>
          <t>01:35:00</t>
        </is>
      </c>
      <c r="O2054">
        <f>"LIM-"&amp;G2053&amp;"-LIM   LA "&amp;E2053&amp;" ("&amp;LEFT(H2053,5)&amp;"-"&amp;LEFT(I2053,5)&amp;" hrs)  /  LA "&amp;E2054&amp;" ("&amp;LEFT(H2054,5)&amp;"-"&amp;LEFT(I2054,5)&amp;" hrs)"</f>
        <v/>
      </c>
    </row>
    <row r="2055">
      <c r="B2055" s="4" t="inlineStr">
        <is>
          <t>2363_0</t>
        </is>
      </c>
      <c r="C2055" s="4" t="inlineStr">
        <is>
          <t>27/09/2026</t>
        </is>
      </c>
      <c r="D2055" s="4" t="inlineStr">
        <is>
          <t>domingo</t>
        </is>
      </c>
      <c r="E2055" s="4" t="inlineStr">
        <is>
          <t>2276</t>
        </is>
      </c>
      <c r="F2055" s="4" t="inlineStr">
        <is>
          <t>LIM</t>
        </is>
      </c>
      <c r="G2055" s="4" t="inlineStr">
        <is>
          <t>CUZ</t>
        </is>
      </c>
      <c r="H2055" s="4" t="inlineStr">
        <is>
          <t>16:35:00</t>
        </is>
      </c>
      <c r="I2055" s="4" t="inlineStr">
        <is>
          <t>17:55:00</t>
        </is>
      </c>
      <c r="J2055" s="4" t="inlineStr">
        <is>
          <t>320</t>
        </is>
      </c>
      <c r="K2055" s="6">
        <f>TEXT(TIMEVALUE(H2055)-TIMEVALUE(I2054)+(TIMEVALUE(H2055)&lt;TIMEVALUE(I2054)),"[h]:mm")</f>
        <v/>
      </c>
      <c r="L2055" s="4" t="inlineStr">
        <is>
          <t>01:20:00</t>
        </is>
      </c>
      <c r="M2055">
        <f>IF($M$2053="","",$M$2053)</f>
        <v/>
      </c>
      <c r="O2055">
        <f>IF($O$2053="","",$O$2053)</f>
        <v/>
      </c>
      <c r="Q2055" s="4">
        <f>B2055</f>
        <v/>
      </c>
      <c r="R2055" s="4">
        <f>C2055</f>
        <v/>
      </c>
      <c r="S2055" s="4">
        <f>D2055</f>
        <v/>
      </c>
      <c r="T2055" s="4">
        <f>E2055&amp;"/"&amp;E2056</f>
        <v/>
      </c>
      <c r="U2055" s="4">
        <f>F2055&amp;"-"&amp;G2055&amp;"-"&amp;F2055</f>
        <v/>
      </c>
      <c r="V2055" s="4">
        <f>IF($M$2053="","",$M$2053)</f>
        <v/>
      </c>
      <c r="W2055" s="4">
        <f>IF($O$2053="","",$O$2053)</f>
        <v/>
      </c>
      <c r="X2055" s="4">
        <f>J2055</f>
        <v/>
      </c>
    </row>
    <row r="2056">
      <c r="B2056" s="4" t="inlineStr">
        <is>
          <t>2363_0</t>
        </is>
      </c>
      <c r="C2056" s="4" t="inlineStr">
        <is>
          <t>27/09/2026</t>
        </is>
      </c>
      <c r="D2056" s="4" t="inlineStr">
        <is>
          <t>domingo</t>
        </is>
      </c>
      <c r="E2056" s="4" t="inlineStr">
        <is>
          <t>2277</t>
        </is>
      </c>
      <c r="F2056" s="4" t="inlineStr">
        <is>
          <t>CUZ</t>
        </is>
      </c>
      <c r="G2056" s="4" t="inlineStr">
        <is>
          <t>LIM</t>
        </is>
      </c>
      <c r="H2056" s="4" t="inlineStr">
        <is>
          <t>18:50:00</t>
        </is>
      </c>
      <c r="I2056" s="4" t="inlineStr">
        <is>
          <t>20:25:00</t>
        </is>
      </c>
      <c r="J2056" s="4" t="inlineStr">
        <is>
          <t>320</t>
        </is>
      </c>
      <c r="K2056">
        <f>TEXT(TIMEVALUE(H2056)-TIMEVALUE(I2055)+(TIMEVALUE(H2056)&lt;TIMEVALUE(I2055)),"[h]:mm")</f>
        <v/>
      </c>
      <c r="L2056" s="4" t="inlineStr">
        <is>
          <t>01:35:00</t>
        </is>
      </c>
      <c r="O2056">
        <f>"LIM-"&amp;G2055&amp;"-LIM   LA "&amp;E2055&amp;" ("&amp;LEFT(H2055,5)&amp;"-"&amp;LEFT(I2055,5)&amp;" hrs)  /  LA "&amp;E2056&amp;" ("&amp;LEFT(H2056,5)&amp;"-"&amp;LEFT(I2056,5)&amp;" hrs)"</f>
        <v/>
      </c>
    </row>
    <row r="2057">
      <c r="J2057" s="7" t="inlineStr">
        <is>
          <t>PSV total:</t>
        </is>
      </c>
      <c r="K2057" s="8">
        <f>TEXT(TIMEVALUE(I2056)-TIMEVALUE(H2053)+(I2056&lt;H2053),"[h]:mm")</f>
        <v/>
      </c>
    </row>
    <row r="2059">
      <c r="B2059" s="3" t="inlineStr">
        <is>
          <t>Pairing ID</t>
        </is>
      </c>
      <c r="C2059" s="3" t="inlineStr">
        <is>
          <t>FECHA REAL</t>
        </is>
      </c>
      <c r="D2059" s="3" t="inlineStr">
        <is>
          <t>Day of Week</t>
        </is>
      </c>
      <c r="E2059" s="3" t="inlineStr">
        <is>
          <t>Flight No</t>
        </is>
      </c>
      <c r="F2059" s="3" t="inlineStr">
        <is>
          <t>Dep Stn</t>
        </is>
      </c>
      <c r="G2059" s="3" t="inlineStr">
        <is>
          <t>Arr Stn</t>
        </is>
      </c>
      <c r="H2059" s="3" t="inlineStr">
        <is>
          <t>STD</t>
        </is>
      </c>
      <c r="I2059" s="3" t="inlineStr">
        <is>
          <t>STA</t>
        </is>
      </c>
      <c r="J2059" s="3" t="inlineStr">
        <is>
          <t>subflota</t>
        </is>
      </c>
      <c r="K2059" s="3" t="inlineStr">
        <is>
          <t>Conexion</t>
        </is>
      </c>
      <c r="L2059" s="3" t="inlineStr">
        <is>
          <t>HBT</t>
        </is>
      </c>
    </row>
    <row r="2060">
      <c r="B2060" s="4" t="inlineStr">
        <is>
          <t>2340_0</t>
        </is>
      </c>
      <c r="C2060" s="4" t="inlineStr">
        <is>
          <t>27/09/2026</t>
        </is>
      </c>
      <c r="D2060" s="4" t="inlineStr">
        <is>
          <t>domingo</t>
        </is>
      </c>
      <c r="E2060" s="4" t="inlineStr">
        <is>
          <t>2356</t>
        </is>
      </c>
      <c r="F2060" s="4" t="inlineStr">
        <is>
          <t>LIM</t>
        </is>
      </c>
      <c r="G2060" s="4" t="inlineStr">
        <is>
          <t>CUZ</t>
        </is>
      </c>
      <c r="H2060" s="4" t="inlineStr">
        <is>
          <t>12:10:00</t>
        </is>
      </c>
      <c r="I2060" s="4" t="inlineStr">
        <is>
          <t>13:35:00</t>
        </is>
      </c>
      <c r="J2060" s="4" t="inlineStr">
        <is>
          <t>320</t>
        </is>
      </c>
      <c r="L2060" s="4" t="inlineStr">
        <is>
          <t>01:25:00</t>
        </is>
      </c>
      <c r="M2060" s="5" t="n"/>
      <c r="O2060" s="5" t="n"/>
      <c r="Q2060" s="4">
        <f>B2060</f>
        <v/>
      </c>
      <c r="R2060" s="4">
        <f>C2060</f>
        <v/>
      </c>
      <c r="S2060" s="4">
        <f>D2060</f>
        <v/>
      </c>
      <c r="T2060" s="4">
        <f>E2060&amp;"/"&amp;E2061</f>
        <v/>
      </c>
      <c r="U2060" s="4">
        <f>F2060&amp;"-"&amp;G2060&amp;"-"&amp;F2060</f>
        <v/>
      </c>
      <c r="V2060" s="4">
        <f>IF($M$2060="","",$M$2060)</f>
        <v/>
      </c>
      <c r="W2060" s="4">
        <f>IF($O$2060="","",$O$2060)</f>
        <v/>
      </c>
      <c r="X2060" s="4">
        <f>J2060</f>
        <v/>
      </c>
    </row>
    <row r="2061">
      <c r="B2061" s="4" t="inlineStr">
        <is>
          <t>2340_0</t>
        </is>
      </c>
      <c r="C2061" s="4" t="inlineStr">
        <is>
          <t>27/09/2026</t>
        </is>
      </c>
      <c r="D2061" s="4" t="inlineStr">
        <is>
          <t>domingo</t>
        </is>
      </c>
      <c r="E2061" s="4" t="inlineStr">
        <is>
          <t>2357</t>
        </is>
      </c>
      <c r="F2061" s="4" t="inlineStr">
        <is>
          <t>CUZ</t>
        </is>
      </c>
      <c r="G2061" s="4" t="inlineStr">
        <is>
          <t>LIM</t>
        </is>
      </c>
      <c r="H2061" s="4" t="inlineStr">
        <is>
          <t>14:15:00</t>
        </is>
      </c>
      <c r="I2061" s="4" t="inlineStr">
        <is>
          <t>15:50:00</t>
        </is>
      </c>
      <c r="J2061" s="4" t="inlineStr">
        <is>
          <t>320</t>
        </is>
      </c>
      <c r="K2061">
        <f>TEXT(TIMEVALUE(H2061)-TIMEVALUE(I2060)+(TIMEVALUE(H2061)&lt;TIMEVALUE(I2060)),"[h]:mm")</f>
        <v/>
      </c>
      <c r="L2061" s="4" t="inlineStr">
        <is>
          <t>01:35:00</t>
        </is>
      </c>
      <c r="O2061">
        <f>"LIM-"&amp;G2060&amp;"-LIM   LA "&amp;E2060&amp;" ("&amp;LEFT(H2060,5)&amp;"-"&amp;LEFT(I2060,5)&amp;" hrs)  /  LA "&amp;E2061&amp;" ("&amp;LEFT(H2061,5)&amp;"-"&amp;LEFT(I2061,5)&amp;" hrs)"</f>
        <v/>
      </c>
    </row>
    <row r="2062">
      <c r="J2062" s="7" t="inlineStr">
        <is>
          <t>PSV total:</t>
        </is>
      </c>
      <c r="K2062" s="8">
        <f>TEXT(TIMEVALUE(I2061)-TIMEVALUE(H2060)+(I2061&lt;H2060),"[h]:mm")</f>
        <v/>
      </c>
    </row>
    <row r="2064">
      <c r="B2064" s="3" t="inlineStr">
        <is>
          <t>Pairing ID</t>
        </is>
      </c>
      <c r="C2064" s="3" t="inlineStr">
        <is>
          <t>FECHA REAL</t>
        </is>
      </c>
      <c r="D2064" s="3" t="inlineStr">
        <is>
          <t>Day of Week</t>
        </is>
      </c>
      <c r="E2064" s="3" t="inlineStr">
        <is>
          <t>Flight No</t>
        </is>
      </c>
      <c r="F2064" s="3" t="inlineStr">
        <is>
          <t>Dep Stn</t>
        </is>
      </c>
      <c r="G2064" s="3" t="inlineStr">
        <is>
          <t>Arr Stn</t>
        </is>
      </c>
      <c r="H2064" s="3" t="inlineStr">
        <is>
          <t>STD</t>
        </is>
      </c>
      <c r="I2064" s="3" t="inlineStr">
        <is>
          <t>STA</t>
        </is>
      </c>
      <c r="J2064" s="3" t="inlineStr">
        <is>
          <t>subflota</t>
        </is>
      </c>
      <c r="K2064" s="3" t="inlineStr">
        <is>
          <t>Conexion</t>
        </is>
      </c>
      <c r="L2064" s="3" t="inlineStr">
        <is>
          <t>HBT</t>
        </is>
      </c>
    </row>
    <row r="2065">
      <c r="B2065" s="4" t="inlineStr">
        <is>
          <t>2348_0</t>
        </is>
      </c>
      <c r="C2065" s="4" t="inlineStr">
        <is>
          <t>27/09/2026</t>
        </is>
      </c>
      <c r="D2065" s="4" t="inlineStr">
        <is>
          <t>domingo</t>
        </is>
      </c>
      <c r="E2065" s="4" t="inlineStr">
        <is>
          <t>2067</t>
        </is>
      </c>
      <c r="F2065" s="4" t="inlineStr">
        <is>
          <t>LIM</t>
        </is>
      </c>
      <c r="G2065" s="4" t="inlineStr">
        <is>
          <t>TCQ</t>
        </is>
      </c>
      <c r="H2065" s="4" t="inlineStr">
        <is>
          <t>13:45:00</t>
        </is>
      </c>
      <c r="I2065" s="4" t="inlineStr">
        <is>
          <t>15:35:00</t>
        </is>
      </c>
      <c r="J2065" s="4" t="inlineStr">
        <is>
          <t>319</t>
        </is>
      </c>
      <c r="L2065" s="4" t="inlineStr">
        <is>
          <t>01:50:00</t>
        </is>
      </c>
      <c r="M2065" s="5" t="n"/>
      <c r="O2065" s="5" t="n"/>
      <c r="Q2065" s="4">
        <f>B2065</f>
        <v/>
      </c>
      <c r="R2065" s="4">
        <f>C2065</f>
        <v/>
      </c>
      <c r="S2065" s="4">
        <f>D2065</f>
        <v/>
      </c>
      <c r="T2065" s="4">
        <f>E2065&amp;"/"&amp;E2066</f>
        <v/>
      </c>
      <c r="U2065" s="4">
        <f>F2065&amp;"-"&amp;G2065&amp;"-"&amp;F2065</f>
        <v/>
      </c>
      <c r="V2065" s="4">
        <f>IF($M$2065="","",$M$2065)</f>
        <v/>
      </c>
      <c r="W2065" s="4">
        <f>IF($O$2065="","",$O$2065)</f>
        <v/>
      </c>
      <c r="X2065" s="4">
        <f>J2065</f>
        <v/>
      </c>
    </row>
    <row r="2066">
      <c r="B2066" s="4" t="inlineStr">
        <is>
          <t>2348_0</t>
        </is>
      </c>
      <c r="C2066" s="4" t="inlineStr">
        <is>
          <t>27/09/2026</t>
        </is>
      </c>
      <c r="D2066" s="4" t="inlineStr">
        <is>
          <t>domingo</t>
        </is>
      </c>
      <c r="E2066" s="4" t="inlineStr">
        <is>
          <t>2068</t>
        </is>
      </c>
      <c r="F2066" s="4" t="inlineStr">
        <is>
          <t>TCQ</t>
        </is>
      </c>
      <c r="G2066" s="4" t="inlineStr">
        <is>
          <t>LIM</t>
        </is>
      </c>
      <c r="H2066" s="4" t="inlineStr">
        <is>
          <t>16:20:00</t>
        </is>
      </c>
      <c r="I2066" s="4" t="inlineStr">
        <is>
          <t>18:15:00</t>
        </is>
      </c>
      <c r="J2066" s="4" t="inlineStr">
        <is>
          <t>319</t>
        </is>
      </c>
      <c r="K2066">
        <f>TEXT(TIMEVALUE(H2066)-TIMEVALUE(I2065)+(TIMEVALUE(H2066)&lt;TIMEVALUE(I2065)),"[h]:mm")</f>
        <v/>
      </c>
      <c r="L2066" s="4" t="inlineStr">
        <is>
          <t>01:55:00</t>
        </is>
      </c>
      <c r="O2066">
        <f>"LIM-"&amp;G2065&amp;"-LIM   LA "&amp;E2065&amp;" ("&amp;LEFT(H2065,5)&amp;"-"&amp;LEFT(I2065,5)&amp;" hrs)  /  LA "&amp;E2066&amp;" ("&amp;LEFT(H2066,5)&amp;"-"&amp;LEFT(I2066,5)&amp;" hrs)"</f>
        <v/>
      </c>
    </row>
    <row r="2067">
      <c r="J2067" s="7" t="inlineStr">
        <is>
          <t>PSV total:</t>
        </is>
      </c>
      <c r="K2067" s="8">
        <f>TEXT(TIMEVALUE(I2066)-TIMEVALUE(H2065)+(I2066&lt;H2065),"[h]:mm")</f>
        <v/>
      </c>
    </row>
    <row r="2069">
      <c r="B2069" s="3" t="inlineStr">
        <is>
          <t>Pairing ID</t>
        </is>
      </c>
      <c r="C2069" s="3" t="inlineStr">
        <is>
          <t>FECHA REAL</t>
        </is>
      </c>
      <c r="D2069" s="3" t="inlineStr">
        <is>
          <t>Day of Week</t>
        </is>
      </c>
      <c r="E2069" s="3" t="inlineStr">
        <is>
          <t>Flight No</t>
        </is>
      </c>
      <c r="F2069" s="3" t="inlineStr">
        <is>
          <t>Dep Stn</t>
        </is>
      </c>
      <c r="G2069" s="3" t="inlineStr">
        <is>
          <t>Arr Stn</t>
        </is>
      </c>
      <c r="H2069" s="3" t="inlineStr">
        <is>
          <t>STD</t>
        </is>
      </c>
      <c r="I2069" s="3" t="inlineStr">
        <is>
          <t>STA</t>
        </is>
      </c>
      <c r="J2069" s="3" t="inlineStr">
        <is>
          <t>subflota</t>
        </is>
      </c>
      <c r="K2069" s="3" t="inlineStr">
        <is>
          <t>Conexion</t>
        </is>
      </c>
      <c r="L2069" s="3" t="inlineStr">
        <is>
          <t>HBT</t>
        </is>
      </c>
    </row>
    <row r="2070">
      <c r="B2070" s="4" t="inlineStr">
        <is>
          <t>2349_0</t>
        </is>
      </c>
      <c r="C2070" s="4" t="inlineStr">
        <is>
          <t>27/09/2026</t>
        </is>
      </c>
      <c r="D2070" s="4" t="inlineStr">
        <is>
          <t>domingo</t>
        </is>
      </c>
      <c r="E2070" s="4" t="inlineStr">
        <is>
          <t>2295</t>
        </is>
      </c>
      <c r="F2070" s="4" t="inlineStr">
        <is>
          <t>LIM</t>
        </is>
      </c>
      <c r="G2070" s="4" t="inlineStr">
        <is>
          <t>CJA</t>
        </is>
      </c>
      <c r="H2070" s="4" t="inlineStr">
        <is>
          <t>14:10:00</t>
        </is>
      </c>
      <c r="I2070" s="4" t="inlineStr">
        <is>
          <t>15:30:00</t>
        </is>
      </c>
      <c r="J2070" s="4" t="inlineStr">
        <is>
          <t>320</t>
        </is>
      </c>
      <c r="L2070" s="4" t="inlineStr">
        <is>
          <t>01:20:00</t>
        </is>
      </c>
      <c r="M2070" s="5" t="n"/>
      <c r="O2070" s="5" t="n"/>
      <c r="Q2070" s="4">
        <f>B2070</f>
        <v/>
      </c>
      <c r="R2070" s="4">
        <f>C2070</f>
        <v/>
      </c>
      <c r="S2070" s="4">
        <f>D2070</f>
        <v/>
      </c>
      <c r="T2070" s="4">
        <f>E2070&amp;"/"&amp;E2071</f>
        <v/>
      </c>
      <c r="U2070" s="4">
        <f>F2070&amp;"-"&amp;G2070&amp;"-"&amp;F2070</f>
        <v/>
      </c>
      <c r="V2070" s="4">
        <f>IF($M$2070="","",$M$2070)</f>
        <v/>
      </c>
      <c r="W2070" s="4">
        <f>IF($O$2070="","",$O$2070)</f>
        <v/>
      </c>
      <c r="X2070" s="4">
        <f>J2070</f>
        <v/>
      </c>
    </row>
    <row r="2071">
      <c r="B2071" s="4" t="inlineStr">
        <is>
          <t>2349_0</t>
        </is>
      </c>
      <c r="C2071" s="4" t="inlineStr">
        <is>
          <t>27/09/2026</t>
        </is>
      </c>
      <c r="D2071" s="4" t="inlineStr">
        <is>
          <t>domingo</t>
        </is>
      </c>
      <c r="E2071" s="4" t="inlineStr">
        <is>
          <t>2294</t>
        </is>
      </c>
      <c r="F2071" s="4" t="inlineStr">
        <is>
          <t>CJA</t>
        </is>
      </c>
      <c r="G2071" s="4" t="inlineStr">
        <is>
          <t>LIM</t>
        </is>
      </c>
      <c r="H2071" s="4" t="inlineStr">
        <is>
          <t>16:10:00</t>
        </is>
      </c>
      <c r="I2071" s="4" t="inlineStr">
        <is>
          <t>17:15:00</t>
        </is>
      </c>
      <c r="J2071" s="4" t="inlineStr">
        <is>
          <t>320</t>
        </is>
      </c>
      <c r="K2071">
        <f>TEXT(TIMEVALUE(H2071)-TIMEVALUE(I2070)+(TIMEVALUE(H2071)&lt;TIMEVALUE(I2070)),"[h]:mm")</f>
        <v/>
      </c>
      <c r="L2071" s="4" t="inlineStr">
        <is>
          <t>01:05:00</t>
        </is>
      </c>
      <c r="O2071">
        <f>"LIM-"&amp;G2070&amp;"-LIM   LA "&amp;E2070&amp;" ("&amp;LEFT(H2070,5)&amp;"-"&amp;LEFT(I2070,5)&amp;" hrs)  /  LA "&amp;E2071&amp;" ("&amp;LEFT(H2071,5)&amp;"-"&amp;LEFT(I2071,5)&amp;" hrs)"</f>
        <v/>
      </c>
    </row>
    <row r="2072">
      <c r="B2072" s="4" t="inlineStr">
        <is>
          <t>2367_0</t>
        </is>
      </c>
      <c r="C2072" s="4" t="inlineStr">
        <is>
          <t>27/09/2026</t>
        </is>
      </c>
      <c r="D2072" s="4" t="inlineStr">
        <is>
          <t>domingo</t>
        </is>
      </c>
      <c r="E2072" s="4" t="inlineStr">
        <is>
          <t>2310</t>
        </is>
      </c>
      <c r="F2072" s="4" t="inlineStr">
        <is>
          <t>LIM</t>
        </is>
      </c>
      <c r="G2072" s="4" t="inlineStr">
        <is>
          <t>CIX</t>
        </is>
      </c>
      <c r="H2072" s="4" t="inlineStr">
        <is>
          <t>18:20:00</t>
        </is>
      </c>
      <c r="I2072" s="4" t="inlineStr">
        <is>
          <t>19:45:00</t>
        </is>
      </c>
      <c r="J2072" s="4" t="inlineStr">
        <is>
          <t>320</t>
        </is>
      </c>
      <c r="K2072" s="6">
        <f>TEXT(TIMEVALUE(H2072)-TIMEVALUE(I2071)+(TIMEVALUE(H2072)&lt;TIMEVALUE(I2071)),"[h]:mm")</f>
        <v/>
      </c>
      <c r="L2072" s="4" t="inlineStr">
        <is>
          <t>01:25:00</t>
        </is>
      </c>
      <c r="M2072">
        <f>IF($M$2070="","",$M$2070)</f>
        <v/>
      </c>
      <c r="O2072">
        <f>IF($O$2070="","",$O$2070)</f>
        <v/>
      </c>
      <c r="Q2072" s="4">
        <f>B2072</f>
        <v/>
      </c>
      <c r="R2072" s="4">
        <f>C2072</f>
        <v/>
      </c>
      <c r="S2072" s="4">
        <f>D2072</f>
        <v/>
      </c>
      <c r="T2072" s="4">
        <f>E2072&amp;"/"&amp;E2073</f>
        <v/>
      </c>
      <c r="U2072" s="4">
        <f>F2072&amp;"-"&amp;G2072&amp;"-"&amp;F2072</f>
        <v/>
      </c>
      <c r="V2072" s="4">
        <f>IF($M$2070="","",$M$2070)</f>
        <v/>
      </c>
      <c r="W2072" s="4">
        <f>IF($O$2070="","",$O$2070)</f>
        <v/>
      </c>
      <c r="X2072" s="4">
        <f>J2072</f>
        <v/>
      </c>
    </row>
    <row r="2073">
      <c r="B2073" s="4" t="inlineStr">
        <is>
          <t>2367_0</t>
        </is>
      </c>
      <c r="C2073" s="4" t="inlineStr">
        <is>
          <t>27/09/2026</t>
        </is>
      </c>
      <c r="D2073" s="4" t="inlineStr">
        <is>
          <t>domingo</t>
        </is>
      </c>
      <c r="E2073" s="4" t="inlineStr">
        <is>
          <t>2311</t>
        </is>
      </c>
      <c r="F2073" s="4" t="inlineStr">
        <is>
          <t>CIX</t>
        </is>
      </c>
      <c r="G2073" s="4" t="inlineStr">
        <is>
          <t>LIM</t>
        </is>
      </c>
      <c r="H2073" s="4" t="inlineStr">
        <is>
          <t>20:20:00</t>
        </is>
      </c>
      <c r="I2073" s="4" t="inlineStr">
        <is>
          <t>21:35:00</t>
        </is>
      </c>
      <c r="J2073" s="4" t="inlineStr">
        <is>
          <t>320</t>
        </is>
      </c>
      <c r="K2073">
        <f>TEXT(TIMEVALUE(H2073)-TIMEVALUE(I2072)+(TIMEVALUE(H2073)&lt;TIMEVALUE(I2072)),"[h]:mm")</f>
        <v/>
      </c>
      <c r="L2073" s="4" t="inlineStr">
        <is>
          <t>01:15:00</t>
        </is>
      </c>
      <c r="O2073">
        <f>"LIM-"&amp;G2072&amp;"-LIM   LA "&amp;E2072&amp;" ("&amp;LEFT(H2072,5)&amp;"-"&amp;LEFT(I2072,5)&amp;" hrs)  /  LA "&amp;E2073&amp;" ("&amp;LEFT(H2073,5)&amp;"-"&amp;LEFT(I2073,5)&amp;" hrs)"</f>
        <v/>
      </c>
    </row>
    <row r="2074">
      <c r="J2074" s="7" t="inlineStr">
        <is>
          <t>PSV total:</t>
        </is>
      </c>
      <c r="K2074" s="8">
        <f>TEXT(TIMEVALUE(I2073)-TIMEVALUE(H2070)+(I2073&lt;H2070),"[h]:mm")</f>
        <v/>
      </c>
    </row>
    <row r="2076">
      <c r="B2076" s="3" t="inlineStr">
        <is>
          <t>Pairing ID</t>
        </is>
      </c>
      <c r="C2076" s="3" t="inlineStr">
        <is>
          <t>FECHA REAL</t>
        </is>
      </c>
      <c r="D2076" s="3" t="inlineStr">
        <is>
          <t>Day of Week</t>
        </is>
      </c>
      <c r="E2076" s="3" t="inlineStr">
        <is>
          <t>Flight No</t>
        </is>
      </c>
      <c r="F2076" s="3" t="inlineStr">
        <is>
          <t>Dep Stn</t>
        </is>
      </c>
      <c r="G2076" s="3" t="inlineStr">
        <is>
          <t>Arr Stn</t>
        </is>
      </c>
      <c r="H2076" s="3" t="inlineStr">
        <is>
          <t>STD</t>
        </is>
      </c>
      <c r="I2076" s="3" t="inlineStr">
        <is>
          <t>STA</t>
        </is>
      </c>
      <c r="J2076" s="3" t="inlineStr">
        <is>
          <t>subflota</t>
        </is>
      </c>
      <c r="K2076" s="3" t="inlineStr">
        <is>
          <t>Conexion</t>
        </is>
      </c>
      <c r="L2076" s="3" t="inlineStr">
        <is>
          <t>HBT</t>
        </is>
      </c>
    </row>
    <row r="2077">
      <c r="B2077" s="4" t="inlineStr">
        <is>
          <t>2351_0</t>
        </is>
      </c>
      <c r="C2077" s="4" t="inlineStr">
        <is>
          <t>27/09/2026</t>
        </is>
      </c>
      <c r="D2077" s="4" t="inlineStr">
        <is>
          <t>domingo</t>
        </is>
      </c>
      <c r="E2077" s="4" t="inlineStr">
        <is>
          <t>2282</t>
        </is>
      </c>
      <c r="F2077" s="4" t="inlineStr">
        <is>
          <t>LIM</t>
        </is>
      </c>
      <c r="G2077" s="4" t="inlineStr">
        <is>
          <t>CIX</t>
        </is>
      </c>
      <c r="H2077" s="4" t="inlineStr">
        <is>
          <t>14:35:00</t>
        </is>
      </c>
      <c r="I2077" s="4" t="inlineStr">
        <is>
          <t>16:05:00</t>
        </is>
      </c>
      <c r="J2077" s="4" t="inlineStr">
        <is>
          <t>319</t>
        </is>
      </c>
      <c r="L2077" s="4" t="inlineStr">
        <is>
          <t>01:30:00</t>
        </is>
      </c>
      <c r="M2077" s="5" t="n"/>
      <c r="O2077" s="5" t="n"/>
      <c r="Q2077" s="4">
        <f>B2077</f>
        <v/>
      </c>
      <c r="R2077" s="4">
        <f>C2077</f>
        <v/>
      </c>
      <c r="S2077" s="4">
        <f>D2077</f>
        <v/>
      </c>
      <c r="T2077" s="4">
        <f>E2077&amp;"/"&amp;E2078</f>
        <v/>
      </c>
      <c r="U2077" s="4">
        <f>F2077&amp;"-"&amp;G2077&amp;"-"&amp;F2077</f>
        <v/>
      </c>
      <c r="V2077" s="4">
        <f>IF($M$2077="","",$M$2077)</f>
        <v/>
      </c>
      <c r="W2077" s="4">
        <f>IF($O$2077="","",$O$2077)</f>
        <v/>
      </c>
      <c r="X2077" s="4">
        <f>J2077</f>
        <v/>
      </c>
    </row>
    <row r="2078">
      <c r="B2078" s="4" t="inlineStr">
        <is>
          <t>2351_0</t>
        </is>
      </c>
      <c r="C2078" s="4" t="inlineStr">
        <is>
          <t>27/09/2026</t>
        </is>
      </c>
      <c r="D2078" s="4" t="inlineStr">
        <is>
          <t>domingo</t>
        </is>
      </c>
      <c r="E2078" s="4" t="inlineStr">
        <is>
          <t>2283</t>
        </is>
      </c>
      <c r="F2078" s="4" t="inlineStr">
        <is>
          <t>CIX</t>
        </is>
      </c>
      <c r="G2078" s="4" t="inlineStr">
        <is>
          <t>LIM</t>
        </is>
      </c>
      <c r="H2078" s="4" t="inlineStr">
        <is>
          <t>16:50:00</t>
        </is>
      </c>
      <c r="I2078" s="4" t="inlineStr">
        <is>
          <t>18:10:00</t>
        </is>
      </c>
      <c r="J2078" s="4" t="inlineStr">
        <is>
          <t>319</t>
        </is>
      </c>
      <c r="K2078">
        <f>TEXT(TIMEVALUE(H2078)-TIMEVALUE(I2077)+(TIMEVALUE(H2078)&lt;TIMEVALUE(I2077)),"[h]:mm")</f>
        <v/>
      </c>
      <c r="L2078" s="4" t="inlineStr">
        <is>
          <t>01:20:00</t>
        </is>
      </c>
      <c r="O2078">
        <f>"LIM-"&amp;G2077&amp;"-LIM   LA "&amp;E2077&amp;" ("&amp;LEFT(H2077,5)&amp;"-"&amp;LEFT(I2077,5)&amp;" hrs)  /  LA "&amp;E2078&amp;" ("&amp;LEFT(H2078,5)&amp;"-"&amp;LEFT(I2078,5)&amp;" hrs)"</f>
        <v/>
      </c>
    </row>
    <row r="2079">
      <c r="J2079" s="7" t="inlineStr">
        <is>
          <t>PSV total:</t>
        </is>
      </c>
      <c r="K2079" s="8">
        <f>TEXT(TIMEVALUE(I2078)-TIMEVALUE(H2077)+(I2078&lt;H2077),"[h]:mm")</f>
        <v/>
      </c>
    </row>
    <row r="2081">
      <c r="B2081" s="3" t="inlineStr">
        <is>
          <t>Pairing ID</t>
        </is>
      </c>
      <c r="C2081" s="3" t="inlineStr">
        <is>
          <t>FECHA REAL</t>
        </is>
      </c>
      <c r="D2081" s="3" t="inlineStr">
        <is>
          <t>Day of Week</t>
        </is>
      </c>
      <c r="E2081" s="3" t="inlineStr">
        <is>
          <t>Flight No</t>
        </is>
      </c>
      <c r="F2081" s="3" t="inlineStr">
        <is>
          <t>Dep Stn</t>
        </is>
      </c>
      <c r="G2081" s="3" t="inlineStr">
        <is>
          <t>Arr Stn</t>
        </is>
      </c>
      <c r="H2081" s="3" t="inlineStr">
        <is>
          <t>STD</t>
        </is>
      </c>
      <c r="I2081" s="3" t="inlineStr">
        <is>
          <t>STA</t>
        </is>
      </c>
      <c r="J2081" s="3" t="inlineStr">
        <is>
          <t>subflota</t>
        </is>
      </c>
      <c r="K2081" s="3" t="inlineStr">
        <is>
          <t>Conexion</t>
        </is>
      </c>
      <c r="L2081" s="3" t="inlineStr">
        <is>
          <t>HBT</t>
        </is>
      </c>
    </row>
    <row r="2082">
      <c r="B2082" s="4" t="inlineStr">
        <is>
          <t>2354_0</t>
        </is>
      </c>
      <c r="C2082" s="4" t="inlineStr">
        <is>
          <t>27/09/2026</t>
        </is>
      </c>
      <c r="D2082" s="4" t="inlineStr">
        <is>
          <t>domingo</t>
        </is>
      </c>
      <c r="E2082" s="4" t="inlineStr">
        <is>
          <t>2338</t>
        </is>
      </c>
      <c r="F2082" s="4" t="inlineStr">
        <is>
          <t>LIM</t>
        </is>
      </c>
      <c r="G2082" s="4" t="inlineStr">
        <is>
          <t>PIU</t>
        </is>
      </c>
      <c r="H2082" s="4" t="inlineStr">
        <is>
          <t>15:00:00</t>
        </is>
      </c>
      <c r="I2082" s="4" t="inlineStr">
        <is>
          <t>16:45:00</t>
        </is>
      </c>
      <c r="J2082" s="4" t="inlineStr">
        <is>
          <t>320</t>
        </is>
      </c>
      <c r="L2082" s="4" t="inlineStr">
        <is>
          <t>01:45:00</t>
        </is>
      </c>
      <c r="M2082" s="5" t="n"/>
      <c r="O2082" s="5" t="n"/>
      <c r="Q2082" s="4">
        <f>B2082</f>
        <v/>
      </c>
      <c r="R2082" s="4">
        <f>C2082</f>
        <v/>
      </c>
      <c r="S2082" s="4">
        <f>D2082</f>
        <v/>
      </c>
      <c r="T2082" s="4">
        <f>E2082&amp;"/"&amp;E2083</f>
        <v/>
      </c>
      <c r="U2082" s="4">
        <f>F2082&amp;"-"&amp;G2082&amp;"-"&amp;F2082</f>
        <v/>
      </c>
      <c r="V2082" s="4">
        <f>IF($M$2082="","",$M$2082)</f>
        <v/>
      </c>
      <c r="W2082" s="4">
        <f>IF($O$2082="","",$O$2082)</f>
        <v/>
      </c>
      <c r="X2082" s="4">
        <f>J2082</f>
        <v/>
      </c>
    </row>
    <row r="2083">
      <c r="B2083" s="4" t="inlineStr">
        <is>
          <t>2354_0</t>
        </is>
      </c>
      <c r="C2083" s="4" t="inlineStr">
        <is>
          <t>27/09/2026</t>
        </is>
      </c>
      <c r="D2083" s="4" t="inlineStr">
        <is>
          <t>domingo</t>
        </is>
      </c>
      <c r="E2083" s="4" t="inlineStr">
        <is>
          <t>2339</t>
        </is>
      </c>
      <c r="F2083" s="4" t="inlineStr">
        <is>
          <t>PIU</t>
        </is>
      </c>
      <c r="G2083" s="4" t="inlineStr">
        <is>
          <t>LIM</t>
        </is>
      </c>
      <c r="H2083" s="4" t="inlineStr">
        <is>
          <t>17:20:00</t>
        </is>
      </c>
      <c r="I2083" s="4" t="inlineStr">
        <is>
          <t>18:50:00</t>
        </is>
      </c>
      <c r="J2083" s="4" t="inlineStr">
        <is>
          <t>320</t>
        </is>
      </c>
      <c r="K2083">
        <f>TEXT(TIMEVALUE(H2083)-TIMEVALUE(I2082)+(TIMEVALUE(H2083)&lt;TIMEVALUE(I2082)),"[h]:mm")</f>
        <v/>
      </c>
      <c r="L2083" s="4" t="inlineStr">
        <is>
          <t>01:30:00</t>
        </is>
      </c>
      <c r="O2083">
        <f>"LIM-"&amp;G2082&amp;"-LIM   LA "&amp;E2082&amp;" ("&amp;LEFT(H2082,5)&amp;"-"&amp;LEFT(I2082,5)&amp;" hrs)  /  LA "&amp;E2083&amp;" ("&amp;LEFT(H2083,5)&amp;"-"&amp;LEFT(I2083,5)&amp;" hrs)"</f>
        <v/>
      </c>
    </row>
    <row r="2084">
      <c r="J2084" s="7" t="inlineStr">
        <is>
          <t>PSV total:</t>
        </is>
      </c>
      <c r="K2084" s="8">
        <f>TEXT(TIMEVALUE(I2083)-TIMEVALUE(H2082)+(I2083&lt;H2082),"[h]:mm")</f>
        <v/>
      </c>
    </row>
    <row r="2086">
      <c r="B2086" s="3" t="inlineStr">
        <is>
          <t>Pairing ID</t>
        </is>
      </c>
      <c r="C2086" s="3" t="inlineStr">
        <is>
          <t>FECHA REAL</t>
        </is>
      </c>
      <c r="D2086" s="3" t="inlineStr">
        <is>
          <t>Day of Week</t>
        </is>
      </c>
      <c r="E2086" s="3" t="inlineStr">
        <is>
          <t>Flight No</t>
        </is>
      </c>
      <c r="F2086" s="3" t="inlineStr">
        <is>
          <t>Dep Stn</t>
        </is>
      </c>
      <c r="G2086" s="3" t="inlineStr">
        <is>
          <t>Arr Stn</t>
        </is>
      </c>
      <c r="H2086" s="3" t="inlineStr">
        <is>
          <t>STD</t>
        </is>
      </c>
      <c r="I2086" s="3" t="inlineStr">
        <is>
          <t>STA</t>
        </is>
      </c>
      <c r="J2086" s="3" t="inlineStr">
        <is>
          <t>subflota</t>
        </is>
      </c>
      <c r="K2086" s="3" t="inlineStr">
        <is>
          <t>Conexion</t>
        </is>
      </c>
      <c r="L2086" s="3" t="inlineStr">
        <is>
          <t>HBT</t>
        </is>
      </c>
    </row>
    <row r="2087">
      <c r="B2087" s="4" t="inlineStr">
        <is>
          <t>2353_0</t>
        </is>
      </c>
      <c r="C2087" s="4" t="inlineStr">
        <is>
          <t>27/09/2026</t>
        </is>
      </c>
      <c r="D2087" s="4" t="inlineStr">
        <is>
          <t>domingo</t>
        </is>
      </c>
      <c r="E2087" s="4" t="inlineStr">
        <is>
          <t>2248</t>
        </is>
      </c>
      <c r="F2087" s="4" t="inlineStr">
        <is>
          <t>LIM</t>
        </is>
      </c>
      <c r="G2087" s="4" t="inlineStr">
        <is>
          <t>CUZ</t>
        </is>
      </c>
      <c r="H2087" s="4" t="inlineStr">
        <is>
          <t>15:00:00</t>
        </is>
      </c>
      <c r="I2087" s="4" t="inlineStr">
        <is>
          <t>16:20:00</t>
        </is>
      </c>
      <c r="J2087" s="4" t="inlineStr">
        <is>
          <t>320</t>
        </is>
      </c>
      <c r="L2087" s="4" t="inlineStr">
        <is>
          <t>01:20:00</t>
        </is>
      </c>
      <c r="M2087" s="5" t="n"/>
      <c r="O2087" s="5" t="n"/>
      <c r="Q2087" s="4">
        <f>B2087</f>
        <v/>
      </c>
      <c r="R2087" s="4">
        <f>C2087</f>
        <v/>
      </c>
      <c r="S2087" s="4">
        <f>D2087</f>
        <v/>
      </c>
      <c r="T2087" s="4">
        <f>E2087&amp;"/"&amp;E2088</f>
        <v/>
      </c>
      <c r="U2087" s="4">
        <f>F2087&amp;"-"&amp;G2087&amp;"-"&amp;F2087</f>
        <v/>
      </c>
      <c r="V2087" s="4">
        <f>IF($M$2087="","",$M$2087)</f>
        <v/>
      </c>
      <c r="W2087" s="4">
        <f>IF($O$2087="","",$O$2087)</f>
        <v/>
      </c>
      <c r="X2087" s="4">
        <f>J2087</f>
        <v/>
      </c>
    </row>
    <row r="2088">
      <c r="B2088" s="4" t="inlineStr">
        <is>
          <t>2353_0</t>
        </is>
      </c>
      <c r="C2088" s="4" t="inlineStr">
        <is>
          <t>27/09/2026</t>
        </is>
      </c>
      <c r="D2088" s="4" t="inlineStr">
        <is>
          <t>domingo</t>
        </is>
      </c>
      <c r="E2088" s="4" t="inlineStr">
        <is>
          <t>2025</t>
        </is>
      </c>
      <c r="F2088" s="4" t="inlineStr">
        <is>
          <t>CUZ</t>
        </is>
      </c>
      <c r="G2088" s="4" t="inlineStr">
        <is>
          <t>LIM</t>
        </is>
      </c>
      <c r="H2088" s="4" t="inlineStr">
        <is>
          <t>16:55:00</t>
        </is>
      </c>
      <c r="I2088" s="4" t="inlineStr">
        <is>
          <t>18:30:00</t>
        </is>
      </c>
      <c r="J2088" s="4" t="inlineStr">
        <is>
          <t>320</t>
        </is>
      </c>
      <c r="K2088">
        <f>TEXT(TIMEVALUE(H2088)-TIMEVALUE(I2087)+(TIMEVALUE(H2088)&lt;TIMEVALUE(I2087)),"[h]:mm")</f>
        <v/>
      </c>
      <c r="L2088" s="4" t="inlineStr">
        <is>
          <t>01:35:00</t>
        </is>
      </c>
      <c r="O2088">
        <f>"LIM-"&amp;G2087&amp;"-LIM   LA "&amp;E2087&amp;" ("&amp;LEFT(H2087,5)&amp;"-"&amp;LEFT(I2087,5)&amp;" hrs)  /  LA "&amp;E2088&amp;" ("&amp;LEFT(H2088,5)&amp;"-"&amp;LEFT(I2088,5)&amp;" hrs)"</f>
        <v/>
      </c>
    </row>
    <row r="2089">
      <c r="J2089" s="7" t="inlineStr">
        <is>
          <t>PSV total:</t>
        </is>
      </c>
      <c r="K2089" s="8">
        <f>TEXT(TIMEVALUE(I2088)-TIMEVALUE(H2087)+(I2088&lt;H2087),"[h]:mm")</f>
        <v/>
      </c>
    </row>
    <row r="2091">
      <c r="B2091" s="3" t="inlineStr">
        <is>
          <t>Pairing ID</t>
        </is>
      </c>
      <c r="C2091" s="3" t="inlineStr">
        <is>
          <t>FECHA REAL</t>
        </is>
      </c>
      <c r="D2091" s="3" t="inlineStr">
        <is>
          <t>Day of Week</t>
        </is>
      </c>
      <c r="E2091" s="3" t="inlineStr">
        <is>
          <t>Flight No</t>
        </is>
      </c>
      <c r="F2091" s="3" t="inlineStr">
        <is>
          <t>Dep Stn</t>
        </is>
      </c>
      <c r="G2091" s="3" t="inlineStr">
        <is>
          <t>Arr Stn</t>
        </is>
      </c>
      <c r="H2091" s="3" t="inlineStr">
        <is>
          <t>STD</t>
        </is>
      </c>
      <c r="I2091" s="3" t="inlineStr">
        <is>
          <t>STA</t>
        </is>
      </c>
      <c r="J2091" s="3" t="inlineStr">
        <is>
          <t>subflota</t>
        </is>
      </c>
      <c r="K2091" s="3" t="inlineStr">
        <is>
          <t>Conexion</t>
        </is>
      </c>
      <c r="L2091" s="3" t="inlineStr">
        <is>
          <t>HBT</t>
        </is>
      </c>
    </row>
    <row r="2092">
      <c r="B2092" s="4" t="inlineStr">
        <is>
          <t>2358_0</t>
        </is>
      </c>
      <c r="C2092" s="4" t="inlineStr">
        <is>
          <t>27/09/2026</t>
        </is>
      </c>
      <c r="D2092" s="4" t="inlineStr">
        <is>
          <t>domingo</t>
        </is>
      </c>
      <c r="E2092" s="4" t="inlineStr">
        <is>
          <t>2297</t>
        </is>
      </c>
      <c r="F2092" s="4" t="inlineStr">
        <is>
          <t>LIM</t>
        </is>
      </c>
      <c r="G2092" s="4" t="inlineStr">
        <is>
          <t>CJA</t>
        </is>
      </c>
      <c r="H2092" s="4" t="inlineStr">
        <is>
          <t>15:15:00</t>
        </is>
      </c>
      <c r="I2092" s="4" t="inlineStr">
        <is>
          <t>16:35:00</t>
        </is>
      </c>
      <c r="J2092" s="4" t="inlineStr">
        <is>
          <t>320</t>
        </is>
      </c>
      <c r="L2092" s="4" t="inlineStr">
        <is>
          <t>01:20:00</t>
        </is>
      </c>
      <c r="M2092" s="5" t="n"/>
      <c r="O2092" s="5" t="n"/>
      <c r="Q2092" s="4">
        <f>B2092</f>
        <v/>
      </c>
      <c r="R2092" s="4">
        <f>C2092</f>
        <v/>
      </c>
      <c r="S2092" s="4">
        <f>D2092</f>
        <v/>
      </c>
      <c r="T2092" s="4">
        <f>E2092&amp;"/"&amp;E2093</f>
        <v/>
      </c>
      <c r="U2092" s="4">
        <f>F2092&amp;"-"&amp;G2092&amp;"-"&amp;F2092</f>
        <v/>
      </c>
      <c r="V2092" s="4">
        <f>IF($M$2092="","",$M$2092)</f>
        <v/>
      </c>
      <c r="W2092" s="4">
        <f>IF($O$2092="","",$O$2092)</f>
        <v/>
      </c>
      <c r="X2092" s="4">
        <f>J2092</f>
        <v/>
      </c>
    </row>
    <row r="2093">
      <c r="B2093" s="4" t="inlineStr">
        <is>
          <t>2358_0</t>
        </is>
      </c>
      <c r="C2093" s="4" t="inlineStr">
        <is>
          <t>27/09/2026</t>
        </is>
      </c>
      <c r="D2093" s="4" t="inlineStr">
        <is>
          <t>domingo</t>
        </is>
      </c>
      <c r="E2093" s="4" t="inlineStr">
        <is>
          <t>2296</t>
        </is>
      </c>
      <c r="F2093" s="4" t="inlineStr">
        <is>
          <t>CJA</t>
        </is>
      </c>
      <c r="G2093" s="4" t="inlineStr">
        <is>
          <t>LIM</t>
        </is>
      </c>
      <c r="H2093" s="4" t="inlineStr">
        <is>
          <t>17:20:00</t>
        </is>
      </c>
      <c r="I2093" s="4" t="inlineStr">
        <is>
          <t>18:25:00</t>
        </is>
      </c>
      <c r="J2093" s="4" t="inlineStr">
        <is>
          <t>320</t>
        </is>
      </c>
      <c r="K2093">
        <f>TEXT(TIMEVALUE(H2093)-TIMEVALUE(I2092)+(TIMEVALUE(H2093)&lt;TIMEVALUE(I2092)),"[h]:mm")</f>
        <v/>
      </c>
      <c r="L2093" s="4" t="inlineStr">
        <is>
          <t>01:05:00</t>
        </is>
      </c>
      <c r="O2093">
        <f>"LIM-"&amp;G2092&amp;"-LIM   LA "&amp;E2092&amp;" ("&amp;LEFT(H2092,5)&amp;"-"&amp;LEFT(I2092,5)&amp;" hrs)  /  LA "&amp;E2093&amp;" ("&amp;LEFT(H2093,5)&amp;"-"&amp;LEFT(I2093,5)&amp;" hrs)"</f>
        <v/>
      </c>
    </row>
    <row r="2094">
      <c r="J2094" s="7" t="inlineStr">
        <is>
          <t>PSV total:</t>
        </is>
      </c>
      <c r="K2094" s="8">
        <f>TEXT(TIMEVALUE(I2093)-TIMEVALUE(H2092)+(I2093&lt;H2092),"[h]:mm")</f>
        <v/>
      </c>
    </row>
    <row r="2096">
      <c r="B2096" s="3" t="inlineStr">
        <is>
          <t>Pairing ID</t>
        </is>
      </c>
      <c r="C2096" s="3" t="inlineStr">
        <is>
          <t>FECHA REAL</t>
        </is>
      </c>
      <c r="D2096" s="3" t="inlineStr">
        <is>
          <t>Day of Week</t>
        </is>
      </c>
      <c r="E2096" s="3" t="inlineStr">
        <is>
          <t>Flight No</t>
        </is>
      </c>
      <c r="F2096" s="3" t="inlineStr">
        <is>
          <t>Dep Stn</t>
        </is>
      </c>
      <c r="G2096" s="3" t="inlineStr">
        <is>
          <t>Arr Stn</t>
        </is>
      </c>
      <c r="H2096" s="3" t="inlineStr">
        <is>
          <t>STD</t>
        </is>
      </c>
      <c r="I2096" s="3" t="inlineStr">
        <is>
          <t>STA</t>
        </is>
      </c>
      <c r="J2096" s="3" t="inlineStr">
        <is>
          <t>subflota</t>
        </is>
      </c>
      <c r="K2096" s="3" t="inlineStr">
        <is>
          <t>Conexion</t>
        </is>
      </c>
      <c r="L2096" s="3" t="inlineStr">
        <is>
          <t>HBT</t>
        </is>
      </c>
    </row>
    <row r="2097">
      <c r="B2097" s="4" t="inlineStr">
        <is>
          <t>2357_0</t>
        </is>
      </c>
      <c r="C2097" s="4" t="inlineStr">
        <is>
          <t>27/09/2026</t>
        </is>
      </c>
      <c r="D2097" s="4" t="inlineStr">
        <is>
          <t>domingo</t>
        </is>
      </c>
      <c r="E2097" s="4" t="inlineStr">
        <is>
          <t>2297</t>
        </is>
      </c>
      <c r="F2097" s="4" t="inlineStr">
        <is>
          <t>LIM</t>
        </is>
      </c>
      <c r="G2097" s="4" t="inlineStr">
        <is>
          <t>CJA</t>
        </is>
      </c>
      <c r="H2097" s="4" t="inlineStr">
        <is>
          <t>15:15:00</t>
        </is>
      </c>
      <c r="I2097" s="4" t="inlineStr">
        <is>
          <t>16:35:00</t>
        </is>
      </c>
      <c r="J2097" s="4" t="inlineStr">
        <is>
          <t>320</t>
        </is>
      </c>
      <c r="L2097" s="4" t="inlineStr">
        <is>
          <t>01:20:00</t>
        </is>
      </c>
      <c r="M2097" s="5" t="n"/>
      <c r="O2097" s="5" t="n"/>
      <c r="Q2097" s="4">
        <f>B2097</f>
        <v/>
      </c>
      <c r="R2097" s="4">
        <f>C2097</f>
        <v/>
      </c>
      <c r="S2097" s="4">
        <f>D2097</f>
        <v/>
      </c>
      <c r="T2097" s="4">
        <f>E2097&amp;"/"&amp;E2098</f>
        <v/>
      </c>
      <c r="U2097" s="4">
        <f>F2097&amp;"-"&amp;G2097&amp;"-"&amp;F2097</f>
        <v/>
      </c>
      <c r="V2097" s="4">
        <f>IF($M$2097="","",$M$2097)</f>
        <v/>
      </c>
      <c r="W2097" s="4">
        <f>IF($O$2097="","",$O$2097)</f>
        <v/>
      </c>
      <c r="X2097" s="4">
        <f>J2097</f>
        <v/>
      </c>
    </row>
    <row r="2098">
      <c r="B2098" s="4" t="inlineStr">
        <is>
          <t>2357_0</t>
        </is>
      </c>
      <c r="C2098" s="4" t="inlineStr">
        <is>
          <t>27/09/2026</t>
        </is>
      </c>
      <c r="D2098" s="4" t="inlineStr">
        <is>
          <t>domingo</t>
        </is>
      </c>
      <c r="E2098" s="4" t="inlineStr">
        <is>
          <t>2296</t>
        </is>
      </c>
      <c r="F2098" s="4" t="inlineStr">
        <is>
          <t>CJA</t>
        </is>
      </c>
      <c r="G2098" s="4" t="inlineStr">
        <is>
          <t>LIM</t>
        </is>
      </c>
      <c r="H2098" s="4" t="inlineStr">
        <is>
          <t>17:20:00</t>
        </is>
      </c>
      <c r="I2098" s="4" t="inlineStr">
        <is>
          <t>18:25:00</t>
        </is>
      </c>
      <c r="J2098" s="4" t="inlineStr">
        <is>
          <t>320</t>
        </is>
      </c>
      <c r="K2098">
        <f>TEXT(TIMEVALUE(H2098)-TIMEVALUE(I2097)+(TIMEVALUE(H2098)&lt;TIMEVALUE(I2097)),"[h]:mm")</f>
        <v/>
      </c>
      <c r="L2098" s="4" t="inlineStr">
        <is>
          <t>01:05:00</t>
        </is>
      </c>
      <c r="O2098">
        <f>"LIM-"&amp;G2097&amp;"-LIM   LA "&amp;E2097&amp;" ("&amp;LEFT(H2097,5)&amp;"-"&amp;LEFT(I2097,5)&amp;" hrs)  /  LA "&amp;E2098&amp;" ("&amp;LEFT(H2098,5)&amp;"-"&amp;LEFT(I2098,5)&amp;" hrs)"</f>
        <v/>
      </c>
    </row>
    <row r="2099">
      <c r="J2099" s="7" t="inlineStr">
        <is>
          <t>PSV total:</t>
        </is>
      </c>
      <c r="K2099" s="8">
        <f>TEXT(TIMEVALUE(I2098)-TIMEVALUE(H2097)+(I2098&lt;H2097),"[h]:mm")</f>
        <v/>
      </c>
    </row>
    <row r="2101">
      <c r="B2101" s="3" t="inlineStr">
        <is>
          <t>Pairing ID</t>
        </is>
      </c>
      <c r="C2101" s="3" t="inlineStr">
        <is>
          <t>FECHA REAL</t>
        </is>
      </c>
      <c r="D2101" s="3" t="inlineStr">
        <is>
          <t>Day of Week</t>
        </is>
      </c>
      <c r="E2101" s="3" t="inlineStr">
        <is>
          <t>Flight No</t>
        </is>
      </c>
      <c r="F2101" s="3" t="inlineStr">
        <is>
          <t>Dep Stn</t>
        </is>
      </c>
      <c r="G2101" s="3" t="inlineStr">
        <is>
          <t>Arr Stn</t>
        </is>
      </c>
      <c r="H2101" s="3" t="inlineStr">
        <is>
          <t>STD</t>
        </is>
      </c>
      <c r="I2101" s="3" t="inlineStr">
        <is>
          <t>STA</t>
        </is>
      </c>
      <c r="J2101" s="3" t="inlineStr">
        <is>
          <t>subflota</t>
        </is>
      </c>
      <c r="K2101" s="3" t="inlineStr">
        <is>
          <t>Conexion</t>
        </is>
      </c>
      <c r="L2101" s="3" t="inlineStr">
        <is>
          <t>HBT</t>
        </is>
      </c>
    </row>
    <row r="2102">
      <c r="B2102" s="4" t="inlineStr">
        <is>
          <t>2360_0</t>
        </is>
      </c>
      <c r="C2102" s="4" t="inlineStr">
        <is>
          <t>27/09/2026</t>
        </is>
      </c>
      <c r="D2102" s="4" t="inlineStr">
        <is>
          <t>domingo</t>
        </is>
      </c>
      <c r="E2102" s="4" t="inlineStr">
        <is>
          <t>2312</t>
        </is>
      </c>
      <c r="F2102" s="4" t="inlineStr">
        <is>
          <t>LIM</t>
        </is>
      </c>
      <c r="G2102" s="4" t="inlineStr">
        <is>
          <t>CIX</t>
        </is>
      </c>
      <c r="H2102" s="4" t="inlineStr">
        <is>
          <t>15:35:00</t>
        </is>
      </c>
      <c r="I2102" s="4" t="inlineStr">
        <is>
          <t>17:05:00</t>
        </is>
      </c>
      <c r="J2102" s="4" t="inlineStr">
        <is>
          <t>319</t>
        </is>
      </c>
      <c r="L2102" s="4" t="inlineStr">
        <is>
          <t>01:30:00</t>
        </is>
      </c>
      <c r="M2102" s="5" t="n"/>
      <c r="O2102" s="5" t="n"/>
      <c r="Q2102" s="4">
        <f>B2102</f>
        <v/>
      </c>
      <c r="R2102" s="4">
        <f>C2102</f>
        <v/>
      </c>
      <c r="S2102" s="4">
        <f>D2102</f>
        <v/>
      </c>
      <c r="T2102" s="4">
        <f>E2102&amp;"/"&amp;E2103</f>
        <v/>
      </c>
      <c r="U2102" s="4">
        <f>F2102&amp;"-"&amp;G2102&amp;"-"&amp;F2102</f>
        <v/>
      </c>
      <c r="V2102" s="4">
        <f>IF($M$2102="","",$M$2102)</f>
        <v/>
      </c>
      <c r="W2102" s="4">
        <f>IF($O$2102="","",$O$2102)</f>
        <v/>
      </c>
      <c r="X2102" s="4">
        <f>J2102</f>
        <v/>
      </c>
    </row>
    <row r="2103">
      <c r="B2103" s="4" t="inlineStr">
        <is>
          <t>2360_0</t>
        </is>
      </c>
      <c r="C2103" s="4" t="inlineStr">
        <is>
          <t>27/09/2026</t>
        </is>
      </c>
      <c r="D2103" s="4" t="inlineStr">
        <is>
          <t>domingo</t>
        </is>
      </c>
      <c r="E2103" s="4" t="inlineStr">
        <is>
          <t>2313</t>
        </is>
      </c>
      <c r="F2103" s="4" t="inlineStr">
        <is>
          <t>CIX</t>
        </is>
      </c>
      <c r="G2103" s="4" t="inlineStr">
        <is>
          <t>LIM</t>
        </is>
      </c>
      <c r="H2103" s="4" t="inlineStr">
        <is>
          <t>17:50:00</t>
        </is>
      </c>
      <c r="I2103" s="4" t="inlineStr">
        <is>
          <t>19:10:00</t>
        </is>
      </c>
      <c r="J2103" s="4" t="inlineStr">
        <is>
          <t>319</t>
        </is>
      </c>
      <c r="K2103">
        <f>TEXT(TIMEVALUE(H2103)-TIMEVALUE(I2102)+(TIMEVALUE(H2103)&lt;TIMEVALUE(I2102)),"[h]:mm")</f>
        <v/>
      </c>
      <c r="L2103" s="4" t="inlineStr">
        <is>
          <t>01:20:00</t>
        </is>
      </c>
      <c r="O2103">
        <f>"LIM-"&amp;G2102&amp;"-LIM   LA "&amp;E2102&amp;" ("&amp;LEFT(H2102,5)&amp;"-"&amp;LEFT(I2102,5)&amp;" hrs)  /  LA "&amp;E2103&amp;" ("&amp;LEFT(H2103,5)&amp;"-"&amp;LEFT(I2103,5)&amp;" hrs)"</f>
        <v/>
      </c>
    </row>
    <row r="2104">
      <c r="J2104" s="7" t="inlineStr">
        <is>
          <t>PSV total:</t>
        </is>
      </c>
      <c r="K2104" s="8">
        <f>TEXT(TIMEVALUE(I2103)-TIMEVALUE(H2102)+(I2103&lt;H2102),"[h]:mm")</f>
        <v/>
      </c>
    </row>
    <row r="2106">
      <c r="B2106" s="3" t="inlineStr">
        <is>
          <t>Pairing ID</t>
        </is>
      </c>
      <c r="C2106" s="3" t="inlineStr">
        <is>
          <t>FECHA REAL</t>
        </is>
      </c>
      <c r="D2106" s="3" t="inlineStr">
        <is>
          <t>Day of Week</t>
        </is>
      </c>
      <c r="E2106" s="3" t="inlineStr">
        <is>
          <t>Flight No</t>
        </is>
      </c>
      <c r="F2106" s="3" t="inlineStr">
        <is>
          <t>Dep Stn</t>
        </is>
      </c>
      <c r="G2106" s="3" t="inlineStr">
        <is>
          <t>Arr Stn</t>
        </is>
      </c>
      <c r="H2106" s="3" t="inlineStr">
        <is>
          <t>STD</t>
        </is>
      </c>
      <c r="I2106" s="3" t="inlineStr">
        <is>
          <t>STA</t>
        </is>
      </c>
      <c r="J2106" s="3" t="inlineStr">
        <is>
          <t>subflota</t>
        </is>
      </c>
      <c r="K2106" s="3" t="inlineStr">
        <is>
          <t>Conexion</t>
        </is>
      </c>
      <c r="L2106" s="3" t="inlineStr">
        <is>
          <t>HBT</t>
        </is>
      </c>
    </row>
    <row r="2107">
      <c r="B2107" s="4" t="inlineStr">
        <is>
          <t>2361_0</t>
        </is>
      </c>
      <c r="C2107" s="4" t="inlineStr">
        <is>
          <t>27/09/2026</t>
        </is>
      </c>
      <c r="D2107" s="4" t="inlineStr">
        <is>
          <t>domingo</t>
        </is>
      </c>
      <c r="E2107" s="4" t="inlineStr">
        <is>
          <t>2301</t>
        </is>
      </c>
      <c r="F2107" s="4" t="inlineStr">
        <is>
          <t>LIM</t>
        </is>
      </c>
      <c r="G2107" s="4" t="inlineStr">
        <is>
          <t>TPP</t>
        </is>
      </c>
      <c r="H2107" s="4" t="inlineStr">
        <is>
          <t>15:40:00</t>
        </is>
      </c>
      <c r="I2107" s="4" t="inlineStr">
        <is>
          <t>17:05:00</t>
        </is>
      </c>
      <c r="J2107" s="4" t="inlineStr">
        <is>
          <t>320</t>
        </is>
      </c>
      <c r="L2107" s="4" t="inlineStr">
        <is>
          <t>01:25:00</t>
        </is>
      </c>
      <c r="M2107" s="5" t="n"/>
      <c r="O2107" s="5" t="n"/>
      <c r="Q2107" s="4">
        <f>B2107</f>
        <v/>
      </c>
      <c r="R2107" s="4">
        <f>C2107</f>
        <v/>
      </c>
      <c r="S2107" s="4">
        <f>D2107</f>
        <v/>
      </c>
      <c r="T2107" s="4">
        <f>E2107&amp;"/"&amp;E2108</f>
        <v/>
      </c>
      <c r="U2107" s="4">
        <f>F2107&amp;"-"&amp;G2107&amp;"-"&amp;F2107</f>
        <v/>
      </c>
      <c r="V2107" s="4">
        <f>IF($M$2107="","",$M$2107)</f>
        <v/>
      </c>
      <c r="W2107" s="4">
        <f>IF($O$2107="","",$O$2107)</f>
        <v/>
      </c>
      <c r="X2107" s="4">
        <f>J2107</f>
        <v/>
      </c>
    </row>
    <row r="2108">
      <c r="B2108" s="4" t="inlineStr">
        <is>
          <t>2361_0</t>
        </is>
      </c>
      <c r="C2108" s="4" t="inlineStr">
        <is>
          <t>27/09/2026</t>
        </is>
      </c>
      <c r="D2108" s="4" t="inlineStr">
        <is>
          <t>domingo</t>
        </is>
      </c>
      <c r="E2108" s="4" t="inlineStr">
        <is>
          <t>2300</t>
        </is>
      </c>
      <c r="F2108" s="4" t="inlineStr">
        <is>
          <t>TPP</t>
        </is>
      </c>
      <c r="G2108" s="4" t="inlineStr">
        <is>
          <t>LIM</t>
        </is>
      </c>
      <c r="H2108" s="4" t="inlineStr">
        <is>
          <t>17:50:00</t>
        </is>
      </c>
      <c r="I2108" s="4" t="inlineStr">
        <is>
          <t>19:20:00</t>
        </is>
      </c>
      <c r="J2108" s="4" t="inlineStr">
        <is>
          <t>320</t>
        </is>
      </c>
      <c r="K2108">
        <f>TEXT(TIMEVALUE(H2108)-TIMEVALUE(I2107)+(TIMEVALUE(H2108)&lt;TIMEVALUE(I2107)),"[h]:mm")</f>
        <v/>
      </c>
      <c r="L2108" s="4" t="inlineStr">
        <is>
          <t>01:30:00</t>
        </is>
      </c>
      <c r="O2108">
        <f>"LIM-"&amp;G2107&amp;"-LIM   LA "&amp;E2107&amp;" ("&amp;LEFT(H2107,5)&amp;"-"&amp;LEFT(I2107,5)&amp;" hrs)  /  LA "&amp;E2108&amp;" ("&amp;LEFT(H2108,5)&amp;"-"&amp;LEFT(I2108,5)&amp;" hrs)"</f>
        <v/>
      </c>
    </row>
    <row r="2109">
      <c r="J2109" s="7" t="inlineStr">
        <is>
          <t>PSV total:</t>
        </is>
      </c>
      <c r="K2109" s="8">
        <f>TEXT(TIMEVALUE(I2108)-TIMEVALUE(H2107)+(I2108&lt;H2107),"[h]:mm")</f>
        <v/>
      </c>
    </row>
    <row r="2111">
      <c r="B2111" s="3" t="inlineStr">
        <is>
          <t>Pairing ID</t>
        </is>
      </c>
      <c r="C2111" s="3" t="inlineStr">
        <is>
          <t>FECHA REAL</t>
        </is>
      </c>
      <c r="D2111" s="3" t="inlineStr">
        <is>
          <t>Day of Week</t>
        </is>
      </c>
      <c r="E2111" s="3" t="inlineStr">
        <is>
          <t>Flight No</t>
        </is>
      </c>
      <c r="F2111" s="3" t="inlineStr">
        <is>
          <t>Dep Stn</t>
        </is>
      </c>
      <c r="G2111" s="3" t="inlineStr">
        <is>
          <t>Arr Stn</t>
        </is>
      </c>
      <c r="H2111" s="3" t="inlineStr">
        <is>
          <t>STD</t>
        </is>
      </c>
      <c r="I2111" s="3" t="inlineStr">
        <is>
          <t>STA</t>
        </is>
      </c>
      <c r="J2111" s="3" t="inlineStr">
        <is>
          <t>subflota</t>
        </is>
      </c>
      <c r="K2111" s="3" t="inlineStr">
        <is>
          <t>Conexion</t>
        </is>
      </c>
      <c r="L2111" s="3" t="inlineStr">
        <is>
          <t>HBT</t>
        </is>
      </c>
    </row>
    <row r="2112">
      <c r="B2112" s="4" t="inlineStr">
        <is>
          <t>2411_0</t>
        </is>
      </c>
      <c r="C2112" s="4" t="inlineStr">
        <is>
          <t>28/09/2026</t>
        </is>
      </c>
      <c r="D2112" s="4" t="inlineStr">
        <is>
          <t>lunes</t>
        </is>
      </c>
      <c r="E2112" s="4" t="inlineStr">
        <is>
          <t>2013</t>
        </is>
      </c>
      <c r="F2112" s="4" t="inlineStr">
        <is>
          <t>LIM</t>
        </is>
      </c>
      <c r="G2112" s="4" t="inlineStr">
        <is>
          <t>CUZ</t>
        </is>
      </c>
      <c r="H2112" s="4" t="inlineStr">
        <is>
          <t>08:35:00</t>
        </is>
      </c>
      <c r="I2112" s="4" t="inlineStr">
        <is>
          <t>09:55:00</t>
        </is>
      </c>
      <c r="J2112" s="4" t="inlineStr">
        <is>
          <t>319</t>
        </is>
      </c>
      <c r="L2112" s="4" t="inlineStr">
        <is>
          <t>01:20:00</t>
        </is>
      </c>
      <c r="M2112" s="5" t="n"/>
      <c r="O2112" s="5" t="n"/>
      <c r="Q2112" s="4">
        <f>B2112</f>
        <v/>
      </c>
      <c r="R2112" s="4">
        <f>C2112</f>
        <v/>
      </c>
      <c r="S2112" s="4">
        <f>D2112</f>
        <v/>
      </c>
      <c r="T2112" s="4">
        <f>E2112&amp;"/"&amp;E2113</f>
        <v/>
      </c>
      <c r="U2112" s="4">
        <f>F2112&amp;"-"&amp;G2112&amp;"-"&amp;F2112</f>
        <v/>
      </c>
      <c r="V2112" s="4">
        <f>IF($M$2112="","",$M$2112)</f>
        <v/>
      </c>
      <c r="W2112" s="4">
        <f>IF($O$2112="","",$O$2112)</f>
        <v/>
      </c>
      <c r="X2112" s="4">
        <f>J2112</f>
        <v/>
      </c>
    </row>
    <row r="2113">
      <c r="B2113" s="4" t="inlineStr">
        <is>
          <t>2411_0</t>
        </is>
      </c>
      <c r="C2113" s="4" t="inlineStr">
        <is>
          <t>28/09/2026</t>
        </is>
      </c>
      <c r="D2113" s="4" t="inlineStr">
        <is>
          <t>lunes</t>
        </is>
      </c>
      <c r="E2113" s="4" t="inlineStr">
        <is>
          <t>2014</t>
        </is>
      </c>
      <c r="F2113" s="4" t="inlineStr">
        <is>
          <t>CUZ</t>
        </is>
      </c>
      <c r="G2113" s="4" t="inlineStr">
        <is>
          <t>LIM</t>
        </is>
      </c>
      <c r="H2113" s="4" t="inlineStr">
        <is>
          <t>10:40:00</t>
        </is>
      </c>
      <c r="I2113" s="4" t="inlineStr">
        <is>
          <t>12:15:00</t>
        </is>
      </c>
      <c r="J2113" s="4" t="inlineStr">
        <is>
          <t>319</t>
        </is>
      </c>
      <c r="K2113">
        <f>TEXT(TIMEVALUE(H2113)-TIMEVALUE(I2112)+(TIMEVALUE(H2113)&lt;TIMEVALUE(I2112)),"[h]:mm")</f>
        <v/>
      </c>
      <c r="L2113" s="4" t="inlineStr">
        <is>
          <t>01:35:00</t>
        </is>
      </c>
      <c r="O2113">
        <f>"LIM-"&amp;G2112&amp;"-LIM   LA "&amp;E2112&amp;" ("&amp;LEFT(H2112,5)&amp;"-"&amp;LEFT(I2112,5)&amp;" hrs)  /  LA "&amp;E2113&amp;" ("&amp;LEFT(H2113,5)&amp;"-"&amp;LEFT(I2113,5)&amp;" hrs)"</f>
        <v/>
      </c>
    </row>
    <row r="2114">
      <c r="J2114" s="7" t="inlineStr">
        <is>
          <t>PSV total:</t>
        </is>
      </c>
      <c r="K2114" s="8">
        <f>TEXT(TIMEVALUE(I2113)-TIMEVALUE(H2112)+(I2113&lt;H2112),"[h]:mm")</f>
        <v/>
      </c>
    </row>
    <row r="2116">
      <c r="B2116" s="3" t="inlineStr">
        <is>
          <t>Pairing ID</t>
        </is>
      </c>
      <c r="C2116" s="3" t="inlineStr">
        <is>
          <t>FECHA REAL</t>
        </is>
      </c>
      <c r="D2116" s="3" t="inlineStr">
        <is>
          <t>Day of Week</t>
        </is>
      </c>
      <c r="E2116" s="3" t="inlineStr">
        <is>
          <t>Flight No</t>
        </is>
      </c>
      <c r="F2116" s="3" t="inlineStr">
        <is>
          <t>Dep Stn</t>
        </is>
      </c>
      <c r="G2116" s="3" t="inlineStr">
        <is>
          <t>Arr Stn</t>
        </is>
      </c>
      <c r="H2116" s="3" t="inlineStr">
        <is>
          <t>STD</t>
        </is>
      </c>
      <c r="I2116" s="3" t="inlineStr">
        <is>
          <t>STA</t>
        </is>
      </c>
      <c r="J2116" s="3" t="inlineStr">
        <is>
          <t>subflota</t>
        </is>
      </c>
      <c r="K2116" s="3" t="inlineStr">
        <is>
          <t>Conexion</t>
        </is>
      </c>
      <c r="L2116" s="3" t="inlineStr">
        <is>
          <t>HBT</t>
        </is>
      </c>
    </row>
    <row r="2117">
      <c r="B2117" s="4" t="inlineStr">
        <is>
          <t>2418_0</t>
        </is>
      </c>
      <c r="C2117" s="4" t="inlineStr">
        <is>
          <t>28/09/2026</t>
        </is>
      </c>
      <c r="D2117" s="4" t="inlineStr">
        <is>
          <t>lunes</t>
        </is>
      </c>
      <c r="E2117" s="4" t="inlineStr">
        <is>
          <t>2052</t>
        </is>
      </c>
      <c r="F2117" s="4" t="inlineStr">
        <is>
          <t>LIM</t>
        </is>
      </c>
      <c r="G2117" s="4" t="inlineStr">
        <is>
          <t>TBP</t>
        </is>
      </c>
      <c r="H2117" s="4" t="inlineStr">
        <is>
          <t>10:20:00</t>
        </is>
      </c>
      <c r="I2117" s="4" t="inlineStr">
        <is>
          <t>12:15:00</t>
        </is>
      </c>
      <c r="J2117" s="4" t="inlineStr">
        <is>
          <t>319</t>
        </is>
      </c>
      <c r="L2117" s="4" t="inlineStr">
        <is>
          <t>01:55:00</t>
        </is>
      </c>
      <c r="M2117" s="5" t="n"/>
      <c r="O2117" s="5" t="n"/>
      <c r="Q2117" s="4">
        <f>B2117</f>
        <v/>
      </c>
      <c r="R2117" s="4">
        <f>C2117</f>
        <v/>
      </c>
      <c r="S2117" s="4">
        <f>D2117</f>
        <v/>
      </c>
      <c r="T2117" s="4">
        <f>E2117&amp;"/"&amp;E2118</f>
        <v/>
      </c>
      <c r="U2117" s="4">
        <f>F2117&amp;"-"&amp;G2117&amp;"-"&amp;F2117</f>
        <v/>
      </c>
      <c r="V2117" s="4">
        <f>IF($M$2117="","",$M$2117)</f>
        <v/>
      </c>
      <c r="W2117" s="4">
        <f>IF($O$2117="","",$O$2117)</f>
        <v/>
      </c>
      <c r="X2117" s="4">
        <f>J2117</f>
        <v/>
      </c>
    </row>
    <row r="2118">
      <c r="B2118" s="4" t="inlineStr">
        <is>
          <t>2418_0</t>
        </is>
      </c>
      <c r="C2118" s="4" t="inlineStr">
        <is>
          <t>28/09/2026</t>
        </is>
      </c>
      <c r="D2118" s="4" t="inlineStr">
        <is>
          <t>lunes</t>
        </is>
      </c>
      <c r="E2118" s="4" t="inlineStr">
        <is>
          <t>2051</t>
        </is>
      </c>
      <c r="F2118" s="4" t="inlineStr">
        <is>
          <t>TBP</t>
        </is>
      </c>
      <c r="G2118" s="4" t="inlineStr">
        <is>
          <t>LIM</t>
        </is>
      </c>
      <c r="H2118" s="4" t="inlineStr">
        <is>
          <t>12:55:00</t>
        </is>
      </c>
      <c r="I2118" s="4" t="inlineStr">
        <is>
          <t>14:35:00</t>
        </is>
      </c>
      <c r="J2118" s="4" t="inlineStr">
        <is>
          <t>319</t>
        </is>
      </c>
      <c r="K2118">
        <f>TEXT(TIMEVALUE(H2118)-TIMEVALUE(I2117)+(TIMEVALUE(H2118)&lt;TIMEVALUE(I2117)),"[h]:mm")</f>
        <v/>
      </c>
      <c r="L2118" s="4" t="inlineStr">
        <is>
          <t>01:40:00</t>
        </is>
      </c>
      <c r="O2118">
        <f>"LIM-"&amp;G2117&amp;"-LIM   LA "&amp;E2117&amp;" ("&amp;LEFT(H2117,5)&amp;"-"&amp;LEFT(I2117,5)&amp;" hrs)  /  LA "&amp;E2118&amp;" ("&amp;LEFT(H2118,5)&amp;"-"&amp;LEFT(I2118,5)&amp;" hrs)"</f>
        <v/>
      </c>
    </row>
    <row r="2119">
      <c r="B2119" s="4" t="inlineStr">
        <is>
          <t>11_1</t>
        </is>
      </c>
      <c r="C2119" s="4" t="inlineStr">
        <is>
          <t>28/09/2026</t>
        </is>
      </c>
      <c r="D2119" s="4" t="inlineStr">
        <is>
          <t>lunes</t>
        </is>
      </c>
      <c r="E2119" s="4" t="inlineStr">
        <is>
          <t>2312</t>
        </is>
      </c>
      <c r="F2119" s="4" t="inlineStr">
        <is>
          <t>LIM</t>
        </is>
      </c>
      <c r="G2119" s="4" t="inlineStr">
        <is>
          <t>CIX</t>
        </is>
      </c>
      <c r="H2119" s="4" t="inlineStr">
        <is>
          <t>15:35:00</t>
        </is>
      </c>
      <c r="I2119" s="4" t="inlineStr">
        <is>
          <t>17:05:00</t>
        </is>
      </c>
      <c r="J2119" s="4" t="inlineStr">
        <is>
          <t>320</t>
        </is>
      </c>
      <c r="K2119" s="6">
        <f>TEXT(TIMEVALUE(H2119)-TIMEVALUE(I2118)+(TIMEVALUE(H2119)&lt;TIMEVALUE(I2118)),"[h]:mm")</f>
        <v/>
      </c>
      <c r="L2119" s="4" t="inlineStr">
        <is>
          <t>01:30:00</t>
        </is>
      </c>
      <c r="M2119">
        <f>IF($M$2117="","",$M$2117)</f>
        <v/>
      </c>
      <c r="O2119">
        <f>IF($O$2117="","",$O$2117)</f>
        <v/>
      </c>
      <c r="Q2119" s="4">
        <f>B2119</f>
        <v/>
      </c>
      <c r="R2119" s="4">
        <f>C2119</f>
        <v/>
      </c>
      <c r="S2119" s="4">
        <f>D2119</f>
        <v/>
      </c>
      <c r="T2119" s="4">
        <f>E2119&amp;"/"&amp;E2120</f>
        <v/>
      </c>
      <c r="U2119" s="4">
        <f>F2119&amp;"-"&amp;G2119&amp;"-"&amp;F2119</f>
        <v/>
      </c>
      <c r="V2119" s="4">
        <f>IF($M$2117="","",$M$2117)</f>
        <v/>
      </c>
      <c r="W2119" s="4">
        <f>IF($O$2117="","",$O$2117)</f>
        <v/>
      </c>
      <c r="X2119" s="4">
        <f>J2119</f>
        <v/>
      </c>
    </row>
    <row r="2120">
      <c r="B2120" s="4" t="inlineStr">
        <is>
          <t>11_1</t>
        </is>
      </c>
      <c r="C2120" s="4" t="inlineStr">
        <is>
          <t>28/09/2026</t>
        </is>
      </c>
      <c r="D2120" s="4" t="inlineStr">
        <is>
          <t>lunes</t>
        </is>
      </c>
      <c r="E2120" s="4" t="inlineStr">
        <is>
          <t>2313</t>
        </is>
      </c>
      <c r="F2120" s="4" t="inlineStr">
        <is>
          <t>CIX</t>
        </is>
      </c>
      <c r="G2120" s="4" t="inlineStr">
        <is>
          <t>LIM</t>
        </is>
      </c>
      <c r="H2120" s="4" t="inlineStr">
        <is>
          <t>17:50:00</t>
        </is>
      </c>
      <c r="I2120" s="4" t="inlineStr">
        <is>
          <t>19:10:00</t>
        </is>
      </c>
      <c r="J2120" s="4" t="inlineStr">
        <is>
          <t>320</t>
        </is>
      </c>
      <c r="K2120">
        <f>TEXT(TIMEVALUE(H2120)-TIMEVALUE(I2119)+(TIMEVALUE(H2120)&lt;TIMEVALUE(I2119)),"[h]:mm")</f>
        <v/>
      </c>
      <c r="L2120" s="4" t="inlineStr">
        <is>
          <t>01:20:00</t>
        </is>
      </c>
      <c r="O2120">
        <f>"LIM-"&amp;G2119&amp;"-LIM   LA "&amp;E2119&amp;" ("&amp;LEFT(H2119,5)&amp;"-"&amp;LEFT(I2119,5)&amp;" hrs)  /  LA "&amp;E2120&amp;" ("&amp;LEFT(H2120,5)&amp;"-"&amp;LEFT(I2120,5)&amp;" hrs)"</f>
        <v/>
      </c>
    </row>
    <row r="2121">
      <c r="J2121" s="7" t="inlineStr">
        <is>
          <t>PSV total:</t>
        </is>
      </c>
      <c r="K2121" s="8">
        <f>TEXT(TIMEVALUE(I2120)-TIMEVALUE(H2117)+(I2120&lt;H2117),"[h]:mm")</f>
        <v/>
      </c>
    </row>
    <row r="2123">
      <c r="B2123" s="3" t="inlineStr">
        <is>
          <t>Pairing ID</t>
        </is>
      </c>
      <c r="C2123" s="3" t="inlineStr">
        <is>
          <t>FECHA REAL</t>
        </is>
      </c>
      <c r="D2123" s="3" t="inlineStr">
        <is>
          <t>Day of Week</t>
        </is>
      </c>
      <c r="E2123" s="3" t="inlineStr">
        <is>
          <t>Flight No</t>
        </is>
      </c>
      <c r="F2123" s="3" t="inlineStr">
        <is>
          <t>Dep Stn</t>
        </is>
      </c>
      <c r="G2123" s="3" t="inlineStr">
        <is>
          <t>Arr Stn</t>
        </is>
      </c>
      <c r="H2123" s="3" t="inlineStr">
        <is>
          <t>STD</t>
        </is>
      </c>
      <c r="I2123" s="3" t="inlineStr">
        <is>
          <t>STA</t>
        </is>
      </c>
      <c r="J2123" s="3" t="inlineStr">
        <is>
          <t>subflota</t>
        </is>
      </c>
      <c r="K2123" s="3" t="inlineStr">
        <is>
          <t>Conexion</t>
        </is>
      </c>
      <c r="L2123" s="3" t="inlineStr">
        <is>
          <t>HBT</t>
        </is>
      </c>
    </row>
    <row r="2124">
      <c r="B2124" s="4" t="inlineStr">
        <is>
          <t>2421_0</t>
        </is>
      </c>
      <c r="C2124" s="4" t="inlineStr">
        <is>
          <t>28/09/2026</t>
        </is>
      </c>
      <c r="D2124" s="4" t="inlineStr">
        <is>
          <t>lunes</t>
        </is>
      </c>
      <c r="E2124" s="4" t="inlineStr">
        <is>
          <t>2316</t>
        </is>
      </c>
      <c r="F2124" s="4" t="inlineStr">
        <is>
          <t>LIM</t>
        </is>
      </c>
      <c r="G2124" s="4" t="inlineStr">
        <is>
          <t>PIU</t>
        </is>
      </c>
      <c r="H2124" s="4" t="inlineStr">
        <is>
          <t>11:40:00</t>
        </is>
      </c>
      <c r="I2124" s="4" t="inlineStr">
        <is>
          <t>13:25:00</t>
        </is>
      </c>
      <c r="J2124" s="4" t="inlineStr">
        <is>
          <t>320</t>
        </is>
      </c>
      <c r="L2124" s="4" t="inlineStr">
        <is>
          <t>01:45:00</t>
        </is>
      </c>
      <c r="M2124" s="5" t="n"/>
      <c r="O2124" s="5" t="n"/>
      <c r="Q2124" s="4">
        <f>B2124</f>
        <v/>
      </c>
      <c r="R2124" s="4">
        <f>C2124</f>
        <v/>
      </c>
      <c r="S2124" s="4">
        <f>D2124</f>
        <v/>
      </c>
      <c r="T2124" s="4">
        <f>E2124&amp;"/"&amp;E2125</f>
        <v/>
      </c>
      <c r="U2124" s="4">
        <f>F2124&amp;"-"&amp;G2124&amp;"-"&amp;F2124</f>
        <v/>
      </c>
      <c r="V2124" s="4">
        <f>IF($M$2124="","",$M$2124)</f>
        <v/>
      </c>
      <c r="W2124" s="4">
        <f>IF($O$2124="","",$O$2124)</f>
        <v/>
      </c>
      <c r="X2124" s="4">
        <f>J2124</f>
        <v/>
      </c>
    </row>
    <row r="2125">
      <c r="B2125" s="4" t="inlineStr">
        <is>
          <t>2421_0</t>
        </is>
      </c>
      <c r="C2125" s="4" t="inlineStr">
        <is>
          <t>28/09/2026</t>
        </is>
      </c>
      <c r="D2125" s="4" t="inlineStr">
        <is>
          <t>lunes</t>
        </is>
      </c>
      <c r="E2125" s="4" t="inlineStr">
        <is>
          <t>2317</t>
        </is>
      </c>
      <c r="F2125" s="4" t="inlineStr">
        <is>
          <t>PIU</t>
        </is>
      </c>
      <c r="G2125" s="4" t="inlineStr">
        <is>
          <t>LIM</t>
        </is>
      </c>
      <c r="H2125" s="4" t="inlineStr">
        <is>
          <t>14:05:00</t>
        </is>
      </c>
      <c r="I2125" s="4" t="inlineStr">
        <is>
          <t>15:40:00</t>
        </is>
      </c>
      <c r="J2125" s="4" t="inlineStr">
        <is>
          <t>320</t>
        </is>
      </c>
      <c r="K2125">
        <f>TEXT(TIMEVALUE(H2125)-TIMEVALUE(I2124)+(TIMEVALUE(H2125)&lt;TIMEVALUE(I2124)),"[h]:mm")</f>
        <v/>
      </c>
      <c r="L2125" s="4" t="inlineStr">
        <is>
          <t>01:35:00</t>
        </is>
      </c>
      <c r="O2125">
        <f>"LIM-"&amp;G2124&amp;"-LIM   LA "&amp;E2124&amp;" ("&amp;LEFT(H2124,5)&amp;"-"&amp;LEFT(I2124,5)&amp;" hrs)  /  LA "&amp;E2125&amp;" ("&amp;LEFT(H2125,5)&amp;"-"&amp;LEFT(I2125,5)&amp;" hrs)"</f>
        <v/>
      </c>
    </row>
    <row r="2126">
      <c r="B2126" s="4" t="inlineStr">
        <is>
          <t>2449_0</t>
        </is>
      </c>
      <c r="C2126" s="4" t="inlineStr">
        <is>
          <t>28/09/2026</t>
        </is>
      </c>
      <c r="D2126" s="4" t="inlineStr">
        <is>
          <t>lunes</t>
        </is>
      </c>
      <c r="E2126" s="4" t="inlineStr">
        <is>
          <t>2276</t>
        </is>
      </c>
      <c r="F2126" s="4" t="inlineStr">
        <is>
          <t>LIM</t>
        </is>
      </c>
      <c r="G2126" s="4" t="inlineStr">
        <is>
          <t>CUZ</t>
        </is>
      </c>
      <c r="H2126" s="4" t="inlineStr">
        <is>
          <t>16:35:00</t>
        </is>
      </c>
      <c r="I2126" s="4" t="inlineStr">
        <is>
          <t>17:55:00</t>
        </is>
      </c>
      <c r="J2126" s="4" t="inlineStr">
        <is>
          <t>320</t>
        </is>
      </c>
      <c r="K2126" s="6">
        <f>TEXT(TIMEVALUE(H2126)-TIMEVALUE(I2125)+(TIMEVALUE(H2126)&lt;TIMEVALUE(I2125)),"[h]:mm")</f>
        <v/>
      </c>
      <c r="L2126" s="4" t="inlineStr">
        <is>
          <t>01:20:00</t>
        </is>
      </c>
      <c r="M2126">
        <f>IF($M$2124="","",$M$2124)</f>
        <v/>
      </c>
      <c r="O2126">
        <f>IF($O$2124="","",$O$2124)</f>
        <v/>
      </c>
      <c r="Q2126" s="4">
        <f>B2126</f>
        <v/>
      </c>
      <c r="R2126" s="4">
        <f>C2126</f>
        <v/>
      </c>
      <c r="S2126" s="4">
        <f>D2126</f>
        <v/>
      </c>
      <c r="T2126" s="4">
        <f>E2126&amp;"/"&amp;E2127</f>
        <v/>
      </c>
      <c r="U2126" s="4">
        <f>F2126&amp;"-"&amp;G2126&amp;"-"&amp;F2126</f>
        <v/>
      </c>
      <c r="V2126" s="4">
        <f>IF($M$2124="","",$M$2124)</f>
        <v/>
      </c>
      <c r="W2126" s="4">
        <f>IF($O$2124="","",$O$2124)</f>
        <v/>
      </c>
      <c r="X2126" s="4">
        <f>J2126</f>
        <v/>
      </c>
    </row>
    <row r="2127">
      <c r="B2127" s="4" t="inlineStr">
        <is>
          <t>2449_0</t>
        </is>
      </c>
      <c r="C2127" s="4" t="inlineStr">
        <is>
          <t>28/09/2026</t>
        </is>
      </c>
      <c r="D2127" s="4" t="inlineStr">
        <is>
          <t>lunes</t>
        </is>
      </c>
      <c r="E2127" s="4" t="inlineStr">
        <is>
          <t>2277</t>
        </is>
      </c>
      <c r="F2127" s="4" t="inlineStr">
        <is>
          <t>CUZ</t>
        </is>
      </c>
      <c r="G2127" s="4" t="inlineStr">
        <is>
          <t>LIM</t>
        </is>
      </c>
      <c r="H2127" s="4" t="inlineStr">
        <is>
          <t>18:50:00</t>
        </is>
      </c>
      <c r="I2127" s="4" t="inlineStr">
        <is>
          <t>20:25:00</t>
        </is>
      </c>
      <c r="J2127" s="4" t="inlineStr">
        <is>
          <t>320</t>
        </is>
      </c>
      <c r="K2127">
        <f>TEXT(TIMEVALUE(H2127)-TIMEVALUE(I2126)+(TIMEVALUE(H2127)&lt;TIMEVALUE(I2126)),"[h]:mm")</f>
        <v/>
      </c>
      <c r="L2127" s="4" t="inlineStr">
        <is>
          <t>01:35:00</t>
        </is>
      </c>
      <c r="O2127">
        <f>"LIM-"&amp;G2126&amp;"-LIM   LA "&amp;E2126&amp;" ("&amp;LEFT(H2126,5)&amp;"-"&amp;LEFT(I2126,5)&amp;" hrs)  /  LA "&amp;E2127&amp;" ("&amp;LEFT(H2127,5)&amp;"-"&amp;LEFT(I2127,5)&amp;" hrs)"</f>
        <v/>
      </c>
    </row>
    <row r="2128">
      <c r="J2128" s="7" t="inlineStr">
        <is>
          <t>PSV total:</t>
        </is>
      </c>
      <c r="K2128" s="8">
        <f>TEXT(TIMEVALUE(I2127)-TIMEVALUE(H2124)+(I2127&lt;H2124),"[h]:mm")</f>
        <v/>
      </c>
    </row>
    <row r="2130">
      <c r="B2130" s="3" t="inlineStr">
        <is>
          <t>Pairing ID</t>
        </is>
      </c>
      <c r="C2130" s="3" t="inlineStr">
        <is>
          <t>FECHA REAL</t>
        </is>
      </c>
      <c r="D2130" s="3" t="inlineStr">
        <is>
          <t>Day of Week</t>
        </is>
      </c>
      <c r="E2130" s="3" t="inlineStr">
        <is>
          <t>Flight No</t>
        </is>
      </c>
      <c r="F2130" s="3" t="inlineStr">
        <is>
          <t>Dep Stn</t>
        </is>
      </c>
      <c r="G2130" s="3" t="inlineStr">
        <is>
          <t>Arr Stn</t>
        </is>
      </c>
      <c r="H2130" s="3" t="inlineStr">
        <is>
          <t>STD</t>
        </is>
      </c>
      <c r="I2130" s="3" t="inlineStr">
        <is>
          <t>STA</t>
        </is>
      </c>
      <c r="J2130" s="3" t="inlineStr">
        <is>
          <t>subflota</t>
        </is>
      </c>
      <c r="K2130" s="3" t="inlineStr">
        <is>
          <t>Conexion</t>
        </is>
      </c>
      <c r="L2130" s="3" t="inlineStr">
        <is>
          <t>HBT</t>
        </is>
      </c>
    </row>
    <row r="2131">
      <c r="B2131" s="4" t="inlineStr">
        <is>
          <t>2423_0</t>
        </is>
      </c>
      <c r="C2131" s="4" t="inlineStr">
        <is>
          <t>28/09/2026</t>
        </is>
      </c>
      <c r="D2131" s="4" t="inlineStr">
        <is>
          <t>lunes</t>
        </is>
      </c>
      <c r="E2131" s="4" t="inlineStr">
        <is>
          <t>2061</t>
        </is>
      </c>
      <c r="F2131" s="4" t="inlineStr">
        <is>
          <t>LIM</t>
        </is>
      </c>
      <c r="G2131" s="4" t="inlineStr">
        <is>
          <t>CUZ</t>
        </is>
      </c>
      <c r="H2131" s="4" t="inlineStr">
        <is>
          <t>11:40:00</t>
        </is>
      </c>
      <c r="I2131" s="4" t="inlineStr">
        <is>
          <t>13:00:00</t>
        </is>
      </c>
      <c r="J2131" s="4" t="inlineStr">
        <is>
          <t>320</t>
        </is>
      </c>
      <c r="L2131" s="4" t="inlineStr">
        <is>
          <t>01:20:00</t>
        </is>
      </c>
      <c r="M2131" s="5" t="n"/>
      <c r="O2131" s="5" t="n"/>
      <c r="Q2131" s="4">
        <f>B2131</f>
        <v/>
      </c>
      <c r="R2131" s="4">
        <f>C2131</f>
        <v/>
      </c>
      <c r="S2131" s="4">
        <f>D2131</f>
        <v/>
      </c>
      <c r="T2131" s="4">
        <f>E2131&amp;"/"&amp;E2132</f>
        <v/>
      </c>
      <c r="U2131" s="4">
        <f>F2131&amp;"-"&amp;G2131&amp;"-"&amp;F2131</f>
        <v/>
      </c>
      <c r="V2131" s="4">
        <f>IF($M$2131="","",$M$2131)</f>
        <v/>
      </c>
      <c r="W2131" s="4">
        <f>IF($O$2131="","",$O$2131)</f>
        <v/>
      </c>
      <c r="X2131" s="4">
        <f>J2131</f>
        <v/>
      </c>
    </row>
    <row r="2132">
      <c r="B2132" s="4" t="inlineStr">
        <is>
          <t>2423_0</t>
        </is>
      </c>
      <c r="C2132" s="4" t="inlineStr">
        <is>
          <t>28/09/2026</t>
        </is>
      </c>
      <c r="D2132" s="4" t="inlineStr">
        <is>
          <t>lunes</t>
        </is>
      </c>
      <c r="E2132" s="4" t="inlineStr">
        <is>
          <t>2062</t>
        </is>
      </c>
      <c r="F2132" s="4" t="inlineStr">
        <is>
          <t>CUZ</t>
        </is>
      </c>
      <c r="G2132" s="4" t="inlineStr">
        <is>
          <t>LIM</t>
        </is>
      </c>
      <c r="H2132" s="4" t="inlineStr">
        <is>
          <t>13:40:00</t>
        </is>
      </c>
      <c r="I2132" s="4" t="inlineStr">
        <is>
          <t>15:15:00</t>
        </is>
      </c>
      <c r="J2132" s="4" t="inlineStr">
        <is>
          <t>320</t>
        </is>
      </c>
      <c r="K2132">
        <f>TEXT(TIMEVALUE(H2132)-TIMEVALUE(I2131)+(TIMEVALUE(H2132)&lt;TIMEVALUE(I2131)),"[h]:mm")</f>
        <v/>
      </c>
      <c r="L2132" s="4" t="inlineStr">
        <is>
          <t>01:35:00</t>
        </is>
      </c>
      <c r="O2132">
        <f>"LIM-"&amp;G2131&amp;"-LIM   LA "&amp;E2131&amp;" ("&amp;LEFT(H2131,5)&amp;"-"&amp;LEFT(I2131,5)&amp;" hrs)  /  LA "&amp;E2132&amp;" ("&amp;LEFT(H2132,5)&amp;"-"&amp;LEFT(I2132,5)&amp;" hrs)"</f>
        <v/>
      </c>
    </row>
    <row r="2133">
      <c r="B2133" s="4" t="inlineStr">
        <is>
          <t>2448_0</t>
        </is>
      </c>
      <c r="C2133" s="4" t="inlineStr">
        <is>
          <t>28/09/2026</t>
        </is>
      </c>
      <c r="D2133" s="4" t="inlineStr">
        <is>
          <t>lunes</t>
        </is>
      </c>
      <c r="E2133" s="4" t="inlineStr">
        <is>
          <t>2053</t>
        </is>
      </c>
      <c r="F2133" s="4" t="inlineStr">
        <is>
          <t>LIM</t>
        </is>
      </c>
      <c r="G2133" s="4" t="inlineStr">
        <is>
          <t>TBP</t>
        </is>
      </c>
      <c r="H2133" s="4" t="inlineStr">
        <is>
          <t>16:20:00</t>
        </is>
      </c>
      <c r="I2133" s="4" t="inlineStr">
        <is>
          <t>18:10:00</t>
        </is>
      </c>
      <c r="J2133" s="4" t="inlineStr">
        <is>
          <t>320</t>
        </is>
      </c>
      <c r="K2133" s="6">
        <f>TEXT(TIMEVALUE(H2133)-TIMEVALUE(I2132)+(TIMEVALUE(H2133)&lt;TIMEVALUE(I2132)),"[h]:mm")</f>
        <v/>
      </c>
      <c r="L2133" s="4" t="inlineStr">
        <is>
          <t>01:50:00</t>
        </is>
      </c>
      <c r="M2133">
        <f>IF($M$2131="","",$M$2131)</f>
        <v/>
      </c>
      <c r="O2133">
        <f>IF($O$2131="","",$O$2131)</f>
        <v/>
      </c>
      <c r="Q2133" s="4">
        <f>B2133</f>
        <v/>
      </c>
      <c r="R2133" s="4">
        <f>C2133</f>
        <v/>
      </c>
      <c r="S2133" s="4">
        <f>D2133</f>
        <v/>
      </c>
      <c r="T2133" s="4">
        <f>E2133&amp;"/"&amp;E2134</f>
        <v/>
      </c>
      <c r="U2133" s="4">
        <f>F2133&amp;"-"&amp;G2133&amp;"-"&amp;F2133</f>
        <v/>
      </c>
      <c r="V2133" s="4">
        <f>IF($M$2131="","",$M$2131)</f>
        <v/>
      </c>
      <c r="W2133" s="4">
        <f>IF($O$2131="","",$O$2131)</f>
        <v/>
      </c>
      <c r="X2133" s="4">
        <f>J2133</f>
        <v/>
      </c>
    </row>
    <row r="2134">
      <c r="B2134" s="4" t="inlineStr">
        <is>
          <t>2448_0</t>
        </is>
      </c>
      <c r="C2134" s="4" t="inlineStr">
        <is>
          <t>28/09/2026</t>
        </is>
      </c>
      <c r="D2134" s="4" t="inlineStr">
        <is>
          <t>lunes</t>
        </is>
      </c>
      <c r="E2134" s="4" t="inlineStr">
        <is>
          <t>2054</t>
        </is>
      </c>
      <c r="F2134" s="4" t="inlineStr">
        <is>
          <t>TBP</t>
        </is>
      </c>
      <c r="G2134" s="4" t="inlineStr">
        <is>
          <t>LIM</t>
        </is>
      </c>
      <c r="H2134" s="4" t="inlineStr">
        <is>
          <t>18:50:00</t>
        </is>
      </c>
      <c r="I2134" s="4" t="inlineStr">
        <is>
          <t>20:30:00</t>
        </is>
      </c>
      <c r="J2134" s="4" t="inlineStr">
        <is>
          <t>320</t>
        </is>
      </c>
      <c r="K2134">
        <f>TEXT(TIMEVALUE(H2134)-TIMEVALUE(I2133)+(TIMEVALUE(H2134)&lt;TIMEVALUE(I2133)),"[h]:mm")</f>
        <v/>
      </c>
      <c r="L2134" s="4" t="inlineStr">
        <is>
          <t>01:40:00</t>
        </is>
      </c>
      <c r="O2134">
        <f>"LIM-"&amp;G2133&amp;"-LIM   LA "&amp;E2133&amp;" ("&amp;LEFT(H2133,5)&amp;"-"&amp;LEFT(I2133,5)&amp;" hrs)  /  LA "&amp;E2134&amp;" ("&amp;LEFT(H2134,5)&amp;"-"&amp;LEFT(I2134,5)&amp;" hrs)"</f>
        <v/>
      </c>
    </row>
    <row r="2135">
      <c r="J2135" s="7" t="inlineStr">
        <is>
          <t>PSV total:</t>
        </is>
      </c>
      <c r="K2135" s="8">
        <f>TEXT(TIMEVALUE(I2134)-TIMEVALUE(H2131)+(I2134&lt;H2131),"[h]:mm")</f>
        <v/>
      </c>
    </row>
    <row r="2137">
      <c r="B2137" s="3" t="inlineStr">
        <is>
          <t>Pairing ID</t>
        </is>
      </c>
      <c r="C2137" s="3" t="inlineStr">
        <is>
          <t>FECHA REAL</t>
        </is>
      </c>
      <c r="D2137" s="3" t="inlineStr">
        <is>
          <t>Day of Week</t>
        </is>
      </c>
      <c r="E2137" s="3" t="inlineStr">
        <is>
          <t>Flight No</t>
        </is>
      </c>
      <c r="F2137" s="3" t="inlineStr">
        <is>
          <t>Dep Stn</t>
        </is>
      </c>
      <c r="G2137" s="3" t="inlineStr">
        <is>
          <t>Arr Stn</t>
        </is>
      </c>
      <c r="H2137" s="3" t="inlineStr">
        <is>
          <t>STD</t>
        </is>
      </c>
      <c r="I2137" s="3" t="inlineStr">
        <is>
          <t>STA</t>
        </is>
      </c>
      <c r="J2137" s="3" t="inlineStr">
        <is>
          <t>subflota</t>
        </is>
      </c>
      <c r="K2137" s="3" t="inlineStr">
        <is>
          <t>Conexion</t>
        </is>
      </c>
      <c r="L2137" s="3" t="inlineStr">
        <is>
          <t>HBT</t>
        </is>
      </c>
    </row>
    <row r="2138">
      <c r="B2138" s="4" t="inlineStr">
        <is>
          <t>2429_0</t>
        </is>
      </c>
      <c r="C2138" s="4" t="inlineStr">
        <is>
          <t>28/09/2026</t>
        </is>
      </c>
      <c r="D2138" s="4" t="inlineStr">
        <is>
          <t>lunes</t>
        </is>
      </c>
      <c r="E2138" s="4" t="inlineStr">
        <is>
          <t>2270</t>
        </is>
      </c>
      <c r="F2138" s="4" t="inlineStr">
        <is>
          <t>LIM</t>
        </is>
      </c>
      <c r="G2138" s="4" t="inlineStr">
        <is>
          <t>CIX</t>
        </is>
      </c>
      <c r="H2138" s="4" t="inlineStr">
        <is>
          <t>13:00:00</t>
        </is>
      </c>
      <c r="I2138" s="4" t="inlineStr">
        <is>
          <t>14:30:00</t>
        </is>
      </c>
      <c r="J2138" s="4" t="inlineStr">
        <is>
          <t>319</t>
        </is>
      </c>
      <c r="L2138" s="4" t="inlineStr">
        <is>
          <t>01:30:00</t>
        </is>
      </c>
      <c r="M2138" s="5" t="n"/>
      <c r="O2138" s="5" t="n"/>
      <c r="Q2138" s="4">
        <f>B2138</f>
        <v/>
      </c>
      <c r="R2138" s="4">
        <f>C2138</f>
        <v/>
      </c>
      <c r="S2138" s="4">
        <f>D2138</f>
        <v/>
      </c>
      <c r="T2138" s="4">
        <f>E2138&amp;"/"&amp;E2139</f>
        <v/>
      </c>
      <c r="U2138" s="4">
        <f>F2138&amp;"-"&amp;G2138&amp;"-"&amp;F2138</f>
        <v/>
      </c>
      <c r="V2138" s="4">
        <f>IF($M$2138="","",$M$2138)</f>
        <v/>
      </c>
      <c r="W2138" s="4">
        <f>IF($O$2138="","",$O$2138)</f>
        <v/>
      </c>
      <c r="X2138" s="4">
        <f>J2138</f>
        <v/>
      </c>
    </row>
    <row r="2139">
      <c r="B2139" s="4" t="inlineStr">
        <is>
          <t>2429_0</t>
        </is>
      </c>
      <c r="C2139" s="4" t="inlineStr">
        <is>
          <t>28/09/2026</t>
        </is>
      </c>
      <c r="D2139" s="4" t="inlineStr">
        <is>
          <t>lunes</t>
        </is>
      </c>
      <c r="E2139" s="4" t="inlineStr">
        <is>
          <t>2271</t>
        </is>
      </c>
      <c r="F2139" s="4" t="inlineStr">
        <is>
          <t>CIX</t>
        </is>
      </c>
      <c r="G2139" s="4" t="inlineStr">
        <is>
          <t>LIM</t>
        </is>
      </c>
      <c r="H2139" s="4" t="inlineStr">
        <is>
          <t>15:05:00</t>
        </is>
      </c>
      <c r="I2139" s="4" t="inlineStr">
        <is>
          <t>16:20:00</t>
        </is>
      </c>
      <c r="J2139" s="4" t="inlineStr">
        <is>
          <t>319</t>
        </is>
      </c>
      <c r="K2139">
        <f>TEXT(TIMEVALUE(H2139)-TIMEVALUE(I2138)+(TIMEVALUE(H2139)&lt;TIMEVALUE(I2138)),"[h]:mm")</f>
        <v/>
      </c>
      <c r="L2139" s="4" t="inlineStr">
        <is>
          <t>01:15:00</t>
        </is>
      </c>
      <c r="O2139">
        <f>"LIM-"&amp;G2138&amp;"-LIM   LA "&amp;E2138&amp;" ("&amp;LEFT(H2138,5)&amp;"-"&amp;LEFT(I2138,5)&amp;" hrs)  /  LA "&amp;E2139&amp;" ("&amp;LEFT(H2139,5)&amp;"-"&amp;LEFT(I2139,5)&amp;" hrs)"</f>
        <v/>
      </c>
    </row>
    <row r="2140">
      <c r="J2140" s="7" t="inlineStr">
        <is>
          <t>PSV total:</t>
        </is>
      </c>
      <c r="K2140" s="8">
        <f>TEXT(TIMEVALUE(I2139)-TIMEVALUE(H2138)+(I2139&lt;H2138),"[h]:mm")</f>
        <v/>
      </c>
    </row>
    <row r="2142">
      <c r="B2142" s="3" t="inlineStr">
        <is>
          <t>Pairing ID</t>
        </is>
      </c>
      <c r="C2142" s="3" t="inlineStr">
        <is>
          <t>FECHA REAL</t>
        </is>
      </c>
      <c r="D2142" s="3" t="inlineStr">
        <is>
          <t>Day of Week</t>
        </is>
      </c>
      <c r="E2142" s="3" t="inlineStr">
        <is>
          <t>Flight No</t>
        </is>
      </c>
      <c r="F2142" s="3" t="inlineStr">
        <is>
          <t>Dep Stn</t>
        </is>
      </c>
      <c r="G2142" s="3" t="inlineStr">
        <is>
          <t>Arr Stn</t>
        </is>
      </c>
      <c r="H2142" s="3" t="inlineStr">
        <is>
          <t>STD</t>
        </is>
      </c>
      <c r="I2142" s="3" t="inlineStr">
        <is>
          <t>STA</t>
        </is>
      </c>
      <c r="J2142" s="3" t="inlineStr">
        <is>
          <t>subflota</t>
        </is>
      </c>
      <c r="K2142" s="3" t="inlineStr">
        <is>
          <t>Conexion</t>
        </is>
      </c>
      <c r="L2142" s="3" t="inlineStr">
        <is>
          <t>HBT</t>
        </is>
      </c>
    </row>
    <row r="2143">
      <c r="B2143" s="4" t="inlineStr">
        <is>
          <t>2432_0</t>
        </is>
      </c>
      <c r="C2143" s="4" t="inlineStr">
        <is>
          <t>28/09/2026</t>
        </is>
      </c>
      <c r="D2143" s="4" t="inlineStr">
        <is>
          <t>lunes</t>
        </is>
      </c>
      <c r="E2143" s="4" t="inlineStr">
        <is>
          <t>2067</t>
        </is>
      </c>
      <c r="F2143" s="4" t="inlineStr">
        <is>
          <t>LIM</t>
        </is>
      </c>
      <c r="G2143" s="4" t="inlineStr">
        <is>
          <t>TCQ</t>
        </is>
      </c>
      <c r="H2143" s="4" t="inlineStr">
        <is>
          <t>13:45:00</t>
        </is>
      </c>
      <c r="I2143" s="4" t="inlineStr">
        <is>
          <t>15:35:00</t>
        </is>
      </c>
      <c r="J2143" s="4" t="inlineStr">
        <is>
          <t>320</t>
        </is>
      </c>
      <c r="L2143" s="4" t="inlineStr">
        <is>
          <t>01:50:00</t>
        </is>
      </c>
      <c r="M2143" s="5" t="n"/>
      <c r="O2143" s="5" t="n"/>
      <c r="Q2143" s="4">
        <f>B2143</f>
        <v/>
      </c>
      <c r="R2143" s="4">
        <f>C2143</f>
        <v/>
      </c>
      <c r="S2143" s="4">
        <f>D2143</f>
        <v/>
      </c>
      <c r="T2143" s="4">
        <f>E2143&amp;"/"&amp;E2144</f>
        <v/>
      </c>
      <c r="U2143" s="4">
        <f>F2143&amp;"-"&amp;G2143&amp;"-"&amp;F2143</f>
        <v/>
      </c>
      <c r="V2143" s="4">
        <f>IF($M$2143="","",$M$2143)</f>
        <v/>
      </c>
      <c r="W2143" s="4">
        <f>IF($O$2143="","",$O$2143)</f>
        <v/>
      </c>
      <c r="X2143" s="4">
        <f>J2143</f>
        <v/>
      </c>
    </row>
    <row r="2144">
      <c r="B2144" s="4" t="inlineStr">
        <is>
          <t>2432_0</t>
        </is>
      </c>
      <c r="C2144" s="4" t="inlineStr">
        <is>
          <t>28/09/2026</t>
        </is>
      </c>
      <c r="D2144" s="4" t="inlineStr">
        <is>
          <t>lunes</t>
        </is>
      </c>
      <c r="E2144" s="4" t="inlineStr">
        <is>
          <t>2068</t>
        </is>
      </c>
      <c r="F2144" s="4" t="inlineStr">
        <is>
          <t>TCQ</t>
        </is>
      </c>
      <c r="G2144" s="4" t="inlineStr">
        <is>
          <t>LIM</t>
        </is>
      </c>
      <c r="H2144" s="4" t="inlineStr">
        <is>
          <t>16:20:00</t>
        </is>
      </c>
      <c r="I2144" s="4" t="inlineStr">
        <is>
          <t>18:15:00</t>
        </is>
      </c>
      <c r="J2144" s="4" t="inlineStr">
        <is>
          <t>320</t>
        </is>
      </c>
      <c r="K2144">
        <f>TEXT(TIMEVALUE(H2144)-TIMEVALUE(I2143)+(TIMEVALUE(H2144)&lt;TIMEVALUE(I2143)),"[h]:mm")</f>
        <v/>
      </c>
      <c r="L2144" s="4" t="inlineStr">
        <is>
          <t>01:55:00</t>
        </is>
      </c>
      <c r="O2144">
        <f>"LIM-"&amp;G2143&amp;"-LIM   LA "&amp;E2143&amp;" ("&amp;LEFT(H2143,5)&amp;"-"&amp;LEFT(I2143,5)&amp;" hrs)  /  LA "&amp;E2144&amp;" ("&amp;LEFT(H2144,5)&amp;"-"&amp;LEFT(I2144,5)&amp;" hrs)"</f>
        <v/>
      </c>
    </row>
    <row r="2145">
      <c r="J2145" s="7" t="inlineStr">
        <is>
          <t>PSV total:</t>
        </is>
      </c>
      <c r="K2145" s="8">
        <f>TEXT(TIMEVALUE(I2144)-TIMEVALUE(H2143)+(I2144&lt;H2143),"[h]:mm")</f>
        <v/>
      </c>
    </row>
    <row r="2147">
      <c r="B2147" s="3" t="inlineStr">
        <is>
          <t>Pairing ID</t>
        </is>
      </c>
      <c r="C2147" s="3" t="inlineStr">
        <is>
          <t>FECHA REAL</t>
        </is>
      </c>
      <c r="D2147" s="3" t="inlineStr">
        <is>
          <t>Day of Week</t>
        </is>
      </c>
      <c r="E2147" s="3" t="inlineStr">
        <is>
          <t>Flight No</t>
        </is>
      </c>
      <c r="F2147" s="3" t="inlineStr">
        <is>
          <t>Dep Stn</t>
        </is>
      </c>
      <c r="G2147" s="3" t="inlineStr">
        <is>
          <t>Arr Stn</t>
        </is>
      </c>
      <c r="H2147" s="3" t="inlineStr">
        <is>
          <t>STD</t>
        </is>
      </c>
      <c r="I2147" s="3" t="inlineStr">
        <is>
          <t>STA</t>
        </is>
      </c>
      <c r="J2147" s="3" t="inlineStr">
        <is>
          <t>subflota</t>
        </is>
      </c>
      <c r="K2147" s="3" t="inlineStr">
        <is>
          <t>Conexion</t>
        </is>
      </c>
      <c r="L2147" s="3" t="inlineStr">
        <is>
          <t>HBT</t>
        </is>
      </c>
    </row>
    <row r="2148">
      <c r="B2148" s="4" t="inlineStr">
        <is>
          <t>2435_0</t>
        </is>
      </c>
      <c r="C2148" s="4" t="inlineStr">
        <is>
          <t>28/09/2026</t>
        </is>
      </c>
      <c r="D2148" s="4" t="inlineStr">
        <is>
          <t>lunes</t>
        </is>
      </c>
      <c r="E2148" s="4" t="inlineStr">
        <is>
          <t>2087</t>
        </is>
      </c>
      <c r="F2148" s="4" t="inlineStr">
        <is>
          <t>LIM</t>
        </is>
      </c>
      <c r="G2148" s="4" t="inlineStr">
        <is>
          <t>TPP</t>
        </is>
      </c>
      <c r="H2148" s="4" t="inlineStr">
        <is>
          <t>14:05:00</t>
        </is>
      </c>
      <c r="I2148" s="4" t="inlineStr">
        <is>
          <t>15:30:00</t>
        </is>
      </c>
      <c r="J2148" s="4" t="inlineStr">
        <is>
          <t>320</t>
        </is>
      </c>
      <c r="L2148" s="4" t="inlineStr">
        <is>
          <t>01:25:00</t>
        </is>
      </c>
      <c r="M2148" s="5" t="n"/>
      <c r="O2148" s="5" t="n"/>
      <c r="Q2148" s="4">
        <f>B2148</f>
        <v/>
      </c>
      <c r="R2148" s="4">
        <f>C2148</f>
        <v/>
      </c>
      <c r="S2148" s="4">
        <f>D2148</f>
        <v/>
      </c>
      <c r="T2148" s="4">
        <f>E2148&amp;"/"&amp;E2149</f>
        <v/>
      </c>
      <c r="U2148" s="4">
        <f>F2148&amp;"-"&amp;G2148&amp;"-"&amp;F2148</f>
        <v/>
      </c>
      <c r="V2148" s="4">
        <f>IF($M$2148="","",$M$2148)</f>
        <v/>
      </c>
      <c r="W2148" s="4">
        <f>IF($O$2148="","",$O$2148)</f>
        <v/>
      </c>
      <c r="X2148" s="4">
        <f>J2148</f>
        <v/>
      </c>
    </row>
    <row r="2149">
      <c r="B2149" s="4" t="inlineStr">
        <is>
          <t>2435_0</t>
        </is>
      </c>
      <c r="C2149" s="4" t="inlineStr">
        <is>
          <t>28/09/2026</t>
        </is>
      </c>
      <c r="D2149" s="4" t="inlineStr">
        <is>
          <t>lunes</t>
        </is>
      </c>
      <c r="E2149" s="4" t="inlineStr">
        <is>
          <t>2088</t>
        </is>
      </c>
      <c r="F2149" s="4" t="inlineStr">
        <is>
          <t>TPP</t>
        </is>
      </c>
      <c r="G2149" s="4" t="inlineStr">
        <is>
          <t>LIM</t>
        </is>
      </c>
      <c r="H2149" s="4" t="inlineStr">
        <is>
          <t>16:05:00</t>
        </is>
      </c>
      <c r="I2149" s="4" t="inlineStr">
        <is>
          <t>17:30:00</t>
        </is>
      </c>
      <c r="J2149" s="4" t="inlineStr">
        <is>
          <t>320</t>
        </is>
      </c>
      <c r="K2149">
        <f>TEXT(TIMEVALUE(H2149)-TIMEVALUE(I2148)+(TIMEVALUE(H2149)&lt;TIMEVALUE(I2148)),"[h]:mm")</f>
        <v/>
      </c>
      <c r="L2149" s="4" t="inlineStr">
        <is>
          <t>01:25:00</t>
        </is>
      </c>
      <c r="O2149">
        <f>"LIM-"&amp;G2148&amp;"-LIM   LA "&amp;E2148&amp;" ("&amp;LEFT(H2148,5)&amp;"-"&amp;LEFT(I2148,5)&amp;" hrs)  /  LA "&amp;E2149&amp;" ("&amp;LEFT(H2149,5)&amp;"-"&amp;LEFT(I2149,5)&amp;" hrs)"</f>
        <v/>
      </c>
    </row>
    <row r="2150">
      <c r="J2150" s="7" t="inlineStr">
        <is>
          <t>PSV total:</t>
        </is>
      </c>
      <c r="K2150" s="8">
        <f>TEXT(TIMEVALUE(I2149)-TIMEVALUE(H2148)+(I2149&lt;H2148),"[h]:mm")</f>
        <v/>
      </c>
    </row>
    <row r="2152">
      <c r="B2152" s="3" t="inlineStr">
        <is>
          <t>Pairing ID</t>
        </is>
      </c>
      <c r="C2152" s="3" t="inlineStr">
        <is>
          <t>FECHA REAL</t>
        </is>
      </c>
      <c r="D2152" s="3" t="inlineStr">
        <is>
          <t>Day of Week</t>
        </is>
      </c>
      <c r="E2152" s="3" t="inlineStr">
        <is>
          <t>Flight No</t>
        </is>
      </c>
      <c r="F2152" s="3" t="inlineStr">
        <is>
          <t>Dep Stn</t>
        </is>
      </c>
      <c r="G2152" s="3" t="inlineStr">
        <is>
          <t>Arr Stn</t>
        </is>
      </c>
      <c r="H2152" s="3" t="inlineStr">
        <is>
          <t>STD</t>
        </is>
      </c>
      <c r="I2152" s="3" t="inlineStr">
        <is>
          <t>STA</t>
        </is>
      </c>
      <c r="J2152" s="3" t="inlineStr">
        <is>
          <t>subflota</t>
        </is>
      </c>
      <c r="K2152" s="3" t="inlineStr">
        <is>
          <t>Conexion</t>
        </is>
      </c>
      <c r="L2152" s="3" t="inlineStr">
        <is>
          <t>HBT</t>
        </is>
      </c>
    </row>
    <row r="2153">
      <c r="B2153" s="4" t="inlineStr">
        <is>
          <t>7_1</t>
        </is>
      </c>
      <c r="C2153" s="4" t="inlineStr">
        <is>
          <t>28/09/2026</t>
        </is>
      </c>
      <c r="D2153" s="4" t="inlineStr">
        <is>
          <t>lunes</t>
        </is>
      </c>
      <c r="E2153" s="4" t="inlineStr">
        <is>
          <t>2087</t>
        </is>
      </c>
      <c r="F2153" s="4" t="inlineStr">
        <is>
          <t>LIM</t>
        </is>
      </c>
      <c r="G2153" s="4" t="inlineStr">
        <is>
          <t>TPP</t>
        </is>
      </c>
      <c r="H2153" s="4" t="inlineStr">
        <is>
          <t>14:05:00</t>
        </is>
      </c>
      <c r="I2153" s="4" t="inlineStr">
        <is>
          <t>15:30:00</t>
        </is>
      </c>
      <c r="J2153" s="4" t="inlineStr">
        <is>
          <t>319</t>
        </is>
      </c>
      <c r="L2153" s="4" t="inlineStr">
        <is>
          <t>01:25:00</t>
        </is>
      </c>
      <c r="M2153" s="5" t="n"/>
      <c r="O2153" s="5" t="n"/>
      <c r="Q2153" s="4">
        <f>B2153</f>
        <v/>
      </c>
      <c r="R2153" s="4">
        <f>C2153</f>
        <v/>
      </c>
      <c r="S2153" s="4">
        <f>D2153</f>
        <v/>
      </c>
      <c r="T2153" s="4">
        <f>E2153&amp;"/"&amp;E2154</f>
        <v/>
      </c>
      <c r="U2153" s="4">
        <f>F2153&amp;"-"&amp;G2153&amp;"-"&amp;F2153</f>
        <v/>
      </c>
      <c r="V2153" s="4">
        <f>IF($M$2153="","",$M$2153)</f>
        <v/>
      </c>
      <c r="W2153" s="4">
        <f>IF($O$2153="","",$O$2153)</f>
        <v/>
      </c>
      <c r="X2153" s="4">
        <f>J2153</f>
        <v/>
      </c>
    </row>
    <row r="2154">
      <c r="B2154" s="4" t="inlineStr">
        <is>
          <t>7_1</t>
        </is>
      </c>
      <c r="C2154" s="4" t="inlineStr">
        <is>
          <t>28/09/2026</t>
        </is>
      </c>
      <c r="D2154" s="4" t="inlineStr">
        <is>
          <t>lunes</t>
        </is>
      </c>
      <c r="E2154" s="4" t="inlineStr">
        <is>
          <t>2088</t>
        </is>
      </c>
      <c r="F2154" s="4" t="inlineStr">
        <is>
          <t>TPP</t>
        </is>
      </c>
      <c r="G2154" s="4" t="inlineStr">
        <is>
          <t>LIM</t>
        </is>
      </c>
      <c r="H2154" s="4" t="inlineStr">
        <is>
          <t>16:05:00</t>
        </is>
      </c>
      <c r="I2154" s="4" t="inlineStr">
        <is>
          <t>17:30:00</t>
        </is>
      </c>
      <c r="J2154" s="4" t="inlineStr">
        <is>
          <t>319</t>
        </is>
      </c>
      <c r="K2154">
        <f>TEXT(TIMEVALUE(H2154)-TIMEVALUE(I2153)+(TIMEVALUE(H2154)&lt;TIMEVALUE(I2153)),"[h]:mm")</f>
        <v/>
      </c>
      <c r="L2154" s="4" t="inlineStr">
        <is>
          <t>01:25:00</t>
        </is>
      </c>
      <c r="O2154">
        <f>"LIM-"&amp;G2153&amp;"-LIM   LA "&amp;E2153&amp;" ("&amp;LEFT(H2153,5)&amp;"-"&amp;LEFT(I2153,5)&amp;" hrs)  /  LA "&amp;E2154&amp;" ("&amp;LEFT(H2154,5)&amp;"-"&amp;LEFT(I2154,5)&amp;" hrs)"</f>
        <v/>
      </c>
    </row>
    <row r="2155">
      <c r="J2155" s="7" t="inlineStr">
        <is>
          <t>PSV total:</t>
        </is>
      </c>
      <c r="K2155" s="8">
        <f>TEXT(TIMEVALUE(I2154)-TIMEVALUE(H2153)+(I2154&lt;H2153),"[h]:mm")</f>
        <v/>
      </c>
    </row>
    <row r="2157">
      <c r="B2157" s="3" t="inlineStr">
        <is>
          <t>Pairing ID</t>
        </is>
      </c>
      <c r="C2157" s="3" t="inlineStr">
        <is>
          <t>FECHA REAL</t>
        </is>
      </c>
      <c r="D2157" s="3" t="inlineStr">
        <is>
          <t>Day of Week</t>
        </is>
      </c>
      <c r="E2157" s="3" t="inlineStr">
        <is>
          <t>Flight No</t>
        </is>
      </c>
      <c r="F2157" s="3" t="inlineStr">
        <is>
          <t>Dep Stn</t>
        </is>
      </c>
      <c r="G2157" s="3" t="inlineStr">
        <is>
          <t>Arr Stn</t>
        </is>
      </c>
      <c r="H2157" s="3" t="inlineStr">
        <is>
          <t>STD</t>
        </is>
      </c>
      <c r="I2157" s="3" t="inlineStr">
        <is>
          <t>STA</t>
        </is>
      </c>
      <c r="J2157" s="3" t="inlineStr">
        <is>
          <t>subflota</t>
        </is>
      </c>
      <c r="K2157" s="3" t="inlineStr">
        <is>
          <t>Conexion</t>
        </is>
      </c>
      <c r="L2157" s="3" t="inlineStr">
        <is>
          <t>HBT</t>
        </is>
      </c>
    </row>
    <row r="2158">
      <c r="B2158" s="4" t="inlineStr">
        <is>
          <t>2436_0</t>
        </is>
      </c>
      <c r="C2158" s="4" t="inlineStr">
        <is>
          <t>28/09/2026</t>
        </is>
      </c>
      <c r="D2158" s="4" t="inlineStr">
        <is>
          <t>lunes</t>
        </is>
      </c>
      <c r="E2158" s="4" t="inlineStr">
        <is>
          <t>2087</t>
        </is>
      </c>
      <c r="F2158" s="4" t="inlineStr">
        <is>
          <t>LIM</t>
        </is>
      </c>
      <c r="G2158" s="4" t="inlineStr">
        <is>
          <t>TPP</t>
        </is>
      </c>
      <c r="H2158" s="4" t="inlineStr">
        <is>
          <t>14:05:00</t>
        </is>
      </c>
      <c r="I2158" s="4" t="inlineStr">
        <is>
          <t>15:30:00</t>
        </is>
      </c>
      <c r="J2158" s="4" t="inlineStr">
        <is>
          <t>320</t>
        </is>
      </c>
      <c r="L2158" s="4" t="inlineStr">
        <is>
          <t>01:25:00</t>
        </is>
      </c>
      <c r="M2158" s="5" t="n"/>
      <c r="O2158" s="5" t="n"/>
      <c r="Q2158" s="4">
        <f>B2158</f>
        <v/>
      </c>
      <c r="R2158" s="4">
        <f>C2158</f>
        <v/>
      </c>
      <c r="S2158" s="4">
        <f>D2158</f>
        <v/>
      </c>
      <c r="T2158" s="4">
        <f>E2158&amp;"/"&amp;E2159</f>
        <v/>
      </c>
      <c r="U2158" s="4">
        <f>F2158&amp;"-"&amp;G2158&amp;"-"&amp;F2158</f>
        <v/>
      </c>
      <c r="V2158" s="4">
        <f>IF($M$2158="","",$M$2158)</f>
        <v/>
      </c>
      <c r="W2158" s="4">
        <f>IF($O$2158="","",$O$2158)</f>
        <v/>
      </c>
      <c r="X2158" s="4">
        <f>J2158</f>
        <v/>
      </c>
    </row>
    <row r="2159">
      <c r="B2159" s="4" t="inlineStr">
        <is>
          <t>2436_0</t>
        </is>
      </c>
      <c r="C2159" s="4" t="inlineStr">
        <is>
          <t>28/09/2026</t>
        </is>
      </c>
      <c r="D2159" s="4" t="inlineStr">
        <is>
          <t>lunes</t>
        </is>
      </c>
      <c r="E2159" s="4" t="inlineStr">
        <is>
          <t>2088</t>
        </is>
      </c>
      <c r="F2159" s="4" t="inlineStr">
        <is>
          <t>TPP</t>
        </is>
      </c>
      <c r="G2159" s="4" t="inlineStr">
        <is>
          <t>LIM</t>
        </is>
      </c>
      <c r="H2159" s="4" t="inlineStr">
        <is>
          <t>16:05:00</t>
        </is>
      </c>
      <c r="I2159" s="4" t="inlineStr">
        <is>
          <t>17:30:00</t>
        </is>
      </c>
      <c r="J2159" s="4" t="inlineStr">
        <is>
          <t>320</t>
        </is>
      </c>
      <c r="K2159">
        <f>TEXT(TIMEVALUE(H2159)-TIMEVALUE(I2158)+(TIMEVALUE(H2159)&lt;TIMEVALUE(I2158)),"[h]:mm")</f>
        <v/>
      </c>
      <c r="L2159" s="4" t="inlineStr">
        <is>
          <t>01:25:00</t>
        </is>
      </c>
      <c r="O2159">
        <f>"LIM-"&amp;G2158&amp;"-LIM   LA "&amp;E2158&amp;" ("&amp;LEFT(H2158,5)&amp;"-"&amp;LEFT(I2158,5)&amp;" hrs)  /  LA "&amp;E2159&amp;" ("&amp;LEFT(H2159,5)&amp;"-"&amp;LEFT(I2159,5)&amp;" hrs)"</f>
        <v/>
      </c>
    </row>
    <row r="2160">
      <c r="J2160" s="7" t="inlineStr">
        <is>
          <t>PSV total:</t>
        </is>
      </c>
      <c r="K2160" s="8">
        <f>TEXT(TIMEVALUE(I2159)-TIMEVALUE(H2158)+(I2159&lt;H2158),"[h]:mm")</f>
        <v/>
      </c>
    </row>
    <row r="2162">
      <c r="B2162" s="3" t="inlineStr">
        <is>
          <t>Pairing ID</t>
        </is>
      </c>
      <c r="C2162" s="3" t="inlineStr">
        <is>
          <t>FECHA REAL</t>
        </is>
      </c>
      <c r="D2162" s="3" t="inlineStr">
        <is>
          <t>Day of Week</t>
        </is>
      </c>
      <c r="E2162" s="3" t="inlineStr">
        <is>
          <t>Flight No</t>
        </is>
      </c>
      <c r="F2162" s="3" t="inlineStr">
        <is>
          <t>Dep Stn</t>
        </is>
      </c>
      <c r="G2162" s="3" t="inlineStr">
        <is>
          <t>Arr Stn</t>
        </is>
      </c>
      <c r="H2162" s="3" t="inlineStr">
        <is>
          <t>STD</t>
        </is>
      </c>
      <c r="I2162" s="3" t="inlineStr">
        <is>
          <t>STA</t>
        </is>
      </c>
      <c r="J2162" s="3" t="inlineStr">
        <is>
          <t>subflota</t>
        </is>
      </c>
      <c r="K2162" s="3" t="inlineStr">
        <is>
          <t>Conexion</t>
        </is>
      </c>
      <c r="L2162" s="3" t="inlineStr">
        <is>
          <t>HBT</t>
        </is>
      </c>
    </row>
    <row r="2163">
      <c r="B2163" s="4" t="inlineStr">
        <is>
          <t>6_1</t>
        </is>
      </c>
      <c r="C2163" s="4" t="inlineStr">
        <is>
          <t>28/09/2026</t>
        </is>
      </c>
      <c r="D2163" s="4" t="inlineStr">
        <is>
          <t>lunes</t>
        </is>
      </c>
      <c r="E2163" s="4" t="inlineStr">
        <is>
          <t>2087</t>
        </is>
      </c>
      <c r="F2163" s="4" t="inlineStr">
        <is>
          <t>LIM</t>
        </is>
      </c>
      <c r="G2163" s="4" t="inlineStr">
        <is>
          <t>TPP</t>
        </is>
      </c>
      <c r="H2163" s="4" t="inlineStr">
        <is>
          <t>14:05:00</t>
        </is>
      </c>
      <c r="I2163" s="4" t="inlineStr">
        <is>
          <t>15:30:00</t>
        </is>
      </c>
      <c r="J2163" s="4" t="inlineStr">
        <is>
          <t>319</t>
        </is>
      </c>
      <c r="L2163" s="4" t="inlineStr">
        <is>
          <t>01:25:00</t>
        </is>
      </c>
      <c r="M2163" s="5" t="n"/>
      <c r="O2163" s="5" t="n"/>
      <c r="Q2163" s="4">
        <f>B2163</f>
        <v/>
      </c>
      <c r="R2163" s="4">
        <f>C2163</f>
        <v/>
      </c>
      <c r="S2163" s="4">
        <f>D2163</f>
        <v/>
      </c>
      <c r="T2163" s="4">
        <f>E2163&amp;"/"&amp;E2164</f>
        <v/>
      </c>
      <c r="U2163" s="4">
        <f>F2163&amp;"-"&amp;G2163&amp;"-"&amp;F2163</f>
        <v/>
      </c>
      <c r="V2163" s="4">
        <f>IF($M$2163="","",$M$2163)</f>
        <v/>
      </c>
      <c r="W2163" s="4">
        <f>IF($O$2163="","",$O$2163)</f>
        <v/>
      </c>
      <c r="X2163" s="4">
        <f>J2163</f>
        <v/>
      </c>
    </row>
    <row r="2164">
      <c r="B2164" s="4" t="inlineStr">
        <is>
          <t>6_1</t>
        </is>
      </c>
      <c r="C2164" s="4" t="inlineStr">
        <is>
          <t>28/09/2026</t>
        </is>
      </c>
      <c r="D2164" s="4" t="inlineStr">
        <is>
          <t>lunes</t>
        </is>
      </c>
      <c r="E2164" s="4" t="inlineStr">
        <is>
          <t>2088</t>
        </is>
      </c>
      <c r="F2164" s="4" t="inlineStr">
        <is>
          <t>TPP</t>
        </is>
      </c>
      <c r="G2164" s="4" t="inlineStr">
        <is>
          <t>LIM</t>
        </is>
      </c>
      <c r="H2164" s="4" t="inlineStr">
        <is>
          <t>16:05:00</t>
        </is>
      </c>
      <c r="I2164" s="4" t="inlineStr">
        <is>
          <t>17:30:00</t>
        </is>
      </c>
      <c r="J2164" s="4" t="inlineStr">
        <is>
          <t>319</t>
        </is>
      </c>
      <c r="K2164">
        <f>TEXT(TIMEVALUE(H2164)-TIMEVALUE(I2163)+(TIMEVALUE(H2164)&lt;TIMEVALUE(I2163)),"[h]:mm")</f>
        <v/>
      </c>
      <c r="L2164" s="4" t="inlineStr">
        <is>
          <t>01:25:00</t>
        </is>
      </c>
      <c r="O2164">
        <f>"LIM-"&amp;G2163&amp;"-LIM   LA "&amp;E2163&amp;" ("&amp;LEFT(H2163,5)&amp;"-"&amp;LEFT(I2163,5)&amp;" hrs)  /  LA "&amp;E2164&amp;" ("&amp;LEFT(H2164,5)&amp;"-"&amp;LEFT(I2164,5)&amp;" hrs)"</f>
        <v/>
      </c>
    </row>
    <row r="2165">
      <c r="J2165" s="7" t="inlineStr">
        <is>
          <t>PSV total:</t>
        </is>
      </c>
      <c r="K2165" s="8">
        <f>TEXT(TIMEVALUE(I2164)-TIMEVALUE(H2163)+(I2164&lt;H2163),"[h]:mm")</f>
        <v/>
      </c>
    </row>
    <row r="2167">
      <c r="B2167" s="3" t="inlineStr">
        <is>
          <t>Pairing ID</t>
        </is>
      </c>
      <c r="C2167" s="3" t="inlineStr">
        <is>
          <t>FECHA REAL</t>
        </is>
      </c>
      <c r="D2167" s="3" t="inlineStr">
        <is>
          <t>Day of Week</t>
        </is>
      </c>
      <c r="E2167" s="3" t="inlineStr">
        <is>
          <t>Flight No</t>
        </is>
      </c>
      <c r="F2167" s="3" t="inlineStr">
        <is>
          <t>Dep Stn</t>
        </is>
      </c>
      <c r="G2167" s="3" t="inlineStr">
        <is>
          <t>Arr Stn</t>
        </is>
      </c>
      <c r="H2167" s="3" t="inlineStr">
        <is>
          <t>STD</t>
        </is>
      </c>
      <c r="I2167" s="3" t="inlineStr">
        <is>
          <t>STA</t>
        </is>
      </c>
      <c r="J2167" s="3" t="inlineStr">
        <is>
          <t>subflota</t>
        </is>
      </c>
      <c r="K2167" s="3" t="inlineStr">
        <is>
          <t>Conexion</t>
        </is>
      </c>
      <c r="L2167" s="3" t="inlineStr">
        <is>
          <t>HBT</t>
        </is>
      </c>
    </row>
    <row r="2168">
      <c r="B2168" s="4" t="inlineStr">
        <is>
          <t>2437_0</t>
        </is>
      </c>
      <c r="C2168" s="4" t="inlineStr">
        <is>
          <t>28/09/2026</t>
        </is>
      </c>
      <c r="D2168" s="4" t="inlineStr">
        <is>
          <t>lunes</t>
        </is>
      </c>
      <c r="E2168" s="4" t="inlineStr">
        <is>
          <t>2295</t>
        </is>
      </c>
      <c r="F2168" s="4" t="inlineStr">
        <is>
          <t>LIM</t>
        </is>
      </c>
      <c r="G2168" s="4" t="inlineStr">
        <is>
          <t>CJA</t>
        </is>
      </c>
      <c r="H2168" s="4" t="inlineStr">
        <is>
          <t>14:10:00</t>
        </is>
      </c>
      <c r="I2168" s="4" t="inlineStr">
        <is>
          <t>15:30:00</t>
        </is>
      </c>
      <c r="J2168" s="4" t="inlineStr">
        <is>
          <t>320</t>
        </is>
      </c>
      <c r="L2168" s="4" t="inlineStr">
        <is>
          <t>01:20:00</t>
        </is>
      </c>
      <c r="M2168" s="5" t="n"/>
      <c r="O2168" s="5" t="n"/>
      <c r="Q2168" s="4">
        <f>B2168</f>
        <v/>
      </c>
      <c r="R2168" s="4">
        <f>C2168</f>
        <v/>
      </c>
      <c r="S2168" s="4">
        <f>D2168</f>
        <v/>
      </c>
      <c r="T2168" s="4">
        <f>E2168&amp;"/"&amp;E2169</f>
        <v/>
      </c>
      <c r="U2168" s="4">
        <f>F2168&amp;"-"&amp;G2168&amp;"-"&amp;F2168</f>
        <v/>
      </c>
      <c r="V2168" s="4">
        <f>IF($M$2168="","",$M$2168)</f>
        <v/>
      </c>
      <c r="W2168" s="4">
        <f>IF($O$2168="","",$O$2168)</f>
        <v/>
      </c>
      <c r="X2168" s="4">
        <f>J2168</f>
        <v/>
      </c>
    </row>
    <row r="2169">
      <c r="B2169" s="4" t="inlineStr">
        <is>
          <t>2437_0</t>
        </is>
      </c>
      <c r="C2169" s="4" t="inlineStr">
        <is>
          <t>28/09/2026</t>
        </is>
      </c>
      <c r="D2169" s="4" t="inlineStr">
        <is>
          <t>lunes</t>
        </is>
      </c>
      <c r="E2169" s="4" t="inlineStr">
        <is>
          <t>2294</t>
        </is>
      </c>
      <c r="F2169" s="4" t="inlineStr">
        <is>
          <t>CJA</t>
        </is>
      </c>
      <c r="G2169" s="4" t="inlineStr">
        <is>
          <t>LIM</t>
        </is>
      </c>
      <c r="H2169" s="4" t="inlineStr">
        <is>
          <t>16:10:00</t>
        </is>
      </c>
      <c r="I2169" s="4" t="inlineStr">
        <is>
          <t>17:15:00</t>
        </is>
      </c>
      <c r="J2169" s="4" t="inlineStr">
        <is>
          <t>320</t>
        </is>
      </c>
      <c r="K2169">
        <f>TEXT(TIMEVALUE(H2169)-TIMEVALUE(I2168)+(TIMEVALUE(H2169)&lt;TIMEVALUE(I2168)),"[h]:mm")</f>
        <v/>
      </c>
      <c r="L2169" s="4" t="inlineStr">
        <is>
          <t>01:05:00</t>
        </is>
      </c>
      <c r="O2169">
        <f>"LIM-"&amp;G2168&amp;"-LIM   LA "&amp;E2168&amp;" ("&amp;LEFT(H2168,5)&amp;"-"&amp;LEFT(I2168,5)&amp;" hrs)  /  LA "&amp;E2169&amp;" ("&amp;LEFT(H2169,5)&amp;"-"&amp;LEFT(I2169,5)&amp;" hrs)"</f>
        <v/>
      </c>
    </row>
    <row r="2170">
      <c r="J2170" s="7" t="inlineStr">
        <is>
          <t>PSV total:</t>
        </is>
      </c>
      <c r="K2170" s="8">
        <f>TEXT(TIMEVALUE(I2169)-TIMEVALUE(H2168)+(I2169&lt;H2168),"[h]:mm")</f>
        <v/>
      </c>
    </row>
    <row r="2172">
      <c r="B2172" s="3" t="inlineStr">
        <is>
          <t>Pairing ID</t>
        </is>
      </c>
      <c r="C2172" s="3" t="inlineStr">
        <is>
          <t>FECHA REAL</t>
        </is>
      </c>
      <c r="D2172" s="3" t="inlineStr">
        <is>
          <t>Day of Week</t>
        </is>
      </c>
      <c r="E2172" s="3" t="inlineStr">
        <is>
          <t>Flight No</t>
        </is>
      </c>
      <c r="F2172" s="3" t="inlineStr">
        <is>
          <t>Dep Stn</t>
        </is>
      </c>
      <c r="G2172" s="3" t="inlineStr">
        <is>
          <t>Arr Stn</t>
        </is>
      </c>
      <c r="H2172" s="3" t="inlineStr">
        <is>
          <t>STD</t>
        </is>
      </c>
      <c r="I2172" s="3" t="inlineStr">
        <is>
          <t>STA</t>
        </is>
      </c>
      <c r="J2172" s="3" t="inlineStr">
        <is>
          <t>subflota</t>
        </is>
      </c>
      <c r="K2172" s="3" t="inlineStr">
        <is>
          <t>Conexion</t>
        </is>
      </c>
      <c r="L2172" s="3" t="inlineStr">
        <is>
          <t>HBT</t>
        </is>
      </c>
    </row>
    <row r="2173">
      <c r="B2173" s="4" t="inlineStr">
        <is>
          <t>2440_0</t>
        </is>
      </c>
      <c r="C2173" s="4" t="inlineStr">
        <is>
          <t>28/09/2026</t>
        </is>
      </c>
      <c r="D2173" s="4" t="inlineStr">
        <is>
          <t>lunes</t>
        </is>
      </c>
      <c r="E2173" s="4" t="inlineStr">
        <is>
          <t>2248</t>
        </is>
      </c>
      <c r="F2173" s="4" t="inlineStr">
        <is>
          <t>LIM</t>
        </is>
      </c>
      <c r="G2173" s="4" t="inlineStr">
        <is>
          <t>CUZ</t>
        </is>
      </c>
      <c r="H2173" s="4" t="inlineStr">
        <is>
          <t>15:00:00</t>
        </is>
      </c>
      <c r="I2173" s="4" t="inlineStr">
        <is>
          <t>16:20:00</t>
        </is>
      </c>
      <c r="J2173" s="4" t="inlineStr">
        <is>
          <t>320</t>
        </is>
      </c>
      <c r="L2173" s="4" t="inlineStr">
        <is>
          <t>01:20:00</t>
        </is>
      </c>
      <c r="M2173" s="5" t="n"/>
      <c r="O2173" s="5" t="n"/>
      <c r="Q2173" s="4">
        <f>B2173</f>
        <v/>
      </c>
      <c r="R2173" s="4">
        <f>C2173</f>
        <v/>
      </c>
      <c r="S2173" s="4">
        <f>D2173</f>
        <v/>
      </c>
      <c r="T2173" s="4">
        <f>E2173&amp;"/"&amp;E2174</f>
        <v/>
      </c>
      <c r="U2173" s="4">
        <f>F2173&amp;"-"&amp;G2173&amp;"-"&amp;F2173</f>
        <v/>
      </c>
      <c r="V2173" s="4">
        <f>IF($M$2173="","",$M$2173)</f>
        <v/>
      </c>
      <c r="W2173" s="4">
        <f>IF($O$2173="","",$O$2173)</f>
        <v/>
      </c>
      <c r="X2173" s="4">
        <f>J2173</f>
        <v/>
      </c>
    </row>
    <row r="2174">
      <c r="B2174" s="4" t="inlineStr">
        <is>
          <t>2440_0</t>
        </is>
      </c>
      <c r="C2174" s="4" t="inlineStr">
        <is>
          <t>28/09/2026</t>
        </is>
      </c>
      <c r="D2174" s="4" t="inlineStr">
        <is>
          <t>lunes</t>
        </is>
      </c>
      <c r="E2174" s="4" t="inlineStr">
        <is>
          <t>2249</t>
        </is>
      </c>
      <c r="F2174" s="4" t="inlineStr">
        <is>
          <t>CUZ</t>
        </is>
      </c>
      <c r="G2174" s="4" t="inlineStr">
        <is>
          <t>LIM</t>
        </is>
      </c>
      <c r="H2174" s="4" t="inlineStr">
        <is>
          <t>17:00:00</t>
        </is>
      </c>
      <c r="I2174" s="4" t="inlineStr">
        <is>
          <t>18:35:00</t>
        </is>
      </c>
      <c r="J2174" s="4" t="inlineStr">
        <is>
          <t>320</t>
        </is>
      </c>
      <c r="K2174">
        <f>TEXT(TIMEVALUE(H2174)-TIMEVALUE(I2173)+(TIMEVALUE(H2174)&lt;TIMEVALUE(I2173)),"[h]:mm")</f>
        <v/>
      </c>
      <c r="L2174" s="4" t="inlineStr">
        <is>
          <t>01:35:00</t>
        </is>
      </c>
      <c r="O2174">
        <f>"LIM-"&amp;G2173&amp;"-LIM   LA "&amp;E2173&amp;" ("&amp;LEFT(H2173,5)&amp;"-"&amp;LEFT(I2173,5)&amp;" hrs)  /  LA "&amp;E2174&amp;" ("&amp;LEFT(H2174,5)&amp;"-"&amp;LEFT(I2174,5)&amp;" hrs)"</f>
        <v/>
      </c>
    </row>
    <row r="2175">
      <c r="J2175" s="7" t="inlineStr">
        <is>
          <t>PSV total:</t>
        </is>
      </c>
      <c r="K2175" s="8">
        <f>TEXT(TIMEVALUE(I2174)-TIMEVALUE(H2173)+(I2174&lt;H2173),"[h]:mm")</f>
        <v/>
      </c>
    </row>
    <row r="2177">
      <c r="B2177" s="3" t="inlineStr">
        <is>
          <t>Pairing ID</t>
        </is>
      </c>
      <c r="C2177" s="3" t="inlineStr">
        <is>
          <t>FECHA REAL</t>
        </is>
      </c>
      <c r="D2177" s="3" t="inlineStr">
        <is>
          <t>Day of Week</t>
        </is>
      </c>
      <c r="E2177" s="3" t="inlineStr">
        <is>
          <t>Flight No</t>
        </is>
      </c>
      <c r="F2177" s="3" t="inlineStr">
        <is>
          <t>Dep Stn</t>
        </is>
      </c>
      <c r="G2177" s="3" t="inlineStr">
        <is>
          <t>Arr Stn</t>
        </is>
      </c>
      <c r="H2177" s="3" t="inlineStr">
        <is>
          <t>STD</t>
        </is>
      </c>
      <c r="I2177" s="3" t="inlineStr">
        <is>
          <t>STA</t>
        </is>
      </c>
      <c r="J2177" s="3" t="inlineStr">
        <is>
          <t>subflota</t>
        </is>
      </c>
      <c r="K2177" s="3" t="inlineStr">
        <is>
          <t>Conexion</t>
        </is>
      </c>
      <c r="L2177" s="3" t="inlineStr">
        <is>
          <t>HBT</t>
        </is>
      </c>
    </row>
    <row r="2178">
      <c r="B2178" s="4" t="inlineStr">
        <is>
          <t>2441_0</t>
        </is>
      </c>
      <c r="C2178" s="4" t="inlineStr">
        <is>
          <t>28/09/2026</t>
        </is>
      </c>
      <c r="D2178" s="4" t="inlineStr">
        <is>
          <t>lunes</t>
        </is>
      </c>
      <c r="E2178" s="4" t="inlineStr">
        <is>
          <t>2338</t>
        </is>
      </c>
      <c r="F2178" s="4" t="inlineStr">
        <is>
          <t>LIM</t>
        </is>
      </c>
      <c r="G2178" s="4" t="inlineStr">
        <is>
          <t>PIU</t>
        </is>
      </c>
      <c r="H2178" s="4" t="inlineStr">
        <is>
          <t>15:00:00</t>
        </is>
      </c>
      <c r="I2178" s="4" t="inlineStr">
        <is>
          <t>16:45:00</t>
        </is>
      </c>
      <c r="J2178" s="4" t="inlineStr">
        <is>
          <t>320</t>
        </is>
      </c>
      <c r="L2178" s="4" t="inlineStr">
        <is>
          <t>01:45:00</t>
        </is>
      </c>
      <c r="M2178" s="5" t="n"/>
      <c r="O2178" s="5" t="n"/>
      <c r="Q2178" s="4">
        <f>B2178</f>
        <v/>
      </c>
      <c r="R2178" s="4">
        <f>C2178</f>
        <v/>
      </c>
      <c r="S2178" s="4">
        <f>D2178</f>
        <v/>
      </c>
      <c r="T2178" s="4">
        <f>E2178&amp;"/"&amp;E2179</f>
        <v/>
      </c>
      <c r="U2178" s="4">
        <f>F2178&amp;"-"&amp;G2178&amp;"-"&amp;F2178</f>
        <v/>
      </c>
      <c r="V2178" s="4">
        <f>IF($M$2178="","",$M$2178)</f>
        <v/>
      </c>
      <c r="W2178" s="4">
        <f>IF($O$2178="","",$O$2178)</f>
        <v/>
      </c>
      <c r="X2178" s="4">
        <f>J2178</f>
        <v/>
      </c>
    </row>
    <row r="2179">
      <c r="B2179" s="4" t="inlineStr">
        <is>
          <t>2441_0</t>
        </is>
      </c>
      <c r="C2179" s="4" t="inlineStr">
        <is>
          <t>28/09/2026</t>
        </is>
      </c>
      <c r="D2179" s="4" t="inlineStr">
        <is>
          <t>lunes</t>
        </is>
      </c>
      <c r="E2179" s="4" t="inlineStr">
        <is>
          <t>2339</t>
        </is>
      </c>
      <c r="F2179" s="4" t="inlineStr">
        <is>
          <t>PIU</t>
        </is>
      </c>
      <c r="G2179" s="4" t="inlineStr">
        <is>
          <t>LIM</t>
        </is>
      </c>
      <c r="H2179" s="4" t="inlineStr">
        <is>
          <t>17:20:00</t>
        </is>
      </c>
      <c r="I2179" s="4" t="inlineStr">
        <is>
          <t>18:50:00</t>
        </is>
      </c>
      <c r="J2179" s="4" t="inlineStr">
        <is>
          <t>320</t>
        </is>
      </c>
      <c r="K2179">
        <f>TEXT(TIMEVALUE(H2179)-TIMEVALUE(I2178)+(TIMEVALUE(H2179)&lt;TIMEVALUE(I2178)),"[h]:mm")</f>
        <v/>
      </c>
      <c r="L2179" s="4" t="inlineStr">
        <is>
          <t>01:30:00</t>
        </is>
      </c>
      <c r="O2179">
        <f>"LIM-"&amp;G2178&amp;"-LIM   LA "&amp;E2178&amp;" ("&amp;LEFT(H2178,5)&amp;"-"&amp;LEFT(I2178,5)&amp;" hrs)  /  LA "&amp;E2179&amp;" ("&amp;LEFT(H2179,5)&amp;"-"&amp;LEFT(I2179,5)&amp;" hrs)"</f>
        <v/>
      </c>
    </row>
    <row r="2180">
      <c r="B2180" s="4" t="inlineStr">
        <is>
          <t>2455_0</t>
        </is>
      </c>
      <c r="C2180" s="4" t="inlineStr">
        <is>
          <t>28/09/2026</t>
        </is>
      </c>
      <c r="D2180" s="4" t="inlineStr">
        <is>
          <t>lunes</t>
        </is>
      </c>
      <c r="E2180" s="4" t="inlineStr">
        <is>
          <t>2278</t>
        </is>
      </c>
      <c r="F2180" s="4" t="inlineStr">
        <is>
          <t>LIM</t>
        </is>
      </c>
      <c r="G2180" s="4" t="inlineStr">
        <is>
          <t>CIX</t>
        </is>
      </c>
      <c r="H2180" s="4" t="inlineStr">
        <is>
          <t>20:10:00</t>
        </is>
      </c>
      <c r="I2180" s="4" t="inlineStr">
        <is>
          <t>21:40:00</t>
        </is>
      </c>
      <c r="J2180" s="4" t="inlineStr">
        <is>
          <t>320</t>
        </is>
      </c>
      <c r="K2180" s="6">
        <f>TEXT(TIMEVALUE(H2180)-TIMEVALUE(I2179)+(TIMEVALUE(H2180)&lt;TIMEVALUE(I2179)),"[h]:mm")</f>
        <v/>
      </c>
      <c r="L2180" s="4" t="inlineStr">
        <is>
          <t>01:30:00</t>
        </is>
      </c>
      <c r="M2180">
        <f>IF($M$2178="","",$M$2178)</f>
        <v/>
      </c>
      <c r="O2180">
        <f>IF($O$2178="","",$O$2178)</f>
        <v/>
      </c>
      <c r="Q2180" s="4">
        <f>B2180</f>
        <v/>
      </c>
      <c r="R2180" s="4">
        <f>C2180</f>
        <v/>
      </c>
      <c r="S2180" s="4">
        <f>D2180</f>
        <v/>
      </c>
      <c r="T2180" s="4">
        <f>E2180&amp;"/"&amp;E2181</f>
        <v/>
      </c>
      <c r="U2180" s="4">
        <f>F2180&amp;"-"&amp;G2180&amp;"-"&amp;F2180</f>
        <v/>
      </c>
      <c r="V2180" s="4">
        <f>IF($M$2178="","",$M$2178)</f>
        <v/>
      </c>
      <c r="W2180" s="4">
        <f>IF($O$2178="","",$O$2178)</f>
        <v/>
      </c>
      <c r="X2180" s="4">
        <f>J2180</f>
        <v/>
      </c>
    </row>
    <row r="2181">
      <c r="B2181" s="4" t="inlineStr">
        <is>
          <t>2455_0</t>
        </is>
      </c>
      <c r="C2181" s="4" t="inlineStr">
        <is>
          <t>28/09/2026</t>
        </is>
      </c>
      <c r="D2181" s="4" t="inlineStr">
        <is>
          <t>lunes</t>
        </is>
      </c>
      <c r="E2181" s="4" t="inlineStr">
        <is>
          <t>2279</t>
        </is>
      </c>
      <c r="F2181" s="4" t="inlineStr">
        <is>
          <t>CIX</t>
        </is>
      </c>
      <c r="G2181" s="4" t="inlineStr">
        <is>
          <t>LIM</t>
        </is>
      </c>
      <c r="H2181" s="4" t="inlineStr">
        <is>
          <t>22:15:00</t>
        </is>
      </c>
      <c r="I2181" s="4" t="inlineStr">
        <is>
          <t>23:35:00</t>
        </is>
      </c>
      <c r="J2181" s="4" t="inlineStr">
        <is>
          <t>320</t>
        </is>
      </c>
      <c r="K2181">
        <f>TEXT(TIMEVALUE(H2181)-TIMEVALUE(I2180)+(TIMEVALUE(H2181)&lt;TIMEVALUE(I2180)),"[h]:mm")</f>
        <v/>
      </c>
      <c r="L2181" s="4" t="inlineStr">
        <is>
          <t>01:20:00</t>
        </is>
      </c>
      <c r="O2181">
        <f>"LIM-"&amp;G2180&amp;"-LIM   LA "&amp;E2180&amp;" ("&amp;LEFT(H2180,5)&amp;"-"&amp;LEFT(I2180,5)&amp;" hrs)  /  LA "&amp;E2181&amp;" ("&amp;LEFT(H2181,5)&amp;"-"&amp;LEFT(I2181,5)&amp;" hrs)"</f>
        <v/>
      </c>
    </row>
    <row r="2182">
      <c r="J2182" s="7" t="inlineStr">
        <is>
          <t>PSV total:</t>
        </is>
      </c>
      <c r="K2182" s="8">
        <f>TEXT(TIMEVALUE(I2181)-TIMEVALUE(H2178)+(I2181&lt;H2178),"[h]:mm")</f>
        <v/>
      </c>
    </row>
    <row r="2184">
      <c r="B2184" s="3" t="inlineStr">
        <is>
          <t>Pairing ID</t>
        </is>
      </c>
      <c r="C2184" s="3" t="inlineStr">
        <is>
          <t>FECHA REAL</t>
        </is>
      </c>
      <c r="D2184" s="3" t="inlineStr">
        <is>
          <t>Day of Week</t>
        </is>
      </c>
      <c r="E2184" s="3" t="inlineStr">
        <is>
          <t>Flight No</t>
        </is>
      </c>
      <c r="F2184" s="3" t="inlineStr">
        <is>
          <t>Dep Stn</t>
        </is>
      </c>
      <c r="G2184" s="3" t="inlineStr">
        <is>
          <t>Arr Stn</t>
        </is>
      </c>
      <c r="H2184" s="3" t="inlineStr">
        <is>
          <t>STD</t>
        </is>
      </c>
      <c r="I2184" s="3" t="inlineStr">
        <is>
          <t>STA</t>
        </is>
      </c>
      <c r="J2184" s="3" t="inlineStr">
        <is>
          <t>subflota</t>
        </is>
      </c>
      <c r="K2184" s="3" t="inlineStr">
        <is>
          <t>Conexion</t>
        </is>
      </c>
      <c r="L2184" s="3" t="inlineStr">
        <is>
          <t>HBT</t>
        </is>
      </c>
    </row>
    <row r="2185">
      <c r="B2185" s="4" t="inlineStr">
        <is>
          <t>2443_0</t>
        </is>
      </c>
      <c r="C2185" s="4" t="inlineStr">
        <is>
          <t>28/09/2026</t>
        </is>
      </c>
      <c r="D2185" s="4" t="inlineStr">
        <is>
          <t>lunes</t>
        </is>
      </c>
      <c r="E2185" s="4" t="inlineStr">
        <is>
          <t>2297</t>
        </is>
      </c>
      <c r="F2185" s="4" t="inlineStr">
        <is>
          <t>LIM</t>
        </is>
      </c>
      <c r="G2185" s="4" t="inlineStr">
        <is>
          <t>CJA</t>
        </is>
      </c>
      <c r="H2185" s="4" t="inlineStr">
        <is>
          <t>15:15:00</t>
        </is>
      </c>
      <c r="I2185" s="4" t="inlineStr">
        <is>
          <t>16:35:00</t>
        </is>
      </c>
      <c r="J2185" s="4" t="inlineStr">
        <is>
          <t>320</t>
        </is>
      </c>
      <c r="L2185" s="4" t="inlineStr">
        <is>
          <t>01:20:00</t>
        </is>
      </c>
      <c r="M2185" s="5" t="n"/>
      <c r="O2185" s="5" t="n"/>
      <c r="Q2185" s="4">
        <f>B2185</f>
        <v/>
      </c>
      <c r="R2185" s="4">
        <f>C2185</f>
        <v/>
      </c>
      <c r="S2185" s="4">
        <f>D2185</f>
        <v/>
      </c>
      <c r="T2185" s="4">
        <f>E2185&amp;"/"&amp;E2186</f>
        <v/>
      </c>
      <c r="U2185" s="4">
        <f>F2185&amp;"-"&amp;G2185&amp;"-"&amp;F2185</f>
        <v/>
      </c>
      <c r="V2185" s="4">
        <f>IF($M$2185="","",$M$2185)</f>
        <v/>
      </c>
      <c r="W2185" s="4">
        <f>IF($O$2185="","",$O$2185)</f>
        <v/>
      </c>
      <c r="X2185" s="4">
        <f>J2185</f>
        <v/>
      </c>
    </row>
    <row r="2186">
      <c r="B2186" s="4" t="inlineStr">
        <is>
          <t>2443_0</t>
        </is>
      </c>
      <c r="C2186" s="4" t="inlineStr">
        <is>
          <t>28/09/2026</t>
        </is>
      </c>
      <c r="D2186" s="4" t="inlineStr">
        <is>
          <t>lunes</t>
        </is>
      </c>
      <c r="E2186" s="4" t="inlineStr">
        <is>
          <t>2296</t>
        </is>
      </c>
      <c r="F2186" s="4" t="inlineStr">
        <is>
          <t>CJA</t>
        </is>
      </c>
      <c r="G2186" s="4" t="inlineStr">
        <is>
          <t>LIM</t>
        </is>
      </c>
      <c r="H2186" s="4" t="inlineStr">
        <is>
          <t>17:20:00</t>
        </is>
      </c>
      <c r="I2186" s="4" t="inlineStr">
        <is>
          <t>18:25:00</t>
        </is>
      </c>
      <c r="J2186" s="4" t="inlineStr">
        <is>
          <t>320</t>
        </is>
      </c>
      <c r="K2186">
        <f>TEXT(TIMEVALUE(H2186)-TIMEVALUE(I2185)+(TIMEVALUE(H2186)&lt;TIMEVALUE(I2185)),"[h]:mm")</f>
        <v/>
      </c>
      <c r="L2186" s="4" t="inlineStr">
        <is>
          <t>01:05:00</t>
        </is>
      </c>
      <c r="O2186">
        <f>"LIM-"&amp;G2185&amp;"-LIM   LA "&amp;E2185&amp;" ("&amp;LEFT(H2185,5)&amp;"-"&amp;LEFT(I2185,5)&amp;" hrs)  /  LA "&amp;E2186&amp;" ("&amp;LEFT(H2186,5)&amp;"-"&amp;LEFT(I2186,5)&amp;" hrs)"</f>
        <v/>
      </c>
    </row>
    <row r="2187">
      <c r="J2187" s="7" t="inlineStr">
        <is>
          <t>PSV total:</t>
        </is>
      </c>
      <c r="K2187" s="8">
        <f>TEXT(TIMEVALUE(I2186)-TIMEVALUE(H2185)+(I2186&lt;H2185),"[h]:mm")</f>
        <v/>
      </c>
    </row>
    <row r="2189">
      <c r="B2189" s="3" t="inlineStr">
        <is>
          <t>Pairing ID</t>
        </is>
      </c>
      <c r="C2189" s="3" t="inlineStr">
        <is>
          <t>FECHA REAL</t>
        </is>
      </c>
      <c r="D2189" s="3" t="inlineStr">
        <is>
          <t>Day of Week</t>
        </is>
      </c>
      <c r="E2189" s="3" t="inlineStr">
        <is>
          <t>Flight No</t>
        </is>
      </c>
      <c r="F2189" s="3" t="inlineStr">
        <is>
          <t>Dep Stn</t>
        </is>
      </c>
      <c r="G2189" s="3" t="inlineStr">
        <is>
          <t>Arr Stn</t>
        </is>
      </c>
      <c r="H2189" s="3" t="inlineStr">
        <is>
          <t>STD</t>
        </is>
      </c>
      <c r="I2189" s="3" t="inlineStr">
        <is>
          <t>STA</t>
        </is>
      </c>
      <c r="J2189" s="3" t="inlineStr">
        <is>
          <t>subflota</t>
        </is>
      </c>
      <c r="K2189" s="3" t="inlineStr">
        <is>
          <t>Conexion</t>
        </is>
      </c>
      <c r="L2189" s="3" t="inlineStr">
        <is>
          <t>HBT</t>
        </is>
      </c>
    </row>
    <row r="2190">
      <c r="B2190" s="4" t="inlineStr">
        <is>
          <t>10_1</t>
        </is>
      </c>
      <c r="C2190" s="4" t="inlineStr">
        <is>
          <t>28/09/2026</t>
        </is>
      </c>
      <c r="D2190" s="4" t="inlineStr">
        <is>
          <t>lunes</t>
        </is>
      </c>
      <c r="E2190" s="4" t="inlineStr">
        <is>
          <t>2312</t>
        </is>
      </c>
      <c r="F2190" s="4" t="inlineStr">
        <is>
          <t>LIM</t>
        </is>
      </c>
      <c r="G2190" s="4" t="inlineStr">
        <is>
          <t>CIX</t>
        </is>
      </c>
      <c r="H2190" s="4" t="inlineStr">
        <is>
          <t>15:35:00</t>
        </is>
      </c>
      <c r="I2190" s="4" t="inlineStr">
        <is>
          <t>17:05:00</t>
        </is>
      </c>
      <c r="J2190" s="4" t="inlineStr">
        <is>
          <t>320</t>
        </is>
      </c>
      <c r="L2190" s="4" t="inlineStr">
        <is>
          <t>01:30:00</t>
        </is>
      </c>
      <c r="M2190" s="5" t="n"/>
      <c r="O2190" s="5" t="n"/>
      <c r="Q2190" s="4">
        <f>B2190</f>
        <v/>
      </c>
      <c r="R2190" s="4">
        <f>C2190</f>
        <v/>
      </c>
      <c r="S2190" s="4">
        <f>D2190</f>
        <v/>
      </c>
      <c r="T2190" s="4">
        <f>E2190&amp;"/"&amp;E2191</f>
        <v/>
      </c>
      <c r="U2190" s="4">
        <f>F2190&amp;"-"&amp;G2190&amp;"-"&amp;F2190</f>
        <v/>
      </c>
      <c r="V2190" s="4">
        <f>IF($M$2190="","",$M$2190)</f>
        <v/>
      </c>
      <c r="W2190" s="4">
        <f>IF($O$2190="","",$O$2190)</f>
        <v/>
      </c>
      <c r="X2190" s="4">
        <f>J2190</f>
        <v/>
      </c>
    </row>
    <row r="2191">
      <c r="B2191" s="4" t="inlineStr">
        <is>
          <t>10_1</t>
        </is>
      </c>
      <c r="C2191" s="4" t="inlineStr">
        <is>
          <t>28/09/2026</t>
        </is>
      </c>
      <c r="D2191" s="4" t="inlineStr">
        <is>
          <t>lunes</t>
        </is>
      </c>
      <c r="E2191" s="4" t="inlineStr">
        <is>
          <t>2313</t>
        </is>
      </c>
      <c r="F2191" s="4" t="inlineStr">
        <is>
          <t>CIX</t>
        </is>
      </c>
      <c r="G2191" s="4" t="inlineStr">
        <is>
          <t>LIM</t>
        </is>
      </c>
      <c r="H2191" s="4" t="inlineStr">
        <is>
          <t>17:50:00</t>
        </is>
      </c>
      <c r="I2191" s="4" t="inlineStr">
        <is>
          <t>19:10:00</t>
        </is>
      </c>
      <c r="J2191" s="4" t="inlineStr">
        <is>
          <t>320</t>
        </is>
      </c>
      <c r="K2191">
        <f>TEXT(TIMEVALUE(H2191)-TIMEVALUE(I2190)+(TIMEVALUE(H2191)&lt;TIMEVALUE(I2190)),"[h]:mm")</f>
        <v/>
      </c>
      <c r="L2191" s="4" t="inlineStr">
        <is>
          <t>01:20:00</t>
        </is>
      </c>
      <c r="O2191">
        <f>"LIM-"&amp;G2190&amp;"-LIM   LA "&amp;E2190&amp;" ("&amp;LEFT(H2190,5)&amp;"-"&amp;LEFT(I2190,5)&amp;" hrs)  /  LA "&amp;E2191&amp;" ("&amp;LEFT(H2191,5)&amp;"-"&amp;LEFT(I2191,5)&amp;" hrs)"</f>
        <v/>
      </c>
    </row>
    <row r="2192">
      <c r="B2192" s="4" t="inlineStr">
        <is>
          <t>14_1</t>
        </is>
      </c>
      <c r="C2192" s="4" t="inlineStr">
        <is>
          <t>28/09/2026</t>
        </is>
      </c>
      <c r="D2192" s="4" t="inlineStr">
        <is>
          <t>lunes</t>
        </is>
      </c>
      <c r="E2192" s="4" t="inlineStr">
        <is>
          <t>2278</t>
        </is>
      </c>
      <c r="F2192" s="4" t="inlineStr">
        <is>
          <t>LIM</t>
        </is>
      </c>
      <c r="G2192" s="4" t="inlineStr">
        <is>
          <t>CIX</t>
        </is>
      </c>
      <c r="H2192" s="4" t="inlineStr">
        <is>
          <t>20:10:00</t>
        </is>
      </c>
      <c r="I2192" s="4" t="inlineStr">
        <is>
          <t>21:40:00</t>
        </is>
      </c>
      <c r="J2192" s="4" t="inlineStr">
        <is>
          <t>320</t>
        </is>
      </c>
      <c r="K2192" s="6">
        <f>TEXT(TIMEVALUE(H2192)-TIMEVALUE(I2191)+(TIMEVALUE(H2192)&lt;TIMEVALUE(I2191)),"[h]:mm")</f>
        <v/>
      </c>
      <c r="L2192" s="4" t="inlineStr">
        <is>
          <t>01:30:00</t>
        </is>
      </c>
      <c r="M2192">
        <f>IF($M$2190="","",$M$2190)</f>
        <v/>
      </c>
      <c r="O2192">
        <f>IF($O$2190="","",$O$2190)</f>
        <v/>
      </c>
      <c r="Q2192" s="4">
        <f>B2192</f>
        <v/>
      </c>
      <c r="R2192" s="4">
        <f>C2192</f>
        <v/>
      </c>
      <c r="S2192" s="4">
        <f>D2192</f>
        <v/>
      </c>
      <c r="T2192" s="4">
        <f>E2192&amp;"/"&amp;E2193</f>
        <v/>
      </c>
      <c r="U2192" s="4">
        <f>F2192&amp;"-"&amp;G2192&amp;"-"&amp;F2192</f>
        <v/>
      </c>
      <c r="V2192" s="4">
        <f>IF($M$2190="","",$M$2190)</f>
        <v/>
      </c>
      <c r="W2192" s="4">
        <f>IF($O$2190="","",$O$2190)</f>
        <v/>
      </c>
      <c r="X2192" s="4">
        <f>J2192</f>
        <v/>
      </c>
    </row>
    <row r="2193">
      <c r="B2193" s="4" t="inlineStr">
        <is>
          <t>14_1</t>
        </is>
      </c>
      <c r="C2193" s="4" t="inlineStr">
        <is>
          <t>28/09/2026</t>
        </is>
      </c>
      <c r="D2193" s="4" t="inlineStr">
        <is>
          <t>lunes</t>
        </is>
      </c>
      <c r="E2193" s="4" t="inlineStr">
        <is>
          <t>2279</t>
        </is>
      </c>
      <c r="F2193" s="4" t="inlineStr">
        <is>
          <t>CIX</t>
        </is>
      </c>
      <c r="G2193" s="4" t="inlineStr">
        <is>
          <t>LIM</t>
        </is>
      </c>
      <c r="H2193" s="4" t="inlineStr">
        <is>
          <t>22:15:00</t>
        </is>
      </c>
      <c r="I2193" s="4" t="inlineStr">
        <is>
          <t>23:35:00</t>
        </is>
      </c>
      <c r="J2193" s="4" t="inlineStr">
        <is>
          <t>320</t>
        </is>
      </c>
      <c r="K2193">
        <f>TEXT(TIMEVALUE(H2193)-TIMEVALUE(I2192)+(TIMEVALUE(H2193)&lt;TIMEVALUE(I2192)),"[h]:mm")</f>
        <v/>
      </c>
      <c r="L2193" s="4" t="inlineStr">
        <is>
          <t>01:20:00</t>
        </is>
      </c>
      <c r="O2193">
        <f>"LIM-"&amp;G2192&amp;"-LIM   LA "&amp;E2192&amp;" ("&amp;LEFT(H2192,5)&amp;"-"&amp;LEFT(I2192,5)&amp;" hrs)  /  LA "&amp;E2193&amp;" ("&amp;LEFT(H2193,5)&amp;"-"&amp;LEFT(I2193,5)&amp;" hrs)"</f>
        <v/>
      </c>
    </row>
    <row r="2194">
      <c r="J2194" s="7" t="inlineStr">
        <is>
          <t>PSV total:</t>
        </is>
      </c>
      <c r="K2194" s="8">
        <f>TEXT(TIMEVALUE(I2193)-TIMEVALUE(H2190)+(I2193&lt;H2190),"[h]:mm")</f>
        <v/>
      </c>
    </row>
    <row r="2196">
      <c r="B2196" s="3" t="inlineStr">
        <is>
          <t>Pairing ID</t>
        </is>
      </c>
      <c r="C2196" s="3" t="inlineStr">
        <is>
          <t>FECHA REAL</t>
        </is>
      </c>
      <c r="D2196" s="3" t="inlineStr">
        <is>
          <t>Day of Week</t>
        </is>
      </c>
      <c r="E2196" s="3" t="inlineStr">
        <is>
          <t>Flight No</t>
        </is>
      </c>
      <c r="F2196" s="3" t="inlineStr">
        <is>
          <t>Dep Stn</t>
        </is>
      </c>
      <c r="G2196" s="3" t="inlineStr">
        <is>
          <t>Arr Stn</t>
        </is>
      </c>
      <c r="H2196" s="3" t="inlineStr">
        <is>
          <t>STD</t>
        </is>
      </c>
      <c r="I2196" s="3" t="inlineStr">
        <is>
          <t>STA</t>
        </is>
      </c>
      <c r="J2196" s="3" t="inlineStr">
        <is>
          <t>subflota</t>
        </is>
      </c>
      <c r="K2196" s="3" t="inlineStr">
        <is>
          <t>Conexion</t>
        </is>
      </c>
      <c r="L2196" s="3" t="inlineStr">
        <is>
          <t>HBT</t>
        </is>
      </c>
    </row>
    <row r="2197">
      <c r="B2197" s="4" t="inlineStr">
        <is>
          <t>2445_0</t>
        </is>
      </c>
      <c r="C2197" s="4" t="inlineStr">
        <is>
          <t>28/09/2026</t>
        </is>
      </c>
      <c r="D2197" s="4" t="inlineStr">
        <is>
          <t>lunes</t>
        </is>
      </c>
      <c r="E2197" s="4" t="inlineStr">
        <is>
          <t>2312</t>
        </is>
      </c>
      <c r="F2197" s="4" t="inlineStr">
        <is>
          <t>LIM</t>
        </is>
      </c>
      <c r="G2197" s="4" t="inlineStr">
        <is>
          <t>CIX</t>
        </is>
      </c>
      <c r="H2197" s="4" t="inlineStr">
        <is>
          <t>15:35:00</t>
        </is>
      </c>
      <c r="I2197" s="4" t="inlineStr">
        <is>
          <t>17:05:00</t>
        </is>
      </c>
      <c r="J2197" s="4" t="inlineStr">
        <is>
          <t>320</t>
        </is>
      </c>
      <c r="L2197" s="4" t="inlineStr">
        <is>
          <t>01:30:00</t>
        </is>
      </c>
      <c r="M2197" s="5" t="n"/>
      <c r="O2197" s="5" t="n"/>
      <c r="Q2197" s="4">
        <f>B2197</f>
        <v/>
      </c>
      <c r="R2197" s="4">
        <f>C2197</f>
        <v/>
      </c>
      <c r="S2197" s="4">
        <f>D2197</f>
        <v/>
      </c>
      <c r="T2197" s="4">
        <f>E2197&amp;"/"&amp;E2198</f>
        <v/>
      </c>
      <c r="U2197" s="4">
        <f>F2197&amp;"-"&amp;G2197&amp;"-"&amp;F2197</f>
        <v/>
      </c>
      <c r="V2197" s="4">
        <f>IF($M$2197="","",$M$2197)</f>
        <v/>
      </c>
      <c r="W2197" s="4">
        <f>IF($O$2197="","",$O$2197)</f>
        <v/>
      </c>
      <c r="X2197" s="4">
        <f>J2197</f>
        <v/>
      </c>
    </row>
    <row r="2198">
      <c r="B2198" s="4" t="inlineStr">
        <is>
          <t>2445_0</t>
        </is>
      </c>
      <c r="C2198" s="4" t="inlineStr">
        <is>
          <t>28/09/2026</t>
        </is>
      </c>
      <c r="D2198" s="4" t="inlineStr">
        <is>
          <t>lunes</t>
        </is>
      </c>
      <c r="E2198" s="4" t="inlineStr">
        <is>
          <t>2313</t>
        </is>
      </c>
      <c r="F2198" s="4" t="inlineStr">
        <is>
          <t>CIX</t>
        </is>
      </c>
      <c r="G2198" s="4" t="inlineStr">
        <is>
          <t>LIM</t>
        </is>
      </c>
      <c r="H2198" s="4" t="inlineStr">
        <is>
          <t>17:50:00</t>
        </is>
      </c>
      <c r="I2198" s="4" t="inlineStr">
        <is>
          <t>19:10:00</t>
        </is>
      </c>
      <c r="J2198" s="4" t="inlineStr">
        <is>
          <t>320</t>
        </is>
      </c>
      <c r="K2198">
        <f>TEXT(TIMEVALUE(H2198)-TIMEVALUE(I2197)+(TIMEVALUE(H2198)&lt;TIMEVALUE(I2197)),"[h]:mm")</f>
        <v/>
      </c>
      <c r="L2198" s="4" t="inlineStr">
        <is>
          <t>01:20:00</t>
        </is>
      </c>
      <c r="O2198">
        <f>"LIM-"&amp;G2197&amp;"-LIM   LA "&amp;E2197&amp;" ("&amp;LEFT(H2197,5)&amp;"-"&amp;LEFT(I2197,5)&amp;" hrs)  /  LA "&amp;E2198&amp;" ("&amp;LEFT(H2198,5)&amp;"-"&amp;LEFT(I2198,5)&amp;" hrs)"</f>
        <v/>
      </c>
    </row>
    <row r="2199">
      <c r="J2199" s="7" t="inlineStr">
        <is>
          <t>PSV total:</t>
        </is>
      </c>
      <c r="K2199" s="8">
        <f>TEXT(TIMEVALUE(I2198)-TIMEVALUE(H2197)+(I2198&lt;H2197),"[h]:mm")</f>
        <v/>
      </c>
    </row>
    <row r="2201">
      <c r="B2201" s="3" t="inlineStr">
        <is>
          <t>Pairing ID</t>
        </is>
      </c>
      <c r="C2201" s="3" t="inlineStr">
        <is>
          <t>FECHA REAL</t>
        </is>
      </c>
      <c r="D2201" s="3" t="inlineStr">
        <is>
          <t>Day of Week</t>
        </is>
      </c>
      <c r="E2201" s="3" t="inlineStr">
        <is>
          <t>Flight No</t>
        </is>
      </c>
      <c r="F2201" s="3" t="inlineStr">
        <is>
          <t>Dep Stn</t>
        </is>
      </c>
      <c r="G2201" s="3" t="inlineStr">
        <is>
          <t>Arr Stn</t>
        </is>
      </c>
      <c r="H2201" s="3" t="inlineStr">
        <is>
          <t>STD</t>
        </is>
      </c>
      <c r="I2201" s="3" t="inlineStr">
        <is>
          <t>STA</t>
        </is>
      </c>
      <c r="J2201" s="3" t="inlineStr">
        <is>
          <t>subflota</t>
        </is>
      </c>
      <c r="K2201" s="3" t="inlineStr">
        <is>
          <t>Conexion</t>
        </is>
      </c>
      <c r="L2201" s="3" t="inlineStr">
        <is>
          <t>HBT</t>
        </is>
      </c>
    </row>
    <row r="2202">
      <c r="B2202" s="4" t="inlineStr">
        <is>
          <t>2446_0</t>
        </is>
      </c>
      <c r="C2202" s="4" t="inlineStr">
        <is>
          <t>28/09/2026</t>
        </is>
      </c>
      <c r="D2202" s="4" t="inlineStr">
        <is>
          <t>lunes</t>
        </is>
      </c>
      <c r="E2202" s="4" t="inlineStr">
        <is>
          <t>2312</t>
        </is>
      </c>
      <c r="F2202" s="4" t="inlineStr">
        <is>
          <t>LIM</t>
        </is>
      </c>
      <c r="G2202" s="4" t="inlineStr">
        <is>
          <t>CIX</t>
        </is>
      </c>
      <c r="H2202" s="4" t="inlineStr">
        <is>
          <t>15:35:00</t>
        </is>
      </c>
      <c r="I2202" s="4" t="inlineStr">
        <is>
          <t>17:05:00</t>
        </is>
      </c>
      <c r="J2202" s="4" t="inlineStr">
        <is>
          <t>320</t>
        </is>
      </c>
      <c r="L2202" s="4" t="inlineStr">
        <is>
          <t>01:30:00</t>
        </is>
      </c>
      <c r="M2202" s="5" t="n"/>
      <c r="O2202" s="5" t="n"/>
      <c r="Q2202" s="4">
        <f>B2202</f>
        <v/>
      </c>
      <c r="R2202" s="4">
        <f>C2202</f>
        <v/>
      </c>
      <c r="S2202" s="4">
        <f>D2202</f>
        <v/>
      </c>
      <c r="T2202" s="4">
        <f>E2202&amp;"/"&amp;E2203</f>
        <v/>
      </c>
      <c r="U2202" s="4">
        <f>F2202&amp;"-"&amp;G2202&amp;"-"&amp;F2202</f>
        <v/>
      </c>
      <c r="V2202" s="4">
        <f>IF($M$2202="","",$M$2202)</f>
        <v/>
      </c>
      <c r="W2202" s="4">
        <f>IF($O$2202="","",$O$2202)</f>
        <v/>
      </c>
      <c r="X2202" s="4">
        <f>J2202</f>
        <v/>
      </c>
    </row>
    <row r="2203">
      <c r="B2203" s="4" t="inlineStr">
        <is>
          <t>2446_0</t>
        </is>
      </c>
      <c r="C2203" s="4" t="inlineStr">
        <is>
          <t>28/09/2026</t>
        </is>
      </c>
      <c r="D2203" s="4" t="inlineStr">
        <is>
          <t>lunes</t>
        </is>
      </c>
      <c r="E2203" s="4" t="inlineStr">
        <is>
          <t>2313</t>
        </is>
      </c>
      <c r="F2203" s="4" t="inlineStr">
        <is>
          <t>CIX</t>
        </is>
      </c>
      <c r="G2203" s="4" t="inlineStr">
        <is>
          <t>LIM</t>
        </is>
      </c>
      <c r="H2203" s="4" t="inlineStr">
        <is>
          <t>17:50:00</t>
        </is>
      </c>
      <c r="I2203" s="4" t="inlineStr">
        <is>
          <t>19:10:00</t>
        </is>
      </c>
      <c r="J2203" s="4" t="inlineStr">
        <is>
          <t>320</t>
        </is>
      </c>
      <c r="K2203">
        <f>TEXT(TIMEVALUE(H2203)-TIMEVALUE(I2202)+(TIMEVALUE(H2203)&lt;TIMEVALUE(I2202)),"[h]:mm")</f>
        <v/>
      </c>
      <c r="L2203" s="4" t="inlineStr">
        <is>
          <t>01:20:00</t>
        </is>
      </c>
      <c r="O2203">
        <f>"LIM-"&amp;G2202&amp;"-LIM   LA "&amp;E2202&amp;" ("&amp;LEFT(H2202,5)&amp;"-"&amp;LEFT(I2202,5)&amp;" hrs)  /  LA "&amp;E2203&amp;" ("&amp;LEFT(H2203,5)&amp;"-"&amp;LEFT(I2203,5)&amp;" hrs)"</f>
        <v/>
      </c>
    </row>
    <row r="2204">
      <c r="J2204" s="7" t="inlineStr">
        <is>
          <t>PSV total:</t>
        </is>
      </c>
      <c r="K2204" s="8">
        <f>TEXT(TIMEVALUE(I2203)-TIMEVALUE(H2202)+(I2203&lt;H2202),"[h]:mm")</f>
        <v/>
      </c>
    </row>
    <row r="2206">
      <c r="B2206" s="3" t="inlineStr">
        <is>
          <t>Pairing ID</t>
        </is>
      </c>
      <c r="C2206" s="3" t="inlineStr">
        <is>
          <t>FECHA REAL</t>
        </is>
      </c>
      <c r="D2206" s="3" t="inlineStr">
        <is>
          <t>Day of Week</t>
        </is>
      </c>
      <c r="E2206" s="3" t="inlineStr">
        <is>
          <t>Flight No</t>
        </is>
      </c>
      <c r="F2206" s="3" t="inlineStr">
        <is>
          <t>Dep Stn</t>
        </is>
      </c>
      <c r="G2206" s="3" t="inlineStr">
        <is>
          <t>Arr Stn</t>
        </is>
      </c>
      <c r="H2206" s="3" t="inlineStr">
        <is>
          <t>STD</t>
        </is>
      </c>
      <c r="I2206" s="3" t="inlineStr">
        <is>
          <t>STA</t>
        </is>
      </c>
      <c r="J2206" s="3" t="inlineStr">
        <is>
          <t>subflota</t>
        </is>
      </c>
      <c r="K2206" s="3" t="inlineStr">
        <is>
          <t>Conexion</t>
        </is>
      </c>
      <c r="L2206" s="3" t="inlineStr">
        <is>
          <t>HBT</t>
        </is>
      </c>
    </row>
    <row r="2207">
      <c r="B2207" s="4" t="inlineStr">
        <is>
          <t>12_1</t>
        </is>
      </c>
      <c r="C2207" s="4" t="inlineStr">
        <is>
          <t>28/09/2026</t>
        </is>
      </c>
      <c r="D2207" s="4" t="inlineStr">
        <is>
          <t>lunes</t>
        </is>
      </c>
      <c r="E2207" s="4" t="inlineStr">
        <is>
          <t>2276</t>
        </is>
      </c>
      <c r="F2207" s="4" t="inlineStr">
        <is>
          <t>LIM</t>
        </is>
      </c>
      <c r="G2207" s="4" t="inlineStr">
        <is>
          <t>CUZ</t>
        </is>
      </c>
      <c r="H2207" s="4" t="inlineStr">
        <is>
          <t>16:35:00</t>
        </is>
      </c>
      <c r="I2207" s="4" t="inlineStr">
        <is>
          <t>17:55:00</t>
        </is>
      </c>
      <c r="J2207" s="4" t="inlineStr">
        <is>
          <t>320</t>
        </is>
      </c>
      <c r="L2207" s="4" t="inlineStr">
        <is>
          <t>01:20:00</t>
        </is>
      </c>
      <c r="M2207" s="5" t="n"/>
      <c r="O2207" s="5" t="n"/>
      <c r="Q2207" s="4">
        <f>B2207</f>
        <v/>
      </c>
      <c r="R2207" s="4">
        <f>C2207</f>
        <v/>
      </c>
      <c r="S2207" s="4">
        <f>D2207</f>
        <v/>
      </c>
      <c r="T2207" s="4">
        <f>E2207&amp;"/"&amp;E2208</f>
        <v/>
      </c>
      <c r="U2207" s="4">
        <f>F2207&amp;"-"&amp;G2207&amp;"-"&amp;F2207</f>
        <v/>
      </c>
      <c r="V2207" s="4">
        <f>IF($M$2207="","",$M$2207)</f>
        <v/>
      </c>
      <c r="W2207" s="4">
        <f>IF($O$2207="","",$O$2207)</f>
        <v/>
      </c>
      <c r="X2207" s="4">
        <f>J2207</f>
        <v/>
      </c>
    </row>
    <row r="2208">
      <c r="B2208" s="4" t="inlineStr">
        <is>
          <t>12_1</t>
        </is>
      </c>
      <c r="C2208" s="4" t="inlineStr">
        <is>
          <t>28/09/2026</t>
        </is>
      </c>
      <c r="D2208" s="4" t="inlineStr">
        <is>
          <t>lunes</t>
        </is>
      </c>
      <c r="E2208" s="4" t="inlineStr">
        <is>
          <t>2277</t>
        </is>
      </c>
      <c r="F2208" s="4" t="inlineStr">
        <is>
          <t>CUZ</t>
        </is>
      </c>
      <c r="G2208" s="4" t="inlineStr">
        <is>
          <t>LIM</t>
        </is>
      </c>
      <c r="H2208" s="4" t="inlineStr">
        <is>
          <t>18:50:00</t>
        </is>
      </c>
      <c r="I2208" s="4" t="inlineStr">
        <is>
          <t>20:25:00</t>
        </is>
      </c>
      <c r="J2208" s="4" t="inlineStr">
        <is>
          <t>320</t>
        </is>
      </c>
      <c r="K2208">
        <f>TEXT(TIMEVALUE(H2208)-TIMEVALUE(I2207)+(TIMEVALUE(H2208)&lt;TIMEVALUE(I2207)),"[h]:mm")</f>
        <v/>
      </c>
      <c r="L2208" s="4" t="inlineStr">
        <is>
          <t>01:35:00</t>
        </is>
      </c>
      <c r="O2208">
        <f>"LIM-"&amp;G2207&amp;"-LIM   LA "&amp;E2207&amp;" ("&amp;LEFT(H2207,5)&amp;"-"&amp;LEFT(I2207,5)&amp;" hrs)  /  LA "&amp;E2208&amp;" ("&amp;LEFT(H2208,5)&amp;"-"&amp;LEFT(I2208,5)&amp;" hrs)"</f>
        <v/>
      </c>
    </row>
    <row r="2209">
      <c r="J2209" s="7" t="inlineStr">
        <is>
          <t>PSV total:</t>
        </is>
      </c>
      <c r="K2209" s="8">
        <f>TEXT(TIMEVALUE(I2208)-TIMEVALUE(H2207)+(I2208&lt;H2207),"[h]:mm")</f>
        <v/>
      </c>
    </row>
    <row r="2211">
      <c r="B2211" s="3" t="inlineStr">
        <is>
          <t>Pairing ID</t>
        </is>
      </c>
      <c r="C2211" s="3" t="inlineStr">
        <is>
          <t>FECHA REAL</t>
        </is>
      </c>
      <c r="D2211" s="3" t="inlineStr">
        <is>
          <t>Day of Week</t>
        </is>
      </c>
      <c r="E2211" s="3" t="inlineStr">
        <is>
          <t>Flight No</t>
        </is>
      </c>
      <c r="F2211" s="3" t="inlineStr">
        <is>
          <t>Dep Stn</t>
        </is>
      </c>
      <c r="G2211" s="3" t="inlineStr">
        <is>
          <t>Arr Stn</t>
        </is>
      </c>
      <c r="H2211" s="3" t="inlineStr">
        <is>
          <t>STD</t>
        </is>
      </c>
      <c r="I2211" s="3" t="inlineStr">
        <is>
          <t>STA</t>
        </is>
      </c>
      <c r="J2211" s="3" t="inlineStr">
        <is>
          <t>subflota</t>
        </is>
      </c>
      <c r="K2211" s="3" t="inlineStr">
        <is>
          <t>Conexion</t>
        </is>
      </c>
      <c r="L2211" s="3" t="inlineStr">
        <is>
          <t>HBT</t>
        </is>
      </c>
    </row>
    <row r="2212">
      <c r="B2212" s="4" t="inlineStr">
        <is>
          <t>13_1</t>
        </is>
      </c>
      <c r="C2212" s="4" t="inlineStr">
        <is>
          <t>28/09/2026</t>
        </is>
      </c>
      <c r="D2212" s="4" t="inlineStr">
        <is>
          <t>lunes</t>
        </is>
      </c>
      <c r="E2212" s="4" t="inlineStr">
        <is>
          <t>2304</t>
        </is>
      </c>
      <c r="F2212" s="4" t="inlineStr">
        <is>
          <t>LIM</t>
        </is>
      </c>
      <c r="G2212" s="4" t="inlineStr">
        <is>
          <t>PIU</t>
        </is>
      </c>
      <c r="H2212" s="4" t="inlineStr">
        <is>
          <t>16:55:00</t>
        </is>
      </c>
      <c r="I2212" s="4" t="inlineStr">
        <is>
          <t>18:35:00</t>
        </is>
      </c>
      <c r="J2212" s="4" t="inlineStr">
        <is>
          <t>320</t>
        </is>
      </c>
      <c r="L2212" s="4" t="inlineStr">
        <is>
          <t>01:40:00</t>
        </is>
      </c>
      <c r="M2212" s="5" t="n"/>
      <c r="O2212" s="5" t="n"/>
      <c r="Q2212" s="4">
        <f>B2212</f>
        <v/>
      </c>
      <c r="R2212" s="4">
        <f>C2212</f>
        <v/>
      </c>
      <c r="S2212" s="4">
        <f>D2212</f>
        <v/>
      </c>
      <c r="T2212" s="4">
        <f>E2212&amp;"/"&amp;E2213</f>
        <v/>
      </c>
      <c r="U2212" s="4">
        <f>F2212&amp;"-"&amp;G2212&amp;"-"&amp;F2212</f>
        <v/>
      </c>
      <c r="V2212" s="4">
        <f>IF($M$2212="","",$M$2212)</f>
        <v/>
      </c>
      <c r="W2212" s="4">
        <f>IF($O$2212="","",$O$2212)</f>
        <v/>
      </c>
      <c r="X2212" s="4">
        <f>J2212</f>
        <v/>
      </c>
    </row>
    <row r="2213">
      <c r="B2213" s="4" t="inlineStr">
        <is>
          <t>13_1</t>
        </is>
      </c>
      <c r="C2213" s="4" t="inlineStr">
        <is>
          <t>28/09/2026</t>
        </is>
      </c>
      <c r="D2213" s="4" t="inlineStr">
        <is>
          <t>lunes</t>
        </is>
      </c>
      <c r="E2213" s="4" t="inlineStr">
        <is>
          <t>2305</t>
        </is>
      </c>
      <c r="F2213" s="4" t="inlineStr">
        <is>
          <t>PIU</t>
        </is>
      </c>
      <c r="G2213" s="4" t="inlineStr">
        <is>
          <t>LIM</t>
        </is>
      </c>
      <c r="H2213" s="4" t="inlineStr">
        <is>
          <t>19:10:00</t>
        </is>
      </c>
      <c r="I2213" s="4" t="inlineStr">
        <is>
          <t>20:40:00</t>
        </is>
      </c>
      <c r="J2213" s="4" t="inlineStr">
        <is>
          <t>320</t>
        </is>
      </c>
      <c r="K2213">
        <f>TEXT(TIMEVALUE(H2213)-TIMEVALUE(I2212)+(TIMEVALUE(H2213)&lt;TIMEVALUE(I2212)),"[h]:mm")</f>
        <v/>
      </c>
      <c r="L2213" s="4" t="inlineStr">
        <is>
          <t>01:30:00</t>
        </is>
      </c>
      <c r="O2213">
        <f>"LIM-"&amp;G2212&amp;"-LIM   LA "&amp;E2212&amp;" ("&amp;LEFT(H2212,5)&amp;"-"&amp;LEFT(I2212,5)&amp;" hrs)  /  LA "&amp;E2213&amp;" ("&amp;LEFT(H2213,5)&amp;"-"&amp;LEFT(I2213,5)&amp;" hrs)"</f>
        <v/>
      </c>
    </row>
    <row r="2214">
      <c r="J2214" s="7" t="inlineStr">
        <is>
          <t>PSV total:</t>
        </is>
      </c>
      <c r="K2214" s="8">
        <f>TEXT(TIMEVALUE(I2213)-TIMEVALUE(H2212)+(I2213&lt;H2212),"[h]:mm")</f>
        <v/>
      </c>
    </row>
    <row r="2216">
      <c r="B2216" s="3" t="inlineStr">
        <is>
          <t>Pairing ID</t>
        </is>
      </c>
      <c r="C2216" s="3" t="inlineStr">
        <is>
          <t>FECHA REAL</t>
        </is>
      </c>
      <c r="D2216" s="3" t="inlineStr">
        <is>
          <t>Day of Week</t>
        </is>
      </c>
      <c r="E2216" s="3" t="inlineStr">
        <is>
          <t>Flight No</t>
        </is>
      </c>
      <c r="F2216" s="3" t="inlineStr">
        <is>
          <t>Dep Stn</t>
        </is>
      </c>
      <c r="G2216" s="3" t="inlineStr">
        <is>
          <t>Arr Stn</t>
        </is>
      </c>
      <c r="H2216" s="3" t="inlineStr">
        <is>
          <t>STD</t>
        </is>
      </c>
      <c r="I2216" s="3" t="inlineStr">
        <is>
          <t>STA</t>
        </is>
      </c>
      <c r="J2216" s="3" t="inlineStr">
        <is>
          <t>subflota</t>
        </is>
      </c>
      <c r="K2216" s="3" t="inlineStr">
        <is>
          <t>Conexion</t>
        </is>
      </c>
      <c r="L2216" s="3" t="inlineStr">
        <is>
          <t>HBT</t>
        </is>
      </c>
    </row>
    <row r="2217">
      <c r="B2217" s="4" t="inlineStr">
        <is>
          <t>2450_0</t>
        </is>
      </c>
      <c r="C2217" s="4" t="inlineStr">
        <is>
          <t>28/09/2026</t>
        </is>
      </c>
      <c r="D2217" s="4" t="inlineStr">
        <is>
          <t>lunes</t>
        </is>
      </c>
      <c r="E2217" s="4" t="inlineStr">
        <is>
          <t>2304</t>
        </is>
      </c>
      <c r="F2217" s="4" t="inlineStr">
        <is>
          <t>LIM</t>
        </is>
      </c>
      <c r="G2217" s="4" t="inlineStr">
        <is>
          <t>PIU</t>
        </is>
      </c>
      <c r="H2217" s="4" t="inlineStr">
        <is>
          <t>16:55:00</t>
        </is>
      </c>
      <c r="I2217" s="4" t="inlineStr">
        <is>
          <t>18:35:00</t>
        </is>
      </c>
      <c r="J2217" s="4" t="inlineStr">
        <is>
          <t>320</t>
        </is>
      </c>
      <c r="L2217" s="4" t="inlineStr">
        <is>
          <t>01:40:00</t>
        </is>
      </c>
      <c r="M2217" s="5" t="n"/>
      <c r="O2217" s="5" t="n"/>
      <c r="Q2217" s="4">
        <f>B2217</f>
        <v/>
      </c>
      <c r="R2217" s="4">
        <f>C2217</f>
        <v/>
      </c>
      <c r="S2217" s="4">
        <f>D2217</f>
        <v/>
      </c>
      <c r="T2217" s="4">
        <f>E2217&amp;"/"&amp;E2218</f>
        <v/>
      </c>
      <c r="U2217" s="4">
        <f>F2217&amp;"-"&amp;G2217&amp;"-"&amp;F2217</f>
        <v/>
      </c>
      <c r="V2217" s="4">
        <f>IF($M$2217="","",$M$2217)</f>
        <v/>
      </c>
      <c r="W2217" s="4">
        <f>IF($O$2217="","",$O$2217)</f>
        <v/>
      </c>
      <c r="X2217" s="4">
        <f>J2217</f>
        <v/>
      </c>
    </row>
    <row r="2218">
      <c r="B2218" s="4" t="inlineStr">
        <is>
          <t>2450_0</t>
        </is>
      </c>
      <c r="C2218" s="4" t="inlineStr">
        <is>
          <t>28/09/2026</t>
        </is>
      </c>
      <c r="D2218" s="4" t="inlineStr">
        <is>
          <t>lunes</t>
        </is>
      </c>
      <c r="E2218" s="4" t="inlineStr">
        <is>
          <t>2305</t>
        </is>
      </c>
      <c r="F2218" s="4" t="inlineStr">
        <is>
          <t>PIU</t>
        </is>
      </c>
      <c r="G2218" s="4" t="inlineStr">
        <is>
          <t>LIM</t>
        </is>
      </c>
      <c r="H2218" s="4" t="inlineStr">
        <is>
          <t>19:10:00</t>
        </is>
      </c>
      <c r="I2218" s="4" t="inlineStr">
        <is>
          <t>20:40:00</t>
        </is>
      </c>
      <c r="J2218" s="4" t="inlineStr">
        <is>
          <t>320</t>
        </is>
      </c>
      <c r="K2218">
        <f>TEXT(TIMEVALUE(H2218)-TIMEVALUE(I2217)+(TIMEVALUE(H2218)&lt;TIMEVALUE(I2217)),"[h]:mm")</f>
        <v/>
      </c>
      <c r="L2218" s="4" t="inlineStr">
        <is>
          <t>01:30:00</t>
        </is>
      </c>
      <c r="O2218">
        <f>"LIM-"&amp;G2217&amp;"-LIM   LA "&amp;E2217&amp;" ("&amp;LEFT(H2217,5)&amp;"-"&amp;LEFT(I2217,5)&amp;" hrs)  /  LA "&amp;E2218&amp;" ("&amp;LEFT(H2218,5)&amp;"-"&amp;LEFT(I2218,5)&amp;" hrs)"</f>
        <v/>
      </c>
    </row>
    <row r="2219">
      <c r="J2219" s="7" t="inlineStr">
        <is>
          <t>PSV total:</t>
        </is>
      </c>
      <c r="K2219" s="8">
        <f>TEXT(TIMEVALUE(I2218)-TIMEVALUE(H2217)+(I2218&lt;H2217),"[h]:mm")</f>
        <v/>
      </c>
    </row>
    <row r="2221">
      <c r="B2221" s="3" t="inlineStr">
        <is>
          <t>Pairing ID</t>
        </is>
      </c>
      <c r="C2221" s="3" t="inlineStr">
        <is>
          <t>FECHA REAL</t>
        </is>
      </c>
      <c r="D2221" s="3" t="inlineStr">
        <is>
          <t>Day of Week</t>
        </is>
      </c>
      <c r="E2221" s="3" t="inlineStr">
        <is>
          <t>Flight No</t>
        </is>
      </c>
      <c r="F2221" s="3" t="inlineStr">
        <is>
          <t>Dep Stn</t>
        </is>
      </c>
      <c r="G2221" s="3" t="inlineStr">
        <is>
          <t>Arr Stn</t>
        </is>
      </c>
      <c r="H2221" s="3" t="inlineStr">
        <is>
          <t>STD</t>
        </is>
      </c>
      <c r="I2221" s="3" t="inlineStr">
        <is>
          <t>STA</t>
        </is>
      </c>
      <c r="J2221" s="3" t="inlineStr">
        <is>
          <t>subflota</t>
        </is>
      </c>
      <c r="K2221" s="3" t="inlineStr">
        <is>
          <t>Conexion</t>
        </is>
      </c>
      <c r="L2221" s="3" t="inlineStr">
        <is>
          <t>HBT</t>
        </is>
      </c>
    </row>
    <row r="2222">
      <c r="B2222" s="4" t="inlineStr">
        <is>
          <t>2452_0</t>
        </is>
      </c>
      <c r="C2222" s="4" t="inlineStr">
        <is>
          <t>28/09/2026</t>
        </is>
      </c>
      <c r="D2222" s="4" t="inlineStr">
        <is>
          <t>lunes</t>
        </is>
      </c>
      <c r="E2222" s="4" t="inlineStr">
        <is>
          <t>2236</t>
        </is>
      </c>
      <c r="F2222" s="4" t="inlineStr">
        <is>
          <t>LIM</t>
        </is>
      </c>
      <c r="G2222" s="4" t="inlineStr">
        <is>
          <t>PIU</t>
        </is>
      </c>
      <c r="H2222" s="4" t="inlineStr">
        <is>
          <t>18:00:00</t>
        </is>
      </c>
      <c r="I2222" s="4" t="inlineStr">
        <is>
          <t>19:40:00</t>
        </is>
      </c>
      <c r="J2222" s="4" t="inlineStr">
        <is>
          <t>320</t>
        </is>
      </c>
      <c r="L2222" s="4" t="inlineStr">
        <is>
          <t>01:40:00</t>
        </is>
      </c>
      <c r="M2222" s="5" t="n"/>
      <c r="O2222" s="5" t="n"/>
      <c r="Q2222" s="4">
        <f>B2222</f>
        <v/>
      </c>
      <c r="R2222" s="4">
        <f>C2222</f>
        <v/>
      </c>
      <c r="S2222" s="4">
        <f>D2222</f>
        <v/>
      </c>
      <c r="T2222" s="4">
        <f>E2222&amp;"/"&amp;E2223</f>
        <v/>
      </c>
      <c r="U2222" s="4">
        <f>F2222&amp;"-"&amp;G2222&amp;"-"&amp;F2222</f>
        <v/>
      </c>
      <c r="V2222" s="4">
        <f>IF($M$2222="","",$M$2222)</f>
        <v/>
      </c>
      <c r="W2222" s="4">
        <f>IF($O$2222="","",$O$2222)</f>
        <v/>
      </c>
      <c r="X2222" s="4">
        <f>J2222</f>
        <v/>
      </c>
    </row>
    <row r="2223">
      <c r="B2223" s="4" t="inlineStr">
        <is>
          <t>2452_0</t>
        </is>
      </c>
      <c r="C2223" s="4" t="inlineStr">
        <is>
          <t>28/09/2026</t>
        </is>
      </c>
      <c r="D2223" s="4" t="inlineStr">
        <is>
          <t>lunes</t>
        </is>
      </c>
      <c r="E2223" s="4" t="inlineStr">
        <is>
          <t>2237</t>
        </is>
      </c>
      <c r="F2223" s="4" t="inlineStr">
        <is>
          <t>PIU</t>
        </is>
      </c>
      <c r="G2223" s="4" t="inlineStr">
        <is>
          <t>LIM</t>
        </is>
      </c>
      <c r="H2223" s="4" t="inlineStr">
        <is>
          <t>20:20:00</t>
        </is>
      </c>
      <c r="I2223" s="4" t="inlineStr">
        <is>
          <t>21:50:00</t>
        </is>
      </c>
      <c r="J2223" s="4" t="inlineStr">
        <is>
          <t>320</t>
        </is>
      </c>
      <c r="K2223">
        <f>TEXT(TIMEVALUE(H2223)-TIMEVALUE(I2222)+(TIMEVALUE(H2223)&lt;TIMEVALUE(I2222)),"[h]:mm")</f>
        <v/>
      </c>
      <c r="L2223" s="4" t="inlineStr">
        <is>
          <t>01:30:00</t>
        </is>
      </c>
      <c r="O2223">
        <f>"LIM-"&amp;G2222&amp;"-LIM   LA "&amp;E2222&amp;" ("&amp;LEFT(H2222,5)&amp;"-"&amp;LEFT(I2222,5)&amp;" hrs)  /  LA "&amp;E2223&amp;" ("&amp;LEFT(H2223,5)&amp;"-"&amp;LEFT(I2223,5)&amp;" hrs)"</f>
        <v/>
      </c>
    </row>
    <row r="2224">
      <c r="J2224" s="7" t="inlineStr">
        <is>
          <t>PSV total:</t>
        </is>
      </c>
      <c r="K2224" s="8">
        <f>TEXT(TIMEVALUE(I2223)-TIMEVALUE(H2222)+(I2223&lt;H2222),"[h]:mm")</f>
        <v/>
      </c>
    </row>
    <row r="2226">
      <c r="B2226" s="3" t="inlineStr">
        <is>
          <t>Pairing ID</t>
        </is>
      </c>
      <c r="C2226" s="3" t="inlineStr">
        <is>
          <t>FECHA REAL</t>
        </is>
      </c>
      <c r="D2226" s="3" t="inlineStr">
        <is>
          <t>Day of Week</t>
        </is>
      </c>
      <c r="E2226" s="3" t="inlineStr">
        <is>
          <t>Flight No</t>
        </is>
      </c>
      <c r="F2226" s="3" t="inlineStr">
        <is>
          <t>Dep Stn</t>
        </is>
      </c>
      <c r="G2226" s="3" t="inlineStr">
        <is>
          <t>Arr Stn</t>
        </is>
      </c>
      <c r="H2226" s="3" t="inlineStr">
        <is>
          <t>STD</t>
        </is>
      </c>
      <c r="I2226" s="3" t="inlineStr">
        <is>
          <t>STA</t>
        </is>
      </c>
      <c r="J2226" s="3" t="inlineStr">
        <is>
          <t>subflota</t>
        </is>
      </c>
      <c r="K2226" s="3" t="inlineStr">
        <is>
          <t>Conexion</t>
        </is>
      </c>
      <c r="L2226" s="3" t="inlineStr">
        <is>
          <t>HBT</t>
        </is>
      </c>
    </row>
    <row r="2227">
      <c r="B2227" s="4" t="inlineStr">
        <is>
          <t>2494_0</t>
        </is>
      </c>
      <c r="C2227" s="4" t="inlineStr">
        <is>
          <t>29/09/2026</t>
        </is>
      </c>
      <c r="D2227" s="4" t="inlineStr">
        <is>
          <t>martes</t>
        </is>
      </c>
      <c r="E2227" s="4" t="inlineStr">
        <is>
          <t>2013</t>
        </is>
      </c>
      <c r="F2227" s="4" t="inlineStr">
        <is>
          <t>LIM</t>
        </is>
      </c>
      <c r="G2227" s="4" t="inlineStr">
        <is>
          <t>CUZ</t>
        </is>
      </c>
      <c r="H2227" s="4" t="inlineStr">
        <is>
          <t>08:35:00</t>
        </is>
      </c>
      <c r="I2227" s="4" t="inlineStr">
        <is>
          <t>09:55:00</t>
        </is>
      </c>
      <c r="J2227" s="4" t="inlineStr">
        <is>
          <t>320</t>
        </is>
      </c>
      <c r="L2227" s="4" t="inlineStr">
        <is>
          <t>01:20:00</t>
        </is>
      </c>
      <c r="M2227" s="5" t="n"/>
      <c r="O2227" s="5" t="n"/>
      <c r="Q2227" s="4">
        <f>B2227</f>
        <v/>
      </c>
      <c r="R2227" s="4">
        <f>C2227</f>
        <v/>
      </c>
      <c r="S2227" s="4">
        <f>D2227</f>
        <v/>
      </c>
      <c r="T2227" s="4">
        <f>E2227&amp;"/"&amp;E2228</f>
        <v/>
      </c>
      <c r="U2227" s="4">
        <f>F2227&amp;"-"&amp;G2227&amp;"-"&amp;F2227</f>
        <v/>
      </c>
      <c r="V2227" s="4">
        <f>IF($M$2227="","",$M$2227)</f>
        <v/>
      </c>
      <c r="W2227" s="4">
        <f>IF($O$2227="","",$O$2227)</f>
        <v/>
      </c>
      <c r="X2227" s="4">
        <f>J2227</f>
        <v/>
      </c>
    </row>
    <row r="2228">
      <c r="B2228" s="4" t="inlineStr">
        <is>
          <t>2494_0</t>
        </is>
      </c>
      <c r="C2228" s="4" t="inlineStr">
        <is>
          <t>29/09/2026</t>
        </is>
      </c>
      <c r="D2228" s="4" t="inlineStr">
        <is>
          <t>martes</t>
        </is>
      </c>
      <c r="E2228" s="4" t="inlineStr">
        <is>
          <t>2014</t>
        </is>
      </c>
      <c r="F2228" s="4" t="inlineStr">
        <is>
          <t>CUZ</t>
        </is>
      </c>
      <c r="G2228" s="4" t="inlineStr">
        <is>
          <t>LIM</t>
        </is>
      </c>
      <c r="H2228" s="4" t="inlineStr">
        <is>
          <t>10:40:00</t>
        </is>
      </c>
      <c r="I2228" s="4" t="inlineStr">
        <is>
          <t>12:15:00</t>
        </is>
      </c>
      <c r="J2228" s="4" t="inlineStr">
        <is>
          <t>320</t>
        </is>
      </c>
      <c r="K2228">
        <f>TEXT(TIMEVALUE(H2228)-TIMEVALUE(I2227)+(TIMEVALUE(H2228)&lt;TIMEVALUE(I2227)),"[h]:mm")</f>
        <v/>
      </c>
      <c r="L2228" s="4" t="inlineStr">
        <is>
          <t>01:35:00</t>
        </is>
      </c>
      <c r="O2228">
        <f>"LIM-"&amp;G2227&amp;"-LIM   LA "&amp;E2227&amp;" ("&amp;LEFT(H2227,5)&amp;"-"&amp;LEFT(I2227,5)&amp;" hrs)  /  LA "&amp;E2228&amp;" ("&amp;LEFT(H2228,5)&amp;"-"&amp;LEFT(I2228,5)&amp;" hrs)"</f>
        <v/>
      </c>
    </row>
    <row r="2229">
      <c r="B2229" s="4" t="inlineStr">
        <is>
          <t>2515_0</t>
        </is>
      </c>
      <c r="C2229" s="4" t="inlineStr">
        <is>
          <t>29/09/2026</t>
        </is>
      </c>
      <c r="D2229" s="4" t="inlineStr">
        <is>
          <t>martes</t>
        </is>
      </c>
      <c r="E2229" s="4" t="inlineStr">
        <is>
          <t>2028</t>
        </is>
      </c>
      <c r="F2229" s="4" t="inlineStr">
        <is>
          <t>LIM</t>
        </is>
      </c>
      <c r="G2229" s="4" t="inlineStr">
        <is>
          <t>CUZ</t>
        </is>
      </c>
      <c r="H2229" s="4" t="inlineStr">
        <is>
          <t>13:25:00</t>
        </is>
      </c>
      <c r="I2229" s="4" t="inlineStr">
        <is>
          <t>14:45:00</t>
        </is>
      </c>
      <c r="J2229" s="4" t="inlineStr">
        <is>
          <t>320</t>
        </is>
      </c>
      <c r="K2229" s="6">
        <f>TEXT(TIMEVALUE(H2229)-TIMEVALUE(I2228)+(TIMEVALUE(H2229)&lt;TIMEVALUE(I2228)),"[h]:mm")</f>
        <v/>
      </c>
      <c r="L2229" s="4" t="inlineStr">
        <is>
          <t>01:20:00</t>
        </is>
      </c>
      <c r="M2229">
        <f>IF($M$2227="","",$M$2227)</f>
        <v/>
      </c>
      <c r="O2229">
        <f>IF($O$2227="","",$O$2227)</f>
        <v/>
      </c>
      <c r="Q2229" s="4">
        <f>B2229</f>
        <v/>
      </c>
      <c r="R2229" s="4">
        <f>C2229</f>
        <v/>
      </c>
      <c r="S2229" s="4">
        <f>D2229</f>
        <v/>
      </c>
      <c r="T2229" s="4">
        <f>E2229&amp;"/"&amp;E2230</f>
        <v/>
      </c>
      <c r="U2229" s="4">
        <f>F2229&amp;"-"&amp;G2229&amp;"-"&amp;F2229</f>
        <v/>
      </c>
      <c r="V2229" s="4">
        <f>IF($M$2227="","",$M$2227)</f>
        <v/>
      </c>
      <c r="W2229" s="4">
        <f>IF($O$2227="","",$O$2227)</f>
        <v/>
      </c>
      <c r="X2229" s="4">
        <f>J2229</f>
        <v/>
      </c>
    </row>
    <row r="2230">
      <c r="B2230" s="4" t="inlineStr">
        <is>
          <t>2515_0</t>
        </is>
      </c>
      <c r="C2230" s="4" t="inlineStr">
        <is>
          <t>29/09/2026</t>
        </is>
      </c>
      <c r="D2230" s="4" t="inlineStr">
        <is>
          <t>martes</t>
        </is>
      </c>
      <c r="E2230" s="4" t="inlineStr">
        <is>
          <t>2029</t>
        </is>
      </c>
      <c r="F2230" s="4" t="inlineStr">
        <is>
          <t>CUZ</t>
        </is>
      </c>
      <c r="G2230" s="4" t="inlineStr">
        <is>
          <t>LIM</t>
        </is>
      </c>
      <c r="H2230" s="4" t="inlineStr">
        <is>
          <t>15:30:00</t>
        </is>
      </c>
      <c r="I2230" s="4" t="inlineStr">
        <is>
          <t>17:05:00</t>
        </is>
      </c>
      <c r="J2230" s="4" t="inlineStr">
        <is>
          <t>320</t>
        </is>
      </c>
      <c r="K2230">
        <f>TEXT(TIMEVALUE(H2230)-TIMEVALUE(I2229)+(TIMEVALUE(H2230)&lt;TIMEVALUE(I2229)),"[h]:mm")</f>
        <v/>
      </c>
      <c r="L2230" s="4" t="inlineStr">
        <is>
          <t>01:35:00</t>
        </is>
      </c>
      <c r="O2230">
        <f>"LIM-"&amp;G2229&amp;"-LIM   LA "&amp;E2229&amp;" ("&amp;LEFT(H2229,5)&amp;"-"&amp;LEFT(I2229,5)&amp;" hrs)  /  LA "&amp;E2230&amp;" ("&amp;LEFT(H2230,5)&amp;"-"&amp;LEFT(I2230,5)&amp;" hrs)"</f>
        <v/>
      </c>
    </row>
    <row r="2231">
      <c r="J2231" s="7" t="inlineStr">
        <is>
          <t>PSV total:</t>
        </is>
      </c>
      <c r="K2231" s="8">
        <f>TEXT(TIMEVALUE(I2230)-TIMEVALUE(H2227)+(I2230&lt;H2227),"[h]:mm")</f>
        <v/>
      </c>
    </row>
    <row r="2233">
      <c r="B2233" s="3" t="inlineStr">
        <is>
          <t>Pairing ID</t>
        </is>
      </c>
      <c r="C2233" s="3" t="inlineStr">
        <is>
          <t>FECHA REAL</t>
        </is>
      </c>
      <c r="D2233" s="3" t="inlineStr">
        <is>
          <t>Day of Week</t>
        </is>
      </c>
      <c r="E2233" s="3" t="inlineStr">
        <is>
          <t>Flight No</t>
        </is>
      </c>
      <c r="F2233" s="3" t="inlineStr">
        <is>
          <t>Dep Stn</t>
        </is>
      </c>
      <c r="G2233" s="3" t="inlineStr">
        <is>
          <t>Arr Stn</t>
        </is>
      </c>
      <c r="H2233" s="3" t="inlineStr">
        <is>
          <t>STD</t>
        </is>
      </c>
      <c r="I2233" s="3" t="inlineStr">
        <is>
          <t>STA</t>
        </is>
      </c>
      <c r="J2233" s="3" t="inlineStr">
        <is>
          <t>subflota</t>
        </is>
      </c>
      <c r="K2233" s="3" t="inlineStr">
        <is>
          <t>Conexion</t>
        </is>
      </c>
      <c r="L2233" s="3" t="inlineStr">
        <is>
          <t>HBT</t>
        </is>
      </c>
    </row>
    <row r="2234">
      <c r="B2234" s="4" t="inlineStr">
        <is>
          <t>2501_0</t>
        </is>
      </c>
      <c r="C2234" s="4" t="inlineStr">
        <is>
          <t>29/09/2026</t>
        </is>
      </c>
      <c r="D2234" s="4" t="inlineStr">
        <is>
          <t>martes</t>
        </is>
      </c>
      <c r="E2234" s="4" t="inlineStr">
        <is>
          <t>2075</t>
        </is>
      </c>
      <c r="F2234" s="4" t="inlineStr">
        <is>
          <t>LIM</t>
        </is>
      </c>
      <c r="G2234" s="4" t="inlineStr">
        <is>
          <t>CUZ</t>
        </is>
      </c>
      <c r="H2234" s="4" t="inlineStr">
        <is>
          <t>10:50:00</t>
        </is>
      </c>
      <c r="I2234" s="4" t="inlineStr">
        <is>
          <t>12:10:00</t>
        </is>
      </c>
      <c r="J2234" s="4" t="inlineStr">
        <is>
          <t>320</t>
        </is>
      </c>
      <c r="L2234" s="4" t="inlineStr">
        <is>
          <t>01:20:00</t>
        </is>
      </c>
      <c r="M2234" s="5" t="n"/>
      <c r="O2234" s="5" t="n"/>
      <c r="Q2234" s="4">
        <f>B2234</f>
        <v/>
      </c>
      <c r="R2234" s="4">
        <f>C2234</f>
        <v/>
      </c>
      <c r="S2234" s="4">
        <f>D2234</f>
        <v/>
      </c>
      <c r="T2234" s="4">
        <f>E2234&amp;"/"&amp;E2235</f>
        <v/>
      </c>
      <c r="U2234" s="4">
        <f>F2234&amp;"-"&amp;G2234&amp;"-"&amp;F2234</f>
        <v/>
      </c>
      <c r="V2234" s="4">
        <f>IF($M$2234="","",$M$2234)</f>
        <v/>
      </c>
      <c r="W2234" s="4">
        <f>IF($O$2234="","",$O$2234)</f>
        <v/>
      </c>
      <c r="X2234" s="4">
        <f>J2234</f>
        <v/>
      </c>
    </row>
    <row r="2235">
      <c r="B2235" s="4" t="inlineStr">
        <is>
          <t>2501_0</t>
        </is>
      </c>
      <c r="C2235" s="4" t="inlineStr">
        <is>
          <t>29/09/2026</t>
        </is>
      </c>
      <c r="D2235" s="4" t="inlineStr">
        <is>
          <t>martes</t>
        </is>
      </c>
      <c r="E2235" s="4" t="inlineStr">
        <is>
          <t>2076</t>
        </is>
      </c>
      <c r="F2235" s="4" t="inlineStr">
        <is>
          <t>CUZ</t>
        </is>
      </c>
      <c r="G2235" s="4" t="inlineStr">
        <is>
          <t>LIM</t>
        </is>
      </c>
      <c r="H2235" s="4" t="inlineStr">
        <is>
          <t>12:45:00</t>
        </is>
      </c>
      <c r="I2235" s="4" t="inlineStr">
        <is>
          <t>14:20:00</t>
        </is>
      </c>
      <c r="J2235" s="4" t="inlineStr">
        <is>
          <t>320</t>
        </is>
      </c>
      <c r="K2235">
        <f>TEXT(TIMEVALUE(H2235)-TIMEVALUE(I2234)+(TIMEVALUE(H2235)&lt;TIMEVALUE(I2234)),"[h]:mm")</f>
        <v/>
      </c>
      <c r="L2235" s="4" t="inlineStr">
        <is>
          <t>01:35:00</t>
        </is>
      </c>
      <c r="O2235">
        <f>"LIM-"&amp;G2234&amp;"-LIM   LA "&amp;E2234&amp;" ("&amp;LEFT(H2234,5)&amp;"-"&amp;LEFT(I2234,5)&amp;" hrs)  /  LA "&amp;E2235&amp;" ("&amp;LEFT(H2235,5)&amp;"-"&amp;LEFT(I2235,5)&amp;" hrs)"</f>
        <v/>
      </c>
    </row>
    <row r="2236">
      <c r="B2236" s="4" t="inlineStr">
        <is>
          <t>2526_0</t>
        </is>
      </c>
      <c r="C2236" s="4" t="inlineStr">
        <is>
          <t>29/09/2026</t>
        </is>
      </c>
      <c r="D2236" s="4" t="inlineStr">
        <is>
          <t>martes</t>
        </is>
      </c>
      <c r="E2236" s="4" t="inlineStr">
        <is>
          <t>2297</t>
        </is>
      </c>
      <c r="F2236" s="4" t="inlineStr">
        <is>
          <t>LIM</t>
        </is>
      </c>
      <c r="G2236" s="4" t="inlineStr">
        <is>
          <t>CJA</t>
        </is>
      </c>
      <c r="H2236" s="4" t="inlineStr">
        <is>
          <t>15:15:00</t>
        </is>
      </c>
      <c r="I2236" s="4" t="inlineStr">
        <is>
          <t>16:35:00</t>
        </is>
      </c>
      <c r="J2236" s="4" t="inlineStr">
        <is>
          <t>319</t>
        </is>
      </c>
      <c r="K2236" s="6">
        <f>TEXT(TIMEVALUE(H2236)-TIMEVALUE(I2235)+(TIMEVALUE(H2236)&lt;TIMEVALUE(I2235)),"[h]:mm")</f>
        <v/>
      </c>
      <c r="L2236" s="4" t="inlineStr">
        <is>
          <t>01:20:00</t>
        </is>
      </c>
      <c r="M2236">
        <f>IF($M$2234="","",$M$2234)</f>
        <v/>
      </c>
      <c r="O2236">
        <f>IF($O$2234="","",$O$2234)</f>
        <v/>
      </c>
      <c r="Q2236" s="4">
        <f>B2236</f>
        <v/>
      </c>
      <c r="R2236" s="4">
        <f>C2236</f>
        <v/>
      </c>
      <c r="S2236" s="4">
        <f>D2236</f>
        <v/>
      </c>
      <c r="T2236" s="4">
        <f>E2236&amp;"/"&amp;E2237</f>
        <v/>
      </c>
      <c r="U2236" s="4">
        <f>F2236&amp;"-"&amp;G2236&amp;"-"&amp;F2236</f>
        <v/>
      </c>
      <c r="V2236" s="4">
        <f>IF($M$2234="","",$M$2234)</f>
        <v/>
      </c>
      <c r="W2236" s="4">
        <f>IF($O$2234="","",$O$2234)</f>
        <v/>
      </c>
      <c r="X2236" s="4">
        <f>J2236</f>
        <v/>
      </c>
    </row>
    <row r="2237">
      <c r="B2237" s="4" t="inlineStr">
        <is>
          <t>2526_0</t>
        </is>
      </c>
      <c r="C2237" s="4" t="inlineStr">
        <is>
          <t>29/09/2026</t>
        </is>
      </c>
      <c r="D2237" s="4" t="inlineStr">
        <is>
          <t>martes</t>
        </is>
      </c>
      <c r="E2237" s="4" t="inlineStr">
        <is>
          <t>2296</t>
        </is>
      </c>
      <c r="F2237" s="4" t="inlineStr">
        <is>
          <t>CJA</t>
        </is>
      </c>
      <c r="G2237" s="4" t="inlineStr">
        <is>
          <t>LIM</t>
        </is>
      </c>
      <c r="H2237" s="4" t="inlineStr">
        <is>
          <t>17:20:00</t>
        </is>
      </c>
      <c r="I2237" s="4" t="inlineStr">
        <is>
          <t>18:25:00</t>
        </is>
      </c>
      <c r="J2237" s="4" t="inlineStr">
        <is>
          <t>319</t>
        </is>
      </c>
      <c r="K2237">
        <f>TEXT(TIMEVALUE(H2237)-TIMEVALUE(I2236)+(TIMEVALUE(H2237)&lt;TIMEVALUE(I2236)),"[h]:mm")</f>
        <v/>
      </c>
      <c r="L2237" s="4" t="inlineStr">
        <is>
          <t>01:05:00</t>
        </is>
      </c>
      <c r="O2237">
        <f>"LIM-"&amp;G2236&amp;"-LIM   LA "&amp;E2236&amp;" ("&amp;LEFT(H2236,5)&amp;"-"&amp;LEFT(I2236,5)&amp;" hrs)  /  LA "&amp;E2237&amp;" ("&amp;LEFT(H2237,5)&amp;"-"&amp;LEFT(I2237,5)&amp;" hrs)"</f>
        <v/>
      </c>
    </row>
    <row r="2238">
      <c r="J2238" s="7" t="inlineStr">
        <is>
          <t>PSV total:</t>
        </is>
      </c>
      <c r="K2238" s="8">
        <f>TEXT(TIMEVALUE(I2237)-TIMEVALUE(H2234)+(I2237&lt;H2234),"[h]:mm")</f>
        <v/>
      </c>
    </row>
    <row r="2240">
      <c r="B2240" s="3" t="inlineStr">
        <is>
          <t>Pairing ID</t>
        </is>
      </c>
      <c r="C2240" s="3" t="inlineStr">
        <is>
          <t>FECHA REAL</t>
        </is>
      </c>
      <c r="D2240" s="3" t="inlineStr">
        <is>
          <t>Day of Week</t>
        </is>
      </c>
      <c r="E2240" s="3" t="inlineStr">
        <is>
          <t>Flight No</t>
        </is>
      </c>
      <c r="F2240" s="3" t="inlineStr">
        <is>
          <t>Dep Stn</t>
        </is>
      </c>
      <c r="G2240" s="3" t="inlineStr">
        <is>
          <t>Arr Stn</t>
        </is>
      </c>
      <c r="H2240" s="3" t="inlineStr">
        <is>
          <t>STD</t>
        </is>
      </c>
      <c r="I2240" s="3" t="inlineStr">
        <is>
          <t>STA</t>
        </is>
      </c>
      <c r="J2240" s="3" t="inlineStr">
        <is>
          <t>subflota</t>
        </is>
      </c>
      <c r="K2240" s="3" t="inlineStr">
        <is>
          <t>Conexion</t>
        </is>
      </c>
      <c r="L2240" s="3" t="inlineStr">
        <is>
          <t>HBT</t>
        </is>
      </c>
    </row>
    <row r="2241">
      <c r="B2241" s="4" t="inlineStr">
        <is>
          <t>2502_0</t>
        </is>
      </c>
      <c r="C2241" s="4" t="inlineStr">
        <is>
          <t>29/09/2026</t>
        </is>
      </c>
      <c r="D2241" s="4" t="inlineStr">
        <is>
          <t>martes</t>
        </is>
      </c>
      <c r="E2241" s="4" t="inlineStr">
        <is>
          <t>2015</t>
        </is>
      </c>
      <c r="F2241" s="4" t="inlineStr">
        <is>
          <t>LIM</t>
        </is>
      </c>
      <c r="G2241" s="4" t="inlineStr">
        <is>
          <t>PIU</t>
        </is>
      </c>
      <c r="H2241" s="4" t="inlineStr">
        <is>
          <t>10:55:00</t>
        </is>
      </c>
      <c r="I2241" s="4" t="inlineStr">
        <is>
          <t>12:40:00</t>
        </is>
      </c>
      <c r="J2241" s="4" t="inlineStr">
        <is>
          <t>319</t>
        </is>
      </c>
      <c r="L2241" s="4" t="inlineStr">
        <is>
          <t>01:45:00</t>
        </is>
      </c>
      <c r="M2241" s="5" t="n"/>
      <c r="O2241" s="5" t="n"/>
      <c r="Q2241" s="4">
        <f>B2241</f>
        <v/>
      </c>
      <c r="R2241" s="4">
        <f>C2241</f>
        <v/>
      </c>
      <c r="S2241" s="4">
        <f>D2241</f>
        <v/>
      </c>
      <c r="T2241" s="4">
        <f>E2241&amp;"/"&amp;E2242</f>
        <v/>
      </c>
      <c r="U2241" s="4">
        <f>F2241&amp;"-"&amp;G2241&amp;"-"&amp;F2241</f>
        <v/>
      </c>
      <c r="V2241" s="4">
        <f>IF($M$2241="","",$M$2241)</f>
        <v/>
      </c>
      <c r="W2241" s="4">
        <f>IF($O$2241="","",$O$2241)</f>
        <v/>
      </c>
      <c r="X2241" s="4">
        <f>J2241</f>
        <v/>
      </c>
    </row>
    <row r="2242">
      <c r="B2242" s="4" t="inlineStr">
        <is>
          <t>2502_0</t>
        </is>
      </c>
      <c r="C2242" s="4" t="inlineStr">
        <is>
          <t>29/09/2026</t>
        </is>
      </c>
      <c r="D2242" s="4" t="inlineStr">
        <is>
          <t>martes</t>
        </is>
      </c>
      <c r="E2242" s="4" t="inlineStr">
        <is>
          <t>2016</t>
        </is>
      </c>
      <c r="F2242" s="4" t="inlineStr">
        <is>
          <t>PIU</t>
        </is>
      </c>
      <c r="G2242" s="4" t="inlineStr">
        <is>
          <t>LIM</t>
        </is>
      </c>
      <c r="H2242" s="4" t="inlineStr">
        <is>
          <t>13:20:00</t>
        </is>
      </c>
      <c r="I2242" s="4" t="inlineStr">
        <is>
          <t>14:55:00</t>
        </is>
      </c>
      <c r="J2242" s="4" t="inlineStr">
        <is>
          <t>319</t>
        </is>
      </c>
      <c r="K2242">
        <f>TEXT(TIMEVALUE(H2242)-TIMEVALUE(I2241)+(TIMEVALUE(H2242)&lt;TIMEVALUE(I2241)),"[h]:mm")</f>
        <v/>
      </c>
      <c r="L2242" s="4" t="inlineStr">
        <is>
          <t>01:35:00</t>
        </is>
      </c>
      <c r="O2242">
        <f>"LIM-"&amp;G2241&amp;"-LIM   LA "&amp;E2241&amp;" ("&amp;LEFT(H2241,5)&amp;"-"&amp;LEFT(I2241,5)&amp;" hrs)  /  LA "&amp;E2242&amp;" ("&amp;LEFT(H2242,5)&amp;"-"&amp;LEFT(I2242,5)&amp;" hrs)"</f>
        <v/>
      </c>
    </row>
    <row r="2243">
      <c r="J2243" s="7" t="inlineStr">
        <is>
          <t>PSV total:</t>
        </is>
      </c>
      <c r="K2243" s="8">
        <f>TEXT(TIMEVALUE(I2242)-TIMEVALUE(H2241)+(I2242&lt;H2241),"[h]:mm")</f>
        <v/>
      </c>
    </row>
    <row r="2245">
      <c r="B2245" s="3" t="inlineStr">
        <is>
          <t>Pairing ID</t>
        </is>
      </c>
      <c r="C2245" s="3" t="inlineStr">
        <is>
          <t>FECHA REAL</t>
        </is>
      </c>
      <c r="D2245" s="3" t="inlineStr">
        <is>
          <t>Day of Week</t>
        </is>
      </c>
      <c r="E2245" s="3" t="inlineStr">
        <is>
          <t>Flight No</t>
        </is>
      </c>
      <c r="F2245" s="3" t="inlineStr">
        <is>
          <t>Dep Stn</t>
        </is>
      </c>
      <c r="G2245" s="3" t="inlineStr">
        <is>
          <t>Arr Stn</t>
        </is>
      </c>
      <c r="H2245" s="3" t="inlineStr">
        <is>
          <t>STD</t>
        </is>
      </c>
      <c r="I2245" s="3" t="inlineStr">
        <is>
          <t>STA</t>
        </is>
      </c>
      <c r="J2245" s="3" t="inlineStr">
        <is>
          <t>subflota</t>
        </is>
      </c>
      <c r="K2245" s="3" t="inlineStr">
        <is>
          <t>Conexion</t>
        </is>
      </c>
      <c r="L2245" s="3" t="inlineStr">
        <is>
          <t>HBT</t>
        </is>
      </c>
    </row>
    <row r="2246">
      <c r="B2246" s="4" t="inlineStr">
        <is>
          <t>2503_0</t>
        </is>
      </c>
      <c r="C2246" s="4" t="inlineStr">
        <is>
          <t>29/09/2026</t>
        </is>
      </c>
      <c r="D2246" s="4" t="inlineStr">
        <is>
          <t>martes</t>
        </is>
      </c>
      <c r="E2246" s="4" t="inlineStr">
        <is>
          <t>2299</t>
        </is>
      </c>
      <c r="F2246" s="4" t="inlineStr">
        <is>
          <t>LIM</t>
        </is>
      </c>
      <c r="G2246" s="4" t="inlineStr">
        <is>
          <t>CJA</t>
        </is>
      </c>
      <c r="H2246" s="4" t="inlineStr">
        <is>
          <t>11:35:00</t>
        </is>
      </c>
      <c r="I2246" s="4" t="inlineStr">
        <is>
          <t>12:55:00</t>
        </is>
      </c>
      <c r="J2246" s="4" t="inlineStr">
        <is>
          <t>320</t>
        </is>
      </c>
      <c r="L2246" s="4" t="inlineStr">
        <is>
          <t>01:20:00</t>
        </is>
      </c>
      <c r="M2246" s="5" t="n"/>
      <c r="O2246" s="5" t="n"/>
      <c r="Q2246" s="4">
        <f>B2246</f>
        <v/>
      </c>
      <c r="R2246" s="4">
        <f>C2246</f>
        <v/>
      </c>
      <c r="S2246" s="4">
        <f>D2246</f>
        <v/>
      </c>
      <c r="T2246" s="4">
        <f>E2246&amp;"/"&amp;E2247</f>
        <v/>
      </c>
      <c r="U2246" s="4">
        <f>F2246&amp;"-"&amp;G2246&amp;"-"&amp;F2246</f>
        <v/>
      </c>
      <c r="V2246" s="4">
        <f>IF($M$2246="","",$M$2246)</f>
        <v/>
      </c>
      <c r="W2246" s="4">
        <f>IF($O$2246="","",$O$2246)</f>
        <v/>
      </c>
      <c r="X2246" s="4">
        <f>J2246</f>
        <v/>
      </c>
    </row>
    <row r="2247">
      <c r="B2247" s="4" t="inlineStr">
        <is>
          <t>2503_0</t>
        </is>
      </c>
      <c r="C2247" s="4" t="inlineStr">
        <is>
          <t>29/09/2026</t>
        </is>
      </c>
      <c r="D2247" s="4" t="inlineStr">
        <is>
          <t>martes</t>
        </is>
      </c>
      <c r="E2247" s="4" t="inlineStr">
        <is>
          <t>2298</t>
        </is>
      </c>
      <c r="F2247" s="4" t="inlineStr">
        <is>
          <t>CJA</t>
        </is>
      </c>
      <c r="G2247" s="4" t="inlineStr">
        <is>
          <t>LIM</t>
        </is>
      </c>
      <c r="H2247" s="4" t="inlineStr">
        <is>
          <t>13:40:00</t>
        </is>
      </c>
      <c r="I2247" s="4" t="inlineStr">
        <is>
          <t>14:50:00</t>
        </is>
      </c>
      <c r="J2247" s="4" t="inlineStr">
        <is>
          <t>320</t>
        </is>
      </c>
      <c r="K2247">
        <f>TEXT(TIMEVALUE(H2247)-TIMEVALUE(I2246)+(TIMEVALUE(H2247)&lt;TIMEVALUE(I2246)),"[h]:mm")</f>
        <v/>
      </c>
      <c r="L2247" s="4" t="inlineStr">
        <is>
          <t>01:10:00</t>
        </is>
      </c>
      <c r="O2247">
        <f>"LIM-"&amp;G2246&amp;"-LIM   LA "&amp;E2246&amp;" ("&amp;LEFT(H2246,5)&amp;"-"&amp;LEFT(I2246,5)&amp;" hrs)  /  LA "&amp;E2247&amp;" ("&amp;LEFT(H2247,5)&amp;"-"&amp;LEFT(I2247,5)&amp;" hrs)"</f>
        <v/>
      </c>
    </row>
    <row r="2248">
      <c r="J2248" s="7" t="inlineStr">
        <is>
          <t>PSV total:</t>
        </is>
      </c>
      <c r="K2248" s="8">
        <f>TEXT(TIMEVALUE(I2247)-TIMEVALUE(H2246)+(I2247&lt;H2246),"[h]:mm")</f>
        <v/>
      </c>
    </row>
    <row r="2250">
      <c r="B2250" s="3" t="inlineStr">
        <is>
          <t>Pairing ID</t>
        </is>
      </c>
      <c r="C2250" s="3" t="inlineStr">
        <is>
          <t>FECHA REAL</t>
        </is>
      </c>
      <c r="D2250" s="3" t="inlineStr">
        <is>
          <t>Day of Week</t>
        </is>
      </c>
      <c r="E2250" s="3" t="inlineStr">
        <is>
          <t>Flight No</t>
        </is>
      </c>
      <c r="F2250" s="3" t="inlineStr">
        <is>
          <t>Dep Stn</t>
        </is>
      </c>
      <c r="G2250" s="3" t="inlineStr">
        <is>
          <t>Arr Stn</t>
        </is>
      </c>
      <c r="H2250" s="3" t="inlineStr">
        <is>
          <t>STD</t>
        </is>
      </c>
      <c r="I2250" s="3" t="inlineStr">
        <is>
          <t>STA</t>
        </is>
      </c>
      <c r="J2250" s="3" t="inlineStr">
        <is>
          <t>subflota</t>
        </is>
      </c>
      <c r="K2250" s="3" t="inlineStr">
        <is>
          <t>Conexion</t>
        </is>
      </c>
      <c r="L2250" s="3" t="inlineStr">
        <is>
          <t>HBT</t>
        </is>
      </c>
    </row>
    <row r="2251">
      <c r="B2251" s="4" t="inlineStr">
        <is>
          <t>2506_0</t>
        </is>
      </c>
      <c r="C2251" s="4" t="inlineStr">
        <is>
          <t>29/09/2026</t>
        </is>
      </c>
      <c r="D2251" s="4" t="inlineStr">
        <is>
          <t>martes</t>
        </is>
      </c>
      <c r="E2251" s="4" t="inlineStr">
        <is>
          <t>2061</t>
        </is>
      </c>
      <c r="F2251" s="4" t="inlineStr">
        <is>
          <t>LIM</t>
        </is>
      </c>
      <c r="G2251" s="4" t="inlineStr">
        <is>
          <t>CUZ</t>
        </is>
      </c>
      <c r="H2251" s="4" t="inlineStr">
        <is>
          <t>11:40:00</t>
        </is>
      </c>
      <c r="I2251" s="4" t="inlineStr">
        <is>
          <t>13:00:00</t>
        </is>
      </c>
      <c r="J2251" s="4" t="inlineStr">
        <is>
          <t>320</t>
        </is>
      </c>
      <c r="L2251" s="4" t="inlineStr">
        <is>
          <t>01:20:00</t>
        </is>
      </c>
      <c r="M2251" s="5" t="n"/>
      <c r="O2251" s="5" t="n"/>
      <c r="Q2251" s="4">
        <f>B2251</f>
        <v/>
      </c>
      <c r="R2251" s="4">
        <f>C2251</f>
        <v/>
      </c>
      <c r="S2251" s="4">
        <f>D2251</f>
        <v/>
      </c>
      <c r="T2251" s="4">
        <f>E2251&amp;"/"&amp;E2252</f>
        <v/>
      </c>
      <c r="U2251" s="4">
        <f>F2251&amp;"-"&amp;G2251&amp;"-"&amp;F2251</f>
        <v/>
      </c>
      <c r="V2251" s="4">
        <f>IF($M$2251="","",$M$2251)</f>
        <v/>
      </c>
      <c r="W2251" s="4">
        <f>IF($O$2251="","",$O$2251)</f>
        <v/>
      </c>
      <c r="X2251" s="4">
        <f>J2251</f>
        <v/>
      </c>
    </row>
    <row r="2252">
      <c r="B2252" s="4" t="inlineStr">
        <is>
          <t>2506_0</t>
        </is>
      </c>
      <c r="C2252" s="4" t="inlineStr">
        <is>
          <t>29/09/2026</t>
        </is>
      </c>
      <c r="D2252" s="4" t="inlineStr">
        <is>
          <t>martes</t>
        </is>
      </c>
      <c r="E2252" s="4" t="inlineStr">
        <is>
          <t>2062</t>
        </is>
      </c>
      <c r="F2252" s="4" t="inlineStr">
        <is>
          <t>CUZ</t>
        </is>
      </c>
      <c r="G2252" s="4" t="inlineStr">
        <is>
          <t>LIM</t>
        </is>
      </c>
      <c r="H2252" s="4" t="inlineStr">
        <is>
          <t>13:40:00</t>
        </is>
      </c>
      <c r="I2252" s="4" t="inlineStr">
        <is>
          <t>15:15:00</t>
        </is>
      </c>
      <c r="J2252" s="4" t="inlineStr">
        <is>
          <t>320</t>
        </is>
      </c>
      <c r="K2252">
        <f>TEXT(TIMEVALUE(H2252)-TIMEVALUE(I2251)+(TIMEVALUE(H2252)&lt;TIMEVALUE(I2251)),"[h]:mm")</f>
        <v/>
      </c>
      <c r="L2252" s="4" t="inlineStr">
        <is>
          <t>01:35:00</t>
        </is>
      </c>
      <c r="O2252">
        <f>"LIM-"&amp;G2251&amp;"-LIM   LA "&amp;E2251&amp;" ("&amp;LEFT(H2251,5)&amp;"-"&amp;LEFT(I2251,5)&amp;" hrs)  /  LA "&amp;E2252&amp;" ("&amp;LEFT(H2252,5)&amp;"-"&amp;LEFT(I2252,5)&amp;" hrs)"</f>
        <v/>
      </c>
    </row>
    <row r="2253">
      <c r="B2253" s="4" t="inlineStr">
        <is>
          <t>2531_0</t>
        </is>
      </c>
      <c r="C2253" s="4" t="inlineStr">
        <is>
          <t>29/09/2026</t>
        </is>
      </c>
      <c r="D2253" s="4" t="inlineStr">
        <is>
          <t>martes</t>
        </is>
      </c>
      <c r="E2253" s="4" t="inlineStr">
        <is>
          <t>2276</t>
        </is>
      </c>
      <c r="F2253" s="4" t="inlineStr">
        <is>
          <t>LIM</t>
        </is>
      </c>
      <c r="G2253" s="4" t="inlineStr">
        <is>
          <t>CUZ</t>
        </is>
      </c>
      <c r="H2253" s="4" t="inlineStr">
        <is>
          <t>16:35:00</t>
        </is>
      </c>
      <c r="I2253" s="4" t="inlineStr">
        <is>
          <t>17:55:00</t>
        </is>
      </c>
      <c r="J2253" s="4" t="inlineStr">
        <is>
          <t>320</t>
        </is>
      </c>
      <c r="K2253" s="6">
        <f>TEXT(TIMEVALUE(H2253)-TIMEVALUE(I2252)+(TIMEVALUE(H2253)&lt;TIMEVALUE(I2252)),"[h]:mm")</f>
        <v/>
      </c>
      <c r="L2253" s="4" t="inlineStr">
        <is>
          <t>01:20:00</t>
        </is>
      </c>
      <c r="M2253">
        <f>IF($M$2251="","",$M$2251)</f>
        <v/>
      </c>
      <c r="O2253">
        <f>IF($O$2251="","",$O$2251)</f>
        <v/>
      </c>
      <c r="Q2253" s="4">
        <f>B2253</f>
        <v/>
      </c>
      <c r="R2253" s="4">
        <f>C2253</f>
        <v/>
      </c>
      <c r="S2253" s="4">
        <f>D2253</f>
        <v/>
      </c>
      <c r="T2253" s="4">
        <f>E2253&amp;"/"&amp;E2254</f>
        <v/>
      </c>
      <c r="U2253" s="4">
        <f>F2253&amp;"-"&amp;G2253&amp;"-"&amp;F2253</f>
        <v/>
      </c>
      <c r="V2253" s="4">
        <f>IF($M$2251="","",$M$2251)</f>
        <v/>
      </c>
      <c r="W2253" s="4">
        <f>IF($O$2251="","",$O$2251)</f>
        <v/>
      </c>
      <c r="X2253" s="4">
        <f>J2253</f>
        <v/>
      </c>
    </row>
    <row r="2254">
      <c r="B2254" s="4" t="inlineStr">
        <is>
          <t>2531_0</t>
        </is>
      </c>
      <c r="C2254" s="4" t="inlineStr">
        <is>
          <t>29/09/2026</t>
        </is>
      </c>
      <c r="D2254" s="4" t="inlineStr">
        <is>
          <t>martes</t>
        </is>
      </c>
      <c r="E2254" s="4" t="inlineStr">
        <is>
          <t>2277</t>
        </is>
      </c>
      <c r="F2254" s="4" t="inlineStr">
        <is>
          <t>CUZ</t>
        </is>
      </c>
      <c r="G2254" s="4" t="inlineStr">
        <is>
          <t>LIM</t>
        </is>
      </c>
      <c r="H2254" s="4" t="inlineStr">
        <is>
          <t>18:50:00</t>
        </is>
      </c>
      <c r="I2254" s="4" t="inlineStr">
        <is>
          <t>20:25:00</t>
        </is>
      </c>
      <c r="J2254" s="4" t="inlineStr">
        <is>
          <t>320</t>
        </is>
      </c>
      <c r="K2254">
        <f>TEXT(TIMEVALUE(H2254)-TIMEVALUE(I2253)+(TIMEVALUE(H2254)&lt;TIMEVALUE(I2253)),"[h]:mm")</f>
        <v/>
      </c>
      <c r="L2254" s="4" t="inlineStr">
        <is>
          <t>01:35:00</t>
        </is>
      </c>
      <c r="O2254">
        <f>"LIM-"&amp;G2253&amp;"-LIM   LA "&amp;E2253&amp;" ("&amp;LEFT(H2253,5)&amp;"-"&amp;LEFT(I2253,5)&amp;" hrs)  /  LA "&amp;E2254&amp;" ("&amp;LEFT(H2254,5)&amp;"-"&amp;LEFT(I2254,5)&amp;" hrs)"</f>
        <v/>
      </c>
    </row>
    <row r="2255">
      <c r="J2255" s="7" t="inlineStr">
        <is>
          <t>PSV total:</t>
        </is>
      </c>
      <c r="K2255" s="8">
        <f>TEXT(TIMEVALUE(I2254)-TIMEVALUE(H2251)+(I2254&lt;H2251),"[h]:mm")</f>
        <v/>
      </c>
    </row>
    <row r="2257">
      <c r="B2257" s="3" t="inlineStr">
        <is>
          <t>Pairing ID</t>
        </is>
      </c>
      <c r="C2257" s="3" t="inlineStr">
        <is>
          <t>FECHA REAL</t>
        </is>
      </c>
      <c r="D2257" s="3" t="inlineStr">
        <is>
          <t>Day of Week</t>
        </is>
      </c>
      <c r="E2257" s="3" t="inlineStr">
        <is>
          <t>Flight No</t>
        </is>
      </c>
      <c r="F2257" s="3" t="inlineStr">
        <is>
          <t>Dep Stn</t>
        </is>
      </c>
      <c r="G2257" s="3" t="inlineStr">
        <is>
          <t>Arr Stn</t>
        </is>
      </c>
      <c r="H2257" s="3" t="inlineStr">
        <is>
          <t>STD</t>
        </is>
      </c>
      <c r="I2257" s="3" t="inlineStr">
        <is>
          <t>STA</t>
        </is>
      </c>
      <c r="J2257" s="3" t="inlineStr">
        <is>
          <t>subflota</t>
        </is>
      </c>
      <c r="K2257" s="3" t="inlineStr">
        <is>
          <t>Conexion</t>
        </is>
      </c>
      <c r="L2257" s="3" t="inlineStr">
        <is>
          <t>HBT</t>
        </is>
      </c>
    </row>
    <row r="2258">
      <c r="B2258" s="4" t="inlineStr">
        <is>
          <t>2516_0</t>
        </is>
      </c>
      <c r="C2258" s="4" t="inlineStr">
        <is>
          <t>29/09/2026</t>
        </is>
      </c>
      <c r="D2258" s="4" t="inlineStr">
        <is>
          <t>martes</t>
        </is>
      </c>
      <c r="E2258" s="4" t="inlineStr">
        <is>
          <t>2067</t>
        </is>
      </c>
      <c r="F2258" s="4" t="inlineStr">
        <is>
          <t>LIM</t>
        </is>
      </c>
      <c r="G2258" s="4" t="inlineStr">
        <is>
          <t>TCQ</t>
        </is>
      </c>
      <c r="H2258" s="4" t="inlineStr">
        <is>
          <t>13:45:00</t>
        </is>
      </c>
      <c r="I2258" s="4" t="inlineStr">
        <is>
          <t>15:35:00</t>
        </is>
      </c>
      <c r="J2258" s="4" t="inlineStr">
        <is>
          <t>320</t>
        </is>
      </c>
      <c r="L2258" s="4" t="inlineStr">
        <is>
          <t>01:50:00</t>
        </is>
      </c>
      <c r="M2258" s="5" t="n"/>
      <c r="O2258" s="5" t="n"/>
      <c r="Q2258" s="4">
        <f>B2258</f>
        <v/>
      </c>
      <c r="R2258" s="4">
        <f>C2258</f>
        <v/>
      </c>
      <c r="S2258" s="4">
        <f>D2258</f>
        <v/>
      </c>
      <c r="T2258" s="4">
        <f>E2258&amp;"/"&amp;E2259</f>
        <v/>
      </c>
      <c r="U2258" s="4">
        <f>F2258&amp;"-"&amp;G2258&amp;"-"&amp;F2258</f>
        <v/>
      </c>
      <c r="V2258" s="4">
        <f>IF($M$2258="","",$M$2258)</f>
        <v/>
      </c>
      <c r="W2258" s="4">
        <f>IF($O$2258="","",$O$2258)</f>
        <v/>
      </c>
      <c r="X2258" s="4">
        <f>J2258</f>
        <v/>
      </c>
    </row>
    <row r="2259">
      <c r="B2259" s="4" t="inlineStr">
        <is>
          <t>2516_0</t>
        </is>
      </c>
      <c r="C2259" s="4" t="inlineStr">
        <is>
          <t>29/09/2026</t>
        </is>
      </c>
      <c r="D2259" s="4" t="inlineStr">
        <is>
          <t>martes</t>
        </is>
      </c>
      <c r="E2259" s="4" t="inlineStr">
        <is>
          <t>2068</t>
        </is>
      </c>
      <c r="F2259" s="4" t="inlineStr">
        <is>
          <t>TCQ</t>
        </is>
      </c>
      <c r="G2259" s="4" t="inlineStr">
        <is>
          <t>LIM</t>
        </is>
      </c>
      <c r="H2259" s="4" t="inlineStr">
        <is>
          <t>16:20:00</t>
        </is>
      </c>
      <c r="I2259" s="4" t="inlineStr">
        <is>
          <t>18:15:00</t>
        </is>
      </c>
      <c r="J2259" s="4" t="inlineStr">
        <is>
          <t>320</t>
        </is>
      </c>
      <c r="K2259">
        <f>TEXT(TIMEVALUE(H2259)-TIMEVALUE(I2258)+(TIMEVALUE(H2259)&lt;TIMEVALUE(I2258)),"[h]:mm")</f>
        <v/>
      </c>
      <c r="L2259" s="4" t="inlineStr">
        <is>
          <t>01:55:00</t>
        </is>
      </c>
      <c r="O2259">
        <f>"LIM-"&amp;G2258&amp;"-LIM   LA "&amp;E2258&amp;" ("&amp;LEFT(H2258,5)&amp;"-"&amp;LEFT(I2258,5)&amp;" hrs)  /  LA "&amp;E2259&amp;" ("&amp;LEFT(H2259,5)&amp;"-"&amp;LEFT(I2259,5)&amp;" hrs)"</f>
        <v/>
      </c>
    </row>
    <row r="2260">
      <c r="J2260" s="7" t="inlineStr">
        <is>
          <t>PSV total:</t>
        </is>
      </c>
      <c r="K2260" s="8">
        <f>TEXT(TIMEVALUE(I2259)-TIMEVALUE(H2258)+(I2259&lt;H2258),"[h]:mm")</f>
        <v/>
      </c>
    </row>
    <row r="2262">
      <c r="B2262" s="3" t="inlineStr">
        <is>
          <t>Pairing ID</t>
        </is>
      </c>
      <c r="C2262" s="3" t="inlineStr">
        <is>
          <t>FECHA REAL</t>
        </is>
      </c>
      <c r="D2262" s="3" t="inlineStr">
        <is>
          <t>Day of Week</t>
        </is>
      </c>
      <c r="E2262" s="3" t="inlineStr">
        <is>
          <t>Flight No</t>
        </is>
      </c>
      <c r="F2262" s="3" t="inlineStr">
        <is>
          <t>Dep Stn</t>
        </is>
      </c>
      <c r="G2262" s="3" t="inlineStr">
        <is>
          <t>Arr Stn</t>
        </is>
      </c>
      <c r="H2262" s="3" t="inlineStr">
        <is>
          <t>STD</t>
        </is>
      </c>
      <c r="I2262" s="3" t="inlineStr">
        <is>
          <t>STA</t>
        </is>
      </c>
      <c r="J2262" s="3" t="inlineStr">
        <is>
          <t>subflota</t>
        </is>
      </c>
      <c r="K2262" s="3" t="inlineStr">
        <is>
          <t>Conexion</t>
        </is>
      </c>
      <c r="L2262" s="3" t="inlineStr">
        <is>
          <t>HBT</t>
        </is>
      </c>
    </row>
    <row r="2263">
      <c r="B2263" s="4" t="inlineStr">
        <is>
          <t>2519_0</t>
        </is>
      </c>
      <c r="C2263" s="4" t="inlineStr">
        <is>
          <t>29/09/2026</t>
        </is>
      </c>
      <c r="D2263" s="4" t="inlineStr">
        <is>
          <t>martes</t>
        </is>
      </c>
      <c r="E2263" s="4" t="inlineStr">
        <is>
          <t>2295</t>
        </is>
      </c>
      <c r="F2263" s="4" t="inlineStr">
        <is>
          <t>LIM</t>
        </is>
      </c>
      <c r="G2263" s="4" t="inlineStr">
        <is>
          <t>CJA</t>
        </is>
      </c>
      <c r="H2263" s="4" t="inlineStr">
        <is>
          <t>14:10:00</t>
        </is>
      </c>
      <c r="I2263" s="4" t="inlineStr">
        <is>
          <t>15:30:00</t>
        </is>
      </c>
      <c r="J2263" s="4" t="inlineStr">
        <is>
          <t>319</t>
        </is>
      </c>
      <c r="L2263" s="4" t="inlineStr">
        <is>
          <t>01:20:00</t>
        </is>
      </c>
      <c r="M2263" s="5" t="n"/>
      <c r="O2263" s="5" t="n"/>
      <c r="Q2263" s="4">
        <f>B2263</f>
        <v/>
      </c>
      <c r="R2263" s="4">
        <f>C2263</f>
        <v/>
      </c>
      <c r="S2263" s="4">
        <f>D2263</f>
        <v/>
      </c>
      <c r="T2263" s="4">
        <f>E2263&amp;"/"&amp;E2264</f>
        <v/>
      </c>
      <c r="U2263" s="4">
        <f>F2263&amp;"-"&amp;G2263&amp;"-"&amp;F2263</f>
        <v/>
      </c>
      <c r="V2263" s="4">
        <f>IF($M$2263="","",$M$2263)</f>
        <v/>
      </c>
      <c r="W2263" s="4">
        <f>IF($O$2263="","",$O$2263)</f>
        <v/>
      </c>
      <c r="X2263" s="4">
        <f>J2263</f>
        <v/>
      </c>
    </row>
    <row r="2264">
      <c r="B2264" s="4" t="inlineStr">
        <is>
          <t>2519_0</t>
        </is>
      </c>
      <c r="C2264" s="4" t="inlineStr">
        <is>
          <t>29/09/2026</t>
        </is>
      </c>
      <c r="D2264" s="4" t="inlineStr">
        <is>
          <t>martes</t>
        </is>
      </c>
      <c r="E2264" s="4" t="inlineStr">
        <is>
          <t>2294</t>
        </is>
      </c>
      <c r="F2264" s="4" t="inlineStr">
        <is>
          <t>CJA</t>
        </is>
      </c>
      <c r="G2264" s="4" t="inlineStr">
        <is>
          <t>LIM</t>
        </is>
      </c>
      <c r="H2264" s="4" t="inlineStr">
        <is>
          <t>16:10:00</t>
        </is>
      </c>
      <c r="I2264" s="4" t="inlineStr">
        <is>
          <t>17:15:00</t>
        </is>
      </c>
      <c r="J2264" s="4" t="inlineStr">
        <is>
          <t>319</t>
        </is>
      </c>
      <c r="K2264">
        <f>TEXT(TIMEVALUE(H2264)-TIMEVALUE(I2263)+(TIMEVALUE(H2264)&lt;TIMEVALUE(I2263)),"[h]:mm")</f>
        <v/>
      </c>
      <c r="L2264" s="4" t="inlineStr">
        <is>
          <t>01:05:00</t>
        </is>
      </c>
      <c r="O2264">
        <f>"LIM-"&amp;G2263&amp;"-LIM   LA "&amp;E2263&amp;" ("&amp;LEFT(H2263,5)&amp;"-"&amp;LEFT(I2263,5)&amp;" hrs)  /  LA "&amp;E2264&amp;" ("&amp;LEFT(H2264,5)&amp;"-"&amp;LEFT(I2264,5)&amp;" hrs)"</f>
        <v/>
      </c>
    </row>
    <row r="2265">
      <c r="B2265" s="4" t="inlineStr">
        <is>
          <t>31_1</t>
        </is>
      </c>
      <c r="C2265" s="4" t="inlineStr">
        <is>
          <t>29/09/2026</t>
        </is>
      </c>
      <c r="D2265" s="4" t="inlineStr">
        <is>
          <t>martes</t>
        </is>
      </c>
      <c r="E2265" s="4" t="inlineStr">
        <is>
          <t>2091</t>
        </is>
      </c>
      <c r="F2265" s="4" t="inlineStr">
        <is>
          <t>LIM</t>
        </is>
      </c>
      <c r="G2265" s="4" t="inlineStr">
        <is>
          <t>TPP</t>
        </is>
      </c>
      <c r="H2265" s="4" t="inlineStr">
        <is>
          <t>18:30:00</t>
        </is>
      </c>
      <c r="I2265" s="4" t="inlineStr">
        <is>
          <t>19:55:00</t>
        </is>
      </c>
      <c r="J2265" s="4" t="inlineStr">
        <is>
          <t>320</t>
        </is>
      </c>
      <c r="K2265" s="6">
        <f>TEXT(TIMEVALUE(H2265)-TIMEVALUE(I2264)+(TIMEVALUE(H2265)&lt;TIMEVALUE(I2264)),"[h]:mm")</f>
        <v/>
      </c>
      <c r="L2265" s="4" t="inlineStr">
        <is>
          <t>01:25:00</t>
        </is>
      </c>
      <c r="M2265">
        <f>IF($M$2263="","",$M$2263)</f>
        <v/>
      </c>
      <c r="O2265">
        <f>IF($O$2263="","",$O$2263)</f>
        <v/>
      </c>
      <c r="Q2265" s="4">
        <f>B2265</f>
        <v/>
      </c>
      <c r="R2265" s="4">
        <f>C2265</f>
        <v/>
      </c>
      <c r="S2265" s="4">
        <f>D2265</f>
        <v/>
      </c>
      <c r="T2265" s="4">
        <f>E2265&amp;"/"&amp;E2266</f>
        <v/>
      </c>
      <c r="U2265" s="4">
        <f>F2265&amp;"-"&amp;G2265&amp;"-"&amp;F2265</f>
        <v/>
      </c>
      <c r="V2265" s="4">
        <f>IF($M$2263="","",$M$2263)</f>
        <v/>
      </c>
      <c r="W2265" s="4">
        <f>IF($O$2263="","",$O$2263)</f>
        <v/>
      </c>
      <c r="X2265" s="4">
        <f>J2265</f>
        <v/>
      </c>
    </row>
    <row r="2266">
      <c r="B2266" s="4" t="inlineStr">
        <is>
          <t>31_1</t>
        </is>
      </c>
      <c r="C2266" s="4" t="inlineStr">
        <is>
          <t>29/09/2026</t>
        </is>
      </c>
      <c r="D2266" s="4" t="inlineStr">
        <is>
          <t>martes</t>
        </is>
      </c>
      <c r="E2266" s="4" t="inlineStr">
        <is>
          <t>2092</t>
        </is>
      </c>
      <c r="F2266" s="4" t="inlineStr">
        <is>
          <t>TPP</t>
        </is>
      </c>
      <c r="G2266" s="4" t="inlineStr">
        <is>
          <t>LIM</t>
        </is>
      </c>
      <c r="H2266" s="4" t="inlineStr">
        <is>
          <t>20:30:00</t>
        </is>
      </c>
      <c r="I2266" s="4" t="inlineStr">
        <is>
          <t>21:55:00</t>
        </is>
      </c>
      <c r="J2266" s="4" t="inlineStr">
        <is>
          <t>320</t>
        </is>
      </c>
      <c r="K2266">
        <f>TEXT(TIMEVALUE(H2266)-TIMEVALUE(I2265)+(TIMEVALUE(H2266)&lt;TIMEVALUE(I2265)),"[h]:mm")</f>
        <v/>
      </c>
      <c r="L2266" s="4" t="inlineStr">
        <is>
          <t>01:25:00</t>
        </is>
      </c>
      <c r="O2266">
        <f>"LIM-"&amp;G2265&amp;"-LIM   LA "&amp;E2265&amp;" ("&amp;LEFT(H2265,5)&amp;"-"&amp;LEFT(I2265,5)&amp;" hrs)  /  LA "&amp;E2266&amp;" ("&amp;LEFT(H2266,5)&amp;"-"&amp;LEFT(I2266,5)&amp;" hrs)"</f>
        <v/>
      </c>
    </row>
    <row r="2267">
      <c r="J2267" s="7" t="inlineStr">
        <is>
          <t>PSV total:</t>
        </is>
      </c>
      <c r="K2267" s="8">
        <f>TEXT(TIMEVALUE(I2266)-TIMEVALUE(H2263)+(I2266&lt;H2263),"[h]:mm")</f>
        <v/>
      </c>
    </row>
    <row r="2269">
      <c r="B2269" s="3" t="inlineStr">
        <is>
          <t>Pairing ID</t>
        </is>
      </c>
      <c r="C2269" s="3" t="inlineStr">
        <is>
          <t>FECHA REAL</t>
        </is>
      </c>
      <c r="D2269" s="3" t="inlineStr">
        <is>
          <t>Day of Week</t>
        </is>
      </c>
      <c r="E2269" s="3" t="inlineStr">
        <is>
          <t>Flight No</t>
        </is>
      </c>
      <c r="F2269" s="3" t="inlineStr">
        <is>
          <t>Dep Stn</t>
        </is>
      </c>
      <c r="G2269" s="3" t="inlineStr">
        <is>
          <t>Arr Stn</t>
        </is>
      </c>
      <c r="H2269" s="3" t="inlineStr">
        <is>
          <t>STD</t>
        </is>
      </c>
      <c r="I2269" s="3" t="inlineStr">
        <is>
          <t>STA</t>
        </is>
      </c>
      <c r="J2269" s="3" t="inlineStr">
        <is>
          <t>subflota</t>
        </is>
      </c>
      <c r="K2269" s="3" t="inlineStr">
        <is>
          <t>Conexion</t>
        </is>
      </c>
      <c r="L2269" s="3" t="inlineStr">
        <is>
          <t>HBT</t>
        </is>
      </c>
    </row>
    <row r="2270">
      <c r="B2270" s="4" t="inlineStr">
        <is>
          <t>21_1</t>
        </is>
      </c>
      <c r="C2270" s="4" t="inlineStr">
        <is>
          <t>29/09/2026</t>
        </is>
      </c>
      <c r="D2270" s="4" t="inlineStr">
        <is>
          <t>martes</t>
        </is>
      </c>
      <c r="E2270" s="4" t="inlineStr">
        <is>
          <t>2264</t>
        </is>
      </c>
      <c r="F2270" s="4" t="inlineStr">
        <is>
          <t>LIM</t>
        </is>
      </c>
      <c r="G2270" s="4" t="inlineStr">
        <is>
          <t>PEM</t>
        </is>
      </c>
      <c r="H2270" s="4" t="inlineStr">
        <is>
          <t>14:55:00</t>
        </is>
      </c>
      <c r="I2270" s="4" t="inlineStr">
        <is>
          <t>16:40:00</t>
        </is>
      </c>
      <c r="J2270" s="4" t="inlineStr">
        <is>
          <t>319</t>
        </is>
      </c>
      <c r="L2270" s="4" t="inlineStr">
        <is>
          <t>01:45:00</t>
        </is>
      </c>
      <c r="M2270" s="5" t="n"/>
      <c r="O2270" s="5" t="n"/>
      <c r="Q2270" s="4">
        <f>B2270</f>
        <v/>
      </c>
      <c r="R2270" s="4">
        <f>C2270</f>
        <v/>
      </c>
      <c r="S2270" s="4">
        <f>D2270</f>
        <v/>
      </c>
      <c r="T2270" s="4">
        <f>E2270&amp;"/"&amp;E2271</f>
        <v/>
      </c>
      <c r="U2270" s="4">
        <f>F2270&amp;"-"&amp;G2270&amp;"-"&amp;F2270</f>
        <v/>
      </c>
      <c r="V2270" s="4">
        <f>IF($M$2270="","",$M$2270)</f>
        <v/>
      </c>
      <c r="W2270" s="4">
        <f>IF($O$2270="","",$O$2270)</f>
        <v/>
      </c>
      <c r="X2270" s="4">
        <f>J2270</f>
        <v/>
      </c>
    </row>
    <row r="2271">
      <c r="B2271" s="4" t="inlineStr">
        <is>
          <t>21_1</t>
        </is>
      </c>
      <c r="C2271" s="4" t="inlineStr">
        <is>
          <t>29/09/2026</t>
        </is>
      </c>
      <c r="D2271" s="4" t="inlineStr">
        <is>
          <t>martes</t>
        </is>
      </c>
      <c r="E2271" s="4" t="inlineStr">
        <is>
          <t>2265</t>
        </is>
      </c>
      <c r="F2271" s="4" t="inlineStr">
        <is>
          <t>PEM</t>
        </is>
      </c>
      <c r="G2271" s="4" t="inlineStr">
        <is>
          <t>LIM</t>
        </is>
      </c>
      <c r="H2271" s="4" t="inlineStr">
        <is>
          <t>17:20:00</t>
        </is>
      </c>
      <c r="I2271" s="4" t="inlineStr">
        <is>
          <t>18:55:00</t>
        </is>
      </c>
      <c r="J2271" s="4" t="inlineStr">
        <is>
          <t>319</t>
        </is>
      </c>
      <c r="K2271">
        <f>TEXT(TIMEVALUE(H2271)-TIMEVALUE(I2270)+(TIMEVALUE(H2271)&lt;TIMEVALUE(I2270)),"[h]:mm")</f>
        <v/>
      </c>
      <c r="L2271" s="4" t="inlineStr">
        <is>
          <t>01:35:00</t>
        </is>
      </c>
      <c r="O2271">
        <f>"LIM-"&amp;G2270&amp;"-LIM   LA "&amp;E2270&amp;" ("&amp;LEFT(H2270,5)&amp;"-"&amp;LEFT(I2270,5)&amp;" hrs)  /  LA "&amp;E2271&amp;" ("&amp;LEFT(H2271,5)&amp;"-"&amp;LEFT(I2271,5)&amp;" hrs)"</f>
        <v/>
      </c>
    </row>
    <row r="2272">
      <c r="J2272" s="7" t="inlineStr">
        <is>
          <t>PSV total:</t>
        </is>
      </c>
      <c r="K2272" s="8">
        <f>TEXT(TIMEVALUE(I2271)-TIMEVALUE(H2270)+(I2271&lt;H2270),"[h]:mm")</f>
        <v/>
      </c>
    </row>
    <row r="2274">
      <c r="B2274" s="3" t="inlineStr">
        <is>
          <t>Pairing ID</t>
        </is>
      </c>
      <c r="C2274" s="3" t="inlineStr">
        <is>
          <t>FECHA REAL</t>
        </is>
      </c>
      <c r="D2274" s="3" t="inlineStr">
        <is>
          <t>Day of Week</t>
        </is>
      </c>
      <c r="E2274" s="3" t="inlineStr">
        <is>
          <t>Flight No</t>
        </is>
      </c>
      <c r="F2274" s="3" t="inlineStr">
        <is>
          <t>Dep Stn</t>
        </is>
      </c>
      <c r="G2274" s="3" t="inlineStr">
        <is>
          <t>Arr Stn</t>
        </is>
      </c>
      <c r="H2274" s="3" t="inlineStr">
        <is>
          <t>STD</t>
        </is>
      </c>
      <c r="I2274" s="3" t="inlineStr">
        <is>
          <t>STA</t>
        </is>
      </c>
      <c r="J2274" s="3" t="inlineStr">
        <is>
          <t>subflota</t>
        </is>
      </c>
      <c r="K2274" s="3" t="inlineStr">
        <is>
          <t>Conexion</t>
        </is>
      </c>
      <c r="L2274" s="3" t="inlineStr">
        <is>
          <t>HBT</t>
        </is>
      </c>
    </row>
    <row r="2275">
      <c r="B2275" s="4" t="inlineStr">
        <is>
          <t>2522_0</t>
        </is>
      </c>
      <c r="C2275" s="4" t="inlineStr">
        <is>
          <t>29/09/2026</t>
        </is>
      </c>
      <c r="D2275" s="4" t="inlineStr">
        <is>
          <t>martes</t>
        </is>
      </c>
      <c r="E2275" s="4" t="inlineStr">
        <is>
          <t>2264</t>
        </is>
      </c>
      <c r="F2275" s="4" t="inlineStr">
        <is>
          <t>LIM</t>
        </is>
      </c>
      <c r="G2275" s="4" t="inlineStr">
        <is>
          <t>PEM</t>
        </is>
      </c>
      <c r="H2275" s="4" t="inlineStr">
        <is>
          <t>14:55:00</t>
        </is>
      </c>
      <c r="I2275" s="4" t="inlineStr">
        <is>
          <t>16:40:00</t>
        </is>
      </c>
      <c r="J2275" s="4" t="inlineStr">
        <is>
          <t>319</t>
        </is>
      </c>
      <c r="L2275" s="4" t="inlineStr">
        <is>
          <t>01:45:00</t>
        </is>
      </c>
      <c r="M2275" s="5" t="n"/>
      <c r="O2275" s="5" t="n"/>
      <c r="Q2275" s="4">
        <f>B2275</f>
        <v/>
      </c>
      <c r="R2275" s="4">
        <f>C2275</f>
        <v/>
      </c>
      <c r="S2275" s="4">
        <f>D2275</f>
        <v/>
      </c>
      <c r="T2275" s="4">
        <f>E2275&amp;"/"&amp;E2276</f>
        <v/>
      </c>
      <c r="U2275" s="4">
        <f>F2275&amp;"-"&amp;G2275&amp;"-"&amp;F2275</f>
        <v/>
      </c>
      <c r="V2275" s="4">
        <f>IF($M$2275="","",$M$2275)</f>
        <v/>
      </c>
      <c r="W2275" s="4">
        <f>IF($O$2275="","",$O$2275)</f>
        <v/>
      </c>
      <c r="X2275" s="4">
        <f>J2275</f>
        <v/>
      </c>
    </row>
    <row r="2276">
      <c r="B2276" s="4" t="inlineStr">
        <is>
          <t>2522_0</t>
        </is>
      </c>
      <c r="C2276" s="4" t="inlineStr">
        <is>
          <t>29/09/2026</t>
        </is>
      </c>
      <c r="D2276" s="4" t="inlineStr">
        <is>
          <t>martes</t>
        </is>
      </c>
      <c r="E2276" s="4" t="inlineStr">
        <is>
          <t>2265</t>
        </is>
      </c>
      <c r="F2276" s="4" t="inlineStr">
        <is>
          <t>PEM</t>
        </is>
      </c>
      <c r="G2276" s="4" t="inlineStr">
        <is>
          <t>LIM</t>
        </is>
      </c>
      <c r="H2276" s="4" t="inlineStr">
        <is>
          <t>17:20:00</t>
        </is>
      </c>
      <c r="I2276" s="4" t="inlineStr">
        <is>
          <t>18:55:00</t>
        </is>
      </c>
      <c r="J2276" s="4" t="inlineStr">
        <is>
          <t>319</t>
        </is>
      </c>
      <c r="K2276">
        <f>TEXT(TIMEVALUE(H2276)-TIMEVALUE(I2275)+(TIMEVALUE(H2276)&lt;TIMEVALUE(I2275)),"[h]:mm")</f>
        <v/>
      </c>
      <c r="L2276" s="4" t="inlineStr">
        <is>
          <t>01:35:00</t>
        </is>
      </c>
      <c r="O2276">
        <f>"LIM-"&amp;G2275&amp;"-LIM   LA "&amp;E2275&amp;" ("&amp;LEFT(H2275,5)&amp;"-"&amp;LEFT(I2275,5)&amp;" hrs)  /  LA "&amp;E2276&amp;" ("&amp;LEFT(H2276,5)&amp;"-"&amp;LEFT(I2276,5)&amp;" hrs)"</f>
        <v/>
      </c>
    </row>
    <row r="2277">
      <c r="J2277" s="7" t="inlineStr">
        <is>
          <t>PSV total:</t>
        </is>
      </c>
      <c r="K2277" s="8">
        <f>TEXT(TIMEVALUE(I2276)-TIMEVALUE(H2275)+(I2276&lt;H2275),"[h]:mm")</f>
        <v/>
      </c>
    </row>
    <row r="2279">
      <c r="B2279" s="3" t="inlineStr">
        <is>
          <t>Pairing ID</t>
        </is>
      </c>
      <c r="C2279" s="3" t="inlineStr">
        <is>
          <t>FECHA REAL</t>
        </is>
      </c>
      <c r="D2279" s="3" t="inlineStr">
        <is>
          <t>Day of Week</t>
        </is>
      </c>
      <c r="E2279" s="3" t="inlineStr">
        <is>
          <t>Flight No</t>
        </is>
      </c>
      <c r="F2279" s="3" t="inlineStr">
        <is>
          <t>Dep Stn</t>
        </is>
      </c>
      <c r="G2279" s="3" t="inlineStr">
        <is>
          <t>Arr Stn</t>
        </is>
      </c>
      <c r="H2279" s="3" t="inlineStr">
        <is>
          <t>STD</t>
        </is>
      </c>
      <c r="I2279" s="3" t="inlineStr">
        <is>
          <t>STA</t>
        </is>
      </c>
      <c r="J2279" s="3" t="inlineStr">
        <is>
          <t>subflota</t>
        </is>
      </c>
      <c r="K2279" s="3" t="inlineStr">
        <is>
          <t>Conexion</t>
        </is>
      </c>
      <c r="L2279" s="3" t="inlineStr">
        <is>
          <t>HBT</t>
        </is>
      </c>
    </row>
    <row r="2280">
      <c r="B2280" s="4" t="inlineStr">
        <is>
          <t>22_0</t>
        </is>
      </c>
      <c r="C2280" s="4" t="inlineStr">
        <is>
          <t>29/09/2026</t>
        </is>
      </c>
      <c r="D2280" s="4" t="inlineStr">
        <is>
          <t>martes</t>
        </is>
      </c>
      <c r="E2280" s="4" t="inlineStr">
        <is>
          <t>2338</t>
        </is>
      </c>
      <c r="F2280" s="4" t="inlineStr">
        <is>
          <t>LIM</t>
        </is>
      </c>
      <c r="G2280" s="4" t="inlineStr">
        <is>
          <t>PIU</t>
        </is>
      </c>
      <c r="H2280" s="4" t="inlineStr">
        <is>
          <t>15:00:00</t>
        </is>
      </c>
      <c r="I2280" s="4" t="inlineStr">
        <is>
          <t>16:45:00</t>
        </is>
      </c>
      <c r="J2280" s="4" t="inlineStr">
        <is>
          <t>320</t>
        </is>
      </c>
      <c r="L2280" s="4" t="inlineStr">
        <is>
          <t>01:45:00</t>
        </is>
      </c>
      <c r="M2280" s="5" t="n"/>
      <c r="O2280" s="5" t="n"/>
      <c r="Q2280" s="4">
        <f>B2280</f>
        <v/>
      </c>
      <c r="R2280" s="4">
        <f>C2280</f>
        <v/>
      </c>
      <c r="S2280" s="4">
        <f>D2280</f>
        <v/>
      </c>
      <c r="T2280" s="4">
        <f>E2280&amp;"/"&amp;E2281</f>
        <v/>
      </c>
      <c r="U2280" s="4">
        <f>F2280&amp;"-"&amp;G2280&amp;"-"&amp;F2280</f>
        <v/>
      </c>
      <c r="V2280" s="4">
        <f>IF($M$2280="","",$M$2280)</f>
        <v/>
      </c>
      <c r="W2280" s="4">
        <f>IF($O$2280="","",$O$2280)</f>
        <v/>
      </c>
      <c r="X2280" s="4">
        <f>J2280</f>
        <v/>
      </c>
    </row>
    <row r="2281">
      <c r="B2281" s="4" t="inlineStr">
        <is>
          <t>22_0</t>
        </is>
      </c>
      <c r="C2281" s="4" t="inlineStr">
        <is>
          <t>29/09/2026</t>
        </is>
      </c>
      <c r="D2281" s="4" t="inlineStr">
        <is>
          <t>martes</t>
        </is>
      </c>
      <c r="E2281" s="4" t="inlineStr">
        <is>
          <t>2339</t>
        </is>
      </c>
      <c r="F2281" s="4" t="inlineStr">
        <is>
          <t>PIU</t>
        </is>
      </c>
      <c r="G2281" s="4" t="inlineStr">
        <is>
          <t>LIM</t>
        </is>
      </c>
      <c r="H2281" s="4" t="inlineStr">
        <is>
          <t>17:20:00</t>
        </is>
      </c>
      <c r="I2281" s="4" t="inlineStr">
        <is>
          <t>18:50:00</t>
        </is>
      </c>
      <c r="J2281" s="4" t="inlineStr">
        <is>
          <t>320</t>
        </is>
      </c>
      <c r="K2281">
        <f>TEXT(TIMEVALUE(H2281)-TIMEVALUE(I2280)+(TIMEVALUE(H2281)&lt;TIMEVALUE(I2280)),"[h]:mm")</f>
        <v/>
      </c>
      <c r="L2281" s="4" t="inlineStr">
        <is>
          <t>01:30:00</t>
        </is>
      </c>
      <c r="O2281">
        <f>"LIM-"&amp;G2280&amp;"-LIM   LA "&amp;E2280&amp;" ("&amp;LEFT(H2280,5)&amp;"-"&amp;LEFT(I2280,5)&amp;" hrs)  /  LA "&amp;E2281&amp;" ("&amp;LEFT(H2281,5)&amp;"-"&amp;LEFT(I2281,5)&amp;" hrs)"</f>
        <v/>
      </c>
    </row>
    <row r="2282">
      <c r="J2282" s="7" t="inlineStr">
        <is>
          <t>PSV total:</t>
        </is>
      </c>
      <c r="K2282" s="8">
        <f>TEXT(TIMEVALUE(I2281)-TIMEVALUE(H2280)+(I2281&lt;H2280),"[h]:mm")</f>
        <v/>
      </c>
    </row>
    <row r="2284">
      <c r="B2284" s="3" t="inlineStr">
        <is>
          <t>Pairing ID</t>
        </is>
      </c>
      <c r="C2284" s="3" t="inlineStr">
        <is>
          <t>FECHA REAL</t>
        </is>
      </c>
      <c r="D2284" s="3" t="inlineStr">
        <is>
          <t>Day of Week</t>
        </is>
      </c>
      <c r="E2284" s="3" t="inlineStr">
        <is>
          <t>Flight No</t>
        </is>
      </c>
      <c r="F2284" s="3" t="inlineStr">
        <is>
          <t>Dep Stn</t>
        </is>
      </c>
      <c r="G2284" s="3" t="inlineStr">
        <is>
          <t>Arr Stn</t>
        </is>
      </c>
      <c r="H2284" s="3" t="inlineStr">
        <is>
          <t>STD</t>
        </is>
      </c>
      <c r="I2284" s="3" t="inlineStr">
        <is>
          <t>STA</t>
        </is>
      </c>
      <c r="J2284" s="3" t="inlineStr">
        <is>
          <t>subflota</t>
        </is>
      </c>
      <c r="K2284" s="3" t="inlineStr">
        <is>
          <t>Conexion</t>
        </is>
      </c>
      <c r="L2284" s="3" t="inlineStr">
        <is>
          <t>HBT</t>
        </is>
      </c>
    </row>
    <row r="2285">
      <c r="B2285" s="4" t="inlineStr">
        <is>
          <t>23_0</t>
        </is>
      </c>
      <c r="C2285" s="4" t="inlineStr">
        <is>
          <t>29/09/2026</t>
        </is>
      </c>
      <c r="D2285" s="4" t="inlineStr">
        <is>
          <t>martes</t>
        </is>
      </c>
      <c r="E2285" s="4" t="inlineStr">
        <is>
          <t>2338</t>
        </is>
      </c>
      <c r="F2285" s="4" t="inlineStr">
        <is>
          <t>LIM</t>
        </is>
      </c>
      <c r="G2285" s="4" t="inlineStr">
        <is>
          <t>PIU</t>
        </is>
      </c>
      <c r="H2285" s="4" t="inlineStr">
        <is>
          <t>15:00:00</t>
        </is>
      </c>
      <c r="I2285" s="4" t="inlineStr">
        <is>
          <t>16:45:00</t>
        </is>
      </c>
      <c r="J2285" s="4" t="inlineStr">
        <is>
          <t>320</t>
        </is>
      </c>
      <c r="L2285" s="4" t="inlineStr">
        <is>
          <t>01:45:00</t>
        </is>
      </c>
      <c r="M2285" s="5" t="n"/>
      <c r="O2285" s="5" t="n"/>
      <c r="Q2285" s="4">
        <f>B2285</f>
        <v/>
      </c>
      <c r="R2285" s="4">
        <f>C2285</f>
        <v/>
      </c>
      <c r="S2285" s="4">
        <f>D2285</f>
        <v/>
      </c>
      <c r="T2285" s="4">
        <f>E2285&amp;"/"&amp;E2286</f>
        <v/>
      </c>
      <c r="U2285" s="4">
        <f>F2285&amp;"-"&amp;G2285&amp;"-"&amp;F2285</f>
        <v/>
      </c>
      <c r="V2285" s="4">
        <f>IF($M$2285="","",$M$2285)</f>
        <v/>
      </c>
      <c r="W2285" s="4">
        <f>IF($O$2285="","",$O$2285)</f>
        <v/>
      </c>
      <c r="X2285" s="4">
        <f>J2285</f>
        <v/>
      </c>
    </row>
    <row r="2286">
      <c r="B2286" s="4" t="inlineStr">
        <is>
          <t>23_0</t>
        </is>
      </c>
      <c r="C2286" s="4" t="inlineStr">
        <is>
          <t>29/09/2026</t>
        </is>
      </c>
      <c r="D2286" s="4" t="inlineStr">
        <is>
          <t>martes</t>
        </is>
      </c>
      <c r="E2286" s="4" t="inlineStr">
        <is>
          <t>2339</t>
        </is>
      </c>
      <c r="F2286" s="4" t="inlineStr">
        <is>
          <t>PIU</t>
        </is>
      </c>
      <c r="G2286" s="4" t="inlineStr">
        <is>
          <t>LIM</t>
        </is>
      </c>
      <c r="H2286" s="4" t="inlineStr">
        <is>
          <t>17:20:00</t>
        </is>
      </c>
      <c r="I2286" s="4" t="inlineStr">
        <is>
          <t>18:50:00</t>
        </is>
      </c>
      <c r="J2286" s="4" t="inlineStr">
        <is>
          <t>320</t>
        </is>
      </c>
      <c r="K2286">
        <f>TEXT(TIMEVALUE(H2286)-TIMEVALUE(I2285)+(TIMEVALUE(H2286)&lt;TIMEVALUE(I2285)),"[h]:mm")</f>
        <v/>
      </c>
      <c r="L2286" s="4" t="inlineStr">
        <is>
          <t>01:30:00</t>
        </is>
      </c>
      <c r="O2286">
        <f>"LIM-"&amp;G2285&amp;"-LIM   LA "&amp;E2285&amp;" ("&amp;LEFT(H2285,5)&amp;"-"&amp;LEFT(I2285,5)&amp;" hrs)  /  LA "&amp;E2286&amp;" ("&amp;LEFT(H2286,5)&amp;"-"&amp;LEFT(I2286,5)&amp;" hrs)"</f>
        <v/>
      </c>
    </row>
    <row r="2287">
      <c r="J2287" s="7" t="inlineStr">
        <is>
          <t>PSV total:</t>
        </is>
      </c>
      <c r="K2287" s="8">
        <f>TEXT(TIMEVALUE(I2286)-TIMEVALUE(H2285)+(I2286&lt;H2285),"[h]:mm")</f>
        <v/>
      </c>
    </row>
    <row r="2289">
      <c r="B2289" s="3" t="inlineStr">
        <is>
          <t>Pairing ID</t>
        </is>
      </c>
      <c r="C2289" s="3" t="inlineStr">
        <is>
          <t>FECHA REAL</t>
        </is>
      </c>
      <c r="D2289" s="3" t="inlineStr">
        <is>
          <t>Day of Week</t>
        </is>
      </c>
      <c r="E2289" s="3" t="inlineStr">
        <is>
          <t>Flight No</t>
        </is>
      </c>
      <c r="F2289" s="3" t="inlineStr">
        <is>
          <t>Dep Stn</t>
        </is>
      </c>
      <c r="G2289" s="3" t="inlineStr">
        <is>
          <t>Arr Stn</t>
        </is>
      </c>
      <c r="H2289" s="3" t="inlineStr">
        <is>
          <t>STD</t>
        </is>
      </c>
      <c r="I2289" s="3" t="inlineStr">
        <is>
          <t>STA</t>
        </is>
      </c>
      <c r="J2289" s="3" t="inlineStr">
        <is>
          <t>subflota</t>
        </is>
      </c>
      <c r="K2289" s="3" t="inlineStr">
        <is>
          <t>Conexion</t>
        </is>
      </c>
      <c r="L2289" s="3" t="inlineStr">
        <is>
          <t>HBT</t>
        </is>
      </c>
    </row>
    <row r="2290">
      <c r="B2290" s="4" t="inlineStr">
        <is>
          <t>2523_0</t>
        </is>
      </c>
      <c r="C2290" s="4" t="inlineStr">
        <is>
          <t>29/09/2026</t>
        </is>
      </c>
      <c r="D2290" s="4" t="inlineStr">
        <is>
          <t>martes</t>
        </is>
      </c>
      <c r="E2290" s="4" t="inlineStr">
        <is>
          <t>2338</t>
        </is>
      </c>
      <c r="F2290" s="4" t="inlineStr">
        <is>
          <t>LIM</t>
        </is>
      </c>
      <c r="G2290" s="4" t="inlineStr">
        <is>
          <t>PIU</t>
        </is>
      </c>
      <c r="H2290" s="4" t="inlineStr">
        <is>
          <t>15:00:00</t>
        </is>
      </c>
      <c r="I2290" s="4" t="inlineStr">
        <is>
          <t>16:45:00</t>
        </is>
      </c>
      <c r="J2290" s="4" t="inlineStr">
        <is>
          <t>320</t>
        </is>
      </c>
      <c r="L2290" s="4" t="inlineStr">
        <is>
          <t>01:45:00</t>
        </is>
      </c>
      <c r="M2290" s="5" t="n"/>
      <c r="O2290" s="5" t="n"/>
      <c r="Q2290" s="4">
        <f>B2290</f>
        <v/>
      </c>
      <c r="R2290" s="4">
        <f>C2290</f>
        <v/>
      </c>
      <c r="S2290" s="4">
        <f>D2290</f>
        <v/>
      </c>
      <c r="T2290" s="4">
        <f>E2290&amp;"/"&amp;E2291</f>
        <v/>
      </c>
      <c r="U2290" s="4">
        <f>F2290&amp;"-"&amp;G2290&amp;"-"&amp;F2290</f>
        <v/>
      </c>
      <c r="V2290" s="4">
        <f>IF($M$2290="","",$M$2290)</f>
        <v/>
      </c>
      <c r="W2290" s="4">
        <f>IF($O$2290="","",$O$2290)</f>
        <v/>
      </c>
      <c r="X2290" s="4">
        <f>J2290</f>
        <v/>
      </c>
    </row>
    <row r="2291">
      <c r="B2291" s="4" t="inlineStr">
        <is>
          <t>2523_0</t>
        </is>
      </c>
      <c r="C2291" s="4" t="inlineStr">
        <is>
          <t>29/09/2026</t>
        </is>
      </c>
      <c r="D2291" s="4" t="inlineStr">
        <is>
          <t>martes</t>
        </is>
      </c>
      <c r="E2291" s="4" t="inlineStr">
        <is>
          <t>2339</t>
        </is>
      </c>
      <c r="F2291" s="4" t="inlineStr">
        <is>
          <t>PIU</t>
        </is>
      </c>
      <c r="G2291" s="4" t="inlineStr">
        <is>
          <t>LIM</t>
        </is>
      </c>
      <c r="H2291" s="4" t="inlineStr">
        <is>
          <t>17:20:00</t>
        </is>
      </c>
      <c r="I2291" s="4" t="inlineStr">
        <is>
          <t>18:50:00</t>
        </is>
      </c>
      <c r="J2291" s="4" t="inlineStr">
        <is>
          <t>320</t>
        </is>
      </c>
      <c r="K2291">
        <f>TEXT(TIMEVALUE(H2291)-TIMEVALUE(I2290)+(TIMEVALUE(H2291)&lt;TIMEVALUE(I2290)),"[h]:mm")</f>
        <v/>
      </c>
      <c r="L2291" s="4" t="inlineStr">
        <is>
          <t>01:30:00</t>
        </is>
      </c>
      <c r="O2291">
        <f>"LIM-"&amp;G2290&amp;"-LIM   LA "&amp;E2290&amp;" ("&amp;LEFT(H2290,5)&amp;"-"&amp;LEFT(I2290,5)&amp;" hrs)  /  LA "&amp;E2291&amp;" ("&amp;LEFT(H2291,5)&amp;"-"&amp;LEFT(I2291,5)&amp;" hrs)"</f>
        <v/>
      </c>
    </row>
    <row r="2292">
      <c r="J2292" s="7" t="inlineStr">
        <is>
          <t>PSV total:</t>
        </is>
      </c>
      <c r="K2292" s="8">
        <f>TEXT(TIMEVALUE(I2291)-TIMEVALUE(H2290)+(I2291&lt;H2290),"[h]:mm")</f>
        <v/>
      </c>
    </row>
    <row r="2294">
      <c r="B2294" s="3" t="inlineStr">
        <is>
          <t>Pairing ID</t>
        </is>
      </c>
      <c r="C2294" s="3" t="inlineStr">
        <is>
          <t>FECHA REAL</t>
        </is>
      </c>
      <c r="D2294" s="3" t="inlineStr">
        <is>
          <t>Day of Week</t>
        </is>
      </c>
      <c r="E2294" s="3" t="inlineStr">
        <is>
          <t>Flight No</t>
        </is>
      </c>
      <c r="F2294" s="3" t="inlineStr">
        <is>
          <t>Dep Stn</t>
        </is>
      </c>
      <c r="G2294" s="3" t="inlineStr">
        <is>
          <t>Arr Stn</t>
        </is>
      </c>
      <c r="H2294" s="3" t="inlineStr">
        <is>
          <t>STD</t>
        </is>
      </c>
      <c r="I2294" s="3" t="inlineStr">
        <is>
          <t>STA</t>
        </is>
      </c>
      <c r="J2294" s="3" t="inlineStr">
        <is>
          <t>subflota</t>
        </is>
      </c>
      <c r="K2294" s="3" t="inlineStr">
        <is>
          <t>Conexion</t>
        </is>
      </c>
      <c r="L2294" s="3" t="inlineStr">
        <is>
          <t>HBT</t>
        </is>
      </c>
    </row>
    <row r="2295">
      <c r="B2295" s="4" t="inlineStr">
        <is>
          <t>2524_0</t>
        </is>
      </c>
      <c r="C2295" s="4" t="inlineStr">
        <is>
          <t>29/09/2026</t>
        </is>
      </c>
      <c r="D2295" s="4" t="inlineStr">
        <is>
          <t>martes</t>
        </is>
      </c>
      <c r="E2295" s="4" t="inlineStr">
        <is>
          <t>2338</t>
        </is>
      </c>
      <c r="F2295" s="4" t="inlineStr">
        <is>
          <t>LIM</t>
        </is>
      </c>
      <c r="G2295" s="4" t="inlineStr">
        <is>
          <t>PIU</t>
        </is>
      </c>
      <c r="H2295" s="4" t="inlineStr">
        <is>
          <t>15:00:00</t>
        </is>
      </c>
      <c r="I2295" s="4" t="inlineStr">
        <is>
          <t>16:45:00</t>
        </is>
      </c>
      <c r="J2295" s="4" t="inlineStr">
        <is>
          <t>320</t>
        </is>
      </c>
      <c r="L2295" s="4" t="inlineStr">
        <is>
          <t>01:45:00</t>
        </is>
      </c>
      <c r="M2295" s="5" t="n"/>
      <c r="O2295" s="5" t="n"/>
      <c r="Q2295" s="4">
        <f>B2295</f>
        <v/>
      </c>
      <c r="R2295" s="4">
        <f>C2295</f>
        <v/>
      </c>
      <c r="S2295" s="4">
        <f>D2295</f>
        <v/>
      </c>
      <c r="T2295" s="4">
        <f>E2295&amp;"/"&amp;E2296</f>
        <v/>
      </c>
      <c r="U2295" s="4">
        <f>F2295&amp;"-"&amp;G2295&amp;"-"&amp;F2295</f>
        <v/>
      </c>
      <c r="V2295" s="4">
        <f>IF($M$2295="","",$M$2295)</f>
        <v/>
      </c>
      <c r="W2295" s="4">
        <f>IF($O$2295="","",$O$2295)</f>
        <v/>
      </c>
      <c r="X2295" s="4">
        <f>J2295</f>
        <v/>
      </c>
    </row>
    <row r="2296">
      <c r="B2296" s="4" t="inlineStr">
        <is>
          <t>2524_0</t>
        </is>
      </c>
      <c r="C2296" s="4" t="inlineStr">
        <is>
          <t>29/09/2026</t>
        </is>
      </c>
      <c r="D2296" s="4" t="inlineStr">
        <is>
          <t>martes</t>
        </is>
      </c>
      <c r="E2296" s="4" t="inlineStr">
        <is>
          <t>2339</t>
        </is>
      </c>
      <c r="F2296" s="4" t="inlineStr">
        <is>
          <t>PIU</t>
        </is>
      </c>
      <c r="G2296" s="4" t="inlineStr">
        <is>
          <t>LIM</t>
        </is>
      </c>
      <c r="H2296" s="4" t="inlineStr">
        <is>
          <t>17:20:00</t>
        </is>
      </c>
      <c r="I2296" s="4" t="inlineStr">
        <is>
          <t>18:50:00</t>
        </is>
      </c>
      <c r="J2296" s="4" t="inlineStr">
        <is>
          <t>320</t>
        </is>
      </c>
      <c r="K2296">
        <f>TEXT(TIMEVALUE(H2296)-TIMEVALUE(I2295)+(TIMEVALUE(H2296)&lt;TIMEVALUE(I2295)),"[h]:mm")</f>
        <v/>
      </c>
      <c r="L2296" s="4" t="inlineStr">
        <is>
          <t>01:30:00</t>
        </is>
      </c>
      <c r="O2296">
        <f>"LIM-"&amp;G2295&amp;"-LIM   LA "&amp;E2295&amp;" ("&amp;LEFT(H2295,5)&amp;"-"&amp;LEFT(I2295,5)&amp;" hrs)  /  LA "&amp;E2296&amp;" ("&amp;LEFT(H2296,5)&amp;"-"&amp;LEFT(I2296,5)&amp;" hrs)"</f>
        <v/>
      </c>
    </row>
    <row r="2297">
      <c r="J2297" s="7" t="inlineStr">
        <is>
          <t>PSV total:</t>
        </is>
      </c>
      <c r="K2297" s="8">
        <f>TEXT(TIMEVALUE(I2296)-TIMEVALUE(H2295)+(I2296&lt;H2295),"[h]:mm")</f>
        <v/>
      </c>
    </row>
    <row r="2299">
      <c r="B2299" s="3" t="inlineStr">
        <is>
          <t>Pairing ID</t>
        </is>
      </c>
      <c r="C2299" s="3" t="inlineStr">
        <is>
          <t>FECHA REAL</t>
        </is>
      </c>
      <c r="D2299" s="3" t="inlineStr">
        <is>
          <t>Day of Week</t>
        </is>
      </c>
      <c r="E2299" s="3" t="inlineStr">
        <is>
          <t>Flight No</t>
        </is>
      </c>
      <c r="F2299" s="3" t="inlineStr">
        <is>
          <t>Dep Stn</t>
        </is>
      </c>
      <c r="G2299" s="3" t="inlineStr">
        <is>
          <t>Arr Stn</t>
        </is>
      </c>
      <c r="H2299" s="3" t="inlineStr">
        <is>
          <t>STD</t>
        </is>
      </c>
      <c r="I2299" s="3" t="inlineStr">
        <is>
          <t>STA</t>
        </is>
      </c>
      <c r="J2299" s="3" t="inlineStr">
        <is>
          <t>subflota</t>
        </is>
      </c>
      <c r="K2299" s="3" t="inlineStr">
        <is>
          <t>Conexion</t>
        </is>
      </c>
      <c r="L2299" s="3" t="inlineStr">
        <is>
          <t>HBT</t>
        </is>
      </c>
    </row>
    <row r="2300">
      <c r="B2300" s="4" t="inlineStr">
        <is>
          <t>2528_0</t>
        </is>
      </c>
      <c r="C2300" s="4" t="inlineStr">
        <is>
          <t>29/09/2026</t>
        </is>
      </c>
      <c r="D2300" s="4" t="inlineStr">
        <is>
          <t>martes</t>
        </is>
      </c>
      <c r="E2300" s="4" t="inlineStr">
        <is>
          <t>2312</t>
        </is>
      </c>
      <c r="F2300" s="4" t="inlineStr">
        <is>
          <t>LIM</t>
        </is>
      </c>
      <c r="G2300" s="4" t="inlineStr">
        <is>
          <t>CIX</t>
        </is>
      </c>
      <c r="H2300" s="4" t="inlineStr">
        <is>
          <t>15:35:00</t>
        </is>
      </c>
      <c r="I2300" s="4" t="inlineStr">
        <is>
          <t>17:05:00</t>
        </is>
      </c>
      <c r="J2300" s="4" t="inlineStr">
        <is>
          <t>320</t>
        </is>
      </c>
      <c r="L2300" s="4" t="inlineStr">
        <is>
          <t>01:30:00</t>
        </is>
      </c>
      <c r="M2300" s="5" t="n"/>
      <c r="O2300" s="5" t="n"/>
      <c r="Q2300" s="4">
        <f>B2300</f>
        <v/>
      </c>
      <c r="R2300" s="4">
        <f>C2300</f>
        <v/>
      </c>
      <c r="S2300" s="4">
        <f>D2300</f>
        <v/>
      </c>
      <c r="T2300" s="4">
        <f>E2300&amp;"/"&amp;E2301</f>
        <v/>
      </c>
      <c r="U2300" s="4">
        <f>F2300&amp;"-"&amp;G2300&amp;"-"&amp;F2300</f>
        <v/>
      </c>
      <c r="V2300" s="4">
        <f>IF($M$2300="","",$M$2300)</f>
        <v/>
      </c>
      <c r="W2300" s="4">
        <f>IF($O$2300="","",$O$2300)</f>
        <v/>
      </c>
      <c r="X2300" s="4">
        <f>J2300</f>
        <v/>
      </c>
    </row>
    <row r="2301">
      <c r="B2301" s="4" t="inlineStr">
        <is>
          <t>2528_0</t>
        </is>
      </c>
      <c r="C2301" s="4" t="inlineStr">
        <is>
          <t>29/09/2026</t>
        </is>
      </c>
      <c r="D2301" s="4" t="inlineStr">
        <is>
          <t>martes</t>
        </is>
      </c>
      <c r="E2301" s="4" t="inlineStr">
        <is>
          <t>2313</t>
        </is>
      </c>
      <c r="F2301" s="4" t="inlineStr">
        <is>
          <t>CIX</t>
        </is>
      </c>
      <c r="G2301" s="4" t="inlineStr">
        <is>
          <t>LIM</t>
        </is>
      </c>
      <c r="H2301" s="4" t="inlineStr">
        <is>
          <t>17:50:00</t>
        </is>
      </c>
      <c r="I2301" s="4" t="inlineStr">
        <is>
          <t>19:10:00</t>
        </is>
      </c>
      <c r="J2301" s="4" t="inlineStr">
        <is>
          <t>320</t>
        </is>
      </c>
      <c r="K2301">
        <f>TEXT(TIMEVALUE(H2301)-TIMEVALUE(I2300)+(TIMEVALUE(H2301)&lt;TIMEVALUE(I2300)),"[h]:mm")</f>
        <v/>
      </c>
      <c r="L2301" s="4" t="inlineStr">
        <is>
          <t>01:20:00</t>
        </is>
      </c>
      <c r="O2301">
        <f>"LIM-"&amp;G2300&amp;"-LIM   LA "&amp;E2300&amp;" ("&amp;LEFT(H2300,5)&amp;"-"&amp;LEFT(I2300,5)&amp;" hrs)  /  LA "&amp;E2301&amp;" ("&amp;LEFT(H2301,5)&amp;"-"&amp;LEFT(I2301,5)&amp;" hrs)"</f>
        <v/>
      </c>
    </row>
    <row r="2302">
      <c r="J2302" s="7" t="inlineStr">
        <is>
          <t>PSV total:</t>
        </is>
      </c>
      <c r="K2302" s="8">
        <f>TEXT(TIMEVALUE(I2301)-TIMEVALUE(H2300)+(I2301&lt;H2300),"[h]:mm")</f>
        <v/>
      </c>
    </row>
    <row r="2304">
      <c r="B2304" s="3" t="inlineStr">
        <is>
          <t>Pairing ID</t>
        </is>
      </c>
      <c r="C2304" s="3" t="inlineStr">
        <is>
          <t>FECHA REAL</t>
        </is>
      </c>
      <c r="D2304" s="3" t="inlineStr">
        <is>
          <t>Day of Week</t>
        </is>
      </c>
      <c r="E2304" s="3" t="inlineStr">
        <is>
          <t>Flight No</t>
        </is>
      </c>
      <c r="F2304" s="3" t="inlineStr">
        <is>
          <t>Dep Stn</t>
        </is>
      </c>
      <c r="G2304" s="3" t="inlineStr">
        <is>
          <t>Arr Stn</t>
        </is>
      </c>
      <c r="H2304" s="3" t="inlineStr">
        <is>
          <t>STD</t>
        </is>
      </c>
      <c r="I2304" s="3" t="inlineStr">
        <is>
          <t>STA</t>
        </is>
      </c>
      <c r="J2304" s="3" t="inlineStr">
        <is>
          <t>subflota</t>
        </is>
      </c>
      <c r="K2304" s="3" t="inlineStr">
        <is>
          <t>Conexion</t>
        </is>
      </c>
      <c r="L2304" s="3" t="inlineStr">
        <is>
          <t>HBT</t>
        </is>
      </c>
    </row>
    <row r="2305">
      <c r="B2305" s="4" t="inlineStr">
        <is>
          <t>25_1</t>
        </is>
      </c>
      <c r="C2305" s="4" t="inlineStr">
        <is>
          <t>29/09/2026</t>
        </is>
      </c>
      <c r="D2305" s="4" t="inlineStr">
        <is>
          <t>martes</t>
        </is>
      </c>
      <c r="E2305" s="4" t="inlineStr">
        <is>
          <t>2312</t>
        </is>
      </c>
      <c r="F2305" s="4" t="inlineStr">
        <is>
          <t>LIM</t>
        </is>
      </c>
      <c r="G2305" s="4" t="inlineStr">
        <is>
          <t>CIX</t>
        </is>
      </c>
      <c r="H2305" s="4" t="inlineStr">
        <is>
          <t>15:35:00</t>
        </is>
      </c>
      <c r="I2305" s="4" t="inlineStr">
        <is>
          <t>17:05:00</t>
        </is>
      </c>
      <c r="J2305" s="4" t="inlineStr">
        <is>
          <t>320</t>
        </is>
      </c>
      <c r="L2305" s="4" t="inlineStr">
        <is>
          <t>01:30:00</t>
        </is>
      </c>
      <c r="M2305" s="5" t="n"/>
      <c r="O2305" s="5" t="n"/>
      <c r="Q2305" s="4">
        <f>B2305</f>
        <v/>
      </c>
      <c r="R2305" s="4">
        <f>C2305</f>
        <v/>
      </c>
      <c r="S2305" s="4">
        <f>D2305</f>
        <v/>
      </c>
      <c r="T2305" s="4">
        <f>E2305&amp;"/"&amp;E2306</f>
        <v/>
      </c>
      <c r="U2305" s="4">
        <f>F2305&amp;"-"&amp;G2305&amp;"-"&amp;F2305</f>
        <v/>
      </c>
      <c r="V2305" s="4">
        <f>IF($M$2305="","",$M$2305)</f>
        <v/>
      </c>
      <c r="W2305" s="4">
        <f>IF($O$2305="","",$O$2305)</f>
        <v/>
      </c>
      <c r="X2305" s="4">
        <f>J2305</f>
        <v/>
      </c>
    </row>
    <row r="2306">
      <c r="B2306" s="4" t="inlineStr">
        <is>
          <t>25_1</t>
        </is>
      </c>
      <c r="C2306" s="4" t="inlineStr">
        <is>
          <t>29/09/2026</t>
        </is>
      </c>
      <c r="D2306" s="4" t="inlineStr">
        <is>
          <t>martes</t>
        </is>
      </c>
      <c r="E2306" s="4" t="inlineStr">
        <is>
          <t>2313</t>
        </is>
      </c>
      <c r="F2306" s="4" t="inlineStr">
        <is>
          <t>CIX</t>
        </is>
      </c>
      <c r="G2306" s="4" t="inlineStr">
        <is>
          <t>LIM</t>
        </is>
      </c>
      <c r="H2306" s="4" t="inlineStr">
        <is>
          <t>17:50:00</t>
        </is>
      </c>
      <c r="I2306" s="4" t="inlineStr">
        <is>
          <t>19:10:00</t>
        </is>
      </c>
      <c r="J2306" s="4" t="inlineStr">
        <is>
          <t>320</t>
        </is>
      </c>
      <c r="K2306">
        <f>TEXT(TIMEVALUE(H2306)-TIMEVALUE(I2305)+(TIMEVALUE(H2306)&lt;TIMEVALUE(I2305)),"[h]:mm")</f>
        <v/>
      </c>
      <c r="L2306" s="4" t="inlineStr">
        <is>
          <t>01:20:00</t>
        </is>
      </c>
      <c r="O2306">
        <f>"LIM-"&amp;G2305&amp;"-LIM   LA "&amp;E2305&amp;" ("&amp;LEFT(H2305,5)&amp;"-"&amp;LEFT(I2305,5)&amp;" hrs)  /  LA "&amp;E2306&amp;" ("&amp;LEFT(H2306,5)&amp;"-"&amp;LEFT(I2306,5)&amp;" hrs)"</f>
        <v/>
      </c>
    </row>
    <row r="2307">
      <c r="J2307" s="7" t="inlineStr">
        <is>
          <t>PSV total:</t>
        </is>
      </c>
      <c r="K2307" s="8">
        <f>TEXT(TIMEVALUE(I2306)-TIMEVALUE(H2305)+(I2306&lt;H2305),"[h]:mm")</f>
        <v/>
      </c>
    </row>
    <row r="2309">
      <c r="B2309" s="3" t="inlineStr">
        <is>
          <t>Pairing ID</t>
        </is>
      </c>
      <c r="C2309" s="3" t="inlineStr">
        <is>
          <t>FECHA REAL</t>
        </is>
      </c>
      <c r="D2309" s="3" t="inlineStr">
        <is>
          <t>Day of Week</t>
        </is>
      </c>
      <c r="E2309" s="3" t="inlineStr">
        <is>
          <t>Flight No</t>
        </is>
      </c>
      <c r="F2309" s="3" t="inlineStr">
        <is>
          <t>Dep Stn</t>
        </is>
      </c>
      <c r="G2309" s="3" t="inlineStr">
        <is>
          <t>Arr Stn</t>
        </is>
      </c>
      <c r="H2309" s="3" t="inlineStr">
        <is>
          <t>STD</t>
        </is>
      </c>
      <c r="I2309" s="3" t="inlineStr">
        <is>
          <t>STA</t>
        </is>
      </c>
      <c r="J2309" s="3" t="inlineStr">
        <is>
          <t>subflota</t>
        </is>
      </c>
      <c r="K2309" s="3" t="inlineStr">
        <is>
          <t>Conexion</t>
        </is>
      </c>
      <c r="L2309" s="3" t="inlineStr">
        <is>
          <t>HBT</t>
        </is>
      </c>
    </row>
    <row r="2310">
      <c r="B2310" s="4" t="inlineStr">
        <is>
          <t>2529_0</t>
        </is>
      </c>
      <c r="C2310" s="4" t="inlineStr">
        <is>
          <t>29/09/2026</t>
        </is>
      </c>
      <c r="D2310" s="4" t="inlineStr">
        <is>
          <t>martes</t>
        </is>
      </c>
      <c r="E2310" s="4" t="inlineStr">
        <is>
          <t>2301</t>
        </is>
      </c>
      <c r="F2310" s="4" t="inlineStr">
        <is>
          <t>LIM</t>
        </is>
      </c>
      <c r="G2310" s="4" t="inlineStr">
        <is>
          <t>TPP</t>
        </is>
      </c>
      <c r="H2310" s="4" t="inlineStr">
        <is>
          <t>15:40:00</t>
        </is>
      </c>
      <c r="I2310" s="4" t="inlineStr">
        <is>
          <t>17:05:00</t>
        </is>
      </c>
      <c r="J2310" s="4" t="inlineStr">
        <is>
          <t>320</t>
        </is>
      </c>
      <c r="L2310" s="4" t="inlineStr">
        <is>
          <t>01:25:00</t>
        </is>
      </c>
      <c r="M2310" s="5" t="n"/>
      <c r="O2310" s="5" t="n"/>
      <c r="Q2310" s="4">
        <f>B2310</f>
        <v/>
      </c>
      <c r="R2310" s="4">
        <f>C2310</f>
        <v/>
      </c>
      <c r="S2310" s="4">
        <f>D2310</f>
        <v/>
      </c>
      <c r="T2310" s="4">
        <f>E2310&amp;"/"&amp;E2311</f>
        <v/>
      </c>
      <c r="U2310" s="4">
        <f>F2310&amp;"-"&amp;G2310&amp;"-"&amp;F2310</f>
        <v/>
      </c>
      <c r="V2310" s="4">
        <f>IF($M$2310="","",$M$2310)</f>
        <v/>
      </c>
      <c r="W2310" s="4">
        <f>IF($O$2310="","",$O$2310)</f>
        <v/>
      </c>
      <c r="X2310" s="4">
        <f>J2310</f>
        <v/>
      </c>
    </row>
    <row r="2311">
      <c r="B2311" s="4" t="inlineStr">
        <is>
          <t>2529_0</t>
        </is>
      </c>
      <c r="C2311" s="4" t="inlineStr">
        <is>
          <t>29/09/2026</t>
        </is>
      </c>
      <c r="D2311" s="4" t="inlineStr">
        <is>
          <t>martes</t>
        </is>
      </c>
      <c r="E2311" s="4" t="inlineStr">
        <is>
          <t>2300</t>
        </is>
      </c>
      <c r="F2311" s="4" t="inlineStr">
        <is>
          <t>TPP</t>
        </is>
      </c>
      <c r="G2311" s="4" t="inlineStr">
        <is>
          <t>LIM</t>
        </is>
      </c>
      <c r="H2311" s="4" t="inlineStr">
        <is>
          <t>17:50:00</t>
        </is>
      </c>
      <c r="I2311" s="4" t="inlineStr">
        <is>
          <t>19:15:00</t>
        </is>
      </c>
      <c r="J2311" s="4" t="inlineStr">
        <is>
          <t>320</t>
        </is>
      </c>
      <c r="K2311">
        <f>TEXT(TIMEVALUE(H2311)-TIMEVALUE(I2310)+(TIMEVALUE(H2311)&lt;TIMEVALUE(I2310)),"[h]:mm")</f>
        <v/>
      </c>
      <c r="L2311" s="4" t="inlineStr">
        <is>
          <t>01:25:00</t>
        </is>
      </c>
      <c r="O2311">
        <f>"LIM-"&amp;G2310&amp;"-LIM   LA "&amp;E2310&amp;" ("&amp;LEFT(H2310,5)&amp;"-"&amp;LEFT(I2310,5)&amp;" hrs)  /  LA "&amp;E2311&amp;" ("&amp;LEFT(H2311,5)&amp;"-"&amp;LEFT(I2311,5)&amp;" hrs)"</f>
        <v/>
      </c>
    </row>
    <row r="2312">
      <c r="J2312" s="7" t="inlineStr">
        <is>
          <t>PSV total:</t>
        </is>
      </c>
      <c r="K2312" s="8">
        <f>TEXT(TIMEVALUE(I2311)-TIMEVALUE(H2310)+(I2311&lt;H2310),"[h]:mm")</f>
        <v/>
      </c>
    </row>
    <row r="2314">
      <c r="B2314" s="3" t="inlineStr">
        <is>
          <t>Pairing ID</t>
        </is>
      </c>
      <c r="C2314" s="3" t="inlineStr">
        <is>
          <t>FECHA REAL</t>
        </is>
      </c>
      <c r="D2314" s="3" t="inlineStr">
        <is>
          <t>Day of Week</t>
        </is>
      </c>
      <c r="E2314" s="3" t="inlineStr">
        <is>
          <t>Flight No</t>
        </is>
      </c>
      <c r="F2314" s="3" t="inlineStr">
        <is>
          <t>Dep Stn</t>
        </is>
      </c>
      <c r="G2314" s="3" t="inlineStr">
        <is>
          <t>Arr Stn</t>
        </is>
      </c>
      <c r="H2314" s="3" t="inlineStr">
        <is>
          <t>STD</t>
        </is>
      </c>
      <c r="I2314" s="3" t="inlineStr">
        <is>
          <t>STA</t>
        </is>
      </c>
      <c r="J2314" s="3" t="inlineStr">
        <is>
          <t>subflota</t>
        </is>
      </c>
      <c r="K2314" s="3" t="inlineStr">
        <is>
          <t>Conexion</t>
        </is>
      </c>
      <c r="L2314" s="3" t="inlineStr">
        <is>
          <t>HBT</t>
        </is>
      </c>
    </row>
    <row r="2315">
      <c r="B2315" s="4" t="inlineStr">
        <is>
          <t>27_1</t>
        </is>
      </c>
      <c r="C2315" s="4" t="inlineStr">
        <is>
          <t>29/09/2026</t>
        </is>
      </c>
      <c r="D2315" s="4" t="inlineStr">
        <is>
          <t>martes</t>
        </is>
      </c>
      <c r="E2315" s="4" t="inlineStr">
        <is>
          <t>2276</t>
        </is>
      </c>
      <c r="F2315" s="4" t="inlineStr">
        <is>
          <t>LIM</t>
        </is>
      </c>
      <c r="G2315" s="4" t="inlineStr">
        <is>
          <t>CUZ</t>
        </is>
      </c>
      <c r="H2315" s="4" t="inlineStr">
        <is>
          <t>16:35:00</t>
        </is>
      </c>
      <c r="I2315" s="4" t="inlineStr">
        <is>
          <t>17:55:00</t>
        </is>
      </c>
      <c r="J2315" s="4" t="inlineStr">
        <is>
          <t>320</t>
        </is>
      </c>
      <c r="L2315" s="4" t="inlineStr">
        <is>
          <t>01:20:00</t>
        </is>
      </c>
      <c r="M2315" s="5" t="n"/>
      <c r="O2315" s="5" t="n"/>
      <c r="Q2315" s="4">
        <f>B2315</f>
        <v/>
      </c>
      <c r="R2315" s="4">
        <f>C2315</f>
        <v/>
      </c>
      <c r="S2315" s="4">
        <f>D2315</f>
        <v/>
      </c>
      <c r="T2315" s="4">
        <f>E2315&amp;"/"&amp;E2316</f>
        <v/>
      </c>
      <c r="U2315" s="4">
        <f>F2315&amp;"-"&amp;G2315&amp;"-"&amp;F2315</f>
        <v/>
      </c>
      <c r="V2315" s="4">
        <f>IF($M$2315="","",$M$2315)</f>
        <v/>
      </c>
      <c r="W2315" s="4">
        <f>IF($O$2315="","",$O$2315)</f>
        <v/>
      </c>
      <c r="X2315" s="4">
        <f>J2315</f>
        <v/>
      </c>
    </row>
    <row r="2316">
      <c r="B2316" s="4" t="inlineStr">
        <is>
          <t>27_1</t>
        </is>
      </c>
      <c r="C2316" s="4" t="inlineStr">
        <is>
          <t>29/09/2026</t>
        </is>
      </c>
      <c r="D2316" s="4" t="inlineStr">
        <is>
          <t>martes</t>
        </is>
      </c>
      <c r="E2316" s="4" t="inlineStr">
        <is>
          <t>2277</t>
        </is>
      </c>
      <c r="F2316" s="4" t="inlineStr">
        <is>
          <t>CUZ</t>
        </is>
      </c>
      <c r="G2316" s="4" t="inlineStr">
        <is>
          <t>LIM</t>
        </is>
      </c>
      <c r="H2316" s="4" t="inlineStr">
        <is>
          <t>18:50:00</t>
        </is>
      </c>
      <c r="I2316" s="4" t="inlineStr">
        <is>
          <t>20:25:00</t>
        </is>
      </c>
      <c r="J2316" s="4" t="inlineStr">
        <is>
          <t>320</t>
        </is>
      </c>
      <c r="K2316">
        <f>TEXT(TIMEVALUE(H2316)-TIMEVALUE(I2315)+(TIMEVALUE(H2316)&lt;TIMEVALUE(I2315)),"[h]:mm")</f>
        <v/>
      </c>
      <c r="L2316" s="4" t="inlineStr">
        <is>
          <t>01:35:00</t>
        </is>
      </c>
      <c r="O2316">
        <f>"LIM-"&amp;G2315&amp;"-LIM   LA "&amp;E2315&amp;" ("&amp;LEFT(H2315,5)&amp;"-"&amp;LEFT(I2315,5)&amp;" hrs)  /  LA "&amp;E2316&amp;" ("&amp;LEFT(H2316,5)&amp;"-"&amp;LEFT(I2316,5)&amp;" hrs)"</f>
        <v/>
      </c>
    </row>
    <row r="2317">
      <c r="J2317" s="7" t="inlineStr">
        <is>
          <t>PSV total:</t>
        </is>
      </c>
      <c r="K2317" s="8">
        <f>TEXT(TIMEVALUE(I2316)-TIMEVALUE(H2315)+(I2316&lt;H2315),"[h]:mm")</f>
        <v/>
      </c>
    </row>
    <row r="2319">
      <c r="B2319" s="3" t="inlineStr">
        <is>
          <t>Pairing ID</t>
        </is>
      </c>
      <c r="C2319" s="3" t="inlineStr">
        <is>
          <t>FECHA REAL</t>
        </is>
      </c>
      <c r="D2319" s="3" t="inlineStr">
        <is>
          <t>Day of Week</t>
        </is>
      </c>
      <c r="E2319" s="3" t="inlineStr">
        <is>
          <t>Flight No</t>
        </is>
      </c>
      <c r="F2319" s="3" t="inlineStr">
        <is>
          <t>Dep Stn</t>
        </is>
      </c>
      <c r="G2319" s="3" t="inlineStr">
        <is>
          <t>Arr Stn</t>
        </is>
      </c>
      <c r="H2319" s="3" t="inlineStr">
        <is>
          <t>STD</t>
        </is>
      </c>
      <c r="I2319" s="3" t="inlineStr">
        <is>
          <t>STA</t>
        </is>
      </c>
      <c r="J2319" s="3" t="inlineStr">
        <is>
          <t>subflota</t>
        </is>
      </c>
      <c r="K2319" s="3" t="inlineStr">
        <is>
          <t>Conexion</t>
        </is>
      </c>
      <c r="L2319" s="3" t="inlineStr">
        <is>
          <t>HBT</t>
        </is>
      </c>
    </row>
    <row r="2320">
      <c r="B2320" s="4" t="inlineStr">
        <is>
          <t>28_1</t>
        </is>
      </c>
      <c r="C2320" s="4" t="inlineStr">
        <is>
          <t>29/09/2026</t>
        </is>
      </c>
      <c r="D2320" s="4" t="inlineStr">
        <is>
          <t>martes</t>
        </is>
      </c>
      <c r="E2320" s="4" t="inlineStr">
        <is>
          <t>2304</t>
        </is>
      </c>
      <c r="F2320" s="4" t="inlineStr">
        <is>
          <t>LIM</t>
        </is>
      </c>
      <c r="G2320" s="4" t="inlineStr">
        <is>
          <t>PIU</t>
        </is>
      </c>
      <c r="H2320" s="4" t="inlineStr">
        <is>
          <t>16:55:00</t>
        </is>
      </c>
      <c r="I2320" s="4" t="inlineStr">
        <is>
          <t>18:35:00</t>
        </is>
      </c>
      <c r="J2320" s="4" t="inlineStr">
        <is>
          <t>320</t>
        </is>
      </c>
      <c r="L2320" s="4" t="inlineStr">
        <is>
          <t>01:40:00</t>
        </is>
      </c>
      <c r="M2320" s="5" t="n"/>
      <c r="O2320" s="5" t="n"/>
      <c r="Q2320" s="4">
        <f>B2320</f>
        <v/>
      </c>
      <c r="R2320" s="4">
        <f>C2320</f>
        <v/>
      </c>
      <c r="S2320" s="4">
        <f>D2320</f>
        <v/>
      </c>
      <c r="T2320" s="4">
        <f>E2320&amp;"/"&amp;E2321</f>
        <v/>
      </c>
      <c r="U2320" s="4">
        <f>F2320&amp;"-"&amp;G2320&amp;"-"&amp;F2320</f>
        <v/>
      </c>
      <c r="V2320" s="4">
        <f>IF($M$2320="","",$M$2320)</f>
        <v/>
      </c>
      <c r="W2320" s="4">
        <f>IF($O$2320="","",$O$2320)</f>
        <v/>
      </c>
      <c r="X2320" s="4">
        <f>J2320</f>
        <v/>
      </c>
    </row>
    <row r="2321">
      <c r="B2321" s="4" t="inlineStr">
        <is>
          <t>28_1</t>
        </is>
      </c>
      <c r="C2321" s="4" t="inlineStr">
        <is>
          <t>29/09/2026</t>
        </is>
      </c>
      <c r="D2321" s="4" t="inlineStr">
        <is>
          <t>martes</t>
        </is>
      </c>
      <c r="E2321" s="4" t="inlineStr">
        <is>
          <t>2305</t>
        </is>
      </c>
      <c r="F2321" s="4" t="inlineStr">
        <is>
          <t>PIU</t>
        </is>
      </c>
      <c r="G2321" s="4" t="inlineStr">
        <is>
          <t>LIM</t>
        </is>
      </c>
      <c r="H2321" s="4" t="inlineStr">
        <is>
          <t>19:10:00</t>
        </is>
      </c>
      <c r="I2321" s="4" t="inlineStr">
        <is>
          <t>20:40:00</t>
        </is>
      </c>
      <c r="J2321" s="4" t="inlineStr">
        <is>
          <t>320</t>
        </is>
      </c>
      <c r="K2321">
        <f>TEXT(TIMEVALUE(H2321)-TIMEVALUE(I2320)+(TIMEVALUE(H2321)&lt;TIMEVALUE(I2320)),"[h]:mm")</f>
        <v/>
      </c>
      <c r="L2321" s="4" t="inlineStr">
        <is>
          <t>01:30:00</t>
        </is>
      </c>
      <c r="O2321">
        <f>"LIM-"&amp;G2320&amp;"-LIM   LA "&amp;E2320&amp;" ("&amp;LEFT(H2320,5)&amp;"-"&amp;LEFT(I2320,5)&amp;" hrs)  /  LA "&amp;E2321&amp;" ("&amp;LEFT(H2321,5)&amp;"-"&amp;LEFT(I2321,5)&amp;" hrs)"</f>
        <v/>
      </c>
    </row>
    <row r="2322">
      <c r="J2322" s="7" t="inlineStr">
        <is>
          <t>PSV total:</t>
        </is>
      </c>
      <c r="K2322" s="8">
        <f>TEXT(TIMEVALUE(I2321)-TIMEVALUE(H2320)+(I2321&lt;H2320),"[h]:mm")</f>
        <v/>
      </c>
    </row>
    <row r="2324">
      <c r="B2324" s="3" t="inlineStr">
        <is>
          <t>Pairing ID</t>
        </is>
      </c>
      <c r="C2324" s="3" t="inlineStr">
        <is>
          <t>FECHA REAL</t>
        </is>
      </c>
      <c r="D2324" s="3" t="inlineStr">
        <is>
          <t>Day of Week</t>
        </is>
      </c>
      <c r="E2324" s="3" t="inlineStr">
        <is>
          <t>Flight No</t>
        </is>
      </c>
      <c r="F2324" s="3" t="inlineStr">
        <is>
          <t>Dep Stn</t>
        </is>
      </c>
      <c r="G2324" s="3" t="inlineStr">
        <is>
          <t>Arr Stn</t>
        </is>
      </c>
      <c r="H2324" s="3" t="inlineStr">
        <is>
          <t>STD</t>
        </is>
      </c>
      <c r="I2324" s="3" t="inlineStr">
        <is>
          <t>STA</t>
        </is>
      </c>
      <c r="J2324" s="3" t="inlineStr">
        <is>
          <t>subflota</t>
        </is>
      </c>
      <c r="K2324" s="3" t="inlineStr">
        <is>
          <t>Conexion</t>
        </is>
      </c>
      <c r="L2324" s="3" t="inlineStr">
        <is>
          <t>HBT</t>
        </is>
      </c>
    </row>
    <row r="2325">
      <c r="B2325" s="4" t="inlineStr">
        <is>
          <t>2532_0</t>
        </is>
      </c>
      <c r="C2325" s="4" t="inlineStr">
        <is>
          <t>29/09/2026</t>
        </is>
      </c>
      <c r="D2325" s="4" t="inlineStr">
        <is>
          <t>martes</t>
        </is>
      </c>
      <c r="E2325" s="4" t="inlineStr">
        <is>
          <t>2304</t>
        </is>
      </c>
      <c r="F2325" s="4" t="inlineStr">
        <is>
          <t>LIM</t>
        </is>
      </c>
      <c r="G2325" s="4" t="inlineStr">
        <is>
          <t>PIU</t>
        </is>
      </c>
      <c r="H2325" s="4" t="inlineStr">
        <is>
          <t>16:55:00</t>
        </is>
      </c>
      <c r="I2325" s="4" t="inlineStr">
        <is>
          <t>18:35:00</t>
        </is>
      </c>
      <c r="J2325" s="4" t="inlineStr">
        <is>
          <t>320</t>
        </is>
      </c>
      <c r="L2325" s="4" t="inlineStr">
        <is>
          <t>01:40:00</t>
        </is>
      </c>
      <c r="M2325" s="5" t="n"/>
      <c r="O2325" s="5" t="n"/>
      <c r="Q2325" s="4">
        <f>B2325</f>
        <v/>
      </c>
      <c r="R2325" s="4">
        <f>C2325</f>
        <v/>
      </c>
      <c r="S2325" s="4">
        <f>D2325</f>
        <v/>
      </c>
      <c r="T2325" s="4">
        <f>E2325&amp;"/"&amp;E2326</f>
        <v/>
      </c>
      <c r="U2325" s="4">
        <f>F2325&amp;"-"&amp;G2325&amp;"-"&amp;F2325</f>
        <v/>
      </c>
      <c r="V2325" s="4">
        <f>IF($M$2325="","",$M$2325)</f>
        <v/>
      </c>
      <c r="W2325" s="4">
        <f>IF($O$2325="","",$O$2325)</f>
        <v/>
      </c>
      <c r="X2325" s="4">
        <f>J2325</f>
        <v/>
      </c>
    </row>
    <row r="2326">
      <c r="B2326" s="4" t="inlineStr">
        <is>
          <t>2532_0</t>
        </is>
      </c>
      <c r="C2326" s="4" t="inlineStr">
        <is>
          <t>29/09/2026</t>
        </is>
      </c>
      <c r="D2326" s="4" t="inlineStr">
        <is>
          <t>martes</t>
        </is>
      </c>
      <c r="E2326" s="4" t="inlineStr">
        <is>
          <t>2305</t>
        </is>
      </c>
      <c r="F2326" s="4" t="inlineStr">
        <is>
          <t>PIU</t>
        </is>
      </c>
      <c r="G2326" s="4" t="inlineStr">
        <is>
          <t>LIM</t>
        </is>
      </c>
      <c r="H2326" s="4" t="inlineStr">
        <is>
          <t>19:10:00</t>
        </is>
      </c>
      <c r="I2326" s="4" t="inlineStr">
        <is>
          <t>20:40:00</t>
        </is>
      </c>
      <c r="J2326" s="4" t="inlineStr">
        <is>
          <t>320</t>
        </is>
      </c>
      <c r="K2326">
        <f>TEXT(TIMEVALUE(H2326)-TIMEVALUE(I2325)+(TIMEVALUE(H2326)&lt;TIMEVALUE(I2325)),"[h]:mm")</f>
        <v/>
      </c>
      <c r="L2326" s="4" t="inlineStr">
        <is>
          <t>01:30:00</t>
        </is>
      </c>
      <c r="O2326">
        <f>"LIM-"&amp;G2325&amp;"-LIM   LA "&amp;E2325&amp;" ("&amp;LEFT(H2325,5)&amp;"-"&amp;LEFT(I2325,5)&amp;" hrs)  /  LA "&amp;E2326&amp;" ("&amp;LEFT(H2326,5)&amp;"-"&amp;LEFT(I2326,5)&amp;" hrs)"</f>
        <v/>
      </c>
    </row>
    <row r="2327">
      <c r="J2327" s="7" t="inlineStr">
        <is>
          <t>PSV total:</t>
        </is>
      </c>
      <c r="K2327" s="8">
        <f>TEXT(TIMEVALUE(I2326)-TIMEVALUE(H2325)+(I2326&lt;H2325),"[h]:mm")</f>
        <v/>
      </c>
    </row>
    <row r="2329">
      <c r="B2329" s="3" t="inlineStr">
        <is>
          <t>Pairing ID</t>
        </is>
      </c>
      <c r="C2329" s="3" t="inlineStr">
        <is>
          <t>FECHA REAL</t>
        </is>
      </c>
      <c r="D2329" s="3" t="inlineStr">
        <is>
          <t>Day of Week</t>
        </is>
      </c>
      <c r="E2329" s="3" t="inlineStr">
        <is>
          <t>Flight No</t>
        </is>
      </c>
      <c r="F2329" s="3" t="inlineStr">
        <is>
          <t>Dep Stn</t>
        </is>
      </c>
      <c r="G2329" s="3" t="inlineStr">
        <is>
          <t>Arr Stn</t>
        </is>
      </c>
      <c r="H2329" s="3" t="inlineStr">
        <is>
          <t>STD</t>
        </is>
      </c>
      <c r="I2329" s="3" t="inlineStr">
        <is>
          <t>STA</t>
        </is>
      </c>
      <c r="J2329" s="3" t="inlineStr">
        <is>
          <t>subflota</t>
        </is>
      </c>
      <c r="K2329" s="3" t="inlineStr">
        <is>
          <t>Conexion</t>
        </is>
      </c>
      <c r="L2329" s="3" t="inlineStr">
        <is>
          <t>HBT</t>
        </is>
      </c>
    </row>
    <row r="2330">
      <c r="B2330" s="4" t="inlineStr">
        <is>
          <t>2537_0</t>
        </is>
      </c>
      <c r="C2330" s="4" t="inlineStr">
        <is>
          <t>29/09/2026</t>
        </is>
      </c>
      <c r="D2330" s="4" t="inlineStr">
        <is>
          <t>martes</t>
        </is>
      </c>
      <c r="E2330" s="4" t="inlineStr">
        <is>
          <t>2091</t>
        </is>
      </c>
      <c r="F2330" s="4" t="inlineStr">
        <is>
          <t>LIM</t>
        </is>
      </c>
      <c r="G2330" s="4" t="inlineStr">
        <is>
          <t>TPP</t>
        </is>
      </c>
      <c r="H2330" s="4" t="inlineStr">
        <is>
          <t>18:30:00</t>
        </is>
      </c>
      <c r="I2330" s="4" t="inlineStr">
        <is>
          <t>19:55:00</t>
        </is>
      </c>
      <c r="J2330" s="4" t="inlineStr">
        <is>
          <t>320</t>
        </is>
      </c>
      <c r="L2330" s="4" t="inlineStr">
        <is>
          <t>01:25:00</t>
        </is>
      </c>
      <c r="M2330" s="5" t="n"/>
      <c r="O2330" s="5" t="n"/>
      <c r="Q2330" s="4">
        <f>B2330</f>
        <v/>
      </c>
      <c r="R2330" s="4">
        <f>C2330</f>
        <v/>
      </c>
      <c r="S2330" s="4">
        <f>D2330</f>
        <v/>
      </c>
      <c r="T2330" s="4">
        <f>E2330&amp;"/"&amp;E2331</f>
        <v/>
      </c>
      <c r="U2330" s="4">
        <f>F2330&amp;"-"&amp;G2330&amp;"-"&amp;F2330</f>
        <v/>
      </c>
      <c r="V2330" s="4">
        <f>IF($M$2330="","",$M$2330)</f>
        <v/>
      </c>
      <c r="W2330" s="4">
        <f>IF($O$2330="","",$O$2330)</f>
        <v/>
      </c>
      <c r="X2330" s="4">
        <f>J2330</f>
        <v/>
      </c>
    </row>
    <row r="2331">
      <c r="B2331" s="4" t="inlineStr">
        <is>
          <t>2537_0</t>
        </is>
      </c>
      <c r="C2331" s="4" t="inlineStr">
        <is>
          <t>29/09/2026</t>
        </is>
      </c>
      <c r="D2331" s="4" t="inlineStr">
        <is>
          <t>martes</t>
        </is>
      </c>
      <c r="E2331" s="4" t="inlineStr">
        <is>
          <t>2092</t>
        </is>
      </c>
      <c r="F2331" s="4" t="inlineStr">
        <is>
          <t>TPP</t>
        </is>
      </c>
      <c r="G2331" s="4" t="inlineStr">
        <is>
          <t>LIM</t>
        </is>
      </c>
      <c r="H2331" s="4" t="inlineStr">
        <is>
          <t>20:30:00</t>
        </is>
      </c>
      <c r="I2331" s="4" t="inlineStr">
        <is>
          <t>21:55:00</t>
        </is>
      </c>
      <c r="J2331" s="4" t="inlineStr">
        <is>
          <t>320</t>
        </is>
      </c>
      <c r="K2331">
        <f>TEXT(TIMEVALUE(H2331)-TIMEVALUE(I2330)+(TIMEVALUE(H2331)&lt;TIMEVALUE(I2330)),"[h]:mm")</f>
        <v/>
      </c>
      <c r="L2331" s="4" t="inlineStr">
        <is>
          <t>01:25:00</t>
        </is>
      </c>
      <c r="O2331">
        <f>"LIM-"&amp;G2330&amp;"-LIM   LA "&amp;E2330&amp;" ("&amp;LEFT(H2330,5)&amp;"-"&amp;LEFT(I2330,5)&amp;" hrs)  /  LA "&amp;E2331&amp;" ("&amp;LEFT(H2331,5)&amp;"-"&amp;LEFT(I2331,5)&amp;" hrs)"</f>
        <v/>
      </c>
    </row>
    <row r="2332">
      <c r="J2332" s="7" t="inlineStr">
        <is>
          <t>PSV total:</t>
        </is>
      </c>
      <c r="K2332" s="8">
        <f>TEXT(TIMEVALUE(I2331)-TIMEVALUE(H2330)+(I2331&lt;H2330),"[h]:mm")</f>
        <v/>
      </c>
    </row>
    <row r="2334">
      <c r="B2334" s="3" t="inlineStr">
        <is>
          <t>Pairing ID</t>
        </is>
      </c>
      <c r="C2334" s="3" t="inlineStr">
        <is>
          <t>FECHA REAL</t>
        </is>
      </c>
      <c r="D2334" s="3" t="inlineStr">
        <is>
          <t>Day of Week</t>
        </is>
      </c>
      <c r="E2334" s="3" t="inlineStr">
        <is>
          <t>Flight No</t>
        </is>
      </c>
      <c r="F2334" s="3" t="inlineStr">
        <is>
          <t>Dep Stn</t>
        </is>
      </c>
      <c r="G2334" s="3" t="inlineStr">
        <is>
          <t>Arr Stn</t>
        </is>
      </c>
      <c r="H2334" s="3" t="inlineStr">
        <is>
          <t>STD</t>
        </is>
      </c>
      <c r="I2334" s="3" t="inlineStr">
        <is>
          <t>STA</t>
        </is>
      </c>
      <c r="J2334" s="3" t="inlineStr">
        <is>
          <t>subflota</t>
        </is>
      </c>
      <c r="K2334" s="3" t="inlineStr">
        <is>
          <t>Conexion</t>
        </is>
      </c>
      <c r="L2334" s="3" t="inlineStr">
        <is>
          <t>HBT</t>
        </is>
      </c>
    </row>
    <row r="2335">
      <c r="B2335" s="4" t="inlineStr">
        <is>
          <t>2574_0</t>
        </is>
      </c>
      <c r="C2335" s="4" t="inlineStr">
        <is>
          <t>30/09/2026</t>
        </is>
      </c>
      <c r="D2335" s="4" t="inlineStr">
        <is>
          <t>miércoles</t>
        </is>
      </c>
      <c r="E2335" s="4" t="inlineStr">
        <is>
          <t>2013</t>
        </is>
      </c>
      <c r="F2335" s="4" t="inlineStr">
        <is>
          <t>LIM</t>
        </is>
      </c>
      <c r="G2335" s="4" t="inlineStr">
        <is>
          <t>CUZ</t>
        </is>
      </c>
      <c r="H2335" s="4" t="inlineStr">
        <is>
          <t>08:35:00</t>
        </is>
      </c>
      <c r="I2335" s="4" t="inlineStr">
        <is>
          <t>09:55:00</t>
        </is>
      </c>
      <c r="J2335" s="4" t="inlineStr">
        <is>
          <t>319</t>
        </is>
      </c>
      <c r="L2335" s="4" t="inlineStr">
        <is>
          <t>01:20:00</t>
        </is>
      </c>
      <c r="M2335" s="5" t="n"/>
      <c r="O2335" s="5" t="n"/>
      <c r="Q2335" s="4">
        <f>B2335</f>
        <v/>
      </c>
      <c r="R2335" s="4">
        <f>C2335</f>
        <v/>
      </c>
      <c r="S2335" s="4">
        <f>D2335</f>
        <v/>
      </c>
      <c r="T2335" s="4">
        <f>E2335&amp;"/"&amp;E2336</f>
        <v/>
      </c>
      <c r="U2335" s="4">
        <f>F2335&amp;"-"&amp;G2335&amp;"-"&amp;F2335</f>
        <v/>
      </c>
      <c r="V2335" s="4">
        <f>IF($M$2335="","",$M$2335)</f>
        <v/>
      </c>
      <c r="W2335" s="4">
        <f>IF($O$2335="","",$O$2335)</f>
        <v/>
      </c>
      <c r="X2335" s="4">
        <f>J2335</f>
        <v/>
      </c>
    </row>
    <row r="2336">
      <c r="B2336" s="4" t="inlineStr">
        <is>
          <t>2574_0</t>
        </is>
      </c>
      <c r="C2336" s="4" t="inlineStr">
        <is>
          <t>30/09/2026</t>
        </is>
      </c>
      <c r="D2336" s="4" t="inlineStr">
        <is>
          <t>miércoles</t>
        </is>
      </c>
      <c r="E2336" s="4" t="inlineStr">
        <is>
          <t>2014</t>
        </is>
      </c>
      <c r="F2336" s="4" t="inlineStr">
        <is>
          <t>CUZ</t>
        </is>
      </c>
      <c r="G2336" s="4" t="inlineStr">
        <is>
          <t>LIM</t>
        </is>
      </c>
      <c r="H2336" s="4" t="inlineStr">
        <is>
          <t>10:40:00</t>
        </is>
      </c>
      <c r="I2336" s="4" t="inlineStr">
        <is>
          <t>12:15:00</t>
        </is>
      </c>
      <c r="J2336" s="4" t="inlineStr">
        <is>
          <t>319</t>
        </is>
      </c>
      <c r="K2336">
        <f>TEXT(TIMEVALUE(H2336)-TIMEVALUE(I2335)+(TIMEVALUE(H2336)&lt;TIMEVALUE(I2335)),"[h]:mm")</f>
        <v/>
      </c>
      <c r="L2336" s="4" t="inlineStr">
        <is>
          <t>01:35:00</t>
        </is>
      </c>
      <c r="O2336">
        <f>"LIM-"&amp;G2335&amp;"-LIM   LA "&amp;E2335&amp;" ("&amp;LEFT(H2335,5)&amp;"-"&amp;LEFT(I2335,5)&amp;" hrs)  /  LA "&amp;E2336&amp;" ("&amp;LEFT(H2336,5)&amp;"-"&amp;LEFT(I2336,5)&amp;" hrs)"</f>
        <v/>
      </c>
    </row>
    <row r="2337">
      <c r="J2337" s="7" t="inlineStr">
        <is>
          <t>PSV total:</t>
        </is>
      </c>
      <c r="K2337" s="8">
        <f>TEXT(TIMEVALUE(I2336)-TIMEVALUE(H2335)+(I2336&lt;H2335),"[h]:mm")</f>
        <v/>
      </c>
    </row>
    <row r="2339">
      <c r="B2339" s="3" t="inlineStr">
        <is>
          <t>Pairing ID</t>
        </is>
      </c>
      <c r="C2339" s="3" t="inlineStr">
        <is>
          <t>FECHA REAL</t>
        </is>
      </c>
      <c r="D2339" s="3" t="inlineStr">
        <is>
          <t>Day of Week</t>
        </is>
      </c>
      <c r="E2339" s="3" t="inlineStr">
        <is>
          <t>Flight No</t>
        </is>
      </c>
      <c r="F2339" s="3" t="inlineStr">
        <is>
          <t>Dep Stn</t>
        </is>
      </c>
      <c r="G2339" s="3" t="inlineStr">
        <is>
          <t>Arr Stn</t>
        </is>
      </c>
      <c r="H2339" s="3" t="inlineStr">
        <is>
          <t>STD</t>
        </is>
      </c>
      <c r="I2339" s="3" t="inlineStr">
        <is>
          <t>STA</t>
        </is>
      </c>
      <c r="J2339" s="3" t="inlineStr">
        <is>
          <t>subflota</t>
        </is>
      </c>
      <c r="K2339" s="3" t="inlineStr">
        <is>
          <t>Conexion</t>
        </is>
      </c>
      <c r="L2339" s="3" t="inlineStr">
        <is>
          <t>HBT</t>
        </is>
      </c>
    </row>
    <row r="2340">
      <c r="B2340" s="4" t="inlineStr">
        <is>
          <t>2586_0</t>
        </is>
      </c>
      <c r="C2340" s="4" t="inlineStr">
        <is>
          <t>30/09/2026</t>
        </is>
      </c>
      <c r="D2340" s="4" t="inlineStr">
        <is>
          <t>miércoles</t>
        </is>
      </c>
      <c r="E2340" s="4" t="inlineStr">
        <is>
          <t>2061</t>
        </is>
      </c>
      <c r="F2340" s="4" t="inlineStr">
        <is>
          <t>LIM</t>
        </is>
      </c>
      <c r="G2340" s="4" t="inlineStr">
        <is>
          <t>CUZ</t>
        </is>
      </c>
      <c r="H2340" s="4" t="inlineStr">
        <is>
          <t>11:40:00</t>
        </is>
      </c>
      <c r="I2340" s="4" t="inlineStr">
        <is>
          <t>13:00:00</t>
        </is>
      </c>
      <c r="J2340" s="4" t="inlineStr">
        <is>
          <t>320</t>
        </is>
      </c>
      <c r="L2340" s="4" t="inlineStr">
        <is>
          <t>01:20:00</t>
        </is>
      </c>
      <c r="M2340" s="5" t="n"/>
      <c r="O2340" s="5" t="n"/>
      <c r="Q2340" s="4">
        <f>B2340</f>
        <v/>
      </c>
      <c r="R2340" s="4">
        <f>C2340</f>
        <v/>
      </c>
      <c r="S2340" s="4">
        <f>D2340</f>
        <v/>
      </c>
      <c r="T2340" s="4">
        <f>E2340&amp;"/"&amp;E2341</f>
        <v/>
      </c>
      <c r="U2340" s="4">
        <f>F2340&amp;"-"&amp;G2340&amp;"-"&amp;F2340</f>
        <v/>
      </c>
      <c r="V2340" s="4">
        <f>IF($M$2340="","",$M$2340)</f>
        <v/>
      </c>
      <c r="W2340" s="4">
        <f>IF($O$2340="","",$O$2340)</f>
        <v/>
      </c>
      <c r="X2340" s="4">
        <f>J2340</f>
        <v/>
      </c>
    </row>
    <row r="2341">
      <c r="B2341" s="4" t="inlineStr">
        <is>
          <t>2586_0</t>
        </is>
      </c>
      <c r="C2341" s="4" t="inlineStr">
        <is>
          <t>30/09/2026</t>
        </is>
      </c>
      <c r="D2341" s="4" t="inlineStr">
        <is>
          <t>miércoles</t>
        </is>
      </c>
      <c r="E2341" s="4" t="inlineStr">
        <is>
          <t>2062</t>
        </is>
      </c>
      <c r="F2341" s="4" t="inlineStr">
        <is>
          <t>CUZ</t>
        </is>
      </c>
      <c r="G2341" s="4" t="inlineStr">
        <is>
          <t>LIM</t>
        </is>
      </c>
      <c r="H2341" s="4" t="inlineStr">
        <is>
          <t>13:40:00</t>
        </is>
      </c>
      <c r="I2341" s="4" t="inlineStr">
        <is>
          <t>15:15:00</t>
        </is>
      </c>
      <c r="J2341" s="4" t="inlineStr">
        <is>
          <t>320</t>
        </is>
      </c>
      <c r="K2341">
        <f>TEXT(TIMEVALUE(H2341)-TIMEVALUE(I2340)+(TIMEVALUE(H2341)&lt;TIMEVALUE(I2340)),"[h]:mm")</f>
        <v/>
      </c>
      <c r="L2341" s="4" t="inlineStr">
        <is>
          <t>01:35:00</t>
        </is>
      </c>
      <c r="O2341">
        <f>"LIM-"&amp;G2340&amp;"-LIM   LA "&amp;E2340&amp;" ("&amp;LEFT(H2340,5)&amp;"-"&amp;LEFT(I2340,5)&amp;" hrs)  /  LA "&amp;E2341&amp;" ("&amp;LEFT(H2341,5)&amp;"-"&amp;LEFT(I2341,5)&amp;" hrs)"</f>
        <v/>
      </c>
    </row>
    <row r="2342">
      <c r="B2342" s="4" t="inlineStr">
        <is>
          <t>2610_0</t>
        </is>
      </c>
      <c r="C2342" s="4" t="inlineStr">
        <is>
          <t>30/09/2026</t>
        </is>
      </c>
      <c r="D2342" s="4" t="inlineStr">
        <is>
          <t>miércoles</t>
        </is>
      </c>
      <c r="E2342" s="4" t="inlineStr">
        <is>
          <t>2127</t>
        </is>
      </c>
      <c r="F2342" s="4" t="inlineStr">
        <is>
          <t>LIM</t>
        </is>
      </c>
      <c r="G2342" s="4" t="inlineStr">
        <is>
          <t>CUZ</t>
        </is>
      </c>
      <c r="H2342" s="4" t="inlineStr">
        <is>
          <t>16:10:00</t>
        </is>
      </c>
      <c r="I2342" s="4" t="inlineStr">
        <is>
          <t>17:30:00</t>
        </is>
      </c>
      <c r="J2342" s="4" t="inlineStr">
        <is>
          <t>320</t>
        </is>
      </c>
      <c r="K2342" s="6">
        <f>TEXT(TIMEVALUE(H2342)-TIMEVALUE(I2341)+(TIMEVALUE(H2342)&lt;TIMEVALUE(I2341)),"[h]:mm")</f>
        <v/>
      </c>
      <c r="L2342" s="4" t="inlineStr">
        <is>
          <t>01:20:00</t>
        </is>
      </c>
      <c r="M2342">
        <f>IF($M$2340="","",$M$2340)</f>
        <v/>
      </c>
      <c r="O2342">
        <f>IF($O$2340="","",$O$2340)</f>
        <v/>
      </c>
      <c r="Q2342" s="4">
        <f>B2342</f>
        <v/>
      </c>
      <c r="R2342" s="4">
        <f>C2342</f>
        <v/>
      </c>
      <c r="S2342" s="4">
        <f>D2342</f>
        <v/>
      </c>
      <c r="T2342" s="4">
        <f>E2342&amp;"/"&amp;E2343</f>
        <v/>
      </c>
      <c r="U2342" s="4">
        <f>F2342&amp;"-"&amp;G2342&amp;"-"&amp;F2342</f>
        <v/>
      </c>
      <c r="V2342" s="4">
        <f>IF($M$2340="","",$M$2340)</f>
        <v/>
      </c>
      <c r="W2342" s="4">
        <f>IF($O$2340="","",$O$2340)</f>
        <v/>
      </c>
      <c r="X2342" s="4">
        <f>J2342</f>
        <v/>
      </c>
    </row>
    <row r="2343">
      <c r="B2343" s="4" t="inlineStr">
        <is>
          <t>2610_0</t>
        </is>
      </c>
      <c r="C2343" s="4" t="inlineStr">
        <is>
          <t>30/09/2026</t>
        </is>
      </c>
      <c r="D2343" s="4" t="inlineStr">
        <is>
          <t>miércoles</t>
        </is>
      </c>
      <c r="E2343" s="4" t="inlineStr">
        <is>
          <t>2026</t>
        </is>
      </c>
      <c r="F2343" s="4" t="inlineStr">
        <is>
          <t>CUZ</t>
        </is>
      </c>
      <c r="G2343" s="4" t="inlineStr">
        <is>
          <t>LIM</t>
        </is>
      </c>
      <c r="H2343" s="4" t="inlineStr">
        <is>
          <t>18:10:00</t>
        </is>
      </c>
      <c r="I2343" s="4" t="inlineStr">
        <is>
          <t>19:50:00</t>
        </is>
      </c>
      <c r="J2343" s="4" t="inlineStr">
        <is>
          <t>320</t>
        </is>
      </c>
      <c r="K2343">
        <f>TEXT(TIMEVALUE(H2343)-TIMEVALUE(I2342)+(TIMEVALUE(H2343)&lt;TIMEVALUE(I2342)),"[h]:mm")</f>
        <v/>
      </c>
      <c r="L2343" s="4" t="inlineStr">
        <is>
          <t>01:40:00</t>
        </is>
      </c>
      <c r="O2343">
        <f>"LIM-"&amp;G2342&amp;"-LIM   LA "&amp;E2342&amp;" ("&amp;LEFT(H2342,5)&amp;"-"&amp;LEFT(I2342,5)&amp;" hrs)  /  LA "&amp;E2343&amp;" ("&amp;LEFT(H2343,5)&amp;"-"&amp;LEFT(I2343,5)&amp;" hrs)"</f>
        <v/>
      </c>
    </row>
    <row r="2344">
      <c r="J2344" s="7" t="inlineStr">
        <is>
          <t>PSV total:</t>
        </is>
      </c>
      <c r="K2344" s="8">
        <f>TEXT(TIMEVALUE(I2343)-TIMEVALUE(H2340)+(I2343&lt;H2340),"[h]:mm")</f>
        <v/>
      </c>
    </row>
    <row r="2346">
      <c r="B2346" s="3" t="inlineStr">
        <is>
          <t>Pairing ID</t>
        </is>
      </c>
      <c r="C2346" s="3" t="inlineStr">
        <is>
          <t>FECHA REAL</t>
        </is>
      </c>
      <c r="D2346" s="3" t="inlineStr">
        <is>
          <t>Day of Week</t>
        </is>
      </c>
      <c r="E2346" s="3" t="inlineStr">
        <is>
          <t>Flight No</t>
        </is>
      </c>
      <c r="F2346" s="3" t="inlineStr">
        <is>
          <t>Dep Stn</t>
        </is>
      </c>
      <c r="G2346" s="3" t="inlineStr">
        <is>
          <t>Arr Stn</t>
        </is>
      </c>
      <c r="H2346" s="3" t="inlineStr">
        <is>
          <t>STD</t>
        </is>
      </c>
      <c r="I2346" s="3" t="inlineStr">
        <is>
          <t>STA</t>
        </is>
      </c>
      <c r="J2346" s="3" t="inlineStr">
        <is>
          <t>subflota</t>
        </is>
      </c>
      <c r="K2346" s="3" t="inlineStr">
        <is>
          <t>Conexion</t>
        </is>
      </c>
      <c r="L2346" s="3" t="inlineStr">
        <is>
          <t>HBT</t>
        </is>
      </c>
    </row>
    <row r="2347">
      <c r="B2347" s="4" t="inlineStr">
        <is>
          <t>2589_0</t>
        </is>
      </c>
      <c r="C2347" s="4" t="inlineStr">
        <is>
          <t>30/09/2026</t>
        </is>
      </c>
      <c r="D2347" s="4" t="inlineStr">
        <is>
          <t>miércoles</t>
        </is>
      </c>
      <c r="E2347" s="4" t="inlineStr">
        <is>
          <t>2023</t>
        </is>
      </c>
      <c r="F2347" s="4" t="inlineStr">
        <is>
          <t>LIM</t>
        </is>
      </c>
      <c r="G2347" s="4" t="inlineStr">
        <is>
          <t>PEM</t>
        </is>
      </c>
      <c r="H2347" s="4" t="inlineStr">
        <is>
          <t>12:15:00</t>
        </is>
      </c>
      <c r="I2347" s="4" t="inlineStr">
        <is>
          <t>13:55:00</t>
        </is>
      </c>
      <c r="J2347" s="4" t="inlineStr">
        <is>
          <t>319</t>
        </is>
      </c>
      <c r="L2347" s="4" t="inlineStr">
        <is>
          <t>01:40:00</t>
        </is>
      </c>
      <c r="M2347" s="5" t="n"/>
      <c r="O2347" s="5" t="n"/>
      <c r="Q2347" s="4">
        <f>B2347</f>
        <v/>
      </c>
      <c r="R2347" s="4">
        <f>C2347</f>
        <v/>
      </c>
      <c r="S2347" s="4">
        <f>D2347</f>
        <v/>
      </c>
      <c r="T2347" s="4">
        <f>E2347&amp;"/"&amp;E2348</f>
        <v/>
      </c>
      <c r="U2347" s="4">
        <f>F2347&amp;"-"&amp;G2347&amp;"-"&amp;F2347</f>
        <v/>
      </c>
      <c r="V2347" s="4">
        <f>IF($M$2347="","",$M$2347)</f>
        <v/>
      </c>
      <c r="W2347" s="4">
        <f>IF($O$2347="","",$O$2347)</f>
        <v/>
      </c>
      <c r="X2347" s="4">
        <f>J2347</f>
        <v/>
      </c>
    </row>
    <row r="2348">
      <c r="B2348" s="4" t="inlineStr">
        <is>
          <t>2589_0</t>
        </is>
      </c>
      <c r="C2348" s="4" t="inlineStr">
        <is>
          <t>30/09/2026</t>
        </is>
      </c>
      <c r="D2348" s="4" t="inlineStr">
        <is>
          <t>miércoles</t>
        </is>
      </c>
      <c r="E2348" s="4" t="inlineStr">
        <is>
          <t>2024</t>
        </is>
      </c>
      <c r="F2348" s="4" t="inlineStr">
        <is>
          <t>PEM</t>
        </is>
      </c>
      <c r="G2348" s="4" t="inlineStr">
        <is>
          <t>LIM</t>
        </is>
      </c>
      <c r="H2348" s="4" t="inlineStr">
        <is>
          <t>14:35:00</t>
        </is>
      </c>
      <c r="I2348" s="4" t="inlineStr">
        <is>
          <t>16:10:00</t>
        </is>
      </c>
      <c r="J2348" s="4" t="inlineStr">
        <is>
          <t>319</t>
        </is>
      </c>
      <c r="K2348">
        <f>TEXT(TIMEVALUE(H2348)-TIMEVALUE(I2347)+(TIMEVALUE(H2348)&lt;TIMEVALUE(I2347)),"[h]:mm")</f>
        <v/>
      </c>
      <c r="L2348" s="4" t="inlineStr">
        <is>
          <t>01:35:00</t>
        </is>
      </c>
      <c r="O2348">
        <f>"LIM-"&amp;G2347&amp;"-LIM   LA "&amp;E2347&amp;" ("&amp;LEFT(H2347,5)&amp;"-"&amp;LEFT(I2347,5)&amp;" hrs)  /  LA "&amp;E2348&amp;" ("&amp;LEFT(H2348,5)&amp;"-"&amp;LEFT(I2348,5)&amp;" hrs)"</f>
        <v/>
      </c>
    </row>
    <row r="2349">
      <c r="J2349" s="7" t="inlineStr">
        <is>
          <t>PSV total:</t>
        </is>
      </c>
      <c r="K2349" s="8">
        <f>TEXT(TIMEVALUE(I2348)-TIMEVALUE(H2347)+(I2348&lt;H2347),"[h]:mm")</f>
        <v/>
      </c>
    </row>
    <row r="2351">
      <c r="B2351" s="3" t="inlineStr">
        <is>
          <t>Pairing ID</t>
        </is>
      </c>
      <c r="C2351" s="3" t="inlineStr">
        <is>
          <t>FECHA REAL</t>
        </is>
      </c>
      <c r="D2351" s="3" t="inlineStr">
        <is>
          <t>Day of Week</t>
        </is>
      </c>
      <c r="E2351" s="3" t="inlineStr">
        <is>
          <t>Flight No</t>
        </is>
      </c>
      <c r="F2351" s="3" t="inlineStr">
        <is>
          <t>Dep Stn</t>
        </is>
      </c>
      <c r="G2351" s="3" t="inlineStr">
        <is>
          <t>Arr Stn</t>
        </is>
      </c>
      <c r="H2351" s="3" t="inlineStr">
        <is>
          <t>STD</t>
        </is>
      </c>
      <c r="I2351" s="3" t="inlineStr">
        <is>
          <t>STA</t>
        </is>
      </c>
      <c r="J2351" s="3" t="inlineStr">
        <is>
          <t>subflota</t>
        </is>
      </c>
      <c r="K2351" s="3" t="inlineStr">
        <is>
          <t>Conexion</t>
        </is>
      </c>
      <c r="L2351" s="3" t="inlineStr">
        <is>
          <t>HBT</t>
        </is>
      </c>
    </row>
    <row r="2352">
      <c r="B2352" s="4" t="inlineStr">
        <is>
          <t>2594_0</t>
        </is>
      </c>
      <c r="C2352" s="4" t="inlineStr">
        <is>
          <t>30/09/2026</t>
        </is>
      </c>
      <c r="D2352" s="4" t="inlineStr">
        <is>
          <t>miércoles</t>
        </is>
      </c>
      <c r="E2352" s="4" t="inlineStr">
        <is>
          <t>2270</t>
        </is>
      </c>
      <c r="F2352" s="4" t="inlineStr">
        <is>
          <t>LIM</t>
        </is>
      </c>
      <c r="G2352" s="4" t="inlineStr">
        <is>
          <t>CIX</t>
        </is>
      </c>
      <c r="H2352" s="4" t="inlineStr">
        <is>
          <t>13:00:00</t>
        </is>
      </c>
      <c r="I2352" s="4" t="inlineStr">
        <is>
          <t>14:30:00</t>
        </is>
      </c>
      <c r="J2352" s="4" t="inlineStr">
        <is>
          <t>319</t>
        </is>
      </c>
      <c r="L2352" s="4" t="inlineStr">
        <is>
          <t>01:30:00</t>
        </is>
      </c>
      <c r="M2352" s="5" t="n"/>
      <c r="O2352" s="5" t="n"/>
      <c r="Q2352" s="4">
        <f>B2352</f>
        <v/>
      </c>
      <c r="R2352" s="4">
        <f>C2352</f>
        <v/>
      </c>
      <c r="S2352" s="4">
        <f>D2352</f>
        <v/>
      </c>
      <c r="T2352" s="4">
        <f>E2352&amp;"/"&amp;E2353</f>
        <v/>
      </c>
      <c r="U2352" s="4">
        <f>F2352&amp;"-"&amp;G2352&amp;"-"&amp;F2352</f>
        <v/>
      </c>
      <c r="V2352" s="4">
        <f>IF($M$2352="","",$M$2352)</f>
        <v/>
      </c>
      <c r="W2352" s="4">
        <f>IF($O$2352="","",$O$2352)</f>
        <v/>
      </c>
      <c r="X2352" s="4">
        <f>J2352</f>
        <v/>
      </c>
    </row>
    <row r="2353">
      <c r="B2353" s="4" t="inlineStr">
        <is>
          <t>2594_0</t>
        </is>
      </c>
      <c r="C2353" s="4" t="inlineStr">
        <is>
          <t>30/09/2026</t>
        </is>
      </c>
      <c r="D2353" s="4" t="inlineStr">
        <is>
          <t>miércoles</t>
        </is>
      </c>
      <c r="E2353" s="4" t="inlineStr">
        <is>
          <t>2271</t>
        </is>
      </c>
      <c r="F2353" s="4" t="inlineStr">
        <is>
          <t>CIX</t>
        </is>
      </c>
      <c r="G2353" s="4" t="inlineStr">
        <is>
          <t>LIM</t>
        </is>
      </c>
      <c r="H2353" s="4" t="inlineStr">
        <is>
          <t>15:05:00</t>
        </is>
      </c>
      <c r="I2353" s="4" t="inlineStr">
        <is>
          <t>16:20:00</t>
        </is>
      </c>
      <c r="J2353" s="4" t="inlineStr">
        <is>
          <t>319</t>
        </is>
      </c>
      <c r="K2353">
        <f>TEXT(TIMEVALUE(H2353)-TIMEVALUE(I2352)+(TIMEVALUE(H2353)&lt;TIMEVALUE(I2352)),"[h]:mm")</f>
        <v/>
      </c>
      <c r="L2353" s="4" t="inlineStr">
        <is>
          <t>01:15:00</t>
        </is>
      </c>
      <c r="O2353">
        <f>"LIM-"&amp;G2352&amp;"-LIM   LA "&amp;E2352&amp;" ("&amp;LEFT(H2352,5)&amp;"-"&amp;LEFT(I2352,5)&amp;" hrs)  /  LA "&amp;E2353&amp;" ("&amp;LEFT(H2353,5)&amp;"-"&amp;LEFT(I2353,5)&amp;" hrs)"</f>
        <v/>
      </c>
    </row>
    <row r="2354">
      <c r="J2354" s="7" t="inlineStr">
        <is>
          <t>PSV total:</t>
        </is>
      </c>
      <c r="K2354" s="8">
        <f>TEXT(TIMEVALUE(I2353)-TIMEVALUE(H2352)+(I2353&lt;H2352),"[h]:mm")</f>
        <v/>
      </c>
    </row>
    <row r="2356">
      <c r="B2356" s="3" t="inlineStr">
        <is>
          <t>Pairing ID</t>
        </is>
      </c>
      <c r="C2356" s="3" t="inlineStr">
        <is>
          <t>FECHA REAL</t>
        </is>
      </c>
      <c r="D2356" s="3" t="inlineStr">
        <is>
          <t>Day of Week</t>
        </is>
      </c>
      <c r="E2356" s="3" t="inlineStr">
        <is>
          <t>Flight No</t>
        </is>
      </c>
      <c r="F2356" s="3" t="inlineStr">
        <is>
          <t>Dep Stn</t>
        </is>
      </c>
      <c r="G2356" s="3" t="inlineStr">
        <is>
          <t>Arr Stn</t>
        </is>
      </c>
      <c r="H2356" s="3" t="inlineStr">
        <is>
          <t>STD</t>
        </is>
      </c>
      <c r="I2356" s="3" t="inlineStr">
        <is>
          <t>STA</t>
        </is>
      </c>
      <c r="J2356" s="3" t="inlineStr">
        <is>
          <t>subflota</t>
        </is>
      </c>
      <c r="K2356" s="3" t="inlineStr">
        <is>
          <t>Conexion</t>
        </is>
      </c>
      <c r="L2356" s="3" t="inlineStr">
        <is>
          <t>HBT</t>
        </is>
      </c>
    </row>
    <row r="2357">
      <c r="B2357" s="4" t="inlineStr">
        <is>
          <t>2598_0</t>
        </is>
      </c>
      <c r="C2357" s="4" t="inlineStr">
        <is>
          <t>30/09/2026</t>
        </is>
      </c>
      <c r="D2357" s="4" t="inlineStr">
        <is>
          <t>miércoles</t>
        </is>
      </c>
      <c r="E2357" s="4" t="inlineStr">
        <is>
          <t>2067</t>
        </is>
      </c>
      <c r="F2357" s="4" t="inlineStr">
        <is>
          <t>LIM</t>
        </is>
      </c>
      <c r="G2357" s="4" t="inlineStr">
        <is>
          <t>TCQ</t>
        </is>
      </c>
      <c r="H2357" s="4" t="inlineStr">
        <is>
          <t>13:45:00</t>
        </is>
      </c>
      <c r="I2357" s="4" t="inlineStr">
        <is>
          <t>15:35:00</t>
        </is>
      </c>
      <c r="J2357" s="4" t="inlineStr">
        <is>
          <t>320</t>
        </is>
      </c>
      <c r="L2357" s="4" t="inlineStr">
        <is>
          <t>01:50:00</t>
        </is>
      </c>
      <c r="M2357" s="5" t="n"/>
      <c r="O2357" s="5" t="n"/>
      <c r="Q2357" s="4">
        <f>B2357</f>
        <v/>
      </c>
      <c r="R2357" s="4">
        <f>C2357</f>
        <v/>
      </c>
      <c r="S2357" s="4">
        <f>D2357</f>
        <v/>
      </c>
      <c r="T2357" s="4">
        <f>E2357&amp;"/"&amp;E2358</f>
        <v/>
      </c>
      <c r="U2357" s="4">
        <f>F2357&amp;"-"&amp;G2357&amp;"-"&amp;F2357</f>
        <v/>
      </c>
      <c r="V2357" s="4">
        <f>IF($M$2357="","",$M$2357)</f>
        <v/>
      </c>
      <c r="W2357" s="4">
        <f>IF($O$2357="","",$O$2357)</f>
        <v/>
      </c>
      <c r="X2357" s="4">
        <f>J2357</f>
        <v/>
      </c>
    </row>
    <row r="2358">
      <c r="B2358" s="4" t="inlineStr">
        <is>
          <t>2598_0</t>
        </is>
      </c>
      <c r="C2358" s="4" t="inlineStr">
        <is>
          <t>30/09/2026</t>
        </is>
      </c>
      <c r="D2358" s="4" t="inlineStr">
        <is>
          <t>miércoles</t>
        </is>
      </c>
      <c r="E2358" s="4" t="inlineStr">
        <is>
          <t>2068</t>
        </is>
      </c>
      <c r="F2358" s="4" t="inlineStr">
        <is>
          <t>TCQ</t>
        </is>
      </c>
      <c r="G2358" s="4" t="inlineStr">
        <is>
          <t>LIM</t>
        </is>
      </c>
      <c r="H2358" s="4" t="inlineStr">
        <is>
          <t>16:20:00</t>
        </is>
      </c>
      <c r="I2358" s="4" t="inlineStr">
        <is>
          <t>18:15:00</t>
        </is>
      </c>
      <c r="J2358" s="4" t="inlineStr">
        <is>
          <t>320</t>
        </is>
      </c>
      <c r="K2358">
        <f>TEXT(TIMEVALUE(H2358)-TIMEVALUE(I2357)+(TIMEVALUE(H2358)&lt;TIMEVALUE(I2357)),"[h]:mm")</f>
        <v/>
      </c>
      <c r="L2358" s="4" t="inlineStr">
        <is>
          <t>01:55:00</t>
        </is>
      </c>
      <c r="O2358">
        <f>"LIM-"&amp;G2357&amp;"-LIM   LA "&amp;E2357&amp;" ("&amp;LEFT(H2357,5)&amp;"-"&amp;LEFT(I2357,5)&amp;" hrs)  /  LA "&amp;E2358&amp;" ("&amp;LEFT(H2358,5)&amp;"-"&amp;LEFT(I2358,5)&amp;" hrs)"</f>
        <v/>
      </c>
    </row>
    <row r="2359">
      <c r="J2359" s="7" t="inlineStr">
        <is>
          <t>PSV total:</t>
        </is>
      </c>
      <c r="K2359" s="8">
        <f>TEXT(TIMEVALUE(I2358)-TIMEVALUE(H2357)+(I2358&lt;H2357),"[h]:mm")</f>
        <v/>
      </c>
    </row>
    <row r="2361">
      <c r="B2361" s="3" t="inlineStr">
        <is>
          <t>Pairing ID</t>
        </is>
      </c>
      <c r="C2361" s="3" t="inlineStr">
        <is>
          <t>FECHA REAL</t>
        </is>
      </c>
      <c r="D2361" s="3" t="inlineStr">
        <is>
          <t>Day of Week</t>
        </is>
      </c>
      <c r="E2361" s="3" t="inlineStr">
        <is>
          <t>Flight No</t>
        </is>
      </c>
      <c r="F2361" s="3" t="inlineStr">
        <is>
          <t>Dep Stn</t>
        </is>
      </c>
      <c r="G2361" s="3" t="inlineStr">
        <is>
          <t>Arr Stn</t>
        </is>
      </c>
      <c r="H2361" s="3" t="inlineStr">
        <is>
          <t>STD</t>
        </is>
      </c>
      <c r="I2361" s="3" t="inlineStr">
        <is>
          <t>STA</t>
        </is>
      </c>
      <c r="J2361" s="3" t="inlineStr">
        <is>
          <t>subflota</t>
        </is>
      </c>
      <c r="K2361" s="3" t="inlineStr">
        <is>
          <t>Conexion</t>
        </is>
      </c>
      <c r="L2361" s="3" t="inlineStr">
        <is>
          <t>HBT</t>
        </is>
      </c>
    </row>
    <row r="2362">
      <c r="B2362" s="4" t="inlineStr">
        <is>
          <t>2599_0</t>
        </is>
      </c>
      <c r="C2362" s="4" t="inlineStr">
        <is>
          <t>30/09/2026</t>
        </is>
      </c>
      <c r="D2362" s="4" t="inlineStr">
        <is>
          <t>miércoles</t>
        </is>
      </c>
      <c r="E2362" s="4" t="inlineStr">
        <is>
          <t>2295</t>
        </is>
      </c>
      <c r="F2362" s="4" t="inlineStr">
        <is>
          <t>LIM</t>
        </is>
      </c>
      <c r="G2362" s="4" t="inlineStr">
        <is>
          <t>CJA</t>
        </is>
      </c>
      <c r="H2362" s="4" t="inlineStr">
        <is>
          <t>14:10:00</t>
        </is>
      </c>
      <c r="I2362" s="4" t="inlineStr">
        <is>
          <t>15:30:00</t>
        </is>
      </c>
      <c r="J2362" s="4" t="inlineStr">
        <is>
          <t>320</t>
        </is>
      </c>
      <c r="L2362" s="4" t="inlineStr">
        <is>
          <t>01:20:00</t>
        </is>
      </c>
      <c r="M2362" s="5" t="n"/>
      <c r="O2362" s="5" t="n"/>
      <c r="Q2362" s="4">
        <f>B2362</f>
        <v/>
      </c>
      <c r="R2362" s="4">
        <f>C2362</f>
        <v/>
      </c>
      <c r="S2362" s="4">
        <f>D2362</f>
        <v/>
      </c>
      <c r="T2362" s="4">
        <f>E2362&amp;"/"&amp;E2363</f>
        <v/>
      </c>
      <c r="U2362" s="4">
        <f>F2362&amp;"-"&amp;G2362&amp;"-"&amp;F2362</f>
        <v/>
      </c>
      <c r="V2362" s="4">
        <f>IF($M$2362="","",$M$2362)</f>
        <v/>
      </c>
      <c r="W2362" s="4">
        <f>IF($O$2362="","",$O$2362)</f>
        <v/>
      </c>
      <c r="X2362" s="4">
        <f>J2362</f>
        <v/>
      </c>
    </row>
    <row r="2363">
      <c r="B2363" s="4" t="inlineStr">
        <is>
          <t>2599_0</t>
        </is>
      </c>
      <c r="C2363" s="4" t="inlineStr">
        <is>
          <t>30/09/2026</t>
        </is>
      </c>
      <c r="D2363" s="4" t="inlineStr">
        <is>
          <t>miércoles</t>
        </is>
      </c>
      <c r="E2363" s="4" t="inlineStr">
        <is>
          <t>2294</t>
        </is>
      </c>
      <c r="F2363" s="4" t="inlineStr">
        <is>
          <t>CJA</t>
        </is>
      </c>
      <c r="G2363" s="4" t="inlineStr">
        <is>
          <t>LIM</t>
        </is>
      </c>
      <c r="H2363" s="4" t="inlineStr">
        <is>
          <t>16:10:00</t>
        </is>
      </c>
      <c r="I2363" s="4" t="inlineStr">
        <is>
          <t>17:15:00</t>
        </is>
      </c>
      <c r="J2363" s="4" t="inlineStr">
        <is>
          <t>320</t>
        </is>
      </c>
      <c r="K2363">
        <f>TEXT(TIMEVALUE(H2363)-TIMEVALUE(I2362)+(TIMEVALUE(H2363)&lt;TIMEVALUE(I2362)),"[h]:mm")</f>
        <v/>
      </c>
      <c r="L2363" s="4" t="inlineStr">
        <is>
          <t>01:05:00</t>
        </is>
      </c>
      <c r="O2363">
        <f>"LIM-"&amp;G2362&amp;"-LIM   LA "&amp;E2362&amp;" ("&amp;LEFT(H2362,5)&amp;"-"&amp;LEFT(I2362,5)&amp;" hrs)  /  LA "&amp;E2363&amp;" ("&amp;LEFT(H2363,5)&amp;"-"&amp;LEFT(I2363,5)&amp;" hrs)"</f>
        <v/>
      </c>
    </row>
    <row r="2364">
      <c r="B2364" s="4" t="inlineStr">
        <is>
          <t>2618_1</t>
        </is>
      </c>
      <c r="C2364" s="4" t="inlineStr">
        <is>
          <t>30/09/2026</t>
        </is>
      </c>
      <c r="D2364" s="4" t="inlineStr">
        <is>
          <t>miércoles</t>
        </is>
      </c>
      <c r="E2364" s="4" t="inlineStr">
        <is>
          <t>2310</t>
        </is>
      </c>
      <c r="F2364" s="4" t="inlineStr">
        <is>
          <t>LIM</t>
        </is>
      </c>
      <c r="G2364" s="4" t="inlineStr">
        <is>
          <t>CIX</t>
        </is>
      </c>
      <c r="H2364" s="4" t="inlineStr">
        <is>
          <t>18:20:00</t>
        </is>
      </c>
      <c r="I2364" s="4" t="inlineStr">
        <is>
          <t>19:45:00</t>
        </is>
      </c>
      <c r="J2364" s="4" t="inlineStr">
        <is>
          <t>319</t>
        </is>
      </c>
      <c r="K2364" s="6">
        <f>TEXT(TIMEVALUE(H2364)-TIMEVALUE(I2363)+(TIMEVALUE(H2364)&lt;TIMEVALUE(I2363)),"[h]:mm")</f>
        <v/>
      </c>
      <c r="L2364" s="4" t="inlineStr">
        <is>
          <t>01:25:00</t>
        </is>
      </c>
      <c r="M2364">
        <f>IF($M$2362="","",$M$2362)</f>
        <v/>
      </c>
      <c r="O2364">
        <f>IF($O$2362="","",$O$2362)</f>
        <v/>
      </c>
      <c r="Q2364" s="4">
        <f>B2364</f>
        <v/>
      </c>
      <c r="R2364" s="4">
        <f>C2364</f>
        <v/>
      </c>
      <c r="S2364" s="4">
        <f>D2364</f>
        <v/>
      </c>
      <c r="T2364" s="4">
        <f>E2364&amp;"/"&amp;E2365</f>
        <v/>
      </c>
      <c r="U2364" s="4">
        <f>F2364&amp;"-"&amp;G2364&amp;"-"&amp;F2364</f>
        <v/>
      </c>
      <c r="V2364" s="4">
        <f>IF($M$2362="","",$M$2362)</f>
        <v/>
      </c>
      <c r="W2364" s="4">
        <f>IF($O$2362="","",$O$2362)</f>
        <v/>
      </c>
      <c r="X2364" s="4">
        <f>J2364</f>
        <v/>
      </c>
    </row>
    <row r="2365">
      <c r="B2365" s="4" t="inlineStr">
        <is>
          <t>2618_1</t>
        </is>
      </c>
      <c r="C2365" s="4" t="inlineStr">
        <is>
          <t>30/09/2026</t>
        </is>
      </c>
      <c r="D2365" s="4" t="inlineStr">
        <is>
          <t>miércoles</t>
        </is>
      </c>
      <c r="E2365" s="4" t="inlineStr">
        <is>
          <t>2311</t>
        </is>
      </c>
      <c r="F2365" s="4" t="inlineStr">
        <is>
          <t>CIX</t>
        </is>
      </c>
      <c r="G2365" s="4" t="inlineStr">
        <is>
          <t>LIM</t>
        </is>
      </c>
      <c r="H2365" s="4" t="inlineStr">
        <is>
          <t>20:20:00</t>
        </is>
      </c>
      <c r="I2365" s="4" t="inlineStr">
        <is>
          <t>21:35:00</t>
        </is>
      </c>
      <c r="J2365" s="4" t="inlineStr">
        <is>
          <t>319</t>
        </is>
      </c>
      <c r="K2365">
        <f>TEXT(TIMEVALUE(H2365)-TIMEVALUE(I2364)+(TIMEVALUE(H2365)&lt;TIMEVALUE(I2364)),"[h]:mm")</f>
        <v/>
      </c>
      <c r="L2365" s="4" t="inlineStr">
        <is>
          <t>01:15:00</t>
        </is>
      </c>
      <c r="O2365">
        <f>"LIM-"&amp;G2364&amp;"-LIM   LA "&amp;E2364&amp;" ("&amp;LEFT(H2364,5)&amp;"-"&amp;LEFT(I2364,5)&amp;" hrs)  /  LA "&amp;E2365&amp;" ("&amp;LEFT(H2365,5)&amp;"-"&amp;LEFT(I2365,5)&amp;" hrs)"</f>
        <v/>
      </c>
    </row>
    <row r="2366">
      <c r="J2366" s="7" t="inlineStr">
        <is>
          <t>PSV total:</t>
        </is>
      </c>
      <c r="K2366" s="8">
        <f>TEXT(TIMEVALUE(I2365)-TIMEVALUE(H2362)+(I2365&lt;H2362),"[h]:mm")</f>
        <v/>
      </c>
    </row>
    <row r="2368">
      <c r="B2368" s="3" t="inlineStr">
        <is>
          <t>Pairing ID</t>
        </is>
      </c>
      <c r="C2368" s="3" t="inlineStr">
        <is>
          <t>FECHA REAL</t>
        </is>
      </c>
      <c r="D2368" s="3" t="inlineStr">
        <is>
          <t>Day of Week</t>
        </is>
      </c>
      <c r="E2368" s="3" t="inlineStr">
        <is>
          <t>Flight No</t>
        </is>
      </c>
      <c r="F2368" s="3" t="inlineStr">
        <is>
          <t>Dep Stn</t>
        </is>
      </c>
      <c r="G2368" s="3" t="inlineStr">
        <is>
          <t>Arr Stn</t>
        </is>
      </c>
      <c r="H2368" s="3" t="inlineStr">
        <is>
          <t>STD</t>
        </is>
      </c>
      <c r="I2368" s="3" t="inlineStr">
        <is>
          <t>STA</t>
        </is>
      </c>
      <c r="J2368" s="3" t="inlineStr">
        <is>
          <t>subflota</t>
        </is>
      </c>
      <c r="K2368" s="3" t="inlineStr">
        <is>
          <t>Conexion</t>
        </is>
      </c>
      <c r="L2368" s="3" t="inlineStr">
        <is>
          <t>HBT</t>
        </is>
      </c>
    </row>
    <row r="2369">
      <c r="B2369" s="4" t="inlineStr">
        <is>
          <t>57_1</t>
        </is>
      </c>
      <c r="C2369" s="4" t="inlineStr">
        <is>
          <t>30/09/2026</t>
        </is>
      </c>
      <c r="D2369" s="4" t="inlineStr">
        <is>
          <t>miércoles</t>
        </is>
      </c>
      <c r="E2369" s="4" t="inlineStr">
        <is>
          <t>2022</t>
        </is>
      </c>
      <c r="F2369" s="4" t="inlineStr">
        <is>
          <t>LIM</t>
        </is>
      </c>
      <c r="G2369" s="4" t="inlineStr">
        <is>
          <t>CUZ</t>
        </is>
      </c>
      <c r="H2369" s="4" t="inlineStr">
        <is>
          <t>14:30:00</t>
        </is>
      </c>
      <c r="I2369" s="4" t="inlineStr">
        <is>
          <t>15:50:00</t>
        </is>
      </c>
      <c r="J2369" s="4" t="inlineStr">
        <is>
          <t>320</t>
        </is>
      </c>
      <c r="L2369" s="4" t="inlineStr">
        <is>
          <t>01:20:00</t>
        </is>
      </c>
      <c r="M2369" s="5" t="n"/>
      <c r="O2369" s="5" t="n"/>
      <c r="Q2369" s="4">
        <f>B2369</f>
        <v/>
      </c>
      <c r="R2369" s="4">
        <f>C2369</f>
        <v/>
      </c>
      <c r="S2369" s="4">
        <f>D2369</f>
        <v/>
      </c>
      <c r="T2369" s="4">
        <f>E2369&amp;"/"&amp;E2370</f>
        <v/>
      </c>
      <c r="U2369" s="4">
        <f>F2369&amp;"-"&amp;G2369&amp;"-"&amp;F2369</f>
        <v/>
      </c>
      <c r="V2369" s="4">
        <f>IF($M$2369="","",$M$2369)</f>
        <v/>
      </c>
      <c r="W2369" s="4">
        <f>IF($O$2369="","",$O$2369)</f>
        <v/>
      </c>
      <c r="X2369" s="4">
        <f>J2369</f>
        <v/>
      </c>
    </row>
    <row r="2370">
      <c r="B2370" s="4" t="inlineStr">
        <is>
          <t>57_1</t>
        </is>
      </c>
      <c r="C2370" s="4" t="inlineStr">
        <is>
          <t>30/09/2026</t>
        </is>
      </c>
      <c r="D2370" s="4" t="inlineStr">
        <is>
          <t>miércoles</t>
        </is>
      </c>
      <c r="E2370" s="4" t="inlineStr">
        <is>
          <t>2025</t>
        </is>
      </c>
      <c r="F2370" s="4" t="inlineStr">
        <is>
          <t>CUZ</t>
        </is>
      </c>
      <c r="G2370" s="4" t="inlineStr">
        <is>
          <t>LIM</t>
        </is>
      </c>
      <c r="H2370" s="4" t="inlineStr">
        <is>
          <t>16:35:00</t>
        </is>
      </c>
      <c r="I2370" s="4" t="inlineStr">
        <is>
          <t>18:10:00</t>
        </is>
      </c>
      <c r="J2370" s="4" t="inlineStr">
        <is>
          <t>320</t>
        </is>
      </c>
      <c r="K2370">
        <f>TEXT(TIMEVALUE(H2370)-TIMEVALUE(I2369)+(TIMEVALUE(H2370)&lt;TIMEVALUE(I2369)),"[h]:mm")</f>
        <v/>
      </c>
      <c r="L2370" s="4" t="inlineStr">
        <is>
          <t>01:35:00</t>
        </is>
      </c>
      <c r="O2370">
        <f>"LIM-"&amp;G2369&amp;"-LIM   LA "&amp;E2369&amp;" ("&amp;LEFT(H2369,5)&amp;"-"&amp;LEFT(I2369,5)&amp;" hrs)  /  LA "&amp;E2370&amp;" ("&amp;LEFT(H2370,5)&amp;"-"&amp;LEFT(I2370,5)&amp;" hrs)"</f>
        <v/>
      </c>
    </row>
    <row r="2371">
      <c r="J2371" s="7" t="inlineStr">
        <is>
          <t>PSV total:</t>
        </is>
      </c>
      <c r="K2371" s="8">
        <f>TEXT(TIMEVALUE(I2370)-TIMEVALUE(H2369)+(I2370&lt;H2369),"[h]:mm")</f>
        <v/>
      </c>
    </row>
    <row r="2373">
      <c r="B2373" s="3" t="inlineStr">
        <is>
          <t>Pairing ID</t>
        </is>
      </c>
      <c r="C2373" s="3" t="inlineStr">
        <is>
          <t>FECHA REAL</t>
        </is>
      </c>
      <c r="D2373" s="3" t="inlineStr">
        <is>
          <t>Day of Week</t>
        </is>
      </c>
      <c r="E2373" s="3" t="inlineStr">
        <is>
          <t>Flight No</t>
        </is>
      </c>
      <c r="F2373" s="3" t="inlineStr">
        <is>
          <t>Dep Stn</t>
        </is>
      </c>
      <c r="G2373" s="3" t="inlineStr">
        <is>
          <t>Arr Stn</t>
        </is>
      </c>
      <c r="H2373" s="3" t="inlineStr">
        <is>
          <t>STD</t>
        </is>
      </c>
      <c r="I2373" s="3" t="inlineStr">
        <is>
          <t>STA</t>
        </is>
      </c>
      <c r="J2373" s="3" t="inlineStr">
        <is>
          <t>subflota</t>
        </is>
      </c>
      <c r="K2373" s="3" t="inlineStr">
        <is>
          <t>Conexion</t>
        </is>
      </c>
      <c r="L2373" s="3" t="inlineStr">
        <is>
          <t>HBT</t>
        </is>
      </c>
    </row>
    <row r="2374">
      <c r="B2374" s="4" t="inlineStr">
        <is>
          <t>2600_0</t>
        </is>
      </c>
      <c r="C2374" s="4" t="inlineStr">
        <is>
          <t>30/09/2026</t>
        </is>
      </c>
      <c r="D2374" s="4" t="inlineStr">
        <is>
          <t>miércoles</t>
        </is>
      </c>
      <c r="E2374" s="4" t="inlineStr">
        <is>
          <t>2022</t>
        </is>
      </c>
      <c r="F2374" s="4" t="inlineStr">
        <is>
          <t>LIM</t>
        </is>
      </c>
      <c r="G2374" s="4" t="inlineStr">
        <is>
          <t>CUZ</t>
        </is>
      </c>
      <c r="H2374" s="4" t="inlineStr">
        <is>
          <t>14:30:00</t>
        </is>
      </c>
      <c r="I2374" s="4" t="inlineStr">
        <is>
          <t>15:50:00</t>
        </is>
      </c>
      <c r="J2374" s="4" t="inlineStr">
        <is>
          <t>320</t>
        </is>
      </c>
      <c r="L2374" s="4" t="inlineStr">
        <is>
          <t>01:20:00</t>
        </is>
      </c>
      <c r="M2374" s="5" t="n"/>
      <c r="O2374" s="5" t="n"/>
      <c r="Q2374" s="4">
        <f>B2374</f>
        <v/>
      </c>
      <c r="R2374" s="4">
        <f>C2374</f>
        <v/>
      </c>
      <c r="S2374" s="4">
        <f>D2374</f>
        <v/>
      </c>
      <c r="T2374" s="4">
        <f>E2374&amp;"/"&amp;E2375</f>
        <v/>
      </c>
      <c r="U2374" s="4">
        <f>F2374&amp;"-"&amp;G2374&amp;"-"&amp;F2374</f>
        <v/>
      </c>
      <c r="V2374" s="4">
        <f>IF($M$2374="","",$M$2374)</f>
        <v/>
      </c>
      <c r="W2374" s="4">
        <f>IF($O$2374="","",$O$2374)</f>
        <v/>
      </c>
      <c r="X2374" s="4">
        <f>J2374</f>
        <v/>
      </c>
    </row>
    <row r="2375">
      <c r="B2375" s="4" t="inlineStr">
        <is>
          <t>2600_0</t>
        </is>
      </c>
      <c r="C2375" s="4" t="inlineStr">
        <is>
          <t>30/09/2026</t>
        </is>
      </c>
      <c r="D2375" s="4" t="inlineStr">
        <is>
          <t>miércoles</t>
        </is>
      </c>
      <c r="E2375" s="4" t="inlineStr">
        <is>
          <t>2025</t>
        </is>
      </c>
      <c r="F2375" s="4" t="inlineStr">
        <is>
          <t>CUZ</t>
        </is>
      </c>
      <c r="G2375" s="4" t="inlineStr">
        <is>
          <t>LIM</t>
        </is>
      </c>
      <c r="H2375" s="4" t="inlineStr">
        <is>
          <t>16:35:00</t>
        </is>
      </c>
      <c r="I2375" s="4" t="inlineStr">
        <is>
          <t>18:10:00</t>
        </is>
      </c>
      <c r="J2375" s="4" t="inlineStr">
        <is>
          <t>320</t>
        </is>
      </c>
      <c r="K2375">
        <f>TEXT(TIMEVALUE(H2375)-TIMEVALUE(I2374)+(TIMEVALUE(H2375)&lt;TIMEVALUE(I2374)),"[h]:mm")</f>
        <v/>
      </c>
      <c r="L2375" s="4" t="inlineStr">
        <is>
          <t>01:35:00</t>
        </is>
      </c>
      <c r="O2375">
        <f>"LIM-"&amp;G2374&amp;"-LIM   LA "&amp;E2374&amp;" ("&amp;LEFT(H2374,5)&amp;"-"&amp;LEFT(I2374,5)&amp;" hrs)  /  LA "&amp;E2375&amp;" ("&amp;LEFT(H2375,5)&amp;"-"&amp;LEFT(I2375,5)&amp;" hrs)"</f>
        <v/>
      </c>
    </row>
    <row r="2376">
      <c r="J2376" s="7" t="inlineStr">
        <is>
          <t>PSV total:</t>
        </is>
      </c>
      <c r="K2376" s="8">
        <f>TEXT(TIMEVALUE(I2375)-TIMEVALUE(H2374)+(I2375&lt;H2374),"[h]:mm")</f>
        <v/>
      </c>
    </row>
    <row r="2378">
      <c r="B2378" s="3" t="inlineStr">
        <is>
          <t>Pairing ID</t>
        </is>
      </c>
      <c r="C2378" s="3" t="inlineStr">
        <is>
          <t>FECHA REAL</t>
        </is>
      </c>
      <c r="D2378" s="3" t="inlineStr">
        <is>
          <t>Day of Week</t>
        </is>
      </c>
      <c r="E2378" s="3" t="inlineStr">
        <is>
          <t>Flight No</t>
        </is>
      </c>
      <c r="F2378" s="3" t="inlineStr">
        <is>
          <t>Dep Stn</t>
        </is>
      </c>
      <c r="G2378" s="3" t="inlineStr">
        <is>
          <t>Arr Stn</t>
        </is>
      </c>
      <c r="H2378" s="3" t="inlineStr">
        <is>
          <t>STD</t>
        </is>
      </c>
      <c r="I2378" s="3" t="inlineStr">
        <is>
          <t>STA</t>
        </is>
      </c>
      <c r="J2378" s="3" t="inlineStr">
        <is>
          <t>subflota</t>
        </is>
      </c>
      <c r="K2378" s="3" t="inlineStr">
        <is>
          <t>Conexion</t>
        </is>
      </c>
      <c r="L2378" s="3" t="inlineStr">
        <is>
          <t>HBT</t>
        </is>
      </c>
    </row>
    <row r="2379">
      <c r="B2379" s="4" t="inlineStr">
        <is>
          <t>2601_0</t>
        </is>
      </c>
      <c r="C2379" s="4" t="inlineStr">
        <is>
          <t>30/09/2026</t>
        </is>
      </c>
      <c r="D2379" s="4" t="inlineStr">
        <is>
          <t>miércoles</t>
        </is>
      </c>
      <c r="E2379" s="4" t="inlineStr">
        <is>
          <t>2282</t>
        </is>
      </c>
      <c r="F2379" s="4" t="inlineStr">
        <is>
          <t>LIM</t>
        </is>
      </c>
      <c r="G2379" s="4" t="inlineStr">
        <is>
          <t>CIX</t>
        </is>
      </c>
      <c r="H2379" s="4" t="inlineStr">
        <is>
          <t>14:45:00</t>
        </is>
      </c>
      <c r="I2379" s="4" t="inlineStr">
        <is>
          <t>16:15:00</t>
        </is>
      </c>
      <c r="J2379" s="4" t="inlineStr">
        <is>
          <t>319</t>
        </is>
      </c>
      <c r="L2379" s="4" t="inlineStr">
        <is>
          <t>01:30:00</t>
        </is>
      </c>
      <c r="M2379" s="5" t="n"/>
      <c r="O2379" s="5" t="n"/>
      <c r="Q2379" s="4">
        <f>B2379</f>
        <v/>
      </c>
      <c r="R2379" s="4">
        <f>C2379</f>
        <v/>
      </c>
      <c r="S2379" s="4">
        <f>D2379</f>
        <v/>
      </c>
      <c r="T2379" s="4">
        <f>E2379&amp;"/"&amp;E2380</f>
        <v/>
      </c>
      <c r="U2379" s="4">
        <f>F2379&amp;"-"&amp;G2379&amp;"-"&amp;F2379</f>
        <v/>
      </c>
      <c r="V2379" s="4">
        <f>IF($M$2379="","",$M$2379)</f>
        <v/>
      </c>
      <c r="W2379" s="4">
        <f>IF($O$2379="","",$O$2379)</f>
        <v/>
      </c>
      <c r="X2379" s="4">
        <f>J2379</f>
        <v/>
      </c>
    </row>
    <row r="2380">
      <c r="B2380" s="4" t="inlineStr">
        <is>
          <t>2601_0</t>
        </is>
      </c>
      <c r="C2380" s="4" t="inlineStr">
        <is>
          <t>30/09/2026</t>
        </is>
      </c>
      <c r="D2380" s="4" t="inlineStr">
        <is>
          <t>miércoles</t>
        </is>
      </c>
      <c r="E2380" s="4" t="inlineStr">
        <is>
          <t>2283</t>
        </is>
      </c>
      <c r="F2380" s="4" t="inlineStr">
        <is>
          <t>CIX</t>
        </is>
      </c>
      <c r="G2380" s="4" t="inlineStr">
        <is>
          <t>LIM</t>
        </is>
      </c>
      <c r="H2380" s="4" t="inlineStr">
        <is>
          <t>16:50:00</t>
        </is>
      </c>
      <c r="I2380" s="4" t="inlineStr">
        <is>
          <t>18:10:00</t>
        </is>
      </c>
      <c r="J2380" s="4" t="inlineStr">
        <is>
          <t>319</t>
        </is>
      </c>
      <c r="K2380">
        <f>TEXT(TIMEVALUE(H2380)-TIMEVALUE(I2379)+(TIMEVALUE(H2380)&lt;TIMEVALUE(I2379)),"[h]:mm")</f>
        <v/>
      </c>
      <c r="L2380" s="4" t="inlineStr">
        <is>
          <t>01:20:00</t>
        </is>
      </c>
      <c r="O2380">
        <f>"LIM-"&amp;G2379&amp;"-LIM   LA "&amp;E2379&amp;" ("&amp;LEFT(H2379,5)&amp;"-"&amp;LEFT(I2379,5)&amp;" hrs)  /  LA "&amp;E2380&amp;" ("&amp;LEFT(H2380,5)&amp;"-"&amp;LEFT(I2380,5)&amp;" hrs)"</f>
        <v/>
      </c>
    </row>
    <row r="2381">
      <c r="J2381" s="7" t="inlineStr">
        <is>
          <t>PSV total:</t>
        </is>
      </c>
      <c r="K2381" s="8">
        <f>TEXT(TIMEVALUE(I2380)-TIMEVALUE(H2379)+(I2380&lt;H2379),"[h]:mm")</f>
        <v/>
      </c>
    </row>
    <row r="2383">
      <c r="B2383" s="3" t="inlineStr">
        <is>
          <t>Pairing ID</t>
        </is>
      </c>
      <c r="C2383" s="3" t="inlineStr">
        <is>
          <t>FECHA REAL</t>
        </is>
      </c>
      <c r="D2383" s="3" t="inlineStr">
        <is>
          <t>Day of Week</t>
        </is>
      </c>
      <c r="E2383" s="3" t="inlineStr">
        <is>
          <t>Flight No</t>
        </is>
      </c>
      <c r="F2383" s="3" t="inlineStr">
        <is>
          <t>Dep Stn</t>
        </is>
      </c>
      <c r="G2383" s="3" t="inlineStr">
        <is>
          <t>Arr Stn</t>
        </is>
      </c>
      <c r="H2383" s="3" t="inlineStr">
        <is>
          <t>STD</t>
        </is>
      </c>
      <c r="I2383" s="3" t="inlineStr">
        <is>
          <t>STA</t>
        </is>
      </c>
      <c r="J2383" s="3" t="inlineStr">
        <is>
          <t>subflota</t>
        </is>
      </c>
      <c r="K2383" s="3" t="inlineStr">
        <is>
          <t>Conexion</t>
        </is>
      </c>
      <c r="L2383" s="3" t="inlineStr">
        <is>
          <t>HBT</t>
        </is>
      </c>
    </row>
    <row r="2384">
      <c r="B2384" s="4" t="inlineStr">
        <is>
          <t>58_1</t>
        </is>
      </c>
      <c r="C2384" s="4" t="inlineStr">
        <is>
          <t>30/09/2026</t>
        </is>
      </c>
      <c r="D2384" s="4" t="inlineStr">
        <is>
          <t>miércoles</t>
        </is>
      </c>
      <c r="E2384" s="4" t="inlineStr">
        <is>
          <t>2338</t>
        </is>
      </c>
      <c r="F2384" s="4" t="inlineStr">
        <is>
          <t>LIM</t>
        </is>
      </c>
      <c r="G2384" s="4" t="inlineStr">
        <is>
          <t>PIU</t>
        </is>
      </c>
      <c r="H2384" s="4" t="inlineStr">
        <is>
          <t>15:00:00</t>
        </is>
      </c>
      <c r="I2384" s="4" t="inlineStr">
        <is>
          <t>16:45:00</t>
        </is>
      </c>
      <c r="J2384" s="4" t="inlineStr">
        <is>
          <t>320</t>
        </is>
      </c>
      <c r="L2384" s="4" t="inlineStr">
        <is>
          <t>01:45:00</t>
        </is>
      </c>
      <c r="M2384" s="5" t="n"/>
      <c r="O2384" s="5" t="n"/>
      <c r="Q2384" s="4">
        <f>B2384</f>
        <v/>
      </c>
      <c r="R2384" s="4">
        <f>C2384</f>
        <v/>
      </c>
      <c r="S2384" s="4">
        <f>D2384</f>
        <v/>
      </c>
      <c r="T2384" s="4">
        <f>E2384&amp;"/"&amp;E2385</f>
        <v/>
      </c>
      <c r="U2384" s="4">
        <f>F2384&amp;"-"&amp;G2384&amp;"-"&amp;F2384</f>
        <v/>
      </c>
      <c r="V2384" s="4">
        <f>IF($M$2384="","",$M$2384)</f>
        <v/>
      </c>
      <c r="W2384" s="4">
        <f>IF($O$2384="","",$O$2384)</f>
        <v/>
      </c>
      <c r="X2384" s="4">
        <f>J2384</f>
        <v/>
      </c>
    </row>
    <row r="2385">
      <c r="B2385" s="4" t="inlineStr">
        <is>
          <t>58_1</t>
        </is>
      </c>
      <c r="C2385" s="4" t="inlineStr">
        <is>
          <t>30/09/2026</t>
        </is>
      </c>
      <c r="D2385" s="4" t="inlineStr">
        <is>
          <t>miércoles</t>
        </is>
      </c>
      <c r="E2385" s="4" t="inlineStr">
        <is>
          <t>2339</t>
        </is>
      </c>
      <c r="F2385" s="4" t="inlineStr">
        <is>
          <t>PIU</t>
        </is>
      </c>
      <c r="G2385" s="4" t="inlineStr">
        <is>
          <t>LIM</t>
        </is>
      </c>
      <c r="H2385" s="4" t="inlineStr">
        <is>
          <t>17:20:00</t>
        </is>
      </c>
      <c r="I2385" s="4" t="inlineStr">
        <is>
          <t>18:50:00</t>
        </is>
      </c>
      <c r="J2385" s="4" t="inlineStr">
        <is>
          <t>320</t>
        </is>
      </c>
      <c r="K2385">
        <f>TEXT(TIMEVALUE(H2385)-TIMEVALUE(I2384)+(TIMEVALUE(H2385)&lt;TIMEVALUE(I2384)),"[h]:mm")</f>
        <v/>
      </c>
      <c r="L2385" s="4" t="inlineStr">
        <is>
          <t>01:30:00</t>
        </is>
      </c>
      <c r="O2385">
        <f>"LIM-"&amp;G2384&amp;"-LIM   LA "&amp;E2384&amp;" ("&amp;LEFT(H2384,5)&amp;"-"&amp;LEFT(I2384,5)&amp;" hrs)  /  LA "&amp;E2385&amp;" ("&amp;LEFT(H2385,5)&amp;"-"&amp;LEFT(I2385,5)&amp;" hrs)"</f>
        <v/>
      </c>
    </row>
    <row r="2386">
      <c r="J2386" s="7" t="inlineStr">
        <is>
          <t>PSV total:</t>
        </is>
      </c>
      <c r="K2386" s="8">
        <f>TEXT(TIMEVALUE(I2385)-TIMEVALUE(H2384)+(I2385&lt;H2384),"[h]:mm")</f>
        <v/>
      </c>
    </row>
    <row r="2388">
      <c r="B2388" s="3" t="inlineStr">
        <is>
          <t>Pairing ID</t>
        </is>
      </c>
      <c r="C2388" s="3" t="inlineStr">
        <is>
          <t>FECHA REAL</t>
        </is>
      </c>
      <c r="D2388" s="3" t="inlineStr">
        <is>
          <t>Day of Week</t>
        </is>
      </c>
      <c r="E2388" s="3" t="inlineStr">
        <is>
          <t>Flight No</t>
        </is>
      </c>
      <c r="F2388" s="3" t="inlineStr">
        <is>
          <t>Dep Stn</t>
        </is>
      </c>
      <c r="G2388" s="3" t="inlineStr">
        <is>
          <t>Arr Stn</t>
        </is>
      </c>
      <c r="H2388" s="3" t="inlineStr">
        <is>
          <t>STD</t>
        </is>
      </c>
      <c r="I2388" s="3" t="inlineStr">
        <is>
          <t>STA</t>
        </is>
      </c>
      <c r="J2388" s="3" t="inlineStr">
        <is>
          <t>subflota</t>
        </is>
      </c>
      <c r="K2388" s="3" t="inlineStr">
        <is>
          <t>Conexion</t>
        </is>
      </c>
      <c r="L2388" s="3" t="inlineStr">
        <is>
          <t>HBT</t>
        </is>
      </c>
    </row>
    <row r="2389">
      <c r="B2389" s="4" t="inlineStr">
        <is>
          <t>2602_0</t>
        </is>
      </c>
      <c r="C2389" s="4" t="inlineStr">
        <is>
          <t>30/09/2026</t>
        </is>
      </c>
      <c r="D2389" s="4" t="inlineStr">
        <is>
          <t>miércoles</t>
        </is>
      </c>
      <c r="E2389" s="4" t="inlineStr">
        <is>
          <t>2338</t>
        </is>
      </c>
      <c r="F2389" s="4" t="inlineStr">
        <is>
          <t>LIM</t>
        </is>
      </c>
      <c r="G2389" s="4" t="inlineStr">
        <is>
          <t>PIU</t>
        </is>
      </c>
      <c r="H2389" s="4" t="inlineStr">
        <is>
          <t>15:00:00</t>
        </is>
      </c>
      <c r="I2389" s="4" t="inlineStr">
        <is>
          <t>16:45:00</t>
        </is>
      </c>
      <c r="J2389" s="4" t="inlineStr">
        <is>
          <t>320</t>
        </is>
      </c>
      <c r="L2389" s="4" t="inlineStr">
        <is>
          <t>01:45:00</t>
        </is>
      </c>
      <c r="M2389" s="5" t="n"/>
      <c r="O2389" s="5" t="n"/>
      <c r="Q2389" s="4">
        <f>B2389</f>
        <v/>
      </c>
      <c r="R2389" s="4">
        <f>C2389</f>
        <v/>
      </c>
      <c r="S2389" s="4">
        <f>D2389</f>
        <v/>
      </c>
      <c r="T2389" s="4">
        <f>E2389&amp;"/"&amp;E2390</f>
        <v/>
      </c>
      <c r="U2389" s="4">
        <f>F2389&amp;"-"&amp;G2389&amp;"-"&amp;F2389</f>
        <v/>
      </c>
      <c r="V2389" s="4">
        <f>IF($M$2389="","",$M$2389)</f>
        <v/>
      </c>
      <c r="W2389" s="4">
        <f>IF($O$2389="","",$O$2389)</f>
        <v/>
      </c>
      <c r="X2389" s="4">
        <f>J2389</f>
        <v/>
      </c>
    </row>
    <row r="2390">
      <c r="B2390" s="4" t="inlineStr">
        <is>
          <t>2602_0</t>
        </is>
      </c>
      <c r="C2390" s="4" t="inlineStr">
        <is>
          <t>30/09/2026</t>
        </is>
      </c>
      <c r="D2390" s="4" t="inlineStr">
        <is>
          <t>miércoles</t>
        </is>
      </c>
      <c r="E2390" s="4" t="inlineStr">
        <is>
          <t>2339</t>
        </is>
      </c>
      <c r="F2390" s="4" t="inlineStr">
        <is>
          <t>PIU</t>
        </is>
      </c>
      <c r="G2390" s="4" t="inlineStr">
        <is>
          <t>LIM</t>
        </is>
      </c>
      <c r="H2390" s="4" t="inlineStr">
        <is>
          <t>17:20:00</t>
        </is>
      </c>
      <c r="I2390" s="4" t="inlineStr">
        <is>
          <t>18:50:00</t>
        </is>
      </c>
      <c r="J2390" s="4" t="inlineStr">
        <is>
          <t>320</t>
        </is>
      </c>
      <c r="K2390">
        <f>TEXT(TIMEVALUE(H2390)-TIMEVALUE(I2389)+(TIMEVALUE(H2390)&lt;TIMEVALUE(I2389)),"[h]:mm")</f>
        <v/>
      </c>
      <c r="L2390" s="4" t="inlineStr">
        <is>
          <t>01:30:00</t>
        </is>
      </c>
      <c r="O2390">
        <f>"LIM-"&amp;G2389&amp;"-LIM   LA "&amp;E2389&amp;" ("&amp;LEFT(H2389,5)&amp;"-"&amp;LEFT(I2389,5)&amp;" hrs)  /  LA "&amp;E2390&amp;" ("&amp;LEFT(H2390,5)&amp;"-"&amp;LEFT(I2390,5)&amp;" hrs)"</f>
        <v/>
      </c>
    </row>
    <row r="2391">
      <c r="J2391" s="7" t="inlineStr">
        <is>
          <t>PSV total:</t>
        </is>
      </c>
      <c r="K2391" s="8">
        <f>TEXT(TIMEVALUE(I2390)-TIMEVALUE(H2389)+(I2390&lt;H2389),"[h]:mm")</f>
        <v/>
      </c>
    </row>
    <row r="2393">
      <c r="B2393" s="3" t="inlineStr">
        <is>
          <t>Pairing ID</t>
        </is>
      </c>
      <c r="C2393" s="3" t="inlineStr">
        <is>
          <t>FECHA REAL</t>
        </is>
      </c>
      <c r="D2393" s="3" t="inlineStr">
        <is>
          <t>Day of Week</t>
        </is>
      </c>
      <c r="E2393" s="3" t="inlineStr">
        <is>
          <t>Flight No</t>
        </is>
      </c>
      <c r="F2393" s="3" t="inlineStr">
        <is>
          <t>Dep Stn</t>
        </is>
      </c>
      <c r="G2393" s="3" t="inlineStr">
        <is>
          <t>Arr Stn</t>
        </is>
      </c>
      <c r="H2393" s="3" t="inlineStr">
        <is>
          <t>STD</t>
        </is>
      </c>
      <c r="I2393" s="3" t="inlineStr">
        <is>
          <t>STA</t>
        </is>
      </c>
      <c r="J2393" s="3" t="inlineStr">
        <is>
          <t>subflota</t>
        </is>
      </c>
      <c r="K2393" s="3" t="inlineStr">
        <is>
          <t>Conexion</t>
        </is>
      </c>
      <c r="L2393" s="3" t="inlineStr">
        <is>
          <t>HBT</t>
        </is>
      </c>
    </row>
    <row r="2394">
      <c r="B2394" s="4" t="inlineStr">
        <is>
          <t>60_1</t>
        </is>
      </c>
      <c r="C2394" s="4" t="inlineStr">
        <is>
          <t>30/09/2026</t>
        </is>
      </c>
      <c r="D2394" s="4" t="inlineStr">
        <is>
          <t>miércoles</t>
        </is>
      </c>
      <c r="E2394" s="4" t="inlineStr">
        <is>
          <t>2297</t>
        </is>
      </c>
      <c r="F2394" s="4" t="inlineStr">
        <is>
          <t>LIM</t>
        </is>
      </c>
      <c r="G2394" s="4" t="inlineStr">
        <is>
          <t>CJA</t>
        </is>
      </c>
      <c r="H2394" s="4" t="inlineStr">
        <is>
          <t>15:15:00</t>
        </is>
      </c>
      <c r="I2394" s="4" t="inlineStr">
        <is>
          <t>16:35:00</t>
        </is>
      </c>
      <c r="J2394" s="4" t="inlineStr">
        <is>
          <t>319</t>
        </is>
      </c>
      <c r="L2394" s="4" t="inlineStr">
        <is>
          <t>01:20:00</t>
        </is>
      </c>
      <c r="M2394" s="5" t="n"/>
      <c r="O2394" s="5" t="n"/>
      <c r="Q2394" s="4">
        <f>B2394</f>
        <v/>
      </c>
      <c r="R2394" s="4">
        <f>C2394</f>
        <v/>
      </c>
      <c r="S2394" s="4">
        <f>D2394</f>
        <v/>
      </c>
      <c r="T2394" s="4">
        <f>E2394&amp;"/"&amp;E2395</f>
        <v/>
      </c>
      <c r="U2394" s="4">
        <f>F2394&amp;"-"&amp;G2394&amp;"-"&amp;F2394</f>
        <v/>
      </c>
      <c r="V2394" s="4">
        <f>IF($M$2394="","",$M$2394)</f>
        <v/>
      </c>
      <c r="W2394" s="4">
        <f>IF($O$2394="","",$O$2394)</f>
        <v/>
      </c>
      <c r="X2394" s="4">
        <f>J2394</f>
        <v/>
      </c>
    </row>
    <row r="2395">
      <c r="B2395" s="4" t="inlineStr">
        <is>
          <t>60_1</t>
        </is>
      </c>
      <c r="C2395" s="4" t="inlineStr">
        <is>
          <t>30/09/2026</t>
        </is>
      </c>
      <c r="D2395" s="4" t="inlineStr">
        <is>
          <t>miércoles</t>
        </is>
      </c>
      <c r="E2395" s="4" t="inlineStr">
        <is>
          <t>2296</t>
        </is>
      </c>
      <c r="F2395" s="4" t="inlineStr">
        <is>
          <t>CJA</t>
        </is>
      </c>
      <c r="G2395" s="4" t="inlineStr">
        <is>
          <t>LIM</t>
        </is>
      </c>
      <c r="H2395" s="4" t="inlineStr">
        <is>
          <t>17:20:00</t>
        </is>
      </c>
      <c r="I2395" s="4" t="inlineStr">
        <is>
          <t>18:25:00</t>
        </is>
      </c>
      <c r="J2395" s="4" t="inlineStr">
        <is>
          <t>319</t>
        </is>
      </c>
      <c r="K2395">
        <f>TEXT(TIMEVALUE(H2395)-TIMEVALUE(I2394)+(TIMEVALUE(H2395)&lt;TIMEVALUE(I2394)),"[h]:mm")</f>
        <v/>
      </c>
      <c r="L2395" s="4" t="inlineStr">
        <is>
          <t>01:05:00</t>
        </is>
      </c>
      <c r="O2395">
        <f>"LIM-"&amp;G2394&amp;"-LIM   LA "&amp;E2394&amp;" ("&amp;LEFT(H2394,5)&amp;"-"&amp;LEFT(I2394,5)&amp;" hrs)  /  LA "&amp;E2395&amp;" ("&amp;LEFT(H2395,5)&amp;"-"&amp;LEFT(I2395,5)&amp;" hrs)"</f>
        <v/>
      </c>
    </row>
    <row r="2396">
      <c r="J2396" s="7" t="inlineStr">
        <is>
          <t>PSV total:</t>
        </is>
      </c>
      <c r="K2396" s="8">
        <f>TEXT(TIMEVALUE(I2395)-TIMEVALUE(H2394)+(I2395&lt;H2394),"[h]:mm")</f>
        <v/>
      </c>
    </row>
    <row r="2398">
      <c r="B2398" s="3" t="inlineStr">
        <is>
          <t>Pairing ID</t>
        </is>
      </c>
      <c r="C2398" s="3" t="inlineStr">
        <is>
          <t>FECHA REAL</t>
        </is>
      </c>
      <c r="D2398" s="3" t="inlineStr">
        <is>
          <t>Day of Week</t>
        </is>
      </c>
      <c r="E2398" s="3" t="inlineStr">
        <is>
          <t>Flight No</t>
        </is>
      </c>
      <c r="F2398" s="3" t="inlineStr">
        <is>
          <t>Dep Stn</t>
        </is>
      </c>
      <c r="G2398" s="3" t="inlineStr">
        <is>
          <t>Arr Stn</t>
        </is>
      </c>
      <c r="H2398" s="3" t="inlineStr">
        <is>
          <t>STD</t>
        </is>
      </c>
      <c r="I2398" s="3" t="inlineStr">
        <is>
          <t>STA</t>
        </is>
      </c>
      <c r="J2398" s="3" t="inlineStr">
        <is>
          <t>subflota</t>
        </is>
      </c>
      <c r="K2398" s="3" t="inlineStr">
        <is>
          <t>Conexion</t>
        </is>
      </c>
      <c r="L2398" s="3" t="inlineStr">
        <is>
          <t>HBT</t>
        </is>
      </c>
    </row>
    <row r="2399">
      <c r="B2399" s="4" t="inlineStr">
        <is>
          <t>2604_0</t>
        </is>
      </c>
      <c r="C2399" s="4" t="inlineStr">
        <is>
          <t>30/09/2026</t>
        </is>
      </c>
      <c r="D2399" s="4" t="inlineStr">
        <is>
          <t>miércoles</t>
        </is>
      </c>
      <c r="E2399" s="4" t="inlineStr">
        <is>
          <t>2297</t>
        </is>
      </c>
      <c r="F2399" s="4" t="inlineStr">
        <is>
          <t>LIM</t>
        </is>
      </c>
      <c r="G2399" s="4" t="inlineStr">
        <is>
          <t>CJA</t>
        </is>
      </c>
      <c r="H2399" s="4" t="inlineStr">
        <is>
          <t>15:15:00</t>
        </is>
      </c>
      <c r="I2399" s="4" t="inlineStr">
        <is>
          <t>16:35:00</t>
        </is>
      </c>
      <c r="J2399" s="4" t="inlineStr">
        <is>
          <t>319</t>
        </is>
      </c>
      <c r="L2399" s="4" t="inlineStr">
        <is>
          <t>01:20:00</t>
        </is>
      </c>
      <c r="M2399" s="5" t="n"/>
      <c r="O2399" s="5" t="n"/>
      <c r="Q2399" s="4">
        <f>B2399</f>
        <v/>
      </c>
      <c r="R2399" s="4">
        <f>C2399</f>
        <v/>
      </c>
      <c r="S2399" s="4">
        <f>D2399</f>
        <v/>
      </c>
      <c r="T2399" s="4">
        <f>E2399&amp;"/"&amp;E2400</f>
        <v/>
      </c>
      <c r="U2399" s="4">
        <f>F2399&amp;"-"&amp;G2399&amp;"-"&amp;F2399</f>
        <v/>
      </c>
      <c r="V2399" s="4">
        <f>IF($M$2399="","",$M$2399)</f>
        <v/>
      </c>
      <c r="W2399" s="4">
        <f>IF($O$2399="","",$O$2399)</f>
        <v/>
      </c>
      <c r="X2399" s="4">
        <f>J2399</f>
        <v/>
      </c>
    </row>
    <row r="2400">
      <c r="B2400" s="4" t="inlineStr">
        <is>
          <t>2604_0</t>
        </is>
      </c>
      <c r="C2400" s="4" t="inlineStr">
        <is>
          <t>30/09/2026</t>
        </is>
      </c>
      <c r="D2400" s="4" t="inlineStr">
        <is>
          <t>miércoles</t>
        </is>
      </c>
      <c r="E2400" s="4" t="inlineStr">
        <is>
          <t>2296</t>
        </is>
      </c>
      <c r="F2400" s="4" t="inlineStr">
        <is>
          <t>CJA</t>
        </is>
      </c>
      <c r="G2400" s="4" t="inlineStr">
        <is>
          <t>LIM</t>
        </is>
      </c>
      <c r="H2400" s="4" t="inlineStr">
        <is>
          <t>17:20:00</t>
        </is>
      </c>
      <c r="I2400" s="4" t="inlineStr">
        <is>
          <t>18:25:00</t>
        </is>
      </c>
      <c r="J2400" s="4" t="inlineStr">
        <is>
          <t>319</t>
        </is>
      </c>
      <c r="K2400">
        <f>TEXT(TIMEVALUE(H2400)-TIMEVALUE(I2399)+(TIMEVALUE(H2400)&lt;TIMEVALUE(I2399)),"[h]:mm")</f>
        <v/>
      </c>
      <c r="L2400" s="4" t="inlineStr">
        <is>
          <t>01:05:00</t>
        </is>
      </c>
      <c r="O2400">
        <f>"LIM-"&amp;G2399&amp;"-LIM   LA "&amp;E2399&amp;" ("&amp;LEFT(H2399,5)&amp;"-"&amp;LEFT(I2399,5)&amp;" hrs)  /  LA "&amp;E2400&amp;" ("&amp;LEFT(H2400,5)&amp;"-"&amp;LEFT(I2400,5)&amp;" hrs)"</f>
        <v/>
      </c>
    </row>
    <row r="2401">
      <c r="J2401" s="7" t="inlineStr">
        <is>
          <t>PSV total:</t>
        </is>
      </c>
      <c r="K2401" s="8">
        <f>TEXT(TIMEVALUE(I2400)-TIMEVALUE(H2399)+(I2400&lt;H2399),"[h]:mm")</f>
        <v/>
      </c>
    </row>
    <row r="2403">
      <c r="B2403" s="3" t="inlineStr">
        <is>
          <t>Pairing ID</t>
        </is>
      </c>
      <c r="C2403" s="3" t="inlineStr">
        <is>
          <t>FECHA REAL</t>
        </is>
      </c>
      <c r="D2403" s="3" t="inlineStr">
        <is>
          <t>Day of Week</t>
        </is>
      </c>
      <c r="E2403" s="3" t="inlineStr">
        <is>
          <t>Flight No</t>
        </is>
      </c>
      <c r="F2403" s="3" t="inlineStr">
        <is>
          <t>Dep Stn</t>
        </is>
      </c>
      <c r="G2403" s="3" t="inlineStr">
        <is>
          <t>Arr Stn</t>
        </is>
      </c>
      <c r="H2403" s="3" t="inlineStr">
        <is>
          <t>STD</t>
        </is>
      </c>
      <c r="I2403" s="3" t="inlineStr">
        <is>
          <t>STA</t>
        </is>
      </c>
      <c r="J2403" s="3" t="inlineStr">
        <is>
          <t>subflota</t>
        </is>
      </c>
      <c r="K2403" s="3" t="inlineStr">
        <is>
          <t>Conexion</t>
        </is>
      </c>
      <c r="L2403" s="3" t="inlineStr">
        <is>
          <t>HBT</t>
        </is>
      </c>
    </row>
    <row r="2404">
      <c r="B2404" s="4" t="inlineStr">
        <is>
          <t>63_1</t>
        </is>
      </c>
      <c r="C2404" s="4" t="inlineStr">
        <is>
          <t>30/09/2026</t>
        </is>
      </c>
      <c r="D2404" s="4" t="inlineStr">
        <is>
          <t>miércoles</t>
        </is>
      </c>
      <c r="E2404" s="4" t="inlineStr">
        <is>
          <t>2312</t>
        </is>
      </c>
      <c r="F2404" s="4" t="inlineStr">
        <is>
          <t>LIM</t>
        </is>
      </c>
      <c r="G2404" s="4" t="inlineStr">
        <is>
          <t>CIX</t>
        </is>
      </c>
      <c r="H2404" s="4" t="inlineStr">
        <is>
          <t>15:35:00</t>
        </is>
      </c>
      <c r="I2404" s="4" t="inlineStr">
        <is>
          <t>17:05:00</t>
        </is>
      </c>
      <c r="J2404" s="4" t="inlineStr">
        <is>
          <t>320</t>
        </is>
      </c>
      <c r="L2404" s="4" t="inlineStr">
        <is>
          <t>01:30:00</t>
        </is>
      </c>
      <c r="M2404" s="5" t="n"/>
      <c r="O2404" s="5" t="n"/>
      <c r="Q2404" s="4">
        <f>B2404</f>
        <v/>
      </c>
      <c r="R2404" s="4">
        <f>C2404</f>
        <v/>
      </c>
      <c r="S2404" s="4">
        <f>D2404</f>
        <v/>
      </c>
      <c r="T2404" s="4">
        <f>E2404&amp;"/"&amp;E2405</f>
        <v/>
      </c>
      <c r="U2404" s="4">
        <f>F2404&amp;"-"&amp;G2404&amp;"-"&amp;F2404</f>
        <v/>
      </c>
      <c r="V2404" s="4">
        <f>IF($M$2404="","",$M$2404)</f>
        <v/>
      </c>
      <c r="W2404" s="4">
        <f>IF($O$2404="","",$O$2404)</f>
        <v/>
      </c>
      <c r="X2404" s="4">
        <f>J2404</f>
        <v/>
      </c>
    </row>
    <row r="2405">
      <c r="B2405" s="4" t="inlineStr">
        <is>
          <t>63_1</t>
        </is>
      </c>
      <c r="C2405" s="4" t="inlineStr">
        <is>
          <t>30/09/2026</t>
        </is>
      </c>
      <c r="D2405" s="4" t="inlineStr">
        <is>
          <t>miércoles</t>
        </is>
      </c>
      <c r="E2405" s="4" t="inlineStr">
        <is>
          <t>2313</t>
        </is>
      </c>
      <c r="F2405" s="4" t="inlineStr">
        <is>
          <t>CIX</t>
        </is>
      </c>
      <c r="G2405" s="4" t="inlineStr">
        <is>
          <t>LIM</t>
        </is>
      </c>
      <c r="H2405" s="4" t="inlineStr">
        <is>
          <t>17:50:00</t>
        </is>
      </c>
      <c r="I2405" s="4" t="inlineStr">
        <is>
          <t>19:10:00</t>
        </is>
      </c>
      <c r="J2405" s="4" t="inlineStr">
        <is>
          <t>320</t>
        </is>
      </c>
      <c r="K2405">
        <f>TEXT(TIMEVALUE(H2405)-TIMEVALUE(I2404)+(TIMEVALUE(H2405)&lt;TIMEVALUE(I2404)),"[h]:mm")</f>
        <v/>
      </c>
      <c r="L2405" s="4" t="inlineStr">
        <is>
          <t>01:20:00</t>
        </is>
      </c>
      <c r="O2405">
        <f>"LIM-"&amp;G2404&amp;"-LIM   LA "&amp;E2404&amp;" ("&amp;LEFT(H2404,5)&amp;"-"&amp;LEFT(I2404,5)&amp;" hrs)  /  LA "&amp;E2405&amp;" ("&amp;LEFT(H2405,5)&amp;"-"&amp;LEFT(I2405,5)&amp;" hrs)"</f>
        <v/>
      </c>
    </row>
    <row r="2406">
      <c r="J2406" s="7" t="inlineStr">
        <is>
          <t>PSV total:</t>
        </is>
      </c>
      <c r="K2406" s="8">
        <f>TEXT(TIMEVALUE(I2405)-TIMEVALUE(H2404)+(I2405&lt;H2404),"[h]:mm")</f>
        <v/>
      </c>
    </row>
    <row r="2408">
      <c r="B2408" s="3" t="inlineStr">
        <is>
          <t>Pairing ID</t>
        </is>
      </c>
      <c r="C2408" s="3" t="inlineStr">
        <is>
          <t>FECHA REAL</t>
        </is>
      </c>
      <c r="D2408" s="3" t="inlineStr">
        <is>
          <t>Day of Week</t>
        </is>
      </c>
      <c r="E2408" s="3" t="inlineStr">
        <is>
          <t>Flight No</t>
        </is>
      </c>
      <c r="F2408" s="3" t="inlineStr">
        <is>
          <t>Dep Stn</t>
        </is>
      </c>
      <c r="G2408" s="3" t="inlineStr">
        <is>
          <t>Arr Stn</t>
        </is>
      </c>
      <c r="H2408" s="3" t="inlineStr">
        <is>
          <t>STD</t>
        </is>
      </c>
      <c r="I2408" s="3" t="inlineStr">
        <is>
          <t>STA</t>
        </is>
      </c>
      <c r="J2408" s="3" t="inlineStr">
        <is>
          <t>subflota</t>
        </is>
      </c>
      <c r="K2408" s="3" t="inlineStr">
        <is>
          <t>Conexion</t>
        </is>
      </c>
      <c r="L2408" s="3" t="inlineStr">
        <is>
          <t>HBT</t>
        </is>
      </c>
    </row>
    <row r="2409">
      <c r="B2409" s="4" t="inlineStr">
        <is>
          <t>62_1</t>
        </is>
      </c>
      <c r="C2409" s="4" t="inlineStr">
        <is>
          <t>30/09/2026</t>
        </is>
      </c>
      <c r="D2409" s="4" t="inlineStr">
        <is>
          <t>miércoles</t>
        </is>
      </c>
      <c r="E2409" s="4" t="inlineStr">
        <is>
          <t>2312</t>
        </is>
      </c>
      <c r="F2409" s="4" t="inlineStr">
        <is>
          <t>LIM</t>
        </is>
      </c>
      <c r="G2409" s="4" t="inlineStr">
        <is>
          <t>CIX</t>
        </is>
      </c>
      <c r="H2409" s="4" t="inlineStr">
        <is>
          <t>15:35:00</t>
        </is>
      </c>
      <c r="I2409" s="4" t="inlineStr">
        <is>
          <t>17:05:00</t>
        </is>
      </c>
      <c r="J2409" s="4" t="inlineStr">
        <is>
          <t>320</t>
        </is>
      </c>
      <c r="L2409" s="4" t="inlineStr">
        <is>
          <t>01:30:00</t>
        </is>
      </c>
      <c r="M2409" s="5" t="n"/>
      <c r="O2409" s="5" t="n"/>
      <c r="Q2409" s="4">
        <f>B2409</f>
        <v/>
      </c>
      <c r="R2409" s="4">
        <f>C2409</f>
        <v/>
      </c>
      <c r="S2409" s="4">
        <f>D2409</f>
        <v/>
      </c>
      <c r="T2409" s="4">
        <f>E2409&amp;"/"&amp;E2410</f>
        <v/>
      </c>
      <c r="U2409" s="4">
        <f>F2409&amp;"-"&amp;G2409&amp;"-"&amp;F2409</f>
        <v/>
      </c>
      <c r="V2409" s="4">
        <f>IF($M$2409="","",$M$2409)</f>
        <v/>
      </c>
      <c r="W2409" s="4">
        <f>IF($O$2409="","",$O$2409)</f>
        <v/>
      </c>
      <c r="X2409" s="4">
        <f>J2409</f>
        <v/>
      </c>
    </row>
    <row r="2410">
      <c r="B2410" s="4" t="inlineStr">
        <is>
          <t>62_1</t>
        </is>
      </c>
      <c r="C2410" s="4" t="inlineStr">
        <is>
          <t>30/09/2026</t>
        </is>
      </c>
      <c r="D2410" s="4" t="inlineStr">
        <is>
          <t>miércoles</t>
        </is>
      </c>
      <c r="E2410" s="4" t="inlineStr">
        <is>
          <t>2313</t>
        </is>
      </c>
      <c r="F2410" s="4" t="inlineStr">
        <is>
          <t>CIX</t>
        </is>
      </c>
      <c r="G2410" s="4" t="inlineStr">
        <is>
          <t>LIM</t>
        </is>
      </c>
      <c r="H2410" s="4" t="inlineStr">
        <is>
          <t>17:50:00</t>
        </is>
      </c>
      <c r="I2410" s="4" t="inlineStr">
        <is>
          <t>19:10:00</t>
        </is>
      </c>
      <c r="J2410" s="4" t="inlineStr">
        <is>
          <t>320</t>
        </is>
      </c>
      <c r="K2410">
        <f>TEXT(TIMEVALUE(H2410)-TIMEVALUE(I2409)+(TIMEVALUE(H2410)&lt;TIMEVALUE(I2409)),"[h]:mm")</f>
        <v/>
      </c>
      <c r="L2410" s="4" t="inlineStr">
        <is>
          <t>01:20:00</t>
        </is>
      </c>
      <c r="O2410">
        <f>"LIM-"&amp;G2409&amp;"-LIM   LA "&amp;E2409&amp;" ("&amp;LEFT(H2409,5)&amp;"-"&amp;LEFT(I2409,5)&amp;" hrs)  /  LA "&amp;E2410&amp;" ("&amp;LEFT(H2410,5)&amp;"-"&amp;LEFT(I2410,5)&amp;" hrs)"</f>
        <v/>
      </c>
    </row>
    <row r="2411">
      <c r="J2411" s="7" t="inlineStr">
        <is>
          <t>PSV total:</t>
        </is>
      </c>
      <c r="K2411" s="8">
        <f>TEXT(TIMEVALUE(I2410)-TIMEVALUE(H2409)+(I2410&lt;H2409),"[h]:mm")</f>
        <v/>
      </c>
    </row>
    <row r="2413">
      <c r="B2413" s="3" t="inlineStr">
        <is>
          <t>Pairing ID</t>
        </is>
      </c>
      <c r="C2413" s="3" t="inlineStr">
        <is>
          <t>FECHA REAL</t>
        </is>
      </c>
      <c r="D2413" s="3" t="inlineStr">
        <is>
          <t>Day of Week</t>
        </is>
      </c>
      <c r="E2413" s="3" t="inlineStr">
        <is>
          <t>Flight No</t>
        </is>
      </c>
      <c r="F2413" s="3" t="inlineStr">
        <is>
          <t>Dep Stn</t>
        </is>
      </c>
      <c r="G2413" s="3" t="inlineStr">
        <is>
          <t>Arr Stn</t>
        </is>
      </c>
      <c r="H2413" s="3" t="inlineStr">
        <is>
          <t>STD</t>
        </is>
      </c>
      <c r="I2413" s="3" t="inlineStr">
        <is>
          <t>STA</t>
        </is>
      </c>
      <c r="J2413" s="3" t="inlineStr">
        <is>
          <t>subflota</t>
        </is>
      </c>
      <c r="K2413" s="3" t="inlineStr">
        <is>
          <t>Conexion</t>
        </is>
      </c>
      <c r="L2413" s="3" t="inlineStr">
        <is>
          <t>HBT</t>
        </is>
      </c>
    </row>
    <row r="2414">
      <c r="B2414" s="4" t="inlineStr">
        <is>
          <t>2607_0</t>
        </is>
      </c>
      <c r="C2414" s="4" t="inlineStr">
        <is>
          <t>30/09/2026</t>
        </is>
      </c>
      <c r="D2414" s="4" t="inlineStr">
        <is>
          <t>miércoles</t>
        </is>
      </c>
      <c r="E2414" s="4" t="inlineStr">
        <is>
          <t>2312</t>
        </is>
      </c>
      <c r="F2414" s="4" t="inlineStr">
        <is>
          <t>LIM</t>
        </is>
      </c>
      <c r="G2414" s="4" t="inlineStr">
        <is>
          <t>CIX</t>
        </is>
      </c>
      <c r="H2414" s="4" t="inlineStr">
        <is>
          <t>15:35:00</t>
        </is>
      </c>
      <c r="I2414" s="4" t="inlineStr">
        <is>
          <t>17:05:00</t>
        </is>
      </c>
      <c r="J2414" s="4" t="inlineStr">
        <is>
          <t>320</t>
        </is>
      </c>
      <c r="L2414" s="4" t="inlineStr">
        <is>
          <t>01:30:00</t>
        </is>
      </c>
      <c r="M2414" s="5" t="n"/>
      <c r="O2414" s="5" t="n"/>
      <c r="Q2414" s="4">
        <f>B2414</f>
        <v/>
      </c>
      <c r="R2414" s="4">
        <f>C2414</f>
        <v/>
      </c>
      <c r="S2414" s="4">
        <f>D2414</f>
        <v/>
      </c>
      <c r="T2414" s="4">
        <f>E2414&amp;"/"&amp;E2415</f>
        <v/>
      </c>
      <c r="U2414" s="4">
        <f>F2414&amp;"-"&amp;G2414&amp;"-"&amp;F2414</f>
        <v/>
      </c>
      <c r="V2414" s="4">
        <f>IF($M$2414="","",$M$2414)</f>
        <v/>
      </c>
      <c r="W2414" s="4">
        <f>IF($O$2414="","",$O$2414)</f>
        <v/>
      </c>
      <c r="X2414" s="4">
        <f>J2414</f>
        <v/>
      </c>
    </row>
    <row r="2415">
      <c r="B2415" s="4" t="inlineStr">
        <is>
          <t>2607_0</t>
        </is>
      </c>
      <c r="C2415" s="4" t="inlineStr">
        <is>
          <t>30/09/2026</t>
        </is>
      </c>
      <c r="D2415" s="4" t="inlineStr">
        <is>
          <t>miércoles</t>
        </is>
      </c>
      <c r="E2415" s="4" t="inlineStr">
        <is>
          <t>2313</t>
        </is>
      </c>
      <c r="F2415" s="4" t="inlineStr">
        <is>
          <t>CIX</t>
        </is>
      </c>
      <c r="G2415" s="4" t="inlineStr">
        <is>
          <t>LIM</t>
        </is>
      </c>
      <c r="H2415" s="4" t="inlineStr">
        <is>
          <t>17:50:00</t>
        </is>
      </c>
      <c r="I2415" s="4" t="inlineStr">
        <is>
          <t>19:10:00</t>
        </is>
      </c>
      <c r="J2415" s="4" t="inlineStr">
        <is>
          <t>320</t>
        </is>
      </c>
      <c r="K2415">
        <f>TEXT(TIMEVALUE(H2415)-TIMEVALUE(I2414)+(TIMEVALUE(H2415)&lt;TIMEVALUE(I2414)),"[h]:mm")</f>
        <v/>
      </c>
      <c r="L2415" s="4" t="inlineStr">
        <is>
          <t>01:20:00</t>
        </is>
      </c>
      <c r="O2415">
        <f>"LIM-"&amp;G2414&amp;"-LIM   LA "&amp;E2414&amp;" ("&amp;LEFT(H2414,5)&amp;"-"&amp;LEFT(I2414,5)&amp;" hrs)  /  LA "&amp;E2415&amp;" ("&amp;LEFT(H2415,5)&amp;"-"&amp;LEFT(I2415,5)&amp;" hrs)"</f>
        <v/>
      </c>
    </row>
    <row r="2416">
      <c r="J2416" s="7" t="inlineStr">
        <is>
          <t>PSV total:</t>
        </is>
      </c>
      <c r="K2416" s="8">
        <f>TEXT(TIMEVALUE(I2415)-TIMEVALUE(H2414)+(I2415&lt;H2414),"[h]:mm")</f>
        <v/>
      </c>
    </row>
    <row r="2418">
      <c r="B2418" s="3" t="inlineStr">
        <is>
          <t>Pairing ID</t>
        </is>
      </c>
      <c r="C2418" s="3" t="inlineStr">
        <is>
          <t>FECHA REAL</t>
        </is>
      </c>
      <c r="D2418" s="3" t="inlineStr">
        <is>
          <t>Day of Week</t>
        </is>
      </c>
      <c r="E2418" s="3" t="inlineStr">
        <is>
          <t>Flight No</t>
        </is>
      </c>
      <c r="F2418" s="3" t="inlineStr">
        <is>
          <t>Dep Stn</t>
        </is>
      </c>
      <c r="G2418" s="3" t="inlineStr">
        <is>
          <t>Arr Stn</t>
        </is>
      </c>
      <c r="H2418" s="3" t="inlineStr">
        <is>
          <t>STD</t>
        </is>
      </c>
      <c r="I2418" s="3" t="inlineStr">
        <is>
          <t>STA</t>
        </is>
      </c>
      <c r="J2418" s="3" t="inlineStr">
        <is>
          <t>subflota</t>
        </is>
      </c>
      <c r="K2418" s="3" t="inlineStr">
        <is>
          <t>Conexion</t>
        </is>
      </c>
      <c r="L2418" s="3" t="inlineStr">
        <is>
          <t>HBT</t>
        </is>
      </c>
    </row>
    <row r="2419">
      <c r="B2419" s="4" t="inlineStr">
        <is>
          <t>2606_0</t>
        </is>
      </c>
      <c r="C2419" s="4" t="inlineStr">
        <is>
          <t>30/09/2026</t>
        </is>
      </c>
      <c r="D2419" s="4" t="inlineStr">
        <is>
          <t>miércoles</t>
        </is>
      </c>
      <c r="E2419" s="4" t="inlineStr">
        <is>
          <t>2312</t>
        </is>
      </c>
      <c r="F2419" s="4" t="inlineStr">
        <is>
          <t>LIM</t>
        </is>
      </c>
      <c r="G2419" s="4" t="inlineStr">
        <is>
          <t>CIX</t>
        </is>
      </c>
      <c r="H2419" s="4" t="inlineStr">
        <is>
          <t>15:35:00</t>
        </is>
      </c>
      <c r="I2419" s="4" t="inlineStr">
        <is>
          <t>17:05:00</t>
        </is>
      </c>
      <c r="J2419" s="4" t="inlineStr">
        <is>
          <t>320</t>
        </is>
      </c>
      <c r="L2419" s="4" t="inlineStr">
        <is>
          <t>01:30:00</t>
        </is>
      </c>
      <c r="M2419" s="5" t="n"/>
      <c r="O2419" s="5" t="n"/>
      <c r="Q2419" s="4">
        <f>B2419</f>
        <v/>
      </c>
      <c r="R2419" s="4">
        <f>C2419</f>
        <v/>
      </c>
      <c r="S2419" s="4">
        <f>D2419</f>
        <v/>
      </c>
      <c r="T2419" s="4">
        <f>E2419&amp;"/"&amp;E2420</f>
        <v/>
      </c>
      <c r="U2419" s="4">
        <f>F2419&amp;"-"&amp;G2419&amp;"-"&amp;F2419</f>
        <v/>
      </c>
      <c r="V2419" s="4">
        <f>IF($M$2419="","",$M$2419)</f>
        <v/>
      </c>
      <c r="W2419" s="4">
        <f>IF($O$2419="","",$O$2419)</f>
        <v/>
      </c>
      <c r="X2419" s="4">
        <f>J2419</f>
        <v/>
      </c>
    </row>
    <row r="2420">
      <c r="B2420" s="4" t="inlineStr">
        <is>
          <t>2606_0</t>
        </is>
      </c>
      <c r="C2420" s="4" t="inlineStr">
        <is>
          <t>30/09/2026</t>
        </is>
      </c>
      <c r="D2420" s="4" t="inlineStr">
        <is>
          <t>miércoles</t>
        </is>
      </c>
      <c r="E2420" s="4" t="inlineStr">
        <is>
          <t>2313</t>
        </is>
      </c>
      <c r="F2420" s="4" t="inlineStr">
        <is>
          <t>CIX</t>
        </is>
      </c>
      <c r="G2420" s="4" t="inlineStr">
        <is>
          <t>LIM</t>
        </is>
      </c>
      <c r="H2420" s="4" t="inlineStr">
        <is>
          <t>17:50:00</t>
        </is>
      </c>
      <c r="I2420" s="4" t="inlineStr">
        <is>
          <t>19:10:00</t>
        </is>
      </c>
      <c r="J2420" s="4" t="inlineStr">
        <is>
          <t>320</t>
        </is>
      </c>
      <c r="K2420">
        <f>TEXT(TIMEVALUE(H2420)-TIMEVALUE(I2419)+(TIMEVALUE(H2420)&lt;TIMEVALUE(I2419)),"[h]:mm")</f>
        <v/>
      </c>
      <c r="L2420" s="4" t="inlineStr">
        <is>
          <t>01:20:00</t>
        </is>
      </c>
      <c r="O2420">
        <f>"LIM-"&amp;G2419&amp;"-LIM   LA "&amp;E2419&amp;" ("&amp;LEFT(H2419,5)&amp;"-"&amp;LEFT(I2419,5)&amp;" hrs)  /  LA "&amp;E2420&amp;" ("&amp;LEFT(H2420,5)&amp;"-"&amp;LEFT(I2420,5)&amp;" hrs)"</f>
        <v/>
      </c>
    </row>
    <row r="2421">
      <c r="J2421" s="7" t="inlineStr">
        <is>
          <t>PSV total:</t>
        </is>
      </c>
      <c r="K2421" s="8">
        <f>TEXT(TIMEVALUE(I2420)-TIMEVALUE(H2419)+(I2420&lt;H2419),"[h]:mm")</f>
        <v/>
      </c>
    </row>
    <row r="2423">
      <c r="B2423" s="3" t="inlineStr">
        <is>
          <t>Pairing ID</t>
        </is>
      </c>
      <c r="C2423" s="3" t="inlineStr">
        <is>
          <t>FECHA REAL</t>
        </is>
      </c>
      <c r="D2423" s="3" t="inlineStr">
        <is>
          <t>Day of Week</t>
        </is>
      </c>
      <c r="E2423" s="3" t="inlineStr">
        <is>
          <t>Flight No</t>
        </is>
      </c>
      <c r="F2423" s="3" t="inlineStr">
        <is>
          <t>Dep Stn</t>
        </is>
      </c>
      <c r="G2423" s="3" t="inlineStr">
        <is>
          <t>Arr Stn</t>
        </is>
      </c>
      <c r="H2423" s="3" t="inlineStr">
        <is>
          <t>STD</t>
        </is>
      </c>
      <c r="I2423" s="3" t="inlineStr">
        <is>
          <t>STA</t>
        </is>
      </c>
      <c r="J2423" s="3" t="inlineStr">
        <is>
          <t>subflota</t>
        </is>
      </c>
      <c r="K2423" s="3" t="inlineStr">
        <is>
          <t>Conexion</t>
        </is>
      </c>
      <c r="L2423" s="3" t="inlineStr">
        <is>
          <t>HBT</t>
        </is>
      </c>
    </row>
    <row r="2424">
      <c r="B2424" s="4" t="inlineStr">
        <is>
          <t>2608_1</t>
        </is>
      </c>
      <c r="C2424" s="4" t="inlineStr">
        <is>
          <t>30/09/2026</t>
        </is>
      </c>
      <c r="D2424" s="4" t="inlineStr">
        <is>
          <t>miércoles</t>
        </is>
      </c>
      <c r="E2424" s="4" t="inlineStr">
        <is>
          <t>2301</t>
        </is>
      </c>
      <c r="F2424" s="4" t="inlineStr">
        <is>
          <t>LIM</t>
        </is>
      </c>
      <c r="G2424" s="4" t="inlineStr">
        <is>
          <t>TPP</t>
        </is>
      </c>
      <c r="H2424" s="4" t="inlineStr">
        <is>
          <t>15:40:00</t>
        </is>
      </c>
      <c r="I2424" s="4" t="inlineStr">
        <is>
          <t>17:05:00</t>
        </is>
      </c>
      <c r="J2424" s="4" t="inlineStr">
        <is>
          <t>319</t>
        </is>
      </c>
      <c r="L2424" s="4" t="inlineStr">
        <is>
          <t>01:25:00</t>
        </is>
      </c>
      <c r="M2424" s="5" t="n"/>
      <c r="O2424" s="5" t="n"/>
      <c r="Q2424" s="4">
        <f>B2424</f>
        <v/>
      </c>
      <c r="R2424" s="4">
        <f>C2424</f>
        <v/>
      </c>
      <c r="S2424" s="4">
        <f>D2424</f>
        <v/>
      </c>
      <c r="T2424" s="4">
        <f>E2424&amp;"/"&amp;E2425</f>
        <v/>
      </c>
      <c r="U2424" s="4">
        <f>F2424&amp;"-"&amp;G2424&amp;"-"&amp;F2424</f>
        <v/>
      </c>
      <c r="V2424" s="4">
        <f>IF($M$2424="","",$M$2424)</f>
        <v/>
      </c>
      <c r="W2424" s="4">
        <f>IF($O$2424="","",$O$2424)</f>
        <v/>
      </c>
      <c r="X2424" s="4">
        <f>J2424</f>
        <v/>
      </c>
    </row>
    <row r="2425">
      <c r="B2425" s="4" t="inlineStr">
        <is>
          <t>2608_1</t>
        </is>
      </c>
      <c r="C2425" s="4" t="inlineStr">
        <is>
          <t>30/09/2026</t>
        </is>
      </c>
      <c r="D2425" s="4" t="inlineStr">
        <is>
          <t>miércoles</t>
        </is>
      </c>
      <c r="E2425" s="4" t="inlineStr">
        <is>
          <t>2300</t>
        </is>
      </c>
      <c r="F2425" s="4" t="inlineStr">
        <is>
          <t>TPP</t>
        </is>
      </c>
      <c r="G2425" s="4" t="inlineStr">
        <is>
          <t>LIM</t>
        </is>
      </c>
      <c r="H2425" s="4" t="inlineStr">
        <is>
          <t>17:50:00</t>
        </is>
      </c>
      <c r="I2425" s="4" t="inlineStr">
        <is>
          <t>19:20:00</t>
        </is>
      </c>
      <c r="J2425" s="4" t="inlineStr">
        <is>
          <t>319</t>
        </is>
      </c>
      <c r="K2425">
        <f>TEXT(TIMEVALUE(H2425)-TIMEVALUE(I2424)+(TIMEVALUE(H2425)&lt;TIMEVALUE(I2424)),"[h]:mm")</f>
        <v/>
      </c>
      <c r="L2425" s="4" t="inlineStr">
        <is>
          <t>01:30:00</t>
        </is>
      </c>
      <c r="O2425">
        <f>"LIM-"&amp;G2424&amp;"-LIM   LA "&amp;E2424&amp;" ("&amp;LEFT(H2424,5)&amp;"-"&amp;LEFT(I2424,5)&amp;" hrs)  /  LA "&amp;E2425&amp;" ("&amp;LEFT(H2425,5)&amp;"-"&amp;LEFT(I2425,5)&amp;" hrs)"</f>
        <v/>
      </c>
    </row>
    <row r="2426">
      <c r="J2426" s="7" t="inlineStr">
        <is>
          <t>PSV total:</t>
        </is>
      </c>
      <c r="K2426" s="8">
        <f>TEXT(TIMEVALUE(I2425)-TIMEVALUE(H2424)+(I2425&lt;H2424),"[h]:mm")</f>
        <v/>
      </c>
    </row>
    <row r="2428">
      <c r="B2428" s="3" t="inlineStr">
        <is>
          <t>Pairing ID</t>
        </is>
      </c>
      <c r="C2428" s="3" t="inlineStr">
        <is>
          <t>FECHA REAL</t>
        </is>
      </c>
      <c r="D2428" s="3" t="inlineStr">
        <is>
          <t>Day of Week</t>
        </is>
      </c>
      <c r="E2428" s="3" t="inlineStr">
        <is>
          <t>Flight No</t>
        </is>
      </c>
      <c r="F2428" s="3" t="inlineStr">
        <is>
          <t>Dep Stn</t>
        </is>
      </c>
      <c r="G2428" s="3" t="inlineStr">
        <is>
          <t>Arr Stn</t>
        </is>
      </c>
      <c r="H2428" s="3" t="inlineStr">
        <is>
          <t>STD</t>
        </is>
      </c>
      <c r="I2428" s="3" t="inlineStr">
        <is>
          <t>STA</t>
        </is>
      </c>
      <c r="J2428" s="3" t="inlineStr">
        <is>
          <t>subflota</t>
        </is>
      </c>
      <c r="K2428" s="3" t="inlineStr">
        <is>
          <t>Conexion</t>
        </is>
      </c>
      <c r="L2428" s="3" t="inlineStr">
        <is>
          <t>HBT</t>
        </is>
      </c>
    </row>
    <row r="2429">
      <c r="B2429" s="4" t="inlineStr">
        <is>
          <t>64_0</t>
        </is>
      </c>
      <c r="C2429" s="4" t="inlineStr">
        <is>
          <t>30/09/2026</t>
        </is>
      </c>
      <c r="D2429" s="4" t="inlineStr">
        <is>
          <t>miércoles</t>
        </is>
      </c>
      <c r="E2429" s="4" t="inlineStr">
        <is>
          <t>2301</t>
        </is>
      </c>
      <c r="F2429" s="4" t="inlineStr">
        <is>
          <t>LIM</t>
        </is>
      </c>
      <c r="G2429" s="4" t="inlineStr">
        <is>
          <t>TPP</t>
        </is>
      </c>
      <c r="H2429" s="4" t="inlineStr">
        <is>
          <t>15:40:00</t>
        </is>
      </c>
      <c r="I2429" s="4" t="inlineStr">
        <is>
          <t>17:05:00</t>
        </is>
      </c>
      <c r="J2429" s="4" t="inlineStr">
        <is>
          <t>319</t>
        </is>
      </c>
      <c r="L2429" s="4" t="inlineStr">
        <is>
          <t>01:25:00</t>
        </is>
      </c>
      <c r="M2429" s="5" t="n"/>
      <c r="O2429" s="5" t="n"/>
      <c r="Q2429" s="4">
        <f>B2429</f>
        <v/>
      </c>
      <c r="R2429" s="4">
        <f>C2429</f>
        <v/>
      </c>
      <c r="S2429" s="4">
        <f>D2429</f>
        <v/>
      </c>
      <c r="T2429" s="4">
        <f>E2429&amp;"/"&amp;E2430</f>
        <v/>
      </c>
      <c r="U2429" s="4">
        <f>F2429&amp;"-"&amp;G2429&amp;"-"&amp;F2429</f>
        <v/>
      </c>
      <c r="V2429" s="4">
        <f>IF($M$2429="","",$M$2429)</f>
        <v/>
      </c>
      <c r="W2429" s="4">
        <f>IF($O$2429="","",$O$2429)</f>
        <v/>
      </c>
      <c r="X2429" s="4">
        <f>J2429</f>
        <v/>
      </c>
    </row>
    <row r="2430">
      <c r="B2430" s="4" t="inlineStr">
        <is>
          <t>64_0</t>
        </is>
      </c>
      <c r="C2430" s="4" t="inlineStr">
        <is>
          <t>30/09/2026</t>
        </is>
      </c>
      <c r="D2430" s="4" t="inlineStr">
        <is>
          <t>miércoles</t>
        </is>
      </c>
      <c r="E2430" s="4" t="inlineStr">
        <is>
          <t>2300</t>
        </is>
      </c>
      <c r="F2430" s="4" t="inlineStr">
        <is>
          <t>TPP</t>
        </is>
      </c>
      <c r="G2430" s="4" t="inlineStr">
        <is>
          <t>LIM</t>
        </is>
      </c>
      <c r="H2430" s="4" t="inlineStr">
        <is>
          <t>17:50:00</t>
        </is>
      </c>
      <c r="I2430" s="4" t="inlineStr">
        <is>
          <t>19:20:00</t>
        </is>
      </c>
      <c r="J2430" s="4" t="inlineStr">
        <is>
          <t>319</t>
        </is>
      </c>
      <c r="K2430">
        <f>TEXT(TIMEVALUE(H2430)-TIMEVALUE(I2429)+(TIMEVALUE(H2430)&lt;TIMEVALUE(I2429)),"[h]:mm")</f>
        <v/>
      </c>
      <c r="L2430" s="4" t="inlineStr">
        <is>
          <t>01:30:00</t>
        </is>
      </c>
      <c r="O2430">
        <f>"LIM-"&amp;G2429&amp;"-LIM   LA "&amp;E2429&amp;" ("&amp;LEFT(H2429,5)&amp;"-"&amp;LEFT(I2429,5)&amp;" hrs)  /  LA "&amp;E2430&amp;" ("&amp;LEFT(H2430,5)&amp;"-"&amp;LEFT(I2430,5)&amp;" hrs)"</f>
        <v/>
      </c>
    </row>
    <row r="2431">
      <c r="J2431" s="7" t="inlineStr">
        <is>
          <t>PSV total:</t>
        </is>
      </c>
      <c r="K2431" s="8">
        <f>TEXT(TIMEVALUE(I2430)-TIMEVALUE(H2429)+(I2430&lt;H2429),"[h]:mm")</f>
        <v/>
      </c>
    </row>
    <row r="2433">
      <c r="B2433" s="3" t="inlineStr">
        <is>
          <t>Pairing ID</t>
        </is>
      </c>
      <c r="C2433" s="3" t="inlineStr">
        <is>
          <t>FECHA REAL</t>
        </is>
      </c>
      <c r="D2433" s="3" t="inlineStr">
        <is>
          <t>Day of Week</t>
        </is>
      </c>
      <c r="E2433" s="3" t="inlineStr">
        <is>
          <t>Flight No</t>
        </is>
      </c>
      <c r="F2433" s="3" t="inlineStr">
        <is>
          <t>Dep Stn</t>
        </is>
      </c>
      <c r="G2433" s="3" t="inlineStr">
        <is>
          <t>Arr Stn</t>
        </is>
      </c>
      <c r="H2433" s="3" t="inlineStr">
        <is>
          <t>STD</t>
        </is>
      </c>
      <c r="I2433" s="3" t="inlineStr">
        <is>
          <t>STA</t>
        </is>
      </c>
      <c r="J2433" s="3" t="inlineStr">
        <is>
          <t>subflota</t>
        </is>
      </c>
      <c r="K2433" s="3" t="inlineStr">
        <is>
          <t>Conexion</t>
        </is>
      </c>
      <c r="L2433" s="3" t="inlineStr">
        <is>
          <t>HBT</t>
        </is>
      </c>
    </row>
    <row r="2434">
      <c r="B2434" s="4" t="inlineStr">
        <is>
          <t>2611_0</t>
        </is>
      </c>
      <c r="C2434" s="4" t="inlineStr">
        <is>
          <t>30/09/2026</t>
        </is>
      </c>
      <c r="D2434" s="4" t="inlineStr">
        <is>
          <t>miércoles</t>
        </is>
      </c>
      <c r="E2434" s="4" t="inlineStr">
        <is>
          <t>2127</t>
        </is>
      </c>
      <c r="F2434" s="4" t="inlineStr">
        <is>
          <t>LIM</t>
        </is>
      </c>
      <c r="G2434" s="4" t="inlineStr">
        <is>
          <t>CUZ</t>
        </is>
      </c>
      <c r="H2434" s="4" t="inlineStr">
        <is>
          <t>16:10:00</t>
        </is>
      </c>
      <c r="I2434" s="4" t="inlineStr">
        <is>
          <t>17:30:00</t>
        </is>
      </c>
      <c r="J2434" s="4" t="inlineStr">
        <is>
          <t>320</t>
        </is>
      </c>
      <c r="L2434" s="4" t="inlineStr">
        <is>
          <t>01:20:00</t>
        </is>
      </c>
      <c r="M2434" s="5" t="n"/>
      <c r="O2434" s="5" t="n"/>
      <c r="Q2434" s="4">
        <f>B2434</f>
        <v/>
      </c>
      <c r="R2434" s="4">
        <f>C2434</f>
        <v/>
      </c>
      <c r="S2434" s="4">
        <f>D2434</f>
        <v/>
      </c>
      <c r="T2434" s="4">
        <f>E2434&amp;"/"&amp;E2435</f>
        <v/>
      </c>
      <c r="U2434" s="4">
        <f>F2434&amp;"-"&amp;G2434&amp;"-"&amp;F2434</f>
        <v/>
      </c>
      <c r="V2434" s="4">
        <f>IF($M$2434="","",$M$2434)</f>
        <v/>
      </c>
      <c r="W2434" s="4">
        <f>IF($O$2434="","",$O$2434)</f>
        <v/>
      </c>
      <c r="X2434" s="4">
        <f>J2434</f>
        <v/>
      </c>
    </row>
    <row r="2435">
      <c r="B2435" s="4" t="inlineStr">
        <is>
          <t>2611_0</t>
        </is>
      </c>
      <c r="C2435" s="4" t="inlineStr">
        <is>
          <t>30/09/2026</t>
        </is>
      </c>
      <c r="D2435" s="4" t="inlineStr">
        <is>
          <t>miércoles</t>
        </is>
      </c>
      <c r="E2435" s="4" t="inlineStr">
        <is>
          <t>2026</t>
        </is>
      </c>
      <c r="F2435" s="4" t="inlineStr">
        <is>
          <t>CUZ</t>
        </is>
      </c>
      <c r="G2435" s="4" t="inlineStr">
        <is>
          <t>LIM</t>
        </is>
      </c>
      <c r="H2435" s="4" t="inlineStr">
        <is>
          <t>18:10:00</t>
        </is>
      </c>
      <c r="I2435" s="4" t="inlineStr">
        <is>
          <t>19:50:00</t>
        </is>
      </c>
      <c r="J2435" s="4" t="inlineStr">
        <is>
          <t>320</t>
        </is>
      </c>
      <c r="K2435">
        <f>TEXT(TIMEVALUE(H2435)-TIMEVALUE(I2434)+(TIMEVALUE(H2435)&lt;TIMEVALUE(I2434)),"[h]:mm")</f>
        <v/>
      </c>
      <c r="L2435" s="4" t="inlineStr">
        <is>
          <t>01:40:00</t>
        </is>
      </c>
      <c r="O2435">
        <f>"LIM-"&amp;G2434&amp;"-LIM   LA "&amp;E2434&amp;" ("&amp;LEFT(H2434,5)&amp;"-"&amp;LEFT(I2434,5)&amp;" hrs)  /  LA "&amp;E2435&amp;" ("&amp;LEFT(H2435,5)&amp;"-"&amp;LEFT(I2435,5)&amp;" hrs)"</f>
        <v/>
      </c>
    </row>
    <row r="2436">
      <c r="J2436" s="7" t="inlineStr">
        <is>
          <t>PSV total:</t>
        </is>
      </c>
      <c r="K2436" s="8">
        <f>TEXT(TIMEVALUE(I2435)-TIMEVALUE(H2434)+(I2435&lt;H2434),"[h]:mm")</f>
        <v/>
      </c>
    </row>
    <row r="2438">
      <c r="B2438" s="3" t="inlineStr">
        <is>
          <t>Pairing ID</t>
        </is>
      </c>
      <c r="C2438" s="3" t="inlineStr">
        <is>
          <t>FECHA REAL</t>
        </is>
      </c>
      <c r="D2438" s="3" t="inlineStr">
        <is>
          <t>Day of Week</t>
        </is>
      </c>
      <c r="E2438" s="3" t="inlineStr">
        <is>
          <t>Flight No</t>
        </is>
      </c>
      <c r="F2438" s="3" t="inlineStr">
        <is>
          <t>Dep Stn</t>
        </is>
      </c>
      <c r="G2438" s="3" t="inlineStr">
        <is>
          <t>Arr Stn</t>
        </is>
      </c>
      <c r="H2438" s="3" t="inlineStr">
        <is>
          <t>STD</t>
        </is>
      </c>
      <c r="I2438" s="3" t="inlineStr">
        <is>
          <t>STA</t>
        </is>
      </c>
      <c r="J2438" s="3" t="inlineStr">
        <is>
          <t>subflota</t>
        </is>
      </c>
      <c r="K2438" s="3" t="inlineStr">
        <is>
          <t>Conexion</t>
        </is>
      </c>
      <c r="L2438" s="3" t="inlineStr">
        <is>
          <t>HBT</t>
        </is>
      </c>
    </row>
    <row r="2439">
      <c r="B2439" s="4" t="inlineStr">
        <is>
          <t>66_1</t>
        </is>
      </c>
      <c r="C2439" s="4" t="inlineStr">
        <is>
          <t>30/09/2026</t>
        </is>
      </c>
      <c r="D2439" s="4" t="inlineStr">
        <is>
          <t>miércoles</t>
        </is>
      </c>
      <c r="E2439" s="4" t="inlineStr">
        <is>
          <t>2127</t>
        </is>
      </c>
      <c r="F2439" s="4" t="inlineStr">
        <is>
          <t>LIM</t>
        </is>
      </c>
      <c r="G2439" s="4" t="inlineStr">
        <is>
          <t>CUZ</t>
        </is>
      </c>
      <c r="H2439" s="4" t="inlineStr">
        <is>
          <t>16:10:00</t>
        </is>
      </c>
      <c r="I2439" s="4" t="inlineStr">
        <is>
          <t>17:30:00</t>
        </is>
      </c>
      <c r="J2439" s="4" t="inlineStr">
        <is>
          <t>320</t>
        </is>
      </c>
      <c r="L2439" s="4" t="inlineStr">
        <is>
          <t>01:20:00</t>
        </is>
      </c>
      <c r="M2439" s="5" t="n"/>
      <c r="O2439" s="5" t="n"/>
      <c r="Q2439" s="4">
        <f>B2439</f>
        <v/>
      </c>
      <c r="R2439" s="4">
        <f>C2439</f>
        <v/>
      </c>
      <c r="S2439" s="4">
        <f>D2439</f>
        <v/>
      </c>
      <c r="T2439" s="4">
        <f>E2439&amp;"/"&amp;E2440</f>
        <v/>
      </c>
      <c r="U2439" s="4">
        <f>F2439&amp;"-"&amp;G2439&amp;"-"&amp;F2439</f>
        <v/>
      </c>
      <c r="V2439" s="4">
        <f>IF($M$2439="","",$M$2439)</f>
        <v/>
      </c>
      <c r="W2439" s="4">
        <f>IF($O$2439="","",$O$2439)</f>
        <v/>
      </c>
      <c r="X2439" s="4">
        <f>J2439</f>
        <v/>
      </c>
    </row>
    <row r="2440">
      <c r="B2440" s="4" t="inlineStr">
        <is>
          <t>66_1</t>
        </is>
      </c>
      <c r="C2440" s="4" t="inlineStr">
        <is>
          <t>30/09/2026</t>
        </is>
      </c>
      <c r="D2440" s="4" t="inlineStr">
        <is>
          <t>miércoles</t>
        </is>
      </c>
      <c r="E2440" s="4" t="inlineStr">
        <is>
          <t>2026</t>
        </is>
      </c>
      <c r="F2440" s="4" t="inlineStr">
        <is>
          <t>CUZ</t>
        </is>
      </c>
      <c r="G2440" s="4" t="inlineStr">
        <is>
          <t>LIM</t>
        </is>
      </c>
      <c r="H2440" s="4" t="inlineStr">
        <is>
          <t>18:10:00</t>
        </is>
      </c>
      <c r="I2440" s="4" t="inlineStr">
        <is>
          <t>19:50:00</t>
        </is>
      </c>
      <c r="J2440" s="4" t="inlineStr">
        <is>
          <t>320</t>
        </is>
      </c>
      <c r="K2440">
        <f>TEXT(TIMEVALUE(H2440)-TIMEVALUE(I2439)+(TIMEVALUE(H2440)&lt;TIMEVALUE(I2439)),"[h]:mm")</f>
        <v/>
      </c>
      <c r="L2440" s="4" t="inlineStr">
        <is>
          <t>01:40:00</t>
        </is>
      </c>
      <c r="O2440">
        <f>"LIM-"&amp;G2439&amp;"-LIM   LA "&amp;E2439&amp;" ("&amp;LEFT(H2439,5)&amp;"-"&amp;LEFT(I2439,5)&amp;" hrs)  /  LA "&amp;E2440&amp;" ("&amp;LEFT(H2440,5)&amp;"-"&amp;LEFT(I2440,5)&amp;" hrs)"</f>
        <v/>
      </c>
    </row>
    <row r="2441">
      <c r="J2441" s="7" t="inlineStr">
        <is>
          <t>PSV total:</t>
        </is>
      </c>
      <c r="K2441" s="8">
        <f>TEXT(TIMEVALUE(I2440)-TIMEVALUE(H2439)+(I2440&lt;H2439),"[h]:mm")</f>
        <v/>
      </c>
    </row>
    <row r="2443">
      <c r="B2443" s="3" t="inlineStr">
        <is>
          <t>Pairing ID</t>
        </is>
      </c>
      <c r="C2443" s="3" t="inlineStr">
        <is>
          <t>FECHA REAL</t>
        </is>
      </c>
      <c r="D2443" s="3" t="inlineStr">
        <is>
          <t>Day of Week</t>
        </is>
      </c>
      <c r="E2443" s="3" t="inlineStr">
        <is>
          <t>Flight No</t>
        </is>
      </c>
      <c r="F2443" s="3" t="inlineStr">
        <is>
          <t>Dep Stn</t>
        </is>
      </c>
      <c r="G2443" s="3" t="inlineStr">
        <is>
          <t>Arr Stn</t>
        </is>
      </c>
      <c r="H2443" s="3" t="inlineStr">
        <is>
          <t>STD</t>
        </is>
      </c>
      <c r="I2443" s="3" t="inlineStr">
        <is>
          <t>STA</t>
        </is>
      </c>
      <c r="J2443" s="3" t="inlineStr">
        <is>
          <t>subflota</t>
        </is>
      </c>
      <c r="K2443" s="3" t="inlineStr">
        <is>
          <t>Conexion</t>
        </is>
      </c>
      <c r="L2443" s="3" t="inlineStr">
        <is>
          <t>HBT</t>
        </is>
      </c>
    </row>
    <row r="2444">
      <c r="B2444" s="4" t="inlineStr">
        <is>
          <t>67_1</t>
        </is>
      </c>
      <c r="C2444" s="4" t="inlineStr">
        <is>
          <t>30/09/2026</t>
        </is>
      </c>
      <c r="D2444" s="4" t="inlineStr">
        <is>
          <t>miércoles</t>
        </is>
      </c>
      <c r="E2444" s="4" t="inlineStr">
        <is>
          <t>2127</t>
        </is>
      </c>
      <c r="F2444" s="4" t="inlineStr">
        <is>
          <t>LIM</t>
        </is>
      </c>
      <c r="G2444" s="4" t="inlineStr">
        <is>
          <t>CUZ</t>
        </is>
      </c>
      <c r="H2444" s="4" t="inlineStr">
        <is>
          <t>16:10:00</t>
        </is>
      </c>
      <c r="I2444" s="4" t="inlineStr">
        <is>
          <t>17:30:00</t>
        </is>
      </c>
      <c r="J2444" s="4" t="inlineStr">
        <is>
          <t>320</t>
        </is>
      </c>
      <c r="L2444" s="4" t="inlineStr">
        <is>
          <t>01:20:00</t>
        </is>
      </c>
      <c r="M2444" s="5" t="n"/>
      <c r="O2444" s="5" t="n"/>
      <c r="Q2444" s="4">
        <f>B2444</f>
        <v/>
      </c>
      <c r="R2444" s="4">
        <f>C2444</f>
        <v/>
      </c>
      <c r="S2444" s="4">
        <f>D2444</f>
        <v/>
      </c>
      <c r="T2444" s="4">
        <f>E2444&amp;"/"&amp;E2445</f>
        <v/>
      </c>
      <c r="U2444" s="4">
        <f>F2444&amp;"-"&amp;G2444&amp;"-"&amp;F2444</f>
        <v/>
      </c>
      <c r="V2444" s="4">
        <f>IF($M$2444="","",$M$2444)</f>
        <v/>
      </c>
      <c r="W2444" s="4">
        <f>IF($O$2444="","",$O$2444)</f>
        <v/>
      </c>
      <c r="X2444" s="4">
        <f>J2444</f>
        <v/>
      </c>
    </row>
    <row r="2445">
      <c r="B2445" s="4" t="inlineStr">
        <is>
          <t>67_1</t>
        </is>
      </c>
      <c r="C2445" s="4" t="inlineStr">
        <is>
          <t>30/09/2026</t>
        </is>
      </c>
      <c r="D2445" s="4" t="inlineStr">
        <is>
          <t>miércoles</t>
        </is>
      </c>
      <c r="E2445" s="4" t="inlineStr">
        <is>
          <t>2026</t>
        </is>
      </c>
      <c r="F2445" s="4" t="inlineStr">
        <is>
          <t>CUZ</t>
        </is>
      </c>
      <c r="G2445" s="4" t="inlineStr">
        <is>
          <t>LIM</t>
        </is>
      </c>
      <c r="H2445" s="4" t="inlineStr">
        <is>
          <t>18:10:00</t>
        </is>
      </c>
      <c r="I2445" s="4" t="inlineStr">
        <is>
          <t>19:50:00</t>
        </is>
      </c>
      <c r="J2445" s="4" t="inlineStr">
        <is>
          <t>320</t>
        </is>
      </c>
      <c r="K2445">
        <f>TEXT(TIMEVALUE(H2445)-TIMEVALUE(I2444)+(TIMEVALUE(H2445)&lt;TIMEVALUE(I2444)),"[h]:mm")</f>
        <v/>
      </c>
      <c r="L2445" s="4" t="inlineStr">
        <is>
          <t>01:40:00</t>
        </is>
      </c>
      <c r="O2445">
        <f>"LIM-"&amp;G2444&amp;"-LIM   LA "&amp;E2444&amp;" ("&amp;LEFT(H2444,5)&amp;"-"&amp;LEFT(I2444,5)&amp;" hrs)  /  LA "&amp;E2445&amp;" ("&amp;LEFT(H2445,5)&amp;"-"&amp;LEFT(I2445,5)&amp;" hrs)"</f>
        <v/>
      </c>
    </row>
    <row r="2446">
      <c r="J2446" s="7" t="inlineStr">
        <is>
          <t>PSV total:</t>
        </is>
      </c>
      <c r="K2446" s="8">
        <f>TEXT(TIMEVALUE(I2445)-TIMEVALUE(H2444)+(I2445&lt;H2444),"[h]:mm")</f>
        <v/>
      </c>
    </row>
    <row r="2448">
      <c r="B2448" s="3" t="inlineStr">
        <is>
          <t>Pairing ID</t>
        </is>
      </c>
      <c r="C2448" s="3" t="inlineStr">
        <is>
          <t>FECHA REAL</t>
        </is>
      </c>
      <c r="D2448" s="3" t="inlineStr">
        <is>
          <t>Day of Week</t>
        </is>
      </c>
      <c r="E2448" s="3" t="inlineStr">
        <is>
          <t>Flight No</t>
        </is>
      </c>
      <c r="F2448" s="3" t="inlineStr">
        <is>
          <t>Dep Stn</t>
        </is>
      </c>
      <c r="G2448" s="3" t="inlineStr">
        <is>
          <t>Arr Stn</t>
        </is>
      </c>
      <c r="H2448" s="3" t="inlineStr">
        <is>
          <t>STD</t>
        </is>
      </c>
      <c r="I2448" s="3" t="inlineStr">
        <is>
          <t>STA</t>
        </is>
      </c>
      <c r="J2448" s="3" t="inlineStr">
        <is>
          <t>subflota</t>
        </is>
      </c>
      <c r="K2448" s="3" t="inlineStr">
        <is>
          <t>Conexion</t>
        </is>
      </c>
      <c r="L2448" s="3" t="inlineStr">
        <is>
          <t>HBT</t>
        </is>
      </c>
    </row>
    <row r="2449">
      <c r="B2449" s="4" t="inlineStr">
        <is>
          <t>2612_1</t>
        </is>
      </c>
      <c r="C2449" s="4" t="inlineStr">
        <is>
          <t>30/09/2026</t>
        </is>
      </c>
      <c r="D2449" s="4" t="inlineStr">
        <is>
          <t>miércoles</t>
        </is>
      </c>
      <c r="E2449" s="4" t="inlineStr">
        <is>
          <t>2053</t>
        </is>
      </c>
      <c r="F2449" s="4" t="inlineStr">
        <is>
          <t>LIM</t>
        </is>
      </c>
      <c r="G2449" s="4" t="inlineStr">
        <is>
          <t>TBP</t>
        </is>
      </c>
      <c r="H2449" s="4" t="inlineStr">
        <is>
          <t>16:20:00</t>
        </is>
      </c>
      <c r="I2449" s="4" t="inlineStr">
        <is>
          <t>18:10:00</t>
        </is>
      </c>
      <c r="J2449" s="4" t="inlineStr">
        <is>
          <t>320</t>
        </is>
      </c>
      <c r="L2449" s="4" t="inlineStr">
        <is>
          <t>01:50:00</t>
        </is>
      </c>
      <c r="M2449" s="5" t="n"/>
      <c r="O2449" s="5" t="n"/>
      <c r="Q2449" s="4">
        <f>B2449</f>
        <v/>
      </c>
      <c r="R2449" s="4">
        <f>C2449</f>
        <v/>
      </c>
      <c r="S2449" s="4">
        <f>D2449</f>
        <v/>
      </c>
      <c r="T2449" s="4">
        <f>E2449&amp;"/"&amp;E2450</f>
        <v/>
      </c>
      <c r="U2449" s="4">
        <f>F2449&amp;"-"&amp;G2449&amp;"-"&amp;F2449</f>
        <v/>
      </c>
      <c r="V2449" s="4">
        <f>IF($M$2449="","",$M$2449)</f>
        <v/>
      </c>
      <c r="W2449" s="4">
        <f>IF($O$2449="","",$O$2449)</f>
        <v/>
      </c>
      <c r="X2449" s="4">
        <f>J2449</f>
        <v/>
      </c>
    </row>
    <row r="2450">
      <c r="B2450" s="4" t="inlineStr">
        <is>
          <t>2612_1</t>
        </is>
      </c>
      <c r="C2450" s="4" t="inlineStr">
        <is>
          <t>30/09/2026</t>
        </is>
      </c>
      <c r="D2450" s="4" t="inlineStr">
        <is>
          <t>miércoles</t>
        </is>
      </c>
      <c r="E2450" s="4" t="inlineStr">
        <is>
          <t>2054</t>
        </is>
      </c>
      <c r="F2450" s="4" t="inlineStr">
        <is>
          <t>TBP</t>
        </is>
      </c>
      <c r="G2450" s="4" t="inlineStr">
        <is>
          <t>LIM</t>
        </is>
      </c>
      <c r="H2450" s="4" t="inlineStr">
        <is>
          <t>18:50:00</t>
        </is>
      </c>
      <c r="I2450" s="4" t="inlineStr">
        <is>
          <t>20:30:00</t>
        </is>
      </c>
      <c r="J2450" s="4" t="inlineStr">
        <is>
          <t>320</t>
        </is>
      </c>
      <c r="K2450">
        <f>TEXT(TIMEVALUE(H2450)-TIMEVALUE(I2449)+(TIMEVALUE(H2450)&lt;TIMEVALUE(I2449)),"[h]:mm")</f>
        <v/>
      </c>
      <c r="L2450" s="4" t="inlineStr">
        <is>
          <t>01:40:00</t>
        </is>
      </c>
      <c r="O2450">
        <f>"LIM-"&amp;G2449&amp;"-LIM   LA "&amp;E2449&amp;" ("&amp;LEFT(H2449,5)&amp;"-"&amp;LEFT(I2449,5)&amp;" hrs)  /  LA "&amp;E2450&amp;" ("&amp;LEFT(H2450,5)&amp;"-"&amp;LEFT(I2450,5)&amp;" hrs)"</f>
        <v/>
      </c>
    </row>
    <row r="2451">
      <c r="J2451" s="7" t="inlineStr">
        <is>
          <t>PSV total:</t>
        </is>
      </c>
      <c r="K2451" s="8">
        <f>TEXT(TIMEVALUE(I2450)-TIMEVALUE(H2449)+(I2450&lt;H2449),"[h]:mm")</f>
        <v/>
      </c>
    </row>
    <row r="2453">
      <c r="B2453" s="3" t="inlineStr">
        <is>
          <t>Pairing ID</t>
        </is>
      </c>
      <c r="C2453" s="3" t="inlineStr">
        <is>
          <t>FECHA REAL</t>
        </is>
      </c>
      <c r="D2453" s="3" t="inlineStr">
        <is>
          <t>Day of Week</t>
        </is>
      </c>
      <c r="E2453" s="3" t="inlineStr">
        <is>
          <t>Flight No</t>
        </is>
      </c>
      <c r="F2453" s="3" t="inlineStr">
        <is>
          <t>Dep Stn</t>
        </is>
      </c>
      <c r="G2453" s="3" t="inlineStr">
        <is>
          <t>Arr Stn</t>
        </is>
      </c>
      <c r="H2453" s="3" t="inlineStr">
        <is>
          <t>STD</t>
        </is>
      </c>
      <c r="I2453" s="3" t="inlineStr">
        <is>
          <t>STA</t>
        </is>
      </c>
      <c r="J2453" s="3" t="inlineStr">
        <is>
          <t>subflota</t>
        </is>
      </c>
      <c r="K2453" s="3" t="inlineStr">
        <is>
          <t>Conexion</t>
        </is>
      </c>
      <c r="L2453" s="3" t="inlineStr">
        <is>
          <t>HBT</t>
        </is>
      </c>
    </row>
    <row r="2454">
      <c r="B2454" s="4" t="inlineStr">
        <is>
          <t>68_0</t>
        </is>
      </c>
      <c r="C2454" s="4" t="inlineStr">
        <is>
          <t>30/09/2026</t>
        </is>
      </c>
      <c r="D2454" s="4" t="inlineStr">
        <is>
          <t>miércoles</t>
        </is>
      </c>
      <c r="E2454" s="4" t="inlineStr">
        <is>
          <t>2053</t>
        </is>
      </c>
      <c r="F2454" s="4" t="inlineStr">
        <is>
          <t>LIM</t>
        </is>
      </c>
      <c r="G2454" s="4" t="inlineStr">
        <is>
          <t>TBP</t>
        </is>
      </c>
      <c r="H2454" s="4" t="inlineStr">
        <is>
          <t>16:20:00</t>
        </is>
      </c>
      <c r="I2454" s="4" t="inlineStr">
        <is>
          <t>18:10:00</t>
        </is>
      </c>
      <c r="J2454" s="4" t="inlineStr">
        <is>
          <t>320</t>
        </is>
      </c>
      <c r="L2454" s="4" t="inlineStr">
        <is>
          <t>01:50:00</t>
        </is>
      </c>
      <c r="M2454" s="5" t="n"/>
      <c r="O2454" s="5" t="n"/>
      <c r="Q2454" s="4">
        <f>B2454</f>
        <v/>
      </c>
      <c r="R2454" s="4">
        <f>C2454</f>
        <v/>
      </c>
      <c r="S2454" s="4">
        <f>D2454</f>
        <v/>
      </c>
      <c r="T2454" s="4">
        <f>E2454&amp;"/"&amp;E2455</f>
        <v/>
      </c>
      <c r="U2454" s="4">
        <f>F2454&amp;"-"&amp;G2454&amp;"-"&amp;F2454</f>
        <v/>
      </c>
      <c r="V2454" s="4">
        <f>IF($M$2454="","",$M$2454)</f>
        <v/>
      </c>
      <c r="W2454" s="4">
        <f>IF($O$2454="","",$O$2454)</f>
        <v/>
      </c>
      <c r="X2454" s="4">
        <f>J2454</f>
        <v/>
      </c>
    </row>
    <row r="2455">
      <c r="B2455" s="4" t="inlineStr">
        <is>
          <t>68_0</t>
        </is>
      </c>
      <c r="C2455" s="4" t="inlineStr">
        <is>
          <t>30/09/2026</t>
        </is>
      </c>
      <c r="D2455" s="4" t="inlineStr">
        <is>
          <t>miércoles</t>
        </is>
      </c>
      <c r="E2455" s="4" t="inlineStr">
        <is>
          <t>2054</t>
        </is>
      </c>
      <c r="F2455" s="4" t="inlineStr">
        <is>
          <t>TBP</t>
        </is>
      </c>
      <c r="G2455" s="4" t="inlineStr">
        <is>
          <t>LIM</t>
        </is>
      </c>
      <c r="H2455" s="4" t="inlineStr">
        <is>
          <t>18:50:00</t>
        </is>
      </c>
      <c r="I2455" s="4" t="inlineStr">
        <is>
          <t>20:30:00</t>
        </is>
      </c>
      <c r="J2455" s="4" t="inlineStr">
        <is>
          <t>320</t>
        </is>
      </c>
      <c r="K2455">
        <f>TEXT(TIMEVALUE(H2455)-TIMEVALUE(I2454)+(TIMEVALUE(H2455)&lt;TIMEVALUE(I2454)),"[h]:mm")</f>
        <v/>
      </c>
      <c r="L2455" s="4" t="inlineStr">
        <is>
          <t>01:40:00</t>
        </is>
      </c>
      <c r="O2455">
        <f>"LIM-"&amp;G2454&amp;"-LIM   LA "&amp;E2454&amp;" ("&amp;LEFT(H2454,5)&amp;"-"&amp;LEFT(I2454,5)&amp;" hrs)  /  LA "&amp;E2455&amp;" ("&amp;LEFT(H2455,5)&amp;"-"&amp;LEFT(I2455,5)&amp;" hrs)"</f>
        <v/>
      </c>
    </row>
    <row r="2456">
      <c r="J2456" s="7" t="inlineStr">
        <is>
          <t>PSV total:</t>
        </is>
      </c>
      <c r="K2456" s="8">
        <f>TEXT(TIMEVALUE(I2455)-TIMEVALUE(H2454)+(I2455&lt;H2454),"[h]:mm")</f>
        <v/>
      </c>
    </row>
    <row r="2458">
      <c r="B2458" s="3" t="inlineStr">
        <is>
          <t>Pairing ID</t>
        </is>
      </c>
      <c r="C2458" s="3" t="inlineStr">
        <is>
          <t>FECHA REAL</t>
        </is>
      </c>
      <c r="D2458" s="3" t="inlineStr">
        <is>
          <t>Day of Week</t>
        </is>
      </c>
      <c r="E2458" s="3" t="inlineStr">
        <is>
          <t>Flight No</t>
        </is>
      </c>
      <c r="F2458" s="3" t="inlineStr">
        <is>
          <t>Dep Stn</t>
        </is>
      </c>
      <c r="G2458" s="3" t="inlineStr">
        <is>
          <t>Arr Stn</t>
        </is>
      </c>
      <c r="H2458" s="3" t="inlineStr">
        <is>
          <t>STD</t>
        </is>
      </c>
      <c r="I2458" s="3" t="inlineStr">
        <is>
          <t>STA</t>
        </is>
      </c>
      <c r="J2458" s="3" t="inlineStr">
        <is>
          <t>subflota</t>
        </is>
      </c>
      <c r="K2458" s="3" t="inlineStr">
        <is>
          <t>Conexion</t>
        </is>
      </c>
      <c r="L2458" s="3" t="inlineStr">
        <is>
          <t>HBT</t>
        </is>
      </c>
    </row>
    <row r="2459">
      <c r="B2459" s="4" t="inlineStr">
        <is>
          <t>2613_0</t>
        </is>
      </c>
      <c r="C2459" s="4" t="inlineStr">
        <is>
          <t>30/09/2026</t>
        </is>
      </c>
      <c r="D2459" s="4" t="inlineStr">
        <is>
          <t>miércoles</t>
        </is>
      </c>
      <c r="E2459" s="4" t="inlineStr">
        <is>
          <t>2276</t>
        </is>
      </c>
      <c r="F2459" s="4" t="inlineStr">
        <is>
          <t>LIM</t>
        </is>
      </c>
      <c r="G2459" s="4" t="inlineStr">
        <is>
          <t>CUZ</t>
        </is>
      </c>
      <c r="H2459" s="4" t="inlineStr">
        <is>
          <t>16:35:00</t>
        </is>
      </c>
      <c r="I2459" s="4" t="inlineStr">
        <is>
          <t>17:55:00</t>
        </is>
      </c>
      <c r="J2459" s="4" t="inlineStr">
        <is>
          <t>320</t>
        </is>
      </c>
      <c r="L2459" s="4" t="inlineStr">
        <is>
          <t>01:20:00</t>
        </is>
      </c>
      <c r="M2459" s="5" t="n"/>
      <c r="O2459" s="5" t="n"/>
      <c r="Q2459" s="4">
        <f>B2459</f>
        <v/>
      </c>
      <c r="R2459" s="4">
        <f>C2459</f>
        <v/>
      </c>
      <c r="S2459" s="4">
        <f>D2459</f>
        <v/>
      </c>
      <c r="T2459" s="4">
        <f>E2459&amp;"/"&amp;E2460</f>
        <v/>
      </c>
      <c r="U2459" s="4">
        <f>F2459&amp;"-"&amp;G2459&amp;"-"&amp;F2459</f>
        <v/>
      </c>
      <c r="V2459" s="4">
        <f>IF($M$2459="","",$M$2459)</f>
        <v/>
      </c>
      <c r="W2459" s="4">
        <f>IF($O$2459="","",$O$2459)</f>
        <v/>
      </c>
      <c r="X2459" s="4">
        <f>J2459</f>
        <v/>
      </c>
    </row>
    <row r="2460">
      <c r="B2460" s="4" t="inlineStr">
        <is>
          <t>2613_0</t>
        </is>
      </c>
      <c r="C2460" s="4" t="inlineStr">
        <is>
          <t>30/09/2026</t>
        </is>
      </c>
      <c r="D2460" s="4" t="inlineStr">
        <is>
          <t>miércoles</t>
        </is>
      </c>
      <c r="E2460" s="4" t="inlineStr">
        <is>
          <t>2277</t>
        </is>
      </c>
      <c r="F2460" s="4" t="inlineStr">
        <is>
          <t>CUZ</t>
        </is>
      </c>
      <c r="G2460" s="4" t="inlineStr">
        <is>
          <t>LIM</t>
        </is>
      </c>
      <c r="H2460" s="4" t="inlineStr">
        <is>
          <t>18:50:00</t>
        </is>
      </c>
      <c r="I2460" s="4" t="inlineStr">
        <is>
          <t>20:25:00</t>
        </is>
      </c>
      <c r="J2460" s="4" t="inlineStr">
        <is>
          <t>320</t>
        </is>
      </c>
      <c r="K2460">
        <f>TEXT(TIMEVALUE(H2460)-TIMEVALUE(I2459)+(TIMEVALUE(H2460)&lt;TIMEVALUE(I2459)),"[h]:mm")</f>
        <v/>
      </c>
      <c r="L2460" s="4" t="inlineStr">
        <is>
          <t>01:35:00</t>
        </is>
      </c>
      <c r="O2460">
        <f>"LIM-"&amp;G2459&amp;"-LIM   LA "&amp;E2459&amp;" ("&amp;LEFT(H2459,5)&amp;"-"&amp;LEFT(I2459,5)&amp;" hrs)  /  LA "&amp;E2460&amp;" ("&amp;LEFT(H2460,5)&amp;"-"&amp;LEFT(I2460,5)&amp;" hrs)"</f>
        <v/>
      </c>
    </row>
    <row r="2461">
      <c r="J2461" s="7" t="inlineStr">
        <is>
          <t>PSV total:</t>
        </is>
      </c>
      <c r="K2461" s="8">
        <f>TEXT(TIMEVALUE(I2460)-TIMEVALUE(H2459)+(I2460&lt;H2459),"[h]:mm")</f>
        <v/>
      </c>
    </row>
    <row r="2463">
      <c r="B2463" s="3" t="inlineStr">
        <is>
          <t>Pairing ID</t>
        </is>
      </c>
      <c r="C2463" s="3" t="inlineStr">
        <is>
          <t>FECHA REAL</t>
        </is>
      </c>
      <c r="D2463" s="3" t="inlineStr">
        <is>
          <t>Day of Week</t>
        </is>
      </c>
      <c r="E2463" s="3" t="inlineStr">
        <is>
          <t>Flight No</t>
        </is>
      </c>
      <c r="F2463" s="3" t="inlineStr">
        <is>
          <t>Dep Stn</t>
        </is>
      </c>
      <c r="G2463" s="3" t="inlineStr">
        <is>
          <t>Arr Stn</t>
        </is>
      </c>
      <c r="H2463" s="3" t="inlineStr">
        <is>
          <t>STD</t>
        </is>
      </c>
      <c r="I2463" s="3" t="inlineStr">
        <is>
          <t>STA</t>
        </is>
      </c>
      <c r="J2463" s="3" t="inlineStr">
        <is>
          <t>subflota</t>
        </is>
      </c>
      <c r="K2463" s="3" t="inlineStr">
        <is>
          <t>Conexion</t>
        </is>
      </c>
      <c r="L2463" s="3" t="inlineStr">
        <is>
          <t>HBT</t>
        </is>
      </c>
    </row>
    <row r="2464">
      <c r="B2464" s="4" t="inlineStr">
        <is>
          <t>69_1</t>
        </is>
      </c>
      <c r="C2464" s="4" t="inlineStr">
        <is>
          <t>30/09/2026</t>
        </is>
      </c>
      <c r="D2464" s="4" t="inlineStr">
        <is>
          <t>miércoles</t>
        </is>
      </c>
      <c r="E2464" s="4" t="inlineStr">
        <is>
          <t>2276</t>
        </is>
      </c>
      <c r="F2464" s="4" t="inlineStr">
        <is>
          <t>LIM</t>
        </is>
      </c>
      <c r="G2464" s="4" t="inlineStr">
        <is>
          <t>CUZ</t>
        </is>
      </c>
      <c r="H2464" s="4" t="inlineStr">
        <is>
          <t>16:35:00</t>
        </is>
      </c>
      <c r="I2464" s="4" t="inlineStr">
        <is>
          <t>17:55:00</t>
        </is>
      </c>
      <c r="J2464" s="4" t="inlineStr">
        <is>
          <t>320</t>
        </is>
      </c>
      <c r="L2464" s="4" t="inlineStr">
        <is>
          <t>01:20:00</t>
        </is>
      </c>
      <c r="M2464" s="5" t="n"/>
      <c r="O2464" s="5" t="n"/>
      <c r="Q2464" s="4">
        <f>B2464</f>
        <v/>
      </c>
      <c r="R2464" s="4">
        <f>C2464</f>
        <v/>
      </c>
      <c r="S2464" s="4">
        <f>D2464</f>
        <v/>
      </c>
      <c r="T2464" s="4">
        <f>E2464&amp;"/"&amp;E2465</f>
        <v/>
      </c>
      <c r="U2464" s="4">
        <f>F2464&amp;"-"&amp;G2464&amp;"-"&amp;F2464</f>
        <v/>
      </c>
      <c r="V2464" s="4">
        <f>IF($M$2464="","",$M$2464)</f>
        <v/>
      </c>
      <c r="W2464" s="4">
        <f>IF($O$2464="","",$O$2464)</f>
        <v/>
      </c>
      <c r="X2464" s="4">
        <f>J2464</f>
        <v/>
      </c>
    </row>
    <row r="2465">
      <c r="B2465" s="4" t="inlineStr">
        <is>
          <t>69_1</t>
        </is>
      </c>
      <c r="C2465" s="4" t="inlineStr">
        <is>
          <t>30/09/2026</t>
        </is>
      </c>
      <c r="D2465" s="4" t="inlineStr">
        <is>
          <t>miércoles</t>
        </is>
      </c>
      <c r="E2465" s="4" t="inlineStr">
        <is>
          <t>2277</t>
        </is>
      </c>
      <c r="F2465" s="4" t="inlineStr">
        <is>
          <t>CUZ</t>
        </is>
      </c>
      <c r="G2465" s="4" t="inlineStr">
        <is>
          <t>LIM</t>
        </is>
      </c>
      <c r="H2465" s="4" t="inlineStr">
        <is>
          <t>18:50:00</t>
        </is>
      </c>
      <c r="I2465" s="4" t="inlineStr">
        <is>
          <t>20:25:00</t>
        </is>
      </c>
      <c r="J2465" s="4" t="inlineStr">
        <is>
          <t>320</t>
        </is>
      </c>
      <c r="K2465">
        <f>TEXT(TIMEVALUE(H2465)-TIMEVALUE(I2464)+(TIMEVALUE(H2465)&lt;TIMEVALUE(I2464)),"[h]:mm")</f>
        <v/>
      </c>
      <c r="L2465" s="4" t="inlineStr">
        <is>
          <t>01:35:00</t>
        </is>
      </c>
      <c r="O2465">
        <f>"LIM-"&amp;G2464&amp;"-LIM   LA "&amp;E2464&amp;" ("&amp;LEFT(H2464,5)&amp;"-"&amp;LEFT(I2464,5)&amp;" hrs)  /  LA "&amp;E2465&amp;" ("&amp;LEFT(H2465,5)&amp;"-"&amp;LEFT(I2465,5)&amp;" hrs)"</f>
        <v/>
      </c>
    </row>
    <row r="2466">
      <c r="J2466" s="7" t="inlineStr">
        <is>
          <t>PSV total:</t>
        </is>
      </c>
      <c r="K2466" s="8">
        <f>TEXT(TIMEVALUE(I2465)-TIMEVALUE(H2464)+(I2465&lt;H2464),"[h]:mm")</f>
        <v/>
      </c>
    </row>
    <row r="2468">
      <c r="B2468" s="3" t="inlineStr">
        <is>
          <t>Pairing ID</t>
        </is>
      </c>
      <c r="C2468" s="3" t="inlineStr">
        <is>
          <t>FECHA REAL</t>
        </is>
      </c>
      <c r="D2468" s="3" t="inlineStr">
        <is>
          <t>Day of Week</t>
        </is>
      </c>
      <c r="E2468" s="3" t="inlineStr">
        <is>
          <t>Flight No</t>
        </is>
      </c>
      <c r="F2468" s="3" t="inlineStr">
        <is>
          <t>Dep Stn</t>
        </is>
      </c>
      <c r="G2468" s="3" t="inlineStr">
        <is>
          <t>Arr Stn</t>
        </is>
      </c>
      <c r="H2468" s="3" t="inlineStr">
        <is>
          <t>STD</t>
        </is>
      </c>
      <c r="I2468" s="3" t="inlineStr">
        <is>
          <t>STA</t>
        </is>
      </c>
      <c r="J2468" s="3" t="inlineStr">
        <is>
          <t>subflota</t>
        </is>
      </c>
      <c r="K2468" s="3" t="inlineStr">
        <is>
          <t>Conexion</t>
        </is>
      </c>
      <c r="L2468" s="3" t="inlineStr">
        <is>
          <t>HBT</t>
        </is>
      </c>
    </row>
    <row r="2469">
      <c r="B2469" s="4" t="inlineStr">
        <is>
          <t>71_1</t>
        </is>
      </c>
      <c r="C2469" s="4" t="inlineStr">
        <is>
          <t>30/09/2026</t>
        </is>
      </c>
      <c r="D2469" s="4" t="inlineStr">
        <is>
          <t>miércoles</t>
        </is>
      </c>
      <c r="E2469" s="4" t="inlineStr">
        <is>
          <t>2236</t>
        </is>
      </c>
      <c r="F2469" s="4" t="inlineStr">
        <is>
          <t>LIM</t>
        </is>
      </c>
      <c r="G2469" s="4" t="inlineStr">
        <is>
          <t>PIU</t>
        </is>
      </c>
      <c r="H2469" s="4" t="inlineStr">
        <is>
          <t>18:00:00</t>
        </is>
      </c>
      <c r="I2469" s="4" t="inlineStr">
        <is>
          <t>19:40:00</t>
        </is>
      </c>
      <c r="J2469" s="4" t="inlineStr">
        <is>
          <t>320</t>
        </is>
      </c>
      <c r="L2469" s="4" t="inlineStr">
        <is>
          <t>01:40:00</t>
        </is>
      </c>
      <c r="M2469" s="5" t="n"/>
      <c r="O2469" s="5" t="n"/>
      <c r="Q2469" s="4">
        <f>B2469</f>
        <v/>
      </c>
      <c r="R2469" s="4">
        <f>C2469</f>
        <v/>
      </c>
      <c r="S2469" s="4">
        <f>D2469</f>
        <v/>
      </c>
      <c r="T2469" s="4">
        <f>E2469&amp;"/"&amp;E2470</f>
        <v/>
      </c>
      <c r="U2469" s="4">
        <f>F2469&amp;"-"&amp;G2469&amp;"-"&amp;F2469</f>
        <v/>
      </c>
      <c r="V2469" s="4">
        <f>IF($M$2469="","",$M$2469)</f>
        <v/>
      </c>
      <c r="W2469" s="4">
        <f>IF($O$2469="","",$O$2469)</f>
        <v/>
      </c>
      <c r="X2469" s="4">
        <f>J2469</f>
        <v/>
      </c>
    </row>
    <row r="2470">
      <c r="B2470" s="4" t="inlineStr">
        <is>
          <t>71_1</t>
        </is>
      </c>
      <c r="C2470" s="4" t="inlineStr">
        <is>
          <t>30/09/2026</t>
        </is>
      </c>
      <c r="D2470" s="4" t="inlineStr">
        <is>
          <t>miércoles</t>
        </is>
      </c>
      <c r="E2470" s="4" t="inlineStr">
        <is>
          <t>2237</t>
        </is>
      </c>
      <c r="F2470" s="4" t="inlineStr">
        <is>
          <t>PIU</t>
        </is>
      </c>
      <c r="G2470" s="4" t="inlineStr">
        <is>
          <t>LIM</t>
        </is>
      </c>
      <c r="H2470" s="4" t="inlineStr">
        <is>
          <t>20:20:00</t>
        </is>
      </c>
      <c r="I2470" s="4" t="inlineStr">
        <is>
          <t>21:50:00</t>
        </is>
      </c>
      <c r="J2470" s="4" t="inlineStr">
        <is>
          <t>320</t>
        </is>
      </c>
      <c r="K2470">
        <f>TEXT(TIMEVALUE(H2470)-TIMEVALUE(I2469)+(TIMEVALUE(H2470)&lt;TIMEVALUE(I2469)),"[h]:mm")</f>
        <v/>
      </c>
      <c r="L2470" s="4" t="inlineStr">
        <is>
          <t>01:30:00</t>
        </is>
      </c>
      <c r="O2470">
        <f>"LIM-"&amp;G2469&amp;"-LIM   LA "&amp;E2469&amp;" ("&amp;LEFT(H2469,5)&amp;"-"&amp;LEFT(I2469,5)&amp;" hrs)  /  LA "&amp;E2470&amp;" ("&amp;LEFT(H2470,5)&amp;"-"&amp;LEFT(I2470,5)&amp;" hrs)"</f>
        <v/>
      </c>
    </row>
    <row r="2471">
      <c r="J2471" s="7" t="inlineStr">
        <is>
          <t>PSV total:</t>
        </is>
      </c>
      <c r="K2471" s="8">
        <f>TEXT(TIMEVALUE(I2470)-TIMEVALUE(H2469)+(I2470&lt;H2469),"[h]:mm")</f>
        <v/>
      </c>
    </row>
    <row r="2473">
      <c r="B2473" s="3" t="inlineStr">
        <is>
          <t>Pairing ID</t>
        </is>
      </c>
      <c r="C2473" s="3" t="inlineStr">
        <is>
          <t>FECHA REAL</t>
        </is>
      </c>
      <c r="D2473" s="3" t="inlineStr">
        <is>
          <t>Day of Week</t>
        </is>
      </c>
      <c r="E2473" s="3" t="inlineStr">
        <is>
          <t>Flight No</t>
        </is>
      </c>
      <c r="F2473" s="3" t="inlineStr">
        <is>
          <t>Dep Stn</t>
        </is>
      </c>
      <c r="G2473" s="3" t="inlineStr">
        <is>
          <t>Arr Stn</t>
        </is>
      </c>
      <c r="H2473" s="3" t="inlineStr">
        <is>
          <t>STD</t>
        </is>
      </c>
      <c r="I2473" s="3" t="inlineStr">
        <is>
          <t>STA</t>
        </is>
      </c>
      <c r="J2473" s="3" t="inlineStr">
        <is>
          <t>subflota</t>
        </is>
      </c>
      <c r="K2473" s="3" t="inlineStr">
        <is>
          <t>Conexion</t>
        </is>
      </c>
      <c r="L2473" s="3" t="inlineStr">
        <is>
          <t>HBT</t>
        </is>
      </c>
    </row>
    <row r="2474">
      <c r="B2474" s="4" t="inlineStr">
        <is>
          <t>2615_0</t>
        </is>
      </c>
      <c r="C2474" s="4" t="inlineStr">
        <is>
          <t>30/09/2026</t>
        </is>
      </c>
      <c r="D2474" s="4" t="inlineStr">
        <is>
          <t>miércoles</t>
        </is>
      </c>
      <c r="E2474" s="4" t="inlineStr">
        <is>
          <t>2236</t>
        </is>
      </c>
      <c r="F2474" s="4" t="inlineStr">
        <is>
          <t>LIM</t>
        </is>
      </c>
      <c r="G2474" s="4" t="inlineStr">
        <is>
          <t>PIU</t>
        </is>
      </c>
      <c r="H2474" s="4" t="inlineStr">
        <is>
          <t>18:00:00</t>
        </is>
      </c>
      <c r="I2474" s="4" t="inlineStr">
        <is>
          <t>19:40:00</t>
        </is>
      </c>
      <c r="J2474" s="4" t="inlineStr">
        <is>
          <t>320</t>
        </is>
      </c>
      <c r="L2474" s="4" t="inlineStr">
        <is>
          <t>01:40:00</t>
        </is>
      </c>
      <c r="M2474" s="5" t="n"/>
      <c r="O2474" s="5" t="n"/>
      <c r="Q2474" s="4">
        <f>B2474</f>
        <v/>
      </c>
      <c r="R2474" s="4">
        <f>C2474</f>
        <v/>
      </c>
      <c r="S2474" s="4">
        <f>D2474</f>
        <v/>
      </c>
      <c r="T2474" s="4">
        <f>E2474&amp;"/"&amp;E2475</f>
        <v/>
      </c>
      <c r="U2474" s="4">
        <f>F2474&amp;"-"&amp;G2474&amp;"-"&amp;F2474</f>
        <v/>
      </c>
      <c r="V2474" s="4">
        <f>IF($M$2474="","",$M$2474)</f>
        <v/>
      </c>
      <c r="W2474" s="4">
        <f>IF($O$2474="","",$O$2474)</f>
        <v/>
      </c>
      <c r="X2474" s="4">
        <f>J2474</f>
        <v/>
      </c>
    </row>
    <row r="2475">
      <c r="B2475" s="4" t="inlineStr">
        <is>
          <t>2615_0</t>
        </is>
      </c>
      <c r="C2475" s="4" t="inlineStr">
        <is>
          <t>30/09/2026</t>
        </is>
      </c>
      <c r="D2475" s="4" t="inlineStr">
        <is>
          <t>miércoles</t>
        </is>
      </c>
      <c r="E2475" s="4" t="inlineStr">
        <is>
          <t>2237</t>
        </is>
      </c>
      <c r="F2475" s="4" t="inlineStr">
        <is>
          <t>PIU</t>
        </is>
      </c>
      <c r="G2475" s="4" t="inlineStr">
        <is>
          <t>LIM</t>
        </is>
      </c>
      <c r="H2475" s="4" t="inlineStr">
        <is>
          <t>20:20:00</t>
        </is>
      </c>
      <c r="I2475" s="4" t="inlineStr">
        <is>
          <t>21:50:00</t>
        </is>
      </c>
      <c r="J2475" s="4" t="inlineStr">
        <is>
          <t>320</t>
        </is>
      </c>
      <c r="K2475">
        <f>TEXT(TIMEVALUE(H2475)-TIMEVALUE(I2474)+(TIMEVALUE(H2475)&lt;TIMEVALUE(I2474)),"[h]:mm")</f>
        <v/>
      </c>
      <c r="L2475" s="4" t="inlineStr">
        <is>
          <t>01:30:00</t>
        </is>
      </c>
      <c r="O2475">
        <f>"LIM-"&amp;G2474&amp;"-LIM   LA "&amp;E2474&amp;" ("&amp;LEFT(H2474,5)&amp;"-"&amp;LEFT(I2474,5)&amp;" hrs)  /  LA "&amp;E2475&amp;" ("&amp;LEFT(H2475,5)&amp;"-"&amp;LEFT(I2475,5)&amp;" hrs)"</f>
        <v/>
      </c>
    </row>
    <row r="2476">
      <c r="J2476" s="7" t="inlineStr">
        <is>
          <t>PSV total:</t>
        </is>
      </c>
      <c r="K2476" s="8">
        <f>TEXT(TIMEVALUE(I2475)-TIMEVALUE(H2474)+(I2475&lt;H2474),"[h]:mm")</f>
        <v/>
      </c>
    </row>
    <row r="2478">
      <c r="B2478" s="3" t="inlineStr">
        <is>
          <t>Pairing ID</t>
        </is>
      </c>
      <c r="C2478" s="3" t="inlineStr">
        <is>
          <t>FECHA REAL</t>
        </is>
      </c>
      <c r="D2478" s="3" t="inlineStr">
        <is>
          <t>Day of Week</t>
        </is>
      </c>
      <c r="E2478" s="3" t="inlineStr">
        <is>
          <t>Flight No</t>
        </is>
      </c>
      <c r="F2478" s="3" t="inlineStr">
        <is>
          <t>Dep Stn</t>
        </is>
      </c>
      <c r="G2478" s="3" t="inlineStr">
        <is>
          <t>Arr Stn</t>
        </is>
      </c>
      <c r="H2478" s="3" t="inlineStr">
        <is>
          <t>STD</t>
        </is>
      </c>
      <c r="I2478" s="3" t="inlineStr">
        <is>
          <t>STA</t>
        </is>
      </c>
      <c r="J2478" s="3" t="inlineStr">
        <is>
          <t>subflota</t>
        </is>
      </c>
      <c r="K2478" s="3" t="inlineStr">
        <is>
          <t>Conexion</t>
        </is>
      </c>
      <c r="L2478" s="3" t="inlineStr">
        <is>
          <t>HBT</t>
        </is>
      </c>
    </row>
    <row r="2479">
      <c r="B2479" s="4" t="inlineStr">
        <is>
          <t>2619_0</t>
        </is>
      </c>
      <c r="C2479" s="4" t="inlineStr">
        <is>
          <t>30/09/2026</t>
        </is>
      </c>
      <c r="D2479" s="4" t="inlineStr">
        <is>
          <t>miércoles</t>
        </is>
      </c>
      <c r="E2479" s="4" t="inlineStr">
        <is>
          <t>2091</t>
        </is>
      </c>
      <c r="F2479" s="4" t="inlineStr">
        <is>
          <t>LIM</t>
        </is>
      </c>
      <c r="G2479" s="4" t="inlineStr">
        <is>
          <t>TPP</t>
        </is>
      </c>
      <c r="H2479" s="4" t="inlineStr">
        <is>
          <t>18:30:00</t>
        </is>
      </c>
      <c r="I2479" s="4" t="inlineStr">
        <is>
          <t>19:55:00</t>
        </is>
      </c>
      <c r="J2479" s="4" t="inlineStr">
        <is>
          <t>320</t>
        </is>
      </c>
      <c r="L2479" s="4" t="inlineStr">
        <is>
          <t>01:25:00</t>
        </is>
      </c>
      <c r="M2479" s="5" t="n"/>
      <c r="O2479" s="5" t="n"/>
      <c r="Q2479" s="4">
        <f>B2479</f>
        <v/>
      </c>
      <c r="R2479" s="4">
        <f>C2479</f>
        <v/>
      </c>
      <c r="S2479" s="4">
        <f>D2479</f>
        <v/>
      </c>
      <c r="T2479" s="4">
        <f>E2479&amp;"/"&amp;E2480</f>
        <v/>
      </c>
      <c r="U2479" s="4">
        <f>F2479&amp;"-"&amp;G2479&amp;"-"&amp;F2479</f>
        <v/>
      </c>
      <c r="V2479" s="4">
        <f>IF($M$2479="","",$M$2479)</f>
        <v/>
      </c>
      <c r="W2479" s="4">
        <f>IF($O$2479="","",$O$2479)</f>
        <v/>
      </c>
      <c r="X2479" s="4">
        <f>J2479</f>
        <v/>
      </c>
    </row>
    <row r="2480">
      <c r="B2480" s="4" t="inlineStr">
        <is>
          <t>2619_0</t>
        </is>
      </c>
      <c r="C2480" s="4" t="inlineStr">
        <is>
          <t>30/09/2026</t>
        </is>
      </c>
      <c r="D2480" s="4" t="inlineStr">
        <is>
          <t>miércoles</t>
        </is>
      </c>
      <c r="E2480" s="4" t="inlineStr">
        <is>
          <t>2092</t>
        </is>
      </c>
      <c r="F2480" s="4" t="inlineStr">
        <is>
          <t>TPP</t>
        </is>
      </c>
      <c r="G2480" s="4" t="inlineStr">
        <is>
          <t>LIM</t>
        </is>
      </c>
      <c r="H2480" s="4" t="inlineStr">
        <is>
          <t>20:30:00</t>
        </is>
      </c>
      <c r="I2480" s="4" t="inlineStr">
        <is>
          <t>21:55:00</t>
        </is>
      </c>
      <c r="J2480" s="4" t="inlineStr">
        <is>
          <t>320</t>
        </is>
      </c>
      <c r="K2480">
        <f>TEXT(TIMEVALUE(H2480)-TIMEVALUE(I2479)+(TIMEVALUE(H2480)&lt;TIMEVALUE(I2479)),"[h]:mm")</f>
        <v/>
      </c>
      <c r="L2480" s="4" t="inlineStr">
        <is>
          <t>01:25:00</t>
        </is>
      </c>
      <c r="O2480">
        <f>"LIM-"&amp;G2479&amp;"-LIM   LA "&amp;E2479&amp;" ("&amp;LEFT(H2479,5)&amp;"-"&amp;LEFT(I2479,5)&amp;" hrs)  /  LA "&amp;E2480&amp;" ("&amp;LEFT(H2480,5)&amp;"-"&amp;LEFT(I2480,5)&amp;" hrs)"</f>
        <v/>
      </c>
    </row>
    <row r="2481">
      <c r="J2481" s="7" t="inlineStr">
        <is>
          <t>PSV total:</t>
        </is>
      </c>
      <c r="K2481" s="8">
        <f>TEXT(TIMEVALUE(I2480)-TIMEVALUE(H2479)+(I2480&lt;H2479),"[h]:mm")</f>
        <v/>
      </c>
    </row>
    <row r="2483">
      <c r="B2483" s="3" t="inlineStr">
        <is>
          <t>Pairing ID</t>
        </is>
      </c>
      <c r="C2483" s="3" t="inlineStr">
        <is>
          <t>FECHA REAL</t>
        </is>
      </c>
      <c r="D2483" s="3" t="inlineStr">
        <is>
          <t>Day of Week</t>
        </is>
      </c>
      <c r="E2483" s="3" t="inlineStr">
        <is>
          <t>Flight No</t>
        </is>
      </c>
      <c r="F2483" s="3" t="inlineStr">
        <is>
          <t>Dep Stn</t>
        </is>
      </c>
      <c r="G2483" s="3" t="inlineStr">
        <is>
          <t>Arr Stn</t>
        </is>
      </c>
      <c r="H2483" s="3" t="inlineStr">
        <is>
          <t>STD</t>
        </is>
      </c>
      <c r="I2483" s="3" t="inlineStr">
        <is>
          <t>STA</t>
        </is>
      </c>
      <c r="J2483" s="3" t="inlineStr">
        <is>
          <t>subflota</t>
        </is>
      </c>
      <c r="K2483" s="3" t="inlineStr">
        <is>
          <t>Conexion</t>
        </is>
      </c>
      <c r="L2483" s="3" t="inlineStr">
        <is>
          <t>HBT</t>
        </is>
      </c>
    </row>
    <row r="2484">
      <c r="B2484" s="4" t="inlineStr">
        <is>
          <t>75_1</t>
        </is>
      </c>
      <c r="C2484" s="4" t="inlineStr">
        <is>
          <t>30/09/2026</t>
        </is>
      </c>
      <c r="D2484" s="4" t="inlineStr">
        <is>
          <t>miércoles</t>
        </is>
      </c>
      <c r="E2484" s="4" t="inlineStr">
        <is>
          <t>2091</t>
        </is>
      </c>
      <c r="F2484" s="4" t="inlineStr">
        <is>
          <t>LIM</t>
        </is>
      </c>
      <c r="G2484" s="4" t="inlineStr">
        <is>
          <t>TPP</t>
        </is>
      </c>
      <c r="H2484" s="4" t="inlineStr">
        <is>
          <t>18:30:00</t>
        </is>
      </c>
      <c r="I2484" s="4" t="inlineStr">
        <is>
          <t>19:55:00</t>
        </is>
      </c>
      <c r="J2484" s="4" t="inlineStr">
        <is>
          <t>320</t>
        </is>
      </c>
      <c r="L2484" s="4" t="inlineStr">
        <is>
          <t>01:25:00</t>
        </is>
      </c>
      <c r="M2484" s="5" t="n"/>
      <c r="O2484" s="5" t="n"/>
      <c r="Q2484" s="4">
        <f>B2484</f>
        <v/>
      </c>
      <c r="R2484" s="4">
        <f>C2484</f>
        <v/>
      </c>
      <c r="S2484" s="4">
        <f>D2484</f>
        <v/>
      </c>
      <c r="T2484" s="4">
        <f>E2484&amp;"/"&amp;E2485</f>
        <v/>
      </c>
      <c r="U2484" s="4">
        <f>F2484&amp;"-"&amp;G2484&amp;"-"&amp;F2484</f>
        <v/>
      </c>
      <c r="V2484" s="4">
        <f>IF($M$2484="","",$M$2484)</f>
        <v/>
      </c>
      <c r="W2484" s="4">
        <f>IF($O$2484="","",$O$2484)</f>
        <v/>
      </c>
      <c r="X2484" s="4">
        <f>J2484</f>
        <v/>
      </c>
    </row>
    <row r="2485">
      <c r="B2485" s="4" t="inlineStr">
        <is>
          <t>75_1</t>
        </is>
      </c>
      <c r="C2485" s="4" t="inlineStr">
        <is>
          <t>30/09/2026</t>
        </is>
      </c>
      <c r="D2485" s="4" t="inlineStr">
        <is>
          <t>miércoles</t>
        </is>
      </c>
      <c r="E2485" s="4" t="inlineStr">
        <is>
          <t>2092</t>
        </is>
      </c>
      <c r="F2485" s="4" t="inlineStr">
        <is>
          <t>TPP</t>
        </is>
      </c>
      <c r="G2485" s="4" t="inlineStr">
        <is>
          <t>LIM</t>
        </is>
      </c>
      <c r="H2485" s="4" t="inlineStr">
        <is>
          <t>20:30:00</t>
        </is>
      </c>
      <c r="I2485" s="4" t="inlineStr">
        <is>
          <t>21:55:00</t>
        </is>
      </c>
      <c r="J2485" s="4" t="inlineStr">
        <is>
          <t>320</t>
        </is>
      </c>
      <c r="K2485">
        <f>TEXT(TIMEVALUE(H2485)-TIMEVALUE(I2484)+(TIMEVALUE(H2485)&lt;TIMEVALUE(I2484)),"[h]:mm")</f>
        <v/>
      </c>
      <c r="L2485" s="4" t="inlineStr">
        <is>
          <t>01:25:00</t>
        </is>
      </c>
      <c r="O2485">
        <f>"LIM-"&amp;G2484&amp;"-LIM   LA "&amp;E2484&amp;" ("&amp;LEFT(H2484,5)&amp;"-"&amp;LEFT(I2484,5)&amp;" hrs)  /  LA "&amp;E2485&amp;" ("&amp;LEFT(H2485,5)&amp;"-"&amp;LEFT(I2485,5)&amp;" hrs)"</f>
        <v/>
      </c>
    </row>
    <row r="2486">
      <c r="J2486" s="7" t="inlineStr">
        <is>
          <t>PSV total:</t>
        </is>
      </c>
      <c r="K2486" s="8">
        <f>TEXT(TIMEVALUE(I2485)-TIMEVALUE(H2484)+(I2485&lt;H2484),"[h]:mm")</f>
        <v/>
      </c>
    </row>
    <row r="2488">
      <c r="B2488" s="3" t="inlineStr">
        <is>
          <t>Pairing ID</t>
        </is>
      </c>
      <c r="C2488" s="3" t="inlineStr">
        <is>
          <t>FECHA REAL</t>
        </is>
      </c>
      <c r="D2488" s="3" t="inlineStr">
        <is>
          <t>Day of Week</t>
        </is>
      </c>
      <c r="E2488" s="3" t="inlineStr">
        <is>
          <t>Flight No</t>
        </is>
      </c>
      <c r="F2488" s="3" t="inlineStr">
        <is>
          <t>Dep Stn</t>
        </is>
      </c>
      <c r="G2488" s="3" t="inlineStr">
        <is>
          <t>Arr Stn</t>
        </is>
      </c>
      <c r="H2488" s="3" t="inlineStr">
        <is>
          <t>STD</t>
        </is>
      </c>
      <c r="I2488" s="3" t="inlineStr">
        <is>
          <t>STA</t>
        </is>
      </c>
      <c r="J2488" s="3" t="inlineStr">
        <is>
          <t>subflota</t>
        </is>
      </c>
      <c r="K2488" s="3" t="inlineStr">
        <is>
          <t>Conexion</t>
        </is>
      </c>
      <c r="L2488" s="3" t="inlineStr">
        <is>
          <t>HBT</t>
        </is>
      </c>
    </row>
    <row r="2489">
      <c r="B2489" s="4" t="inlineStr">
        <is>
          <t>74_1</t>
        </is>
      </c>
      <c r="C2489" s="4" t="inlineStr">
        <is>
          <t>30/09/2026</t>
        </is>
      </c>
      <c r="D2489" s="4" t="inlineStr">
        <is>
          <t>miércoles</t>
        </is>
      </c>
      <c r="E2489" s="4" t="inlineStr">
        <is>
          <t>2091</t>
        </is>
      </c>
      <c r="F2489" s="4" t="inlineStr">
        <is>
          <t>LIM</t>
        </is>
      </c>
      <c r="G2489" s="4" t="inlineStr">
        <is>
          <t>TPP</t>
        </is>
      </c>
      <c r="H2489" s="4" t="inlineStr">
        <is>
          <t>18:30:00</t>
        </is>
      </c>
      <c r="I2489" s="4" t="inlineStr">
        <is>
          <t>19:55:00</t>
        </is>
      </c>
      <c r="J2489" s="4" t="inlineStr">
        <is>
          <t>320</t>
        </is>
      </c>
      <c r="L2489" s="4" t="inlineStr">
        <is>
          <t>01:25:00</t>
        </is>
      </c>
      <c r="M2489" s="5" t="n"/>
      <c r="O2489" s="5" t="n"/>
      <c r="Q2489" s="4">
        <f>B2489</f>
        <v/>
      </c>
      <c r="R2489" s="4">
        <f>C2489</f>
        <v/>
      </c>
      <c r="S2489" s="4">
        <f>D2489</f>
        <v/>
      </c>
      <c r="T2489" s="4">
        <f>E2489&amp;"/"&amp;E2490</f>
        <v/>
      </c>
      <c r="U2489" s="4">
        <f>F2489&amp;"-"&amp;G2489&amp;"-"&amp;F2489</f>
        <v/>
      </c>
      <c r="V2489" s="4">
        <f>IF($M$2489="","",$M$2489)</f>
        <v/>
      </c>
      <c r="W2489" s="4">
        <f>IF($O$2489="","",$O$2489)</f>
        <v/>
      </c>
      <c r="X2489" s="4">
        <f>J2489</f>
        <v/>
      </c>
    </row>
    <row r="2490">
      <c r="B2490" s="4" t="inlineStr">
        <is>
          <t>74_1</t>
        </is>
      </c>
      <c r="C2490" s="4" t="inlineStr">
        <is>
          <t>30/09/2026</t>
        </is>
      </c>
      <c r="D2490" s="4" t="inlineStr">
        <is>
          <t>miércoles</t>
        </is>
      </c>
      <c r="E2490" s="4" t="inlineStr">
        <is>
          <t>2092</t>
        </is>
      </c>
      <c r="F2490" s="4" t="inlineStr">
        <is>
          <t>TPP</t>
        </is>
      </c>
      <c r="G2490" s="4" t="inlineStr">
        <is>
          <t>LIM</t>
        </is>
      </c>
      <c r="H2490" s="4" t="inlineStr">
        <is>
          <t>20:30:00</t>
        </is>
      </c>
      <c r="I2490" s="4" t="inlineStr">
        <is>
          <t>21:55:00</t>
        </is>
      </c>
      <c r="J2490" s="4" t="inlineStr">
        <is>
          <t>320</t>
        </is>
      </c>
      <c r="K2490">
        <f>TEXT(TIMEVALUE(H2490)-TIMEVALUE(I2489)+(TIMEVALUE(H2490)&lt;TIMEVALUE(I2489)),"[h]:mm")</f>
        <v/>
      </c>
      <c r="L2490" s="4" t="inlineStr">
        <is>
          <t>01:25:00</t>
        </is>
      </c>
      <c r="O2490">
        <f>"LIM-"&amp;G2489&amp;"-LIM   LA "&amp;E2489&amp;" ("&amp;LEFT(H2489,5)&amp;"-"&amp;LEFT(I2489,5)&amp;" hrs)  /  LA "&amp;E2490&amp;" ("&amp;LEFT(H2490,5)&amp;"-"&amp;LEFT(I2490,5)&amp;" hrs)"</f>
        <v/>
      </c>
    </row>
    <row r="2491">
      <c r="J2491" s="7" t="inlineStr">
        <is>
          <t>PSV total:</t>
        </is>
      </c>
      <c r="K2491" s="8">
        <f>TEXT(TIMEVALUE(I2490)-TIMEVALUE(H2489)+(I2490&lt;H2489),"[h]:mm")</f>
        <v/>
      </c>
    </row>
    <row r="2493">
      <c r="B2493" s="3" t="inlineStr">
        <is>
          <t>Pairing ID</t>
        </is>
      </c>
      <c r="C2493" s="3" t="inlineStr">
        <is>
          <t>FECHA REAL</t>
        </is>
      </c>
      <c r="D2493" s="3" t="inlineStr">
        <is>
          <t>Day of Week</t>
        </is>
      </c>
      <c r="E2493" s="3" t="inlineStr">
        <is>
          <t>Flight No</t>
        </is>
      </c>
      <c r="F2493" s="3" t="inlineStr">
        <is>
          <t>Dep Stn</t>
        </is>
      </c>
      <c r="G2493" s="3" t="inlineStr">
        <is>
          <t>Arr Stn</t>
        </is>
      </c>
      <c r="H2493" s="3" t="inlineStr">
        <is>
          <t>STD</t>
        </is>
      </c>
      <c r="I2493" s="3" t="inlineStr">
        <is>
          <t>STA</t>
        </is>
      </c>
      <c r="J2493" s="3" t="inlineStr">
        <is>
          <t>subflota</t>
        </is>
      </c>
      <c r="K2493" s="3" t="inlineStr">
        <is>
          <t>Conexion</t>
        </is>
      </c>
      <c r="L2493" s="3" t="inlineStr">
        <is>
          <t>HBT</t>
        </is>
      </c>
    </row>
    <row r="2494">
      <c r="B2494" s="4" t="inlineStr">
        <is>
          <t>2620_1</t>
        </is>
      </c>
      <c r="C2494" s="4" t="inlineStr">
        <is>
          <t>30/09/2026</t>
        </is>
      </c>
      <c r="D2494" s="4" t="inlineStr">
        <is>
          <t>miércoles</t>
        </is>
      </c>
      <c r="E2494" s="4" t="inlineStr">
        <is>
          <t>2091</t>
        </is>
      </c>
      <c r="F2494" s="4" t="inlineStr">
        <is>
          <t>LIM</t>
        </is>
      </c>
      <c r="G2494" s="4" t="inlineStr">
        <is>
          <t>TPP</t>
        </is>
      </c>
      <c r="H2494" s="4" t="inlineStr">
        <is>
          <t>18:30:00</t>
        </is>
      </c>
      <c r="I2494" s="4" t="inlineStr">
        <is>
          <t>19:55:00</t>
        </is>
      </c>
      <c r="J2494" s="4" t="inlineStr">
        <is>
          <t>320</t>
        </is>
      </c>
      <c r="L2494" s="4" t="inlineStr">
        <is>
          <t>01:25:00</t>
        </is>
      </c>
      <c r="M2494" s="5" t="n"/>
      <c r="O2494" s="5" t="n"/>
      <c r="Q2494" s="4">
        <f>B2494</f>
        <v/>
      </c>
      <c r="R2494" s="4">
        <f>C2494</f>
        <v/>
      </c>
      <c r="S2494" s="4">
        <f>D2494</f>
        <v/>
      </c>
      <c r="T2494" s="4">
        <f>E2494&amp;"/"&amp;E2495</f>
        <v/>
      </c>
      <c r="U2494" s="4">
        <f>F2494&amp;"-"&amp;G2494&amp;"-"&amp;F2494</f>
        <v/>
      </c>
      <c r="V2494" s="4">
        <f>IF($M$2494="","",$M$2494)</f>
        <v/>
      </c>
      <c r="W2494" s="4">
        <f>IF($O$2494="","",$O$2494)</f>
        <v/>
      </c>
      <c r="X2494" s="4">
        <f>J2494</f>
        <v/>
      </c>
    </row>
    <row r="2495">
      <c r="B2495" s="4" t="inlineStr">
        <is>
          <t>2620_1</t>
        </is>
      </c>
      <c r="C2495" s="4" t="inlineStr">
        <is>
          <t>30/09/2026</t>
        </is>
      </c>
      <c r="D2495" s="4" t="inlineStr">
        <is>
          <t>miércoles</t>
        </is>
      </c>
      <c r="E2495" s="4" t="inlineStr">
        <is>
          <t>2092</t>
        </is>
      </c>
      <c r="F2495" s="4" t="inlineStr">
        <is>
          <t>TPP</t>
        </is>
      </c>
      <c r="G2495" s="4" t="inlineStr">
        <is>
          <t>LIM</t>
        </is>
      </c>
      <c r="H2495" s="4" t="inlineStr">
        <is>
          <t>20:30:00</t>
        </is>
      </c>
      <c r="I2495" s="4" t="inlineStr">
        <is>
          <t>21:55:00</t>
        </is>
      </c>
      <c r="J2495" s="4" t="inlineStr">
        <is>
          <t>320</t>
        </is>
      </c>
      <c r="K2495">
        <f>TEXT(TIMEVALUE(H2495)-TIMEVALUE(I2494)+(TIMEVALUE(H2495)&lt;TIMEVALUE(I2494)),"[h]:mm")</f>
        <v/>
      </c>
      <c r="L2495" s="4" t="inlineStr">
        <is>
          <t>01:25:00</t>
        </is>
      </c>
      <c r="O2495">
        <f>"LIM-"&amp;G2494&amp;"-LIM   LA "&amp;E2494&amp;" ("&amp;LEFT(H2494,5)&amp;"-"&amp;LEFT(I2494,5)&amp;" hrs)  /  LA "&amp;E2495&amp;" ("&amp;LEFT(H2495,5)&amp;"-"&amp;LEFT(I2495,5)&amp;" hrs)"</f>
        <v/>
      </c>
    </row>
    <row r="2496">
      <c r="J2496" s="7" t="inlineStr">
        <is>
          <t>PSV total:</t>
        </is>
      </c>
      <c r="K2496" s="8">
        <f>TEXT(TIMEVALUE(I2495)-TIMEVALUE(H2494)+(I2495&lt;H2494),"[h]:mm")</f>
        <v/>
      </c>
    </row>
  </sheetData>
  <dataValidations count="2">
    <dataValidation sqref="M9 M16 M21 M28 M33 M40 M45 M50 M55 M60 M65 M70 M75 M80 M85 M90 M95 M100 M105 M110 M115 M120 M125 M132 M137 M144 M149 M156 M161 M166 M173 M178 M183 M188 M193 M198 M203 M208 M213 M220 M225 M232 M237 M242 M247 M252 M257 M262 M267 M272 M277 M282 M289 M296 M301 M306 M311 M316 M321 M328 M333 M338 M343 M348 M353 M358 M363 M370 M375 M380 M385 M390 M395 M400 M405 M410 M415 M422 M429 M436 M441 M448 M455 M460 M465 M470 M475 M480 M485 M490 M495 M500 M505 M512 M519 M524 M529 M534 M541 M546 M551 M556 M561 M566 M573 M580 M585 M590 M595 M600 M605 M610 M615 M620 M625 M630 M635 M640 M645 M652 M657 M662 M667 M672 M677 M684 M689 M694 M699 M704 M709 M714 M719 M724 M729 M734 M741 M746 M753 M758 M763 M768 M773 M778 M783 M788 M793 M798 M805 M810 M815 M820 M827 M834 M841 M846 M851 M856 M861 M866 M871 M876 M881 M886 M891 M898 M905 M910 M917 M922 M927 M932 M937 M942 M947 M952 M957 M964 M971 M978 M983 M990 M995 M1002 M1007 M1012 M1017 M1022 M1027 M1032 M1037 M1042 M1047 M1052 M1057 M1064 M1071 M1078 M1083 M1090 M1095 M1100 M1105 M1110 M1115 M1120 M1125 M1130 M1137 M1144 M1149 M1156 M1161 M1166 M1171 M1176 M1181 M1186 M1191 M1196 M1201 M1208 M1215 M1220 M1225 M1230 M1235 M1240 M1247 M1252 M1257 M1262 M1267 M1272 M1277 M1282 M1287 M1294 M1301 M1306 M1311 M1316 M1321 M1326 M1331 M1336 M1341 M1346 M1351 M1356 M1363 M1370 M1375 M1380 M1387 M1392 M1397 M1402 M1407 M1412 M1417 M1422 M1427 M1432 M1437 M1442 M1447 M1452 M1457 M1462 M1469 M1476 M1481 M1486 M1491 M1496 M1501 M1506 M1511 M1516 M1521 M1528 M1535 M1542 M1547 M1552 M1557 M1562 M1567 M1572 M1577 M1582 M1587 M1592 M1597 M1602 M1607 M1614 M1621 M1628 M1635 M1640 M1645 M1650 M1655 M1660 M1665 M1670 M1675 M1680 M1687 M1694 M1701 M1706 M1711 M1716 M1721 M1726 M1731 M1736 M1741 M1746 M1751 M1758 M1765 M1772 M1779 M1786 M1791 M1798 M1803 M1808 M1815 M1820 M1825 M1830 M1835 M1840 M1845 M1852 M1857 M1862 M1869 M1874 M1879 M1884 M1889 M1894 M1899 M1904 M1909 M1914 M1921 M1928 M1933 M1938 M1943 M1948 M1955 M1960 M1965 M1970 M1975 M1980 M1985 M1990 M1997 M2002 M2007 M2014 M2019 M2024 M2029 M2034 M2039 M2046 M2053 M2060 M2065 M2070 M2077 M2082 M2087 M2092 M2097 M2102 M2107 M2112 M2117 M2124 M2131 M2138 M2143 M2148 M2153 M2158 M2163 M2168 M2173 M2178 M2185 M2190 M2197 M2202 M2207 M2212 M2217 M2222 M2227 M2234 M2241 M2246 M2251 M2258 M2263 M2270 M2275 M2280 M2285 M2290 M2295 M2300 M2305 M2310 M2315 M2320 M2325 M2330 M2335 M2340 M2347 M2352 M2357 M2362 M2369 M2374 M2379 M2384 M2389 M2394 M2399 M2404 M2409 M2414 M2419 M2424 M2429 M2434 M2439 M2444 M2449 M2454 M2459 M2464 M2469 M2474 M2479 M2484 M2489 M2494" showDropDown="0" showInputMessage="0" showErrorMessage="0" allowBlank="1" type="list">
      <formula1>=Instructores!$A$2:$A$23</formula1>
    </dataValidation>
    <dataValidation sqref="O9 O16 O21 O28 O33 O40 O45 O50 O55 O60 O65 O70 O75 O80 O85 O90 O95 O100 O105 O110 O115 O120 O125 O132 O137 O144 O149 O156 O161 O166 O173 O178 O183 O188 O193 O198 O203 O208 O213 O220 O225 O232 O237 O242 O247 O252 O257 O262 O267 O272 O277 O282 O289 O296 O301 O306 O311 O316 O321 O328 O333 O338 O343 O348 O353 O358 O363 O370 O375 O380 O385 O390 O395 O400 O405 O410 O415 O422 O429 O436 O441 O448 O455 O460 O465 O470 O475 O480 O485 O490 O495 O500 O505 O512 O519 O524 O529 O534 O541 O546 O551 O556 O561 O566 O573 O580 O585 O590 O595 O600 O605 O610 O615 O620 O625 O630 O635 O640 O645 O652 O657 O662 O667 O672 O677 O684 O689 O694 O699 O704 O709 O714 O719 O724 O729 O734 O741 O746 O753 O758 O763 O768 O773 O778 O783 O788 O793 O798 O805 O810 O815 O820 O827 O834 O841 O846 O851 O856 O861 O866 O871 O876 O881 O886 O891 O898 O905 O910 O917 O922 O927 O932 O937 O942 O947 O952 O957 O964 O971 O978 O983 O990 O995 O1002 O1007 O1012 O1017 O1022 O1027 O1032 O1037 O1042 O1047 O1052 O1057 O1064 O1071 O1078 O1083 O1090 O1095 O1100 O1105 O1110 O1115 O1120 O1125 O1130 O1137 O1144 O1149 O1156 O1161 O1166 O1171 O1176 O1181 O1186 O1191 O1196 O1201 O1208 O1215 O1220 O1225 O1230 O1235 O1240 O1247 O1252 O1257 O1262 O1267 O1272 O1277 O1282 O1287 O1294 O1301 O1306 O1311 O1316 O1321 O1326 O1331 O1336 O1341 O1346 O1351 O1356 O1363 O1370 O1375 O1380 O1387 O1392 O1397 O1402 O1407 O1412 O1417 O1422 O1427 O1432 O1437 O1442 O1447 O1452 O1457 O1462 O1469 O1476 O1481 O1486 O1491 O1496 O1501 O1506 O1511 O1516 O1521 O1528 O1535 O1542 O1547 O1552 O1557 O1562 O1567 O1572 O1577 O1582 O1587 O1592 O1597 O1602 O1607 O1614 O1621 O1628 O1635 O1640 O1645 O1650 O1655 O1660 O1665 O1670 O1675 O1680 O1687 O1694 O1701 O1706 O1711 O1716 O1721 O1726 O1731 O1736 O1741 O1746 O1751 O1758 O1765 O1772 O1779 O1786 O1791 O1798 O1803 O1808 O1815 O1820 O1825 O1830 O1835 O1840 O1845 O1852 O1857 O1862 O1869 O1874 O1879 O1884 O1889 O1894 O1899 O1904 O1909 O1914 O1921 O1928 O1933 O1938 O1943 O1948 O1955 O1960 O1965 O1970 O1975 O1980 O1985 O1990 O1997 O2002 O2007 O2014 O2019 O2024 O2029 O2034 O2039 O2046 O2053 O2060 O2065 O2070 O2077 O2082 O2087 O2092 O2097 O2102 O2107 O2112 O2117 O2124 O2131 O2138 O2143 O2148 O2153 O2158 O2163 O2168 O2173 O2178 O2185 O2190 O2197 O2202 O2207 O2212 O2217 O2222 O2227 O2234 O2241 O2246 O2251 O2258 O2263 O2270 O2275 O2280 O2285 O2290 O2295 O2300 O2305 O2310 O2315 O2320 O2325 O2330 O2335 O2340 O2347 O2352 O2357 O2362 O2369 O2374 O2379 O2384 O2389 O2394 O2399 O2404 O2409 O2414 O2419 O2424 O2429 O2434 O2439 O2444 O2449 O2454 O2459 O2464 O2469 O2474 O2479 O2484 O2489 O2494" showDropDown="0" showInputMessage="0" showErrorMessage="0" allowBlank="1" type="list">
      <formula1>"LCK A320F,Reentrenamiento A320F,LCK A320F + Habilitación A320F,LCK A320 ALUMNO,Auditoria CAB Vuelo,BIANUAL IDE - HAB IDE,EXP RECIENTE A320,CHEQUEO LATAM A320F,CHEQUEO DGAC A320F"</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8" customWidth="1" min="1" max="1"/>
    <col width="12" customWidth="1" min="2" max="2"/>
    <col width="40" customWidth="1" min="3" max="3"/>
  </cols>
  <sheetData>
    <row r="1">
      <c r="A1" s="9" t="inlineStr">
        <is>
          <t>Instructor</t>
        </is>
      </c>
      <c r="B1" s="9" t="inlineStr">
        <is>
          <t>BP</t>
        </is>
      </c>
      <c r="C1" s="9" t="inlineStr">
        <is>
          <t>Nombre</t>
        </is>
      </c>
    </row>
    <row r="2">
      <c r="A2" s="10" t="inlineStr">
        <is>
          <t>Christian Rondon</t>
        </is>
      </c>
      <c r="B2" s="10" t="inlineStr">
        <is>
          <t>1271571</t>
        </is>
      </c>
      <c r="C2" s="10" t="inlineStr">
        <is>
          <t xml:space="preserve"> RONDON BARRUTIA CHRISTIAN ERIC </t>
        </is>
      </c>
    </row>
    <row r="3">
      <c r="A3" s="10" t="inlineStr">
        <is>
          <t>Erika Davila</t>
        </is>
      </c>
      <c r="B3" s="10" t="inlineStr">
        <is>
          <t>967092</t>
        </is>
      </c>
      <c r="C3" s="10" t="inlineStr">
        <is>
          <t>DAVILA BELLO MARIA ERIKA</t>
        </is>
      </c>
    </row>
    <row r="4">
      <c r="A4" s="10" t="inlineStr">
        <is>
          <t>Sebastian Correa</t>
        </is>
      </c>
      <c r="B4" s="10" t="inlineStr">
        <is>
          <t>2396710</t>
        </is>
      </c>
      <c r="C4" s="10" t="inlineStr">
        <is>
          <t xml:space="preserve"> CORREA GARCIA JUAN SEBASTIAN </t>
        </is>
      </c>
    </row>
    <row r="5">
      <c r="A5" s="10" t="inlineStr">
        <is>
          <t>Fiorella Ruiz</t>
        </is>
      </c>
      <c r="B5" s="10" t="inlineStr">
        <is>
          <t>2713993</t>
        </is>
      </c>
      <c r="C5" s="10" t="inlineStr">
        <is>
          <t>RUIZ RIOJA FIORELLA DEL PILAR</t>
        </is>
      </c>
    </row>
    <row r="6">
      <c r="A6" s="10" t="inlineStr">
        <is>
          <t>Jazmin Guerra</t>
        </is>
      </c>
      <c r="B6" s="10" t="inlineStr">
        <is>
          <t>29530</t>
        </is>
      </c>
      <c r="C6" s="10" t="inlineStr">
        <is>
          <t>GUERRA SUAREZ JAZMIN</t>
        </is>
      </c>
    </row>
    <row r="7">
      <c r="A7" s="10" t="inlineStr">
        <is>
          <t>Jennifert Acurio</t>
        </is>
      </c>
      <c r="B7" s="10" t="inlineStr">
        <is>
          <t>3779550</t>
        </is>
      </c>
      <c r="C7" s="10" t="inlineStr">
        <is>
          <t>ACURIO DARGENT JENNIFERT MILAGROS</t>
        </is>
      </c>
    </row>
    <row r="8">
      <c r="A8" s="10" t="inlineStr">
        <is>
          <t>Karen Santa Cruz</t>
        </is>
      </c>
      <c r="B8" s="10" t="inlineStr">
        <is>
          <t>2843319</t>
        </is>
      </c>
      <c r="C8" s="10" t="inlineStr">
        <is>
          <t>SANTA CRUZ HUAMAN KAREN</t>
        </is>
      </c>
    </row>
    <row r="9">
      <c r="A9" s="10" t="inlineStr">
        <is>
          <t>Luis Bacigalupo</t>
        </is>
      </c>
      <c r="B9" s="10" t="inlineStr">
        <is>
          <t>2963161</t>
        </is>
      </c>
      <c r="C9" s="10" t="inlineStr">
        <is>
          <t>BACIGALUPO FLORES LUIS ENRIQUE</t>
        </is>
      </c>
    </row>
    <row r="10">
      <c r="A10" s="10" t="inlineStr">
        <is>
          <t>Claudia Flores</t>
        </is>
      </c>
      <c r="B10" s="10" t="inlineStr">
        <is>
          <t>3217561</t>
        </is>
      </c>
      <c r="C10" s="10" t="inlineStr">
        <is>
          <t xml:space="preserve"> FLORES FUENTES DAVILA CLAUDIA ALEXANDRA </t>
        </is>
      </c>
    </row>
    <row r="11">
      <c r="A11" s="10" t="inlineStr">
        <is>
          <t>Karla Moz</t>
        </is>
      </c>
      <c r="B11" s="10" t="inlineStr">
        <is>
          <t>71348</t>
        </is>
      </c>
      <c r="C11" s="10" t="inlineStr">
        <is>
          <t>MOZ MONTES KARLA LISSETTE</t>
        </is>
      </c>
    </row>
    <row r="12">
      <c r="A12" s="10" t="inlineStr">
        <is>
          <t>Elizabeth Torres</t>
        </is>
      </c>
      <c r="B12" s="10" t="inlineStr">
        <is>
          <t>2369641</t>
        </is>
      </c>
      <c r="C12" s="10" t="inlineStr">
        <is>
          <t>TORRES POLO ELIZABETH DEL PILAR</t>
        </is>
      </c>
    </row>
    <row r="13">
      <c r="A13" s="10" t="inlineStr">
        <is>
          <t>Patricia Najar</t>
        </is>
      </c>
      <c r="B13" s="10" t="inlineStr">
        <is>
          <t>2369624</t>
        </is>
      </c>
      <c r="C13" s="10" t="inlineStr">
        <is>
          <t>NAJAR CRUZ PATRICIA DEL PILAR</t>
        </is>
      </c>
    </row>
    <row r="14">
      <c r="A14" s="10" t="inlineStr">
        <is>
          <t>Javier Zapata</t>
        </is>
      </c>
      <c r="B14" s="10" t="inlineStr">
        <is>
          <t>3134911</t>
        </is>
      </c>
      <c r="C14" s="10" t="inlineStr">
        <is>
          <t>ZAPATA GARAYAR JAVIER RICARDO SALVADOR</t>
        </is>
      </c>
    </row>
    <row r="15">
      <c r="A15" s="10" t="inlineStr">
        <is>
          <t>Jefferson Mendez</t>
        </is>
      </c>
      <c r="B15" s="10" t="inlineStr">
        <is>
          <t>3750335</t>
        </is>
      </c>
      <c r="C15" s="10" t="inlineStr">
        <is>
          <t xml:space="preserve"> MENDEZ RUCOBA JEFFERSON </t>
        </is>
      </c>
    </row>
    <row r="16">
      <c r="A16" s="10" t="inlineStr">
        <is>
          <t>Gabriela Ungaro</t>
        </is>
      </c>
      <c r="B16" s="10" t="inlineStr">
        <is>
          <t>3852423</t>
        </is>
      </c>
      <c r="C16" s="10" t="inlineStr">
        <is>
          <t>UNGARO GUTIERREZ GABRIELA</t>
        </is>
      </c>
    </row>
    <row r="17">
      <c r="A17" s="10" t="inlineStr">
        <is>
          <t>Mariella Carrasco</t>
        </is>
      </c>
      <c r="B17" s="10" t="inlineStr">
        <is>
          <t>2604360</t>
        </is>
      </c>
      <c r="C17" s="10" t="inlineStr">
        <is>
          <t>CARRASCO BENAVIDES ROSA MARIELLA</t>
        </is>
      </c>
    </row>
    <row r="18">
      <c r="A18" s="10" t="inlineStr">
        <is>
          <t>Cesar Campos</t>
        </is>
      </c>
      <c r="B18" s="10" t="inlineStr">
        <is>
          <t>2823133</t>
        </is>
      </c>
      <c r="C18" s="10" t="inlineStr">
        <is>
          <t xml:space="preserve"> CAMPOS CONCHE CESAR AUGUSTO </t>
        </is>
      </c>
    </row>
    <row r="19">
      <c r="A19" s="10" t="inlineStr">
        <is>
          <t>Kevin Segovia</t>
        </is>
      </c>
      <c r="B19" s="10" t="inlineStr">
        <is>
          <t>3189967</t>
        </is>
      </c>
      <c r="C19" s="10" t="inlineStr">
        <is>
          <t>SEGOVIA TAPIA RAY KEVIN</t>
        </is>
      </c>
    </row>
    <row r="20">
      <c r="A20" s="10" t="inlineStr">
        <is>
          <t>Milagros Salas</t>
        </is>
      </c>
      <c r="B20" s="10" t="inlineStr">
        <is>
          <t>2415373</t>
        </is>
      </c>
      <c r="C20" s="10" t="inlineStr">
        <is>
          <t>SALAS COSIO MILAGROS PATRICIA</t>
        </is>
      </c>
    </row>
    <row r="21">
      <c r="A21" s="10" t="inlineStr">
        <is>
          <t>Judith Fernandez</t>
        </is>
      </c>
      <c r="B21" s="10" t="inlineStr">
        <is>
          <t>2440915</t>
        </is>
      </c>
      <c r="C21" s="10" t="inlineStr">
        <is>
          <t>FERNANDEZ GARCIA JUDITH JULIET</t>
        </is>
      </c>
    </row>
    <row r="22">
      <c r="A22" s="10" t="inlineStr">
        <is>
          <t>Rafael Nieto</t>
        </is>
      </c>
      <c r="B22" s="10" t="inlineStr">
        <is>
          <t>3796947</t>
        </is>
      </c>
      <c r="C22" s="10" t="inlineStr">
        <is>
          <t xml:space="preserve"> NIETO SAENZ RAFAEL ANTONIO </t>
        </is>
      </c>
    </row>
    <row r="23">
      <c r="A23" s="10" t="inlineStr">
        <is>
          <t>Gianfranco Celiz</t>
        </is>
      </c>
      <c r="B23" s="10" t="inlineStr">
        <is>
          <t>3841387</t>
        </is>
      </c>
      <c r="C23" s="10" t="inlineStr">
        <is>
          <t xml:space="preserve"> CELIZ ROSSI GIANFRANCO PAOLO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0" customWidth="1" min="3" max="3"/>
    <col width="12" customWidth="1" min="4" max="4"/>
    <col width="16" customWidth="1" min="5" max="5"/>
    <col width="10" customWidth="1" min="6" max="6"/>
    <col width="18" customWidth="1" min="7" max="7"/>
    <col width="26" customWidth="1" min="8" max="8"/>
    <col width="8" customWidth="1" min="9" max="9"/>
    <col width="40" customWidth="1" min="10" max="10"/>
    <col width="8" customWidth="1" min="11" max="11"/>
  </cols>
  <sheetData>
    <row r="1">
      <c r="A1" s="9" t="inlineStr">
        <is>
          <t>TRIP</t>
        </is>
      </c>
      <c r="B1" s="9" t="inlineStr">
        <is>
          <t>Fecha</t>
        </is>
      </c>
      <c r="C1" s="9" t="inlineStr">
        <is>
          <t>DíaSEM</t>
        </is>
      </c>
      <c r="D1" s="9" t="inlineStr">
        <is>
          <t>Vuelo</t>
        </is>
      </c>
      <c r="E1" s="9" t="inlineStr">
        <is>
          <t>Ruta</t>
        </is>
      </c>
      <c r="F1" s="9" t="inlineStr">
        <is>
          <t>BP INS</t>
        </is>
      </c>
      <c r="G1" s="9" t="inlineStr">
        <is>
          <t>INS</t>
        </is>
      </c>
      <c r="H1" s="9" t="inlineStr">
        <is>
          <t>ACTIVIDAD</t>
        </is>
      </c>
      <c r="I1" s="9" t="inlineStr">
        <is>
          <t>FLOTA</t>
        </is>
      </c>
      <c r="J1" s="9" t="inlineStr">
        <is>
          <t>Nombre INS</t>
        </is>
      </c>
      <c r="K1" s="9" t="inlineStr">
        <is>
          <t>CUPOS</t>
        </is>
      </c>
    </row>
    <row r="2">
      <c r="A2" s="10">
        <f>'Pairings NB'!B9</f>
        <v/>
      </c>
      <c r="B2" s="10">
        <f>'Pairings NB'!C9</f>
        <v/>
      </c>
      <c r="C2" s="10">
        <f>'Pairings NB'!D9</f>
        <v/>
      </c>
      <c r="D2" s="10">
        <f>'Pairings NB'!E9&amp;"/"&amp;'Pairings NB'!E10</f>
        <v/>
      </c>
      <c r="E2" s="10">
        <f>'Pairings NB'!F9&amp;"-"&amp;'Pairings NB'!G9&amp;"-"&amp;'Pairings NB'!F9</f>
        <v/>
      </c>
      <c r="F2" s="10">
        <f>IFERROR(VLOOKUP('Pairings NB'!$M$9,Instructores!$A:$C,2,FALSE),"")</f>
        <v/>
      </c>
      <c r="G2" s="10">
        <f>'Pairings NB'!$M$9</f>
        <v/>
      </c>
      <c r="H2" s="10">
        <f>'Pairings NB'!$O$9</f>
        <v/>
      </c>
      <c r="I2" s="10">
        <f>'Pairings NB'!J9</f>
        <v/>
      </c>
      <c r="J2" s="10">
        <f>IFERROR(VLOOKUP('Pairings NB'!$M$9,Instructores!$A:$C,3,FALSE),"")</f>
        <v/>
      </c>
      <c r="K2" s="10">
        <f>IF('Pairings NB'!J9=320,4,3)</f>
        <v/>
      </c>
    </row>
    <row r="3">
      <c r="A3" s="10">
        <f>'Pairings NB'!B11</f>
        <v/>
      </c>
      <c r="B3" s="10">
        <f>'Pairings NB'!C11</f>
        <v/>
      </c>
      <c r="C3" s="10">
        <f>'Pairings NB'!D11</f>
        <v/>
      </c>
      <c r="D3" s="10">
        <f>'Pairings NB'!E11&amp;"/"&amp;'Pairings NB'!E12</f>
        <v/>
      </c>
      <c r="E3" s="10">
        <f>'Pairings NB'!F11&amp;"-"&amp;'Pairings NB'!G11&amp;"-"&amp;'Pairings NB'!F11</f>
        <v/>
      </c>
      <c r="F3" s="10">
        <f>IFERROR(VLOOKUP('Pairings NB'!$M$9,Instructores!$A:$C,2,FALSE),"")</f>
        <v/>
      </c>
      <c r="G3" s="10">
        <f>'Pairings NB'!$M$9</f>
        <v/>
      </c>
      <c r="H3" s="10">
        <f>'Pairings NB'!$O$9</f>
        <v/>
      </c>
      <c r="I3" s="10">
        <f>'Pairings NB'!J11</f>
        <v/>
      </c>
      <c r="J3" s="10">
        <f>IFERROR(VLOOKUP('Pairings NB'!$M$9,Instructores!$A:$C,3,FALSE),"")</f>
        <v/>
      </c>
      <c r="K3" s="10">
        <f>IF('Pairings NB'!J11=320,4,3)</f>
        <v/>
      </c>
    </row>
    <row r="4">
      <c r="A4" s="10">
        <f>'Pairings NB'!B16</f>
        <v/>
      </c>
      <c r="B4" s="10">
        <f>'Pairings NB'!C16</f>
        <v/>
      </c>
      <c r="C4" s="10">
        <f>'Pairings NB'!D16</f>
        <v/>
      </c>
      <c r="D4" s="10">
        <f>'Pairings NB'!E16&amp;"/"&amp;'Pairings NB'!E17</f>
        <v/>
      </c>
      <c r="E4" s="10">
        <f>'Pairings NB'!F16&amp;"-"&amp;'Pairings NB'!G16&amp;"-"&amp;'Pairings NB'!F16</f>
        <v/>
      </c>
      <c r="F4" s="10">
        <f>IFERROR(VLOOKUP('Pairings NB'!$M$16,Instructores!$A:$C,2,FALSE),"")</f>
        <v/>
      </c>
      <c r="G4" s="10">
        <f>'Pairings NB'!$M$16</f>
        <v/>
      </c>
      <c r="H4" s="10">
        <f>'Pairings NB'!$O$16</f>
        <v/>
      </c>
      <c r="I4" s="10">
        <f>'Pairings NB'!J16</f>
        <v/>
      </c>
      <c r="J4" s="10">
        <f>IFERROR(VLOOKUP('Pairings NB'!$M$16,Instructores!$A:$C,3,FALSE),"")</f>
        <v/>
      </c>
      <c r="K4" s="10">
        <f>IF('Pairings NB'!J16=320,4,3)</f>
        <v/>
      </c>
    </row>
    <row r="5">
      <c r="A5" s="10">
        <f>'Pairings NB'!B21</f>
        <v/>
      </c>
      <c r="B5" s="10">
        <f>'Pairings NB'!C21</f>
        <v/>
      </c>
      <c r="C5" s="10">
        <f>'Pairings NB'!D21</f>
        <v/>
      </c>
      <c r="D5" s="10">
        <f>'Pairings NB'!E21&amp;"/"&amp;'Pairings NB'!E22</f>
        <v/>
      </c>
      <c r="E5" s="10">
        <f>'Pairings NB'!F21&amp;"-"&amp;'Pairings NB'!G21&amp;"-"&amp;'Pairings NB'!F21</f>
        <v/>
      </c>
      <c r="F5" s="10">
        <f>IFERROR(VLOOKUP('Pairings NB'!$M$21,Instructores!$A:$C,2,FALSE),"")</f>
        <v/>
      </c>
      <c r="G5" s="10">
        <f>'Pairings NB'!$M$21</f>
        <v/>
      </c>
      <c r="H5" s="10">
        <f>'Pairings NB'!$O$21</f>
        <v/>
      </c>
      <c r="I5" s="10">
        <f>'Pairings NB'!J21</f>
        <v/>
      </c>
      <c r="J5" s="10">
        <f>IFERROR(VLOOKUP('Pairings NB'!$M$21,Instructores!$A:$C,3,FALSE),"")</f>
        <v/>
      </c>
      <c r="K5" s="10">
        <f>IF('Pairings NB'!J21=320,4,3)</f>
        <v/>
      </c>
    </row>
    <row r="6">
      <c r="A6" s="10">
        <f>'Pairings NB'!B23</f>
        <v/>
      </c>
      <c r="B6" s="10">
        <f>'Pairings NB'!C23</f>
        <v/>
      </c>
      <c r="C6" s="10">
        <f>'Pairings NB'!D23</f>
        <v/>
      </c>
      <c r="D6" s="10">
        <f>'Pairings NB'!E23&amp;"/"&amp;'Pairings NB'!E24</f>
        <v/>
      </c>
      <c r="E6" s="10">
        <f>'Pairings NB'!F23&amp;"-"&amp;'Pairings NB'!G23&amp;"-"&amp;'Pairings NB'!F23</f>
        <v/>
      </c>
      <c r="F6" s="10">
        <f>IFERROR(VLOOKUP('Pairings NB'!$M$21,Instructores!$A:$C,2,FALSE),"")</f>
        <v/>
      </c>
      <c r="G6" s="10">
        <f>'Pairings NB'!$M$21</f>
        <v/>
      </c>
      <c r="H6" s="10">
        <f>'Pairings NB'!$O$21</f>
        <v/>
      </c>
      <c r="I6" s="10">
        <f>'Pairings NB'!J23</f>
        <v/>
      </c>
      <c r="J6" s="10">
        <f>IFERROR(VLOOKUP('Pairings NB'!$M$21,Instructores!$A:$C,3,FALSE),"")</f>
        <v/>
      </c>
      <c r="K6" s="10">
        <f>IF('Pairings NB'!J23=320,4,3)</f>
        <v/>
      </c>
    </row>
    <row r="7">
      <c r="A7" s="10">
        <f>'Pairings NB'!B28</f>
        <v/>
      </c>
      <c r="B7" s="10">
        <f>'Pairings NB'!C28</f>
        <v/>
      </c>
      <c r="C7" s="10">
        <f>'Pairings NB'!D28</f>
        <v/>
      </c>
      <c r="D7" s="10">
        <f>'Pairings NB'!E28&amp;"/"&amp;'Pairings NB'!E29</f>
        <v/>
      </c>
      <c r="E7" s="10">
        <f>'Pairings NB'!F28&amp;"-"&amp;'Pairings NB'!G28&amp;"-"&amp;'Pairings NB'!F28</f>
        <v/>
      </c>
      <c r="F7" s="10">
        <f>IFERROR(VLOOKUP('Pairings NB'!$M$28,Instructores!$A:$C,2,FALSE),"")</f>
        <v/>
      </c>
      <c r="G7" s="10">
        <f>'Pairings NB'!$M$28</f>
        <v/>
      </c>
      <c r="H7" s="10">
        <f>'Pairings NB'!$O$28</f>
        <v/>
      </c>
      <c r="I7" s="10">
        <f>'Pairings NB'!J28</f>
        <v/>
      </c>
      <c r="J7" s="10">
        <f>IFERROR(VLOOKUP('Pairings NB'!$M$28,Instructores!$A:$C,3,FALSE),"")</f>
        <v/>
      </c>
      <c r="K7" s="10">
        <f>IF('Pairings NB'!J28=320,4,3)</f>
        <v/>
      </c>
    </row>
    <row r="8">
      <c r="A8" s="10">
        <f>'Pairings NB'!B33</f>
        <v/>
      </c>
      <c r="B8" s="10">
        <f>'Pairings NB'!C33</f>
        <v/>
      </c>
      <c r="C8" s="10">
        <f>'Pairings NB'!D33</f>
        <v/>
      </c>
      <c r="D8" s="10">
        <f>'Pairings NB'!E33&amp;"/"&amp;'Pairings NB'!E34</f>
        <v/>
      </c>
      <c r="E8" s="10">
        <f>'Pairings NB'!F33&amp;"-"&amp;'Pairings NB'!G33&amp;"-"&amp;'Pairings NB'!F33</f>
        <v/>
      </c>
      <c r="F8" s="10">
        <f>IFERROR(VLOOKUP('Pairings NB'!$M$33,Instructores!$A:$C,2,FALSE),"")</f>
        <v/>
      </c>
      <c r="G8" s="10">
        <f>'Pairings NB'!$M$33</f>
        <v/>
      </c>
      <c r="H8" s="10">
        <f>'Pairings NB'!$O$33</f>
        <v/>
      </c>
      <c r="I8" s="10">
        <f>'Pairings NB'!J33</f>
        <v/>
      </c>
      <c r="J8" s="10">
        <f>IFERROR(VLOOKUP('Pairings NB'!$M$33,Instructores!$A:$C,3,FALSE),"")</f>
        <v/>
      </c>
      <c r="K8" s="10">
        <f>IF('Pairings NB'!J33=320,4,3)</f>
        <v/>
      </c>
    </row>
    <row r="9">
      <c r="A9" s="10">
        <f>'Pairings NB'!B35</f>
        <v/>
      </c>
      <c r="B9" s="10">
        <f>'Pairings NB'!C35</f>
        <v/>
      </c>
      <c r="C9" s="10">
        <f>'Pairings NB'!D35</f>
        <v/>
      </c>
      <c r="D9" s="10">
        <f>'Pairings NB'!E35&amp;"/"&amp;'Pairings NB'!E36</f>
        <v/>
      </c>
      <c r="E9" s="10">
        <f>'Pairings NB'!F35&amp;"-"&amp;'Pairings NB'!G35&amp;"-"&amp;'Pairings NB'!F35</f>
        <v/>
      </c>
      <c r="F9" s="10">
        <f>IFERROR(VLOOKUP('Pairings NB'!$M$33,Instructores!$A:$C,2,FALSE),"")</f>
        <v/>
      </c>
      <c r="G9" s="10">
        <f>'Pairings NB'!$M$33</f>
        <v/>
      </c>
      <c r="H9" s="10">
        <f>'Pairings NB'!$O$33</f>
        <v/>
      </c>
      <c r="I9" s="10">
        <f>'Pairings NB'!J35</f>
        <v/>
      </c>
      <c r="J9" s="10">
        <f>IFERROR(VLOOKUP('Pairings NB'!$M$33,Instructores!$A:$C,3,FALSE),"")</f>
        <v/>
      </c>
      <c r="K9" s="10">
        <f>IF('Pairings NB'!J35=320,4,3)</f>
        <v/>
      </c>
    </row>
    <row r="10">
      <c r="A10" s="10">
        <f>'Pairings NB'!B40</f>
        <v/>
      </c>
      <c r="B10" s="10">
        <f>'Pairings NB'!C40</f>
        <v/>
      </c>
      <c r="C10" s="10">
        <f>'Pairings NB'!D40</f>
        <v/>
      </c>
      <c r="D10" s="10">
        <f>'Pairings NB'!E40&amp;"/"&amp;'Pairings NB'!E41</f>
        <v/>
      </c>
      <c r="E10" s="10">
        <f>'Pairings NB'!F40&amp;"-"&amp;'Pairings NB'!G40&amp;"-"&amp;'Pairings NB'!F40</f>
        <v/>
      </c>
      <c r="F10" s="10">
        <f>IFERROR(VLOOKUP('Pairings NB'!$M$40,Instructores!$A:$C,2,FALSE),"")</f>
        <v/>
      </c>
      <c r="G10" s="10">
        <f>'Pairings NB'!$M$40</f>
        <v/>
      </c>
      <c r="H10" s="10">
        <f>'Pairings NB'!$O$40</f>
        <v/>
      </c>
      <c r="I10" s="10">
        <f>'Pairings NB'!J40</f>
        <v/>
      </c>
      <c r="J10" s="10">
        <f>IFERROR(VLOOKUP('Pairings NB'!$M$40,Instructores!$A:$C,3,FALSE),"")</f>
        <v/>
      </c>
      <c r="K10" s="10">
        <f>IF('Pairings NB'!J40=320,4,3)</f>
        <v/>
      </c>
    </row>
    <row r="11">
      <c r="A11" s="10">
        <f>'Pairings NB'!B45</f>
        <v/>
      </c>
      <c r="B11" s="10">
        <f>'Pairings NB'!C45</f>
        <v/>
      </c>
      <c r="C11" s="10">
        <f>'Pairings NB'!D45</f>
        <v/>
      </c>
      <c r="D11" s="10">
        <f>'Pairings NB'!E45&amp;"/"&amp;'Pairings NB'!E46</f>
        <v/>
      </c>
      <c r="E11" s="10">
        <f>'Pairings NB'!F45&amp;"-"&amp;'Pairings NB'!G45&amp;"-"&amp;'Pairings NB'!F45</f>
        <v/>
      </c>
      <c r="F11" s="10">
        <f>IFERROR(VLOOKUP('Pairings NB'!$M$45,Instructores!$A:$C,2,FALSE),"")</f>
        <v/>
      </c>
      <c r="G11" s="10">
        <f>'Pairings NB'!$M$45</f>
        <v/>
      </c>
      <c r="H11" s="10">
        <f>'Pairings NB'!$O$45</f>
        <v/>
      </c>
      <c r="I11" s="10">
        <f>'Pairings NB'!J45</f>
        <v/>
      </c>
      <c r="J11" s="10">
        <f>IFERROR(VLOOKUP('Pairings NB'!$M$45,Instructores!$A:$C,3,FALSE),"")</f>
        <v/>
      </c>
      <c r="K11" s="10">
        <f>IF('Pairings NB'!J45=320,4,3)</f>
        <v/>
      </c>
    </row>
    <row r="12">
      <c r="A12" s="10">
        <f>'Pairings NB'!B50</f>
        <v/>
      </c>
      <c r="B12" s="10">
        <f>'Pairings NB'!C50</f>
        <v/>
      </c>
      <c r="C12" s="10">
        <f>'Pairings NB'!D50</f>
        <v/>
      </c>
      <c r="D12" s="10">
        <f>'Pairings NB'!E50&amp;"/"&amp;'Pairings NB'!E51</f>
        <v/>
      </c>
      <c r="E12" s="10">
        <f>'Pairings NB'!F50&amp;"-"&amp;'Pairings NB'!G50&amp;"-"&amp;'Pairings NB'!F50</f>
        <v/>
      </c>
      <c r="F12" s="10">
        <f>IFERROR(VLOOKUP('Pairings NB'!$M$50,Instructores!$A:$C,2,FALSE),"")</f>
        <v/>
      </c>
      <c r="G12" s="10">
        <f>'Pairings NB'!$M$50</f>
        <v/>
      </c>
      <c r="H12" s="10">
        <f>'Pairings NB'!$O$50</f>
        <v/>
      </c>
      <c r="I12" s="10">
        <f>'Pairings NB'!J50</f>
        <v/>
      </c>
      <c r="J12" s="10">
        <f>IFERROR(VLOOKUP('Pairings NB'!$M$50,Instructores!$A:$C,3,FALSE),"")</f>
        <v/>
      </c>
      <c r="K12" s="10">
        <f>IF('Pairings NB'!J50=320,4,3)</f>
        <v/>
      </c>
    </row>
    <row r="13">
      <c r="A13" s="10">
        <f>'Pairings NB'!B55</f>
        <v/>
      </c>
      <c r="B13" s="10">
        <f>'Pairings NB'!C55</f>
        <v/>
      </c>
      <c r="C13" s="10">
        <f>'Pairings NB'!D55</f>
        <v/>
      </c>
      <c r="D13" s="10">
        <f>'Pairings NB'!E55&amp;"/"&amp;'Pairings NB'!E56</f>
        <v/>
      </c>
      <c r="E13" s="10">
        <f>'Pairings NB'!F55&amp;"-"&amp;'Pairings NB'!G55&amp;"-"&amp;'Pairings NB'!F55</f>
        <v/>
      </c>
      <c r="F13" s="10">
        <f>IFERROR(VLOOKUP('Pairings NB'!$M$55,Instructores!$A:$C,2,FALSE),"")</f>
        <v/>
      </c>
      <c r="G13" s="10">
        <f>'Pairings NB'!$M$55</f>
        <v/>
      </c>
      <c r="H13" s="10">
        <f>'Pairings NB'!$O$55</f>
        <v/>
      </c>
      <c r="I13" s="10">
        <f>'Pairings NB'!J55</f>
        <v/>
      </c>
      <c r="J13" s="10">
        <f>IFERROR(VLOOKUP('Pairings NB'!$M$55,Instructores!$A:$C,3,FALSE),"")</f>
        <v/>
      </c>
      <c r="K13" s="10">
        <f>IF('Pairings NB'!J55=320,4,3)</f>
        <v/>
      </c>
    </row>
    <row r="14">
      <c r="A14" s="10">
        <f>'Pairings NB'!B60</f>
        <v/>
      </c>
      <c r="B14" s="10">
        <f>'Pairings NB'!C60</f>
        <v/>
      </c>
      <c r="C14" s="10">
        <f>'Pairings NB'!D60</f>
        <v/>
      </c>
      <c r="D14" s="10">
        <f>'Pairings NB'!E60&amp;"/"&amp;'Pairings NB'!E61</f>
        <v/>
      </c>
      <c r="E14" s="10">
        <f>'Pairings NB'!F60&amp;"-"&amp;'Pairings NB'!G60&amp;"-"&amp;'Pairings NB'!F60</f>
        <v/>
      </c>
      <c r="F14" s="10">
        <f>IFERROR(VLOOKUP('Pairings NB'!$M$60,Instructores!$A:$C,2,FALSE),"")</f>
        <v/>
      </c>
      <c r="G14" s="10">
        <f>'Pairings NB'!$M$60</f>
        <v/>
      </c>
      <c r="H14" s="10">
        <f>'Pairings NB'!$O$60</f>
        <v/>
      </c>
      <c r="I14" s="10">
        <f>'Pairings NB'!J60</f>
        <v/>
      </c>
      <c r="J14" s="10">
        <f>IFERROR(VLOOKUP('Pairings NB'!$M$60,Instructores!$A:$C,3,FALSE),"")</f>
        <v/>
      </c>
      <c r="K14" s="10">
        <f>IF('Pairings NB'!J60=320,4,3)</f>
        <v/>
      </c>
    </row>
    <row r="15">
      <c r="A15" s="10">
        <f>'Pairings NB'!B65</f>
        <v/>
      </c>
      <c r="B15" s="10">
        <f>'Pairings NB'!C65</f>
        <v/>
      </c>
      <c r="C15" s="10">
        <f>'Pairings NB'!D65</f>
        <v/>
      </c>
      <c r="D15" s="10">
        <f>'Pairings NB'!E65&amp;"/"&amp;'Pairings NB'!E66</f>
        <v/>
      </c>
      <c r="E15" s="10">
        <f>'Pairings NB'!F65&amp;"-"&amp;'Pairings NB'!G65&amp;"-"&amp;'Pairings NB'!F65</f>
        <v/>
      </c>
      <c r="F15" s="10">
        <f>IFERROR(VLOOKUP('Pairings NB'!$M$65,Instructores!$A:$C,2,FALSE),"")</f>
        <v/>
      </c>
      <c r="G15" s="10">
        <f>'Pairings NB'!$M$65</f>
        <v/>
      </c>
      <c r="H15" s="10">
        <f>'Pairings NB'!$O$65</f>
        <v/>
      </c>
      <c r="I15" s="10">
        <f>'Pairings NB'!J65</f>
        <v/>
      </c>
      <c r="J15" s="10">
        <f>IFERROR(VLOOKUP('Pairings NB'!$M$65,Instructores!$A:$C,3,FALSE),"")</f>
        <v/>
      </c>
      <c r="K15" s="10">
        <f>IF('Pairings NB'!J65=320,4,3)</f>
        <v/>
      </c>
    </row>
    <row r="16">
      <c r="A16" s="10">
        <f>'Pairings NB'!B70</f>
        <v/>
      </c>
      <c r="B16" s="10">
        <f>'Pairings NB'!C70</f>
        <v/>
      </c>
      <c r="C16" s="10">
        <f>'Pairings NB'!D70</f>
        <v/>
      </c>
      <c r="D16" s="10">
        <f>'Pairings NB'!E70&amp;"/"&amp;'Pairings NB'!E71</f>
        <v/>
      </c>
      <c r="E16" s="10">
        <f>'Pairings NB'!F70&amp;"-"&amp;'Pairings NB'!G70&amp;"-"&amp;'Pairings NB'!F70</f>
        <v/>
      </c>
      <c r="F16" s="10">
        <f>IFERROR(VLOOKUP('Pairings NB'!$M$70,Instructores!$A:$C,2,FALSE),"")</f>
        <v/>
      </c>
      <c r="G16" s="10">
        <f>'Pairings NB'!$M$70</f>
        <v/>
      </c>
      <c r="H16" s="10">
        <f>'Pairings NB'!$O$70</f>
        <v/>
      </c>
      <c r="I16" s="10">
        <f>'Pairings NB'!J70</f>
        <v/>
      </c>
      <c r="J16" s="10">
        <f>IFERROR(VLOOKUP('Pairings NB'!$M$70,Instructores!$A:$C,3,FALSE),"")</f>
        <v/>
      </c>
      <c r="K16" s="10">
        <f>IF('Pairings NB'!J70=320,4,3)</f>
        <v/>
      </c>
    </row>
    <row r="17">
      <c r="A17" s="10">
        <f>'Pairings NB'!B75</f>
        <v/>
      </c>
      <c r="B17" s="10">
        <f>'Pairings NB'!C75</f>
        <v/>
      </c>
      <c r="C17" s="10">
        <f>'Pairings NB'!D75</f>
        <v/>
      </c>
      <c r="D17" s="10">
        <f>'Pairings NB'!E75&amp;"/"&amp;'Pairings NB'!E76</f>
        <v/>
      </c>
      <c r="E17" s="10">
        <f>'Pairings NB'!F75&amp;"-"&amp;'Pairings NB'!G75&amp;"-"&amp;'Pairings NB'!F75</f>
        <v/>
      </c>
      <c r="F17" s="10">
        <f>IFERROR(VLOOKUP('Pairings NB'!$M$75,Instructores!$A:$C,2,FALSE),"")</f>
        <v/>
      </c>
      <c r="G17" s="10">
        <f>'Pairings NB'!$M$75</f>
        <v/>
      </c>
      <c r="H17" s="10">
        <f>'Pairings NB'!$O$75</f>
        <v/>
      </c>
      <c r="I17" s="10">
        <f>'Pairings NB'!J75</f>
        <v/>
      </c>
      <c r="J17" s="10">
        <f>IFERROR(VLOOKUP('Pairings NB'!$M$75,Instructores!$A:$C,3,FALSE),"")</f>
        <v/>
      </c>
      <c r="K17" s="10">
        <f>IF('Pairings NB'!J75=320,4,3)</f>
        <v/>
      </c>
    </row>
    <row r="18">
      <c r="A18" s="10">
        <f>'Pairings NB'!B80</f>
        <v/>
      </c>
      <c r="B18" s="10">
        <f>'Pairings NB'!C80</f>
        <v/>
      </c>
      <c r="C18" s="10">
        <f>'Pairings NB'!D80</f>
        <v/>
      </c>
      <c r="D18" s="10">
        <f>'Pairings NB'!E80&amp;"/"&amp;'Pairings NB'!E81</f>
        <v/>
      </c>
      <c r="E18" s="10">
        <f>'Pairings NB'!F80&amp;"-"&amp;'Pairings NB'!G80&amp;"-"&amp;'Pairings NB'!F80</f>
        <v/>
      </c>
      <c r="F18" s="10">
        <f>IFERROR(VLOOKUP('Pairings NB'!$M$80,Instructores!$A:$C,2,FALSE),"")</f>
        <v/>
      </c>
      <c r="G18" s="10">
        <f>'Pairings NB'!$M$80</f>
        <v/>
      </c>
      <c r="H18" s="10">
        <f>'Pairings NB'!$O$80</f>
        <v/>
      </c>
      <c r="I18" s="10">
        <f>'Pairings NB'!J80</f>
        <v/>
      </c>
      <c r="J18" s="10">
        <f>IFERROR(VLOOKUP('Pairings NB'!$M$80,Instructores!$A:$C,3,FALSE),"")</f>
        <v/>
      </c>
      <c r="K18" s="10">
        <f>IF('Pairings NB'!J80=320,4,3)</f>
        <v/>
      </c>
    </row>
    <row r="19">
      <c r="A19" s="10">
        <f>'Pairings NB'!B85</f>
        <v/>
      </c>
      <c r="B19" s="10">
        <f>'Pairings NB'!C85</f>
        <v/>
      </c>
      <c r="C19" s="10">
        <f>'Pairings NB'!D85</f>
        <v/>
      </c>
      <c r="D19" s="10">
        <f>'Pairings NB'!E85&amp;"/"&amp;'Pairings NB'!E86</f>
        <v/>
      </c>
      <c r="E19" s="10">
        <f>'Pairings NB'!F85&amp;"-"&amp;'Pairings NB'!G85&amp;"-"&amp;'Pairings NB'!F85</f>
        <v/>
      </c>
      <c r="F19" s="10">
        <f>IFERROR(VLOOKUP('Pairings NB'!$M$85,Instructores!$A:$C,2,FALSE),"")</f>
        <v/>
      </c>
      <c r="G19" s="10">
        <f>'Pairings NB'!$M$85</f>
        <v/>
      </c>
      <c r="H19" s="10">
        <f>'Pairings NB'!$O$85</f>
        <v/>
      </c>
      <c r="I19" s="10">
        <f>'Pairings NB'!J85</f>
        <v/>
      </c>
      <c r="J19" s="10">
        <f>IFERROR(VLOOKUP('Pairings NB'!$M$85,Instructores!$A:$C,3,FALSE),"")</f>
        <v/>
      </c>
      <c r="K19" s="10">
        <f>IF('Pairings NB'!J85=320,4,3)</f>
        <v/>
      </c>
    </row>
    <row r="20">
      <c r="A20" s="10">
        <f>'Pairings NB'!B90</f>
        <v/>
      </c>
      <c r="B20" s="10">
        <f>'Pairings NB'!C90</f>
        <v/>
      </c>
      <c r="C20" s="10">
        <f>'Pairings NB'!D90</f>
        <v/>
      </c>
      <c r="D20" s="10">
        <f>'Pairings NB'!E90&amp;"/"&amp;'Pairings NB'!E91</f>
        <v/>
      </c>
      <c r="E20" s="10">
        <f>'Pairings NB'!F90&amp;"-"&amp;'Pairings NB'!G90&amp;"-"&amp;'Pairings NB'!F90</f>
        <v/>
      </c>
      <c r="F20" s="10">
        <f>IFERROR(VLOOKUP('Pairings NB'!$M$90,Instructores!$A:$C,2,FALSE),"")</f>
        <v/>
      </c>
      <c r="G20" s="10">
        <f>'Pairings NB'!$M$90</f>
        <v/>
      </c>
      <c r="H20" s="10">
        <f>'Pairings NB'!$O$90</f>
        <v/>
      </c>
      <c r="I20" s="10">
        <f>'Pairings NB'!J90</f>
        <v/>
      </c>
      <c r="J20" s="10">
        <f>IFERROR(VLOOKUP('Pairings NB'!$M$90,Instructores!$A:$C,3,FALSE),"")</f>
        <v/>
      </c>
      <c r="K20" s="10">
        <f>IF('Pairings NB'!J90=320,4,3)</f>
        <v/>
      </c>
    </row>
    <row r="21">
      <c r="A21" s="10">
        <f>'Pairings NB'!B95</f>
        <v/>
      </c>
      <c r="B21" s="10">
        <f>'Pairings NB'!C95</f>
        <v/>
      </c>
      <c r="C21" s="10">
        <f>'Pairings NB'!D95</f>
        <v/>
      </c>
      <c r="D21" s="10">
        <f>'Pairings NB'!E95&amp;"/"&amp;'Pairings NB'!E96</f>
        <v/>
      </c>
      <c r="E21" s="10">
        <f>'Pairings NB'!F95&amp;"-"&amp;'Pairings NB'!G95&amp;"-"&amp;'Pairings NB'!F95</f>
        <v/>
      </c>
      <c r="F21" s="10">
        <f>IFERROR(VLOOKUP('Pairings NB'!$M$95,Instructores!$A:$C,2,FALSE),"")</f>
        <v/>
      </c>
      <c r="G21" s="10">
        <f>'Pairings NB'!$M$95</f>
        <v/>
      </c>
      <c r="H21" s="10">
        <f>'Pairings NB'!$O$95</f>
        <v/>
      </c>
      <c r="I21" s="10">
        <f>'Pairings NB'!J95</f>
        <v/>
      </c>
      <c r="J21" s="10">
        <f>IFERROR(VLOOKUP('Pairings NB'!$M$95,Instructores!$A:$C,3,FALSE),"")</f>
        <v/>
      </c>
      <c r="K21" s="10">
        <f>IF('Pairings NB'!J95=320,4,3)</f>
        <v/>
      </c>
    </row>
    <row r="22">
      <c r="A22" s="10">
        <f>'Pairings NB'!B100</f>
        <v/>
      </c>
      <c r="B22" s="10">
        <f>'Pairings NB'!C100</f>
        <v/>
      </c>
      <c r="C22" s="10">
        <f>'Pairings NB'!D100</f>
        <v/>
      </c>
      <c r="D22" s="10">
        <f>'Pairings NB'!E100&amp;"/"&amp;'Pairings NB'!E101</f>
        <v/>
      </c>
      <c r="E22" s="10">
        <f>'Pairings NB'!F100&amp;"-"&amp;'Pairings NB'!G100&amp;"-"&amp;'Pairings NB'!F100</f>
        <v/>
      </c>
      <c r="F22" s="10">
        <f>IFERROR(VLOOKUP('Pairings NB'!$M$100,Instructores!$A:$C,2,FALSE),"")</f>
        <v/>
      </c>
      <c r="G22" s="10">
        <f>'Pairings NB'!$M$100</f>
        <v/>
      </c>
      <c r="H22" s="10">
        <f>'Pairings NB'!$O$100</f>
        <v/>
      </c>
      <c r="I22" s="10">
        <f>'Pairings NB'!J100</f>
        <v/>
      </c>
      <c r="J22" s="10">
        <f>IFERROR(VLOOKUP('Pairings NB'!$M$100,Instructores!$A:$C,3,FALSE),"")</f>
        <v/>
      </c>
      <c r="K22" s="10">
        <f>IF('Pairings NB'!J100=320,4,3)</f>
        <v/>
      </c>
    </row>
    <row r="23">
      <c r="A23" s="10">
        <f>'Pairings NB'!B105</f>
        <v/>
      </c>
      <c r="B23" s="10">
        <f>'Pairings NB'!C105</f>
        <v/>
      </c>
      <c r="C23" s="10">
        <f>'Pairings NB'!D105</f>
        <v/>
      </c>
      <c r="D23" s="10">
        <f>'Pairings NB'!E105&amp;"/"&amp;'Pairings NB'!E106</f>
        <v/>
      </c>
      <c r="E23" s="10">
        <f>'Pairings NB'!F105&amp;"-"&amp;'Pairings NB'!G105&amp;"-"&amp;'Pairings NB'!F105</f>
        <v/>
      </c>
      <c r="F23" s="10">
        <f>IFERROR(VLOOKUP('Pairings NB'!$M$105,Instructores!$A:$C,2,FALSE),"")</f>
        <v/>
      </c>
      <c r="G23" s="10">
        <f>'Pairings NB'!$M$105</f>
        <v/>
      </c>
      <c r="H23" s="10">
        <f>'Pairings NB'!$O$105</f>
        <v/>
      </c>
      <c r="I23" s="10">
        <f>'Pairings NB'!J105</f>
        <v/>
      </c>
      <c r="J23" s="10">
        <f>IFERROR(VLOOKUP('Pairings NB'!$M$105,Instructores!$A:$C,3,FALSE),"")</f>
        <v/>
      </c>
      <c r="K23" s="10">
        <f>IF('Pairings NB'!J105=320,4,3)</f>
        <v/>
      </c>
    </row>
    <row r="24">
      <c r="A24" s="10">
        <f>'Pairings NB'!B110</f>
        <v/>
      </c>
      <c r="B24" s="10">
        <f>'Pairings NB'!C110</f>
        <v/>
      </c>
      <c r="C24" s="10">
        <f>'Pairings NB'!D110</f>
        <v/>
      </c>
      <c r="D24" s="10">
        <f>'Pairings NB'!E110&amp;"/"&amp;'Pairings NB'!E111</f>
        <v/>
      </c>
      <c r="E24" s="10">
        <f>'Pairings NB'!F110&amp;"-"&amp;'Pairings NB'!G110&amp;"-"&amp;'Pairings NB'!F110</f>
        <v/>
      </c>
      <c r="F24" s="10">
        <f>IFERROR(VLOOKUP('Pairings NB'!$M$110,Instructores!$A:$C,2,FALSE),"")</f>
        <v/>
      </c>
      <c r="G24" s="10">
        <f>'Pairings NB'!$M$110</f>
        <v/>
      </c>
      <c r="H24" s="10">
        <f>'Pairings NB'!$O$110</f>
        <v/>
      </c>
      <c r="I24" s="10">
        <f>'Pairings NB'!J110</f>
        <v/>
      </c>
      <c r="J24" s="10">
        <f>IFERROR(VLOOKUP('Pairings NB'!$M$110,Instructores!$A:$C,3,FALSE),"")</f>
        <v/>
      </c>
      <c r="K24" s="10">
        <f>IF('Pairings NB'!J110=320,4,3)</f>
        <v/>
      </c>
    </row>
    <row r="25">
      <c r="A25" s="10">
        <f>'Pairings NB'!B115</f>
        <v/>
      </c>
      <c r="B25" s="10">
        <f>'Pairings NB'!C115</f>
        <v/>
      </c>
      <c r="C25" s="10">
        <f>'Pairings NB'!D115</f>
        <v/>
      </c>
      <c r="D25" s="10">
        <f>'Pairings NB'!E115&amp;"/"&amp;'Pairings NB'!E116</f>
        <v/>
      </c>
      <c r="E25" s="10">
        <f>'Pairings NB'!F115&amp;"-"&amp;'Pairings NB'!G115&amp;"-"&amp;'Pairings NB'!F115</f>
        <v/>
      </c>
      <c r="F25" s="10">
        <f>IFERROR(VLOOKUP('Pairings NB'!$M$115,Instructores!$A:$C,2,FALSE),"")</f>
        <v/>
      </c>
      <c r="G25" s="10">
        <f>'Pairings NB'!$M$115</f>
        <v/>
      </c>
      <c r="H25" s="10">
        <f>'Pairings NB'!$O$115</f>
        <v/>
      </c>
      <c r="I25" s="10">
        <f>'Pairings NB'!J115</f>
        <v/>
      </c>
      <c r="J25" s="10">
        <f>IFERROR(VLOOKUP('Pairings NB'!$M$115,Instructores!$A:$C,3,FALSE),"")</f>
        <v/>
      </c>
      <c r="K25" s="10">
        <f>IF('Pairings NB'!J115=320,4,3)</f>
        <v/>
      </c>
    </row>
    <row r="26">
      <c r="A26" s="10">
        <f>'Pairings NB'!B120</f>
        <v/>
      </c>
      <c r="B26" s="10">
        <f>'Pairings NB'!C120</f>
        <v/>
      </c>
      <c r="C26" s="10">
        <f>'Pairings NB'!D120</f>
        <v/>
      </c>
      <c r="D26" s="10">
        <f>'Pairings NB'!E120&amp;"/"&amp;'Pairings NB'!E121</f>
        <v/>
      </c>
      <c r="E26" s="10">
        <f>'Pairings NB'!F120&amp;"-"&amp;'Pairings NB'!G120&amp;"-"&amp;'Pairings NB'!F120</f>
        <v/>
      </c>
      <c r="F26" s="10">
        <f>IFERROR(VLOOKUP('Pairings NB'!$M$120,Instructores!$A:$C,2,FALSE),"")</f>
        <v/>
      </c>
      <c r="G26" s="10">
        <f>'Pairings NB'!$M$120</f>
        <v/>
      </c>
      <c r="H26" s="10">
        <f>'Pairings NB'!$O$120</f>
        <v/>
      </c>
      <c r="I26" s="10">
        <f>'Pairings NB'!J120</f>
        <v/>
      </c>
      <c r="J26" s="10">
        <f>IFERROR(VLOOKUP('Pairings NB'!$M$120,Instructores!$A:$C,3,FALSE),"")</f>
        <v/>
      </c>
      <c r="K26" s="10">
        <f>IF('Pairings NB'!J120=320,4,3)</f>
        <v/>
      </c>
    </row>
    <row r="27">
      <c r="A27" s="10">
        <f>'Pairings NB'!B125</f>
        <v/>
      </c>
      <c r="B27" s="10">
        <f>'Pairings NB'!C125</f>
        <v/>
      </c>
      <c r="C27" s="10">
        <f>'Pairings NB'!D125</f>
        <v/>
      </c>
      <c r="D27" s="10">
        <f>'Pairings NB'!E125&amp;"/"&amp;'Pairings NB'!E126</f>
        <v/>
      </c>
      <c r="E27" s="10">
        <f>'Pairings NB'!F125&amp;"-"&amp;'Pairings NB'!G125&amp;"-"&amp;'Pairings NB'!F125</f>
        <v/>
      </c>
      <c r="F27" s="10">
        <f>IFERROR(VLOOKUP('Pairings NB'!$M$125,Instructores!$A:$C,2,FALSE),"")</f>
        <v/>
      </c>
      <c r="G27" s="10">
        <f>'Pairings NB'!$M$125</f>
        <v/>
      </c>
      <c r="H27" s="10">
        <f>'Pairings NB'!$O$125</f>
        <v/>
      </c>
      <c r="I27" s="10">
        <f>'Pairings NB'!J125</f>
        <v/>
      </c>
      <c r="J27" s="10">
        <f>IFERROR(VLOOKUP('Pairings NB'!$M$125,Instructores!$A:$C,3,FALSE),"")</f>
        <v/>
      </c>
      <c r="K27" s="10">
        <f>IF('Pairings NB'!J125=320,4,3)</f>
        <v/>
      </c>
    </row>
    <row r="28">
      <c r="A28" s="10">
        <f>'Pairings NB'!B127</f>
        <v/>
      </c>
      <c r="B28" s="10">
        <f>'Pairings NB'!C127</f>
        <v/>
      </c>
      <c r="C28" s="10">
        <f>'Pairings NB'!D127</f>
        <v/>
      </c>
      <c r="D28" s="10">
        <f>'Pairings NB'!E127&amp;"/"&amp;'Pairings NB'!E128</f>
        <v/>
      </c>
      <c r="E28" s="10">
        <f>'Pairings NB'!F127&amp;"-"&amp;'Pairings NB'!G127&amp;"-"&amp;'Pairings NB'!F127</f>
        <v/>
      </c>
      <c r="F28" s="10">
        <f>IFERROR(VLOOKUP('Pairings NB'!$M$125,Instructores!$A:$C,2,FALSE),"")</f>
        <v/>
      </c>
      <c r="G28" s="10">
        <f>'Pairings NB'!$M$125</f>
        <v/>
      </c>
      <c r="H28" s="10">
        <f>'Pairings NB'!$O$125</f>
        <v/>
      </c>
      <c r="I28" s="10">
        <f>'Pairings NB'!J127</f>
        <v/>
      </c>
      <c r="J28" s="10">
        <f>IFERROR(VLOOKUP('Pairings NB'!$M$125,Instructores!$A:$C,3,FALSE),"")</f>
        <v/>
      </c>
      <c r="K28" s="10">
        <f>IF('Pairings NB'!J127=320,4,3)</f>
        <v/>
      </c>
    </row>
    <row r="29">
      <c r="A29" s="10">
        <f>'Pairings NB'!B132</f>
        <v/>
      </c>
      <c r="B29" s="10">
        <f>'Pairings NB'!C132</f>
        <v/>
      </c>
      <c r="C29" s="10">
        <f>'Pairings NB'!D132</f>
        <v/>
      </c>
      <c r="D29" s="10">
        <f>'Pairings NB'!E132&amp;"/"&amp;'Pairings NB'!E133</f>
        <v/>
      </c>
      <c r="E29" s="10">
        <f>'Pairings NB'!F132&amp;"-"&amp;'Pairings NB'!G132&amp;"-"&amp;'Pairings NB'!F132</f>
        <v/>
      </c>
      <c r="F29" s="10">
        <f>IFERROR(VLOOKUP('Pairings NB'!$M$132,Instructores!$A:$C,2,FALSE),"")</f>
        <v/>
      </c>
      <c r="G29" s="10">
        <f>'Pairings NB'!$M$132</f>
        <v/>
      </c>
      <c r="H29" s="10">
        <f>'Pairings NB'!$O$132</f>
        <v/>
      </c>
      <c r="I29" s="10">
        <f>'Pairings NB'!J132</f>
        <v/>
      </c>
      <c r="J29" s="10">
        <f>IFERROR(VLOOKUP('Pairings NB'!$M$132,Instructores!$A:$C,3,FALSE),"")</f>
        <v/>
      </c>
      <c r="K29" s="10">
        <f>IF('Pairings NB'!J132=320,4,3)</f>
        <v/>
      </c>
    </row>
    <row r="30">
      <c r="A30" s="10">
        <f>'Pairings NB'!B137</f>
        <v/>
      </c>
      <c r="B30" s="10">
        <f>'Pairings NB'!C137</f>
        <v/>
      </c>
      <c r="C30" s="10">
        <f>'Pairings NB'!D137</f>
        <v/>
      </c>
      <c r="D30" s="10">
        <f>'Pairings NB'!E137&amp;"/"&amp;'Pairings NB'!E138</f>
        <v/>
      </c>
      <c r="E30" s="10">
        <f>'Pairings NB'!F137&amp;"-"&amp;'Pairings NB'!G137&amp;"-"&amp;'Pairings NB'!F137</f>
        <v/>
      </c>
      <c r="F30" s="10">
        <f>IFERROR(VLOOKUP('Pairings NB'!$M$137,Instructores!$A:$C,2,FALSE),"")</f>
        <v/>
      </c>
      <c r="G30" s="10">
        <f>'Pairings NB'!$M$137</f>
        <v/>
      </c>
      <c r="H30" s="10">
        <f>'Pairings NB'!$O$137</f>
        <v/>
      </c>
      <c r="I30" s="10">
        <f>'Pairings NB'!J137</f>
        <v/>
      </c>
      <c r="J30" s="10">
        <f>IFERROR(VLOOKUP('Pairings NB'!$M$137,Instructores!$A:$C,3,FALSE),"")</f>
        <v/>
      </c>
      <c r="K30" s="10">
        <f>IF('Pairings NB'!J137=320,4,3)</f>
        <v/>
      </c>
    </row>
    <row r="31">
      <c r="A31" s="10">
        <f>'Pairings NB'!B139</f>
        <v/>
      </c>
      <c r="B31" s="10">
        <f>'Pairings NB'!C139</f>
        <v/>
      </c>
      <c r="C31" s="10">
        <f>'Pairings NB'!D139</f>
        <v/>
      </c>
      <c r="D31" s="10">
        <f>'Pairings NB'!E139&amp;"/"&amp;'Pairings NB'!E140</f>
        <v/>
      </c>
      <c r="E31" s="10">
        <f>'Pairings NB'!F139&amp;"-"&amp;'Pairings NB'!G139&amp;"-"&amp;'Pairings NB'!F139</f>
        <v/>
      </c>
      <c r="F31" s="10">
        <f>IFERROR(VLOOKUP('Pairings NB'!$M$137,Instructores!$A:$C,2,FALSE),"")</f>
        <v/>
      </c>
      <c r="G31" s="10">
        <f>'Pairings NB'!$M$137</f>
        <v/>
      </c>
      <c r="H31" s="10">
        <f>'Pairings NB'!$O$137</f>
        <v/>
      </c>
      <c r="I31" s="10">
        <f>'Pairings NB'!J139</f>
        <v/>
      </c>
      <c r="J31" s="10">
        <f>IFERROR(VLOOKUP('Pairings NB'!$M$137,Instructores!$A:$C,3,FALSE),"")</f>
        <v/>
      </c>
      <c r="K31" s="10">
        <f>IF('Pairings NB'!J139=320,4,3)</f>
        <v/>
      </c>
    </row>
    <row r="32">
      <c r="A32" s="10">
        <f>'Pairings NB'!B144</f>
        <v/>
      </c>
      <c r="B32" s="10">
        <f>'Pairings NB'!C144</f>
        <v/>
      </c>
      <c r="C32" s="10">
        <f>'Pairings NB'!D144</f>
        <v/>
      </c>
      <c r="D32" s="10">
        <f>'Pairings NB'!E144&amp;"/"&amp;'Pairings NB'!E145</f>
        <v/>
      </c>
      <c r="E32" s="10">
        <f>'Pairings NB'!F144&amp;"-"&amp;'Pairings NB'!G144&amp;"-"&amp;'Pairings NB'!F144</f>
        <v/>
      </c>
      <c r="F32" s="10">
        <f>IFERROR(VLOOKUP('Pairings NB'!$M$144,Instructores!$A:$C,2,FALSE),"")</f>
        <v/>
      </c>
      <c r="G32" s="10">
        <f>'Pairings NB'!$M$144</f>
        <v/>
      </c>
      <c r="H32" s="10">
        <f>'Pairings NB'!$O$144</f>
        <v/>
      </c>
      <c r="I32" s="10">
        <f>'Pairings NB'!J144</f>
        <v/>
      </c>
      <c r="J32" s="10">
        <f>IFERROR(VLOOKUP('Pairings NB'!$M$144,Instructores!$A:$C,3,FALSE),"")</f>
        <v/>
      </c>
      <c r="K32" s="10">
        <f>IF('Pairings NB'!J144=320,4,3)</f>
        <v/>
      </c>
    </row>
    <row r="33">
      <c r="A33" s="10">
        <f>'Pairings NB'!B149</f>
        <v/>
      </c>
      <c r="B33" s="10">
        <f>'Pairings NB'!C149</f>
        <v/>
      </c>
      <c r="C33" s="10">
        <f>'Pairings NB'!D149</f>
        <v/>
      </c>
      <c r="D33" s="10">
        <f>'Pairings NB'!E149&amp;"/"&amp;'Pairings NB'!E150</f>
        <v/>
      </c>
      <c r="E33" s="10">
        <f>'Pairings NB'!F149&amp;"-"&amp;'Pairings NB'!G149&amp;"-"&amp;'Pairings NB'!F149</f>
        <v/>
      </c>
      <c r="F33" s="10">
        <f>IFERROR(VLOOKUP('Pairings NB'!$M$149,Instructores!$A:$C,2,FALSE),"")</f>
        <v/>
      </c>
      <c r="G33" s="10">
        <f>'Pairings NB'!$M$149</f>
        <v/>
      </c>
      <c r="H33" s="10">
        <f>'Pairings NB'!$O$149</f>
        <v/>
      </c>
      <c r="I33" s="10">
        <f>'Pairings NB'!J149</f>
        <v/>
      </c>
      <c r="J33" s="10">
        <f>IFERROR(VLOOKUP('Pairings NB'!$M$149,Instructores!$A:$C,3,FALSE),"")</f>
        <v/>
      </c>
      <c r="K33" s="10">
        <f>IF('Pairings NB'!J149=320,4,3)</f>
        <v/>
      </c>
    </row>
    <row r="34">
      <c r="A34" s="10">
        <f>'Pairings NB'!B151</f>
        <v/>
      </c>
      <c r="B34" s="10">
        <f>'Pairings NB'!C151</f>
        <v/>
      </c>
      <c r="C34" s="10">
        <f>'Pairings NB'!D151</f>
        <v/>
      </c>
      <c r="D34" s="10">
        <f>'Pairings NB'!E151&amp;"/"&amp;'Pairings NB'!E152</f>
        <v/>
      </c>
      <c r="E34" s="10">
        <f>'Pairings NB'!F151&amp;"-"&amp;'Pairings NB'!G151&amp;"-"&amp;'Pairings NB'!F151</f>
        <v/>
      </c>
      <c r="F34" s="10">
        <f>IFERROR(VLOOKUP('Pairings NB'!$M$149,Instructores!$A:$C,2,FALSE),"")</f>
        <v/>
      </c>
      <c r="G34" s="10">
        <f>'Pairings NB'!$M$149</f>
        <v/>
      </c>
      <c r="H34" s="10">
        <f>'Pairings NB'!$O$149</f>
        <v/>
      </c>
      <c r="I34" s="10">
        <f>'Pairings NB'!J151</f>
        <v/>
      </c>
      <c r="J34" s="10">
        <f>IFERROR(VLOOKUP('Pairings NB'!$M$149,Instructores!$A:$C,3,FALSE),"")</f>
        <v/>
      </c>
      <c r="K34" s="10">
        <f>IF('Pairings NB'!J151=320,4,3)</f>
        <v/>
      </c>
    </row>
    <row r="35">
      <c r="A35" s="10">
        <f>'Pairings NB'!B156</f>
        <v/>
      </c>
      <c r="B35" s="10">
        <f>'Pairings NB'!C156</f>
        <v/>
      </c>
      <c r="C35" s="10">
        <f>'Pairings NB'!D156</f>
        <v/>
      </c>
      <c r="D35" s="10">
        <f>'Pairings NB'!E156&amp;"/"&amp;'Pairings NB'!E157</f>
        <v/>
      </c>
      <c r="E35" s="10">
        <f>'Pairings NB'!F156&amp;"-"&amp;'Pairings NB'!G156&amp;"-"&amp;'Pairings NB'!F156</f>
        <v/>
      </c>
      <c r="F35" s="10">
        <f>IFERROR(VLOOKUP('Pairings NB'!$M$156,Instructores!$A:$C,2,FALSE),"")</f>
        <v/>
      </c>
      <c r="G35" s="10">
        <f>'Pairings NB'!$M$156</f>
        <v/>
      </c>
      <c r="H35" s="10">
        <f>'Pairings NB'!$O$156</f>
        <v/>
      </c>
      <c r="I35" s="10">
        <f>'Pairings NB'!J156</f>
        <v/>
      </c>
      <c r="J35" s="10">
        <f>IFERROR(VLOOKUP('Pairings NB'!$M$156,Instructores!$A:$C,3,FALSE),"")</f>
        <v/>
      </c>
      <c r="K35" s="10">
        <f>IF('Pairings NB'!J156=320,4,3)</f>
        <v/>
      </c>
    </row>
    <row r="36">
      <c r="A36" s="10">
        <f>'Pairings NB'!B161</f>
        <v/>
      </c>
      <c r="B36" s="10">
        <f>'Pairings NB'!C161</f>
        <v/>
      </c>
      <c r="C36" s="10">
        <f>'Pairings NB'!D161</f>
        <v/>
      </c>
      <c r="D36" s="10">
        <f>'Pairings NB'!E161&amp;"/"&amp;'Pairings NB'!E162</f>
        <v/>
      </c>
      <c r="E36" s="10">
        <f>'Pairings NB'!F161&amp;"-"&amp;'Pairings NB'!G161&amp;"-"&amp;'Pairings NB'!F161</f>
        <v/>
      </c>
      <c r="F36" s="10">
        <f>IFERROR(VLOOKUP('Pairings NB'!$M$161,Instructores!$A:$C,2,FALSE),"")</f>
        <v/>
      </c>
      <c r="G36" s="10">
        <f>'Pairings NB'!$M$161</f>
        <v/>
      </c>
      <c r="H36" s="10">
        <f>'Pairings NB'!$O$161</f>
        <v/>
      </c>
      <c r="I36" s="10">
        <f>'Pairings NB'!J161</f>
        <v/>
      </c>
      <c r="J36" s="10">
        <f>IFERROR(VLOOKUP('Pairings NB'!$M$161,Instructores!$A:$C,3,FALSE),"")</f>
        <v/>
      </c>
      <c r="K36" s="10">
        <f>IF('Pairings NB'!J161=320,4,3)</f>
        <v/>
      </c>
    </row>
    <row r="37">
      <c r="A37" s="10">
        <f>'Pairings NB'!B166</f>
        <v/>
      </c>
      <c r="B37" s="10">
        <f>'Pairings NB'!C166</f>
        <v/>
      </c>
      <c r="C37" s="10">
        <f>'Pairings NB'!D166</f>
        <v/>
      </c>
      <c r="D37" s="10">
        <f>'Pairings NB'!E166&amp;"/"&amp;'Pairings NB'!E167</f>
        <v/>
      </c>
      <c r="E37" s="10">
        <f>'Pairings NB'!F166&amp;"-"&amp;'Pairings NB'!G166&amp;"-"&amp;'Pairings NB'!F166</f>
        <v/>
      </c>
      <c r="F37" s="10">
        <f>IFERROR(VLOOKUP('Pairings NB'!$M$166,Instructores!$A:$C,2,FALSE),"")</f>
        <v/>
      </c>
      <c r="G37" s="10">
        <f>'Pairings NB'!$M$166</f>
        <v/>
      </c>
      <c r="H37" s="10">
        <f>'Pairings NB'!$O$166</f>
        <v/>
      </c>
      <c r="I37" s="10">
        <f>'Pairings NB'!J166</f>
        <v/>
      </c>
      <c r="J37" s="10">
        <f>IFERROR(VLOOKUP('Pairings NB'!$M$166,Instructores!$A:$C,3,FALSE),"")</f>
        <v/>
      </c>
      <c r="K37" s="10">
        <f>IF('Pairings NB'!J166=320,4,3)</f>
        <v/>
      </c>
    </row>
    <row r="38">
      <c r="A38" s="10">
        <f>'Pairings NB'!B168</f>
        <v/>
      </c>
      <c r="B38" s="10">
        <f>'Pairings NB'!C168</f>
        <v/>
      </c>
      <c r="C38" s="10">
        <f>'Pairings NB'!D168</f>
        <v/>
      </c>
      <c r="D38" s="10">
        <f>'Pairings NB'!E168&amp;"/"&amp;'Pairings NB'!E169</f>
        <v/>
      </c>
      <c r="E38" s="10">
        <f>'Pairings NB'!F168&amp;"-"&amp;'Pairings NB'!G168&amp;"-"&amp;'Pairings NB'!F168</f>
        <v/>
      </c>
      <c r="F38" s="10">
        <f>IFERROR(VLOOKUP('Pairings NB'!$M$166,Instructores!$A:$C,2,FALSE),"")</f>
        <v/>
      </c>
      <c r="G38" s="10">
        <f>'Pairings NB'!$M$166</f>
        <v/>
      </c>
      <c r="H38" s="10">
        <f>'Pairings NB'!$O$166</f>
        <v/>
      </c>
      <c r="I38" s="10">
        <f>'Pairings NB'!J168</f>
        <v/>
      </c>
      <c r="J38" s="10">
        <f>IFERROR(VLOOKUP('Pairings NB'!$M$166,Instructores!$A:$C,3,FALSE),"")</f>
        <v/>
      </c>
      <c r="K38" s="10">
        <f>IF('Pairings NB'!J168=320,4,3)</f>
        <v/>
      </c>
    </row>
    <row r="39">
      <c r="A39" s="10">
        <f>'Pairings NB'!B173</f>
        <v/>
      </c>
      <c r="B39" s="10">
        <f>'Pairings NB'!C173</f>
        <v/>
      </c>
      <c r="C39" s="10">
        <f>'Pairings NB'!D173</f>
        <v/>
      </c>
      <c r="D39" s="10">
        <f>'Pairings NB'!E173&amp;"/"&amp;'Pairings NB'!E174</f>
        <v/>
      </c>
      <c r="E39" s="10">
        <f>'Pairings NB'!F173&amp;"-"&amp;'Pairings NB'!G173&amp;"-"&amp;'Pairings NB'!F173</f>
        <v/>
      </c>
      <c r="F39" s="10">
        <f>IFERROR(VLOOKUP('Pairings NB'!$M$173,Instructores!$A:$C,2,FALSE),"")</f>
        <v/>
      </c>
      <c r="G39" s="10">
        <f>'Pairings NB'!$M$173</f>
        <v/>
      </c>
      <c r="H39" s="10">
        <f>'Pairings NB'!$O$173</f>
        <v/>
      </c>
      <c r="I39" s="10">
        <f>'Pairings NB'!J173</f>
        <v/>
      </c>
      <c r="J39" s="10">
        <f>IFERROR(VLOOKUP('Pairings NB'!$M$173,Instructores!$A:$C,3,FALSE),"")</f>
        <v/>
      </c>
      <c r="K39" s="10">
        <f>IF('Pairings NB'!J173=320,4,3)</f>
        <v/>
      </c>
    </row>
    <row r="40">
      <c r="A40" s="10">
        <f>'Pairings NB'!B178</f>
        <v/>
      </c>
      <c r="B40" s="10">
        <f>'Pairings NB'!C178</f>
        <v/>
      </c>
      <c r="C40" s="10">
        <f>'Pairings NB'!D178</f>
        <v/>
      </c>
      <c r="D40" s="10">
        <f>'Pairings NB'!E178&amp;"/"&amp;'Pairings NB'!E179</f>
        <v/>
      </c>
      <c r="E40" s="10">
        <f>'Pairings NB'!F178&amp;"-"&amp;'Pairings NB'!G178&amp;"-"&amp;'Pairings NB'!F178</f>
        <v/>
      </c>
      <c r="F40" s="10">
        <f>IFERROR(VLOOKUP('Pairings NB'!$M$178,Instructores!$A:$C,2,FALSE),"")</f>
        <v/>
      </c>
      <c r="G40" s="10">
        <f>'Pairings NB'!$M$178</f>
        <v/>
      </c>
      <c r="H40" s="10">
        <f>'Pairings NB'!$O$178</f>
        <v/>
      </c>
      <c r="I40" s="10">
        <f>'Pairings NB'!J178</f>
        <v/>
      </c>
      <c r="J40" s="10">
        <f>IFERROR(VLOOKUP('Pairings NB'!$M$178,Instructores!$A:$C,3,FALSE),"")</f>
        <v/>
      </c>
      <c r="K40" s="10">
        <f>IF('Pairings NB'!J178=320,4,3)</f>
        <v/>
      </c>
    </row>
    <row r="41">
      <c r="A41" s="10">
        <f>'Pairings NB'!B183</f>
        <v/>
      </c>
      <c r="B41" s="10">
        <f>'Pairings NB'!C183</f>
        <v/>
      </c>
      <c r="C41" s="10">
        <f>'Pairings NB'!D183</f>
        <v/>
      </c>
      <c r="D41" s="10">
        <f>'Pairings NB'!E183&amp;"/"&amp;'Pairings NB'!E184</f>
        <v/>
      </c>
      <c r="E41" s="10">
        <f>'Pairings NB'!F183&amp;"-"&amp;'Pairings NB'!G183&amp;"-"&amp;'Pairings NB'!F183</f>
        <v/>
      </c>
      <c r="F41" s="10">
        <f>IFERROR(VLOOKUP('Pairings NB'!$M$183,Instructores!$A:$C,2,FALSE),"")</f>
        <v/>
      </c>
      <c r="G41" s="10">
        <f>'Pairings NB'!$M$183</f>
        <v/>
      </c>
      <c r="H41" s="10">
        <f>'Pairings NB'!$O$183</f>
        <v/>
      </c>
      <c r="I41" s="10">
        <f>'Pairings NB'!J183</f>
        <v/>
      </c>
      <c r="J41" s="10">
        <f>IFERROR(VLOOKUP('Pairings NB'!$M$183,Instructores!$A:$C,3,FALSE),"")</f>
        <v/>
      </c>
      <c r="K41" s="10">
        <f>IF('Pairings NB'!J183=320,4,3)</f>
        <v/>
      </c>
    </row>
    <row r="42">
      <c r="A42" s="10">
        <f>'Pairings NB'!B188</f>
        <v/>
      </c>
      <c r="B42" s="10">
        <f>'Pairings NB'!C188</f>
        <v/>
      </c>
      <c r="C42" s="10">
        <f>'Pairings NB'!D188</f>
        <v/>
      </c>
      <c r="D42" s="10">
        <f>'Pairings NB'!E188&amp;"/"&amp;'Pairings NB'!E189</f>
        <v/>
      </c>
      <c r="E42" s="10">
        <f>'Pairings NB'!F188&amp;"-"&amp;'Pairings NB'!G188&amp;"-"&amp;'Pairings NB'!F188</f>
        <v/>
      </c>
      <c r="F42" s="10">
        <f>IFERROR(VLOOKUP('Pairings NB'!$M$188,Instructores!$A:$C,2,FALSE),"")</f>
        <v/>
      </c>
      <c r="G42" s="10">
        <f>'Pairings NB'!$M$188</f>
        <v/>
      </c>
      <c r="H42" s="10">
        <f>'Pairings NB'!$O$188</f>
        <v/>
      </c>
      <c r="I42" s="10">
        <f>'Pairings NB'!J188</f>
        <v/>
      </c>
      <c r="J42" s="10">
        <f>IFERROR(VLOOKUP('Pairings NB'!$M$188,Instructores!$A:$C,3,FALSE),"")</f>
        <v/>
      </c>
      <c r="K42" s="10">
        <f>IF('Pairings NB'!J188=320,4,3)</f>
        <v/>
      </c>
    </row>
    <row r="43">
      <c r="A43" s="10">
        <f>'Pairings NB'!B193</f>
        <v/>
      </c>
      <c r="B43" s="10">
        <f>'Pairings NB'!C193</f>
        <v/>
      </c>
      <c r="C43" s="10">
        <f>'Pairings NB'!D193</f>
        <v/>
      </c>
      <c r="D43" s="10">
        <f>'Pairings NB'!E193&amp;"/"&amp;'Pairings NB'!E194</f>
        <v/>
      </c>
      <c r="E43" s="10">
        <f>'Pairings NB'!F193&amp;"-"&amp;'Pairings NB'!G193&amp;"-"&amp;'Pairings NB'!F193</f>
        <v/>
      </c>
      <c r="F43" s="10">
        <f>IFERROR(VLOOKUP('Pairings NB'!$M$193,Instructores!$A:$C,2,FALSE),"")</f>
        <v/>
      </c>
      <c r="G43" s="10">
        <f>'Pairings NB'!$M$193</f>
        <v/>
      </c>
      <c r="H43" s="10">
        <f>'Pairings NB'!$O$193</f>
        <v/>
      </c>
      <c r="I43" s="10">
        <f>'Pairings NB'!J193</f>
        <v/>
      </c>
      <c r="J43" s="10">
        <f>IFERROR(VLOOKUP('Pairings NB'!$M$193,Instructores!$A:$C,3,FALSE),"")</f>
        <v/>
      </c>
      <c r="K43" s="10">
        <f>IF('Pairings NB'!J193=320,4,3)</f>
        <v/>
      </c>
    </row>
    <row r="44">
      <c r="A44" s="10">
        <f>'Pairings NB'!B198</f>
        <v/>
      </c>
      <c r="B44" s="10">
        <f>'Pairings NB'!C198</f>
        <v/>
      </c>
      <c r="C44" s="10">
        <f>'Pairings NB'!D198</f>
        <v/>
      </c>
      <c r="D44" s="10">
        <f>'Pairings NB'!E198&amp;"/"&amp;'Pairings NB'!E199</f>
        <v/>
      </c>
      <c r="E44" s="10">
        <f>'Pairings NB'!F198&amp;"-"&amp;'Pairings NB'!G198&amp;"-"&amp;'Pairings NB'!F198</f>
        <v/>
      </c>
      <c r="F44" s="10">
        <f>IFERROR(VLOOKUP('Pairings NB'!$M$198,Instructores!$A:$C,2,FALSE),"")</f>
        <v/>
      </c>
      <c r="G44" s="10">
        <f>'Pairings NB'!$M$198</f>
        <v/>
      </c>
      <c r="H44" s="10">
        <f>'Pairings NB'!$O$198</f>
        <v/>
      </c>
      <c r="I44" s="10">
        <f>'Pairings NB'!J198</f>
        <v/>
      </c>
      <c r="J44" s="10">
        <f>IFERROR(VLOOKUP('Pairings NB'!$M$198,Instructores!$A:$C,3,FALSE),"")</f>
        <v/>
      </c>
      <c r="K44" s="10">
        <f>IF('Pairings NB'!J198=320,4,3)</f>
        <v/>
      </c>
    </row>
    <row r="45">
      <c r="A45" s="10">
        <f>'Pairings NB'!B203</f>
        <v/>
      </c>
      <c r="B45" s="10">
        <f>'Pairings NB'!C203</f>
        <v/>
      </c>
      <c r="C45" s="10">
        <f>'Pairings NB'!D203</f>
        <v/>
      </c>
      <c r="D45" s="10">
        <f>'Pairings NB'!E203&amp;"/"&amp;'Pairings NB'!E204</f>
        <v/>
      </c>
      <c r="E45" s="10">
        <f>'Pairings NB'!F203&amp;"-"&amp;'Pairings NB'!G203&amp;"-"&amp;'Pairings NB'!F203</f>
        <v/>
      </c>
      <c r="F45" s="10">
        <f>IFERROR(VLOOKUP('Pairings NB'!$M$203,Instructores!$A:$C,2,FALSE),"")</f>
        <v/>
      </c>
      <c r="G45" s="10">
        <f>'Pairings NB'!$M$203</f>
        <v/>
      </c>
      <c r="H45" s="10">
        <f>'Pairings NB'!$O$203</f>
        <v/>
      </c>
      <c r="I45" s="10">
        <f>'Pairings NB'!J203</f>
        <v/>
      </c>
      <c r="J45" s="10">
        <f>IFERROR(VLOOKUP('Pairings NB'!$M$203,Instructores!$A:$C,3,FALSE),"")</f>
        <v/>
      </c>
      <c r="K45" s="10">
        <f>IF('Pairings NB'!J203=320,4,3)</f>
        <v/>
      </c>
    </row>
    <row r="46">
      <c r="A46" s="10">
        <f>'Pairings NB'!B208</f>
        <v/>
      </c>
      <c r="B46" s="10">
        <f>'Pairings NB'!C208</f>
        <v/>
      </c>
      <c r="C46" s="10">
        <f>'Pairings NB'!D208</f>
        <v/>
      </c>
      <c r="D46" s="10">
        <f>'Pairings NB'!E208&amp;"/"&amp;'Pairings NB'!E209</f>
        <v/>
      </c>
      <c r="E46" s="10">
        <f>'Pairings NB'!F208&amp;"-"&amp;'Pairings NB'!G208&amp;"-"&amp;'Pairings NB'!F208</f>
        <v/>
      </c>
      <c r="F46" s="10">
        <f>IFERROR(VLOOKUP('Pairings NB'!$M$208,Instructores!$A:$C,2,FALSE),"")</f>
        <v/>
      </c>
      <c r="G46" s="10">
        <f>'Pairings NB'!$M$208</f>
        <v/>
      </c>
      <c r="H46" s="10">
        <f>'Pairings NB'!$O$208</f>
        <v/>
      </c>
      <c r="I46" s="10">
        <f>'Pairings NB'!J208</f>
        <v/>
      </c>
      <c r="J46" s="10">
        <f>IFERROR(VLOOKUP('Pairings NB'!$M$208,Instructores!$A:$C,3,FALSE),"")</f>
        <v/>
      </c>
      <c r="K46" s="10">
        <f>IF('Pairings NB'!J208=320,4,3)</f>
        <v/>
      </c>
    </row>
    <row r="47">
      <c r="A47" s="10">
        <f>'Pairings NB'!B213</f>
        <v/>
      </c>
      <c r="B47" s="10">
        <f>'Pairings NB'!C213</f>
        <v/>
      </c>
      <c r="C47" s="10">
        <f>'Pairings NB'!D213</f>
        <v/>
      </c>
      <c r="D47" s="10">
        <f>'Pairings NB'!E213&amp;"/"&amp;'Pairings NB'!E214</f>
        <v/>
      </c>
      <c r="E47" s="10">
        <f>'Pairings NB'!F213&amp;"-"&amp;'Pairings NB'!G213&amp;"-"&amp;'Pairings NB'!F213</f>
        <v/>
      </c>
      <c r="F47" s="10">
        <f>IFERROR(VLOOKUP('Pairings NB'!$M$213,Instructores!$A:$C,2,FALSE),"")</f>
        <v/>
      </c>
      <c r="G47" s="10">
        <f>'Pairings NB'!$M$213</f>
        <v/>
      </c>
      <c r="H47" s="10">
        <f>'Pairings NB'!$O$213</f>
        <v/>
      </c>
      <c r="I47" s="10">
        <f>'Pairings NB'!J213</f>
        <v/>
      </c>
      <c r="J47" s="10">
        <f>IFERROR(VLOOKUP('Pairings NB'!$M$213,Instructores!$A:$C,3,FALSE),"")</f>
        <v/>
      </c>
      <c r="K47" s="10">
        <f>IF('Pairings NB'!J213=320,4,3)</f>
        <v/>
      </c>
    </row>
    <row r="48">
      <c r="A48" s="10">
        <f>'Pairings NB'!B215</f>
        <v/>
      </c>
      <c r="B48" s="10">
        <f>'Pairings NB'!C215</f>
        <v/>
      </c>
      <c r="C48" s="10">
        <f>'Pairings NB'!D215</f>
        <v/>
      </c>
      <c r="D48" s="10">
        <f>'Pairings NB'!E215&amp;"/"&amp;'Pairings NB'!E216</f>
        <v/>
      </c>
      <c r="E48" s="10">
        <f>'Pairings NB'!F215&amp;"-"&amp;'Pairings NB'!G215&amp;"-"&amp;'Pairings NB'!F215</f>
        <v/>
      </c>
      <c r="F48" s="10">
        <f>IFERROR(VLOOKUP('Pairings NB'!$M$213,Instructores!$A:$C,2,FALSE),"")</f>
        <v/>
      </c>
      <c r="G48" s="10">
        <f>'Pairings NB'!$M$213</f>
        <v/>
      </c>
      <c r="H48" s="10">
        <f>'Pairings NB'!$O$213</f>
        <v/>
      </c>
      <c r="I48" s="10">
        <f>'Pairings NB'!J215</f>
        <v/>
      </c>
      <c r="J48" s="10">
        <f>IFERROR(VLOOKUP('Pairings NB'!$M$213,Instructores!$A:$C,3,FALSE),"")</f>
        <v/>
      </c>
      <c r="K48" s="10">
        <f>IF('Pairings NB'!J215=320,4,3)</f>
        <v/>
      </c>
    </row>
    <row r="49">
      <c r="A49" s="10">
        <f>'Pairings NB'!B220</f>
        <v/>
      </c>
      <c r="B49" s="10">
        <f>'Pairings NB'!C220</f>
        <v/>
      </c>
      <c r="C49" s="10">
        <f>'Pairings NB'!D220</f>
        <v/>
      </c>
      <c r="D49" s="10">
        <f>'Pairings NB'!E220&amp;"/"&amp;'Pairings NB'!E221</f>
        <v/>
      </c>
      <c r="E49" s="10">
        <f>'Pairings NB'!F220&amp;"-"&amp;'Pairings NB'!G220&amp;"-"&amp;'Pairings NB'!F220</f>
        <v/>
      </c>
      <c r="F49" s="10">
        <f>IFERROR(VLOOKUP('Pairings NB'!$M$220,Instructores!$A:$C,2,FALSE),"")</f>
        <v/>
      </c>
      <c r="G49" s="10">
        <f>'Pairings NB'!$M$220</f>
        <v/>
      </c>
      <c r="H49" s="10">
        <f>'Pairings NB'!$O$220</f>
        <v/>
      </c>
      <c r="I49" s="10">
        <f>'Pairings NB'!J220</f>
        <v/>
      </c>
      <c r="J49" s="10">
        <f>IFERROR(VLOOKUP('Pairings NB'!$M$220,Instructores!$A:$C,3,FALSE),"")</f>
        <v/>
      </c>
      <c r="K49" s="10">
        <f>IF('Pairings NB'!J220=320,4,3)</f>
        <v/>
      </c>
    </row>
    <row r="50">
      <c r="A50" s="10">
        <f>'Pairings NB'!B225</f>
        <v/>
      </c>
      <c r="B50" s="10">
        <f>'Pairings NB'!C225</f>
        <v/>
      </c>
      <c r="C50" s="10">
        <f>'Pairings NB'!D225</f>
        <v/>
      </c>
      <c r="D50" s="10">
        <f>'Pairings NB'!E225&amp;"/"&amp;'Pairings NB'!E226</f>
        <v/>
      </c>
      <c r="E50" s="10">
        <f>'Pairings NB'!F225&amp;"-"&amp;'Pairings NB'!G225&amp;"-"&amp;'Pairings NB'!F225</f>
        <v/>
      </c>
      <c r="F50" s="10">
        <f>IFERROR(VLOOKUP('Pairings NB'!$M$225,Instructores!$A:$C,2,FALSE),"")</f>
        <v/>
      </c>
      <c r="G50" s="10">
        <f>'Pairings NB'!$M$225</f>
        <v/>
      </c>
      <c r="H50" s="10">
        <f>'Pairings NB'!$O$225</f>
        <v/>
      </c>
      <c r="I50" s="10">
        <f>'Pairings NB'!J225</f>
        <v/>
      </c>
      <c r="J50" s="10">
        <f>IFERROR(VLOOKUP('Pairings NB'!$M$225,Instructores!$A:$C,3,FALSE),"")</f>
        <v/>
      </c>
      <c r="K50" s="10">
        <f>IF('Pairings NB'!J225=320,4,3)</f>
        <v/>
      </c>
    </row>
    <row r="51">
      <c r="A51" s="10">
        <f>'Pairings NB'!B227</f>
        <v/>
      </c>
      <c r="B51" s="10">
        <f>'Pairings NB'!C227</f>
        <v/>
      </c>
      <c r="C51" s="10">
        <f>'Pairings NB'!D227</f>
        <v/>
      </c>
      <c r="D51" s="10">
        <f>'Pairings NB'!E227&amp;"/"&amp;'Pairings NB'!E228</f>
        <v/>
      </c>
      <c r="E51" s="10">
        <f>'Pairings NB'!F227&amp;"-"&amp;'Pairings NB'!G227&amp;"-"&amp;'Pairings NB'!F227</f>
        <v/>
      </c>
      <c r="F51" s="10">
        <f>IFERROR(VLOOKUP('Pairings NB'!$M$225,Instructores!$A:$C,2,FALSE),"")</f>
        <v/>
      </c>
      <c r="G51" s="10">
        <f>'Pairings NB'!$M$225</f>
        <v/>
      </c>
      <c r="H51" s="10">
        <f>'Pairings NB'!$O$225</f>
        <v/>
      </c>
      <c r="I51" s="10">
        <f>'Pairings NB'!J227</f>
        <v/>
      </c>
      <c r="J51" s="10">
        <f>IFERROR(VLOOKUP('Pairings NB'!$M$225,Instructores!$A:$C,3,FALSE),"")</f>
        <v/>
      </c>
      <c r="K51" s="10">
        <f>IF('Pairings NB'!J227=320,4,3)</f>
        <v/>
      </c>
    </row>
    <row r="52">
      <c r="A52" s="10">
        <f>'Pairings NB'!B232</f>
        <v/>
      </c>
      <c r="B52" s="10">
        <f>'Pairings NB'!C232</f>
        <v/>
      </c>
      <c r="C52" s="10">
        <f>'Pairings NB'!D232</f>
        <v/>
      </c>
      <c r="D52" s="10">
        <f>'Pairings NB'!E232&amp;"/"&amp;'Pairings NB'!E233</f>
        <v/>
      </c>
      <c r="E52" s="10">
        <f>'Pairings NB'!F232&amp;"-"&amp;'Pairings NB'!G232&amp;"-"&amp;'Pairings NB'!F232</f>
        <v/>
      </c>
      <c r="F52" s="10">
        <f>IFERROR(VLOOKUP('Pairings NB'!$M$232,Instructores!$A:$C,2,FALSE),"")</f>
        <v/>
      </c>
      <c r="G52" s="10">
        <f>'Pairings NB'!$M$232</f>
        <v/>
      </c>
      <c r="H52" s="10">
        <f>'Pairings NB'!$O$232</f>
        <v/>
      </c>
      <c r="I52" s="10">
        <f>'Pairings NB'!J232</f>
        <v/>
      </c>
      <c r="J52" s="10">
        <f>IFERROR(VLOOKUP('Pairings NB'!$M$232,Instructores!$A:$C,3,FALSE),"")</f>
        <v/>
      </c>
      <c r="K52" s="10">
        <f>IF('Pairings NB'!J232=320,4,3)</f>
        <v/>
      </c>
    </row>
    <row r="53">
      <c r="A53" s="10">
        <f>'Pairings NB'!B237</f>
        <v/>
      </c>
      <c r="B53" s="10">
        <f>'Pairings NB'!C237</f>
        <v/>
      </c>
      <c r="C53" s="10">
        <f>'Pairings NB'!D237</f>
        <v/>
      </c>
      <c r="D53" s="10">
        <f>'Pairings NB'!E237&amp;"/"&amp;'Pairings NB'!E238</f>
        <v/>
      </c>
      <c r="E53" s="10">
        <f>'Pairings NB'!F237&amp;"-"&amp;'Pairings NB'!G237&amp;"-"&amp;'Pairings NB'!F237</f>
        <v/>
      </c>
      <c r="F53" s="10">
        <f>IFERROR(VLOOKUP('Pairings NB'!$M$237,Instructores!$A:$C,2,FALSE),"")</f>
        <v/>
      </c>
      <c r="G53" s="10">
        <f>'Pairings NB'!$M$237</f>
        <v/>
      </c>
      <c r="H53" s="10">
        <f>'Pairings NB'!$O$237</f>
        <v/>
      </c>
      <c r="I53" s="10">
        <f>'Pairings NB'!J237</f>
        <v/>
      </c>
      <c r="J53" s="10">
        <f>IFERROR(VLOOKUP('Pairings NB'!$M$237,Instructores!$A:$C,3,FALSE),"")</f>
        <v/>
      </c>
      <c r="K53" s="10">
        <f>IF('Pairings NB'!J237=320,4,3)</f>
        <v/>
      </c>
    </row>
    <row r="54">
      <c r="A54" s="10">
        <f>'Pairings NB'!B242</f>
        <v/>
      </c>
      <c r="B54" s="10">
        <f>'Pairings NB'!C242</f>
        <v/>
      </c>
      <c r="C54" s="10">
        <f>'Pairings NB'!D242</f>
        <v/>
      </c>
      <c r="D54" s="10">
        <f>'Pairings NB'!E242&amp;"/"&amp;'Pairings NB'!E243</f>
        <v/>
      </c>
      <c r="E54" s="10">
        <f>'Pairings NB'!F242&amp;"-"&amp;'Pairings NB'!G242&amp;"-"&amp;'Pairings NB'!F242</f>
        <v/>
      </c>
      <c r="F54" s="10">
        <f>IFERROR(VLOOKUP('Pairings NB'!$M$242,Instructores!$A:$C,2,FALSE),"")</f>
        <v/>
      </c>
      <c r="G54" s="10">
        <f>'Pairings NB'!$M$242</f>
        <v/>
      </c>
      <c r="H54" s="10">
        <f>'Pairings NB'!$O$242</f>
        <v/>
      </c>
      <c r="I54" s="10">
        <f>'Pairings NB'!J242</f>
        <v/>
      </c>
      <c r="J54" s="10">
        <f>IFERROR(VLOOKUP('Pairings NB'!$M$242,Instructores!$A:$C,3,FALSE),"")</f>
        <v/>
      </c>
      <c r="K54" s="10">
        <f>IF('Pairings NB'!J242=320,4,3)</f>
        <v/>
      </c>
    </row>
    <row r="55">
      <c r="A55" s="10">
        <f>'Pairings NB'!B247</f>
        <v/>
      </c>
      <c r="B55" s="10">
        <f>'Pairings NB'!C247</f>
        <v/>
      </c>
      <c r="C55" s="10">
        <f>'Pairings NB'!D247</f>
        <v/>
      </c>
      <c r="D55" s="10">
        <f>'Pairings NB'!E247&amp;"/"&amp;'Pairings NB'!E248</f>
        <v/>
      </c>
      <c r="E55" s="10">
        <f>'Pairings NB'!F247&amp;"-"&amp;'Pairings NB'!G247&amp;"-"&amp;'Pairings NB'!F247</f>
        <v/>
      </c>
      <c r="F55" s="10">
        <f>IFERROR(VLOOKUP('Pairings NB'!$M$247,Instructores!$A:$C,2,FALSE),"")</f>
        <v/>
      </c>
      <c r="G55" s="10">
        <f>'Pairings NB'!$M$247</f>
        <v/>
      </c>
      <c r="H55" s="10">
        <f>'Pairings NB'!$O$247</f>
        <v/>
      </c>
      <c r="I55" s="10">
        <f>'Pairings NB'!J247</f>
        <v/>
      </c>
      <c r="J55" s="10">
        <f>IFERROR(VLOOKUP('Pairings NB'!$M$247,Instructores!$A:$C,3,FALSE),"")</f>
        <v/>
      </c>
      <c r="K55" s="10">
        <f>IF('Pairings NB'!J247=320,4,3)</f>
        <v/>
      </c>
    </row>
    <row r="56">
      <c r="A56" s="10">
        <f>'Pairings NB'!B252</f>
        <v/>
      </c>
      <c r="B56" s="10">
        <f>'Pairings NB'!C252</f>
        <v/>
      </c>
      <c r="C56" s="10">
        <f>'Pairings NB'!D252</f>
        <v/>
      </c>
      <c r="D56" s="10">
        <f>'Pairings NB'!E252&amp;"/"&amp;'Pairings NB'!E253</f>
        <v/>
      </c>
      <c r="E56" s="10">
        <f>'Pairings NB'!F252&amp;"-"&amp;'Pairings NB'!G252&amp;"-"&amp;'Pairings NB'!F252</f>
        <v/>
      </c>
      <c r="F56" s="10">
        <f>IFERROR(VLOOKUP('Pairings NB'!$M$252,Instructores!$A:$C,2,FALSE),"")</f>
        <v/>
      </c>
      <c r="G56" s="10">
        <f>'Pairings NB'!$M$252</f>
        <v/>
      </c>
      <c r="H56" s="10">
        <f>'Pairings NB'!$O$252</f>
        <v/>
      </c>
      <c r="I56" s="10">
        <f>'Pairings NB'!J252</f>
        <v/>
      </c>
      <c r="J56" s="10">
        <f>IFERROR(VLOOKUP('Pairings NB'!$M$252,Instructores!$A:$C,3,FALSE),"")</f>
        <v/>
      </c>
      <c r="K56" s="10">
        <f>IF('Pairings NB'!J252=320,4,3)</f>
        <v/>
      </c>
    </row>
    <row r="57">
      <c r="A57" s="10">
        <f>'Pairings NB'!B257</f>
        <v/>
      </c>
      <c r="B57" s="10">
        <f>'Pairings NB'!C257</f>
        <v/>
      </c>
      <c r="C57" s="10">
        <f>'Pairings NB'!D257</f>
        <v/>
      </c>
      <c r="D57" s="10">
        <f>'Pairings NB'!E257&amp;"/"&amp;'Pairings NB'!E258</f>
        <v/>
      </c>
      <c r="E57" s="10">
        <f>'Pairings NB'!F257&amp;"-"&amp;'Pairings NB'!G257&amp;"-"&amp;'Pairings NB'!F257</f>
        <v/>
      </c>
      <c r="F57" s="10">
        <f>IFERROR(VLOOKUP('Pairings NB'!$M$257,Instructores!$A:$C,2,FALSE),"")</f>
        <v/>
      </c>
      <c r="G57" s="10">
        <f>'Pairings NB'!$M$257</f>
        <v/>
      </c>
      <c r="H57" s="10">
        <f>'Pairings NB'!$O$257</f>
        <v/>
      </c>
      <c r="I57" s="10">
        <f>'Pairings NB'!J257</f>
        <v/>
      </c>
      <c r="J57" s="10">
        <f>IFERROR(VLOOKUP('Pairings NB'!$M$257,Instructores!$A:$C,3,FALSE),"")</f>
        <v/>
      </c>
      <c r="K57" s="10">
        <f>IF('Pairings NB'!J257=320,4,3)</f>
        <v/>
      </c>
    </row>
    <row r="58">
      <c r="A58" s="10">
        <f>'Pairings NB'!B262</f>
        <v/>
      </c>
      <c r="B58" s="10">
        <f>'Pairings NB'!C262</f>
        <v/>
      </c>
      <c r="C58" s="10">
        <f>'Pairings NB'!D262</f>
        <v/>
      </c>
      <c r="D58" s="10">
        <f>'Pairings NB'!E262&amp;"/"&amp;'Pairings NB'!E263</f>
        <v/>
      </c>
      <c r="E58" s="10">
        <f>'Pairings NB'!F262&amp;"-"&amp;'Pairings NB'!G262&amp;"-"&amp;'Pairings NB'!F262</f>
        <v/>
      </c>
      <c r="F58" s="10">
        <f>IFERROR(VLOOKUP('Pairings NB'!$M$262,Instructores!$A:$C,2,FALSE),"")</f>
        <v/>
      </c>
      <c r="G58" s="10">
        <f>'Pairings NB'!$M$262</f>
        <v/>
      </c>
      <c r="H58" s="10">
        <f>'Pairings NB'!$O$262</f>
        <v/>
      </c>
      <c r="I58" s="10">
        <f>'Pairings NB'!J262</f>
        <v/>
      </c>
      <c r="J58" s="10">
        <f>IFERROR(VLOOKUP('Pairings NB'!$M$262,Instructores!$A:$C,3,FALSE),"")</f>
        <v/>
      </c>
      <c r="K58" s="10">
        <f>IF('Pairings NB'!J262=320,4,3)</f>
        <v/>
      </c>
    </row>
    <row r="59">
      <c r="A59" s="10">
        <f>'Pairings NB'!B267</f>
        <v/>
      </c>
      <c r="B59" s="10">
        <f>'Pairings NB'!C267</f>
        <v/>
      </c>
      <c r="C59" s="10">
        <f>'Pairings NB'!D267</f>
        <v/>
      </c>
      <c r="D59" s="10">
        <f>'Pairings NB'!E267&amp;"/"&amp;'Pairings NB'!E268</f>
        <v/>
      </c>
      <c r="E59" s="10">
        <f>'Pairings NB'!F267&amp;"-"&amp;'Pairings NB'!G267&amp;"-"&amp;'Pairings NB'!F267</f>
        <v/>
      </c>
      <c r="F59" s="10">
        <f>IFERROR(VLOOKUP('Pairings NB'!$M$267,Instructores!$A:$C,2,FALSE),"")</f>
        <v/>
      </c>
      <c r="G59" s="10">
        <f>'Pairings NB'!$M$267</f>
        <v/>
      </c>
      <c r="H59" s="10">
        <f>'Pairings NB'!$O$267</f>
        <v/>
      </c>
      <c r="I59" s="10">
        <f>'Pairings NB'!J267</f>
        <v/>
      </c>
      <c r="J59" s="10">
        <f>IFERROR(VLOOKUP('Pairings NB'!$M$267,Instructores!$A:$C,3,FALSE),"")</f>
        <v/>
      </c>
      <c r="K59" s="10">
        <f>IF('Pairings NB'!J267=320,4,3)</f>
        <v/>
      </c>
    </row>
    <row r="60">
      <c r="A60" s="10">
        <f>'Pairings NB'!B272</f>
        <v/>
      </c>
      <c r="B60" s="10">
        <f>'Pairings NB'!C272</f>
        <v/>
      </c>
      <c r="C60" s="10">
        <f>'Pairings NB'!D272</f>
        <v/>
      </c>
      <c r="D60" s="10">
        <f>'Pairings NB'!E272&amp;"/"&amp;'Pairings NB'!E273</f>
        <v/>
      </c>
      <c r="E60" s="10">
        <f>'Pairings NB'!F272&amp;"-"&amp;'Pairings NB'!G272&amp;"-"&amp;'Pairings NB'!F272</f>
        <v/>
      </c>
      <c r="F60" s="10">
        <f>IFERROR(VLOOKUP('Pairings NB'!$M$272,Instructores!$A:$C,2,FALSE),"")</f>
        <v/>
      </c>
      <c r="G60" s="10">
        <f>'Pairings NB'!$M$272</f>
        <v/>
      </c>
      <c r="H60" s="10">
        <f>'Pairings NB'!$O$272</f>
        <v/>
      </c>
      <c r="I60" s="10">
        <f>'Pairings NB'!J272</f>
        <v/>
      </c>
      <c r="J60" s="10">
        <f>IFERROR(VLOOKUP('Pairings NB'!$M$272,Instructores!$A:$C,3,FALSE),"")</f>
        <v/>
      </c>
      <c r="K60" s="10">
        <f>IF('Pairings NB'!J272=320,4,3)</f>
        <v/>
      </c>
    </row>
    <row r="61">
      <c r="A61" s="10">
        <f>'Pairings NB'!B277</f>
        <v/>
      </c>
      <c r="B61" s="10">
        <f>'Pairings NB'!C277</f>
        <v/>
      </c>
      <c r="C61" s="10">
        <f>'Pairings NB'!D277</f>
        <v/>
      </c>
      <c r="D61" s="10">
        <f>'Pairings NB'!E277&amp;"/"&amp;'Pairings NB'!E278</f>
        <v/>
      </c>
      <c r="E61" s="10">
        <f>'Pairings NB'!F277&amp;"-"&amp;'Pairings NB'!G277&amp;"-"&amp;'Pairings NB'!F277</f>
        <v/>
      </c>
      <c r="F61" s="10">
        <f>IFERROR(VLOOKUP('Pairings NB'!$M$277,Instructores!$A:$C,2,FALSE),"")</f>
        <v/>
      </c>
      <c r="G61" s="10">
        <f>'Pairings NB'!$M$277</f>
        <v/>
      </c>
      <c r="H61" s="10">
        <f>'Pairings NB'!$O$277</f>
        <v/>
      </c>
      <c r="I61" s="10">
        <f>'Pairings NB'!J277</f>
        <v/>
      </c>
      <c r="J61" s="10">
        <f>IFERROR(VLOOKUP('Pairings NB'!$M$277,Instructores!$A:$C,3,FALSE),"")</f>
        <v/>
      </c>
      <c r="K61" s="10">
        <f>IF('Pairings NB'!J277=320,4,3)</f>
        <v/>
      </c>
    </row>
    <row r="62">
      <c r="A62" s="10">
        <f>'Pairings NB'!B282</f>
        <v/>
      </c>
      <c r="B62" s="10">
        <f>'Pairings NB'!C282</f>
        <v/>
      </c>
      <c r="C62" s="10">
        <f>'Pairings NB'!D282</f>
        <v/>
      </c>
      <c r="D62" s="10">
        <f>'Pairings NB'!E282&amp;"/"&amp;'Pairings NB'!E283</f>
        <v/>
      </c>
      <c r="E62" s="10">
        <f>'Pairings NB'!F282&amp;"-"&amp;'Pairings NB'!G282&amp;"-"&amp;'Pairings NB'!F282</f>
        <v/>
      </c>
      <c r="F62" s="10">
        <f>IFERROR(VLOOKUP('Pairings NB'!$M$282,Instructores!$A:$C,2,FALSE),"")</f>
        <v/>
      </c>
      <c r="G62" s="10">
        <f>'Pairings NB'!$M$282</f>
        <v/>
      </c>
      <c r="H62" s="10">
        <f>'Pairings NB'!$O$282</f>
        <v/>
      </c>
      <c r="I62" s="10">
        <f>'Pairings NB'!J282</f>
        <v/>
      </c>
      <c r="J62" s="10">
        <f>IFERROR(VLOOKUP('Pairings NB'!$M$282,Instructores!$A:$C,3,FALSE),"")</f>
        <v/>
      </c>
      <c r="K62" s="10">
        <f>IF('Pairings NB'!J282=320,4,3)</f>
        <v/>
      </c>
    </row>
    <row r="63">
      <c r="A63" s="10">
        <f>'Pairings NB'!B284</f>
        <v/>
      </c>
      <c r="B63" s="10">
        <f>'Pairings NB'!C284</f>
        <v/>
      </c>
      <c r="C63" s="10">
        <f>'Pairings NB'!D284</f>
        <v/>
      </c>
      <c r="D63" s="10">
        <f>'Pairings NB'!E284&amp;"/"&amp;'Pairings NB'!E285</f>
        <v/>
      </c>
      <c r="E63" s="10">
        <f>'Pairings NB'!F284&amp;"-"&amp;'Pairings NB'!G284&amp;"-"&amp;'Pairings NB'!F284</f>
        <v/>
      </c>
      <c r="F63" s="10">
        <f>IFERROR(VLOOKUP('Pairings NB'!$M$282,Instructores!$A:$C,2,FALSE),"")</f>
        <v/>
      </c>
      <c r="G63" s="10">
        <f>'Pairings NB'!$M$282</f>
        <v/>
      </c>
      <c r="H63" s="10">
        <f>'Pairings NB'!$O$282</f>
        <v/>
      </c>
      <c r="I63" s="10">
        <f>'Pairings NB'!J284</f>
        <v/>
      </c>
      <c r="J63" s="10">
        <f>IFERROR(VLOOKUP('Pairings NB'!$M$282,Instructores!$A:$C,3,FALSE),"")</f>
        <v/>
      </c>
      <c r="K63" s="10">
        <f>IF('Pairings NB'!J284=320,4,3)</f>
        <v/>
      </c>
    </row>
    <row r="64">
      <c r="A64" s="10">
        <f>'Pairings NB'!B289</f>
        <v/>
      </c>
      <c r="B64" s="10">
        <f>'Pairings NB'!C289</f>
        <v/>
      </c>
      <c r="C64" s="10">
        <f>'Pairings NB'!D289</f>
        <v/>
      </c>
      <c r="D64" s="10">
        <f>'Pairings NB'!E289&amp;"/"&amp;'Pairings NB'!E290</f>
        <v/>
      </c>
      <c r="E64" s="10">
        <f>'Pairings NB'!F289&amp;"-"&amp;'Pairings NB'!G289&amp;"-"&amp;'Pairings NB'!F289</f>
        <v/>
      </c>
      <c r="F64" s="10">
        <f>IFERROR(VLOOKUP('Pairings NB'!$M$289,Instructores!$A:$C,2,FALSE),"")</f>
        <v/>
      </c>
      <c r="G64" s="10">
        <f>'Pairings NB'!$M$289</f>
        <v/>
      </c>
      <c r="H64" s="10">
        <f>'Pairings NB'!$O$289</f>
        <v/>
      </c>
      <c r="I64" s="10">
        <f>'Pairings NB'!J289</f>
        <v/>
      </c>
      <c r="J64" s="10">
        <f>IFERROR(VLOOKUP('Pairings NB'!$M$289,Instructores!$A:$C,3,FALSE),"")</f>
        <v/>
      </c>
      <c r="K64" s="10">
        <f>IF('Pairings NB'!J289=320,4,3)</f>
        <v/>
      </c>
    </row>
    <row r="65">
      <c r="A65" s="10">
        <f>'Pairings NB'!B291</f>
        <v/>
      </c>
      <c r="B65" s="10">
        <f>'Pairings NB'!C291</f>
        <v/>
      </c>
      <c r="C65" s="10">
        <f>'Pairings NB'!D291</f>
        <v/>
      </c>
      <c r="D65" s="10">
        <f>'Pairings NB'!E291&amp;"/"&amp;'Pairings NB'!E292</f>
        <v/>
      </c>
      <c r="E65" s="10">
        <f>'Pairings NB'!F291&amp;"-"&amp;'Pairings NB'!G291&amp;"-"&amp;'Pairings NB'!F291</f>
        <v/>
      </c>
      <c r="F65" s="10">
        <f>IFERROR(VLOOKUP('Pairings NB'!$M$289,Instructores!$A:$C,2,FALSE),"")</f>
        <v/>
      </c>
      <c r="G65" s="10">
        <f>'Pairings NB'!$M$289</f>
        <v/>
      </c>
      <c r="H65" s="10">
        <f>'Pairings NB'!$O$289</f>
        <v/>
      </c>
      <c r="I65" s="10">
        <f>'Pairings NB'!J291</f>
        <v/>
      </c>
      <c r="J65" s="10">
        <f>IFERROR(VLOOKUP('Pairings NB'!$M$289,Instructores!$A:$C,3,FALSE),"")</f>
        <v/>
      </c>
      <c r="K65" s="10">
        <f>IF('Pairings NB'!J291=320,4,3)</f>
        <v/>
      </c>
    </row>
    <row r="66">
      <c r="A66" s="10">
        <f>'Pairings NB'!B296</f>
        <v/>
      </c>
      <c r="B66" s="10">
        <f>'Pairings NB'!C296</f>
        <v/>
      </c>
      <c r="C66" s="10">
        <f>'Pairings NB'!D296</f>
        <v/>
      </c>
      <c r="D66" s="10">
        <f>'Pairings NB'!E296&amp;"/"&amp;'Pairings NB'!E297</f>
        <v/>
      </c>
      <c r="E66" s="10">
        <f>'Pairings NB'!F296&amp;"-"&amp;'Pairings NB'!G296&amp;"-"&amp;'Pairings NB'!F296</f>
        <v/>
      </c>
      <c r="F66" s="10">
        <f>IFERROR(VLOOKUP('Pairings NB'!$M$296,Instructores!$A:$C,2,FALSE),"")</f>
        <v/>
      </c>
      <c r="G66" s="10">
        <f>'Pairings NB'!$M$296</f>
        <v/>
      </c>
      <c r="H66" s="10">
        <f>'Pairings NB'!$O$296</f>
        <v/>
      </c>
      <c r="I66" s="10">
        <f>'Pairings NB'!J296</f>
        <v/>
      </c>
      <c r="J66" s="10">
        <f>IFERROR(VLOOKUP('Pairings NB'!$M$296,Instructores!$A:$C,3,FALSE),"")</f>
        <v/>
      </c>
      <c r="K66" s="10">
        <f>IF('Pairings NB'!J296=320,4,3)</f>
        <v/>
      </c>
    </row>
    <row r="67">
      <c r="A67" s="10">
        <f>'Pairings NB'!B301</f>
        <v/>
      </c>
      <c r="B67" s="10">
        <f>'Pairings NB'!C301</f>
        <v/>
      </c>
      <c r="C67" s="10">
        <f>'Pairings NB'!D301</f>
        <v/>
      </c>
      <c r="D67" s="10">
        <f>'Pairings NB'!E301&amp;"/"&amp;'Pairings NB'!E302</f>
        <v/>
      </c>
      <c r="E67" s="10">
        <f>'Pairings NB'!F301&amp;"-"&amp;'Pairings NB'!G301&amp;"-"&amp;'Pairings NB'!F301</f>
        <v/>
      </c>
      <c r="F67" s="10">
        <f>IFERROR(VLOOKUP('Pairings NB'!$M$301,Instructores!$A:$C,2,FALSE),"")</f>
        <v/>
      </c>
      <c r="G67" s="10">
        <f>'Pairings NB'!$M$301</f>
        <v/>
      </c>
      <c r="H67" s="10">
        <f>'Pairings NB'!$O$301</f>
        <v/>
      </c>
      <c r="I67" s="10">
        <f>'Pairings NB'!J301</f>
        <v/>
      </c>
      <c r="J67" s="10">
        <f>IFERROR(VLOOKUP('Pairings NB'!$M$301,Instructores!$A:$C,3,FALSE),"")</f>
        <v/>
      </c>
      <c r="K67" s="10">
        <f>IF('Pairings NB'!J301=320,4,3)</f>
        <v/>
      </c>
    </row>
    <row r="68">
      <c r="A68" s="10">
        <f>'Pairings NB'!B306</f>
        <v/>
      </c>
      <c r="B68" s="10">
        <f>'Pairings NB'!C306</f>
        <v/>
      </c>
      <c r="C68" s="10">
        <f>'Pairings NB'!D306</f>
        <v/>
      </c>
      <c r="D68" s="10">
        <f>'Pairings NB'!E306&amp;"/"&amp;'Pairings NB'!E307</f>
        <v/>
      </c>
      <c r="E68" s="10">
        <f>'Pairings NB'!F306&amp;"-"&amp;'Pairings NB'!G306&amp;"-"&amp;'Pairings NB'!F306</f>
        <v/>
      </c>
      <c r="F68" s="10">
        <f>IFERROR(VLOOKUP('Pairings NB'!$M$306,Instructores!$A:$C,2,FALSE),"")</f>
        <v/>
      </c>
      <c r="G68" s="10">
        <f>'Pairings NB'!$M$306</f>
        <v/>
      </c>
      <c r="H68" s="10">
        <f>'Pairings NB'!$O$306</f>
        <v/>
      </c>
      <c r="I68" s="10">
        <f>'Pairings NB'!J306</f>
        <v/>
      </c>
      <c r="J68" s="10">
        <f>IFERROR(VLOOKUP('Pairings NB'!$M$306,Instructores!$A:$C,3,FALSE),"")</f>
        <v/>
      </c>
      <c r="K68" s="10">
        <f>IF('Pairings NB'!J306=320,4,3)</f>
        <v/>
      </c>
    </row>
    <row r="69">
      <c r="A69" s="10">
        <f>'Pairings NB'!B311</f>
        <v/>
      </c>
      <c r="B69" s="10">
        <f>'Pairings NB'!C311</f>
        <v/>
      </c>
      <c r="C69" s="10">
        <f>'Pairings NB'!D311</f>
        <v/>
      </c>
      <c r="D69" s="10">
        <f>'Pairings NB'!E311&amp;"/"&amp;'Pairings NB'!E312</f>
        <v/>
      </c>
      <c r="E69" s="10">
        <f>'Pairings NB'!F311&amp;"-"&amp;'Pairings NB'!G311&amp;"-"&amp;'Pairings NB'!F311</f>
        <v/>
      </c>
      <c r="F69" s="10">
        <f>IFERROR(VLOOKUP('Pairings NB'!$M$311,Instructores!$A:$C,2,FALSE),"")</f>
        <v/>
      </c>
      <c r="G69" s="10">
        <f>'Pairings NB'!$M$311</f>
        <v/>
      </c>
      <c r="H69" s="10">
        <f>'Pairings NB'!$O$311</f>
        <v/>
      </c>
      <c r="I69" s="10">
        <f>'Pairings NB'!J311</f>
        <v/>
      </c>
      <c r="J69" s="10">
        <f>IFERROR(VLOOKUP('Pairings NB'!$M$311,Instructores!$A:$C,3,FALSE),"")</f>
        <v/>
      </c>
      <c r="K69" s="10">
        <f>IF('Pairings NB'!J311=320,4,3)</f>
        <v/>
      </c>
    </row>
    <row r="70">
      <c r="A70" s="10">
        <f>'Pairings NB'!B316</f>
        <v/>
      </c>
      <c r="B70" s="10">
        <f>'Pairings NB'!C316</f>
        <v/>
      </c>
      <c r="C70" s="10">
        <f>'Pairings NB'!D316</f>
        <v/>
      </c>
      <c r="D70" s="10">
        <f>'Pairings NB'!E316&amp;"/"&amp;'Pairings NB'!E317</f>
        <v/>
      </c>
      <c r="E70" s="10">
        <f>'Pairings NB'!F316&amp;"-"&amp;'Pairings NB'!G316&amp;"-"&amp;'Pairings NB'!F316</f>
        <v/>
      </c>
      <c r="F70" s="10">
        <f>IFERROR(VLOOKUP('Pairings NB'!$M$316,Instructores!$A:$C,2,FALSE),"")</f>
        <v/>
      </c>
      <c r="G70" s="10">
        <f>'Pairings NB'!$M$316</f>
        <v/>
      </c>
      <c r="H70" s="10">
        <f>'Pairings NB'!$O$316</f>
        <v/>
      </c>
      <c r="I70" s="10">
        <f>'Pairings NB'!J316</f>
        <v/>
      </c>
      <c r="J70" s="10">
        <f>IFERROR(VLOOKUP('Pairings NB'!$M$316,Instructores!$A:$C,3,FALSE),"")</f>
        <v/>
      </c>
      <c r="K70" s="10">
        <f>IF('Pairings NB'!J316=320,4,3)</f>
        <v/>
      </c>
    </row>
    <row r="71">
      <c r="A71" s="10">
        <f>'Pairings NB'!B321</f>
        <v/>
      </c>
      <c r="B71" s="10">
        <f>'Pairings NB'!C321</f>
        <v/>
      </c>
      <c r="C71" s="10">
        <f>'Pairings NB'!D321</f>
        <v/>
      </c>
      <c r="D71" s="10">
        <f>'Pairings NB'!E321&amp;"/"&amp;'Pairings NB'!E322</f>
        <v/>
      </c>
      <c r="E71" s="10">
        <f>'Pairings NB'!F321&amp;"-"&amp;'Pairings NB'!G321&amp;"-"&amp;'Pairings NB'!F321</f>
        <v/>
      </c>
      <c r="F71" s="10">
        <f>IFERROR(VLOOKUP('Pairings NB'!$M$321,Instructores!$A:$C,2,FALSE),"")</f>
        <v/>
      </c>
      <c r="G71" s="10">
        <f>'Pairings NB'!$M$321</f>
        <v/>
      </c>
      <c r="H71" s="10">
        <f>'Pairings NB'!$O$321</f>
        <v/>
      </c>
      <c r="I71" s="10">
        <f>'Pairings NB'!J321</f>
        <v/>
      </c>
      <c r="J71" s="10">
        <f>IFERROR(VLOOKUP('Pairings NB'!$M$321,Instructores!$A:$C,3,FALSE),"")</f>
        <v/>
      </c>
      <c r="K71" s="10">
        <f>IF('Pairings NB'!J321=320,4,3)</f>
        <v/>
      </c>
    </row>
    <row r="72">
      <c r="A72" s="10">
        <f>'Pairings NB'!B323</f>
        <v/>
      </c>
      <c r="B72" s="10">
        <f>'Pairings NB'!C323</f>
        <v/>
      </c>
      <c r="C72" s="10">
        <f>'Pairings NB'!D323</f>
        <v/>
      </c>
      <c r="D72" s="10">
        <f>'Pairings NB'!E323&amp;"/"&amp;'Pairings NB'!E324</f>
        <v/>
      </c>
      <c r="E72" s="10">
        <f>'Pairings NB'!F323&amp;"-"&amp;'Pairings NB'!G323&amp;"-"&amp;'Pairings NB'!F323</f>
        <v/>
      </c>
      <c r="F72" s="10">
        <f>IFERROR(VLOOKUP('Pairings NB'!$M$321,Instructores!$A:$C,2,FALSE),"")</f>
        <v/>
      </c>
      <c r="G72" s="10">
        <f>'Pairings NB'!$M$321</f>
        <v/>
      </c>
      <c r="H72" s="10">
        <f>'Pairings NB'!$O$321</f>
        <v/>
      </c>
      <c r="I72" s="10">
        <f>'Pairings NB'!J323</f>
        <v/>
      </c>
      <c r="J72" s="10">
        <f>IFERROR(VLOOKUP('Pairings NB'!$M$321,Instructores!$A:$C,3,FALSE),"")</f>
        <v/>
      </c>
      <c r="K72" s="10">
        <f>IF('Pairings NB'!J323=320,4,3)</f>
        <v/>
      </c>
    </row>
    <row r="73">
      <c r="A73" s="10">
        <f>'Pairings NB'!B328</f>
        <v/>
      </c>
      <c r="B73" s="10">
        <f>'Pairings NB'!C328</f>
        <v/>
      </c>
      <c r="C73" s="10">
        <f>'Pairings NB'!D328</f>
        <v/>
      </c>
      <c r="D73" s="10">
        <f>'Pairings NB'!E328&amp;"/"&amp;'Pairings NB'!E329</f>
        <v/>
      </c>
      <c r="E73" s="10">
        <f>'Pairings NB'!F328&amp;"-"&amp;'Pairings NB'!G328&amp;"-"&amp;'Pairings NB'!F328</f>
        <v/>
      </c>
      <c r="F73" s="10">
        <f>IFERROR(VLOOKUP('Pairings NB'!$M$328,Instructores!$A:$C,2,FALSE),"")</f>
        <v/>
      </c>
      <c r="G73" s="10">
        <f>'Pairings NB'!$M$328</f>
        <v/>
      </c>
      <c r="H73" s="10">
        <f>'Pairings NB'!$O$328</f>
        <v/>
      </c>
      <c r="I73" s="10">
        <f>'Pairings NB'!J328</f>
        <v/>
      </c>
      <c r="J73" s="10">
        <f>IFERROR(VLOOKUP('Pairings NB'!$M$328,Instructores!$A:$C,3,FALSE),"")</f>
        <v/>
      </c>
      <c r="K73" s="10">
        <f>IF('Pairings NB'!J328=320,4,3)</f>
        <v/>
      </c>
    </row>
    <row r="74">
      <c r="A74" s="10">
        <f>'Pairings NB'!B333</f>
        <v/>
      </c>
      <c r="B74" s="10">
        <f>'Pairings NB'!C333</f>
        <v/>
      </c>
      <c r="C74" s="10">
        <f>'Pairings NB'!D333</f>
        <v/>
      </c>
      <c r="D74" s="10">
        <f>'Pairings NB'!E333&amp;"/"&amp;'Pairings NB'!E334</f>
        <v/>
      </c>
      <c r="E74" s="10">
        <f>'Pairings NB'!F333&amp;"-"&amp;'Pairings NB'!G333&amp;"-"&amp;'Pairings NB'!F333</f>
        <v/>
      </c>
      <c r="F74" s="10">
        <f>IFERROR(VLOOKUP('Pairings NB'!$M$333,Instructores!$A:$C,2,FALSE),"")</f>
        <v/>
      </c>
      <c r="G74" s="10">
        <f>'Pairings NB'!$M$333</f>
        <v/>
      </c>
      <c r="H74" s="10">
        <f>'Pairings NB'!$O$333</f>
        <v/>
      </c>
      <c r="I74" s="10">
        <f>'Pairings NB'!J333</f>
        <v/>
      </c>
      <c r="J74" s="10">
        <f>IFERROR(VLOOKUP('Pairings NB'!$M$333,Instructores!$A:$C,3,FALSE),"")</f>
        <v/>
      </c>
      <c r="K74" s="10">
        <f>IF('Pairings NB'!J333=320,4,3)</f>
        <v/>
      </c>
    </row>
    <row r="75">
      <c r="A75" s="10">
        <f>'Pairings NB'!B338</f>
        <v/>
      </c>
      <c r="B75" s="10">
        <f>'Pairings NB'!C338</f>
        <v/>
      </c>
      <c r="C75" s="10">
        <f>'Pairings NB'!D338</f>
        <v/>
      </c>
      <c r="D75" s="10">
        <f>'Pairings NB'!E338&amp;"/"&amp;'Pairings NB'!E339</f>
        <v/>
      </c>
      <c r="E75" s="10">
        <f>'Pairings NB'!F338&amp;"-"&amp;'Pairings NB'!G338&amp;"-"&amp;'Pairings NB'!F338</f>
        <v/>
      </c>
      <c r="F75" s="10">
        <f>IFERROR(VLOOKUP('Pairings NB'!$M$338,Instructores!$A:$C,2,FALSE),"")</f>
        <v/>
      </c>
      <c r="G75" s="10">
        <f>'Pairings NB'!$M$338</f>
        <v/>
      </c>
      <c r="H75" s="10">
        <f>'Pairings NB'!$O$338</f>
        <v/>
      </c>
      <c r="I75" s="10">
        <f>'Pairings NB'!J338</f>
        <v/>
      </c>
      <c r="J75" s="10">
        <f>IFERROR(VLOOKUP('Pairings NB'!$M$338,Instructores!$A:$C,3,FALSE),"")</f>
        <v/>
      </c>
      <c r="K75" s="10">
        <f>IF('Pairings NB'!J338=320,4,3)</f>
        <v/>
      </c>
    </row>
    <row r="76">
      <c r="A76" s="10">
        <f>'Pairings NB'!B343</f>
        <v/>
      </c>
      <c r="B76" s="10">
        <f>'Pairings NB'!C343</f>
        <v/>
      </c>
      <c r="C76" s="10">
        <f>'Pairings NB'!D343</f>
        <v/>
      </c>
      <c r="D76" s="10">
        <f>'Pairings NB'!E343&amp;"/"&amp;'Pairings NB'!E344</f>
        <v/>
      </c>
      <c r="E76" s="10">
        <f>'Pairings NB'!F343&amp;"-"&amp;'Pairings NB'!G343&amp;"-"&amp;'Pairings NB'!F343</f>
        <v/>
      </c>
      <c r="F76" s="10">
        <f>IFERROR(VLOOKUP('Pairings NB'!$M$343,Instructores!$A:$C,2,FALSE),"")</f>
        <v/>
      </c>
      <c r="G76" s="10">
        <f>'Pairings NB'!$M$343</f>
        <v/>
      </c>
      <c r="H76" s="10">
        <f>'Pairings NB'!$O$343</f>
        <v/>
      </c>
      <c r="I76" s="10">
        <f>'Pairings NB'!J343</f>
        <v/>
      </c>
      <c r="J76" s="10">
        <f>IFERROR(VLOOKUP('Pairings NB'!$M$343,Instructores!$A:$C,3,FALSE),"")</f>
        <v/>
      </c>
      <c r="K76" s="10">
        <f>IF('Pairings NB'!J343=320,4,3)</f>
        <v/>
      </c>
    </row>
    <row r="77">
      <c r="A77" s="10">
        <f>'Pairings NB'!B348</f>
        <v/>
      </c>
      <c r="B77" s="10">
        <f>'Pairings NB'!C348</f>
        <v/>
      </c>
      <c r="C77" s="10">
        <f>'Pairings NB'!D348</f>
        <v/>
      </c>
      <c r="D77" s="10">
        <f>'Pairings NB'!E348&amp;"/"&amp;'Pairings NB'!E349</f>
        <v/>
      </c>
      <c r="E77" s="10">
        <f>'Pairings NB'!F348&amp;"-"&amp;'Pairings NB'!G348&amp;"-"&amp;'Pairings NB'!F348</f>
        <v/>
      </c>
      <c r="F77" s="10">
        <f>IFERROR(VLOOKUP('Pairings NB'!$M$348,Instructores!$A:$C,2,FALSE),"")</f>
        <v/>
      </c>
      <c r="G77" s="10">
        <f>'Pairings NB'!$M$348</f>
        <v/>
      </c>
      <c r="H77" s="10">
        <f>'Pairings NB'!$O$348</f>
        <v/>
      </c>
      <c r="I77" s="10">
        <f>'Pairings NB'!J348</f>
        <v/>
      </c>
      <c r="J77" s="10">
        <f>IFERROR(VLOOKUP('Pairings NB'!$M$348,Instructores!$A:$C,3,FALSE),"")</f>
        <v/>
      </c>
      <c r="K77" s="10">
        <f>IF('Pairings NB'!J348=320,4,3)</f>
        <v/>
      </c>
    </row>
    <row r="78">
      <c r="A78" s="10">
        <f>'Pairings NB'!B353</f>
        <v/>
      </c>
      <c r="B78" s="10">
        <f>'Pairings NB'!C353</f>
        <v/>
      </c>
      <c r="C78" s="10">
        <f>'Pairings NB'!D353</f>
        <v/>
      </c>
      <c r="D78" s="10">
        <f>'Pairings NB'!E353&amp;"/"&amp;'Pairings NB'!E354</f>
        <v/>
      </c>
      <c r="E78" s="10">
        <f>'Pairings NB'!F353&amp;"-"&amp;'Pairings NB'!G353&amp;"-"&amp;'Pairings NB'!F353</f>
        <v/>
      </c>
      <c r="F78" s="10">
        <f>IFERROR(VLOOKUP('Pairings NB'!$M$353,Instructores!$A:$C,2,FALSE),"")</f>
        <v/>
      </c>
      <c r="G78" s="10">
        <f>'Pairings NB'!$M$353</f>
        <v/>
      </c>
      <c r="H78" s="10">
        <f>'Pairings NB'!$O$353</f>
        <v/>
      </c>
      <c r="I78" s="10">
        <f>'Pairings NB'!J353</f>
        <v/>
      </c>
      <c r="J78" s="10">
        <f>IFERROR(VLOOKUP('Pairings NB'!$M$353,Instructores!$A:$C,3,FALSE),"")</f>
        <v/>
      </c>
      <c r="K78" s="10">
        <f>IF('Pairings NB'!J353=320,4,3)</f>
        <v/>
      </c>
    </row>
    <row r="79">
      <c r="A79" s="10">
        <f>'Pairings NB'!B358</f>
        <v/>
      </c>
      <c r="B79" s="10">
        <f>'Pairings NB'!C358</f>
        <v/>
      </c>
      <c r="C79" s="10">
        <f>'Pairings NB'!D358</f>
        <v/>
      </c>
      <c r="D79" s="10">
        <f>'Pairings NB'!E358&amp;"/"&amp;'Pairings NB'!E359</f>
        <v/>
      </c>
      <c r="E79" s="10">
        <f>'Pairings NB'!F358&amp;"-"&amp;'Pairings NB'!G358&amp;"-"&amp;'Pairings NB'!F358</f>
        <v/>
      </c>
      <c r="F79" s="10">
        <f>IFERROR(VLOOKUP('Pairings NB'!$M$358,Instructores!$A:$C,2,FALSE),"")</f>
        <v/>
      </c>
      <c r="G79" s="10">
        <f>'Pairings NB'!$M$358</f>
        <v/>
      </c>
      <c r="H79" s="10">
        <f>'Pairings NB'!$O$358</f>
        <v/>
      </c>
      <c r="I79" s="10">
        <f>'Pairings NB'!J358</f>
        <v/>
      </c>
      <c r="J79" s="10">
        <f>IFERROR(VLOOKUP('Pairings NB'!$M$358,Instructores!$A:$C,3,FALSE),"")</f>
        <v/>
      </c>
      <c r="K79" s="10">
        <f>IF('Pairings NB'!J358=320,4,3)</f>
        <v/>
      </c>
    </row>
    <row r="80">
      <c r="A80" s="10">
        <f>'Pairings NB'!B363</f>
        <v/>
      </c>
      <c r="B80" s="10">
        <f>'Pairings NB'!C363</f>
        <v/>
      </c>
      <c r="C80" s="10">
        <f>'Pairings NB'!D363</f>
        <v/>
      </c>
      <c r="D80" s="10">
        <f>'Pairings NB'!E363&amp;"/"&amp;'Pairings NB'!E364</f>
        <v/>
      </c>
      <c r="E80" s="10">
        <f>'Pairings NB'!F363&amp;"-"&amp;'Pairings NB'!G363&amp;"-"&amp;'Pairings NB'!F363</f>
        <v/>
      </c>
      <c r="F80" s="10">
        <f>IFERROR(VLOOKUP('Pairings NB'!$M$363,Instructores!$A:$C,2,FALSE),"")</f>
        <v/>
      </c>
      <c r="G80" s="10">
        <f>'Pairings NB'!$M$363</f>
        <v/>
      </c>
      <c r="H80" s="10">
        <f>'Pairings NB'!$O$363</f>
        <v/>
      </c>
      <c r="I80" s="10">
        <f>'Pairings NB'!J363</f>
        <v/>
      </c>
      <c r="J80" s="10">
        <f>IFERROR(VLOOKUP('Pairings NB'!$M$363,Instructores!$A:$C,3,FALSE),"")</f>
        <v/>
      </c>
      <c r="K80" s="10">
        <f>IF('Pairings NB'!J363=320,4,3)</f>
        <v/>
      </c>
    </row>
    <row r="81">
      <c r="A81" s="10">
        <f>'Pairings NB'!B365</f>
        <v/>
      </c>
      <c r="B81" s="10">
        <f>'Pairings NB'!C365</f>
        <v/>
      </c>
      <c r="C81" s="10">
        <f>'Pairings NB'!D365</f>
        <v/>
      </c>
      <c r="D81" s="10">
        <f>'Pairings NB'!E365&amp;"/"&amp;'Pairings NB'!E366</f>
        <v/>
      </c>
      <c r="E81" s="10">
        <f>'Pairings NB'!F365&amp;"-"&amp;'Pairings NB'!G365&amp;"-"&amp;'Pairings NB'!F365</f>
        <v/>
      </c>
      <c r="F81" s="10">
        <f>IFERROR(VLOOKUP('Pairings NB'!$M$363,Instructores!$A:$C,2,FALSE),"")</f>
        <v/>
      </c>
      <c r="G81" s="10">
        <f>'Pairings NB'!$M$363</f>
        <v/>
      </c>
      <c r="H81" s="10">
        <f>'Pairings NB'!$O$363</f>
        <v/>
      </c>
      <c r="I81" s="10">
        <f>'Pairings NB'!J365</f>
        <v/>
      </c>
      <c r="J81" s="10">
        <f>IFERROR(VLOOKUP('Pairings NB'!$M$363,Instructores!$A:$C,3,FALSE),"")</f>
        <v/>
      </c>
      <c r="K81" s="10">
        <f>IF('Pairings NB'!J365=320,4,3)</f>
        <v/>
      </c>
    </row>
    <row r="82">
      <c r="A82" s="10">
        <f>'Pairings NB'!B370</f>
        <v/>
      </c>
      <c r="B82" s="10">
        <f>'Pairings NB'!C370</f>
        <v/>
      </c>
      <c r="C82" s="10">
        <f>'Pairings NB'!D370</f>
        <v/>
      </c>
      <c r="D82" s="10">
        <f>'Pairings NB'!E370&amp;"/"&amp;'Pairings NB'!E371</f>
        <v/>
      </c>
      <c r="E82" s="10">
        <f>'Pairings NB'!F370&amp;"-"&amp;'Pairings NB'!G370&amp;"-"&amp;'Pairings NB'!F370</f>
        <v/>
      </c>
      <c r="F82" s="10">
        <f>IFERROR(VLOOKUP('Pairings NB'!$M$370,Instructores!$A:$C,2,FALSE),"")</f>
        <v/>
      </c>
      <c r="G82" s="10">
        <f>'Pairings NB'!$M$370</f>
        <v/>
      </c>
      <c r="H82" s="10">
        <f>'Pairings NB'!$O$370</f>
        <v/>
      </c>
      <c r="I82" s="10">
        <f>'Pairings NB'!J370</f>
        <v/>
      </c>
      <c r="J82" s="10">
        <f>IFERROR(VLOOKUP('Pairings NB'!$M$370,Instructores!$A:$C,3,FALSE),"")</f>
        <v/>
      </c>
      <c r="K82" s="10">
        <f>IF('Pairings NB'!J370=320,4,3)</f>
        <v/>
      </c>
    </row>
    <row r="83">
      <c r="A83" s="10">
        <f>'Pairings NB'!B375</f>
        <v/>
      </c>
      <c r="B83" s="10">
        <f>'Pairings NB'!C375</f>
        <v/>
      </c>
      <c r="C83" s="10">
        <f>'Pairings NB'!D375</f>
        <v/>
      </c>
      <c r="D83" s="10">
        <f>'Pairings NB'!E375&amp;"/"&amp;'Pairings NB'!E376</f>
        <v/>
      </c>
      <c r="E83" s="10">
        <f>'Pairings NB'!F375&amp;"-"&amp;'Pairings NB'!G375&amp;"-"&amp;'Pairings NB'!F375</f>
        <v/>
      </c>
      <c r="F83" s="10">
        <f>IFERROR(VLOOKUP('Pairings NB'!$M$375,Instructores!$A:$C,2,FALSE),"")</f>
        <v/>
      </c>
      <c r="G83" s="10">
        <f>'Pairings NB'!$M$375</f>
        <v/>
      </c>
      <c r="H83" s="10">
        <f>'Pairings NB'!$O$375</f>
        <v/>
      </c>
      <c r="I83" s="10">
        <f>'Pairings NB'!J375</f>
        <v/>
      </c>
      <c r="J83" s="10">
        <f>IFERROR(VLOOKUP('Pairings NB'!$M$375,Instructores!$A:$C,3,FALSE),"")</f>
        <v/>
      </c>
      <c r="K83" s="10">
        <f>IF('Pairings NB'!J375=320,4,3)</f>
        <v/>
      </c>
    </row>
    <row r="84">
      <c r="A84" s="10">
        <f>'Pairings NB'!B380</f>
        <v/>
      </c>
      <c r="B84" s="10">
        <f>'Pairings NB'!C380</f>
        <v/>
      </c>
      <c r="C84" s="10">
        <f>'Pairings NB'!D380</f>
        <v/>
      </c>
      <c r="D84" s="10">
        <f>'Pairings NB'!E380&amp;"/"&amp;'Pairings NB'!E381</f>
        <v/>
      </c>
      <c r="E84" s="10">
        <f>'Pairings NB'!F380&amp;"-"&amp;'Pairings NB'!G380&amp;"-"&amp;'Pairings NB'!F380</f>
        <v/>
      </c>
      <c r="F84" s="10">
        <f>IFERROR(VLOOKUP('Pairings NB'!$M$380,Instructores!$A:$C,2,FALSE),"")</f>
        <v/>
      </c>
      <c r="G84" s="10">
        <f>'Pairings NB'!$M$380</f>
        <v/>
      </c>
      <c r="H84" s="10">
        <f>'Pairings NB'!$O$380</f>
        <v/>
      </c>
      <c r="I84" s="10">
        <f>'Pairings NB'!J380</f>
        <v/>
      </c>
      <c r="J84" s="10">
        <f>IFERROR(VLOOKUP('Pairings NB'!$M$380,Instructores!$A:$C,3,FALSE),"")</f>
        <v/>
      </c>
      <c r="K84" s="10">
        <f>IF('Pairings NB'!J380=320,4,3)</f>
        <v/>
      </c>
    </row>
    <row r="85">
      <c r="A85" s="10">
        <f>'Pairings NB'!B385</f>
        <v/>
      </c>
      <c r="B85" s="10">
        <f>'Pairings NB'!C385</f>
        <v/>
      </c>
      <c r="C85" s="10">
        <f>'Pairings NB'!D385</f>
        <v/>
      </c>
      <c r="D85" s="10">
        <f>'Pairings NB'!E385&amp;"/"&amp;'Pairings NB'!E386</f>
        <v/>
      </c>
      <c r="E85" s="10">
        <f>'Pairings NB'!F385&amp;"-"&amp;'Pairings NB'!G385&amp;"-"&amp;'Pairings NB'!F385</f>
        <v/>
      </c>
      <c r="F85" s="10">
        <f>IFERROR(VLOOKUP('Pairings NB'!$M$385,Instructores!$A:$C,2,FALSE),"")</f>
        <v/>
      </c>
      <c r="G85" s="10">
        <f>'Pairings NB'!$M$385</f>
        <v/>
      </c>
      <c r="H85" s="10">
        <f>'Pairings NB'!$O$385</f>
        <v/>
      </c>
      <c r="I85" s="10">
        <f>'Pairings NB'!J385</f>
        <v/>
      </c>
      <c r="J85" s="10">
        <f>IFERROR(VLOOKUP('Pairings NB'!$M$385,Instructores!$A:$C,3,FALSE),"")</f>
        <v/>
      </c>
      <c r="K85" s="10">
        <f>IF('Pairings NB'!J385=320,4,3)</f>
        <v/>
      </c>
    </row>
    <row r="86">
      <c r="A86" s="10">
        <f>'Pairings NB'!B390</f>
        <v/>
      </c>
      <c r="B86" s="10">
        <f>'Pairings NB'!C390</f>
        <v/>
      </c>
      <c r="C86" s="10">
        <f>'Pairings NB'!D390</f>
        <v/>
      </c>
      <c r="D86" s="10">
        <f>'Pairings NB'!E390&amp;"/"&amp;'Pairings NB'!E391</f>
        <v/>
      </c>
      <c r="E86" s="10">
        <f>'Pairings NB'!F390&amp;"-"&amp;'Pairings NB'!G390&amp;"-"&amp;'Pairings NB'!F390</f>
        <v/>
      </c>
      <c r="F86" s="10">
        <f>IFERROR(VLOOKUP('Pairings NB'!$M$390,Instructores!$A:$C,2,FALSE),"")</f>
        <v/>
      </c>
      <c r="G86" s="10">
        <f>'Pairings NB'!$M$390</f>
        <v/>
      </c>
      <c r="H86" s="10">
        <f>'Pairings NB'!$O$390</f>
        <v/>
      </c>
      <c r="I86" s="10">
        <f>'Pairings NB'!J390</f>
        <v/>
      </c>
      <c r="J86" s="10">
        <f>IFERROR(VLOOKUP('Pairings NB'!$M$390,Instructores!$A:$C,3,FALSE),"")</f>
        <v/>
      </c>
      <c r="K86" s="10">
        <f>IF('Pairings NB'!J390=320,4,3)</f>
        <v/>
      </c>
    </row>
    <row r="87">
      <c r="A87" s="10">
        <f>'Pairings NB'!B395</f>
        <v/>
      </c>
      <c r="B87" s="10">
        <f>'Pairings NB'!C395</f>
        <v/>
      </c>
      <c r="C87" s="10">
        <f>'Pairings NB'!D395</f>
        <v/>
      </c>
      <c r="D87" s="10">
        <f>'Pairings NB'!E395&amp;"/"&amp;'Pairings NB'!E396</f>
        <v/>
      </c>
      <c r="E87" s="10">
        <f>'Pairings NB'!F395&amp;"-"&amp;'Pairings NB'!G395&amp;"-"&amp;'Pairings NB'!F395</f>
        <v/>
      </c>
      <c r="F87" s="10">
        <f>IFERROR(VLOOKUP('Pairings NB'!$M$395,Instructores!$A:$C,2,FALSE),"")</f>
        <v/>
      </c>
      <c r="G87" s="10">
        <f>'Pairings NB'!$M$395</f>
        <v/>
      </c>
      <c r="H87" s="10">
        <f>'Pairings NB'!$O$395</f>
        <v/>
      </c>
      <c r="I87" s="10">
        <f>'Pairings NB'!J395</f>
        <v/>
      </c>
      <c r="J87" s="10">
        <f>IFERROR(VLOOKUP('Pairings NB'!$M$395,Instructores!$A:$C,3,FALSE),"")</f>
        <v/>
      </c>
      <c r="K87" s="10">
        <f>IF('Pairings NB'!J395=320,4,3)</f>
        <v/>
      </c>
    </row>
    <row r="88">
      <c r="A88" s="10">
        <f>'Pairings NB'!B400</f>
        <v/>
      </c>
      <c r="B88" s="10">
        <f>'Pairings NB'!C400</f>
        <v/>
      </c>
      <c r="C88" s="10">
        <f>'Pairings NB'!D400</f>
        <v/>
      </c>
      <c r="D88" s="10">
        <f>'Pairings NB'!E400&amp;"/"&amp;'Pairings NB'!E401</f>
        <v/>
      </c>
      <c r="E88" s="10">
        <f>'Pairings NB'!F400&amp;"-"&amp;'Pairings NB'!G400&amp;"-"&amp;'Pairings NB'!F400</f>
        <v/>
      </c>
      <c r="F88" s="10">
        <f>IFERROR(VLOOKUP('Pairings NB'!$M$400,Instructores!$A:$C,2,FALSE),"")</f>
        <v/>
      </c>
      <c r="G88" s="10">
        <f>'Pairings NB'!$M$400</f>
        <v/>
      </c>
      <c r="H88" s="10">
        <f>'Pairings NB'!$O$400</f>
        <v/>
      </c>
      <c r="I88" s="10">
        <f>'Pairings NB'!J400</f>
        <v/>
      </c>
      <c r="J88" s="10">
        <f>IFERROR(VLOOKUP('Pairings NB'!$M$400,Instructores!$A:$C,3,FALSE),"")</f>
        <v/>
      </c>
      <c r="K88" s="10">
        <f>IF('Pairings NB'!J400=320,4,3)</f>
        <v/>
      </c>
    </row>
    <row r="89">
      <c r="A89" s="10">
        <f>'Pairings NB'!B405</f>
        <v/>
      </c>
      <c r="B89" s="10">
        <f>'Pairings NB'!C405</f>
        <v/>
      </c>
      <c r="C89" s="10">
        <f>'Pairings NB'!D405</f>
        <v/>
      </c>
      <c r="D89" s="10">
        <f>'Pairings NB'!E405&amp;"/"&amp;'Pairings NB'!E406</f>
        <v/>
      </c>
      <c r="E89" s="10">
        <f>'Pairings NB'!F405&amp;"-"&amp;'Pairings NB'!G405&amp;"-"&amp;'Pairings NB'!F405</f>
        <v/>
      </c>
      <c r="F89" s="10">
        <f>IFERROR(VLOOKUP('Pairings NB'!$M$405,Instructores!$A:$C,2,FALSE),"")</f>
        <v/>
      </c>
      <c r="G89" s="10">
        <f>'Pairings NB'!$M$405</f>
        <v/>
      </c>
      <c r="H89" s="10">
        <f>'Pairings NB'!$O$405</f>
        <v/>
      </c>
      <c r="I89" s="10">
        <f>'Pairings NB'!J405</f>
        <v/>
      </c>
      <c r="J89" s="10">
        <f>IFERROR(VLOOKUP('Pairings NB'!$M$405,Instructores!$A:$C,3,FALSE),"")</f>
        <v/>
      </c>
      <c r="K89" s="10">
        <f>IF('Pairings NB'!J405=320,4,3)</f>
        <v/>
      </c>
    </row>
    <row r="90">
      <c r="A90" s="10">
        <f>'Pairings NB'!B410</f>
        <v/>
      </c>
      <c r="B90" s="10">
        <f>'Pairings NB'!C410</f>
        <v/>
      </c>
      <c r="C90" s="10">
        <f>'Pairings NB'!D410</f>
        <v/>
      </c>
      <c r="D90" s="10">
        <f>'Pairings NB'!E410&amp;"/"&amp;'Pairings NB'!E411</f>
        <v/>
      </c>
      <c r="E90" s="10">
        <f>'Pairings NB'!F410&amp;"-"&amp;'Pairings NB'!G410&amp;"-"&amp;'Pairings NB'!F410</f>
        <v/>
      </c>
      <c r="F90" s="10">
        <f>IFERROR(VLOOKUP('Pairings NB'!$M$410,Instructores!$A:$C,2,FALSE),"")</f>
        <v/>
      </c>
      <c r="G90" s="10">
        <f>'Pairings NB'!$M$410</f>
        <v/>
      </c>
      <c r="H90" s="10">
        <f>'Pairings NB'!$O$410</f>
        <v/>
      </c>
      <c r="I90" s="10">
        <f>'Pairings NB'!J410</f>
        <v/>
      </c>
      <c r="J90" s="10">
        <f>IFERROR(VLOOKUP('Pairings NB'!$M$410,Instructores!$A:$C,3,FALSE),"")</f>
        <v/>
      </c>
      <c r="K90" s="10">
        <f>IF('Pairings NB'!J410=320,4,3)</f>
        <v/>
      </c>
    </row>
    <row r="91">
      <c r="A91" s="10">
        <f>'Pairings NB'!B415</f>
        <v/>
      </c>
      <c r="B91" s="10">
        <f>'Pairings NB'!C415</f>
        <v/>
      </c>
      <c r="C91" s="10">
        <f>'Pairings NB'!D415</f>
        <v/>
      </c>
      <c r="D91" s="10">
        <f>'Pairings NB'!E415&amp;"/"&amp;'Pairings NB'!E416</f>
        <v/>
      </c>
      <c r="E91" s="10">
        <f>'Pairings NB'!F415&amp;"-"&amp;'Pairings NB'!G415&amp;"-"&amp;'Pairings NB'!F415</f>
        <v/>
      </c>
      <c r="F91" s="10">
        <f>IFERROR(VLOOKUP('Pairings NB'!$M$415,Instructores!$A:$C,2,FALSE),"")</f>
        <v/>
      </c>
      <c r="G91" s="10">
        <f>'Pairings NB'!$M$415</f>
        <v/>
      </c>
      <c r="H91" s="10">
        <f>'Pairings NB'!$O$415</f>
        <v/>
      </c>
      <c r="I91" s="10">
        <f>'Pairings NB'!J415</f>
        <v/>
      </c>
      <c r="J91" s="10">
        <f>IFERROR(VLOOKUP('Pairings NB'!$M$415,Instructores!$A:$C,3,FALSE),"")</f>
        <v/>
      </c>
      <c r="K91" s="10">
        <f>IF('Pairings NB'!J415=320,4,3)</f>
        <v/>
      </c>
    </row>
    <row r="92">
      <c r="A92" s="10">
        <f>'Pairings NB'!B417</f>
        <v/>
      </c>
      <c r="B92" s="10">
        <f>'Pairings NB'!C417</f>
        <v/>
      </c>
      <c r="C92" s="10">
        <f>'Pairings NB'!D417</f>
        <v/>
      </c>
      <c r="D92" s="10">
        <f>'Pairings NB'!E417&amp;"/"&amp;'Pairings NB'!E418</f>
        <v/>
      </c>
      <c r="E92" s="10">
        <f>'Pairings NB'!F417&amp;"-"&amp;'Pairings NB'!G417&amp;"-"&amp;'Pairings NB'!F417</f>
        <v/>
      </c>
      <c r="F92" s="10">
        <f>IFERROR(VLOOKUP('Pairings NB'!$M$415,Instructores!$A:$C,2,FALSE),"")</f>
        <v/>
      </c>
      <c r="G92" s="10">
        <f>'Pairings NB'!$M$415</f>
        <v/>
      </c>
      <c r="H92" s="10">
        <f>'Pairings NB'!$O$415</f>
        <v/>
      </c>
      <c r="I92" s="10">
        <f>'Pairings NB'!J417</f>
        <v/>
      </c>
      <c r="J92" s="10">
        <f>IFERROR(VLOOKUP('Pairings NB'!$M$415,Instructores!$A:$C,3,FALSE),"")</f>
        <v/>
      </c>
      <c r="K92" s="10">
        <f>IF('Pairings NB'!J417=320,4,3)</f>
        <v/>
      </c>
    </row>
    <row r="93">
      <c r="A93" s="10">
        <f>'Pairings NB'!B422</f>
        <v/>
      </c>
      <c r="B93" s="10">
        <f>'Pairings NB'!C422</f>
        <v/>
      </c>
      <c r="C93" s="10">
        <f>'Pairings NB'!D422</f>
        <v/>
      </c>
      <c r="D93" s="10">
        <f>'Pairings NB'!E422&amp;"/"&amp;'Pairings NB'!E423</f>
        <v/>
      </c>
      <c r="E93" s="10">
        <f>'Pairings NB'!F422&amp;"-"&amp;'Pairings NB'!G422&amp;"-"&amp;'Pairings NB'!F422</f>
        <v/>
      </c>
      <c r="F93" s="10">
        <f>IFERROR(VLOOKUP('Pairings NB'!$M$422,Instructores!$A:$C,2,FALSE),"")</f>
        <v/>
      </c>
      <c r="G93" s="10">
        <f>'Pairings NB'!$M$422</f>
        <v/>
      </c>
      <c r="H93" s="10">
        <f>'Pairings NB'!$O$422</f>
        <v/>
      </c>
      <c r="I93" s="10">
        <f>'Pairings NB'!J422</f>
        <v/>
      </c>
      <c r="J93" s="10">
        <f>IFERROR(VLOOKUP('Pairings NB'!$M$422,Instructores!$A:$C,3,FALSE),"")</f>
        <v/>
      </c>
      <c r="K93" s="10">
        <f>IF('Pairings NB'!J422=320,4,3)</f>
        <v/>
      </c>
    </row>
    <row r="94">
      <c r="A94" s="10">
        <f>'Pairings NB'!B424</f>
        <v/>
      </c>
      <c r="B94" s="10">
        <f>'Pairings NB'!C424</f>
        <v/>
      </c>
      <c r="C94" s="10">
        <f>'Pairings NB'!D424</f>
        <v/>
      </c>
      <c r="D94" s="10">
        <f>'Pairings NB'!E424&amp;"/"&amp;'Pairings NB'!E425</f>
        <v/>
      </c>
      <c r="E94" s="10">
        <f>'Pairings NB'!F424&amp;"-"&amp;'Pairings NB'!G424&amp;"-"&amp;'Pairings NB'!F424</f>
        <v/>
      </c>
      <c r="F94" s="10">
        <f>IFERROR(VLOOKUP('Pairings NB'!$M$422,Instructores!$A:$C,2,FALSE),"")</f>
        <v/>
      </c>
      <c r="G94" s="10">
        <f>'Pairings NB'!$M$422</f>
        <v/>
      </c>
      <c r="H94" s="10">
        <f>'Pairings NB'!$O$422</f>
        <v/>
      </c>
      <c r="I94" s="10">
        <f>'Pairings NB'!J424</f>
        <v/>
      </c>
      <c r="J94" s="10">
        <f>IFERROR(VLOOKUP('Pairings NB'!$M$422,Instructores!$A:$C,3,FALSE),"")</f>
        <v/>
      </c>
      <c r="K94" s="10">
        <f>IF('Pairings NB'!J424=320,4,3)</f>
        <v/>
      </c>
    </row>
    <row r="95">
      <c r="A95" s="10">
        <f>'Pairings NB'!B429</f>
        <v/>
      </c>
      <c r="B95" s="10">
        <f>'Pairings NB'!C429</f>
        <v/>
      </c>
      <c r="C95" s="10">
        <f>'Pairings NB'!D429</f>
        <v/>
      </c>
      <c r="D95" s="10">
        <f>'Pairings NB'!E429&amp;"/"&amp;'Pairings NB'!E430</f>
        <v/>
      </c>
      <c r="E95" s="10">
        <f>'Pairings NB'!F429&amp;"-"&amp;'Pairings NB'!G429&amp;"-"&amp;'Pairings NB'!F429</f>
        <v/>
      </c>
      <c r="F95" s="10">
        <f>IFERROR(VLOOKUP('Pairings NB'!$M$429,Instructores!$A:$C,2,FALSE),"")</f>
        <v/>
      </c>
      <c r="G95" s="10">
        <f>'Pairings NB'!$M$429</f>
        <v/>
      </c>
      <c r="H95" s="10">
        <f>'Pairings NB'!$O$429</f>
        <v/>
      </c>
      <c r="I95" s="10">
        <f>'Pairings NB'!J429</f>
        <v/>
      </c>
      <c r="J95" s="10">
        <f>IFERROR(VLOOKUP('Pairings NB'!$M$429,Instructores!$A:$C,3,FALSE),"")</f>
        <v/>
      </c>
      <c r="K95" s="10">
        <f>IF('Pairings NB'!J429=320,4,3)</f>
        <v/>
      </c>
    </row>
    <row r="96">
      <c r="A96" s="10">
        <f>'Pairings NB'!B431</f>
        <v/>
      </c>
      <c r="B96" s="10">
        <f>'Pairings NB'!C431</f>
        <v/>
      </c>
      <c r="C96" s="10">
        <f>'Pairings NB'!D431</f>
        <v/>
      </c>
      <c r="D96" s="10">
        <f>'Pairings NB'!E431&amp;"/"&amp;'Pairings NB'!E432</f>
        <v/>
      </c>
      <c r="E96" s="10">
        <f>'Pairings NB'!F431&amp;"-"&amp;'Pairings NB'!G431&amp;"-"&amp;'Pairings NB'!F431</f>
        <v/>
      </c>
      <c r="F96" s="10">
        <f>IFERROR(VLOOKUP('Pairings NB'!$M$429,Instructores!$A:$C,2,FALSE),"")</f>
        <v/>
      </c>
      <c r="G96" s="10">
        <f>'Pairings NB'!$M$429</f>
        <v/>
      </c>
      <c r="H96" s="10">
        <f>'Pairings NB'!$O$429</f>
        <v/>
      </c>
      <c r="I96" s="10">
        <f>'Pairings NB'!J431</f>
        <v/>
      </c>
      <c r="J96" s="10">
        <f>IFERROR(VLOOKUP('Pairings NB'!$M$429,Instructores!$A:$C,3,FALSE),"")</f>
        <v/>
      </c>
      <c r="K96" s="10">
        <f>IF('Pairings NB'!J431=320,4,3)</f>
        <v/>
      </c>
    </row>
    <row r="97">
      <c r="A97" s="10">
        <f>'Pairings NB'!B436</f>
        <v/>
      </c>
      <c r="B97" s="10">
        <f>'Pairings NB'!C436</f>
        <v/>
      </c>
      <c r="C97" s="10">
        <f>'Pairings NB'!D436</f>
        <v/>
      </c>
      <c r="D97" s="10">
        <f>'Pairings NB'!E436&amp;"/"&amp;'Pairings NB'!E437</f>
        <v/>
      </c>
      <c r="E97" s="10">
        <f>'Pairings NB'!F436&amp;"-"&amp;'Pairings NB'!G436&amp;"-"&amp;'Pairings NB'!F436</f>
        <v/>
      </c>
      <c r="F97" s="10">
        <f>IFERROR(VLOOKUP('Pairings NB'!$M$436,Instructores!$A:$C,2,FALSE),"")</f>
        <v/>
      </c>
      <c r="G97" s="10">
        <f>'Pairings NB'!$M$436</f>
        <v/>
      </c>
      <c r="H97" s="10">
        <f>'Pairings NB'!$O$436</f>
        <v/>
      </c>
      <c r="I97" s="10">
        <f>'Pairings NB'!J436</f>
        <v/>
      </c>
      <c r="J97" s="10">
        <f>IFERROR(VLOOKUP('Pairings NB'!$M$436,Instructores!$A:$C,3,FALSE),"")</f>
        <v/>
      </c>
      <c r="K97" s="10">
        <f>IF('Pairings NB'!J436=320,4,3)</f>
        <v/>
      </c>
    </row>
    <row r="98">
      <c r="A98" s="10">
        <f>'Pairings NB'!B441</f>
        <v/>
      </c>
      <c r="B98" s="10">
        <f>'Pairings NB'!C441</f>
        <v/>
      </c>
      <c r="C98" s="10">
        <f>'Pairings NB'!D441</f>
        <v/>
      </c>
      <c r="D98" s="10">
        <f>'Pairings NB'!E441&amp;"/"&amp;'Pairings NB'!E442</f>
        <v/>
      </c>
      <c r="E98" s="10">
        <f>'Pairings NB'!F441&amp;"-"&amp;'Pairings NB'!G441&amp;"-"&amp;'Pairings NB'!F441</f>
        <v/>
      </c>
      <c r="F98" s="10">
        <f>IFERROR(VLOOKUP('Pairings NB'!$M$441,Instructores!$A:$C,2,FALSE),"")</f>
        <v/>
      </c>
      <c r="G98" s="10">
        <f>'Pairings NB'!$M$441</f>
        <v/>
      </c>
      <c r="H98" s="10">
        <f>'Pairings NB'!$O$441</f>
        <v/>
      </c>
      <c r="I98" s="10">
        <f>'Pairings NB'!J441</f>
        <v/>
      </c>
      <c r="J98" s="10">
        <f>IFERROR(VLOOKUP('Pairings NB'!$M$441,Instructores!$A:$C,3,FALSE),"")</f>
        <v/>
      </c>
      <c r="K98" s="10">
        <f>IF('Pairings NB'!J441=320,4,3)</f>
        <v/>
      </c>
    </row>
    <row r="99">
      <c r="A99" s="10">
        <f>'Pairings NB'!B443</f>
        <v/>
      </c>
      <c r="B99" s="10">
        <f>'Pairings NB'!C443</f>
        <v/>
      </c>
      <c r="C99" s="10">
        <f>'Pairings NB'!D443</f>
        <v/>
      </c>
      <c r="D99" s="10">
        <f>'Pairings NB'!E443&amp;"/"&amp;'Pairings NB'!E444</f>
        <v/>
      </c>
      <c r="E99" s="10">
        <f>'Pairings NB'!F443&amp;"-"&amp;'Pairings NB'!G443&amp;"-"&amp;'Pairings NB'!F443</f>
        <v/>
      </c>
      <c r="F99" s="10">
        <f>IFERROR(VLOOKUP('Pairings NB'!$M$441,Instructores!$A:$C,2,FALSE),"")</f>
        <v/>
      </c>
      <c r="G99" s="10">
        <f>'Pairings NB'!$M$441</f>
        <v/>
      </c>
      <c r="H99" s="10">
        <f>'Pairings NB'!$O$441</f>
        <v/>
      </c>
      <c r="I99" s="10">
        <f>'Pairings NB'!J443</f>
        <v/>
      </c>
      <c r="J99" s="10">
        <f>IFERROR(VLOOKUP('Pairings NB'!$M$441,Instructores!$A:$C,3,FALSE),"")</f>
        <v/>
      </c>
      <c r="K99" s="10">
        <f>IF('Pairings NB'!J443=320,4,3)</f>
        <v/>
      </c>
    </row>
    <row r="100">
      <c r="A100" s="10">
        <f>'Pairings NB'!B448</f>
        <v/>
      </c>
      <c r="B100" s="10">
        <f>'Pairings NB'!C448</f>
        <v/>
      </c>
      <c r="C100" s="10">
        <f>'Pairings NB'!D448</f>
        <v/>
      </c>
      <c r="D100" s="10">
        <f>'Pairings NB'!E448&amp;"/"&amp;'Pairings NB'!E449</f>
        <v/>
      </c>
      <c r="E100" s="10">
        <f>'Pairings NB'!F448&amp;"-"&amp;'Pairings NB'!G448&amp;"-"&amp;'Pairings NB'!F448</f>
        <v/>
      </c>
      <c r="F100" s="10">
        <f>IFERROR(VLOOKUP('Pairings NB'!$M$448,Instructores!$A:$C,2,FALSE),"")</f>
        <v/>
      </c>
      <c r="G100" s="10">
        <f>'Pairings NB'!$M$448</f>
        <v/>
      </c>
      <c r="H100" s="10">
        <f>'Pairings NB'!$O$448</f>
        <v/>
      </c>
      <c r="I100" s="10">
        <f>'Pairings NB'!J448</f>
        <v/>
      </c>
      <c r="J100" s="10">
        <f>IFERROR(VLOOKUP('Pairings NB'!$M$448,Instructores!$A:$C,3,FALSE),"")</f>
        <v/>
      </c>
      <c r="K100" s="10">
        <f>IF('Pairings NB'!J448=320,4,3)</f>
        <v/>
      </c>
    </row>
    <row r="101">
      <c r="A101" s="10">
        <f>'Pairings NB'!B450</f>
        <v/>
      </c>
      <c r="B101" s="10">
        <f>'Pairings NB'!C450</f>
        <v/>
      </c>
      <c r="C101" s="10">
        <f>'Pairings NB'!D450</f>
        <v/>
      </c>
      <c r="D101" s="10">
        <f>'Pairings NB'!E450&amp;"/"&amp;'Pairings NB'!E451</f>
        <v/>
      </c>
      <c r="E101" s="10">
        <f>'Pairings NB'!F450&amp;"-"&amp;'Pairings NB'!G450&amp;"-"&amp;'Pairings NB'!F450</f>
        <v/>
      </c>
      <c r="F101" s="10">
        <f>IFERROR(VLOOKUP('Pairings NB'!$M$448,Instructores!$A:$C,2,FALSE),"")</f>
        <v/>
      </c>
      <c r="G101" s="10">
        <f>'Pairings NB'!$M$448</f>
        <v/>
      </c>
      <c r="H101" s="10">
        <f>'Pairings NB'!$O$448</f>
        <v/>
      </c>
      <c r="I101" s="10">
        <f>'Pairings NB'!J450</f>
        <v/>
      </c>
      <c r="J101" s="10">
        <f>IFERROR(VLOOKUP('Pairings NB'!$M$448,Instructores!$A:$C,3,FALSE),"")</f>
        <v/>
      </c>
      <c r="K101" s="10">
        <f>IF('Pairings NB'!J450=320,4,3)</f>
        <v/>
      </c>
    </row>
    <row r="102">
      <c r="A102" s="10">
        <f>'Pairings NB'!B455</f>
        <v/>
      </c>
      <c r="B102" s="10">
        <f>'Pairings NB'!C455</f>
        <v/>
      </c>
      <c r="C102" s="10">
        <f>'Pairings NB'!D455</f>
        <v/>
      </c>
      <c r="D102" s="10">
        <f>'Pairings NB'!E455&amp;"/"&amp;'Pairings NB'!E456</f>
        <v/>
      </c>
      <c r="E102" s="10">
        <f>'Pairings NB'!F455&amp;"-"&amp;'Pairings NB'!G455&amp;"-"&amp;'Pairings NB'!F455</f>
        <v/>
      </c>
      <c r="F102" s="10">
        <f>IFERROR(VLOOKUP('Pairings NB'!$M$455,Instructores!$A:$C,2,FALSE),"")</f>
        <v/>
      </c>
      <c r="G102" s="10">
        <f>'Pairings NB'!$M$455</f>
        <v/>
      </c>
      <c r="H102" s="10">
        <f>'Pairings NB'!$O$455</f>
        <v/>
      </c>
      <c r="I102" s="10">
        <f>'Pairings NB'!J455</f>
        <v/>
      </c>
      <c r="J102" s="10">
        <f>IFERROR(VLOOKUP('Pairings NB'!$M$455,Instructores!$A:$C,3,FALSE),"")</f>
        <v/>
      </c>
      <c r="K102" s="10">
        <f>IF('Pairings NB'!J455=320,4,3)</f>
        <v/>
      </c>
    </row>
    <row r="103">
      <c r="A103" s="10">
        <f>'Pairings NB'!B460</f>
        <v/>
      </c>
      <c r="B103" s="10">
        <f>'Pairings NB'!C460</f>
        <v/>
      </c>
      <c r="C103" s="10">
        <f>'Pairings NB'!D460</f>
        <v/>
      </c>
      <c r="D103" s="10">
        <f>'Pairings NB'!E460&amp;"/"&amp;'Pairings NB'!E461</f>
        <v/>
      </c>
      <c r="E103" s="10">
        <f>'Pairings NB'!F460&amp;"-"&amp;'Pairings NB'!G460&amp;"-"&amp;'Pairings NB'!F460</f>
        <v/>
      </c>
      <c r="F103" s="10">
        <f>IFERROR(VLOOKUP('Pairings NB'!$M$460,Instructores!$A:$C,2,FALSE),"")</f>
        <v/>
      </c>
      <c r="G103" s="10">
        <f>'Pairings NB'!$M$460</f>
        <v/>
      </c>
      <c r="H103" s="10">
        <f>'Pairings NB'!$O$460</f>
        <v/>
      </c>
      <c r="I103" s="10">
        <f>'Pairings NB'!J460</f>
        <v/>
      </c>
      <c r="J103" s="10">
        <f>IFERROR(VLOOKUP('Pairings NB'!$M$460,Instructores!$A:$C,3,FALSE),"")</f>
        <v/>
      </c>
      <c r="K103" s="10">
        <f>IF('Pairings NB'!J460=320,4,3)</f>
        <v/>
      </c>
    </row>
    <row r="104">
      <c r="A104" s="10">
        <f>'Pairings NB'!B465</f>
        <v/>
      </c>
      <c r="B104" s="10">
        <f>'Pairings NB'!C465</f>
        <v/>
      </c>
      <c r="C104" s="10">
        <f>'Pairings NB'!D465</f>
        <v/>
      </c>
      <c r="D104" s="10">
        <f>'Pairings NB'!E465&amp;"/"&amp;'Pairings NB'!E466</f>
        <v/>
      </c>
      <c r="E104" s="10">
        <f>'Pairings NB'!F465&amp;"-"&amp;'Pairings NB'!G465&amp;"-"&amp;'Pairings NB'!F465</f>
        <v/>
      </c>
      <c r="F104" s="10">
        <f>IFERROR(VLOOKUP('Pairings NB'!$M$465,Instructores!$A:$C,2,FALSE),"")</f>
        <v/>
      </c>
      <c r="G104" s="10">
        <f>'Pairings NB'!$M$465</f>
        <v/>
      </c>
      <c r="H104" s="10">
        <f>'Pairings NB'!$O$465</f>
        <v/>
      </c>
      <c r="I104" s="10">
        <f>'Pairings NB'!J465</f>
        <v/>
      </c>
      <c r="J104" s="10">
        <f>IFERROR(VLOOKUP('Pairings NB'!$M$465,Instructores!$A:$C,3,FALSE),"")</f>
        <v/>
      </c>
      <c r="K104" s="10">
        <f>IF('Pairings NB'!J465=320,4,3)</f>
        <v/>
      </c>
    </row>
    <row r="105">
      <c r="A105" s="10">
        <f>'Pairings NB'!B470</f>
        <v/>
      </c>
      <c r="B105" s="10">
        <f>'Pairings NB'!C470</f>
        <v/>
      </c>
      <c r="C105" s="10">
        <f>'Pairings NB'!D470</f>
        <v/>
      </c>
      <c r="D105" s="10">
        <f>'Pairings NB'!E470&amp;"/"&amp;'Pairings NB'!E471</f>
        <v/>
      </c>
      <c r="E105" s="10">
        <f>'Pairings NB'!F470&amp;"-"&amp;'Pairings NB'!G470&amp;"-"&amp;'Pairings NB'!F470</f>
        <v/>
      </c>
      <c r="F105" s="10">
        <f>IFERROR(VLOOKUP('Pairings NB'!$M$470,Instructores!$A:$C,2,FALSE),"")</f>
        <v/>
      </c>
      <c r="G105" s="10">
        <f>'Pairings NB'!$M$470</f>
        <v/>
      </c>
      <c r="H105" s="10">
        <f>'Pairings NB'!$O$470</f>
        <v/>
      </c>
      <c r="I105" s="10">
        <f>'Pairings NB'!J470</f>
        <v/>
      </c>
      <c r="J105" s="10">
        <f>IFERROR(VLOOKUP('Pairings NB'!$M$470,Instructores!$A:$C,3,FALSE),"")</f>
        <v/>
      </c>
      <c r="K105" s="10">
        <f>IF('Pairings NB'!J470=320,4,3)</f>
        <v/>
      </c>
    </row>
    <row r="106">
      <c r="A106" s="10">
        <f>'Pairings NB'!B475</f>
        <v/>
      </c>
      <c r="B106" s="10">
        <f>'Pairings NB'!C475</f>
        <v/>
      </c>
      <c r="C106" s="10">
        <f>'Pairings NB'!D475</f>
        <v/>
      </c>
      <c r="D106" s="10">
        <f>'Pairings NB'!E475&amp;"/"&amp;'Pairings NB'!E476</f>
        <v/>
      </c>
      <c r="E106" s="10">
        <f>'Pairings NB'!F475&amp;"-"&amp;'Pairings NB'!G475&amp;"-"&amp;'Pairings NB'!F475</f>
        <v/>
      </c>
      <c r="F106" s="10">
        <f>IFERROR(VLOOKUP('Pairings NB'!$M$475,Instructores!$A:$C,2,FALSE),"")</f>
        <v/>
      </c>
      <c r="G106" s="10">
        <f>'Pairings NB'!$M$475</f>
        <v/>
      </c>
      <c r="H106" s="10">
        <f>'Pairings NB'!$O$475</f>
        <v/>
      </c>
      <c r="I106" s="10">
        <f>'Pairings NB'!J475</f>
        <v/>
      </c>
      <c r="J106" s="10">
        <f>IFERROR(VLOOKUP('Pairings NB'!$M$475,Instructores!$A:$C,3,FALSE),"")</f>
        <v/>
      </c>
      <c r="K106" s="10">
        <f>IF('Pairings NB'!J475=320,4,3)</f>
        <v/>
      </c>
    </row>
    <row r="107">
      <c r="A107" s="10">
        <f>'Pairings NB'!B480</f>
        <v/>
      </c>
      <c r="B107" s="10">
        <f>'Pairings NB'!C480</f>
        <v/>
      </c>
      <c r="C107" s="10">
        <f>'Pairings NB'!D480</f>
        <v/>
      </c>
      <c r="D107" s="10">
        <f>'Pairings NB'!E480&amp;"/"&amp;'Pairings NB'!E481</f>
        <v/>
      </c>
      <c r="E107" s="10">
        <f>'Pairings NB'!F480&amp;"-"&amp;'Pairings NB'!G480&amp;"-"&amp;'Pairings NB'!F480</f>
        <v/>
      </c>
      <c r="F107" s="10">
        <f>IFERROR(VLOOKUP('Pairings NB'!$M$480,Instructores!$A:$C,2,FALSE),"")</f>
        <v/>
      </c>
      <c r="G107" s="10">
        <f>'Pairings NB'!$M$480</f>
        <v/>
      </c>
      <c r="H107" s="10">
        <f>'Pairings NB'!$O$480</f>
        <v/>
      </c>
      <c r="I107" s="10">
        <f>'Pairings NB'!J480</f>
        <v/>
      </c>
      <c r="J107" s="10">
        <f>IFERROR(VLOOKUP('Pairings NB'!$M$480,Instructores!$A:$C,3,FALSE),"")</f>
        <v/>
      </c>
      <c r="K107" s="10">
        <f>IF('Pairings NB'!J480=320,4,3)</f>
        <v/>
      </c>
    </row>
    <row r="108">
      <c r="A108" s="10">
        <f>'Pairings NB'!B485</f>
        <v/>
      </c>
      <c r="B108" s="10">
        <f>'Pairings NB'!C485</f>
        <v/>
      </c>
      <c r="C108" s="10">
        <f>'Pairings NB'!D485</f>
        <v/>
      </c>
      <c r="D108" s="10">
        <f>'Pairings NB'!E485&amp;"/"&amp;'Pairings NB'!E486</f>
        <v/>
      </c>
      <c r="E108" s="10">
        <f>'Pairings NB'!F485&amp;"-"&amp;'Pairings NB'!G485&amp;"-"&amp;'Pairings NB'!F485</f>
        <v/>
      </c>
      <c r="F108" s="10">
        <f>IFERROR(VLOOKUP('Pairings NB'!$M$485,Instructores!$A:$C,2,FALSE),"")</f>
        <v/>
      </c>
      <c r="G108" s="10">
        <f>'Pairings NB'!$M$485</f>
        <v/>
      </c>
      <c r="H108" s="10">
        <f>'Pairings NB'!$O$485</f>
        <v/>
      </c>
      <c r="I108" s="10">
        <f>'Pairings NB'!J485</f>
        <v/>
      </c>
      <c r="J108" s="10">
        <f>IFERROR(VLOOKUP('Pairings NB'!$M$485,Instructores!$A:$C,3,FALSE),"")</f>
        <v/>
      </c>
      <c r="K108" s="10">
        <f>IF('Pairings NB'!J485=320,4,3)</f>
        <v/>
      </c>
    </row>
    <row r="109">
      <c r="A109" s="10">
        <f>'Pairings NB'!B490</f>
        <v/>
      </c>
      <c r="B109" s="10">
        <f>'Pairings NB'!C490</f>
        <v/>
      </c>
      <c r="C109" s="10">
        <f>'Pairings NB'!D490</f>
        <v/>
      </c>
      <c r="D109" s="10">
        <f>'Pairings NB'!E490&amp;"/"&amp;'Pairings NB'!E491</f>
        <v/>
      </c>
      <c r="E109" s="10">
        <f>'Pairings NB'!F490&amp;"-"&amp;'Pairings NB'!G490&amp;"-"&amp;'Pairings NB'!F490</f>
        <v/>
      </c>
      <c r="F109" s="10">
        <f>IFERROR(VLOOKUP('Pairings NB'!$M$490,Instructores!$A:$C,2,FALSE),"")</f>
        <v/>
      </c>
      <c r="G109" s="10">
        <f>'Pairings NB'!$M$490</f>
        <v/>
      </c>
      <c r="H109" s="10">
        <f>'Pairings NB'!$O$490</f>
        <v/>
      </c>
      <c r="I109" s="10">
        <f>'Pairings NB'!J490</f>
        <v/>
      </c>
      <c r="J109" s="10">
        <f>IFERROR(VLOOKUP('Pairings NB'!$M$490,Instructores!$A:$C,3,FALSE),"")</f>
        <v/>
      </c>
      <c r="K109" s="10">
        <f>IF('Pairings NB'!J490=320,4,3)</f>
        <v/>
      </c>
    </row>
    <row r="110">
      <c r="A110" s="10">
        <f>'Pairings NB'!B495</f>
        <v/>
      </c>
      <c r="B110" s="10">
        <f>'Pairings NB'!C495</f>
        <v/>
      </c>
      <c r="C110" s="10">
        <f>'Pairings NB'!D495</f>
        <v/>
      </c>
      <c r="D110" s="10">
        <f>'Pairings NB'!E495&amp;"/"&amp;'Pairings NB'!E496</f>
        <v/>
      </c>
      <c r="E110" s="10">
        <f>'Pairings NB'!F495&amp;"-"&amp;'Pairings NB'!G495&amp;"-"&amp;'Pairings NB'!F495</f>
        <v/>
      </c>
      <c r="F110" s="10">
        <f>IFERROR(VLOOKUP('Pairings NB'!$M$495,Instructores!$A:$C,2,FALSE),"")</f>
        <v/>
      </c>
      <c r="G110" s="10">
        <f>'Pairings NB'!$M$495</f>
        <v/>
      </c>
      <c r="H110" s="10">
        <f>'Pairings NB'!$O$495</f>
        <v/>
      </c>
      <c r="I110" s="10">
        <f>'Pairings NB'!J495</f>
        <v/>
      </c>
      <c r="J110" s="10">
        <f>IFERROR(VLOOKUP('Pairings NB'!$M$495,Instructores!$A:$C,3,FALSE),"")</f>
        <v/>
      </c>
      <c r="K110" s="10">
        <f>IF('Pairings NB'!J495=320,4,3)</f>
        <v/>
      </c>
    </row>
    <row r="111">
      <c r="A111" s="10">
        <f>'Pairings NB'!B500</f>
        <v/>
      </c>
      <c r="B111" s="10">
        <f>'Pairings NB'!C500</f>
        <v/>
      </c>
      <c r="C111" s="10">
        <f>'Pairings NB'!D500</f>
        <v/>
      </c>
      <c r="D111" s="10">
        <f>'Pairings NB'!E500&amp;"/"&amp;'Pairings NB'!E501</f>
        <v/>
      </c>
      <c r="E111" s="10">
        <f>'Pairings NB'!F500&amp;"-"&amp;'Pairings NB'!G500&amp;"-"&amp;'Pairings NB'!F500</f>
        <v/>
      </c>
      <c r="F111" s="10">
        <f>IFERROR(VLOOKUP('Pairings NB'!$M$500,Instructores!$A:$C,2,FALSE),"")</f>
        <v/>
      </c>
      <c r="G111" s="10">
        <f>'Pairings NB'!$M$500</f>
        <v/>
      </c>
      <c r="H111" s="10">
        <f>'Pairings NB'!$O$500</f>
        <v/>
      </c>
      <c r="I111" s="10">
        <f>'Pairings NB'!J500</f>
        <v/>
      </c>
      <c r="J111" s="10">
        <f>IFERROR(VLOOKUP('Pairings NB'!$M$500,Instructores!$A:$C,3,FALSE),"")</f>
        <v/>
      </c>
      <c r="K111" s="10">
        <f>IF('Pairings NB'!J500=320,4,3)</f>
        <v/>
      </c>
    </row>
    <row r="112">
      <c r="A112" s="10">
        <f>'Pairings NB'!B505</f>
        <v/>
      </c>
      <c r="B112" s="10">
        <f>'Pairings NB'!C505</f>
        <v/>
      </c>
      <c r="C112" s="10">
        <f>'Pairings NB'!D505</f>
        <v/>
      </c>
      <c r="D112" s="10">
        <f>'Pairings NB'!E505&amp;"/"&amp;'Pairings NB'!E506</f>
        <v/>
      </c>
      <c r="E112" s="10">
        <f>'Pairings NB'!F505&amp;"-"&amp;'Pairings NB'!G505&amp;"-"&amp;'Pairings NB'!F505</f>
        <v/>
      </c>
      <c r="F112" s="10">
        <f>IFERROR(VLOOKUP('Pairings NB'!$M$505,Instructores!$A:$C,2,FALSE),"")</f>
        <v/>
      </c>
      <c r="G112" s="10">
        <f>'Pairings NB'!$M$505</f>
        <v/>
      </c>
      <c r="H112" s="10">
        <f>'Pairings NB'!$O$505</f>
        <v/>
      </c>
      <c r="I112" s="10">
        <f>'Pairings NB'!J505</f>
        <v/>
      </c>
      <c r="J112" s="10">
        <f>IFERROR(VLOOKUP('Pairings NB'!$M$505,Instructores!$A:$C,3,FALSE),"")</f>
        <v/>
      </c>
      <c r="K112" s="10">
        <f>IF('Pairings NB'!J505=320,4,3)</f>
        <v/>
      </c>
    </row>
    <row r="113">
      <c r="A113" s="10">
        <f>'Pairings NB'!B507</f>
        <v/>
      </c>
      <c r="B113" s="10">
        <f>'Pairings NB'!C507</f>
        <v/>
      </c>
      <c r="C113" s="10">
        <f>'Pairings NB'!D507</f>
        <v/>
      </c>
      <c r="D113" s="10">
        <f>'Pairings NB'!E507&amp;"/"&amp;'Pairings NB'!E508</f>
        <v/>
      </c>
      <c r="E113" s="10">
        <f>'Pairings NB'!F507&amp;"-"&amp;'Pairings NB'!G507&amp;"-"&amp;'Pairings NB'!F507</f>
        <v/>
      </c>
      <c r="F113" s="10">
        <f>IFERROR(VLOOKUP('Pairings NB'!$M$505,Instructores!$A:$C,2,FALSE),"")</f>
        <v/>
      </c>
      <c r="G113" s="10">
        <f>'Pairings NB'!$M$505</f>
        <v/>
      </c>
      <c r="H113" s="10">
        <f>'Pairings NB'!$O$505</f>
        <v/>
      </c>
      <c r="I113" s="10">
        <f>'Pairings NB'!J507</f>
        <v/>
      </c>
      <c r="J113" s="10">
        <f>IFERROR(VLOOKUP('Pairings NB'!$M$505,Instructores!$A:$C,3,FALSE),"")</f>
        <v/>
      </c>
      <c r="K113" s="10">
        <f>IF('Pairings NB'!J507=320,4,3)</f>
        <v/>
      </c>
    </row>
    <row r="114">
      <c r="A114" s="10">
        <f>'Pairings NB'!B512</f>
        <v/>
      </c>
      <c r="B114" s="10">
        <f>'Pairings NB'!C512</f>
        <v/>
      </c>
      <c r="C114" s="10">
        <f>'Pairings NB'!D512</f>
        <v/>
      </c>
      <c r="D114" s="10">
        <f>'Pairings NB'!E512&amp;"/"&amp;'Pairings NB'!E513</f>
        <v/>
      </c>
      <c r="E114" s="10">
        <f>'Pairings NB'!F512&amp;"-"&amp;'Pairings NB'!G512&amp;"-"&amp;'Pairings NB'!F512</f>
        <v/>
      </c>
      <c r="F114" s="10">
        <f>IFERROR(VLOOKUP('Pairings NB'!$M$512,Instructores!$A:$C,2,FALSE),"")</f>
        <v/>
      </c>
      <c r="G114" s="10">
        <f>'Pairings NB'!$M$512</f>
        <v/>
      </c>
      <c r="H114" s="10">
        <f>'Pairings NB'!$O$512</f>
        <v/>
      </c>
      <c r="I114" s="10">
        <f>'Pairings NB'!J512</f>
        <v/>
      </c>
      <c r="J114" s="10">
        <f>IFERROR(VLOOKUP('Pairings NB'!$M$512,Instructores!$A:$C,3,FALSE),"")</f>
        <v/>
      </c>
      <c r="K114" s="10">
        <f>IF('Pairings NB'!J512=320,4,3)</f>
        <v/>
      </c>
    </row>
    <row r="115">
      <c r="A115" s="10">
        <f>'Pairings NB'!B514</f>
        <v/>
      </c>
      <c r="B115" s="10">
        <f>'Pairings NB'!C514</f>
        <v/>
      </c>
      <c r="C115" s="10">
        <f>'Pairings NB'!D514</f>
        <v/>
      </c>
      <c r="D115" s="10">
        <f>'Pairings NB'!E514&amp;"/"&amp;'Pairings NB'!E515</f>
        <v/>
      </c>
      <c r="E115" s="10">
        <f>'Pairings NB'!F514&amp;"-"&amp;'Pairings NB'!G514&amp;"-"&amp;'Pairings NB'!F514</f>
        <v/>
      </c>
      <c r="F115" s="10">
        <f>IFERROR(VLOOKUP('Pairings NB'!$M$512,Instructores!$A:$C,2,FALSE),"")</f>
        <v/>
      </c>
      <c r="G115" s="10">
        <f>'Pairings NB'!$M$512</f>
        <v/>
      </c>
      <c r="H115" s="10">
        <f>'Pairings NB'!$O$512</f>
        <v/>
      </c>
      <c r="I115" s="10">
        <f>'Pairings NB'!J514</f>
        <v/>
      </c>
      <c r="J115" s="10">
        <f>IFERROR(VLOOKUP('Pairings NB'!$M$512,Instructores!$A:$C,3,FALSE),"")</f>
        <v/>
      </c>
      <c r="K115" s="10">
        <f>IF('Pairings NB'!J514=320,4,3)</f>
        <v/>
      </c>
    </row>
    <row r="116">
      <c r="A116" s="10">
        <f>'Pairings NB'!B519</f>
        <v/>
      </c>
      <c r="B116" s="10">
        <f>'Pairings NB'!C519</f>
        <v/>
      </c>
      <c r="C116" s="10">
        <f>'Pairings NB'!D519</f>
        <v/>
      </c>
      <c r="D116" s="10">
        <f>'Pairings NB'!E519&amp;"/"&amp;'Pairings NB'!E520</f>
        <v/>
      </c>
      <c r="E116" s="10">
        <f>'Pairings NB'!F519&amp;"-"&amp;'Pairings NB'!G519&amp;"-"&amp;'Pairings NB'!F519</f>
        <v/>
      </c>
      <c r="F116" s="10">
        <f>IFERROR(VLOOKUP('Pairings NB'!$M$519,Instructores!$A:$C,2,FALSE),"")</f>
        <v/>
      </c>
      <c r="G116" s="10">
        <f>'Pairings NB'!$M$519</f>
        <v/>
      </c>
      <c r="H116" s="10">
        <f>'Pairings NB'!$O$519</f>
        <v/>
      </c>
      <c r="I116" s="10">
        <f>'Pairings NB'!J519</f>
        <v/>
      </c>
      <c r="J116" s="10">
        <f>IFERROR(VLOOKUP('Pairings NB'!$M$519,Instructores!$A:$C,3,FALSE),"")</f>
        <v/>
      </c>
      <c r="K116" s="10">
        <f>IF('Pairings NB'!J519=320,4,3)</f>
        <v/>
      </c>
    </row>
    <row r="117">
      <c r="A117" s="10">
        <f>'Pairings NB'!B524</f>
        <v/>
      </c>
      <c r="B117" s="10">
        <f>'Pairings NB'!C524</f>
        <v/>
      </c>
      <c r="C117" s="10">
        <f>'Pairings NB'!D524</f>
        <v/>
      </c>
      <c r="D117" s="10">
        <f>'Pairings NB'!E524&amp;"/"&amp;'Pairings NB'!E525</f>
        <v/>
      </c>
      <c r="E117" s="10">
        <f>'Pairings NB'!F524&amp;"-"&amp;'Pairings NB'!G524&amp;"-"&amp;'Pairings NB'!F524</f>
        <v/>
      </c>
      <c r="F117" s="10">
        <f>IFERROR(VLOOKUP('Pairings NB'!$M$524,Instructores!$A:$C,2,FALSE),"")</f>
        <v/>
      </c>
      <c r="G117" s="10">
        <f>'Pairings NB'!$M$524</f>
        <v/>
      </c>
      <c r="H117" s="10">
        <f>'Pairings NB'!$O$524</f>
        <v/>
      </c>
      <c r="I117" s="10">
        <f>'Pairings NB'!J524</f>
        <v/>
      </c>
      <c r="J117" s="10">
        <f>IFERROR(VLOOKUP('Pairings NB'!$M$524,Instructores!$A:$C,3,FALSE),"")</f>
        <v/>
      </c>
      <c r="K117" s="10">
        <f>IF('Pairings NB'!J524=320,4,3)</f>
        <v/>
      </c>
    </row>
    <row r="118">
      <c r="A118" s="10">
        <f>'Pairings NB'!B529</f>
        <v/>
      </c>
      <c r="B118" s="10">
        <f>'Pairings NB'!C529</f>
        <v/>
      </c>
      <c r="C118" s="10">
        <f>'Pairings NB'!D529</f>
        <v/>
      </c>
      <c r="D118" s="10">
        <f>'Pairings NB'!E529&amp;"/"&amp;'Pairings NB'!E530</f>
        <v/>
      </c>
      <c r="E118" s="10">
        <f>'Pairings NB'!F529&amp;"-"&amp;'Pairings NB'!G529&amp;"-"&amp;'Pairings NB'!F529</f>
        <v/>
      </c>
      <c r="F118" s="10">
        <f>IFERROR(VLOOKUP('Pairings NB'!$M$529,Instructores!$A:$C,2,FALSE),"")</f>
        <v/>
      </c>
      <c r="G118" s="10">
        <f>'Pairings NB'!$M$529</f>
        <v/>
      </c>
      <c r="H118" s="10">
        <f>'Pairings NB'!$O$529</f>
        <v/>
      </c>
      <c r="I118" s="10">
        <f>'Pairings NB'!J529</f>
        <v/>
      </c>
      <c r="J118" s="10">
        <f>IFERROR(VLOOKUP('Pairings NB'!$M$529,Instructores!$A:$C,3,FALSE),"")</f>
        <v/>
      </c>
      <c r="K118" s="10">
        <f>IF('Pairings NB'!J529=320,4,3)</f>
        <v/>
      </c>
    </row>
    <row r="119">
      <c r="A119" s="10">
        <f>'Pairings NB'!B534</f>
        <v/>
      </c>
      <c r="B119" s="10">
        <f>'Pairings NB'!C534</f>
        <v/>
      </c>
      <c r="C119" s="10">
        <f>'Pairings NB'!D534</f>
        <v/>
      </c>
      <c r="D119" s="10">
        <f>'Pairings NB'!E534&amp;"/"&amp;'Pairings NB'!E535</f>
        <v/>
      </c>
      <c r="E119" s="10">
        <f>'Pairings NB'!F534&amp;"-"&amp;'Pairings NB'!G534&amp;"-"&amp;'Pairings NB'!F534</f>
        <v/>
      </c>
      <c r="F119" s="10">
        <f>IFERROR(VLOOKUP('Pairings NB'!$M$534,Instructores!$A:$C,2,FALSE),"")</f>
        <v/>
      </c>
      <c r="G119" s="10">
        <f>'Pairings NB'!$M$534</f>
        <v/>
      </c>
      <c r="H119" s="10">
        <f>'Pairings NB'!$O$534</f>
        <v/>
      </c>
      <c r="I119" s="10">
        <f>'Pairings NB'!J534</f>
        <v/>
      </c>
      <c r="J119" s="10">
        <f>IFERROR(VLOOKUP('Pairings NB'!$M$534,Instructores!$A:$C,3,FALSE),"")</f>
        <v/>
      </c>
      <c r="K119" s="10">
        <f>IF('Pairings NB'!J534=320,4,3)</f>
        <v/>
      </c>
    </row>
    <row r="120">
      <c r="A120" s="10">
        <f>'Pairings NB'!B536</f>
        <v/>
      </c>
      <c r="B120" s="10">
        <f>'Pairings NB'!C536</f>
        <v/>
      </c>
      <c r="C120" s="10">
        <f>'Pairings NB'!D536</f>
        <v/>
      </c>
      <c r="D120" s="10">
        <f>'Pairings NB'!E536&amp;"/"&amp;'Pairings NB'!E537</f>
        <v/>
      </c>
      <c r="E120" s="10">
        <f>'Pairings NB'!F536&amp;"-"&amp;'Pairings NB'!G536&amp;"-"&amp;'Pairings NB'!F536</f>
        <v/>
      </c>
      <c r="F120" s="10">
        <f>IFERROR(VLOOKUP('Pairings NB'!$M$534,Instructores!$A:$C,2,FALSE),"")</f>
        <v/>
      </c>
      <c r="G120" s="10">
        <f>'Pairings NB'!$M$534</f>
        <v/>
      </c>
      <c r="H120" s="10">
        <f>'Pairings NB'!$O$534</f>
        <v/>
      </c>
      <c r="I120" s="10">
        <f>'Pairings NB'!J536</f>
        <v/>
      </c>
      <c r="J120" s="10">
        <f>IFERROR(VLOOKUP('Pairings NB'!$M$534,Instructores!$A:$C,3,FALSE),"")</f>
        <v/>
      </c>
      <c r="K120" s="10">
        <f>IF('Pairings NB'!J536=320,4,3)</f>
        <v/>
      </c>
    </row>
    <row r="121">
      <c r="A121" s="10">
        <f>'Pairings NB'!B541</f>
        <v/>
      </c>
      <c r="B121" s="10">
        <f>'Pairings NB'!C541</f>
        <v/>
      </c>
      <c r="C121" s="10">
        <f>'Pairings NB'!D541</f>
        <v/>
      </c>
      <c r="D121" s="10">
        <f>'Pairings NB'!E541&amp;"/"&amp;'Pairings NB'!E542</f>
        <v/>
      </c>
      <c r="E121" s="10">
        <f>'Pairings NB'!F541&amp;"-"&amp;'Pairings NB'!G541&amp;"-"&amp;'Pairings NB'!F541</f>
        <v/>
      </c>
      <c r="F121" s="10">
        <f>IFERROR(VLOOKUP('Pairings NB'!$M$541,Instructores!$A:$C,2,FALSE),"")</f>
        <v/>
      </c>
      <c r="G121" s="10">
        <f>'Pairings NB'!$M$541</f>
        <v/>
      </c>
      <c r="H121" s="10">
        <f>'Pairings NB'!$O$541</f>
        <v/>
      </c>
      <c r="I121" s="10">
        <f>'Pairings NB'!J541</f>
        <v/>
      </c>
      <c r="J121" s="10">
        <f>IFERROR(VLOOKUP('Pairings NB'!$M$541,Instructores!$A:$C,3,FALSE),"")</f>
        <v/>
      </c>
      <c r="K121" s="10">
        <f>IF('Pairings NB'!J541=320,4,3)</f>
        <v/>
      </c>
    </row>
    <row r="122">
      <c r="A122" s="10">
        <f>'Pairings NB'!B546</f>
        <v/>
      </c>
      <c r="B122" s="10">
        <f>'Pairings NB'!C546</f>
        <v/>
      </c>
      <c r="C122" s="10">
        <f>'Pairings NB'!D546</f>
        <v/>
      </c>
      <c r="D122" s="10">
        <f>'Pairings NB'!E546&amp;"/"&amp;'Pairings NB'!E547</f>
        <v/>
      </c>
      <c r="E122" s="10">
        <f>'Pairings NB'!F546&amp;"-"&amp;'Pairings NB'!G546&amp;"-"&amp;'Pairings NB'!F546</f>
        <v/>
      </c>
      <c r="F122" s="10">
        <f>IFERROR(VLOOKUP('Pairings NB'!$M$546,Instructores!$A:$C,2,FALSE),"")</f>
        <v/>
      </c>
      <c r="G122" s="10">
        <f>'Pairings NB'!$M$546</f>
        <v/>
      </c>
      <c r="H122" s="10">
        <f>'Pairings NB'!$O$546</f>
        <v/>
      </c>
      <c r="I122" s="10">
        <f>'Pairings NB'!J546</f>
        <v/>
      </c>
      <c r="J122" s="10">
        <f>IFERROR(VLOOKUP('Pairings NB'!$M$546,Instructores!$A:$C,3,FALSE),"")</f>
        <v/>
      </c>
      <c r="K122" s="10">
        <f>IF('Pairings NB'!J546=320,4,3)</f>
        <v/>
      </c>
    </row>
    <row r="123">
      <c r="A123" s="10">
        <f>'Pairings NB'!B551</f>
        <v/>
      </c>
      <c r="B123" s="10">
        <f>'Pairings NB'!C551</f>
        <v/>
      </c>
      <c r="C123" s="10">
        <f>'Pairings NB'!D551</f>
        <v/>
      </c>
      <c r="D123" s="10">
        <f>'Pairings NB'!E551&amp;"/"&amp;'Pairings NB'!E552</f>
        <v/>
      </c>
      <c r="E123" s="10">
        <f>'Pairings NB'!F551&amp;"-"&amp;'Pairings NB'!G551&amp;"-"&amp;'Pairings NB'!F551</f>
        <v/>
      </c>
      <c r="F123" s="10">
        <f>IFERROR(VLOOKUP('Pairings NB'!$M$551,Instructores!$A:$C,2,FALSE),"")</f>
        <v/>
      </c>
      <c r="G123" s="10">
        <f>'Pairings NB'!$M$551</f>
        <v/>
      </c>
      <c r="H123" s="10">
        <f>'Pairings NB'!$O$551</f>
        <v/>
      </c>
      <c r="I123" s="10">
        <f>'Pairings NB'!J551</f>
        <v/>
      </c>
      <c r="J123" s="10">
        <f>IFERROR(VLOOKUP('Pairings NB'!$M$551,Instructores!$A:$C,3,FALSE),"")</f>
        <v/>
      </c>
      <c r="K123" s="10">
        <f>IF('Pairings NB'!J551=320,4,3)</f>
        <v/>
      </c>
    </row>
    <row r="124">
      <c r="A124" s="10">
        <f>'Pairings NB'!B556</f>
        <v/>
      </c>
      <c r="B124" s="10">
        <f>'Pairings NB'!C556</f>
        <v/>
      </c>
      <c r="C124" s="10">
        <f>'Pairings NB'!D556</f>
        <v/>
      </c>
      <c r="D124" s="10">
        <f>'Pairings NB'!E556&amp;"/"&amp;'Pairings NB'!E557</f>
        <v/>
      </c>
      <c r="E124" s="10">
        <f>'Pairings NB'!F556&amp;"-"&amp;'Pairings NB'!G556&amp;"-"&amp;'Pairings NB'!F556</f>
        <v/>
      </c>
      <c r="F124" s="10">
        <f>IFERROR(VLOOKUP('Pairings NB'!$M$556,Instructores!$A:$C,2,FALSE),"")</f>
        <v/>
      </c>
      <c r="G124" s="10">
        <f>'Pairings NB'!$M$556</f>
        <v/>
      </c>
      <c r="H124" s="10">
        <f>'Pairings NB'!$O$556</f>
        <v/>
      </c>
      <c r="I124" s="10">
        <f>'Pairings NB'!J556</f>
        <v/>
      </c>
      <c r="J124" s="10">
        <f>IFERROR(VLOOKUP('Pairings NB'!$M$556,Instructores!$A:$C,3,FALSE),"")</f>
        <v/>
      </c>
      <c r="K124" s="10">
        <f>IF('Pairings NB'!J556=320,4,3)</f>
        <v/>
      </c>
    </row>
    <row r="125">
      <c r="A125" s="10">
        <f>'Pairings NB'!B561</f>
        <v/>
      </c>
      <c r="B125" s="10">
        <f>'Pairings NB'!C561</f>
        <v/>
      </c>
      <c r="C125" s="10">
        <f>'Pairings NB'!D561</f>
        <v/>
      </c>
      <c r="D125" s="10">
        <f>'Pairings NB'!E561&amp;"/"&amp;'Pairings NB'!E562</f>
        <v/>
      </c>
      <c r="E125" s="10">
        <f>'Pairings NB'!F561&amp;"-"&amp;'Pairings NB'!G561&amp;"-"&amp;'Pairings NB'!F561</f>
        <v/>
      </c>
      <c r="F125" s="10">
        <f>IFERROR(VLOOKUP('Pairings NB'!$M$561,Instructores!$A:$C,2,FALSE),"")</f>
        <v/>
      </c>
      <c r="G125" s="10">
        <f>'Pairings NB'!$M$561</f>
        <v/>
      </c>
      <c r="H125" s="10">
        <f>'Pairings NB'!$O$561</f>
        <v/>
      </c>
      <c r="I125" s="10">
        <f>'Pairings NB'!J561</f>
        <v/>
      </c>
      <c r="J125" s="10">
        <f>IFERROR(VLOOKUP('Pairings NB'!$M$561,Instructores!$A:$C,3,FALSE),"")</f>
        <v/>
      </c>
      <c r="K125" s="10">
        <f>IF('Pairings NB'!J561=320,4,3)</f>
        <v/>
      </c>
    </row>
    <row r="126">
      <c r="A126" s="10">
        <f>'Pairings NB'!B566</f>
        <v/>
      </c>
      <c r="B126" s="10">
        <f>'Pairings NB'!C566</f>
        <v/>
      </c>
      <c r="C126" s="10">
        <f>'Pairings NB'!D566</f>
        <v/>
      </c>
      <c r="D126" s="10">
        <f>'Pairings NB'!E566&amp;"/"&amp;'Pairings NB'!E567</f>
        <v/>
      </c>
      <c r="E126" s="10">
        <f>'Pairings NB'!F566&amp;"-"&amp;'Pairings NB'!G566&amp;"-"&amp;'Pairings NB'!F566</f>
        <v/>
      </c>
      <c r="F126" s="10">
        <f>IFERROR(VLOOKUP('Pairings NB'!$M$566,Instructores!$A:$C,2,FALSE),"")</f>
        <v/>
      </c>
      <c r="G126" s="10">
        <f>'Pairings NB'!$M$566</f>
        <v/>
      </c>
      <c r="H126" s="10">
        <f>'Pairings NB'!$O$566</f>
        <v/>
      </c>
      <c r="I126" s="10">
        <f>'Pairings NB'!J566</f>
        <v/>
      </c>
      <c r="J126" s="10">
        <f>IFERROR(VLOOKUP('Pairings NB'!$M$566,Instructores!$A:$C,3,FALSE),"")</f>
        <v/>
      </c>
      <c r="K126" s="10">
        <f>IF('Pairings NB'!J566=320,4,3)</f>
        <v/>
      </c>
    </row>
    <row r="127">
      <c r="A127" s="10">
        <f>'Pairings NB'!B568</f>
        <v/>
      </c>
      <c r="B127" s="10">
        <f>'Pairings NB'!C568</f>
        <v/>
      </c>
      <c r="C127" s="10">
        <f>'Pairings NB'!D568</f>
        <v/>
      </c>
      <c r="D127" s="10">
        <f>'Pairings NB'!E568&amp;"/"&amp;'Pairings NB'!E569</f>
        <v/>
      </c>
      <c r="E127" s="10">
        <f>'Pairings NB'!F568&amp;"-"&amp;'Pairings NB'!G568&amp;"-"&amp;'Pairings NB'!F568</f>
        <v/>
      </c>
      <c r="F127" s="10">
        <f>IFERROR(VLOOKUP('Pairings NB'!$M$566,Instructores!$A:$C,2,FALSE),"")</f>
        <v/>
      </c>
      <c r="G127" s="10">
        <f>'Pairings NB'!$M$566</f>
        <v/>
      </c>
      <c r="H127" s="10">
        <f>'Pairings NB'!$O$566</f>
        <v/>
      </c>
      <c r="I127" s="10">
        <f>'Pairings NB'!J568</f>
        <v/>
      </c>
      <c r="J127" s="10">
        <f>IFERROR(VLOOKUP('Pairings NB'!$M$566,Instructores!$A:$C,3,FALSE),"")</f>
        <v/>
      </c>
      <c r="K127" s="10">
        <f>IF('Pairings NB'!J568=320,4,3)</f>
        <v/>
      </c>
    </row>
    <row r="128">
      <c r="A128" s="10">
        <f>'Pairings NB'!B573</f>
        <v/>
      </c>
      <c r="B128" s="10">
        <f>'Pairings NB'!C573</f>
        <v/>
      </c>
      <c r="C128" s="10">
        <f>'Pairings NB'!D573</f>
        <v/>
      </c>
      <c r="D128" s="10">
        <f>'Pairings NB'!E573&amp;"/"&amp;'Pairings NB'!E574</f>
        <v/>
      </c>
      <c r="E128" s="10">
        <f>'Pairings NB'!F573&amp;"-"&amp;'Pairings NB'!G573&amp;"-"&amp;'Pairings NB'!F573</f>
        <v/>
      </c>
      <c r="F128" s="10">
        <f>IFERROR(VLOOKUP('Pairings NB'!$M$573,Instructores!$A:$C,2,FALSE),"")</f>
        <v/>
      </c>
      <c r="G128" s="10">
        <f>'Pairings NB'!$M$573</f>
        <v/>
      </c>
      <c r="H128" s="10">
        <f>'Pairings NB'!$O$573</f>
        <v/>
      </c>
      <c r="I128" s="10">
        <f>'Pairings NB'!J573</f>
        <v/>
      </c>
      <c r="J128" s="10">
        <f>IFERROR(VLOOKUP('Pairings NB'!$M$573,Instructores!$A:$C,3,FALSE),"")</f>
        <v/>
      </c>
      <c r="K128" s="10">
        <f>IF('Pairings NB'!J573=320,4,3)</f>
        <v/>
      </c>
    </row>
    <row r="129">
      <c r="A129" s="10">
        <f>'Pairings NB'!B575</f>
        <v/>
      </c>
      <c r="B129" s="10">
        <f>'Pairings NB'!C575</f>
        <v/>
      </c>
      <c r="C129" s="10">
        <f>'Pairings NB'!D575</f>
        <v/>
      </c>
      <c r="D129" s="10">
        <f>'Pairings NB'!E575&amp;"/"&amp;'Pairings NB'!E576</f>
        <v/>
      </c>
      <c r="E129" s="10">
        <f>'Pairings NB'!F575&amp;"-"&amp;'Pairings NB'!G575&amp;"-"&amp;'Pairings NB'!F575</f>
        <v/>
      </c>
      <c r="F129" s="10">
        <f>IFERROR(VLOOKUP('Pairings NB'!$M$573,Instructores!$A:$C,2,FALSE),"")</f>
        <v/>
      </c>
      <c r="G129" s="10">
        <f>'Pairings NB'!$M$573</f>
        <v/>
      </c>
      <c r="H129" s="10">
        <f>'Pairings NB'!$O$573</f>
        <v/>
      </c>
      <c r="I129" s="10">
        <f>'Pairings NB'!J575</f>
        <v/>
      </c>
      <c r="J129" s="10">
        <f>IFERROR(VLOOKUP('Pairings NB'!$M$573,Instructores!$A:$C,3,FALSE),"")</f>
        <v/>
      </c>
      <c r="K129" s="10">
        <f>IF('Pairings NB'!J575=320,4,3)</f>
        <v/>
      </c>
    </row>
    <row r="130">
      <c r="A130" s="10">
        <f>'Pairings NB'!B580</f>
        <v/>
      </c>
      <c r="B130" s="10">
        <f>'Pairings NB'!C580</f>
        <v/>
      </c>
      <c r="C130" s="10">
        <f>'Pairings NB'!D580</f>
        <v/>
      </c>
      <c r="D130" s="10">
        <f>'Pairings NB'!E580&amp;"/"&amp;'Pairings NB'!E581</f>
        <v/>
      </c>
      <c r="E130" s="10">
        <f>'Pairings NB'!F580&amp;"-"&amp;'Pairings NB'!G580&amp;"-"&amp;'Pairings NB'!F580</f>
        <v/>
      </c>
      <c r="F130" s="10">
        <f>IFERROR(VLOOKUP('Pairings NB'!$M$580,Instructores!$A:$C,2,FALSE),"")</f>
        <v/>
      </c>
      <c r="G130" s="10">
        <f>'Pairings NB'!$M$580</f>
        <v/>
      </c>
      <c r="H130" s="10">
        <f>'Pairings NB'!$O$580</f>
        <v/>
      </c>
      <c r="I130" s="10">
        <f>'Pairings NB'!J580</f>
        <v/>
      </c>
      <c r="J130" s="10">
        <f>IFERROR(VLOOKUP('Pairings NB'!$M$580,Instructores!$A:$C,3,FALSE),"")</f>
        <v/>
      </c>
      <c r="K130" s="10">
        <f>IF('Pairings NB'!J580=320,4,3)</f>
        <v/>
      </c>
    </row>
    <row r="131">
      <c r="A131" s="10">
        <f>'Pairings NB'!B585</f>
        <v/>
      </c>
      <c r="B131" s="10">
        <f>'Pairings NB'!C585</f>
        <v/>
      </c>
      <c r="C131" s="10">
        <f>'Pairings NB'!D585</f>
        <v/>
      </c>
      <c r="D131" s="10">
        <f>'Pairings NB'!E585&amp;"/"&amp;'Pairings NB'!E586</f>
        <v/>
      </c>
      <c r="E131" s="10">
        <f>'Pairings NB'!F585&amp;"-"&amp;'Pairings NB'!G585&amp;"-"&amp;'Pairings NB'!F585</f>
        <v/>
      </c>
      <c r="F131" s="10">
        <f>IFERROR(VLOOKUP('Pairings NB'!$M$585,Instructores!$A:$C,2,FALSE),"")</f>
        <v/>
      </c>
      <c r="G131" s="10">
        <f>'Pairings NB'!$M$585</f>
        <v/>
      </c>
      <c r="H131" s="10">
        <f>'Pairings NB'!$O$585</f>
        <v/>
      </c>
      <c r="I131" s="10">
        <f>'Pairings NB'!J585</f>
        <v/>
      </c>
      <c r="J131" s="10">
        <f>IFERROR(VLOOKUP('Pairings NB'!$M$585,Instructores!$A:$C,3,FALSE),"")</f>
        <v/>
      </c>
      <c r="K131" s="10">
        <f>IF('Pairings NB'!J585=320,4,3)</f>
        <v/>
      </c>
    </row>
    <row r="132">
      <c r="A132" s="10">
        <f>'Pairings NB'!B590</f>
        <v/>
      </c>
      <c r="B132" s="10">
        <f>'Pairings NB'!C590</f>
        <v/>
      </c>
      <c r="C132" s="10">
        <f>'Pairings NB'!D590</f>
        <v/>
      </c>
      <c r="D132" s="10">
        <f>'Pairings NB'!E590&amp;"/"&amp;'Pairings NB'!E591</f>
        <v/>
      </c>
      <c r="E132" s="10">
        <f>'Pairings NB'!F590&amp;"-"&amp;'Pairings NB'!G590&amp;"-"&amp;'Pairings NB'!F590</f>
        <v/>
      </c>
      <c r="F132" s="10">
        <f>IFERROR(VLOOKUP('Pairings NB'!$M$590,Instructores!$A:$C,2,FALSE),"")</f>
        <v/>
      </c>
      <c r="G132" s="10">
        <f>'Pairings NB'!$M$590</f>
        <v/>
      </c>
      <c r="H132" s="10">
        <f>'Pairings NB'!$O$590</f>
        <v/>
      </c>
      <c r="I132" s="10">
        <f>'Pairings NB'!J590</f>
        <v/>
      </c>
      <c r="J132" s="10">
        <f>IFERROR(VLOOKUP('Pairings NB'!$M$590,Instructores!$A:$C,3,FALSE),"")</f>
        <v/>
      </c>
      <c r="K132" s="10">
        <f>IF('Pairings NB'!J590=320,4,3)</f>
        <v/>
      </c>
    </row>
    <row r="133">
      <c r="A133" s="10">
        <f>'Pairings NB'!B595</f>
        <v/>
      </c>
      <c r="B133" s="10">
        <f>'Pairings NB'!C595</f>
        <v/>
      </c>
      <c r="C133" s="10">
        <f>'Pairings NB'!D595</f>
        <v/>
      </c>
      <c r="D133" s="10">
        <f>'Pairings NB'!E595&amp;"/"&amp;'Pairings NB'!E596</f>
        <v/>
      </c>
      <c r="E133" s="10">
        <f>'Pairings NB'!F595&amp;"-"&amp;'Pairings NB'!G595&amp;"-"&amp;'Pairings NB'!F595</f>
        <v/>
      </c>
      <c r="F133" s="10">
        <f>IFERROR(VLOOKUP('Pairings NB'!$M$595,Instructores!$A:$C,2,FALSE),"")</f>
        <v/>
      </c>
      <c r="G133" s="10">
        <f>'Pairings NB'!$M$595</f>
        <v/>
      </c>
      <c r="H133" s="10">
        <f>'Pairings NB'!$O$595</f>
        <v/>
      </c>
      <c r="I133" s="10">
        <f>'Pairings NB'!J595</f>
        <v/>
      </c>
      <c r="J133" s="10">
        <f>IFERROR(VLOOKUP('Pairings NB'!$M$595,Instructores!$A:$C,3,FALSE),"")</f>
        <v/>
      </c>
      <c r="K133" s="10">
        <f>IF('Pairings NB'!J595=320,4,3)</f>
        <v/>
      </c>
    </row>
    <row r="134">
      <c r="A134" s="10">
        <f>'Pairings NB'!B600</f>
        <v/>
      </c>
      <c r="B134" s="10">
        <f>'Pairings NB'!C600</f>
        <v/>
      </c>
      <c r="C134" s="10">
        <f>'Pairings NB'!D600</f>
        <v/>
      </c>
      <c r="D134" s="10">
        <f>'Pairings NB'!E600&amp;"/"&amp;'Pairings NB'!E601</f>
        <v/>
      </c>
      <c r="E134" s="10">
        <f>'Pairings NB'!F600&amp;"-"&amp;'Pairings NB'!G600&amp;"-"&amp;'Pairings NB'!F600</f>
        <v/>
      </c>
      <c r="F134" s="10">
        <f>IFERROR(VLOOKUP('Pairings NB'!$M$600,Instructores!$A:$C,2,FALSE),"")</f>
        <v/>
      </c>
      <c r="G134" s="10">
        <f>'Pairings NB'!$M$600</f>
        <v/>
      </c>
      <c r="H134" s="10">
        <f>'Pairings NB'!$O$600</f>
        <v/>
      </c>
      <c r="I134" s="10">
        <f>'Pairings NB'!J600</f>
        <v/>
      </c>
      <c r="J134" s="10">
        <f>IFERROR(VLOOKUP('Pairings NB'!$M$600,Instructores!$A:$C,3,FALSE),"")</f>
        <v/>
      </c>
      <c r="K134" s="10">
        <f>IF('Pairings NB'!J600=320,4,3)</f>
        <v/>
      </c>
    </row>
    <row r="135">
      <c r="A135" s="10">
        <f>'Pairings NB'!B605</f>
        <v/>
      </c>
      <c r="B135" s="10">
        <f>'Pairings NB'!C605</f>
        <v/>
      </c>
      <c r="C135" s="10">
        <f>'Pairings NB'!D605</f>
        <v/>
      </c>
      <c r="D135" s="10">
        <f>'Pairings NB'!E605&amp;"/"&amp;'Pairings NB'!E606</f>
        <v/>
      </c>
      <c r="E135" s="10">
        <f>'Pairings NB'!F605&amp;"-"&amp;'Pairings NB'!G605&amp;"-"&amp;'Pairings NB'!F605</f>
        <v/>
      </c>
      <c r="F135" s="10">
        <f>IFERROR(VLOOKUP('Pairings NB'!$M$605,Instructores!$A:$C,2,FALSE),"")</f>
        <v/>
      </c>
      <c r="G135" s="10">
        <f>'Pairings NB'!$M$605</f>
        <v/>
      </c>
      <c r="H135" s="10">
        <f>'Pairings NB'!$O$605</f>
        <v/>
      </c>
      <c r="I135" s="10">
        <f>'Pairings NB'!J605</f>
        <v/>
      </c>
      <c r="J135" s="10">
        <f>IFERROR(VLOOKUP('Pairings NB'!$M$605,Instructores!$A:$C,3,FALSE),"")</f>
        <v/>
      </c>
      <c r="K135" s="10">
        <f>IF('Pairings NB'!J605=320,4,3)</f>
        <v/>
      </c>
    </row>
    <row r="136">
      <c r="A136" s="10">
        <f>'Pairings NB'!B610</f>
        <v/>
      </c>
      <c r="B136" s="10">
        <f>'Pairings NB'!C610</f>
        <v/>
      </c>
      <c r="C136" s="10">
        <f>'Pairings NB'!D610</f>
        <v/>
      </c>
      <c r="D136" s="10">
        <f>'Pairings NB'!E610&amp;"/"&amp;'Pairings NB'!E611</f>
        <v/>
      </c>
      <c r="E136" s="10">
        <f>'Pairings NB'!F610&amp;"-"&amp;'Pairings NB'!G610&amp;"-"&amp;'Pairings NB'!F610</f>
        <v/>
      </c>
      <c r="F136" s="10">
        <f>IFERROR(VLOOKUP('Pairings NB'!$M$610,Instructores!$A:$C,2,FALSE),"")</f>
        <v/>
      </c>
      <c r="G136" s="10">
        <f>'Pairings NB'!$M$610</f>
        <v/>
      </c>
      <c r="H136" s="10">
        <f>'Pairings NB'!$O$610</f>
        <v/>
      </c>
      <c r="I136" s="10">
        <f>'Pairings NB'!J610</f>
        <v/>
      </c>
      <c r="J136" s="10">
        <f>IFERROR(VLOOKUP('Pairings NB'!$M$610,Instructores!$A:$C,3,FALSE),"")</f>
        <v/>
      </c>
      <c r="K136" s="10">
        <f>IF('Pairings NB'!J610=320,4,3)</f>
        <v/>
      </c>
    </row>
    <row r="137">
      <c r="A137" s="10">
        <f>'Pairings NB'!B615</f>
        <v/>
      </c>
      <c r="B137" s="10">
        <f>'Pairings NB'!C615</f>
        <v/>
      </c>
      <c r="C137" s="10">
        <f>'Pairings NB'!D615</f>
        <v/>
      </c>
      <c r="D137" s="10">
        <f>'Pairings NB'!E615&amp;"/"&amp;'Pairings NB'!E616</f>
        <v/>
      </c>
      <c r="E137" s="10">
        <f>'Pairings NB'!F615&amp;"-"&amp;'Pairings NB'!G615&amp;"-"&amp;'Pairings NB'!F615</f>
        <v/>
      </c>
      <c r="F137" s="10">
        <f>IFERROR(VLOOKUP('Pairings NB'!$M$615,Instructores!$A:$C,2,FALSE),"")</f>
        <v/>
      </c>
      <c r="G137" s="10">
        <f>'Pairings NB'!$M$615</f>
        <v/>
      </c>
      <c r="H137" s="10">
        <f>'Pairings NB'!$O$615</f>
        <v/>
      </c>
      <c r="I137" s="10">
        <f>'Pairings NB'!J615</f>
        <v/>
      </c>
      <c r="J137" s="10">
        <f>IFERROR(VLOOKUP('Pairings NB'!$M$615,Instructores!$A:$C,3,FALSE),"")</f>
        <v/>
      </c>
      <c r="K137" s="10">
        <f>IF('Pairings NB'!J615=320,4,3)</f>
        <v/>
      </c>
    </row>
    <row r="138">
      <c r="A138" s="10">
        <f>'Pairings NB'!B620</f>
        <v/>
      </c>
      <c r="B138" s="10">
        <f>'Pairings NB'!C620</f>
        <v/>
      </c>
      <c r="C138" s="10">
        <f>'Pairings NB'!D620</f>
        <v/>
      </c>
      <c r="D138" s="10">
        <f>'Pairings NB'!E620&amp;"/"&amp;'Pairings NB'!E621</f>
        <v/>
      </c>
      <c r="E138" s="10">
        <f>'Pairings NB'!F620&amp;"-"&amp;'Pairings NB'!G620&amp;"-"&amp;'Pairings NB'!F620</f>
        <v/>
      </c>
      <c r="F138" s="10">
        <f>IFERROR(VLOOKUP('Pairings NB'!$M$620,Instructores!$A:$C,2,FALSE),"")</f>
        <v/>
      </c>
      <c r="G138" s="10">
        <f>'Pairings NB'!$M$620</f>
        <v/>
      </c>
      <c r="H138" s="10">
        <f>'Pairings NB'!$O$620</f>
        <v/>
      </c>
      <c r="I138" s="10">
        <f>'Pairings NB'!J620</f>
        <v/>
      </c>
      <c r="J138" s="10">
        <f>IFERROR(VLOOKUP('Pairings NB'!$M$620,Instructores!$A:$C,3,FALSE),"")</f>
        <v/>
      </c>
      <c r="K138" s="10">
        <f>IF('Pairings NB'!J620=320,4,3)</f>
        <v/>
      </c>
    </row>
    <row r="139">
      <c r="A139" s="10">
        <f>'Pairings NB'!B625</f>
        <v/>
      </c>
      <c r="B139" s="10">
        <f>'Pairings NB'!C625</f>
        <v/>
      </c>
      <c r="C139" s="10">
        <f>'Pairings NB'!D625</f>
        <v/>
      </c>
      <c r="D139" s="10">
        <f>'Pairings NB'!E625&amp;"/"&amp;'Pairings NB'!E626</f>
        <v/>
      </c>
      <c r="E139" s="10">
        <f>'Pairings NB'!F625&amp;"-"&amp;'Pairings NB'!G625&amp;"-"&amp;'Pairings NB'!F625</f>
        <v/>
      </c>
      <c r="F139" s="10">
        <f>IFERROR(VLOOKUP('Pairings NB'!$M$625,Instructores!$A:$C,2,FALSE),"")</f>
        <v/>
      </c>
      <c r="G139" s="10">
        <f>'Pairings NB'!$M$625</f>
        <v/>
      </c>
      <c r="H139" s="10">
        <f>'Pairings NB'!$O$625</f>
        <v/>
      </c>
      <c r="I139" s="10">
        <f>'Pairings NB'!J625</f>
        <v/>
      </c>
      <c r="J139" s="10">
        <f>IFERROR(VLOOKUP('Pairings NB'!$M$625,Instructores!$A:$C,3,FALSE),"")</f>
        <v/>
      </c>
      <c r="K139" s="10">
        <f>IF('Pairings NB'!J625=320,4,3)</f>
        <v/>
      </c>
    </row>
    <row r="140">
      <c r="A140" s="10">
        <f>'Pairings NB'!B630</f>
        <v/>
      </c>
      <c r="B140" s="10">
        <f>'Pairings NB'!C630</f>
        <v/>
      </c>
      <c r="C140" s="10">
        <f>'Pairings NB'!D630</f>
        <v/>
      </c>
      <c r="D140" s="10">
        <f>'Pairings NB'!E630&amp;"/"&amp;'Pairings NB'!E631</f>
        <v/>
      </c>
      <c r="E140" s="10">
        <f>'Pairings NB'!F630&amp;"-"&amp;'Pairings NB'!G630&amp;"-"&amp;'Pairings NB'!F630</f>
        <v/>
      </c>
      <c r="F140" s="10">
        <f>IFERROR(VLOOKUP('Pairings NB'!$M$630,Instructores!$A:$C,2,FALSE),"")</f>
        <v/>
      </c>
      <c r="G140" s="10">
        <f>'Pairings NB'!$M$630</f>
        <v/>
      </c>
      <c r="H140" s="10">
        <f>'Pairings NB'!$O$630</f>
        <v/>
      </c>
      <c r="I140" s="10">
        <f>'Pairings NB'!J630</f>
        <v/>
      </c>
      <c r="J140" s="10">
        <f>IFERROR(VLOOKUP('Pairings NB'!$M$630,Instructores!$A:$C,3,FALSE),"")</f>
        <v/>
      </c>
      <c r="K140" s="10">
        <f>IF('Pairings NB'!J630=320,4,3)</f>
        <v/>
      </c>
    </row>
    <row r="141">
      <c r="A141" s="10">
        <f>'Pairings NB'!B635</f>
        <v/>
      </c>
      <c r="B141" s="10">
        <f>'Pairings NB'!C635</f>
        <v/>
      </c>
      <c r="C141" s="10">
        <f>'Pairings NB'!D635</f>
        <v/>
      </c>
      <c r="D141" s="10">
        <f>'Pairings NB'!E635&amp;"/"&amp;'Pairings NB'!E636</f>
        <v/>
      </c>
      <c r="E141" s="10">
        <f>'Pairings NB'!F635&amp;"-"&amp;'Pairings NB'!G635&amp;"-"&amp;'Pairings NB'!F635</f>
        <v/>
      </c>
      <c r="F141" s="10">
        <f>IFERROR(VLOOKUP('Pairings NB'!$M$635,Instructores!$A:$C,2,FALSE),"")</f>
        <v/>
      </c>
      <c r="G141" s="10">
        <f>'Pairings NB'!$M$635</f>
        <v/>
      </c>
      <c r="H141" s="10">
        <f>'Pairings NB'!$O$635</f>
        <v/>
      </c>
      <c r="I141" s="10">
        <f>'Pairings NB'!J635</f>
        <v/>
      </c>
      <c r="J141" s="10">
        <f>IFERROR(VLOOKUP('Pairings NB'!$M$635,Instructores!$A:$C,3,FALSE),"")</f>
        <v/>
      </c>
      <c r="K141" s="10">
        <f>IF('Pairings NB'!J635=320,4,3)</f>
        <v/>
      </c>
    </row>
    <row r="142">
      <c r="A142" s="10">
        <f>'Pairings NB'!B640</f>
        <v/>
      </c>
      <c r="B142" s="10">
        <f>'Pairings NB'!C640</f>
        <v/>
      </c>
      <c r="C142" s="10">
        <f>'Pairings NB'!D640</f>
        <v/>
      </c>
      <c r="D142" s="10">
        <f>'Pairings NB'!E640&amp;"/"&amp;'Pairings NB'!E641</f>
        <v/>
      </c>
      <c r="E142" s="10">
        <f>'Pairings NB'!F640&amp;"-"&amp;'Pairings NB'!G640&amp;"-"&amp;'Pairings NB'!F640</f>
        <v/>
      </c>
      <c r="F142" s="10">
        <f>IFERROR(VLOOKUP('Pairings NB'!$M$640,Instructores!$A:$C,2,FALSE),"")</f>
        <v/>
      </c>
      <c r="G142" s="10">
        <f>'Pairings NB'!$M$640</f>
        <v/>
      </c>
      <c r="H142" s="10">
        <f>'Pairings NB'!$O$640</f>
        <v/>
      </c>
      <c r="I142" s="10">
        <f>'Pairings NB'!J640</f>
        <v/>
      </c>
      <c r="J142" s="10">
        <f>IFERROR(VLOOKUP('Pairings NB'!$M$640,Instructores!$A:$C,3,FALSE),"")</f>
        <v/>
      </c>
      <c r="K142" s="10">
        <f>IF('Pairings NB'!J640=320,4,3)</f>
        <v/>
      </c>
    </row>
    <row r="143">
      <c r="A143" s="10">
        <f>'Pairings NB'!B645</f>
        <v/>
      </c>
      <c r="B143" s="10">
        <f>'Pairings NB'!C645</f>
        <v/>
      </c>
      <c r="C143" s="10">
        <f>'Pairings NB'!D645</f>
        <v/>
      </c>
      <c r="D143" s="10">
        <f>'Pairings NB'!E645&amp;"/"&amp;'Pairings NB'!E646</f>
        <v/>
      </c>
      <c r="E143" s="10">
        <f>'Pairings NB'!F645&amp;"-"&amp;'Pairings NB'!G645&amp;"-"&amp;'Pairings NB'!F645</f>
        <v/>
      </c>
      <c r="F143" s="10">
        <f>IFERROR(VLOOKUP('Pairings NB'!$M$645,Instructores!$A:$C,2,FALSE),"")</f>
        <v/>
      </c>
      <c r="G143" s="10">
        <f>'Pairings NB'!$M$645</f>
        <v/>
      </c>
      <c r="H143" s="10">
        <f>'Pairings NB'!$O$645</f>
        <v/>
      </c>
      <c r="I143" s="10">
        <f>'Pairings NB'!J645</f>
        <v/>
      </c>
      <c r="J143" s="10">
        <f>IFERROR(VLOOKUP('Pairings NB'!$M$645,Instructores!$A:$C,3,FALSE),"")</f>
        <v/>
      </c>
      <c r="K143" s="10">
        <f>IF('Pairings NB'!J645=320,4,3)</f>
        <v/>
      </c>
    </row>
    <row r="144">
      <c r="A144" s="10">
        <f>'Pairings NB'!B647</f>
        <v/>
      </c>
      <c r="B144" s="10">
        <f>'Pairings NB'!C647</f>
        <v/>
      </c>
      <c r="C144" s="10">
        <f>'Pairings NB'!D647</f>
        <v/>
      </c>
      <c r="D144" s="10">
        <f>'Pairings NB'!E647&amp;"/"&amp;'Pairings NB'!E648</f>
        <v/>
      </c>
      <c r="E144" s="10">
        <f>'Pairings NB'!F647&amp;"-"&amp;'Pairings NB'!G647&amp;"-"&amp;'Pairings NB'!F647</f>
        <v/>
      </c>
      <c r="F144" s="10">
        <f>IFERROR(VLOOKUP('Pairings NB'!$M$645,Instructores!$A:$C,2,FALSE),"")</f>
        <v/>
      </c>
      <c r="G144" s="10">
        <f>'Pairings NB'!$M$645</f>
        <v/>
      </c>
      <c r="H144" s="10">
        <f>'Pairings NB'!$O$645</f>
        <v/>
      </c>
      <c r="I144" s="10">
        <f>'Pairings NB'!J647</f>
        <v/>
      </c>
      <c r="J144" s="10">
        <f>IFERROR(VLOOKUP('Pairings NB'!$M$645,Instructores!$A:$C,3,FALSE),"")</f>
        <v/>
      </c>
      <c r="K144" s="10">
        <f>IF('Pairings NB'!J647=320,4,3)</f>
        <v/>
      </c>
    </row>
    <row r="145">
      <c r="A145" s="10">
        <f>'Pairings NB'!B652</f>
        <v/>
      </c>
      <c r="B145" s="10">
        <f>'Pairings NB'!C652</f>
        <v/>
      </c>
      <c r="C145" s="10">
        <f>'Pairings NB'!D652</f>
        <v/>
      </c>
      <c r="D145" s="10">
        <f>'Pairings NB'!E652&amp;"/"&amp;'Pairings NB'!E653</f>
        <v/>
      </c>
      <c r="E145" s="10">
        <f>'Pairings NB'!F652&amp;"-"&amp;'Pairings NB'!G652&amp;"-"&amp;'Pairings NB'!F652</f>
        <v/>
      </c>
      <c r="F145" s="10">
        <f>IFERROR(VLOOKUP('Pairings NB'!$M$652,Instructores!$A:$C,2,FALSE),"")</f>
        <v/>
      </c>
      <c r="G145" s="10">
        <f>'Pairings NB'!$M$652</f>
        <v/>
      </c>
      <c r="H145" s="10">
        <f>'Pairings NB'!$O$652</f>
        <v/>
      </c>
      <c r="I145" s="10">
        <f>'Pairings NB'!J652</f>
        <v/>
      </c>
      <c r="J145" s="10">
        <f>IFERROR(VLOOKUP('Pairings NB'!$M$652,Instructores!$A:$C,3,FALSE),"")</f>
        <v/>
      </c>
      <c r="K145" s="10">
        <f>IF('Pairings NB'!J652=320,4,3)</f>
        <v/>
      </c>
    </row>
    <row r="146">
      <c r="A146" s="10">
        <f>'Pairings NB'!B657</f>
        <v/>
      </c>
      <c r="B146" s="10">
        <f>'Pairings NB'!C657</f>
        <v/>
      </c>
      <c r="C146" s="10">
        <f>'Pairings NB'!D657</f>
        <v/>
      </c>
      <c r="D146" s="10">
        <f>'Pairings NB'!E657&amp;"/"&amp;'Pairings NB'!E658</f>
        <v/>
      </c>
      <c r="E146" s="10">
        <f>'Pairings NB'!F657&amp;"-"&amp;'Pairings NB'!G657&amp;"-"&amp;'Pairings NB'!F657</f>
        <v/>
      </c>
      <c r="F146" s="10">
        <f>IFERROR(VLOOKUP('Pairings NB'!$M$657,Instructores!$A:$C,2,FALSE),"")</f>
        <v/>
      </c>
      <c r="G146" s="10">
        <f>'Pairings NB'!$M$657</f>
        <v/>
      </c>
      <c r="H146" s="10">
        <f>'Pairings NB'!$O$657</f>
        <v/>
      </c>
      <c r="I146" s="10">
        <f>'Pairings NB'!J657</f>
        <v/>
      </c>
      <c r="J146" s="10">
        <f>IFERROR(VLOOKUP('Pairings NB'!$M$657,Instructores!$A:$C,3,FALSE),"")</f>
        <v/>
      </c>
      <c r="K146" s="10">
        <f>IF('Pairings NB'!J657=320,4,3)</f>
        <v/>
      </c>
    </row>
    <row r="147">
      <c r="A147" s="10">
        <f>'Pairings NB'!B662</f>
        <v/>
      </c>
      <c r="B147" s="10">
        <f>'Pairings NB'!C662</f>
        <v/>
      </c>
      <c r="C147" s="10">
        <f>'Pairings NB'!D662</f>
        <v/>
      </c>
      <c r="D147" s="10">
        <f>'Pairings NB'!E662&amp;"/"&amp;'Pairings NB'!E663</f>
        <v/>
      </c>
      <c r="E147" s="10">
        <f>'Pairings NB'!F662&amp;"-"&amp;'Pairings NB'!G662&amp;"-"&amp;'Pairings NB'!F662</f>
        <v/>
      </c>
      <c r="F147" s="10">
        <f>IFERROR(VLOOKUP('Pairings NB'!$M$662,Instructores!$A:$C,2,FALSE),"")</f>
        <v/>
      </c>
      <c r="G147" s="10">
        <f>'Pairings NB'!$M$662</f>
        <v/>
      </c>
      <c r="H147" s="10">
        <f>'Pairings NB'!$O$662</f>
        <v/>
      </c>
      <c r="I147" s="10">
        <f>'Pairings NB'!J662</f>
        <v/>
      </c>
      <c r="J147" s="10">
        <f>IFERROR(VLOOKUP('Pairings NB'!$M$662,Instructores!$A:$C,3,FALSE),"")</f>
        <v/>
      </c>
      <c r="K147" s="10">
        <f>IF('Pairings NB'!J662=320,4,3)</f>
        <v/>
      </c>
    </row>
    <row r="148">
      <c r="A148" s="10">
        <f>'Pairings NB'!B667</f>
        <v/>
      </c>
      <c r="B148" s="10">
        <f>'Pairings NB'!C667</f>
        <v/>
      </c>
      <c r="C148" s="10">
        <f>'Pairings NB'!D667</f>
        <v/>
      </c>
      <c r="D148" s="10">
        <f>'Pairings NB'!E667&amp;"/"&amp;'Pairings NB'!E668</f>
        <v/>
      </c>
      <c r="E148" s="10">
        <f>'Pairings NB'!F667&amp;"-"&amp;'Pairings NB'!G667&amp;"-"&amp;'Pairings NB'!F667</f>
        <v/>
      </c>
      <c r="F148" s="10">
        <f>IFERROR(VLOOKUP('Pairings NB'!$M$667,Instructores!$A:$C,2,FALSE),"")</f>
        <v/>
      </c>
      <c r="G148" s="10">
        <f>'Pairings NB'!$M$667</f>
        <v/>
      </c>
      <c r="H148" s="10">
        <f>'Pairings NB'!$O$667</f>
        <v/>
      </c>
      <c r="I148" s="10">
        <f>'Pairings NB'!J667</f>
        <v/>
      </c>
      <c r="J148" s="10">
        <f>IFERROR(VLOOKUP('Pairings NB'!$M$667,Instructores!$A:$C,3,FALSE),"")</f>
        <v/>
      </c>
      <c r="K148" s="10">
        <f>IF('Pairings NB'!J667=320,4,3)</f>
        <v/>
      </c>
    </row>
    <row r="149">
      <c r="A149" s="10">
        <f>'Pairings NB'!B672</f>
        <v/>
      </c>
      <c r="B149" s="10">
        <f>'Pairings NB'!C672</f>
        <v/>
      </c>
      <c r="C149" s="10">
        <f>'Pairings NB'!D672</f>
        <v/>
      </c>
      <c r="D149" s="10">
        <f>'Pairings NB'!E672&amp;"/"&amp;'Pairings NB'!E673</f>
        <v/>
      </c>
      <c r="E149" s="10">
        <f>'Pairings NB'!F672&amp;"-"&amp;'Pairings NB'!G672&amp;"-"&amp;'Pairings NB'!F672</f>
        <v/>
      </c>
      <c r="F149" s="10">
        <f>IFERROR(VLOOKUP('Pairings NB'!$M$672,Instructores!$A:$C,2,FALSE),"")</f>
        <v/>
      </c>
      <c r="G149" s="10">
        <f>'Pairings NB'!$M$672</f>
        <v/>
      </c>
      <c r="H149" s="10">
        <f>'Pairings NB'!$O$672</f>
        <v/>
      </c>
      <c r="I149" s="10">
        <f>'Pairings NB'!J672</f>
        <v/>
      </c>
      <c r="J149" s="10">
        <f>IFERROR(VLOOKUP('Pairings NB'!$M$672,Instructores!$A:$C,3,FALSE),"")</f>
        <v/>
      </c>
      <c r="K149" s="10">
        <f>IF('Pairings NB'!J672=320,4,3)</f>
        <v/>
      </c>
    </row>
    <row r="150">
      <c r="A150" s="10">
        <f>'Pairings NB'!B677</f>
        <v/>
      </c>
      <c r="B150" s="10">
        <f>'Pairings NB'!C677</f>
        <v/>
      </c>
      <c r="C150" s="10">
        <f>'Pairings NB'!D677</f>
        <v/>
      </c>
      <c r="D150" s="10">
        <f>'Pairings NB'!E677&amp;"/"&amp;'Pairings NB'!E678</f>
        <v/>
      </c>
      <c r="E150" s="10">
        <f>'Pairings NB'!F677&amp;"-"&amp;'Pairings NB'!G677&amp;"-"&amp;'Pairings NB'!F677</f>
        <v/>
      </c>
      <c r="F150" s="10">
        <f>IFERROR(VLOOKUP('Pairings NB'!$M$677,Instructores!$A:$C,2,FALSE),"")</f>
        <v/>
      </c>
      <c r="G150" s="10">
        <f>'Pairings NB'!$M$677</f>
        <v/>
      </c>
      <c r="H150" s="10">
        <f>'Pairings NB'!$O$677</f>
        <v/>
      </c>
      <c r="I150" s="10">
        <f>'Pairings NB'!J677</f>
        <v/>
      </c>
      <c r="J150" s="10">
        <f>IFERROR(VLOOKUP('Pairings NB'!$M$677,Instructores!$A:$C,3,FALSE),"")</f>
        <v/>
      </c>
      <c r="K150" s="10">
        <f>IF('Pairings NB'!J677=320,4,3)</f>
        <v/>
      </c>
    </row>
    <row r="151">
      <c r="A151" s="10">
        <f>'Pairings NB'!B679</f>
        <v/>
      </c>
      <c r="B151" s="10">
        <f>'Pairings NB'!C679</f>
        <v/>
      </c>
      <c r="C151" s="10">
        <f>'Pairings NB'!D679</f>
        <v/>
      </c>
      <c r="D151" s="10">
        <f>'Pairings NB'!E679&amp;"/"&amp;'Pairings NB'!E680</f>
        <v/>
      </c>
      <c r="E151" s="10">
        <f>'Pairings NB'!F679&amp;"-"&amp;'Pairings NB'!G679&amp;"-"&amp;'Pairings NB'!F679</f>
        <v/>
      </c>
      <c r="F151" s="10">
        <f>IFERROR(VLOOKUP('Pairings NB'!$M$677,Instructores!$A:$C,2,FALSE),"")</f>
        <v/>
      </c>
      <c r="G151" s="10">
        <f>'Pairings NB'!$M$677</f>
        <v/>
      </c>
      <c r="H151" s="10">
        <f>'Pairings NB'!$O$677</f>
        <v/>
      </c>
      <c r="I151" s="10">
        <f>'Pairings NB'!J679</f>
        <v/>
      </c>
      <c r="J151" s="10">
        <f>IFERROR(VLOOKUP('Pairings NB'!$M$677,Instructores!$A:$C,3,FALSE),"")</f>
        <v/>
      </c>
      <c r="K151" s="10">
        <f>IF('Pairings NB'!J679=320,4,3)</f>
        <v/>
      </c>
    </row>
    <row r="152">
      <c r="A152" s="10">
        <f>'Pairings NB'!B684</f>
        <v/>
      </c>
      <c r="B152" s="10">
        <f>'Pairings NB'!C684</f>
        <v/>
      </c>
      <c r="C152" s="10">
        <f>'Pairings NB'!D684</f>
        <v/>
      </c>
      <c r="D152" s="10">
        <f>'Pairings NB'!E684&amp;"/"&amp;'Pairings NB'!E685</f>
        <v/>
      </c>
      <c r="E152" s="10">
        <f>'Pairings NB'!F684&amp;"-"&amp;'Pairings NB'!G684&amp;"-"&amp;'Pairings NB'!F684</f>
        <v/>
      </c>
      <c r="F152" s="10">
        <f>IFERROR(VLOOKUP('Pairings NB'!$M$684,Instructores!$A:$C,2,FALSE),"")</f>
        <v/>
      </c>
      <c r="G152" s="10">
        <f>'Pairings NB'!$M$684</f>
        <v/>
      </c>
      <c r="H152" s="10">
        <f>'Pairings NB'!$O$684</f>
        <v/>
      </c>
      <c r="I152" s="10">
        <f>'Pairings NB'!J684</f>
        <v/>
      </c>
      <c r="J152" s="10">
        <f>IFERROR(VLOOKUP('Pairings NB'!$M$684,Instructores!$A:$C,3,FALSE),"")</f>
        <v/>
      </c>
      <c r="K152" s="10">
        <f>IF('Pairings NB'!J684=320,4,3)</f>
        <v/>
      </c>
    </row>
    <row r="153">
      <c r="A153" s="10">
        <f>'Pairings NB'!B689</f>
        <v/>
      </c>
      <c r="B153" s="10">
        <f>'Pairings NB'!C689</f>
        <v/>
      </c>
      <c r="C153" s="10">
        <f>'Pairings NB'!D689</f>
        <v/>
      </c>
      <c r="D153" s="10">
        <f>'Pairings NB'!E689&amp;"/"&amp;'Pairings NB'!E690</f>
        <v/>
      </c>
      <c r="E153" s="10">
        <f>'Pairings NB'!F689&amp;"-"&amp;'Pairings NB'!G689&amp;"-"&amp;'Pairings NB'!F689</f>
        <v/>
      </c>
      <c r="F153" s="10">
        <f>IFERROR(VLOOKUP('Pairings NB'!$M$689,Instructores!$A:$C,2,FALSE),"")</f>
        <v/>
      </c>
      <c r="G153" s="10">
        <f>'Pairings NB'!$M$689</f>
        <v/>
      </c>
      <c r="H153" s="10">
        <f>'Pairings NB'!$O$689</f>
        <v/>
      </c>
      <c r="I153" s="10">
        <f>'Pairings NB'!J689</f>
        <v/>
      </c>
      <c r="J153" s="10">
        <f>IFERROR(VLOOKUP('Pairings NB'!$M$689,Instructores!$A:$C,3,FALSE),"")</f>
        <v/>
      </c>
      <c r="K153" s="10">
        <f>IF('Pairings NB'!J689=320,4,3)</f>
        <v/>
      </c>
    </row>
    <row r="154">
      <c r="A154" s="10">
        <f>'Pairings NB'!B694</f>
        <v/>
      </c>
      <c r="B154" s="10">
        <f>'Pairings NB'!C694</f>
        <v/>
      </c>
      <c r="C154" s="10">
        <f>'Pairings NB'!D694</f>
        <v/>
      </c>
      <c r="D154" s="10">
        <f>'Pairings NB'!E694&amp;"/"&amp;'Pairings NB'!E695</f>
        <v/>
      </c>
      <c r="E154" s="10">
        <f>'Pairings NB'!F694&amp;"-"&amp;'Pairings NB'!G694&amp;"-"&amp;'Pairings NB'!F694</f>
        <v/>
      </c>
      <c r="F154" s="10">
        <f>IFERROR(VLOOKUP('Pairings NB'!$M$694,Instructores!$A:$C,2,FALSE),"")</f>
        <v/>
      </c>
      <c r="G154" s="10">
        <f>'Pairings NB'!$M$694</f>
        <v/>
      </c>
      <c r="H154" s="10">
        <f>'Pairings NB'!$O$694</f>
        <v/>
      </c>
      <c r="I154" s="10">
        <f>'Pairings NB'!J694</f>
        <v/>
      </c>
      <c r="J154" s="10">
        <f>IFERROR(VLOOKUP('Pairings NB'!$M$694,Instructores!$A:$C,3,FALSE),"")</f>
        <v/>
      </c>
      <c r="K154" s="10">
        <f>IF('Pairings NB'!J694=320,4,3)</f>
        <v/>
      </c>
    </row>
    <row r="155">
      <c r="A155" s="10">
        <f>'Pairings NB'!B699</f>
        <v/>
      </c>
      <c r="B155" s="10">
        <f>'Pairings NB'!C699</f>
        <v/>
      </c>
      <c r="C155" s="10">
        <f>'Pairings NB'!D699</f>
        <v/>
      </c>
      <c r="D155" s="10">
        <f>'Pairings NB'!E699&amp;"/"&amp;'Pairings NB'!E700</f>
        <v/>
      </c>
      <c r="E155" s="10">
        <f>'Pairings NB'!F699&amp;"-"&amp;'Pairings NB'!G699&amp;"-"&amp;'Pairings NB'!F699</f>
        <v/>
      </c>
      <c r="F155" s="10">
        <f>IFERROR(VLOOKUP('Pairings NB'!$M$699,Instructores!$A:$C,2,FALSE),"")</f>
        <v/>
      </c>
      <c r="G155" s="10">
        <f>'Pairings NB'!$M$699</f>
        <v/>
      </c>
      <c r="H155" s="10">
        <f>'Pairings NB'!$O$699</f>
        <v/>
      </c>
      <c r="I155" s="10">
        <f>'Pairings NB'!J699</f>
        <v/>
      </c>
      <c r="J155" s="10">
        <f>IFERROR(VLOOKUP('Pairings NB'!$M$699,Instructores!$A:$C,3,FALSE),"")</f>
        <v/>
      </c>
      <c r="K155" s="10">
        <f>IF('Pairings NB'!J699=320,4,3)</f>
        <v/>
      </c>
    </row>
    <row r="156">
      <c r="A156" s="10">
        <f>'Pairings NB'!B704</f>
        <v/>
      </c>
      <c r="B156" s="10">
        <f>'Pairings NB'!C704</f>
        <v/>
      </c>
      <c r="C156" s="10">
        <f>'Pairings NB'!D704</f>
        <v/>
      </c>
      <c r="D156" s="10">
        <f>'Pairings NB'!E704&amp;"/"&amp;'Pairings NB'!E705</f>
        <v/>
      </c>
      <c r="E156" s="10">
        <f>'Pairings NB'!F704&amp;"-"&amp;'Pairings NB'!G704&amp;"-"&amp;'Pairings NB'!F704</f>
        <v/>
      </c>
      <c r="F156" s="10">
        <f>IFERROR(VLOOKUP('Pairings NB'!$M$704,Instructores!$A:$C,2,FALSE),"")</f>
        <v/>
      </c>
      <c r="G156" s="10">
        <f>'Pairings NB'!$M$704</f>
        <v/>
      </c>
      <c r="H156" s="10">
        <f>'Pairings NB'!$O$704</f>
        <v/>
      </c>
      <c r="I156" s="10">
        <f>'Pairings NB'!J704</f>
        <v/>
      </c>
      <c r="J156" s="10">
        <f>IFERROR(VLOOKUP('Pairings NB'!$M$704,Instructores!$A:$C,3,FALSE),"")</f>
        <v/>
      </c>
      <c r="K156" s="10">
        <f>IF('Pairings NB'!J704=320,4,3)</f>
        <v/>
      </c>
    </row>
    <row r="157">
      <c r="A157" s="10">
        <f>'Pairings NB'!B709</f>
        <v/>
      </c>
      <c r="B157" s="10">
        <f>'Pairings NB'!C709</f>
        <v/>
      </c>
      <c r="C157" s="10">
        <f>'Pairings NB'!D709</f>
        <v/>
      </c>
      <c r="D157" s="10">
        <f>'Pairings NB'!E709&amp;"/"&amp;'Pairings NB'!E710</f>
        <v/>
      </c>
      <c r="E157" s="10">
        <f>'Pairings NB'!F709&amp;"-"&amp;'Pairings NB'!G709&amp;"-"&amp;'Pairings NB'!F709</f>
        <v/>
      </c>
      <c r="F157" s="10">
        <f>IFERROR(VLOOKUP('Pairings NB'!$M$709,Instructores!$A:$C,2,FALSE),"")</f>
        <v/>
      </c>
      <c r="G157" s="10">
        <f>'Pairings NB'!$M$709</f>
        <v/>
      </c>
      <c r="H157" s="10">
        <f>'Pairings NB'!$O$709</f>
        <v/>
      </c>
      <c r="I157" s="10">
        <f>'Pairings NB'!J709</f>
        <v/>
      </c>
      <c r="J157" s="10">
        <f>IFERROR(VLOOKUP('Pairings NB'!$M$709,Instructores!$A:$C,3,FALSE),"")</f>
        <v/>
      </c>
      <c r="K157" s="10">
        <f>IF('Pairings NB'!J709=320,4,3)</f>
        <v/>
      </c>
    </row>
    <row r="158">
      <c r="A158" s="10">
        <f>'Pairings NB'!B714</f>
        <v/>
      </c>
      <c r="B158" s="10">
        <f>'Pairings NB'!C714</f>
        <v/>
      </c>
      <c r="C158" s="10">
        <f>'Pairings NB'!D714</f>
        <v/>
      </c>
      <c r="D158" s="10">
        <f>'Pairings NB'!E714&amp;"/"&amp;'Pairings NB'!E715</f>
        <v/>
      </c>
      <c r="E158" s="10">
        <f>'Pairings NB'!F714&amp;"-"&amp;'Pairings NB'!G714&amp;"-"&amp;'Pairings NB'!F714</f>
        <v/>
      </c>
      <c r="F158" s="10">
        <f>IFERROR(VLOOKUP('Pairings NB'!$M$714,Instructores!$A:$C,2,FALSE),"")</f>
        <v/>
      </c>
      <c r="G158" s="10">
        <f>'Pairings NB'!$M$714</f>
        <v/>
      </c>
      <c r="H158" s="10">
        <f>'Pairings NB'!$O$714</f>
        <v/>
      </c>
      <c r="I158" s="10">
        <f>'Pairings NB'!J714</f>
        <v/>
      </c>
      <c r="J158" s="10">
        <f>IFERROR(VLOOKUP('Pairings NB'!$M$714,Instructores!$A:$C,3,FALSE),"")</f>
        <v/>
      </c>
      <c r="K158" s="10">
        <f>IF('Pairings NB'!J714=320,4,3)</f>
        <v/>
      </c>
    </row>
    <row r="159">
      <c r="A159" s="10">
        <f>'Pairings NB'!B719</f>
        <v/>
      </c>
      <c r="B159" s="10">
        <f>'Pairings NB'!C719</f>
        <v/>
      </c>
      <c r="C159" s="10">
        <f>'Pairings NB'!D719</f>
        <v/>
      </c>
      <c r="D159" s="10">
        <f>'Pairings NB'!E719&amp;"/"&amp;'Pairings NB'!E720</f>
        <v/>
      </c>
      <c r="E159" s="10">
        <f>'Pairings NB'!F719&amp;"-"&amp;'Pairings NB'!G719&amp;"-"&amp;'Pairings NB'!F719</f>
        <v/>
      </c>
      <c r="F159" s="10">
        <f>IFERROR(VLOOKUP('Pairings NB'!$M$719,Instructores!$A:$C,2,FALSE),"")</f>
        <v/>
      </c>
      <c r="G159" s="10">
        <f>'Pairings NB'!$M$719</f>
        <v/>
      </c>
      <c r="H159" s="10">
        <f>'Pairings NB'!$O$719</f>
        <v/>
      </c>
      <c r="I159" s="10">
        <f>'Pairings NB'!J719</f>
        <v/>
      </c>
      <c r="J159" s="10">
        <f>IFERROR(VLOOKUP('Pairings NB'!$M$719,Instructores!$A:$C,3,FALSE),"")</f>
        <v/>
      </c>
      <c r="K159" s="10">
        <f>IF('Pairings NB'!J719=320,4,3)</f>
        <v/>
      </c>
    </row>
    <row r="160">
      <c r="A160" s="10">
        <f>'Pairings NB'!B724</f>
        <v/>
      </c>
      <c r="B160" s="10">
        <f>'Pairings NB'!C724</f>
        <v/>
      </c>
      <c r="C160" s="10">
        <f>'Pairings NB'!D724</f>
        <v/>
      </c>
      <c r="D160" s="10">
        <f>'Pairings NB'!E724&amp;"/"&amp;'Pairings NB'!E725</f>
        <v/>
      </c>
      <c r="E160" s="10">
        <f>'Pairings NB'!F724&amp;"-"&amp;'Pairings NB'!G724&amp;"-"&amp;'Pairings NB'!F724</f>
        <v/>
      </c>
      <c r="F160" s="10">
        <f>IFERROR(VLOOKUP('Pairings NB'!$M$724,Instructores!$A:$C,2,FALSE),"")</f>
        <v/>
      </c>
      <c r="G160" s="10">
        <f>'Pairings NB'!$M$724</f>
        <v/>
      </c>
      <c r="H160" s="10">
        <f>'Pairings NB'!$O$724</f>
        <v/>
      </c>
      <c r="I160" s="10">
        <f>'Pairings NB'!J724</f>
        <v/>
      </c>
      <c r="J160" s="10">
        <f>IFERROR(VLOOKUP('Pairings NB'!$M$724,Instructores!$A:$C,3,FALSE),"")</f>
        <v/>
      </c>
      <c r="K160" s="10">
        <f>IF('Pairings NB'!J724=320,4,3)</f>
        <v/>
      </c>
    </row>
    <row r="161">
      <c r="A161" s="10">
        <f>'Pairings NB'!B729</f>
        <v/>
      </c>
      <c r="B161" s="10">
        <f>'Pairings NB'!C729</f>
        <v/>
      </c>
      <c r="C161" s="10">
        <f>'Pairings NB'!D729</f>
        <v/>
      </c>
      <c r="D161" s="10">
        <f>'Pairings NB'!E729&amp;"/"&amp;'Pairings NB'!E730</f>
        <v/>
      </c>
      <c r="E161" s="10">
        <f>'Pairings NB'!F729&amp;"-"&amp;'Pairings NB'!G729&amp;"-"&amp;'Pairings NB'!F729</f>
        <v/>
      </c>
      <c r="F161" s="10">
        <f>IFERROR(VLOOKUP('Pairings NB'!$M$729,Instructores!$A:$C,2,FALSE),"")</f>
        <v/>
      </c>
      <c r="G161" s="10">
        <f>'Pairings NB'!$M$729</f>
        <v/>
      </c>
      <c r="H161" s="10">
        <f>'Pairings NB'!$O$729</f>
        <v/>
      </c>
      <c r="I161" s="10">
        <f>'Pairings NB'!J729</f>
        <v/>
      </c>
      <c r="J161" s="10">
        <f>IFERROR(VLOOKUP('Pairings NB'!$M$729,Instructores!$A:$C,3,FALSE),"")</f>
        <v/>
      </c>
      <c r="K161" s="10">
        <f>IF('Pairings NB'!J729=320,4,3)</f>
        <v/>
      </c>
    </row>
    <row r="162">
      <c r="A162" s="10">
        <f>'Pairings NB'!B734</f>
        <v/>
      </c>
      <c r="B162" s="10">
        <f>'Pairings NB'!C734</f>
        <v/>
      </c>
      <c r="C162" s="10">
        <f>'Pairings NB'!D734</f>
        <v/>
      </c>
      <c r="D162" s="10">
        <f>'Pairings NB'!E734&amp;"/"&amp;'Pairings NB'!E735</f>
        <v/>
      </c>
      <c r="E162" s="10">
        <f>'Pairings NB'!F734&amp;"-"&amp;'Pairings NB'!G734&amp;"-"&amp;'Pairings NB'!F734</f>
        <v/>
      </c>
      <c r="F162" s="10">
        <f>IFERROR(VLOOKUP('Pairings NB'!$M$734,Instructores!$A:$C,2,FALSE),"")</f>
        <v/>
      </c>
      <c r="G162" s="10">
        <f>'Pairings NB'!$M$734</f>
        <v/>
      </c>
      <c r="H162" s="10">
        <f>'Pairings NB'!$O$734</f>
        <v/>
      </c>
      <c r="I162" s="10">
        <f>'Pairings NB'!J734</f>
        <v/>
      </c>
      <c r="J162" s="10">
        <f>IFERROR(VLOOKUP('Pairings NB'!$M$734,Instructores!$A:$C,3,FALSE),"")</f>
        <v/>
      </c>
      <c r="K162" s="10">
        <f>IF('Pairings NB'!J734=320,4,3)</f>
        <v/>
      </c>
    </row>
    <row r="163">
      <c r="A163" s="10">
        <f>'Pairings NB'!B736</f>
        <v/>
      </c>
      <c r="B163" s="10">
        <f>'Pairings NB'!C736</f>
        <v/>
      </c>
      <c r="C163" s="10">
        <f>'Pairings NB'!D736</f>
        <v/>
      </c>
      <c r="D163" s="10">
        <f>'Pairings NB'!E736&amp;"/"&amp;'Pairings NB'!E737</f>
        <v/>
      </c>
      <c r="E163" s="10">
        <f>'Pairings NB'!F736&amp;"-"&amp;'Pairings NB'!G736&amp;"-"&amp;'Pairings NB'!F736</f>
        <v/>
      </c>
      <c r="F163" s="10">
        <f>IFERROR(VLOOKUP('Pairings NB'!$M$734,Instructores!$A:$C,2,FALSE),"")</f>
        <v/>
      </c>
      <c r="G163" s="10">
        <f>'Pairings NB'!$M$734</f>
        <v/>
      </c>
      <c r="H163" s="10">
        <f>'Pairings NB'!$O$734</f>
        <v/>
      </c>
      <c r="I163" s="10">
        <f>'Pairings NB'!J736</f>
        <v/>
      </c>
      <c r="J163" s="10">
        <f>IFERROR(VLOOKUP('Pairings NB'!$M$734,Instructores!$A:$C,3,FALSE),"")</f>
        <v/>
      </c>
      <c r="K163" s="10">
        <f>IF('Pairings NB'!J736=320,4,3)</f>
        <v/>
      </c>
    </row>
    <row r="164">
      <c r="A164" s="10">
        <f>'Pairings NB'!B741</f>
        <v/>
      </c>
      <c r="B164" s="10">
        <f>'Pairings NB'!C741</f>
        <v/>
      </c>
      <c r="C164" s="10">
        <f>'Pairings NB'!D741</f>
        <v/>
      </c>
      <c r="D164" s="10">
        <f>'Pairings NB'!E741&amp;"/"&amp;'Pairings NB'!E742</f>
        <v/>
      </c>
      <c r="E164" s="10">
        <f>'Pairings NB'!F741&amp;"-"&amp;'Pairings NB'!G741&amp;"-"&amp;'Pairings NB'!F741</f>
        <v/>
      </c>
      <c r="F164" s="10">
        <f>IFERROR(VLOOKUP('Pairings NB'!$M$741,Instructores!$A:$C,2,FALSE),"")</f>
        <v/>
      </c>
      <c r="G164" s="10">
        <f>'Pairings NB'!$M$741</f>
        <v/>
      </c>
      <c r="H164" s="10">
        <f>'Pairings NB'!$O$741</f>
        <v/>
      </c>
      <c r="I164" s="10">
        <f>'Pairings NB'!J741</f>
        <v/>
      </c>
      <c r="J164" s="10">
        <f>IFERROR(VLOOKUP('Pairings NB'!$M$741,Instructores!$A:$C,3,FALSE),"")</f>
        <v/>
      </c>
      <c r="K164" s="10">
        <f>IF('Pairings NB'!J741=320,4,3)</f>
        <v/>
      </c>
    </row>
    <row r="165">
      <c r="A165" s="10">
        <f>'Pairings NB'!B746</f>
        <v/>
      </c>
      <c r="B165" s="10">
        <f>'Pairings NB'!C746</f>
        <v/>
      </c>
      <c r="C165" s="10">
        <f>'Pairings NB'!D746</f>
        <v/>
      </c>
      <c r="D165" s="10">
        <f>'Pairings NB'!E746&amp;"/"&amp;'Pairings NB'!E747</f>
        <v/>
      </c>
      <c r="E165" s="10">
        <f>'Pairings NB'!F746&amp;"-"&amp;'Pairings NB'!G746&amp;"-"&amp;'Pairings NB'!F746</f>
        <v/>
      </c>
      <c r="F165" s="10">
        <f>IFERROR(VLOOKUP('Pairings NB'!$M$746,Instructores!$A:$C,2,FALSE),"")</f>
        <v/>
      </c>
      <c r="G165" s="10">
        <f>'Pairings NB'!$M$746</f>
        <v/>
      </c>
      <c r="H165" s="10">
        <f>'Pairings NB'!$O$746</f>
        <v/>
      </c>
      <c r="I165" s="10">
        <f>'Pairings NB'!J746</f>
        <v/>
      </c>
      <c r="J165" s="10">
        <f>IFERROR(VLOOKUP('Pairings NB'!$M$746,Instructores!$A:$C,3,FALSE),"")</f>
        <v/>
      </c>
      <c r="K165" s="10">
        <f>IF('Pairings NB'!J746=320,4,3)</f>
        <v/>
      </c>
    </row>
    <row r="166">
      <c r="A166" s="10">
        <f>'Pairings NB'!B748</f>
        <v/>
      </c>
      <c r="B166" s="10">
        <f>'Pairings NB'!C748</f>
        <v/>
      </c>
      <c r="C166" s="10">
        <f>'Pairings NB'!D748</f>
        <v/>
      </c>
      <c r="D166" s="10">
        <f>'Pairings NB'!E748&amp;"/"&amp;'Pairings NB'!E749</f>
        <v/>
      </c>
      <c r="E166" s="10">
        <f>'Pairings NB'!F748&amp;"-"&amp;'Pairings NB'!G748&amp;"-"&amp;'Pairings NB'!F748</f>
        <v/>
      </c>
      <c r="F166" s="10">
        <f>IFERROR(VLOOKUP('Pairings NB'!$M$746,Instructores!$A:$C,2,FALSE),"")</f>
        <v/>
      </c>
      <c r="G166" s="10">
        <f>'Pairings NB'!$M$746</f>
        <v/>
      </c>
      <c r="H166" s="10">
        <f>'Pairings NB'!$O$746</f>
        <v/>
      </c>
      <c r="I166" s="10">
        <f>'Pairings NB'!J748</f>
        <v/>
      </c>
      <c r="J166" s="10">
        <f>IFERROR(VLOOKUP('Pairings NB'!$M$746,Instructores!$A:$C,3,FALSE),"")</f>
        <v/>
      </c>
      <c r="K166" s="10">
        <f>IF('Pairings NB'!J748=320,4,3)</f>
        <v/>
      </c>
    </row>
    <row r="167">
      <c r="A167" s="10">
        <f>'Pairings NB'!B753</f>
        <v/>
      </c>
      <c r="B167" s="10">
        <f>'Pairings NB'!C753</f>
        <v/>
      </c>
      <c r="C167" s="10">
        <f>'Pairings NB'!D753</f>
        <v/>
      </c>
      <c r="D167" s="10">
        <f>'Pairings NB'!E753&amp;"/"&amp;'Pairings NB'!E754</f>
        <v/>
      </c>
      <c r="E167" s="10">
        <f>'Pairings NB'!F753&amp;"-"&amp;'Pairings NB'!G753&amp;"-"&amp;'Pairings NB'!F753</f>
        <v/>
      </c>
      <c r="F167" s="10">
        <f>IFERROR(VLOOKUP('Pairings NB'!$M$753,Instructores!$A:$C,2,FALSE),"")</f>
        <v/>
      </c>
      <c r="G167" s="10">
        <f>'Pairings NB'!$M$753</f>
        <v/>
      </c>
      <c r="H167" s="10">
        <f>'Pairings NB'!$O$753</f>
        <v/>
      </c>
      <c r="I167" s="10">
        <f>'Pairings NB'!J753</f>
        <v/>
      </c>
      <c r="J167" s="10">
        <f>IFERROR(VLOOKUP('Pairings NB'!$M$753,Instructores!$A:$C,3,FALSE),"")</f>
        <v/>
      </c>
      <c r="K167" s="10">
        <f>IF('Pairings NB'!J753=320,4,3)</f>
        <v/>
      </c>
    </row>
    <row r="168">
      <c r="A168" s="10">
        <f>'Pairings NB'!B758</f>
        <v/>
      </c>
      <c r="B168" s="10">
        <f>'Pairings NB'!C758</f>
        <v/>
      </c>
      <c r="C168" s="10">
        <f>'Pairings NB'!D758</f>
        <v/>
      </c>
      <c r="D168" s="10">
        <f>'Pairings NB'!E758&amp;"/"&amp;'Pairings NB'!E759</f>
        <v/>
      </c>
      <c r="E168" s="10">
        <f>'Pairings NB'!F758&amp;"-"&amp;'Pairings NB'!G758&amp;"-"&amp;'Pairings NB'!F758</f>
        <v/>
      </c>
      <c r="F168" s="10">
        <f>IFERROR(VLOOKUP('Pairings NB'!$M$758,Instructores!$A:$C,2,FALSE),"")</f>
        <v/>
      </c>
      <c r="G168" s="10">
        <f>'Pairings NB'!$M$758</f>
        <v/>
      </c>
      <c r="H168" s="10">
        <f>'Pairings NB'!$O$758</f>
        <v/>
      </c>
      <c r="I168" s="10">
        <f>'Pairings NB'!J758</f>
        <v/>
      </c>
      <c r="J168" s="10">
        <f>IFERROR(VLOOKUP('Pairings NB'!$M$758,Instructores!$A:$C,3,FALSE),"")</f>
        <v/>
      </c>
      <c r="K168" s="10">
        <f>IF('Pairings NB'!J758=320,4,3)</f>
        <v/>
      </c>
    </row>
    <row r="169">
      <c r="A169" s="10">
        <f>'Pairings NB'!B763</f>
        <v/>
      </c>
      <c r="B169" s="10">
        <f>'Pairings NB'!C763</f>
        <v/>
      </c>
      <c r="C169" s="10">
        <f>'Pairings NB'!D763</f>
        <v/>
      </c>
      <c r="D169" s="10">
        <f>'Pairings NB'!E763&amp;"/"&amp;'Pairings NB'!E764</f>
        <v/>
      </c>
      <c r="E169" s="10">
        <f>'Pairings NB'!F763&amp;"-"&amp;'Pairings NB'!G763&amp;"-"&amp;'Pairings NB'!F763</f>
        <v/>
      </c>
      <c r="F169" s="10">
        <f>IFERROR(VLOOKUP('Pairings NB'!$M$763,Instructores!$A:$C,2,FALSE),"")</f>
        <v/>
      </c>
      <c r="G169" s="10">
        <f>'Pairings NB'!$M$763</f>
        <v/>
      </c>
      <c r="H169" s="10">
        <f>'Pairings NB'!$O$763</f>
        <v/>
      </c>
      <c r="I169" s="10">
        <f>'Pairings NB'!J763</f>
        <v/>
      </c>
      <c r="J169" s="10">
        <f>IFERROR(VLOOKUP('Pairings NB'!$M$763,Instructores!$A:$C,3,FALSE),"")</f>
        <v/>
      </c>
      <c r="K169" s="10">
        <f>IF('Pairings NB'!J763=320,4,3)</f>
        <v/>
      </c>
    </row>
    <row r="170">
      <c r="A170" s="10">
        <f>'Pairings NB'!B768</f>
        <v/>
      </c>
      <c r="B170" s="10">
        <f>'Pairings NB'!C768</f>
        <v/>
      </c>
      <c r="C170" s="10">
        <f>'Pairings NB'!D768</f>
        <v/>
      </c>
      <c r="D170" s="10">
        <f>'Pairings NB'!E768&amp;"/"&amp;'Pairings NB'!E769</f>
        <v/>
      </c>
      <c r="E170" s="10">
        <f>'Pairings NB'!F768&amp;"-"&amp;'Pairings NB'!G768&amp;"-"&amp;'Pairings NB'!F768</f>
        <v/>
      </c>
      <c r="F170" s="10">
        <f>IFERROR(VLOOKUP('Pairings NB'!$M$768,Instructores!$A:$C,2,FALSE),"")</f>
        <v/>
      </c>
      <c r="G170" s="10">
        <f>'Pairings NB'!$M$768</f>
        <v/>
      </c>
      <c r="H170" s="10">
        <f>'Pairings NB'!$O$768</f>
        <v/>
      </c>
      <c r="I170" s="10">
        <f>'Pairings NB'!J768</f>
        <v/>
      </c>
      <c r="J170" s="10">
        <f>IFERROR(VLOOKUP('Pairings NB'!$M$768,Instructores!$A:$C,3,FALSE),"")</f>
        <v/>
      </c>
      <c r="K170" s="10">
        <f>IF('Pairings NB'!J768=320,4,3)</f>
        <v/>
      </c>
    </row>
    <row r="171">
      <c r="A171" s="10">
        <f>'Pairings NB'!B773</f>
        <v/>
      </c>
      <c r="B171" s="10">
        <f>'Pairings NB'!C773</f>
        <v/>
      </c>
      <c r="C171" s="10">
        <f>'Pairings NB'!D773</f>
        <v/>
      </c>
      <c r="D171" s="10">
        <f>'Pairings NB'!E773&amp;"/"&amp;'Pairings NB'!E774</f>
        <v/>
      </c>
      <c r="E171" s="10">
        <f>'Pairings NB'!F773&amp;"-"&amp;'Pairings NB'!G773&amp;"-"&amp;'Pairings NB'!F773</f>
        <v/>
      </c>
      <c r="F171" s="10">
        <f>IFERROR(VLOOKUP('Pairings NB'!$M$773,Instructores!$A:$C,2,FALSE),"")</f>
        <v/>
      </c>
      <c r="G171" s="10">
        <f>'Pairings NB'!$M$773</f>
        <v/>
      </c>
      <c r="H171" s="10">
        <f>'Pairings NB'!$O$773</f>
        <v/>
      </c>
      <c r="I171" s="10">
        <f>'Pairings NB'!J773</f>
        <v/>
      </c>
      <c r="J171" s="10">
        <f>IFERROR(VLOOKUP('Pairings NB'!$M$773,Instructores!$A:$C,3,FALSE),"")</f>
        <v/>
      </c>
      <c r="K171" s="10">
        <f>IF('Pairings NB'!J773=320,4,3)</f>
        <v/>
      </c>
    </row>
    <row r="172">
      <c r="A172" s="10">
        <f>'Pairings NB'!B778</f>
        <v/>
      </c>
      <c r="B172" s="10">
        <f>'Pairings NB'!C778</f>
        <v/>
      </c>
      <c r="C172" s="10">
        <f>'Pairings NB'!D778</f>
        <v/>
      </c>
      <c r="D172" s="10">
        <f>'Pairings NB'!E778&amp;"/"&amp;'Pairings NB'!E779</f>
        <v/>
      </c>
      <c r="E172" s="10">
        <f>'Pairings NB'!F778&amp;"-"&amp;'Pairings NB'!G778&amp;"-"&amp;'Pairings NB'!F778</f>
        <v/>
      </c>
      <c r="F172" s="10">
        <f>IFERROR(VLOOKUP('Pairings NB'!$M$778,Instructores!$A:$C,2,FALSE),"")</f>
        <v/>
      </c>
      <c r="G172" s="10">
        <f>'Pairings NB'!$M$778</f>
        <v/>
      </c>
      <c r="H172" s="10">
        <f>'Pairings NB'!$O$778</f>
        <v/>
      </c>
      <c r="I172" s="10">
        <f>'Pairings NB'!J778</f>
        <v/>
      </c>
      <c r="J172" s="10">
        <f>IFERROR(VLOOKUP('Pairings NB'!$M$778,Instructores!$A:$C,3,FALSE),"")</f>
        <v/>
      </c>
      <c r="K172" s="10">
        <f>IF('Pairings NB'!J778=320,4,3)</f>
        <v/>
      </c>
    </row>
    <row r="173">
      <c r="A173" s="10">
        <f>'Pairings NB'!B783</f>
        <v/>
      </c>
      <c r="B173" s="10">
        <f>'Pairings NB'!C783</f>
        <v/>
      </c>
      <c r="C173" s="10">
        <f>'Pairings NB'!D783</f>
        <v/>
      </c>
      <c r="D173" s="10">
        <f>'Pairings NB'!E783&amp;"/"&amp;'Pairings NB'!E784</f>
        <v/>
      </c>
      <c r="E173" s="10">
        <f>'Pairings NB'!F783&amp;"-"&amp;'Pairings NB'!G783&amp;"-"&amp;'Pairings NB'!F783</f>
        <v/>
      </c>
      <c r="F173" s="10">
        <f>IFERROR(VLOOKUP('Pairings NB'!$M$783,Instructores!$A:$C,2,FALSE),"")</f>
        <v/>
      </c>
      <c r="G173" s="10">
        <f>'Pairings NB'!$M$783</f>
        <v/>
      </c>
      <c r="H173" s="10">
        <f>'Pairings NB'!$O$783</f>
        <v/>
      </c>
      <c r="I173" s="10">
        <f>'Pairings NB'!J783</f>
        <v/>
      </c>
      <c r="J173" s="10">
        <f>IFERROR(VLOOKUP('Pairings NB'!$M$783,Instructores!$A:$C,3,FALSE),"")</f>
        <v/>
      </c>
      <c r="K173" s="10">
        <f>IF('Pairings NB'!J783=320,4,3)</f>
        <v/>
      </c>
    </row>
    <row r="174">
      <c r="A174" s="10">
        <f>'Pairings NB'!B788</f>
        <v/>
      </c>
      <c r="B174" s="10">
        <f>'Pairings NB'!C788</f>
        <v/>
      </c>
      <c r="C174" s="10">
        <f>'Pairings NB'!D788</f>
        <v/>
      </c>
      <c r="D174" s="10">
        <f>'Pairings NB'!E788&amp;"/"&amp;'Pairings NB'!E789</f>
        <v/>
      </c>
      <c r="E174" s="10">
        <f>'Pairings NB'!F788&amp;"-"&amp;'Pairings NB'!G788&amp;"-"&amp;'Pairings NB'!F788</f>
        <v/>
      </c>
      <c r="F174" s="10">
        <f>IFERROR(VLOOKUP('Pairings NB'!$M$788,Instructores!$A:$C,2,FALSE),"")</f>
        <v/>
      </c>
      <c r="G174" s="10">
        <f>'Pairings NB'!$M$788</f>
        <v/>
      </c>
      <c r="H174" s="10">
        <f>'Pairings NB'!$O$788</f>
        <v/>
      </c>
      <c r="I174" s="10">
        <f>'Pairings NB'!J788</f>
        <v/>
      </c>
      <c r="J174" s="10">
        <f>IFERROR(VLOOKUP('Pairings NB'!$M$788,Instructores!$A:$C,3,FALSE),"")</f>
        <v/>
      </c>
      <c r="K174" s="10">
        <f>IF('Pairings NB'!J788=320,4,3)</f>
        <v/>
      </c>
    </row>
    <row r="175">
      <c r="A175" s="10">
        <f>'Pairings NB'!B793</f>
        <v/>
      </c>
      <c r="B175" s="10">
        <f>'Pairings NB'!C793</f>
        <v/>
      </c>
      <c r="C175" s="10">
        <f>'Pairings NB'!D793</f>
        <v/>
      </c>
      <c r="D175" s="10">
        <f>'Pairings NB'!E793&amp;"/"&amp;'Pairings NB'!E794</f>
        <v/>
      </c>
      <c r="E175" s="10">
        <f>'Pairings NB'!F793&amp;"-"&amp;'Pairings NB'!G793&amp;"-"&amp;'Pairings NB'!F793</f>
        <v/>
      </c>
      <c r="F175" s="10">
        <f>IFERROR(VLOOKUP('Pairings NB'!$M$793,Instructores!$A:$C,2,FALSE),"")</f>
        <v/>
      </c>
      <c r="G175" s="10">
        <f>'Pairings NB'!$M$793</f>
        <v/>
      </c>
      <c r="H175" s="10">
        <f>'Pairings NB'!$O$793</f>
        <v/>
      </c>
      <c r="I175" s="10">
        <f>'Pairings NB'!J793</f>
        <v/>
      </c>
      <c r="J175" s="10">
        <f>IFERROR(VLOOKUP('Pairings NB'!$M$793,Instructores!$A:$C,3,FALSE),"")</f>
        <v/>
      </c>
      <c r="K175" s="10">
        <f>IF('Pairings NB'!J793=320,4,3)</f>
        <v/>
      </c>
    </row>
    <row r="176">
      <c r="A176" s="10">
        <f>'Pairings NB'!B798</f>
        <v/>
      </c>
      <c r="B176" s="10">
        <f>'Pairings NB'!C798</f>
        <v/>
      </c>
      <c r="C176" s="10">
        <f>'Pairings NB'!D798</f>
        <v/>
      </c>
      <c r="D176" s="10">
        <f>'Pairings NB'!E798&amp;"/"&amp;'Pairings NB'!E799</f>
        <v/>
      </c>
      <c r="E176" s="10">
        <f>'Pairings NB'!F798&amp;"-"&amp;'Pairings NB'!G798&amp;"-"&amp;'Pairings NB'!F798</f>
        <v/>
      </c>
      <c r="F176" s="10">
        <f>IFERROR(VLOOKUP('Pairings NB'!$M$798,Instructores!$A:$C,2,FALSE),"")</f>
        <v/>
      </c>
      <c r="G176" s="10">
        <f>'Pairings NB'!$M$798</f>
        <v/>
      </c>
      <c r="H176" s="10">
        <f>'Pairings NB'!$O$798</f>
        <v/>
      </c>
      <c r="I176" s="10">
        <f>'Pairings NB'!J798</f>
        <v/>
      </c>
      <c r="J176" s="10">
        <f>IFERROR(VLOOKUP('Pairings NB'!$M$798,Instructores!$A:$C,3,FALSE),"")</f>
        <v/>
      </c>
      <c r="K176" s="10">
        <f>IF('Pairings NB'!J798=320,4,3)</f>
        <v/>
      </c>
    </row>
    <row r="177">
      <c r="A177" s="10">
        <f>'Pairings NB'!B800</f>
        <v/>
      </c>
      <c r="B177" s="10">
        <f>'Pairings NB'!C800</f>
        <v/>
      </c>
      <c r="C177" s="10">
        <f>'Pairings NB'!D800</f>
        <v/>
      </c>
      <c r="D177" s="10">
        <f>'Pairings NB'!E800&amp;"/"&amp;'Pairings NB'!E801</f>
        <v/>
      </c>
      <c r="E177" s="10">
        <f>'Pairings NB'!F800&amp;"-"&amp;'Pairings NB'!G800&amp;"-"&amp;'Pairings NB'!F800</f>
        <v/>
      </c>
      <c r="F177" s="10">
        <f>IFERROR(VLOOKUP('Pairings NB'!$M$798,Instructores!$A:$C,2,FALSE),"")</f>
        <v/>
      </c>
      <c r="G177" s="10">
        <f>'Pairings NB'!$M$798</f>
        <v/>
      </c>
      <c r="H177" s="10">
        <f>'Pairings NB'!$O$798</f>
        <v/>
      </c>
      <c r="I177" s="10">
        <f>'Pairings NB'!J800</f>
        <v/>
      </c>
      <c r="J177" s="10">
        <f>IFERROR(VLOOKUP('Pairings NB'!$M$798,Instructores!$A:$C,3,FALSE),"")</f>
        <v/>
      </c>
      <c r="K177" s="10">
        <f>IF('Pairings NB'!J800=320,4,3)</f>
        <v/>
      </c>
    </row>
    <row r="178">
      <c r="A178" s="10">
        <f>'Pairings NB'!B805</f>
        <v/>
      </c>
      <c r="B178" s="10">
        <f>'Pairings NB'!C805</f>
        <v/>
      </c>
      <c r="C178" s="10">
        <f>'Pairings NB'!D805</f>
        <v/>
      </c>
      <c r="D178" s="10">
        <f>'Pairings NB'!E805&amp;"/"&amp;'Pairings NB'!E806</f>
        <v/>
      </c>
      <c r="E178" s="10">
        <f>'Pairings NB'!F805&amp;"-"&amp;'Pairings NB'!G805&amp;"-"&amp;'Pairings NB'!F805</f>
        <v/>
      </c>
      <c r="F178" s="10">
        <f>IFERROR(VLOOKUP('Pairings NB'!$M$805,Instructores!$A:$C,2,FALSE),"")</f>
        <v/>
      </c>
      <c r="G178" s="10">
        <f>'Pairings NB'!$M$805</f>
        <v/>
      </c>
      <c r="H178" s="10">
        <f>'Pairings NB'!$O$805</f>
        <v/>
      </c>
      <c r="I178" s="10">
        <f>'Pairings NB'!J805</f>
        <v/>
      </c>
      <c r="J178" s="10">
        <f>IFERROR(VLOOKUP('Pairings NB'!$M$805,Instructores!$A:$C,3,FALSE),"")</f>
        <v/>
      </c>
      <c r="K178" s="10">
        <f>IF('Pairings NB'!J805=320,4,3)</f>
        <v/>
      </c>
    </row>
    <row r="179">
      <c r="A179" s="10">
        <f>'Pairings NB'!B810</f>
        <v/>
      </c>
      <c r="B179" s="10">
        <f>'Pairings NB'!C810</f>
        <v/>
      </c>
      <c r="C179" s="10">
        <f>'Pairings NB'!D810</f>
        <v/>
      </c>
      <c r="D179" s="10">
        <f>'Pairings NB'!E810&amp;"/"&amp;'Pairings NB'!E811</f>
        <v/>
      </c>
      <c r="E179" s="10">
        <f>'Pairings NB'!F810&amp;"-"&amp;'Pairings NB'!G810&amp;"-"&amp;'Pairings NB'!F810</f>
        <v/>
      </c>
      <c r="F179" s="10">
        <f>IFERROR(VLOOKUP('Pairings NB'!$M$810,Instructores!$A:$C,2,FALSE),"")</f>
        <v/>
      </c>
      <c r="G179" s="10">
        <f>'Pairings NB'!$M$810</f>
        <v/>
      </c>
      <c r="H179" s="10">
        <f>'Pairings NB'!$O$810</f>
        <v/>
      </c>
      <c r="I179" s="10">
        <f>'Pairings NB'!J810</f>
        <v/>
      </c>
      <c r="J179" s="10">
        <f>IFERROR(VLOOKUP('Pairings NB'!$M$810,Instructores!$A:$C,3,FALSE),"")</f>
        <v/>
      </c>
      <c r="K179" s="10">
        <f>IF('Pairings NB'!J810=320,4,3)</f>
        <v/>
      </c>
    </row>
    <row r="180">
      <c r="A180" s="10">
        <f>'Pairings NB'!B815</f>
        <v/>
      </c>
      <c r="B180" s="10">
        <f>'Pairings NB'!C815</f>
        <v/>
      </c>
      <c r="C180" s="10">
        <f>'Pairings NB'!D815</f>
        <v/>
      </c>
      <c r="D180" s="10">
        <f>'Pairings NB'!E815&amp;"/"&amp;'Pairings NB'!E816</f>
        <v/>
      </c>
      <c r="E180" s="10">
        <f>'Pairings NB'!F815&amp;"-"&amp;'Pairings NB'!G815&amp;"-"&amp;'Pairings NB'!F815</f>
        <v/>
      </c>
      <c r="F180" s="10">
        <f>IFERROR(VLOOKUP('Pairings NB'!$M$815,Instructores!$A:$C,2,FALSE),"")</f>
        <v/>
      </c>
      <c r="G180" s="10">
        <f>'Pairings NB'!$M$815</f>
        <v/>
      </c>
      <c r="H180" s="10">
        <f>'Pairings NB'!$O$815</f>
        <v/>
      </c>
      <c r="I180" s="10">
        <f>'Pairings NB'!J815</f>
        <v/>
      </c>
      <c r="J180" s="10">
        <f>IFERROR(VLOOKUP('Pairings NB'!$M$815,Instructores!$A:$C,3,FALSE),"")</f>
        <v/>
      </c>
      <c r="K180" s="10">
        <f>IF('Pairings NB'!J815=320,4,3)</f>
        <v/>
      </c>
    </row>
    <row r="181">
      <c r="A181" s="10">
        <f>'Pairings NB'!B820</f>
        <v/>
      </c>
      <c r="B181" s="10">
        <f>'Pairings NB'!C820</f>
        <v/>
      </c>
      <c r="C181" s="10">
        <f>'Pairings NB'!D820</f>
        <v/>
      </c>
      <c r="D181" s="10">
        <f>'Pairings NB'!E820&amp;"/"&amp;'Pairings NB'!E821</f>
        <v/>
      </c>
      <c r="E181" s="10">
        <f>'Pairings NB'!F820&amp;"-"&amp;'Pairings NB'!G820&amp;"-"&amp;'Pairings NB'!F820</f>
        <v/>
      </c>
      <c r="F181" s="10">
        <f>IFERROR(VLOOKUP('Pairings NB'!$M$820,Instructores!$A:$C,2,FALSE),"")</f>
        <v/>
      </c>
      <c r="G181" s="10">
        <f>'Pairings NB'!$M$820</f>
        <v/>
      </c>
      <c r="H181" s="10">
        <f>'Pairings NB'!$O$820</f>
        <v/>
      </c>
      <c r="I181" s="10">
        <f>'Pairings NB'!J820</f>
        <v/>
      </c>
      <c r="J181" s="10">
        <f>IFERROR(VLOOKUP('Pairings NB'!$M$820,Instructores!$A:$C,3,FALSE),"")</f>
        <v/>
      </c>
      <c r="K181" s="10">
        <f>IF('Pairings NB'!J820=320,4,3)</f>
        <v/>
      </c>
    </row>
    <row r="182">
      <c r="A182" s="10">
        <f>'Pairings NB'!B822</f>
        <v/>
      </c>
      <c r="B182" s="10">
        <f>'Pairings NB'!C822</f>
        <v/>
      </c>
      <c r="C182" s="10">
        <f>'Pairings NB'!D822</f>
        <v/>
      </c>
      <c r="D182" s="10">
        <f>'Pairings NB'!E822&amp;"/"&amp;'Pairings NB'!E823</f>
        <v/>
      </c>
      <c r="E182" s="10">
        <f>'Pairings NB'!F822&amp;"-"&amp;'Pairings NB'!G822&amp;"-"&amp;'Pairings NB'!F822</f>
        <v/>
      </c>
      <c r="F182" s="10">
        <f>IFERROR(VLOOKUP('Pairings NB'!$M$820,Instructores!$A:$C,2,FALSE),"")</f>
        <v/>
      </c>
      <c r="G182" s="10">
        <f>'Pairings NB'!$M$820</f>
        <v/>
      </c>
      <c r="H182" s="10">
        <f>'Pairings NB'!$O$820</f>
        <v/>
      </c>
      <c r="I182" s="10">
        <f>'Pairings NB'!J822</f>
        <v/>
      </c>
      <c r="J182" s="10">
        <f>IFERROR(VLOOKUP('Pairings NB'!$M$820,Instructores!$A:$C,3,FALSE),"")</f>
        <v/>
      </c>
      <c r="K182" s="10">
        <f>IF('Pairings NB'!J822=320,4,3)</f>
        <v/>
      </c>
    </row>
    <row r="183">
      <c r="A183" s="10">
        <f>'Pairings NB'!B827</f>
        <v/>
      </c>
      <c r="B183" s="10">
        <f>'Pairings NB'!C827</f>
        <v/>
      </c>
      <c r="C183" s="10">
        <f>'Pairings NB'!D827</f>
        <v/>
      </c>
      <c r="D183" s="10">
        <f>'Pairings NB'!E827&amp;"/"&amp;'Pairings NB'!E828</f>
        <v/>
      </c>
      <c r="E183" s="10">
        <f>'Pairings NB'!F827&amp;"-"&amp;'Pairings NB'!G827&amp;"-"&amp;'Pairings NB'!F827</f>
        <v/>
      </c>
      <c r="F183" s="10">
        <f>IFERROR(VLOOKUP('Pairings NB'!$M$827,Instructores!$A:$C,2,FALSE),"")</f>
        <v/>
      </c>
      <c r="G183" s="10">
        <f>'Pairings NB'!$M$827</f>
        <v/>
      </c>
      <c r="H183" s="10">
        <f>'Pairings NB'!$O$827</f>
        <v/>
      </c>
      <c r="I183" s="10">
        <f>'Pairings NB'!J827</f>
        <v/>
      </c>
      <c r="J183" s="10">
        <f>IFERROR(VLOOKUP('Pairings NB'!$M$827,Instructores!$A:$C,3,FALSE),"")</f>
        <v/>
      </c>
      <c r="K183" s="10">
        <f>IF('Pairings NB'!J827=320,4,3)</f>
        <v/>
      </c>
    </row>
    <row r="184">
      <c r="A184" s="10">
        <f>'Pairings NB'!B829</f>
        <v/>
      </c>
      <c r="B184" s="10">
        <f>'Pairings NB'!C829</f>
        <v/>
      </c>
      <c r="C184" s="10">
        <f>'Pairings NB'!D829</f>
        <v/>
      </c>
      <c r="D184" s="10">
        <f>'Pairings NB'!E829&amp;"/"&amp;'Pairings NB'!E830</f>
        <v/>
      </c>
      <c r="E184" s="10">
        <f>'Pairings NB'!F829&amp;"-"&amp;'Pairings NB'!G829&amp;"-"&amp;'Pairings NB'!F829</f>
        <v/>
      </c>
      <c r="F184" s="10">
        <f>IFERROR(VLOOKUP('Pairings NB'!$M$827,Instructores!$A:$C,2,FALSE),"")</f>
        <v/>
      </c>
      <c r="G184" s="10">
        <f>'Pairings NB'!$M$827</f>
        <v/>
      </c>
      <c r="H184" s="10">
        <f>'Pairings NB'!$O$827</f>
        <v/>
      </c>
      <c r="I184" s="10">
        <f>'Pairings NB'!J829</f>
        <v/>
      </c>
      <c r="J184" s="10">
        <f>IFERROR(VLOOKUP('Pairings NB'!$M$827,Instructores!$A:$C,3,FALSE),"")</f>
        <v/>
      </c>
      <c r="K184" s="10">
        <f>IF('Pairings NB'!J829=320,4,3)</f>
        <v/>
      </c>
    </row>
    <row r="185">
      <c r="A185" s="10">
        <f>'Pairings NB'!B834</f>
        <v/>
      </c>
      <c r="B185" s="10">
        <f>'Pairings NB'!C834</f>
        <v/>
      </c>
      <c r="C185" s="10">
        <f>'Pairings NB'!D834</f>
        <v/>
      </c>
      <c r="D185" s="10">
        <f>'Pairings NB'!E834&amp;"/"&amp;'Pairings NB'!E835</f>
        <v/>
      </c>
      <c r="E185" s="10">
        <f>'Pairings NB'!F834&amp;"-"&amp;'Pairings NB'!G834&amp;"-"&amp;'Pairings NB'!F834</f>
        <v/>
      </c>
      <c r="F185" s="10">
        <f>IFERROR(VLOOKUP('Pairings NB'!$M$834,Instructores!$A:$C,2,FALSE),"")</f>
        <v/>
      </c>
      <c r="G185" s="10">
        <f>'Pairings NB'!$M$834</f>
        <v/>
      </c>
      <c r="H185" s="10">
        <f>'Pairings NB'!$O$834</f>
        <v/>
      </c>
      <c r="I185" s="10">
        <f>'Pairings NB'!J834</f>
        <v/>
      </c>
      <c r="J185" s="10">
        <f>IFERROR(VLOOKUP('Pairings NB'!$M$834,Instructores!$A:$C,3,FALSE),"")</f>
        <v/>
      </c>
      <c r="K185" s="10">
        <f>IF('Pairings NB'!J834=320,4,3)</f>
        <v/>
      </c>
    </row>
    <row r="186">
      <c r="A186" s="10">
        <f>'Pairings NB'!B836</f>
        <v/>
      </c>
      <c r="B186" s="10">
        <f>'Pairings NB'!C836</f>
        <v/>
      </c>
      <c r="C186" s="10">
        <f>'Pairings NB'!D836</f>
        <v/>
      </c>
      <c r="D186" s="10">
        <f>'Pairings NB'!E836&amp;"/"&amp;'Pairings NB'!E837</f>
        <v/>
      </c>
      <c r="E186" s="10">
        <f>'Pairings NB'!F836&amp;"-"&amp;'Pairings NB'!G836&amp;"-"&amp;'Pairings NB'!F836</f>
        <v/>
      </c>
      <c r="F186" s="10">
        <f>IFERROR(VLOOKUP('Pairings NB'!$M$834,Instructores!$A:$C,2,FALSE),"")</f>
        <v/>
      </c>
      <c r="G186" s="10">
        <f>'Pairings NB'!$M$834</f>
        <v/>
      </c>
      <c r="H186" s="10">
        <f>'Pairings NB'!$O$834</f>
        <v/>
      </c>
      <c r="I186" s="10">
        <f>'Pairings NB'!J836</f>
        <v/>
      </c>
      <c r="J186" s="10">
        <f>IFERROR(VLOOKUP('Pairings NB'!$M$834,Instructores!$A:$C,3,FALSE),"")</f>
        <v/>
      </c>
      <c r="K186" s="10">
        <f>IF('Pairings NB'!J836=320,4,3)</f>
        <v/>
      </c>
    </row>
    <row r="187">
      <c r="A187" s="10">
        <f>'Pairings NB'!B841</f>
        <v/>
      </c>
      <c r="B187" s="10">
        <f>'Pairings NB'!C841</f>
        <v/>
      </c>
      <c r="C187" s="10">
        <f>'Pairings NB'!D841</f>
        <v/>
      </c>
      <c r="D187" s="10">
        <f>'Pairings NB'!E841&amp;"/"&amp;'Pairings NB'!E842</f>
        <v/>
      </c>
      <c r="E187" s="10">
        <f>'Pairings NB'!F841&amp;"-"&amp;'Pairings NB'!G841&amp;"-"&amp;'Pairings NB'!F841</f>
        <v/>
      </c>
      <c r="F187" s="10">
        <f>IFERROR(VLOOKUP('Pairings NB'!$M$841,Instructores!$A:$C,2,FALSE),"")</f>
        <v/>
      </c>
      <c r="G187" s="10">
        <f>'Pairings NB'!$M$841</f>
        <v/>
      </c>
      <c r="H187" s="10">
        <f>'Pairings NB'!$O$841</f>
        <v/>
      </c>
      <c r="I187" s="10">
        <f>'Pairings NB'!J841</f>
        <v/>
      </c>
      <c r="J187" s="10">
        <f>IFERROR(VLOOKUP('Pairings NB'!$M$841,Instructores!$A:$C,3,FALSE),"")</f>
        <v/>
      </c>
      <c r="K187" s="10">
        <f>IF('Pairings NB'!J841=320,4,3)</f>
        <v/>
      </c>
    </row>
    <row r="188">
      <c r="A188" s="10">
        <f>'Pairings NB'!B846</f>
        <v/>
      </c>
      <c r="B188" s="10">
        <f>'Pairings NB'!C846</f>
        <v/>
      </c>
      <c r="C188" s="10">
        <f>'Pairings NB'!D846</f>
        <v/>
      </c>
      <c r="D188" s="10">
        <f>'Pairings NB'!E846&amp;"/"&amp;'Pairings NB'!E847</f>
        <v/>
      </c>
      <c r="E188" s="10">
        <f>'Pairings NB'!F846&amp;"-"&amp;'Pairings NB'!G846&amp;"-"&amp;'Pairings NB'!F846</f>
        <v/>
      </c>
      <c r="F188" s="10">
        <f>IFERROR(VLOOKUP('Pairings NB'!$M$846,Instructores!$A:$C,2,FALSE),"")</f>
        <v/>
      </c>
      <c r="G188" s="10">
        <f>'Pairings NB'!$M$846</f>
        <v/>
      </c>
      <c r="H188" s="10">
        <f>'Pairings NB'!$O$846</f>
        <v/>
      </c>
      <c r="I188" s="10">
        <f>'Pairings NB'!J846</f>
        <v/>
      </c>
      <c r="J188" s="10">
        <f>IFERROR(VLOOKUP('Pairings NB'!$M$846,Instructores!$A:$C,3,FALSE),"")</f>
        <v/>
      </c>
      <c r="K188" s="10">
        <f>IF('Pairings NB'!J846=320,4,3)</f>
        <v/>
      </c>
    </row>
    <row r="189">
      <c r="A189" s="10">
        <f>'Pairings NB'!B851</f>
        <v/>
      </c>
      <c r="B189" s="10">
        <f>'Pairings NB'!C851</f>
        <v/>
      </c>
      <c r="C189" s="10">
        <f>'Pairings NB'!D851</f>
        <v/>
      </c>
      <c r="D189" s="10">
        <f>'Pairings NB'!E851&amp;"/"&amp;'Pairings NB'!E852</f>
        <v/>
      </c>
      <c r="E189" s="10">
        <f>'Pairings NB'!F851&amp;"-"&amp;'Pairings NB'!G851&amp;"-"&amp;'Pairings NB'!F851</f>
        <v/>
      </c>
      <c r="F189" s="10">
        <f>IFERROR(VLOOKUP('Pairings NB'!$M$851,Instructores!$A:$C,2,FALSE),"")</f>
        <v/>
      </c>
      <c r="G189" s="10">
        <f>'Pairings NB'!$M$851</f>
        <v/>
      </c>
      <c r="H189" s="10">
        <f>'Pairings NB'!$O$851</f>
        <v/>
      </c>
      <c r="I189" s="10">
        <f>'Pairings NB'!J851</f>
        <v/>
      </c>
      <c r="J189" s="10">
        <f>IFERROR(VLOOKUP('Pairings NB'!$M$851,Instructores!$A:$C,3,FALSE),"")</f>
        <v/>
      </c>
      <c r="K189" s="10">
        <f>IF('Pairings NB'!J851=320,4,3)</f>
        <v/>
      </c>
    </row>
    <row r="190">
      <c r="A190" s="10">
        <f>'Pairings NB'!B856</f>
        <v/>
      </c>
      <c r="B190" s="10">
        <f>'Pairings NB'!C856</f>
        <v/>
      </c>
      <c r="C190" s="10">
        <f>'Pairings NB'!D856</f>
        <v/>
      </c>
      <c r="D190" s="10">
        <f>'Pairings NB'!E856&amp;"/"&amp;'Pairings NB'!E857</f>
        <v/>
      </c>
      <c r="E190" s="10">
        <f>'Pairings NB'!F856&amp;"-"&amp;'Pairings NB'!G856&amp;"-"&amp;'Pairings NB'!F856</f>
        <v/>
      </c>
      <c r="F190" s="10">
        <f>IFERROR(VLOOKUP('Pairings NB'!$M$856,Instructores!$A:$C,2,FALSE),"")</f>
        <v/>
      </c>
      <c r="G190" s="10">
        <f>'Pairings NB'!$M$856</f>
        <v/>
      </c>
      <c r="H190" s="10">
        <f>'Pairings NB'!$O$856</f>
        <v/>
      </c>
      <c r="I190" s="10">
        <f>'Pairings NB'!J856</f>
        <v/>
      </c>
      <c r="J190" s="10">
        <f>IFERROR(VLOOKUP('Pairings NB'!$M$856,Instructores!$A:$C,3,FALSE),"")</f>
        <v/>
      </c>
      <c r="K190" s="10">
        <f>IF('Pairings NB'!J856=320,4,3)</f>
        <v/>
      </c>
    </row>
    <row r="191">
      <c r="A191" s="10">
        <f>'Pairings NB'!B861</f>
        <v/>
      </c>
      <c r="B191" s="10">
        <f>'Pairings NB'!C861</f>
        <v/>
      </c>
      <c r="C191" s="10">
        <f>'Pairings NB'!D861</f>
        <v/>
      </c>
      <c r="D191" s="10">
        <f>'Pairings NB'!E861&amp;"/"&amp;'Pairings NB'!E862</f>
        <v/>
      </c>
      <c r="E191" s="10">
        <f>'Pairings NB'!F861&amp;"-"&amp;'Pairings NB'!G861&amp;"-"&amp;'Pairings NB'!F861</f>
        <v/>
      </c>
      <c r="F191" s="10">
        <f>IFERROR(VLOOKUP('Pairings NB'!$M$861,Instructores!$A:$C,2,FALSE),"")</f>
        <v/>
      </c>
      <c r="G191" s="10">
        <f>'Pairings NB'!$M$861</f>
        <v/>
      </c>
      <c r="H191" s="10">
        <f>'Pairings NB'!$O$861</f>
        <v/>
      </c>
      <c r="I191" s="10">
        <f>'Pairings NB'!J861</f>
        <v/>
      </c>
      <c r="J191" s="10">
        <f>IFERROR(VLOOKUP('Pairings NB'!$M$861,Instructores!$A:$C,3,FALSE),"")</f>
        <v/>
      </c>
      <c r="K191" s="10">
        <f>IF('Pairings NB'!J861=320,4,3)</f>
        <v/>
      </c>
    </row>
    <row r="192">
      <c r="A192" s="10">
        <f>'Pairings NB'!B866</f>
        <v/>
      </c>
      <c r="B192" s="10">
        <f>'Pairings NB'!C866</f>
        <v/>
      </c>
      <c r="C192" s="10">
        <f>'Pairings NB'!D866</f>
        <v/>
      </c>
      <c r="D192" s="10">
        <f>'Pairings NB'!E866&amp;"/"&amp;'Pairings NB'!E867</f>
        <v/>
      </c>
      <c r="E192" s="10">
        <f>'Pairings NB'!F866&amp;"-"&amp;'Pairings NB'!G866&amp;"-"&amp;'Pairings NB'!F866</f>
        <v/>
      </c>
      <c r="F192" s="10">
        <f>IFERROR(VLOOKUP('Pairings NB'!$M$866,Instructores!$A:$C,2,FALSE),"")</f>
        <v/>
      </c>
      <c r="G192" s="10">
        <f>'Pairings NB'!$M$866</f>
        <v/>
      </c>
      <c r="H192" s="10">
        <f>'Pairings NB'!$O$866</f>
        <v/>
      </c>
      <c r="I192" s="10">
        <f>'Pairings NB'!J866</f>
        <v/>
      </c>
      <c r="J192" s="10">
        <f>IFERROR(VLOOKUP('Pairings NB'!$M$866,Instructores!$A:$C,3,FALSE),"")</f>
        <v/>
      </c>
      <c r="K192" s="10">
        <f>IF('Pairings NB'!J866=320,4,3)</f>
        <v/>
      </c>
    </row>
    <row r="193">
      <c r="A193" s="10">
        <f>'Pairings NB'!B871</f>
        <v/>
      </c>
      <c r="B193" s="10">
        <f>'Pairings NB'!C871</f>
        <v/>
      </c>
      <c r="C193" s="10">
        <f>'Pairings NB'!D871</f>
        <v/>
      </c>
      <c r="D193" s="10">
        <f>'Pairings NB'!E871&amp;"/"&amp;'Pairings NB'!E872</f>
        <v/>
      </c>
      <c r="E193" s="10">
        <f>'Pairings NB'!F871&amp;"-"&amp;'Pairings NB'!G871&amp;"-"&amp;'Pairings NB'!F871</f>
        <v/>
      </c>
      <c r="F193" s="10">
        <f>IFERROR(VLOOKUP('Pairings NB'!$M$871,Instructores!$A:$C,2,FALSE),"")</f>
        <v/>
      </c>
      <c r="G193" s="10">
        <f>'Pairings NB'!$M$871</f>
        <v/>
      </c>
      <c r="H193" s="10">
        <f>'Pairings NB'!$O$871</f>
        <v/>
      </c>
      <c r="I193" s="10">
        <f>'Pairings NB'!J871</f>
        <v/>
      </c>
      <c r="J193" s="10">
        <f>IFERROR(VLOOKUP('Pairings NB'!$M$871,Instructores!$A:$C,3,FALSE),"")</f>
        <v/>
      </c>
      <c r="K193" s="10">
        <f>IF('Pairings NB'!J871=320,4,3)</f>
        <v/>
      </c>
    </row>
    <row r="194">
      <c r="A194" s="10">
        <f>'Pairings NB'!B876</f>
        <v/>
      </c>
      <c r="B194" s="10">
        <f>'Pairings NB'!C876</f>
        <v/>
      </c>
      <c r="C194" s="10">
        <f>'Pairings NB'!D876</f>
        <v/>
      </c>
      <c r="D194" s="10">
        <f>'Pairings NB'!E876&amp;"/"&amp;'Pairings NB'!E877</f>
        <v/>
      </c>
      <c r="E194" s="10">
        <f>'Pairings NB'!F876&amp;"-"&amp;'Pairings NB'!G876&amp;"-"&amp;'Pairings NB'!F876</f>
        <v/>
      </c>
      <c r="F194" s="10">
        <f>IFERROR(VLOOKUP('Pairings NB'!$M$876,Instructores!$A:$C,2,FALSE),"")</f>
        <v/>
      </c>
      <c r="G194" s="10">
        <f>'Pairings NB'!$M$876</f>
        <v/>
      </c>
      <c r="H194" s="10">
        <f>'Pairings NB'!$O$876</f>
        <v/>
      </c>
      <c r="I194" s="10">
        <f>'Pairings NB'!J876</f>
        <v/>
      </c>
      <c r="J194" s="10">
        <f>IFERROR(VLOOKUP('Pairings NB'!$M$876,Instructores!$A:$C,3,FALSE),"")</f>
        <v/>
      </c>
      <c r="K194" s="10">
        <f>IF('Pairings NB'!J876=320,4,3)</f>
        <v/>
      </c>
    </row>
    <row r="195">
      <c r="A195" s="10">
        <f>'Pairings NB'!B881</f>
        <v/>
      </c>
      <c r="B195" s="10">
        <f>'Pairings NB'!C881</f>
        <v/>
      </c>
      <c r="C195" s="10">
        <f>'Pairings NB'!D881</f>
        <v/>
      </c>
      <c r="D195" s="10">
        <f>'Pairings NB'!E881&amp;"/"&amp;'Pairings NB'!E882</f>
        <v/>
      </c>
      <c r="E195" s="10">
        <f>'Pairings NB'!F881&amp;"-"&amp;'Pairings NB'!G881&amp;"-"&amp;'Pairings NB'!F881</f>
        <v/>
      </c>
      <c r="F195" s="10">
        <f>IFERROR(VLOOKUP('Pairings NB'!$M$881,Instructores!$A:$C,2,FALSE),"")</f>
        <v/>
      </c>
      <c r="G195" s="10">
        <f>'Pairings NB'!$M$881</f>
        <v/>
      </c>
      <c r="H195" s="10">
        <f>'Pairings NB'!$O$881</f>
        <v/>
      </c>
      <c r="I195" s="10">
        <f>'Pairings NB'!J881</f>
        <v/>
      </c>
      <c r="J195" s="10">
        <f>IFERROR(VLOOKUP('Pairings NB'!$M$881,Instructores!$A:$C,3,FALSE),"")</f>
        <v/>
      </c>
      <c r="K195" s="10">
        <f>IF('Pairings NB'!J881=320,4,3)</f>
        <v/>
      </c>
    </row>
    <row r="196">
      <c r="A196" s="10">
        <f>'Pairings NB'!B886</f>
        <v/>
      </c>
      <c r="B196" s="10">
        <f>'Pairings NB'!C886</f>
        <v/>
      </c>
      <c r="C196" s="10">
        <f>'Pairings NB'!D886</f>
        <v/>
      </c>
      <c r="D196" s="10">
        <f>'Pairings NB'!E886&amp;"/"&amp;'Pairings NB'!E887</f>
        <v/>
      </c>
      <c r="E196" s="10">
        <f>'Pairings NB'!F886&amp;"-"&amp;'Pairings NB'!G886&amp;"-"&amp;'Pairings NB'!F886</f>
        <v/>
      </c>
      <c r="F196" s="10">
        <f>IFERROR(VLOOKUP('Pairings NB'!$M$886,Instructores!$A:$C,2,FALSE),"")</f>
        <v/>
      </c>
      <c r="G196" s="10">
        <f>'Pairings NB'!$M$886</f>
        <v/>
      </c>
      <c r="H196" s="10">
        <f>'Pairings NB'!$O$886</f>
        <v/>
      </c>
      <c r="I196" s="10">
        <f>'Pairings NB'!J886</f>
        <v/>
      </c>
      <c r="J196" s="10">
        <f>IFERROR(VLOOKUP('Pairings NB'!$M$886,Instructores!$A:$C,3,FALSE),"")</f>
        <v/>
      </c>
      <c r="K196" s="10">
        <f>IF('Pairings NB'!J886=320,4,3)</f>
        <v/>
      </c>
    </row>
    <row r="197">
      <c r="A197" s="10">
        <f>'Pairings NB'!B891</f>
        <v/>
      </c>
      <c r="B197" s="10">
        <f>'Pairings NB'!C891</f>
        <v/>
      </c>
      <c r="C197" s="10">
        <f>'Pairings NB'!D891</f>
        <v/>
      </c>
      <c r="D197" s="10">
        <f>'Pairings NB'!E891&amp;"/"&amp;'Pairings NB'!E892</f>
        <v/>
      </c>
      <c r="E197" s="10">
        <f>'Pairings NB'!F891&amp;"-"&amp;'Pairings NB'!G891&amp;"-"&amp;'Pairings NB'!F891</f>
        <v/>
      </c>
      <c r="F197" s="10">
        <f>IFERROR(VLOOKUP('Pairings NB'!$M$891,Instructores!$A:$C,2,FALSE),"")</f>
        <v/>
      </c>
      <c r="G197" s="10">
        <f>'Pairings NB'!$M$891</f>
        <v/>
      </c>
      <c r="H197" s="10">
        <f>'Pairings NB'!$O$891</f>
        <v/>
      </c>
      <c r="I197" s="10">
        <f>'Pairings NB'!J891</f>
        <v/>
      </c>
      <c r="J197" s="10">
        <f>IFERROR(VLOOKUP('Pairings NB'!$M$891,Instructores!$A:$C,3,FALSE),"")</f>
        <v/>
      </c>
      <c r="K197" s="10">
        <f>IF('Pairings NB'!J891=320,4,3)</f>
        <v/>
      </c>
    </row>
    <row r="198">
      <c r="A198" s="10">
        <f>'Pairings NB'!B893</f>
        <v/>
      </c>
      <c r="B198" s="10">
        <f>'Pairings NB'!C893</f>
        <v/>
      </c>
      <c r="C198" s="10">
        <f>'Pairings NB'!D893</f>
        <v/>
      </c>
      <c r="D198" s="10">
        <f>'Pairings NB'!E893&amp;"/"&amp;'Pairings NB'!E894</f>
        <v/>
      </c>
      <c r="E198" s="10">
        <f>'Pairings NB'!F893&amp;"-"&amp;'Pairings NB'!G893&amp;"-"&amp;'Pairings NB'!F893</f>
        <v/>
      </c>
      <c r="F198" s="10">
        <f>IFERROR(VLOOKUP('Pairings NB'!$M$891,Instructores!$A:$C,2,FALSE),"")</f>
        <v/>
      </c>
      <c r="G198" s="10">
        <f>'Pairings NB'!$M$891</f>
        <v/>
      </c>
      <c r="H198" s="10">
        <f>'Pairings NB'!$O$891</f>
        <v/>
      </c>
      <c r="I198" s="10">
        <f>'Pairings NB'!J893</f>
        <v/>
      </c>
      <c r="J198" s="10">
        <f>IFERROR(VLOOKUP('Pairings NB'!$M$891,Instructores!$A:$C,3,FALSE),"")</f>
        <v/>
      </c>
      <c r="K198" s="10">
        <f>IF('Pairings NB'!J893=320,4,3)</f>
        <v/>
      </c>
    </row>
    <row r="199">
      <c r="A199" s="10">
        <f>'Pairings NB'!B898</f>
        <v/>
      </c>
      <c r="B199" s="10">
        <f>'Pairings NB'!C898</f>
        <v/>
      </c>
      <c r="C199" s="10">
        <f>'Pairings NB'!D898</f>
        <v/>
      </c>
      <c r="D199" s="10">
        <f>'Pairings NB'!E898&amp;"/"&amp;'Pairings NB'!E899</f>
        <v/>
      </c>
      <c r="E199" s="10">
        <f>'Pairings NB'!F898&amp;"-"&amp;'Pairings NB'!G898&amp;"-"&amp;'Pairings NB'!F898</f>
        <v/>
      </c>
      <c r="F199" s="10">
        <f>IFERROR(VLOOKUP('Pairings NB'!$M$898,Instructores!$A:$C,2,FALSE),"")</f>
        <v/>
      </c>
      <c r="G199" s="10">
        <f>'Pairings NB'!$M$898</f>
        <v/>
      </c>
      <c r="H199" s="10">
        <f>'Pairings NB'!$O$898</f>
        <v/>
      </c>
      <c r="I199" s="10">
        <f>'Pairings NB'!J898</f>
        <v/>
      </c>
      <c r="J199" s="10">
        <f>IFERROR(VLOOKUP('Pairings NB'!$M$898,Instructores!$A:$C,3,FALSE),"")</f>
        <v/>
      </c>
      <c r="K199" s="10">
        <f>IF('Pairings NB'!J898=320,4,3)</f>
        <v/>
      </c>
    </row>
    <row r="200">
      <c r="A200" s="10">
        <f>'Pairings NB'!B900</f>
        <v/>
      </c>
      <c r="B200" s="10">
        <f>'Pairings NB'!C900</f>
        <v/>
      </c>
      <c r="C200" s="10">
        <f>'Pairings NB'!D900</f>
        <v/>
      </c>
      <c r="D200" s="10">
        <f>'Pairings NB'!E900&amp;"/"&amp;'Pairings NB'!E901</f>
        <v/>
      </c>
      <c r="E200" s="10">
        <f>'Pairings NB'!F900&amp;"-"&amp;'Pairings NB'!G900&amp;"-"&amp;'Pairings NB'!F900</f>
        <v/>
      </c>
      <c r="F200" s="10">
        <f>IFERROR(VLOOKUP('Pairings NB'!$M$898,Instructores!$A:$C,2,FALSE),"")</f>
        <v/>
      </c>
      <c r="G200" s="10">
        <f>'Pairings NB'!$M$898</f>
        <v/>
      </c>
      <c r="H200" s="10">
        <f>'Pairings NB'!$O$898</f>
        <v/>
      </c>
      <c r="I200" s="10">
        <f>'Pairings NB'!J900</f>
        <v/>
      </c>
      <c r="J200" s="10">
        <f>IFERROR(VLOOKUP('Pairings NB'!$M$898,Instructores!$A:$C,3,FALSE),"")</f>
        <v/>
      </c>
      <c r="K200" s="10">
        <f>IF('Pairings NB'!J900=320,4,3)</f>
        <v/>
      </c>
    </row>
    <row r="201">
      <c r="A201" s="10">
        <f>'Pairings NB'!B905</f>
        <v/>
      </c>
      <c r="B201" s="10">
        <f>'Pairings NB'!C905</f>
        <v/>
      </c>
      <c r="C201" s="10">
        <f>'Pairings NB'!D905</f>
        <v/>
      </c>
      <c r="D201" s="10">
        <f>'Pairings NB'!E905&amp;"/"&amp;'Pairings NB'!E906</f>
        <v/>
      </c>
      <c r="E201" s="10">
        <f>'Pairings NB'!F905&amp;"-"&amp;'Pairings NB'!G905&amp;"-"&amp;'Pairings NB'!F905</f>
        <v/>
      </c>
      <c r="F201" s="10">
        <f>IFERROR(VLOOKUP('Pairings NB'!$M$905,Instructores!$A:$C,2,FALSE),"")</f>
        <v/>
      </c>
      <c r="G201" s="10">
        <f>'Pairings NB'!$M$905</f>
        <v/>
      </c>
      <c r="H201" s="10">
        <f>'Pairings NB'!$O$905</f>
        <v/>
      </c>
      <c r="I201" s="10">
        <f>'Pairings NB'!J905</f>
        <v/>
      </c>
      <c r="J201" s="10">
        <f>IFERROR(VLOOKUP('Pairings NB'!$M$905,Instructores!$A:$C,3,FALSE),"")</f>
        <v/>
      </c>
      <c r="K201" s="10">
        <f>IF('Pairings NB'!J905=320,4,3)</f>
        <v/>
      </c>
    </row>
    <row r="202">
      <c r="A202" s="10">
        <f>'Pairings NB'!B910</f>
        <v/>
      </c>
      <c r="B202" s="10">
        <f>'Pairings NB'!C910</f>
        <v/>
      </c>
      <c r="C202" s="10">
        <f>'Pairings NB'!D910</f>
        <v/>
      </c>
      <c r="D202" s="10">
        <f>'Pairings NB'!E910&amp;"/"&amp;'Pairings NB'!E911</f>
        <v/>
      </c>
      <c r="E202" s="10">
        <f>'Pairings NB'!F910&amp;"-"&amp;'Pairings NB'!G910&amp;"-"&amp;'Pairings NB'!F910</f>
        <v/>
      </c>
      <c r="F202" s="10">
        <f>IFERROR(VLOOKUP('Pairings NB'!$M$910,Instructores!$A:$C,2,FALSE),"")</f>
        <v/>
      </c>
      <c r="G202" s="10">
        <f>'Pairings NB'!$M$910</f>
        <v/>
      </c>
      <c r="H202" s="10">
        <f>'Pairings NB'!$O$910</f>
        <v/>
      </c>
      <c r="I202" s="10">
        <f>'Pairings NB'!J910</f>
        <v/>
      </c>
      <c r="J202" s="10">
        <f>IFERROR(VLOOKUP('Pairings NB'!$M$910,Instructores!$A:$C,3,FALSE),"")</f>
        <v/>
      </c>
      <c r="K202" s="10">
        <f>IF('Pairings NB'!J910=320,4,3)</f>
        <v/>
      </c>
    </row>
    <row r="203">
      <c r="A203" s="10">
        <f>'Pairings NB'!B912</f>
        <v/>
      </c>
      <c r="B203" s="10">
        <f>'Pairings NB'!C912</f>
        <v/>
      </c>
      <c r="C203" s="10">
        <f>'Pairings NB'!D912</f>
        <v/>
      </c>
      <c r="D203" s="10">
        <f>'Pairings NB'!E912&amp;"/"&amp;'Pairings NB'!E913</f>
        <v/>
      </c>
      <c r="E203" s="10">
        <f>'Pairings NB'!F912&amp;"-"&amp;'Pairings NB'!G912&amp;"-"&amp;'Pairings NB'!F912</f>
        <v/>
      </c>
      <c r="F203" s="10">
        <f>IFERROR(VLOOKUP('Pairings NB'!$M$910,Instructores!$A:$C,2,FALSE),"")</f>
        <v/>
      </c>
      <c r="G203" s="10">
        <f>'Pairings NB'!$M$910</f>
        <v/>
      </c>
      <c r="H203" s="10">
        <f>'Pairings NB'!$O$910</f>
        <v/>
      </c>
      <c r="I203" s="10">
        <f>'Pairings NB'!J912</f>
        <v/>
      </c>
      <c r="J203" s="10">
        <f>IFERROR(VLOOKUP('Pairings NB'!$M$910,Instructores!$A:$C,3,FALSE),"")</f>
        <v/>
      </c>
      <c r="K203" s="10">
        <f>IF('Pairings NB'!J912=320,4,3)</f>
        <v/>
      </c>
    </row>
    <row r="204">
      <c r="A204" s="10">
        <f>'Pairings NB'!B917</f>
        <v/>
      </c>
      <c r="B204" s="10">
        <f>'Pairings NB'!C917</f>
        <v/>
      </c>
      <c r="C204" s="10">
        <f>'Pairings NB'!D917</f>
        <v/>
      </c>
      <c r="D204" s="10">
        <f>'Pairings NB'!E917&amp;"/"&amp;'Pairings NB'!E918</f>
        <v/>
      </c>
      <c r="E204" s="10">
        <f>'Pairings NB'!F917&amp;"-"&amp;'Pairings NB'!G917&amp;"-"&amp;'Pairings NB'!F917</f>
        <v/>
      </c>
      <c r="F204" s="10">
        <f>IFERROR(VLOOKUP('Pairings NB'!$M$917,Instructores!$A:$C,2,FALSE),"")</f>
        <v/>
      </c>
      <c r="G204" s="10">
        <f>'Pairings NB'!$M$917</f>
        <v/>
      </c>
      <c r="H204" s="10">
        <f>'Pairings NB'!$O$917</f>
        <v/>
      </c>
      <c r="I204" s="10">
        <f>'Pairings NB'!J917</f>
        <v/>
      </c>
      <c r="J204" s="10">
        <f>IFERROR(VLOOKUP('Pairings NB'!$M$917,Instructores!$A:$C,3,FALSE),"")</f>
        <v/>
      </c>
      <c r="K204" s="10">
        <f>IF('Pairings NB'!J917=320,4,3)</f>
        <v/>
      </c>
    </row>
    <row r="205">
      <c r="A205" s="10">
        <f>'Pairings NB'!B922</f>
        <v/>
      </c>
      <c r="B205" s="10">
        <f>'Pairings NB'!C922</f>
        <v/>
      </c>
      <c r="C205" s="10">
        <f>'Pairings NB'!D922</f>
        <v/>
      </c>
      <c r="D205" s="10">
        <f>'Pairings NB'!E922&amp;"/"&amp;'Pairings NB'!E923</f>
        <v/>
      </c>
      <c r="E205" s="10">
        <f>'Pairings NB'!F922&amp;"-"&amp;'Pairings NB'!G922&amp;"-"&amp;'Pairings NB'!F922</f>
        <v/>
      </c>
      <c r="F205" s="10">
        <f>IFERROR(VLOOKUP('Pairings NB'!$M$922,Instructores!$A:$C,2,FALSE),"")</f>
        <v/>
      </c>
      <c r="G205" s="10">
        <f>'Pairings NB'!$M$922</f>
        <v/>
      </c>
      <c r="H205" s="10">
        <f>'Pairings NB'!$O$922</f>
        <v/>
      </c>
      <c r="I205" s="10">
        <f>'Pairings NB'!J922</f>
        <v/>
      </c>
      <c r="J205" s="10">
        <f>IFERROR(VLOOKUP('Pairings NB'!$M$922,Instructores!$A:$C,3,FALSE),"")</f>
        <v/>
      </c>
      <c r="K205" s="10">
        <f>IF('Pairings NB'!J922=320,4,3)</f>
        <v/>
      </c>
    </row>
    <row r="206">
      <c r="A206" s="10">
        <f>'Pairings NB'!B927</f>
        <v/>
      </c>
      <c r="B206" s="10">
        <f>'Pairings NB'!C927</f>
        <v/>
      </c>
      <c r="C206" s="10">
        <f>'Pairings NB'!D927</f>
        <v/>
      </c>
      <c r="D206" s="10">
        <f>'Pairings NB'!E927&amp;"/"&amp;'Pairings NB'!E928</f>
        <v/>
      </c>
      <c r="E206" s="10">
        <f>'Pairings NB'!F927&amp;"-"&amp;'Pairings NB'!G927&amp;"-"&amp;'Pairings NB'!F927</f>
        <v/>
      </c>
      <c r="F206" s="10">
        <f>IFERROR(VLOOKUP('Pairings NB'!$M$927,Instructores!$A:$C,2,FALSE),"")</f>
        <v/>
      </c>
      <c r="G206" s="10">
        <f>'Pairings NB'!$M$927</f>
        <v/>
      </c>
      <c r="H206" s="10">
        <f>'Pairings NB'!$O$927</f>
        <v/>
      </c>
      <c r="I206" s="10">
        <f>'Pairings NB'!J927</f>
        <v/>
      </c>
      <c r="J206" s="10">
        <f>IFERROR(VLOOKUP('Pairings NB'!$M$927,Instructores!$A:$C,3,FALSE),"")</f>
        <v/>
      </c>
      <c r="K206" s="10">
        <f>IF('Pairings NB'!J927=320,4,3)</f>
        <v/>
      </c>
    </row>
    <row r="207">
      <c r="A207" s="10">
        <f>'Pairings NB'!B932</f>
        <v/>
      </c>
      <c r="B207" s="10">
        <f>'Pairings NB'!C932</f>
        <v/>
      </c>
      <c r="C207" s="10">
        <f>'Pairings NB'!D932</f>
        <v/>
      </c>
      <c r="D207" s="10">
        <f>'Pairings NB'!E932&amp;"/"&amp;'Pairings NB'!E933</f>
        <v/>
      </c>
      <c r="E207" s="10">
        <f>'Pairings NB'!F932&amp;"-"&amp;'Pairings NB'!G932&amp;"-"&amp;'Pairings NB'!F932</f>
        <v/>
      </c>
      <c r="F207" s="10">
        <f>IFERROR(VLOOKUP('Pairings NB'!$M$932,Instructores!$A:$C,2,FALSE),"")</f>
        <v/>
      </c>
      <c r="G207" s="10">
        <f>'Pairings NB'!$M$932</f>
        <v/>
      </c>
      <c r="H207" s="10">
        <f>'Pairings NB'!$O$932</f>
        <v/>
      </c>
      <c r="I207" s="10">
        <f>'Pairings NB'!J932</f>
        <v/>
      </c>
      <c r="J207" s="10">
        <f>IFERROR(VLOOKUP('Pairings NB'!$M$932,Instructores!$A:$C,3,FALSE),"")</f>
        <v/>
      </c>
      <c r="K207" s="10">
        <f>IF('Pairings NB'!J932=320,4,3)</f>
        <v/>
      </c>
    </row>
    <row r="208">
      <c r="A208" s="10">
        <f>'Pairings NB'!B937</f>
        <v/>
      </c>
      <c r="B208" s="10">
        <f>'Pairings NB'!C937</f>
        <v/>
      </c>
      <c r="C208" s="10">
        <f>'Pairings NB'!D937</f>
        <v/>
      </c>
      <c r="D208" s="10">
        <f>'Pairings NB'!E937&amp;"/"&amp;'Pairings NB'!E938</f>
        <v/>
      </c>
      <c r="E208" s="10">
        <f>'Pairings NB'!F937&amp;"-"&amp;'Pairings NB'!G937&amp;"-"&amp;'Pairings NB'!F937</f>
        <v/>
      </c>
      <c r="F208" s="10">
        <f>IFERROR(VLOOKUP('Pairings NB'!$M$937,Instructores!$A:$C,2,FALSE),"")</f>
        <v/>
      </c>
      <c r="G208" s="10">
        <f>'Pairings NB'!$M$937</f>
        <v/>
      </c>
      <c r="H208" s="10">
        <f>'Pairings NB'!$O$937</f>
        <v/>
      </c>
      <c r="I208" s="10">
        <f>'Pairings NB'!J937</f>
        <v/>
      </c>
      <c r="J208" s="10">
        <f>IFERROR(VLOOKUP('Pairings NB'!$M$937,Instructores!$A:$C,3,FALSE),"")</f>
        <v/>
      </c>
      <c r="K208" s="10">
        <f>IF('Pairings NB'!J937=320,4,3)</f>
        <v/>
      </c>
    </row>
    <row r="209">
      <c r="A209" s="10">
        <f>'Pairings NB'!B942</f>
        <v/>
      </c>
      <c r="B209" s="10">
        <f>'Pairings NB'!C942</f>
        <v/>
      </c>
      <c r="C209" s="10">
        <f>'Pairings NB'!D942</f>
        <v/>
      </c>
      <c r="D209" s="10">
        <f>'Pairings NB'!E942&amp;"/"&amp;'Pairings NB'!E943</f>
        <v/>
      </c>
      <c r="E209" s="10">
        <f>'Pairings NB'!F942&amp;"-"&amp;'Pairings NB'!G942&amp;"-"&amp;'Pairings NB'!F942</f>
        <v/>
      </c>
      <c r="F209" s="10">
        <f>IFERROR(VLOOKUP('Pairings NB'!$M$942,Instructores!$A:$C,2,FALSE),"")</f>
        <v/>
      </c>
      <c r="G209" s="10">
        <f>'Pairings NB'!$M$942</f>
        <v/>
      </c>
      <c r="H209" s="10">
        <f>'Pairings NB'!$O$942</f>
        <v/>
      </c>
      <c r="I209" s="10">
        <f>'Pairings NB'!J942</f>
        <v/>
      </c>
      <c r="J209" s="10">
        <f>IFERROR(VLOOKUP('Pairings NB'!$M$942,Instructores!$A:$C,3,FALSE),"")</f>
        <v/>
      </c>
      <c r="K209" s="10">
        <f>IF('Pairings NB'!J942=320,4,3)</f>
        <v/>
      </c>
    </row>
    <row r="210">
      <c r="A210" s="10">
        <f>'Pairings NB'!B947</f>
        <v/>
      </c>
      <c r="B210" s="10">
        <f>'Pairings NB'!C947</f>
        <v/>
      </c>
      <c r="C210" s="10">
        <f>'Pairings NB'!D947</f>
        <v/>
      </c>
      <c r="D210" s="10">
        <f>'Pairings NB'!E947&amp;"/"&amp;'Pairings NB'!E948</f>
        <v/>
      </c>
      <c r="E210" s="10">
        <f>'Pairings NB'!F947&amp;"-"&amp;'Pairings NB'!G947&amp;"-"&amp;'Pairings NB'!F947</f>
        <v/>
      </c>
      <c r="F210" s="10">
        <f>IFERROR(VLOOKUP('Pairings NB'!$M$947,Instructores!$A:$C,2,FALSE),"")</f>
        <v/>
      </c>
      <c r="G210" s="10">
        <f>'Pairings NB'!$M$947</f>
        <v/>
      </c>
      <c r="H210" s="10">
        <f>'Pairings NB'!$O$947</f>
        <v/>
      </c>
      <c r="I210" s="10">
        <f>'Pairings NB'!J947</f>
        <v/>
      </c>
      <c r="J210" s="10">
        <f>IFERROR(VLOOKUP('Pairings NB'!$M$947,Instructores!$A:$C,3,FALSE),"")</f>
        <v/>
      </c>
      <c r="K210" s="10">
        <f>IF('Pairings NB'!J947=320,4,3)</f>
        <v/>
      </c>
    </row>
    <row r="211">
      <c r="A211" s="10">
        <f>'Pairings NB'!B952</f>
        <v/>
      </c>
      <c r="B211" s="10">
        <f>'Pairings NB'!C952</f>
        <v/>
      </c>
      <c r="C211" s="10">
        <f>'Pairings NB'!D952</f>
        <v/>
      </c>
      <c r="D211" s="10">
        <f>'Pairings NB'!E952&amp;"/"&amp;'Pairings NB'!E953</f>
        <v/>
      </c>
      <c r="E211" s="10">
        <f>'Pairings NB'!F952&amp;"-"&amp;'Pairings NB'!G952&amp;"-"&amp;'Pairings NB'!F952</f>
        <v/>
      </c>
      <c r="F211" s="10">
        <f>IFERROR(VLOOKUP('Pairings NB'!$M$952,Instructores!$A:$C,2,FALSE),"")</f>
        <v/>
      </c>
      <c r="G211" s="10">
        <f>'Pairings NB'!$M$952</f>
        <v/>
      </c>
      <c r="H211" s="10">
        <f>'Pairings NB'!$O$952</f>
        <v/>
      </c>
      <c r="I211" s="10">
        <f>'Pairings NB'!J952</f>
        <v/>
      </c>
      <c r="J211" s="10">
        <f>IFERROR(VLOOKUP('Pairings NB'!$M$952,Instructores!$A:$C,3,FALSE),"")</f>
        <v/>
      </c>
      <c r="K211" s="10">
        <f>IF('Pairings NB'!J952=320,4,3)</f>
        <v/>
      </c>
    </row>
    <row r="212">
      <c r="A212" s="10">
        <f>'Pairings NB'!B957</f>
        <v/>
      </c>
      <c r="B212" s="10">
        <f>'Pairings NB'!C957</f>
        <v/>
      </c>
      <c r="C212" s="10">
        <f>'Pairings NB'!D957</f>
        <v/>
      </c>
      <c r="D212" s="10">
        <f>'Pairings NB'!E957&amp;"/"&amp;'Pairings NB'!E958</f>
        <v/>
      </c>
      <c r="E212" s="10">
        <f>'Pairings NB'!F957&amp;"-"&amp;'Pairings NB'!G957&amp;"-"&amp;'Pairings NB'!F957</f>
        <v/>
      </c>
      <c r="F212" s="10">
        <f>IFERROR(VLOOKUP('Pairings NB'!$M$957,Instructores!$A:$C,2,FALSE),"")</f>
        <v/>
      </c>
      <c r="G212" s="10">
        <f>'Pairings NB'!$M$957</f>
        <v/>
      </c>
      <c r="H212" s="10">
        <f>'Pairings NB'!$O$957</f>
        <v/>
      </c>
      <c r="I212" s="10">
        <f>'Pairings NB'!J957</f>
        <v/>
      </c>
      <c r="J212" s="10">
        <f>IFERROR(VLOOKUP('Pairings NB'!$M$957,Instructores!$A:$C,3,FALSE),"")</f>
        <v/>
      </c>
      <c r="K212" s="10">
        <f>IF('Pairings NB'!J957=320,4,3)</f>
        <v/>
      </c>
    </row>
    <row r="213">
      <c r="A213" s="10">
        <f>'Pairings NB'!B959</f>
        <v/>
      </c>
      <c r="B213" s="10">
        <f>'Pairings NB'!C959</f>
        <v/>
      </c>
      <c r="C213" s="10">
        <f>'Pairings NB'!D959</f>
        <v/>
      </c>
      <c r="D213" s="10">
        <f>'Pairings NB'!E959&amp;"/"&amp;'Pairings NB'!E960</f>
        <v/>
      </c>
      <c r="E213" s="10">
        <f>'Pairings NB'!F959&amp;"-"&amp;'Pairings NB'!G959&amp;"-"&amp;'Pairings NB'!F959</f>
        <v/>
      </c>
      <c r="F213" s="10">
        <f>IFERROR(VLOOKUP('Pairings NB'!$M$957,Instructores!$A:$C,2,FALSE),"")</f>
        <v/>
      </c>
      <c r="G213" s="10">
        <f>'Pairings NB'!$M$957</f>
        <v/>
      </c>
      <c r="H213" s="10">
        <f>'Pairings NB'!$O$957</f>
        <v/>
      </c>
      <c r="I213" s="10">
        <f>'Pairings NB'!J959</f>
        <v/>
      </c>
      <c r="J213" s="10">
        <f>IFERROR(VLOOKUP('Pairings NB'!$M$957,Instructores!$A:$C,3,FALSE),"")</f>
        <v/>
      </c>
      <c r="K213" s="10">
        <f>IF('Pairings NB'!J959=320,4,3)</f>
        <v/>
      </c>
    </row>
    <row r="214">
      <c r="A214" s="10">
        <f>'Pairings NB'!B964</f>
        <v/>
      </c>
      <c r="B214" s="10">
        <f>'Pairings NB'!C964</f>
        <v/>
      </c>
      <c r="C214" s="10">
        <f>'Pairings NB'!D964</f>
        <v/>
      </c>
      <c r="D214" s="10">
        <f>'Pairings NB'!E964&amp;"/"&amp;'Pairings NB'!E965</f>
        <v/>
      </c>
      <c r="E214" s="10">
        <f>'Pairings NB'!F964&amp;"-"&amp;'Pairings NB'!G964&amp;"-"&amp;'Pairings NB'!F964</f>
        <v/>
      </c>
      <c r="F214" s="10">
        <f>IFERROR(VLOOKUP('Pairings NB'!$M$964,Instructores!$A:$C,2,FALSE),"")</f>
        <v/>
      </c>
      <c r="G214" s="10">
        <f>'Pairings NB'!$M$964</f>
        <v/>
      </c>
      <c r="H214" s="10">
        <f>'Pairings NB'!$O$964</f>
        <v/>
      </c>
      <c r="I214" s="10">
        <f>'Pairings NB'!J964</f>
        <v/>
      </c>
      <c r="J214" s="10">
        <f>IFERROR(VLOOKUP('Pairings NB'!$M$964,Instructores!$A:$C,3,FALSE),"")</f>
        <v/>
      </c>
      <c r="K214" s="10">
        <f>IF('Pairings NB'!J964=320,4,3)</f>
        <v/>
      </c>
    </row>
    <row r="215">
      <c r="A215" s="10">
        <f>'Pairings NB'!B966</f>
        <v/>
      </c>
      <c r="B215" s="10">
        <f>'Pairings NB'!C966</f>
        <v/>
      </c>
      <c r="C215" s="10">
        <f>'Pairings NB'!D966</f>
        <v/>
      </c>
      <c r="D215" s="10">
        <f>'Pairings NB'!E966&amp;"/"&amp;'Pairings NB'!E967</f>
        <v/>
      </c>
      <c r="E215" s="10">
        <f>'Pairings NB'!F966&amp;"-"&amp;'Pairings NB'!G966&amp;"-"&amp;'Pairings NB'!F966</f>
        <v/>
      </c>
      <c r="F215" s="10">
        <f>IFERROR(VLOOKUP('Pairings NB'!$M$964,Instructores!$A:$C,2,FALSE),"")</f>
        <v/>
      </c>
      <c r="G215" s="10">
        <f>'Pairings NB'!$M$964</f>
        <v/>
      </c>
      <c r="H215" s="10">
        <f>'Pairings NB'!$O$964</f>
        <v/>
      </c>
      <c r="I215" s="10">
        <f>'Pairings NB'!J966</f>
        <v/>
      </c>
      <c r="J215" s="10">
        <f>IFERROR(VLOOKUP('Pairings NB'!$M$964,Instructores!$A:$C,3,FALSE),"")</f>
        <v/>
      </c>
      <c r="K215" s="10">
        <f>IF('Pairings NB'!J966=320,4,3)</f>
        <v/>
      </c>
    </row>
    <row r="216">
      <c r="A216" s="10">
        <f>'Pairings NB'!B971</f>
        <v/>
      </c>
      <c r="B216" s="10">
        <f>'Pairings NB'!C971</f>
        <v/>
      </c>
      <c r="C216" s="10">
        <f>'Pairings NB'!D971</f>
        <v/>
      </c>
      <c r="D216" s="10">
        <f>'Pairings NB'!E971&amp;"/"&amp;'Pairings NB'!E972</f>
        <v/>
      </c>
      <c r="E216" s="10">
        <f>'Pairings NB'!F971&amp;"-"&amp;'Pairings NB'!G971&amp;"-"&amp;'Pairings NB'!F971</f>
        <v/>
      </c>
      <c r="F216" s="10">
        <f>IFERROR(VLOOKUP('Pairings NB'!$M$971,Instructores!$A:$C,2,FALSE),"")</f>
        <v/>
      </c>
      <c r="G216" s="10">
        <f>'Pairings NB'!$M$971</f>
        <v/>
      </c>
      <c r="H216" s="10">
        <f>'Pairings NB'!$O$971</f>
        <v/>
      </c>
      <c r="I216" s="10">
        <f>'Pairings NB'!J971</f>
        <v/>
      </c>
      <c r="J216" s="10">
        <f>IFERROR(VLOOKUP('Pairings NB'!$M$971,Instructores!$A:$C,3,FALSE),"")</f>
        <v/>
      </c>
      <c r="K216" s="10">
        <f>IF('Pairings NB'!J971=320,4,3)</f>
        <v/>
      </c>
    </row>
    <row r="217">
      <c r="A217" s="10">
        <f>'Pairings NB'!B973</f>
        <v/>
      </c>
      <c r="B217" s="10">
        <f>'Pairings NB'!C973</f>
        <v/>
      </c>
      <c r="C217" s="10">
        <f>'Pairings NB'!D973</f>
        <v/>
      </c>
      <c r="D217" s="10">
        <f>'Pairings NB'!E973&amp;"/"&amp;'Pairings NB'!E974</f>
        <v/>
      </c>
      <c r="E217" s="10">
        <f>'Pairings NB'!F973&amp;"-"&amp;'Pairings NB'!G973&amp;"-"&amp;'Pairings NB'!F973</f>
        <v/>
      </c>
      <c r="F217" s="10">
        <f>IFERROR(VLOOKUP('Pairings NB'!$M$971,Instructores!$A:$C,2,FALSE),"")</f>
        <v/>
      </c>
      <c r="G217" s="10">
        <f>'Pairings NB'!$M$971</f>
        <v/>
      </c>
      <c r="H217" s="10">
        <f>'Pairings NB'!$O$971</f>
        <v/>
      </c>
      <c r="I217" s="10">
        <f>'Pairings NB'!J973</f>
        <v/>
      </c>
      <c r="J217" s="10">
        <f>IFERROR(VLOOKUP('Pairings NB'!$M$971,Instructores!$A:$C,3,FALSE),"")</f>
        <v/>
      </c>
      <c r="K217" s="10">
        <f>IF('Pairings NB'!J973=320,4,3)</f>
        <v/>
      </c>
    </row>
    <row r="218">
      <c r="A218" s="10">
        <f>'Pairings NB'!B978</f>
        <v/>
      </c>
      <c r="B218" s="10">
        <f>'Pairings NB'!C978</f>
        <v/>
      </c>
      <c r="C218" s="10">
        <f>'Pairings NB'!D978</f>
        <v/>
      </c>
      <c r="D218" s="10">
        <f>'Pairings NB'!E978&amp;"/"&amp;'Pairings NB'!E979</f>
        <v/>
      </c>
      <c r="E218" s="10">
        <f>'Pairings NB'!F978&amp;"-"&amp;'Pairings NB'!G978&amp;"-"&amp;'Pairings NB'!F978</f>
        <v/>
      </c>
      <c r="F218" s="10">
        <f>IFERROR(VLOOKUP('Pairings NB'!$M$978,Instructores!$A:$C,2,FALSE),"")</f>
        <v/>
      </c>
      <c r="G218" s="10">
        <f>'Pairings NB'!$M$978</f>
        <v/>
      </c>
      <c r="H218" s="10">
        <f>'Pairings NB'!$O$978</f>
        <v/>
      </c>
      <c r="I218" s="10">
        <f>'Pairings NB'!J978</f>
        <v/>
      </c>
      <c r="J218" s="10">
        <f>IFERROR(VLOOKUP('Pairings NB'!$M$978,Instructores!$A:$C,3,FALSE),"")</f>
        <v/>
      </c>
      <c r="K218" s="10">
        <f>IF('Pairings NB'!J978=320,4,3)</f>
        <v/>
      </c>
    </row>
    <row r="219">
      <c r="A219" s="10">
        <f>'Pairings NB'!B983</f>
        <v/>
      </c>
      <c r="B219" s="10">
        <f>'Pairings NB'!C983</f>
        <v/>
      </c>
      <c r="C219" s="10">
        <f>'Pairings NB'!D983</f>
        <v/>
      </c>
      <c r="D219" s="10">
        <f>'Pairings NB'!E983&amp;"/"&amp;'Pairings NB'!E984</f>
        <v/>
      </c>
      <c r="E219" s="10">
        <f>'Pairings NB'!F983&amp;"-"&amp;'Pairings NB'!G983&amp;"-"&amp;'Pairings NB'!F983</f>
        <v/>
      </c>
      <c r="F219" s="10">
        <f>IFERROR(VLOOKUP('Pairings NB'!$M$983,Instructores!$A:$C,2,FALSE),"")</f>
        <v/>
      </c>
      <c r="G219" s="10">
        <f>'Pairings NB'!$M$983</f>
        <v/>
      </c>
      <c r="H219" s="10">
        <f>'Pairings NB'!$O$983</f>
        <v/>
      </c>
      <c r="I219" s="10">
        <f>'Pairings NB'!J983</f>
        <v/>
      </c>
      <c r="J219" s="10">
        <f>IFERROR(VLOOKUP('Pairings NB'!$M$983,Instructores!$A:$C,3,FALSE),"")</f>
        <v/>
      </c>
      <c r="K219" s="10">
        <f>IF('Pairings NB'!J983=320,4,3)</f>
        <v/>
      </c>
    </row>
    <row r="220">
      <c r="A220" s="10">
        <f>'Pairings NB'!B985</f>
        <v/>
      </c>
      <c r="B220" s="10">
        <f>'Pairings NB'!C985</f>
        <v/>
      </c>
      <c r="C220" s="10">
        <f>'Pairings NB'!D985</f>
        <v/>
      </c>
      <c r="D220" s="10">
        <f>'Pairings NB'!E985&amp;"/"&amp;'Pairings NB'!E986</f>
        <v/>
      </c>
      <c r="E220" s="10">
        <f>'Pairings NB'!F985&amp;"-"&amp;'Pairings NB'!G985&amp;"-"&amp;'Pairings NB'!F985</f>
        <v/>
      </c>
      <c r="F220" s="10">
        <f>IFERROR(VLOOKUP('Pairings NB'!$M$983,Instructores!$A:$C,2,FALSE),"")</f>
        <v/>
      </c>
      <c r="G220" s="10">
        <f>'Pairings NB'!$M$983</f>
        <v/>
      </c>
      <c r="H220" s="10">
        <f>'Pairings NB'!$O$983</f>
        <v/>
      </c>
      <c r="I220" s="10">
        <f>'Pairings NB'!J985</f>
        <v/>
      </c>
      <c r="J220" s="10">
        <f>IFERROR(VLOOKUP('Pairings NB'!$M$983,Instructores!$A:$C,3,FALSE),"")</f>
        <v/>
      </c>
      <c r="K220" s="10">
        <f>IF('Pairings NB'!J985=320,4,3)</f>
        <v/>
      </c>
    </row>
    <row r="221">
      <c r="A221" s="10">
        <f>'Pairings NB'!B990</f>
        <v/>
      </c>
      <c r="B221" s="10">
        <f>'Pairings NB'!C990</f>
        <v/>
      </c>
      <c r="C221" s="10">
        <f>'Pairings NB'!D990</f>
        <v/>
      </c>
      <c r="D221" s="10">
        <f>'Pairings NB'!E990&amp;"/"&amp;'Pairings NB'!E991</f>
        <v/>
      </c>
      <c r="E221" s="10">
        <f>'Pairings NB'!F990&amp;"-"&amp;'Pairings NB'!G990&amp;"-"&amp;'Pairings NB'!F990</f>
        <v/>
      </c>
      <c r="F221" s="10">
        <f>IFERROR(VLOOKUP('Pairings NB'!$M$990,Instructores!$A:$C,2,FALSE),"")</f>
        <v/>
      </c>
      <c r="G221" s="10">
        <f>'Pairings NB'!$M$990</f>
        <v/>
      </c>
      <c r="H221" s="10">
        <f>'Pairings NB'!$O$990</f>
        <v/>
      </c>
      <c r="I221" s="10">
        <f>'Pairings NB'!J990</f>
        <v/>
      </c>
      <c r="J221" s="10">
        <f>IFERROR(VLOOKUP('Pairings NB'!$M$990,Instructores!$A:$C,3,FALSE),"")</f>
        <v/>
      </c>
      <c r="K221" s="10">
        <f>IF('Pairings NB'!J990=320,4,3)</f>
        <v/>
      </c>
    </row>
    <row r="222">
      <c r="A222" s="10">
        <f>'Pairings NB'!B995</f>
        <v/>
      </c>
      <c r="B222" s="10">
        <f>'Pairings NB'!C995</f>
        <v/>
      </c>
      <c r="C222" s="10">
        <f>'Pairings NB'!D995</f>
        <v/>
      </c>
      <c r="D222" s="10">
        <f>'Pairings NB'!E995&amp;"/"&amp;'Pairings NB'!E996</f>
        <v/>
      </c>
      <c r="E222" s="10">
        <f>'Pairings NB'!F995&amp;"-"&amp;'Pairings NB'!G995&amp;"-"&amp;'Pairings NB'!F995</f>
        <v/>
      </c>
      <c r="F222" s="10">
        <f>IFERROR(VLOOKUP('Pairings NB'!$M$995,Instructores!$A:$C,2,FALSE),"")</f>
        <v/>
      </c>
      <c r="G222" s="10">
        <f>'Pairings NB'!$M$995</f>
        <v/>
      </c>
      <c r="H222" s="10">
        <f>'Pairings NB'!$O$995</f>
        <v/>
      </c>
      <c r="I222" s="10">
        <f>'Pairings NB'!J995</f>
        <v/>
      </c>
      <c r="J222" s="10">
        <f>IFERROR(VLOOKUP('Pairings NB'!$M$995,Instructores!$A:$C,3,FALSE),"")</f>
        <v/>
      </c>
      <c r="K222" s="10">
        <f>IF('Pairings NB'!J995=320,4,3)</f>
        <v/>
      </c>
    </row>
    <row r="223">
      <c r="A223" s="10">
        <f>'Pairings NB'!B997</f>
        <v/>
      </c>
      <c r="B223" s="10">
        <f>'Pairings NB'!C997</f>
        <v/>
      </c>
      <c r="C223" s="10">
        <f>'Pairings NB'!D997</f>
        <v/>
      </c>
      <c r="D223" s="10">
        <f>'Pairings NB'!E997&amp;"/"&amp;'Pairings NB'!E998</f>
        <v/>
      </c>
      <c r="E223" s="10">
        <f>'Pairings NB'!F997&amp;"-"&amp;'Pairings NB'!G997&amp;"-"&amp;'Pairings NB'!F997</f>
        <v/>
      </c>
      <c r="F223" s="10">
        <f>IFERROR(VLOOKUP('Pairings NB'!$M$995,Instructores!$A:$C,2,FALSE),"")</f>
        <v/>
      </c>
      <c r="G223" s="10">
        <f>'Pairings NB'!$M$995</f>
        <v/>
      </c>
      <c r="H223" s="10">
        <f>'Pairings NB'!$O$995</f>
        <v/>
      </c>
      <c r="I223" s="10">
        <f>'Pairings NB'!J997</f>
        <v/>
      </c>
      <c r="J223" s="10">
        <f>IFERROR(VLOOKUP('Pairings NB'!$M$995,Instructores!$A:$C,3,FALSE),"")</f>
        <v/>
      </c>
      <c r="K223" s="10">
        <f>IF('Pairings NB'!J997=320,4,3)</f>
        <v/>
      </c>
    </row>
    <row r="224">
      <c r="A224" s="10">
        <f>'Pairings NB'!B1002</f>
        <v/>
      </c>
      <c r="B224" s="10">
        <f>'Pairings NB'!C1002</f>
        <v/>
      </c>
      <c r="C224" s="10">
        <f>'Pairings NB'!D1002</f>
        <v/>
      </c>
      <c r="D224" s="10">
        <f>'Pairings NB'!E1002&amp;"/"&amp;'Pairings NB'!E1003</f>
        <v/>
      </c>
      <c r="E224" s="10">
        <f>'Pairings NB'!F1002&amp;"-"&amp;'Pairings NB'!G1002&amp;"-"&amp;'Pairings NB'!F1002</f>
        <v/>
      </c>
      <c r="F224" s="10">
        <f>IFERROR(VLOOKUP('Pairings NB'!$M$1002,Instructores!$A:$C,2,FALSE),"")</f>
        <v/>
      </c>
      <c r="G224" s="10">
        <f>'Pairings NB'!$M$1002</f>
        <v/>
      </c>
      <c r="H224" s="10">
        <f>'Pairings NB'!$O$1002</f>
        <v/>
      </c>
      <c r="I224" s="10">
        <f>'Pairings NB'!J1002</f>
        <v/>
      </c>
      <c r="J224" s="10">
        <f>IFERROR(VLOOKUP('Pairings NB'!$M$1002,Instructores!$A:$C,3,FALSE),"")</f>
        <v/>
      </c>
      <c r="K224" s="10">
        <f>IF('Pairings NB'!J1002=320,4,3)</f>
        <v/>
      </c>
    </row>
    <row r="225">
      <c r="A225" s="10">
        <f>'Pairings NB'!B1007</f>
        <v/>
      </c>
      <c r="B225" s="10">
        <f>'Pairings NB'!C1007</f>
        <v/>
      </c>
      <c r="C225" s="10">
        <f>'Pairings NB'!D1007</f>
        <v/>
      </c>
      <c r="D225" s="10">
        <f>'Pairings NB'!E1007&amp;"/"&amp;'Pairings NB'!E1008</f>
        <v/>
      </c>
      <c r="E225" s="10">
        <f>'Pairings NB'!F1007&amp;"-"&amp;'Pairings NB'!G1007&amp;"-"&amp;'Pairings NB'!F1007</f>
        <v/>
      </c>
      <c r="F225" s="10">
        <f>IFERROR(VLOOKUP('Pairings NB'!$M$1007,Instructores!$A:$C,2,FALSE),"")</f>
        <v/>
      </c>
      <c r="G225" s="10">
        <f>'Pairings NB'!$M$1007</f>
        <v/>
      </c>
      <c r="H225" s="10">
        <f>'Pairings NB'!$O$1007</f>
        <v/>
      </c>
      <c r="I225" s="10">
        <f>'Pairings NB'!J1007</f>
        <v/>
      </c>
      <c r="J225" s="10">
        <f>IFERROR(VLOOKUP('Pairings NB'!$M$1007,Instructores!$A:$C,3,FALSE),"")</f>
        <v/>
      </c>
      <c r="K225" s="10">
        <f>IF('Pairings NB'!J1007=320,4,3)</f>
        <v/>
      </c>
    </row>
    <row r="226">
      <c r="A226" s="10">
        <f>'Pairings NB'!B1012</f>
        <v/>
      </c>
      <c r="B226" s="10">
        <f>'Pairings NB'!C1012</f>
        <v/>
      </c>
      <c r="C226" s="10">
        <f>'Pairings NB'!D1012</f>
        <v/>
      </c>
      <c r="D226" s="10">
        <f>'Pairings NB'!E1012&amp;"/"&amp;'Pairings NB'!E1013</f>
        <v/>
      </c>
      <c r="E226" s="10">
        <f>'Pairings NB'!F1012&amp;"-"&amp;'Pairings NB'!G1012&amp;"-"&amp;'Pairings NB'!F1012</f>
        <v/>
      </c>
      <c r="F226" s="10">
        <f>IFERROR(VLOOKUP('Pairings NB'!$M$1012,Instructores!$A:$C,2,FALSE),"")</f>
        <v/>
      </c>
      <c r="G226" s="10">
        <f>'Pairings NB'!$M$1012</f>
        <v/>
      </c>
      <c r="H226" s="10">
        <f>'Pairings NB'!$O$1012</f>
        <v/>
      </c>
      <c r="I226" s="10">
        <f>'Pairings NB'!J1012</f>
        <v/>
      </c>
      <c r="J226" s="10">
        <f>IFERROR(VLOOKUP('Pairings NB'!$M$1012,Instructores!$A:$C,3,FALSE),"")</f>
        <v/>
      </c>
      <c r="K226" s="10">
        <f>IF('Pairings NB'!J1012=320,4,3)</f>
        <v/>
      </c>
    </row>
    <row r="227">
      <c r="A227" s="10">
        <f>'Pairings NB'!B1017</f>
        <v/>
      </c>
      <c r="B227" s="10">
        <f>'Pairings NB'!C1017</f>
        <v/>
      </c>
      <c r="C227" s="10">
        <f>'Pairings NB'!D1017</f>
        <v/>
      </c>
      <c r="D227" s="10">
        <f>'Pairings NB'!E1017&amp;"/"&amp;'Pairings NB'!E1018</f>
        <v/>
      </c>
      <c r="E227" s="10">
        <f>'Pairings NB'!F1017&amp;"-"&amp;'Pairings NB'!G1017&amp;"-"&amp;'Pairings NB'!F1017</f>
        <v/>
      </c>
      <c r="F227" s="10">
        <f>IFERROR(VLOOKUP('Pairings NB'!$M$1017,Instructores!$A:$C,2,FALSE),"")</f>
        <v/>
      </c>
      <c r="G227" s="10">
        <f>'Pairings NB'!$M$1017</f>
        <v/>
      </c>
      <c r="H227" s="10">
        <f>'Pairings NB'!$O$1017</f>
        <v/>
      </c>
      <c r="I227" s="10">
        <f>'Pairings NB'!J1017</f>
        <v/>
      </c>
      <c r="J227" s="10">
        <f>IFERROR(VLOOKUP('Pairings NB'!$M$1017,Instructores!$A:$C,3,FALSE),"")</f>
        <v/>
      </c>
      <c r="K227" s="10">
        <f>IF('Pairings NB'!J1017=320,4,3)</f>
        <v/>
      </c>
    </row>
    <row r="228">
      <c r="A228" s="10">
        <f>'Pairings NB'!B1022</f>
        <v/>
      </c>
      <c r="B228" s="10">
        <f>'Pairings NB'!C1022</f>
        <v/>
      </c>
      <c r="C228" s="10">
        <f>'Pairings NB'!D1022</f>
        <v/>
      </c>
      <c r="D228" s="10">
        <f>'Pairings NB'!E1022&amp;"/"&amp;'Pairings NB'!E1023</f>
        <v/>
      </c>
      <c r="E228" s="10">
        <f>'Pairings NB'!F1022&amp;"-"&amp;'Pairings NB'!G1022&amp;"-"&amp;'Pairings NB'!F1022</f>
        <v/>
      </c>
      <c r="F228" s="10">
        <f>IFERROR(VLOOKUP('Pairings NB'!$M$1022,Instructores!$A:$C,2,FALSE),"")</f>
        <v/>
      </c>
      <c r="G228" s="10">
        <f>'Pairings NB'!$M$1022</f>
        <v/>
      </c>
      <c r="H228" s="10">
        <f>'Pairings NB'!$O$1022</f>
        <v/>
      </c>
      <c r="I228" s="10">
        <f>'Pairings NB'!J1022</f>
        <v/>
      </c>
      <c r="J228" s="10">
        <f>IFERROR(VLOOKUP('Pairings NB'!$M$1022,Instructores!$A:$C,3,FALSE),"")</f>
        <v/>
      </c>
      <c r="K228" s="10">
        <f>IF('Pairings NB'!J1022=320,4,3)</f>
        <v/>
      </c>
    </row>
    <row r="229">
      <c r="A229" s="10">
        <f>'Pairings NB'!B1027</f>
        <v/>
      </c>
      <c r="B229" s="10">
        <f>'Pairings NB'!C1027</f>
        <v/>
      </c>
      <c r="C229" s="10">
        <f>'Pairings NB'!D1027</f>
        <v/>
      </c>
      <c r="D229" s="10">
        <f>'Pairings NB'!E1027&amp;"/"&amp;'Pairings NB'!E1028</f>
        <v/>
      </c>
      <c r="E229" s="10">
        <f>'Pairings NB'!F1027&amp;"-"&amp;'Pairings NB'!G1027&amp;"-"&amp;'Pairings NB'!F1027</f>
        <v/>
      </c>
      <c r="F229" s="10">
        <f>IFERROR(VLOOKUP('Pairings NB'!$M$1027,Instructores!$A:$C,2,FALSE),"")</f>
        <v/>
      </c>
      <c r="G229" s="10">
        <f>'Pairings NB'!$M$1027</f>
        <v/>
      </c>
      <c r="H229" s="10">
        <f>'Pairings NB'!$O$1027</f>
        <v/>
      </c>
      <c r="I229" s="10">
        <f>'Pairings NB'!J1027</f>
        <v/>
      </c>
      <c r="J229" s="10">
        <f>IFERROR(VLOOKUP('Pairings NB'!$M$1027,Instructores!$A:$C,3,FALSE),"")</f>
        <v/>
      </c>
      <c r="K229" s="10">
        <f>IF('Pairings NB'!J1027=320,4,3)</f>
        <v/>
      </c>
    </row>
    <row r="230">
      <c r="A230" s="10">
        <f>'Pairings NB'!B1032</f>
        <v/>
      </c>
      <c r="B230" s="10">
        <f>'Pairings NB'!C1032</f>
        <v/>
      </c>
      <c r="C230" s="10">
        <f>'Pairings NB'!D1032</f>
        <v/>
      </c>
      <c r="D230" s="10">
        <f>'Pairings NB'!E1032&amp;"/"&amp;'Pairings NB'!E1033</f>
        <v/>
      </c>
      <c r="E230" s="10">
        <f>'Pairings NB'!F1032&amp;"-"&amp;'Pairings NB'!G1032&amp;"-"&amp;'Pairings NB'!F1032</f>
        <v/>
      </c>
      <c r="F230" s="10">
        <f>IFERROR(VLOOKUP('Pairings NB'!$M$1032,Instructores!$A:$C,2,FALSE),"")</f>
        <v/>
      </c>
      <c r="G230" s="10">
        <f>'Pairings NB'!$M$1032</f>
        <v/>
      </c>
      <c r="H230" s="10">
        <f>'Pairings NB'!$O$1032</f>
        <v/>
      </c>
      <c r="I230" s="10">
        <f>'Pairings NB'!J1032</f>
        <v/>
      </c>
      <c r="J230" s="10">
        <f>IFERROR(VLOOKUP('Pairings NB'!$M$1032,Instructores!$A:$C,3,FALSE),"")</f>
        <v/>
      </c>
      <c r="K230" s="10">
        <f>IF('Pairings NB'!J1032=320,4,3)</f>
        <v/>
      </c>
    </row>
    <row r="231">
      <c r="A231" s="10">
        <f>'Pairings NB'!B1037</f>
        <v/>
      </c>
      <c r="B231" s="10">
        <f>'Pairings NB'!C1037</f>
        <v/>
      </c>
      <c r="C231" s="10">
        <f>'Pairings NB'!D1037</f>
        <v/>
      </c>
      <c r="D231" s="10">
        <f>'Pairings NB'!E1037&amp;"/"&amp;'Pairings NB'!E1038</f>
        <v/>
      </c>
      <c r="E231" s="10">
        <f>'Pairings NB'!F1037&amp;"-"&amp;'Pairings NB'!G1037&amp;"-"&amp;'Pairings NB'!F1037</f>
        <v/>
      </c>
      <c r="F231" s="10">
        <f>IFERROR(VLOOKUP('Pairings NB'!$M$1037,Instructores!$A:$C,2,FALSE),"")</f>
        <v/>
      </c>
      <c r="G231" s="10">
        <f>'Pairings NB'!$M$1037</f>
        <v/>
      </c>
      <c r="H231" s="10">
        <f>'Pairings NB'!$O$1037</f>
        <v/>
      </c>
      <c r="I231" s="10">
        <f>'Pairings NB'!J1037</f>
        <v/>
      </c>
      <c r="J231" s="10">
        <f>IFERROR(VLOOKUP('Pairings NB'!$M$1037,Instructores!$A:$C,3,FALSE),"")</f>
        <v/>
      </c>
      <c r="K231" s="10">
        <f>IF('Pairings NB'!J1037=320,4,3)</f>
        <v/>
      </c>
    </row>
    <row r="232">
      <c r="A232" s="10">
        <f>'Pairings NB'!B1042</f>
        <v/>
      </c>
      <c r="B232" s="10">
        <f>'Pairings NB'!C1042</f>
        <v/>
      </c>
      <c r="C232" s="10">
        <f>'Pairings NB'!D1042</f>
        <v/>
      </c>
      <c r="D232" s="10">
        <f>'Pairings NB'!E1042&amp;"/"&amp;'Pairings NB'!E1043</f>
        <v/>
      </c>
      <c r="E232" s="10">
        <f>'Pairings NB'!F1042&amp;"-"&amp;'Pairings NB'!G1042&amp;"-"&amp;'Pairings NB'!F1042</f>
        <v/>
      </c>
      <c r="F232" s="10">
        <f>IFERROR(VLOOKUP('Pairings NB'!$M$1042,Instructores!$A:$C,2,FALSE),"")</f>
        <v/>
      </c>
      <c r="G232" s="10">
        <f>'Pairings NB'!$M$1042</f>
        <v/>
      </c>
      <c r="H232" s="10">
        <f>'Pairings NB'!$O$1042</f>
        <v/>
      </c>
      <c r="I232" s="10">
        <f>'Pairings NB'!J1042</f>
        <v/>
      </c>
      <c r="J232" s="10">
        <f>IFERROR(VLOOKUP('Pairings NB'!$M$1042,Instructores!$A:$C,3,FALSE),"")</f>
        <v/>
      </c>
      <c r="K232" s="10">
        <f>IF('Pairings NB'!J1042=320,4,3)</f>
        <v/>
      </c>
    </row>
    <row r="233">
      <c r="A233" s="10">
        <f>'Pairings NB'!B1047</f>
        <v/>
      </c>
      <c r="B233" s="10">
        <f>'Pairings NB'!C1047</f>
        <v/>
      </c>
      <c r="C233" s="10">
        <f>'Pairings NB'!D1047</f>
        <v/>
      </c>
      <c r="D233" s="10">
        <f>'Pairings NB'!E1047&amp;"/"&amp;'Pairings NB'!E1048</f>
        <v/>
      </c>
      <c r="E233" s="10">
        <f>'Pairings NB'!F1047&amp;"-"&amp;'Pairings NB'!G1047&amp;"-"&amp;'Pairings NB'!F1047</f>
        <v/>
      </c>
      <c r="F233" s="10">
        <f>IFERROR(VLOOKUP('Pairings NB'!$M$1047,Instructores!$A:$C,2,FALSE),"")</f>
        <v/>
      </c>
      <c r="G233" s="10">
        <f>'Pairings NB'!$M$1047</f>
        <v/>
      </c>
      <c r="H233" s="10">
        <f>'Pairings NB'!$O$1047</f>
        <v/>
      </c>
      <c r="I233" s="10">
        <f>'Pairings NB'!J1047</f>
        <v/>
      </c>
      <c r="J233" s="10">
        <f>IFERROR(VLOOKUP('Pairings NB'!$M$1047,Instructores!$A:$C,3,FALSE),"")</f>
        <v/>
      </c>
      <c r="K233" s="10">
        <f>IF('Pairings NB'!J1047=320,4,3)</f>
        <v/>
      </c>
    </row>
    <row r="234">
      <c r="A234" s="10">
        <f>'Pairings NB'!B1052</f>
        <v/>
      </c>
      <c r="B234" s="10">
        <f>'Pairings NB'!C1052</f>
        <v/>
      </c>
      <c r="C234" s="10">
        <f>'Pairings NB'!D1052</f>
        <v/>
      </c>
      <c r="D234" s="10">
        <f>'Pairings NB'!E1052&amp;"/"&amp;'Pairings NB'!E1053</f>
        <v/>
      </c>
      <c r="E234" s="10">
        <f>'Pairings NB'!F1052&amp;"-"&amp;'Pairings NB'!G1052&amp;"-"&amp;'Pairings NB'!F1052</f>
        <v/>
      </c>
      <c r="F234" s="10">
        <f>IFERROR(VLOOKUP('Pairings NB'!$M$1052,Instructores!$A:$C,2,FALSE),"")</f>
        <v/>
      </c>
      <c r="G234" s="10">
        <f>'Pairings NB'!$M$1052</f>
        <v/>
      </c>
      <c r="H234" s="10">
        <f>'Pairings NB'!$O$1052</f>
        <v/>
      </c>
      <c r="I234" s="10">
        <f>'Pairings NB'!J1052</f>
        <v/>
      </c>
      <c r="J234" s="10">
        <f>IFERROR(VLOOKUP('Pairings NB'!$M$1052,Instructores!$A:$C,3,FALSE),"")</f>
        <v/>
      </c>
      <c r="K234" s="10">
        <f>IF('Pairings NB'!J1052=320,4,3)</f>
        <v/>
      </c>
    </row>
    <row r="235">
      <c r="A235" s="10">
        <f>'Pairings NB'!B1057</f>
        <v/>
      </c>
      <c r="B235" s="10">
        <f>'Pairings NB'!C1057</f>
        <v/>
      </c>
      <c r="C235" s="10">
        <f>'Pairings NB'!D1057</f>
        <v/>
      </c>
      <c r="D235" s="10">
        <f>'Pairings NB'!E1057&amp;"/"&amp;'Pairings NB'!E1058</f>
        <v/>
      </c>
      <c r="E235" s="10">
        <f>'Pairings NB'!F1057&amp;"-"&amp;'Pairings NB'!G1057&amp;"-"&amp;'Pairings NB'!F1057</f>
        <v/>
      </c>
      <c r="F235" s="10">
        <f>IFERROR(VLOOKUP('Pairings NB'!$M$1057,Instructores!$A:$C,2,FALSE),"")</f>
        <v/>
      </c>
      <c r="G235" s="10">
        <f>'Pairings NB'!$M$1057</f>
        <v/>
      </c>
      <c r="H235" s="10">
        <f>'Pairings NB'!$O$1057</f>
        <v/>
      </c>
      <c r="I235" s="10">
        <f>'Pairings NB'!J1057</f>
        <v/>
      </c>
      <c r="J235" s="10">
        <f>IFERROR(VLOOKUP('Pairings NB'!$M$1057,Instructores!$A:$C,3,FALSE),"")</f>
        <v/>
      </c>
      <c r="K235" s="10">
        <f>IF('Pairings NB'!J1057=320,4,3)</f>
        <v/>
      </c>
    </row>
    <row r="236">
      <c r="A236" s="10">
        <f>'Pairings NB'!B1059</f>
        <v/>
      </c>
      <c r="B236" s="10">
        <f>'Pairings NB'!C1059</f>
        <v/>
      </c>
      <c r="C236" s="10">
        <f>'Pairings NB'!D1059</f>
        <v/>
      </c>
      <c r="D236" s="10">
        <f>'Pairings NB'!E1059&amp;"/"&amp;'Pairings NB'!E1060</f>
        <v/>
      </c>
      <c r="E236" s="10">
        <f>'Pairings NB'!F1059&amp;"-"&amp;'Pairings NB'!G1059&amp;"-"&amp;'Pairings NB'!F1059</f>
        <v/>
      </c>
      <c r="F236" s="10">
        <f>IFERROR(VLOOKUP('Pairings NB'!$M$1057,Instructores!$A:$C,2,FALSE),"")</f>
        <v/>
      </c>
      <c r="G236" s="10">
        <f>'Pairings NB'!$M$1057</f>
        <v/>
      </c>
      <c r="H236" s="10">
        <f>'Pairings NB'!$O$1057</f>
        <v/>
      </c>
      <c r="I236" s="10">
        <f>'Pairings NB'!J1059</f>
        <v/>
      </c>
      <c r="J236" s="10">
        <f>IFERROR(VLOOKUP('Pairings NB'!$M$1057,Instructores!$A:$C,3,FALSE),"")</f>
        <v/>
      </c>
      <c r="K236" s="10">
        <f>IF('Pairings NB'!J1059=320,4,3)</f>
        <v/>
      </c>
    </row>
    <row r="237">
      <c r="A237" s="10">
        <f>'Pairings NB'!B1064</f>
        <v/>
      </c>
      <c r="B237" s="10">
        <f>'Pairings NB'!C1064</f>
        <v/>
      </c>
      <c r="C237" s="10">
        <f>'Pairings NB'!D1064</f>
        <v/>
      </c>
      <c r="D237" s="10">
        <f>'Pairings NB'!E1064&amp;"/"&amp;'Pairings NB'!E1065</f>
        <v/>
      </c>
      <c r="E237" s="10">
        <f>'Pairings NB'!F1064&amp;"-"&amp;'Pairings NB'!G1064&amp;"-"&amp;'Pairings NB'!F1064</f>
        <v/>
      </c>
      <c r="F237" s="10">
        <f>IFERROR(VLOOKUP('Pairings NB'!$M$1064,Instructores!$A:$C,2,FALSE),"")</f>
        <v/>
      </c>
      <c r="G237" s="10">
        <f>'Pairings NB'!$M$1064</f>
        <v/>
      </c>
      <c r="H237" s="10">
        <f>'Pairings NB'!$O$1064</f>
        <v/>
      </c>
      <c r="I237" s="10">
        <f>'Pairings NB'!J1064</f>
        <v/>
      </c>
      <c r="J237" s="10">
        <f>IFERROR(VLOOKUP('Pairings NB'!$M$1064,Instructores!$A:$C,3,FALSE),"")</f>
        <v/>
      </c>
      <c r="K237" s="10">
        <f>IF('Pairings NB'!J1064=320,4,3)</f>
        <v/>
      </c>
    </row>
    <row r="238">
      <c r="A238" s="10">
        <f>'Pairings NB'!B1066</f>
        <v/>
      </c>
      <c r="B238" s="10">
        <f>'Pairings NB'!C1066</f>
        <v/>
      </c>
      <c r="C238" s="10">
        <f>'Pairings NB'!D1066</f>
        <v/>
      </c>
      <c r="D238" s="10">
        <f>'Pairings NB'!E1066&amp;"/"&amp;'Pairings NB'!E1067</f>
        <v/>
      </c>
      <c r="E238" s="10">
        <f>'Pairings NB'!F1066&amp;"-"&amp;'Pairings NB'!G1066&amp;"-"&amp;'Pairings NB'!F1066</f>
        <v/>
      </c>
      <c r="F238" s="10">
        <f>IFERROR(VLOOKUP('Pairings NB'!$M$1064,Instructores!$A:$C,2,FALSE),"")</f>
        <v/>
      </c>
      <c r="G238" s="10">
        <f>'Pairings NB'!$M$1064</f>
        <v/>
      </c>
      <c r="H238" s="10">
        <f>'Pairings NB'!$O$1064</f>
        <v/>
      </c>
      <c r="I238" s="10">
        <f>'Pairings NB'!J1066</f>
        <v/>
      </c>
      <c r="J238" s="10">
        <f>IFERROR(VLOOKUP('Pairings NB'!$M$1064,Instructores!$A:$C,3,FALSE),"")</f>
        <v/>
      </c>
      <c r="K238" s="10">
        <f>IF('Pairings NB'!J1066=320,4,3)</f>
        <v/>
      </c>
    </row>
    <row r="239">
      <c r="A239" s="10">
        <f>'Pairings NB'!B1071</f>
        <v/>
      </c>
      <c r="B239" s="10">
        <f>'Pairings NB'!C1071</f>
        <v/>
      </c>
      <c r="C239" s="10">
        <f>'Pairings NB'!D1071</f>
        <v/>
      </c>
      <c r="D239" s="10">
        <f>'Pairings NB'!E1071&amp;"/"&amp;'Pairings NB'!E1072</f>
        <v/>
      </c>
      <c r="E239" s="10">
        <f>'Pairings NB'!F1071&amp;"-"&amp;'Pairings NB'!G1071&amp;"-"&amp;'Pairings NB'!F1071</f>
        <v/>
      </c>
      <c r="F239" s="10">
        <f>IFERROR(VLOOKUP('Pairings NB'!$M$1071,Instructores!$A:$C,2,FALSE),"")</f>
        <v/>
      </c>
      <c r="G239" s="10">
        <f>'Pairings NB'!$M$1071</f>
        <v/>
      </c>
      <c r="H239" s="10">
        <f>'Pairings NB'!$O$1071</f>
        <v/>
      </c>
      <c r="I239" s="10">
        <f>'Pairings NB'!J1071</f>
        <v/>
      </c>
      <c r="J239" s="10">
        <f>IFERROR(VLOOKUP('Pairings NB'!$M$1071,Instructores!$A:$C,3,FALSE),"")</f>
        <v/>
      </c>
      <c r="K239" s="10">
        <f>IF('Pairings NB'!J1071=320,4,3)</f>
        <v/>
      </c>
    </row>
    <row r="240">
      <c r="A240" s="10">
        <f>'Pairings NB'!B1073</f>
        <v/>
      </c>
      <c r="B240" s="10">
        <f>'Pairings NB'!C1073</f>
        <v/>
      </c>
      <c r="C240" s="10">
        <f>'Pairings NB'!D1073</f>
        <v/>
      </c>
      <c r="D240" s="10">
        <f>'Pairings NB'!E1073&amp;"/"&amp;'Pairings NB'!E1074</f>
        <v/>
      </c>
      <c r="E240" s="10">
        <f>'Pairings NB'!F1073&amp;"-"&amp;'Pairings NB'!G1073&amp;"-"&amp;'Pairings NB'!F1073</f>
        <v/>
      </c>
      <c r="F240" s="10">
        <f>IFERROR(VLOOKUP('Pairings NB'!$M$1071,Instructores!$A:$C,2,FALSE),"")</f>
        <v/>
      </c>
      <c r="G240" s="10">
        <f>'Pairings NB'!$M$1071</f>
        <v/>
      </c>
      <c r="H240" s="10">
        <f>'Pairings NB'!$O$1071</f>
        <v/>
      </c>
      <c r="I240" s="10">
        <f>'Pairings NB'!J1073</f>
        <v/>
      </c>
      <c r="J240" s="10">
        <f>IFERROR(VLOOKUP('Pairings NB'!$M$1071,Instructores!$A:$C,3,FALSE),"")</f>
        <v/>
      </c>
      <c r="K240" s="10">
        <f>IF('Pairings NB'!J1073=320,4,3)</f>
        <v/>
      </c>
    </row>
    <row r="241">
      <c r="A241" s="10">
        <f>'Pairings NB'!B1078</f>
        <v/>
      </c>
      <c r="B241" s="10">
        <f>'Pairings NB'!C1078</f>
        <v/>
      </c>
      <c r="C241" s="10">
        <f>'Pairings NB'!D1078</f>
        <v/>
      </c>
      <c r="D241" s="10">
        <f>'Pairings NB'!E1078&amp;"/"&amp;'Pairings NB'!E1079</f>
        <v/>
      </c>
      <c r="E241" s="10">
        <f>'Pairings NB'!F1078&amp;"-"&amp;'Pairings NB'!G1078&amp;"-"&amp;'Pairings NB'!F1078</f>
        <v/>
      </c>
      <c r="F241" s="10">
        <f>IFERROR(VLOOKUP('Pairings NB'!$M$1078,Instructores!$A:$C,2,FALSE),"")</f>
        <v/>
      </c>
      <c r="G241" s="10">
        <f>'Pairings NB'!$M$1078</f>
        <v/>
      </c>
      <c r="H241" s="10">
        <f>'Pairings NB'!$O$1078</f>
        <v/>
      </c>
      <c r="I241" s="10">
        <f>'Pairings NB'!J1078</f>
        <v/>
      </c>
      <c r="J241" s="10">
        <f>IFERROR(VLOOKUP('Pairings NB'!$M$1078,Instructores!$A:$C,3,FALSE),"")</f>
        <v/>
      </c>
      <c r="K241" s="10">
        <f>IF('Pairings NB'!J1078=320,4,3)</f>
        <v/>
      </c>
    </row>
    <row r="242">
      <c r="A242" s="10">
        <f>'Pairings NB'!B1083</f>
        <v/>
      </c>
      <c r="B242" s="10">
        <f>'Pairings NB'!C1083</f>
        <v/>
      </c>
      <c r="C242" s="10">
        <f>'Pairings NB'!D1083</f>
        <v/>
      </c>
      <c r="D242" s="10">
        <f>'Pairings NB'!E1083&amp;"/"&amp;'Pairings NB'!E1084</f>
        <v/>
      </c>
      <c r="E242" s="10">
        <f>'Pairings NB'!F1083&amp;"-"&amp;'Pairings NB'!G1083&amp;"-"&amp;'Pairings NB'!F1083</f>
        <v/>
      </c>
      <c r="F242" s="10">
        <f>IFERROR(VLOOKUP('Pairings NB'!$M$1083,Instructores!$A:$C,2,FALSE),"")</f>
        <v/>
      </c>
      <c r="G242" s="10">
        <f>'Pairings NB'!$M$1083</f>
        <v/>
      </c>
      <c r="H242" s="10">
        <f>'Pairings NB'!$O$1083</f>
        <v/>
      </c>
      <c r="I242" s="10">
        <f>'Pairings NB'!J1083</f>
        <v/>
      </c>
      <c r="J242" s="10">
        <f>IFERROR(VLOOKUP('Pairings NB'!$M$1083,Instructores!$A:$C,3,FALSE),"")</f>
        <v/>
      </c>
      <c r="K242" s="10">
        <f>IF('Pairings NB'!J1083=320,4,3)</f>
        <v/>
      </c>
    </row>
    <row r="243">
      <c r="A243" s="10">
        <f>'Pairings NB'!B1085</f>
        <v/>
      </c>
      <c r="B243" s="10">
        <f>'Pairings NB'!C1085</f>
        <v/>
      </c>
      <c r="C243" s="10">
        <f>'Pairings NB'!D1085</f>
        <v/>
      </c>
      <c r="D243" s="10">
        <f>'Pairings NB'!E1085&amp;"/"&amp;'Pairings NB'!E1086</f>
        <v/>
      </c>
      <c r="E243" s="10">
        <f>'Pairings NB'!F1085&amp;"-"&amp;'Pairings NB'!G1085&amp;"-"&amp;'Pairings NB'!F1085</f>
        <v/>
      </c>
      <c r="F243" s="10">
        <f>IFERROR(VLOOKUP('Pairings NB'!$M$1083,Instructores!$A:$C,2,FALSE),"")</f>
        <v/>
      </c>
      <c r="G243" s="10">
        <f>'Pairings NB'!$M$1083</f>
        <v/>
      </c>
      <c r="H243" s="10">
        <f>'Pairings NB'!$O$1083</f>
        <v/>
      </c>
      <c r="I243" s="10">
        <f>'Pairings NB'!J1085</f>
        <v/>
      </c>
      <c r="J243" s="10">
        <f>IFERROR(VLOOKUP('Pairings NB'!$M$1083,Instructores!$A:$C,3,FALSE),"")</f>
        <v/>
      </c>
      <c r="K243" s="10">
        <f>IF('Pairings NB'!J1085=320,4,3)</f>
        <v/>
      </c>
    </row>
    <row r="244">
      <c r="A244" s="10">
        <f>'Pairings NB'!B1090</f>
        <v/>
      </c>
      <c r="B244" s="10">
        <f>'Pairings NB'!C1090</f>
        <v/>
      </c>
      <c r="C244" s="10">
        <f>'Pairings NB'!D1090</f>
        <v/>
      </c>
      <c r="D244" s="10">
        <f>'Pairings NB'!E1090&amp;"/"&amp;'Pairings NB'!E1091</f>
        <v/>
      </c>
      <c r="E244" s="10">
        <f>'Pairings NB'!F1090&amp;"-"&amp;'Pairings NB'!G1090&amp;"-"&amp;'Pairings NB'!F1090</f>
        <v/>
      </c>
      <c r="F244" s="10">
        <f>IFERROR(VLOOKUP('Pairings NB'!$M$1090,Instructores!$A:$C,2,FALSE),"")</f>
        <v/>
      </c>
      <c r="G244" s="10">
        <f>'Pairings NB'!$M$1090</f>
        <v/>
      </c>
      <c r="H244" s="10">
        <f>'Pairings NB'!$O$1090</f>
        <v/>
      </c>
      <c r="I244" s="10">
        <f>'Pairings NB'!J1090</f>
        <v/>
      </c>
      <c r="J244" s="10">
        <f>IFERROR(VLOOKUP('Pairings NB'!$M$1090,Instructores!$A:$C,3,FALSE),"")</f>
        <v/>
      </c>
      <c r="K244" s="10">
        <f>IF('Pairings NB'!J1090=320,4,3)</f>
        <v/>
      </c>
    </row>
    <row r="245">
      <c r="A245" s="10">
        <f>'Pairings NB'!B1095</f>
        <v/>
      </c>
      <c r="B245" s="10">
        <f>'Pairings NB'!C1095</f>
        <v/>
      </c>
      <c r="C245" s="10">
        <f>'Pairings NB'!D1095</f>
        <v/>
      </c>
      <c r="D245" s="10">
        <f>'Pairings NB'!E1095&amp;"/"&amp;'Pairings NB'!E1096</f>
        <v/>
      </c>
      <c r="E245" s="10">
        <f>'Pairings NB'!F1095&amp;"-"&amp;'Pairings NB'!G1095&amp;"-"&amp;'Pairings NB'!F1095</f>
        <v/>
      </c>
      <c r="F245" s="10">
        <f>IFERROR(VLOOKUP('Pairings NB'!$M$1095,Instructores!$A:$C,2,FALSE),"")</f>
        <v/>
      </c>
      <c r="G245" s="10">
        <f>'Pairings NB'!$M$1095</f>
        <v/>
      </c>
      <c r="H245" s="10">
        <f>'Pairings NB'!$O$1095</f>
        <v/>
      </c>
      <c r="I245" s="10">
        <f>'Pairings NB'!J1095</f>
        <v/>
      </c>
      <c r="J245" s="10">
        <f>IFERROR(VLOOKUP('Pairings NB'!$M$1095,Instructores!$A:$C,3,FALSE),"")</f>
        <v/>
      </c>
      <c r="K245" s="10">
        <f>IF('Pairings NB'!J1095=320,4,3)</f>
        <v/>
      </c>
    </row>
    <row r="246">
      <c r="A246" s="10">
        <f>'Pairings NB'!B1100</f>
        <v/>
      </c>
      <c r="B246" s="10">
        <f>'Pairings NB'!C1100</f>
        <v/>
      </c>
      <c r="C246" s="10">
        <f>'Pairings NB'!D1100</f>
        <v/>
      </c>
      <c r="D246" s="10">
        <f>'Pairings NB'!E1100&amp;"/"&amp;'Pairings NB'!E1101</f>
        <v/>
      </c>
      <c r="E246" s="10">
        <f>'Pairings NB'!F1100&amp;"-"&amp;'Pairings NB'!G1100&amp;"-"&amp;'Pairings NB'!F1100</f>
        <v/>
      </c>
      <c r="F246" s="10">
        <f>IFERROR(VLOOKUP('Pairings NB'!$M$1100,Instructores!$A:$C,2,FALSE),"")</f>
        <v/>
      </c>
      <c r="G246" s="10">
        <f>'Pairings NB'!$M$1100</f>
        <v/>
      </c>
      <c r="H246" s="10">
        <f>'Pairings NB'!$O$1100</f>
        <v/>
      </c>
      <c r="I246" s="10">
        <f>'Pairings NB'!J1100</f>
        <v/>
      </c>
      <c r="J246" s="10">
        <f>IFERROR(VLOOKUP('Pairings NB'!$M$1100,Instructores!$A:$C,3,FALSE),"")</f>
        <v/>
      </c>
      <c r="K246" s="10">
        <f>IF('Pairings NB'!J1100=320,4,3)</f>
        <v/>
      </c>
    </row>
    <row r="247">
      <c r="A247" s="10">
        <f>'Pairings NB'!B1105</f>
        <v/>
      </c>
      <c r="B247" s="10">
        <f>'Pairings NB'!C1105</f>
        <v/>
      </c>
      <c r="C247" s="10">
        <f>'Pairings NB'!D1105</f>
        <v/>
      </c>
      <c r="D247" s="10">
        <f>'Pairings NB'!E1105&amp;"/"&amp;'Pairings NB'!E1106</f>
        <v/>
      </c>
      <c r="E247" s="10">
        <f>'Pairings NB'!F1105&amp;"-"&amp;'Pairings NB'!G1105&amp;"-"&amp;'Pairings NB'!F1105</f>
        <v/>
      </c>
      <c r="F247" s="10">
        <f>IFERROR(VLOOKUP('Pairings NB'!$M$1105,Instructores!$A:$C,2,FALSE),"")</f>
        <v/>
      </c>
      <c r="G247" s="10">
        <f>'Pairings NB'!$M$1105</f>
        <v/>
      </c>
      <c r="H247" s="10">
        <f>'Pairings NB'!$O$1105</f>
        <v/>
      </c>
      <c r="I247" s="10">
        <f>'Pairings NB'!J1105</f>
        <v/>
      </c>
      <c r="J247" s="10">
        <f>IFERROR(VLOOKUP('Pairings NB'!$M$1105,Instructores!$A:$C,3,FALSE),"")</f>
        <v/>
      </c>
      <c r="K247" s="10">
        <f>IF('Pairings NB'!J1105=320,4,3)</f>
        <v/>
      </c>
    </row>
    <row r="248">
      <c r="A248" s="10">
        <f>'Pairings NB'!B1110</f>
        <v/>
      </c>
      <c r="B248" s="10">
        <f>'Pairings NB'!C1110</f>
        <v/>
      </c>
      <c r="C248" s="10">
        <f>'Pairings NB'!D1110</f>
        <v/>
      </c>
      <c r="D248" s="10">
        <f>'Pairings NB'!E1110&amp;"/"&amp;'Pairings NB'!E1111</f>
        <v/>
      </c>
      <c r="E248" s="10">
        <f>'Pairings NB'!F1110&amp;"-"&amp;'Pairings NB'!G1110&amp;"-"&amp;'Pairings NB'!F1110</f>
        <v/>
      </c>
      <c r="F248" s="10">
        <f>IFERROR(VLOOKUP('Pairings NB'!$M$1110,Instructores!$A:$C,2,FALSE),"")</f>
        <v/>
      </c>
      <c r="G248" s="10">
        <f>'Pairings NB'!$M$1110</f>
        <v/>
      </c>
      <c r="H248" s="10">
        <f>'Pairings NB'!$O$1110</f>
        <v/>
      </c>
      <c r="I248" s="10">
        <f>'Pairings NB'!J1110</f>
        <v/>
      </c>
      <c r="J248" s="10">
        <f>IFERROR(VLOOKUP('Pairings NB'!$M$1110,Instructores!$A:$C,3,FALSE),"")</f>
        <v/>
      </c>
      <c r="K248" s="10">
        <f>IF('Pairings NB'!J1110=320,4,3)</f>
        <v/>
      </c>
    </row>
    <row r="249">
      <c r="A249" s="10">
        <f>'Pairings NB'!B1115</f>
        <v/>
      </c>
      <c r="B249" s="10">
        <f>'Pairings NB'!C1115</f>
        <v/>
      </c>
      <c r="C249" s="10">
        <f>'Pairings NB'!D1115</f>
        <v/>
      </c>
      <c r="D249" s="10">
        <f>'Pairings NB'!E1115&amp;"/"&amp;'Pairings NB'!E1116</f>
        <v/>
      </c>
      <c r="E249" s="10">
        <f>'Pairings NB'!F1115&amp;"-"&amp;'Pairings NB'!G1115&amp;"-"&amp;'Pairings NB'!F1115</f>
        <v/>
      </c>
      <c r="F249" s="10">
        <f>IFERROR(VLOOKUP('Pairings NB'!$M$1115,Instructores!$A:$C,2,FALSE),"")</f>
        <v/>
      </c>
      <c r="G249" s="10">
        <f>'Pairings NB'!$M$1115</f>
        <v/>
      </c>
      <c r="H249" s="10">
        <f>'Pairings NB'!$O$1115</f>
        <v/>
      </c>
      <c r="I249" s="10">
        <f>'Pairings NB'!J1115</f>
        <v/>
      </c>
      <c r="J249" s="10">
        <f>IFERROR(VLOOKUP('Pairings NB'!$M$1115,Instructores!$A:$C,3,FALSE),"")</f>
        <v/>
      </c>
      <c r="K249" s="10">
        <f>IF('Pairings NB'!J1115=320,4,3)</f>
        <v/>
      </c>
    </row>
    <row r="250">
      <c r="A250" s="10">
        <f>'Pairings NB'!B1120</f>
        <v/>
      </c>
      <c r="B250" s="10">
        <f>'Pairings NB'!C1120</f>
        <v/>
      </c>
      <c r="C250" s="10">
        <f>'Pairings NB'!D1120</f>
        <v/>
      </c>
      <c r="D250" s="10">
        <f>'Pairings NB'!E1120&amp;"/"&amp;'Pairings NB'!E1121</f>
        <v/>
      </c>
      <c r="E250" s="10">
        <f>'Pairings NB'!F1120&amp;"-"&amp;'Pairings NB'!G1120&amp;"-"&amp;'Pairings NB'!F1120</f>
        <v/>
      </c>
      <c r="F250" s="10">
        <f>IFERROR(VLOOKUP('Pairings NB'!$M$1120,Instructores!$A:$C,2,FALSE),"")</f>
        <v/>
      </c>
      <c r="G250" s="10">
        <f>'Pairings NB'!$M$1120</f>
        <v/>
      </c>
      <c r="H250" s="10">
        <f>'Pairings NB'!$O$1120</f>
        <v/>
      </c>
      <c r="I250" s="10">
        <f>'Pairings NB'!J1120</f>
        <v/>
      </c>
      <c r="J250" s="10">
        <f>IFERROR(VLOOKUP('Pairings NB'!$M$1120,Instructores!$A:$C,3,FALSE),"")</f>
        <v/>
      </c>
      <c r="K250" s="10">
        <f>IF('Pairings NB'!J1120=320,4,3)</f>
        <v/>
      </c>
    </row>
    <row r="251">
      <c r="A251" s="10">
        <f>'Pairings NB'!B1125</f>
        <v/>
      </c>
      <c r="B251" s="10">
        <f>'Pairings NB'!C1125</f>
        <v/>
      </c>
      <c r="C251" s="10">
        <f>'Pairings NB'!D1125</f>
        <v/>
      </c>
      <c r="D251" s="10">
        <f>'Pairings NB'!E1125&amp;"/"&amp;'Pairings NB'!E1126</f>
        <v/>
      </c>
      <c r="E251" s="10">
        <f>'Pairings NB'!F1125&amp;"-"&amp;'Pairings NB'!G1125&amp;"-"&amp;'Pairings NB'!F1125</f>
        <v/>
      </c>
      <c r="F251" s="10">
        <f>IFERROR(VLOOKUP('Pairings NB'!$M$1125,Instructores!$A:$C,2,FALSE),"")</f>
        <v/>
      </c>
      <c r="G251" s="10">
        <f>'Pairings NB'!$M$1125</f>
        <v/>
      </c>
      <c r="H251" s="10">
        <f>'Pairings NB'!$O$1125</f>
        <v/>
      </c>
      <c r="I251" s="10">
        <f>'Pairings NB'!J1125</f>
        <v/>
      </c>
      <c r="J251" s="10">
        <f>IFERROR(VLOOKUP('Pairings NB'!$M$1125,Instructores!$A:$C,3,FALSE),"")</f>
        <v/>
      </c>
      <c r="K251" s="10">
        <f>IF('Pairings NB'!J1125=320,4,3)</f>
        <v/>
      </c>
    </row>
    <row r="252">
      <c r="A252" s="10">
        <f>'Pairings NB'!B1130</f>
        <v/>
      </c>
      <c r="B252" s="10">
        <f>'Pairings NB'!C1130</f>
        <v/>
      </c>
      <c r="C252" s="10">
        <f>'Pairings NB'!D1130</f>
        <v/>
      </c>
      <c r="D252" s="10">
        <f>'Pairings NB'!E1130&amp;"/"&amp;'Pairings NB'!E1131</f>
        <v/>
      </c>
      <c r="E252" s="10">
        <f>'Pairings NB'!F1130&amp;"-"&amp;'Pairings NB'!G1130&amp;"-"&amp;'Pairings NB'!F1130</f>
        <v/>
      </c>
      <c r="F252" s="10">
        <f>IFERROR(VLOOKUP('Pairings NB'!$M$1130,Instructores!$A:$C,2,FALSE),"")</f>
        <v/>
      </c>
      <c r="G252" s="10">
        <f>'Pairings NB'!$M$1130</f>
        <v/>
      </c>
      <c r="H252" s="10">
        <f>'Pairings NB'!$O$1130</f>
        <v/>
      </c>
      <c r="I252" s="10">
        <f>'Pairings NB'!J1130</f>
        <v/>
      </c>
      <c r="J252" s="10">
        <f>IFERROR(VLOOKUP('Pairings NB'!$M$1130,Instructores!$A:$C,3,FALSE),"")</f>
        <v/>
      </c>
      <c r="K252" s="10">
        <f>IF('Pairings NB'!J1130=320,4,3)</f>
        <v/>
      </c>
    </row>
    <row r="253">
      <c r="A253" s="10">
        <f>'Pairings NB'!B1132</f>
        <v/>
      </c>
      <c r="B253" s="10">
        <f>'Pairings NB'!C1132</f>
        <v/>
      </c>
      <c r="C253" s="10">
        <f>'Pairings NB'!D1132</f>
        <v/>
      </c>
      <c r="D253" s="10">
        <f>'Pairings NB'!E1132&amp;"/"&amp;'Pairings NB'!E1133</f>
        <v/>
      </c>
      <c r="E253" s="10">
        <f>'Pairings NB'!F1132&amp;"-"&amp;'Pairings NB'!G1132&amp;"-"&amp;'Pairings NB'!F1132</f>
        <v/>
      </c>
      <c r="F253" s="10">
        <f>IFERROR(VLOOKUP('Pairings NB'!$M$1130,Instructores!$A:$C,2,FALSE),"")</f>
        <v/>
      </c>
      <c r="G253" s="10">
        <f>'Pairings NB'!$M$1130</f>
        <v/>
      </c>
      <c r="H253" s="10">
        <f>'Pairings NB'!$O$1130</f>
        <v/>
      </c>
      <c r="I253" s="10">
        <f>'Pairings NB'!J1132</f>
        <v/>
      </c>
      <c r="J253" s="10">
        <f>IFERROR(VLOOKUP('Pairings NB'!$M$1130,Instructores!$A:$C,3,FALSE),"")</f>
        <v/>
      </c>
      <c r="K253" s="10">
        <f>IF('Pairings NB'!J1132=320,4,3)</f>
        <v/>
      </c>
    </row>
    <row r="254">
      <c r="A254" s="10">
        <f>'Pairings NB'!B1137</f>
        <v/>
      </c>
      <c r="B254" s="10">
        <f>'Pairings NB'!C1137</f>
        <v/>
      </c>
      <c r="C254" s="10">
        <f>'Pairings NB'!D1137</f>
        <v/>
      </c>
      <c r="D254" s="10">
        <f>'Pairings NB'!E1137&amp;"/"&amp;'Pairings NB'!E1138</f>
        <v/>
      </c>
      <c r="E254" s="10">
        <f>'Pairings NB'!F1137&amp;"-"&amp;'Pairings NB'!G1137&amp;"-"&amp;'Pairings NB'!F1137</f>
        <v/>
      </c>
      <c r="F254" s="10">
        <f>IFERROR(VLOOKUP('Pairings NB'!$M$1137,Instructores!$A:$C,2,FALSE),"")</f>
        <v/>
      </c>
      <c r="G254" s="10">
        <f>'Pairings NB'!$M$1137</f>
        <v/>
      </c>
      <c r="H254" s="10">
        <f>'Pairings NB'!$O$1137</f>
        <v/>
      </c>
      <c r="I254" s="10">
        <f>'Pairings NB'!J1137</f>
        <v/>
      </c>
      <c r="J254" s="10">
        <f>IFERROR(VLOOKUP('Pairings NB'!$M$1137,Instructores!$A:$C,3,FALSE),"")</f>
        <v/>
      </c>
      <c r="K254" s="10">
        <f>IF('Pairings NB'!J1137=320,4,3)</f>
        <v/>
      </c>
    </row>
    <row r="255">
      <c r="A255" s="10">
        <f>'Pairings NB'!B1139</f>
        <v/>
      </c>
      <c r="B255" s="10">
        <f>'Pairings NB'!C1139</f>
        <v/>
      </c>
      <c r="C255" s="10">
        <f>'Pairings NB'!D1139</f>
        <v/>
      </c>
      <c r="D255" s="10">
        <f>'Pairings NB'!E1139&amp;"/"&amp;'Pairings NB'!E1140</f>
        <v/>
      </c>
      <c r="E255" s="10">
        <f>'Pairings NB'!F1139&amp;"-"&amp;'Pairings NB'!G1139&amp;"-"&amp;'Pairings NB'!F1139</f>
        <v/>
      </c>
      <c r="F255" s="10">
        <f>IFERROR(VLOOKUP('Pairings NB'!$M$1137,Instructores!$A:$C,2,FALSE),"")</f>
        <v/>
      </c>
      <c r="G255" s="10">
        <f>'Pairings NB'!$M$1137</f>
        <v/>
      </c>
      <c r="H255" s="10">
        <f>'Pairings NB'!$O$1137</f>
        <v/>
      </c>
      <c r="I255" s="10">
        <f>'Pairings NB'!J1139</f>
        <v/>
      </c>
      <c r="J255" s="10">
        <f>IFERROR(VLOOKUP('Pairings NB'!$M$1137,Instructores!$A:$C,3,FALSE),"")</f>
        <v/>
      </c>
      <c r="K255" s="10">
        <f>IF('Pairings NB'!J1139=320,4,3)</f>
        <v/>
      </c>
    </row>
    <row r="256">
      <c r="A256" s="10">
        <f>'Pairings NB'!B1144</f>
        <v/>
      </c>
      <c r="B256" s="10">
        <f>'Pairings NB'!C1144</f>
        <v/>
      </c>
      <c r="C256" s="10">
        <f>'Pairings NB'!D1144</f>
        <v/>
      </c>
      <c r="D256" s="10">
        <f>'Pairings NB'!E1144&amp;"/"&amp;'Pairings NB'!E1145</f>
        <v/>
      </c>
      <c r="E256" s="10">
        <f>'Pairings NB'!F1144&amp;"-"&amp;'Pairings NB'!G1144&amp;"-"&amp;'Pairings NB'!F1144</f>
        <v/>
      </c>
      <c r="F256" s="10">
        <f>IFERROR(VLOOKUP('Pairings NB'!$M$1144,Instructores!$A:$C,2,FALSE),"")</f>
        <v/>
      </c>
      <c r="G256" s="10">
        <f>'Pairings NB'!$M$1144</f>
        <v/>
      </c>
      <c r="H256" s="10">
        <f>'Pairings NB'!$O$1144</f>
        <v/>
      </c>
      <c r="I256" s="10">
        <f>'Pairings NB'!J1144</f>
        <v/>
      </c>
      <c r="J256" s="10">
        <f>IFERROR(VLOOKUP('Pairings NB'!$M$1144,Instructores!$A:$C,3,FALSE),"")</f>
        <v/>
      </c>
      <c r="K256" s="10">
        <f>IF('Pairings NB'!J1144=320,4,3)</f>
        <v/>
      </c>
    </row>
    <row r="257">
      <c r="A257" s="10">
        <f>'Pairings NB'!B1149</f>
        <v/>
      </c>
      <c r="B257" s="10">
        <f>'Pairings NB'!C1149</f>
        <v/>
      </c>
      <c r="C257" s="10">
        <f>'Pairings NB'!D1149</f>
        <v/>
      </c>
      <c r="D257" s="10">
        <f>'Pairings NB'!E1149&amp;"/"&amp;'Pairings NB'!E1150</f>
        <v/>
      </c>
      <c r="E257" s="10">
        <f>'Pairings NB'!F1149&amp;"-"&amp;'Pairings NB'!G1149&amp;"-"&amp;'Pairings NB'!F1149</f>
        <v/>
      </c>
      <c r="F257" s="10">
        <f>IFERROR(VLOOKUP('Pairings NB'!$M$1149,Instructores!$A:$C,2,FALSE),"")</f>
        <v/>
      </c>
      <c r="G257" s="10">
        <f>'Pairings NB'!$M$1149</f>
        <v/>
      </c>
      <c r="H257" s="10">
        <f>'Pairings NB'!$O$1149</f>
        <v/>
      </c>
      <c r="I257" s="10">
        <f>'Pairings NB'!J1149</f>
        <v/>
      </c>
      <c r="J257" s="10">
        <f>IFERROR(VLOOKUP('Pairings NB'!$M$1149,Instructores!$A:$C,3,FALSE),"")</f>
        <v/>
      </c>
      <c r="K257" s="10">
        <f>IF('Pairings NB'!J1149=320,4,3)</f>
        <v/>
      </c>
    </row>
    <row r="258">
      <c r="A258" s="10">
        <f>'Pairings NB'!B1151</f>
        <v/>
      </c>
      <c r="B258" s="10">
        <f>'Pairings NB'!C1151</f>
        <v/>
      </c>
      <c r="C258" s="10">
        <f>'Pairings NB'!D1151</f>
        <v/>
      </c>
      <c r="D258" s="10">
        <f>'Pairings NB'!E1151&amp;"/"&amp;'Pairings NB'!E1152</f>
        <v/>
      </c>
      <c r="E258" s="10">
        <f>'Pairings NB'!F1151&amp;"-"&amp;'Pairings NB'!G1151&amp;"-"&amp;'Pairings NB'!F1151</f>
        <v/>
      </c>
      <c r="F258" s="10">
        <f>IFERROR(VLOOKUP('Pairings NB'!$M$1149,Instructores!$A:$C,2,FALSE),"")</f>
        <v/>
      </c>
      <c r="G258" s="10">
        <f>'Pairings NB'!$M$1149</f>
        <v/>
      </c>
      <c r="H258" s="10">
        <f>'Pairings NB'!$O$1149</f>
        <v/>
      </c>
      <c r="I258" s="10">
        <f>'Pairings NB'!J1151</f>
        <v/>
      </c>
      <c r="J258" s="10">
        <f>IFERROR(VLOOKUP('Pairings NB'!$M$1149,Instructores!$A:$C,3,FALSE),"")</f>
        <v/>
      </c>
      <c r="K258" s="10">
        <f>IF('Pairings NB'!J1151=320,4,3)</f>
        <v/>
      </c>
    </row>
    <row r="259">
      <c r="A259" s="10">
        <f>'Pairings NB'!B1156</f>
        <v/>
      </c>
      <c r="B259" s="10">
        <f>'Pairings NB'!C1156</f>
        <v/>
      </c>
      <c r="C259" s="10">
        <f>'Pairings NB'!D1156</f>
        <v/>
      </c>
      <c r="D259" s="10">
        <f>'Pairings NB'!E1156&amp;"/"&amp;'Pairings NB'!E1157</f>
        <v/>
      </c>
      <c r="E259" s="10">
        <f>'Pairings NB'!F1156&amp;"-"&amp;'Pairings NB'!G1156&amp;"-"&amp;'Pairings NB'!F1156</f>
        <v/>
      </c>
      <c r="F259" s="10">
        <f>IFERROR(VLOOKUP('Pairings NB'!$M$1156,Instructores!$A:$C,2,FALSE),"")</f>
        <v/>
      </c>
      <c r="G259" s="10">
        <f>'Pairings NB'!$M$1156</f>
        <v/>
      </c>
      <c r="H259" s="10">
        <f>'Pairings NB'!$O$1156</f>
        <v/>
      </c>
      <c r="I259" s="10">
        <f>'Pairings NB'!J1156</f>
        <v/>
      </c>
      <c r="J259" s="10">
        <f>IFERROR(VLOOKUP('Pairings NB'!$M$1156,Instructores!$A:$C,3,FALSE),"")</f>
        <v/>
      </c>
      <c r="K259" s="10">
        <f>IF('Pairings NB'!J1156=320,4,3)</f>
        <v/>
      </c>
    </row>
    <row r="260">
      <c r="A260" s="10">
        <f>'Pairings NB'!B1161</f>
        <v/>
      </c>
      <c r="B260" s="10">
        <f>'Pairings NB'!C1161</f>
        <v/>
      </c>
      <c r="C260" s="10">
        <f>'Pairings NB'!D1161</f>
        <v/>
      </c>
      <c r="D260" s="10">
        <f>'Pairings NB'!E1161&amp;"/"&amp;'Pairings NB'!E1162</f>
        <v/>
      </c>
      <c r="E260" s="10">
        <f>'Pairings NB'!F1161&amp;"-"&amp;'Pairings NB'!G1161&amp;"-"&amp;'Pairings NB'!F1161</f>
        <v/>
      </c>
      <c r="F260" s="10">
        <f>IFERROR(VLOOKUP('Pairings NB'!$M$1161,Instructores!$A:$C,2,FALSE),"")</f>
        <v/>
      </c>
      <c r="G260" s="10">
        <f>'Pairings NB'!$M$1161</f>
        <v/>
      </c>
      <c r="H260" s="10">
        <f>'Pairings NB'!$O$1161</f>
        <v/>
      </c>
      <c r="I260" s="10">
        <f>'Pairings NB'!J1161</f>
        <v/>
      </c>
      <c r="J260" s="10">
        <f>IFERROR(VLOOKUP('Pairings NB'!$M$1161,Instructores!$A:$C,3,FALSE),"")</f>
        <v/>
      </c>
      <c r="K260" s="10">
        <f>IF('Pairings NB'!J1161=320,4,3)</f>
        <v/>
      </c>
    </row>
    <row r="261">
      <c r="A261" s="10">
        <f>'Pairings NB'!B1166</f>
        <v/>
      </c>
      <c r="B261" s="10">
        <f>'Pairings NB'!C1166</f>
        <v/>
      </c>
      <c r="C261" s="10">
        <f>'Pairings NB'!D1166</f>
        <v/>
      </c>
      <c r="D261" s="10">
        <f>'Pairings NB'!E1166&amp;"/"&amp;'Pairings NB'!E1167</f>
        <v/>
      </c>
      <c r="E261" s="10">
        <f>'Pairings NB'!F1166&amp;"-"&amp;'Pairings NB'!G1166&amp;"-"&amp;'Pairings NB'!F1166</f>
        <v/>
      </c>
      <c r="F261" s="10">
        <f>IFERROR(VLOOKUP('Pairings NB'!$M$1166,Instructores!$A:$C,2,FALSE),"")</f>
        <v/>
      </c>
      <c r="G261" s="10">
        <f>'Pairings NB'!$M$1166</f>
        <v/>
      </c>
      <c r="H261" s="10">
        <f>'Pairings NB'!$O$1166</f>
        <v/>
      </c>
      <c r="I261" s="10">
        <f>'Pairings NB'!J1166</f>
        <v/>
      </c>
      <c r="J261" s="10">
        <f>IFERROR(VLOOKUP('Pairings NB'!$M$1166,Instructores!$A:$C,3,FALSE),"")</f>
        <v/>
      </c>
      <c r="K261" s="10">
        <f>IF('Pairings NB'!J1166=320,4,3)</f>
        <v/>
      </c>
    </row>
    <row r="262">
      <c r="A262" s="10">
        <f>'Pairings NB'!B1171</f>
        <v/>
      </c>
      <c r="B262" s="10">
        <f>'Pairings NB'!C1171</f>
        <v/>
      </c>
      <c r="C262" s="10">
        <f>'Pairings NB'!D1171</f>
        <v/>
      </c>
      <c r="D262" s="10">
        <f>'Pairings NB'!E1171&amp;"/"&amp;'Pairings NB'!E1172</f>
        <v/>
      </c>
      <c r="E262" s="10">
        <f>'Pairings NB'!F1171&amp;"-"&amp;'Pairings NB'!G1171&amp;"-"&amp;'Pairings NB'!F1171</f>
        <v/>
      </c>
      <c r="F262" s="10">
        <f>IFERROR(VLOOKUP('Pairings NB'!$M$1171,Instructores!$A:$C,2,FALSE),"")</f>
        <v/>
      </c>
      <c r="G262" s="10">
        <f>'Pairings NB'!$M$1171</f>
        <v/>
      </c>
      <c r="H262" s="10">
        <f>'Pairings NB'!$O$1171</f>
        <v/>
      </c>
      <c r="I262" s="10">
        <f>'Pairings NB'!J1171</f>
        <v/>
      </c>
      <c r="J262" s="10">
        <f>IFERROR(VLOOKUP('Pairings NB'!$M$1171,Instructores!$A:$C,3,FALSE),"")</f>
        <v/>
      </c>
      <c r="K262" s="10">
        <f>IF('Pairings NB'!J1171=320,4,3)</f>
        <v/>
      </c>
    </row>
    <row r="263">
      <c r="A263" s="10">
        <f>'Pairings NB'!B1176</f>
        <v/>
      </c>
      <c r="B263" s="10">
        <f>'Pairings NB'!C1176</f>
        <v/>
      </c>
      <c r="C263" s="10">
        <f>'Pairings NB'!D1176</f>
        <v/>
      </c>
      <c r="D263" s="10">
        <f>'Pairings NB'!E1176&amp;"/"&amp;'Pairings NB'!E1177</f>
        <v/>
      </c>
      <c r="E263" s="10">
        <f>'Pairings NB'!F1176&amp;"-"&amp;'Pairings NB'!G1176&amp;"-"&amp;'Pairings NB'!F1176</f>
        <v/>
      </c>
      <c r="F263" s="10">
        <f>IFERROR(VLOOKUP('Pairings NB'!$M$1176,Instructores!$A:$C,2,FALSE),"")</f>
        <v/>
      </c>
      <c r="G263" s="10">
        <f>'Pairings NB'!$M$1176</f>
        <v/>
      </c>
      <c r="H263" s="10">
        <f>'Pairings NB'!$O$1176</f>
        <v/>
      </c>
      <c r="I263" s="10">
        <f>'Pairings NB'!J1176</f>
        <v/>
      </c>
      <c r="J263" s="10">
        <f>IFERROR(VLOOKUP('Pairings NB'!$M$1176,Instructores!$A:$C,3,FALSE),"")</f>
        <v/>
      </c>
      <c r="K263" s="10">
        <f>IF('Pairings NB'!J1176=320,4,3)</f>
        <v/>
      </c>
    </row>
    <row r="264">
      <c r="A264" s="10">
        <f>'Pairings NB'!B1181</f>
        <v/>
      </c>
      <c r="B264" s="10">
        <f>'Pairings NB'!C1181</f>
        <v/>
      </c>
      <c r="C264" s="10">
        <f>'Pairings NB'!D1181</f>
        <v/>
      </c>
      <c r="D264" s="10">
        <f>'Pairings NB'!E1181&amp;"/"&amp;'Pairings NB'!E1182</f>
        <v/>
      </c>
      <c r="E264" s="10">
        <f>'Pairings NB'!F1181&amp;"-"&amp;'Pairings NB'!G1181&amp;"-"&amp;'Pairings NB'!F1181</f>
        <v/>
      </c>
      <c r="F264" s="10">
        <f>IFERROR(VLOOKUP('Pairings NB'!$M$1181,Instructores!$A:$C,2,FALSE),"")</f>
        <v/>
      </c>
      <c r="G264" s="10">
        <f>'Pairings NB'!$M$1181</f>
        <v/>
      </c>
      <c r="H264" s="10">
        <f>'Pairings NB'!$O$1181</f>
        <v/>
      </c>
      <c r="I264" s="10">
        <f>'Pairings NB'!J1181</f>
        <v/>
      </c>
      <c r="J264" s="10">
        <f>IFERROR(VLOOKUP('Pairings NB'!$M$1181,Instructores!$A:$C,3,FALSE),"")</f>
        <v/>
      </c>
      <c r="K264" s="10">
        <f>IF('Pairings NB'!J1181=320,4,3)</f>
        <v/>
      </c>
    </row>
    <row r="265">
      <c r="A265" s="10">
        <f>'Pairings NB'!B1186</f>
        <v/>
      </c>
      <c r="B265" s="10">
        <f>'Pairings NB'!C1186</f>
        <v/>
      </c>
      <c r="C265" s="10">
        <f>'Pairings NB'!D1186</f>
        <v/>
      </c>
      <c r="D265" s="10">
        <f>'Pairings NB'!E1186&amp;"/"&amp;'Pairings NB'!E1187</f>
        <v/>
      </c>
      <c r="E265" s="10">
        <f>'Pairings NB'!F1186&amp;"-"&amp;'Pairings NB'!G1186&amp;"-"&amp;'Pairings NB'!F1186</f>
        <v/>
      </c>
      <c r="F265" s="10">
        <f>IFERROR(VLOOKUP('Pairings NB'!$M$1186,Instructores!$A:$C,2,FALSE),"")</f>
        <v/>
      </c>
      <c r="G265" s="10">
        <f>'Pairings NB'!$M$1186</f>
        <v/>
      </c>
      <c r="H265" s="10">
        <f>'Pairings NB'!$O$1186</f>
        <v/>
      </c>
      <c r="I265" s="10">
        <f>'Pairings NB'!J1186</f>
        <v/>
      </c>
      <c r="J265" s="10">
        <f>IFERROR(VLOOKUP('Pairings NB'!$M$1186,Instructores!$A:$C,3,FALSE),"")</f>
        <v/>
      </c>
      <c r="K265" s="10">
        <f>IF('Pairings NB'!J1186=320,4,3)</f>
        <v/>
      </c>
    </row>
    <row r="266">
      <c r="A266" s="10">
        <f>'Pairings NB'!B1191</f>
        <v/>
      </c>
      <c r="B266" s="10">
        <f>'Pairings NB'!C1191</f>
        <v/>
      </c>
      <c r="C266" s="10">
        <f>'Pairings NB'!D1191</f>
        <v/>
      </c>
      <c r="D266" s="10">
        <f>'Pairings NB'!E1191&amp;"/"&amp;'Pairings NB'!E1192</f>
        <v/>
      </c>
      <c r="E266" s="10">
        <f>'Pairings NB'!F1191&amp;"-"&amp;'Pairings NB'!G1191&amp;"-"&amp;'Pairings NB'!F1191</f>
        <v/>
      </c>
      <c r="F266" s="10">
        <f>IFERROR(VLOOKUP('Pairings NB'!$M$1191,Instructores!$A:$C,2,FALSE),"")</f>
        <v/>
      </c>
      <c r="G266" s="10">
        <f>'Pairings NB'!$M$1191</f>
        <v/>
      </c>
      <c r="H266" s="10">
        <f>'Pairings NB'!$O$1191</f>
        <v/>
      </c>
      <c r="I266" s="10">
        <f>'Pairings NB'!J1191</f>
        <v/>
      </c>
      <c r="J266" s="10">
        <f>IFERROR(VLOOKUP('Pairings NB'!$M$1191,Instructores!$A:$C,3,FALSE),"")</f>
        <v/>
      </c>
      <c r="K266" s="10">
        <f>IF('Pairings NB'!J1191=320,4,3)</f>
        <v/>
      </c>
    </row>
    <row r="267">
      <c r="A267" s="10">
        <f>'Pairings NB'!B1196</f>
        <v/>
      </c>
      <c r="B267" s="10">
        <f>'Pairings NB'!C1196</f>
        <v/>
      </c>
      <c r="C267" s="10">
        <f>'Pairings NB'!D1196</f>
        <v/>
      </c>
      <c r="D267" s="10">
        <f>'Pairings NB'!E1196&amp;"/"&amp;'Pairings NB'!E1197</f>
        <v/>
      </c>
      <c r="E267" s="10">
        <f>'Pairings NB'!F1196&amp;"-"&amp;'Pairings NB'!G1196&amp;"-"&amp;'Pairings NB'!F1196</f>
        <v/>
      </c>
      <c r="F267" s="10">
        <f>IFERROR(VLOOKUP('Pairings NB'!$M$1196,Instructores!$A:$C,2,FALSE),"")</f>
        <v/>
      </c>
      <c r="G267" s="10">
        <f>'Pairings NB'!$M$1196</f>
        <v/>
      </c>
      <c r="H267" s="10">
        <f>'Pairings NB'!$O$1196</f>
        <v/>
      </c>
      <c r="I267" s="10">
        <f>'Pairings NB'!J1196</f>
        <v/>
      </c>
      <c r="J267" s="10">
        <f>IFERROR(VLOOKUP('Pairings NB'!$M$1196,Instructores!$A:$C,3,FALSE),"")</f>
        <v/>
      </c>
      <c r="K267" s="10">
        <f>IF('Pairings NB'!J1196=320,4,3)</f>
        <v/>
      </c>
    </row>
    <row r="268">
      <c r="A268" s="10">
        <f>'Pairings NB'!B1201</f>
        <v/>
      </c>
      <c r="B268" s="10">
        <f>'Pairings NB'!C1201</f>
        <v/>
      </c>
      <c r="C268" s="10">
        <f>'Pairings NB'!D1201</f>
        <v/>
      </c>
      <c r="D268" s="10">
        <f>'Pairings NB'!E1201&amp;"/"&amp;'Pairings NB'!E1202</f>
        <v/>
      </c>
      <c r="E268" s="10">
        <f>'Pairings NB'!F1201&amp;"-"&amp;'Pairings NB'!G1201&amp;"-"&amp;'Pairings NB'!F1201</f>
        <v/>
      </c>
      <c r="F268" s="10">
        <f>IFERROR(VLOOKUP('Pairings NB'!$M$1201,Instructores!$A:$C,2,FALSE),"")</f>
        <v/>
      </c>
      <c r="G268" s="10">
        <f>'Pairings NB'!$M$1201</f>
        <v/>
      </c>
      <c r="H268" s="10">
        <f>'Pairings NB'!$O$1201</f>
        <v/>
      </c>
      <c r="I268" s="10">
        <f>'Pairings NB'!J1201</f>
        <v/>
      </c>
      <c r="J268" s="10">
        <f>IFERROR(VLOOKUP('Pairings NB'!$M$1201,Instructores!$A:$C,3,FALSE),"")</f>
        <v/>
      </c>
      <c r="K268" s="10">
        <f>IF('Pairings NB'!J1201=320,4,3)</f>
        <v/>
      </c>
    </row>
    <row r="269">
      <c r="A269" s="10">
        <f>'Pairings NB'!B1203</f>
        <v/>
      </c>
      <c r="B269" s="10">
        <f>'Pairings NB'!C1203</f>
        <v/>
      </c>
      <c r="C269" s="10">
        <f>'Pairings NB'!D1203</f>
        <v/>
      </c>
      <c r="D269" s="10">
        <f>'Pairings NB'!E1203&amp;"/"&amp;'Pairings NB'!E1204</f>
        <v/>
      </c>
      <c r="E269" s="10">
        <f>'Pairings NB'!F1203&amp;"-"&amp;'Pairings NB'!G1203&amp;"-"&amp;'Pairings NB'!F1203</f>
        <v/>
      </c>
      <c r="F269" s="10">
        <f>IFERROR(VLOOKUP('Pairings NB'!$M$1201,Instructores!$A:$C,2,FALSE),"")</f>
        <v/>
      </c>
      <c r="G269" s="10">
        <f>'Pairings NB'!$M$1201</f>
        <v/>
      </c>
      <c r="H269" s="10">
        <f>'Pairings NB'!$O$1201</f>
        <v/>
      </c>
      <c r="I269" s="10">
        <f>'Pairings NB'!J1203</f>
        <v/>
      </c>
      <c r="J269" s="10">
        <f>IFERROR(VLOOKUP('Pairings NB'!$M$1201,Instructores!$A:$C,3,FALSE),"")</f>
        <v/>
      </c>
      <c r="K269" s="10">
        <f>IF('Pairings NB'!J1203=320,4,3)</f>
        <v/>
      </c>
    </row>
    <row r="270">
      <c r="A270" s="10">
        <f>'Pairings NB'!B1208</f>
        <v/>
      </c>
      <c r="B270" s="10">
        <f>'Pairings NB'!C1208</f>
        <v/>
      </c>
      <c r="C270" s="10">
        <f>'Pairings NB'!D1208</f>
        <v/>
      </c>
      <c r="D270" s="10">
        <f>'Pairings NB'!E1208&amp;"/"&amp;'Pairings NB'!E1209</f>
        <v/>
      </c>
      <c r="E270" s="10">
        <f>'Pairings NB'!F1208&amp;"-"&amp;'Pairings NB'!G1208&amp;"-"&amp;'Pairings NB'!F1208</f>
        <v/>
      </c>
      <c r="F270" s="10">
        <f>IFERROR(VLOOKUP('Pairings NB'!$M$1208,Instructores!$A:$C,2,FALSE),"")</f>
        <v/>
      </c>
      <c r="G270" s="10">
        <f>'Pairings NB'!$M$1208</f>
        <v/>
      </c>
      <c r="H270" s="10">
        <f>'Pairings NB'!$O$1208</f>
        <v/>
      </c>
      <c r="I270" s="10">
        <f>'Pairings NB'!J1208</f>
        <v/>
      </c>
      <c r="J270" s="10">
        <f>IFERROR(VLOOKUP('Pairings NB'!$M$1208,Instructores!$A:$C,3,FALSE),"")</f>
        <v/>
      </c>
      <c r="K270" s="10">
        <f>IF('Pairings NB'!J1208=320,4,3)</f>
        <v/>
      </c>
    </row>
    <row r="271">
      <c r="A271" s="10">
        <f>'Pairings NB'!B1210</f>
        <v/>
      </c>
      <c r="B271" s="10">
        <f>'Pairings NB'!C1210</f>
        <v/>
      </c>
      <c r="C271" s="10">
        <f>'Pairings NB'!D1210</f>
        <v/>
      </c>
      <c r="D271" s="10">
        <f>'Pairings NB'!E1210&amp;"/"&amp;'Pairings NB'!E1211</f>
        <v/>
      </c>
      <c r="E271" s="10">
        <f>'Pairings NB'!F1210&amp;"-"&amp;'Pairings NB'!G1210&amp;"-"&amp;'Pairings NB'!F1210</f>
        <v/>
      </c>
      <c r="F271" s="10">
        <f>IFERROR(VLOOKUP('Pairings NB'!$M$1208,Instructores!$A:$C,2,FALSE),"")</f>
        <v/>
      </c>
      <c r="G271" s="10">
        <f>'Pairings NB'!$M$1208</f>
        <v/>
      </c>
      <c r="H271" s="10">
        <f>'Pairings NB'!$O$1208</f>
        <v/>
      </c>
      <c r="I271" s="10">
        <f>'Pairings NB'!J1210</f>
        <v/>
      </c>
      <c r="J271" s="10">
        <f>IFERROR(VLOOKUP('Pairings NB'!$M$1208,Instructores!$A:$C,3,FALSE),"")</f>
        <v/>
      </c>
      <c r="K271" s="10">
        <f>IF('Pairings NB'!J1210=320,4,3)</f>
        <v/>
      </c>
    </row>
    <row r="272">
      <c r="A272" s="10">
        <f>'Pairings NB'!B1215</f>
        <v/>
      </c>
      <c r="B272" s="10">
        <f>'Pairings NB'!C1215</f>
        <v/>
      </c>
      <c r="C272" s="10">
        <f>'Pairings NB'!D1215</f>
        <v/>
      </c>
      <c r="D272" s="10">
        <f>'Pairings NB'!E1215&amp;"/"&amp;'Pairings NB'!E1216</f>
        <v/>
      </c>
      <c r="E272" s="10">
        <f>'Pairings NB'!F1215&amp;"-"&amp;'Pairings NB'!G1215&amp;"-"&amp;'Pairings NB'!F1215</f>
        <v/>
      </c>
      <c r="F272" s="10">
        <f>IFERROR(VLOOKUP('Pairings NB'!$M$1215,Instructores!$A:$C,2,FALSE),"")</f>
        <v/>
      </c>
      <c r="G272" s="10">
        <f>'Pairings NB'!$M$1215</f>
        <v/>
      </c>
      <c r="H272" s="10">
        <f>'Pairings NB'!$O$1215</f>
        <v/>
      </c>
      <c r="I272" s="10">
        <f>'Pairings NB'!J1215</f>
        <v/>
      </c>
      <c r="J272" s="10">
        <f>IFERROR(VLOOKUP('Pairings NB'!$M$1215,Instructores!$A:$C,3,FALSE),"")</f>
        <v/>
      </c>
      <c r="K272" s="10">
        <f>IF('Pairings NB'!J1215=320,4,3)</f>
        <v/>
      </c>
    </row>
    <row r="273">
      <c r="A273" s="10">
        <f>'Pairings NB'!B1220</f>
        <v/>
      </c>
      <c r="B273" s="10">
        <f>'Pairings NB'!C1220</f>
        <v/>
      </c>
      <c r="C273" s="10">
        <f>'Pairings NB'!D1220</f>
        <v/>
      </c>
      <c r="D273" s="10">
        <f>'Pairings NB'!E1220&amp;"/"&amp;'Pairings NB'!E1221</f>
        <v/>
      </c>
      <c r="E273" s="10">
        <f>'Pairings NB'!F1220&amp;"-"&amp;'Pairings NB'!G1220&amp;"-"&amp;'Pairings NB'!F1220</f>
        <v/>
      </c>
      <c r="F273" s="10">
        <f>IFERROR(VLOOKUP('Pairings NB'!$M$1220,Instructores!$A:$C,2,FALSE),"")</f>
        <v/>
      </c>
      <c r="G273" s="10">
        <f>'Pairings NB'!$M$1220</f>
        <v/>
      </c>
      <c r="H273" s="10">
        <f>'Pairings NB'!$O$1220</f>
        <v/>
      </c>
      <c r="I273" s="10">
        <f>'Pairings NB'!J1220</f>
        <v/>
      </c>
      <c r="J273" s="10">
        <f>IFERROR(VLOOKUP('Pairings NB'!$M$1220,Instructores!$A:$C,3,FALSE),"")</f>
        <v/>
      </c>
      <c r="K273" s="10">
        <f>IF('Pairings NB'!J1220=320,4,3)</f>
        <v/>
      </c>
    </row>
    <row r="274">
      <c r="A274" s="10">
        <f>'Pairings NB'!B1225</f>
        <v/>
      </c>
      <c r="B274" s="10">
        <f>'Pairings NB'!C1225</f>
        <v/>
      </c>
      <c r="C274" s="10">
        <f>'Pairings NB'!D1225</f>
        <v/>
      </c>
      <c r="D274" s="10">
        <f>'Pairings NB'!E1225&amp;"/"&amp;'Pairings NB'!E1226</f>
        <v/>
      </c>
      <c r="E274" s="10">
        <f>'Pairings NB'!F1225&amp;"-"&amp;'Pairings NB'!G1225&amp;"-"&amp;'Pairings NB'!F1225</f>
        <v/>
      </c>
      <c r="F274" s="10">
        <f>IFERROR(VLOOKUP('Pairings NB'!$M$1225,Instructores!$A:$C,2,FALSE),"")</f>
        <v/>
      </c>
      <c r="G274" s="10">
        <f>'Pairings NB'!$M$1225</f>
        <v/>
      </c>
      <c r="H274" s="10">
        <f>'Pairings NB'!$O$1225</f>
        <v/>
      </c>
      <c r="I274" s="10">
        <f>'Pairings NB'!J1225</f>
        <v/>
      </c>
      <c r="J274" s="10">
        <f>IFERROR(VLOOKUP('Pairings NB'!$M$1225,Instructores!$A:$C,3,FALSE),"")</f>
        <v/>
      </c>
      <c r="K274" s="10">
        <f>IF('Pairings NB'!J1225=320,4,3)</f>
        <v/>
      </c>
    </row>
    <row r="275">
      <c r="A275" s="10">
        <f>'Pairings NB'!B1230</f>
        <v/>
      </c>
      <c r="B275" s="10">
        <f>'Pairings NB'!C1230</f>
        <v/>
      </c>
      <c r="C275" s="10">
        <f>'Pairings NB'!D1230</f>
        <v/>
      </c>
      <c r="D275" s="10">
        <f>'Pairings NB'!E1230&amp;"/"&amp;'Pairings NB'!E1231</f>
        <v/>
      </c>
      <c r="E275" s="10">
        <f>'Pairings NB'!F1230&amp;"-"&amp;'Pairings NB'!G1230&amp;"-"&amp;'Pairings NB'!F1230</f>
        <v/>
      </c>
      <c r="F275" s="10">
        <f>IFERROR(VLOOKUP('Pairings NB'!$M$1230,Instructores!$A:$C,2,FALSE),"")</f>
        <v/>
      </c>
      <c r="G275" s="10">
        <f>'Pairings NB'!$M$1230</f>
        <v/>
      </c>
      <c r="H275" s="10">
        <f>'Pairings NB'!$O$1230</f>
        <v/>
      </c>
      <c r="I275" s="10">
        <f>'Pairings NB'!J1230</f>
        <v/>
      </c>
      <c r="J275" s="10">
        <f>IFERROR(VLOOKUP('Pairings NB'!$M$1230,Instructores!$A:$C,3,FALSE),"")</f>
        <v/>
      </c>
      <c r="K275" s="10">
        <f>IF('Pairings NB'!J1230=320,4,3)</f>
        <v/>
      </c>
    </row>
    <row r="276">
      <c r="A276" s="10">
        <f>'Pairings NB'!B1235</f>
        <v/>
      </c>
      <c r="B276" s="10">
        <f>'Pairings NB'!C1235</f>
        <v/>
      </c>
      <c r="C276" s="10">
        <f>'Pairings NB'!D1235</f>
        <v/>
      </c>
      <c r="D276" s="10">
        <f>'Pairings NB'!E1235&amp;"/"&amp;'Pairings NB'!E1236</f>
        <v/>
      </c>
      <c r="E276" s="10">
        <f>'Pairings NB'!F1235&amp;"-"&amp;'Pairings NB'!G1235&amp;"-"&amp;'Pairings NB'!F1235</f>
        <v/>
      </c>
      <c r="F276" s="10">
        <f>IFERROR(VLOOKUP('Pairings NB'!$M$1235,Instructores!$A:$C,2,FALSE),"")</f>
        <v/>
      </c>
      <c r="G276" s="10">
        <f>'Pairings NB'!$M$1235</f>
        <v/>
      </c>
      <c r="H276" s="10">
        <f>'Pairings NB'!$O$1235</f>
        <v/>
      </c>
      <c r="I276" s="10">
        <f>'Pairings NB'!J1235</f>
        <v/>
      </c>
      <c r="J276" s="10">
        <f>IFERROR(VLOOKUP('Pairings NB'!$M$1235,Instructores!$A:$C,3,FALSE),"")</f>
        <v/>
      </c>
      <c r="K276" s="10">
        <f>IF('Pairings NB'!J1235=320,4,3)</f>
        <v/>
      </c>
    </row>
    <row r="277">
      <c r="A277" s="10">
        <f>'Pairings NB'!B1240</f>
        <v/>
      </c>
      <c r="B277" s="10">
        <f>'Pairings NB'!C1240</f>
        <v/>
      </c>
      <c r="C277" s="10">
        <f>'Pairings NB'!D1240</f>
        <v/>
      </c>
      <c r="D277" s="10">
        <f>'Pairings NB'!E1240&amp;"/"&amp;'Pairings NB'!E1241</f>
        <v/>
      </c>
      <c r="E277" s="10">
        <f>'Pairings NB'!F1240&amp;"-"&amp;'Pairings NB'!G1240&amp;"-"&amp;'Pairings NB'!F1240</f>
        <v/>
      </c>
      <c r="F277" s="10">
        <f>IFERROR(VLOOKUP('Pairings NB'!$M$1240,Instructores!$A:$C,2,FALSE),"")</f>
        <v/>
      </c>
      <c r="G277" s="10">
        <f>'Pairings NB'!$M$1240</f>
        <v/>
      </c>
      <c r="H277" s="10">
        <f>'Pairings NB'!$O$1240</f>
        <v/>
      </c>
      <c r="I277" s="10">
        <f>'Pairings NB'!J1240</f>
        <v/>
      </c>
      <c r="J277" s="10">
        <f>IFERROR(VLOOKUP('Pairings NB'!$M$1240,Instructores!$A:$C,3,FALSE),"")</f>
        <v/>
      </c>
      <c r="K277" s="10">
        <f>IF('Pairings NB'!J1240=320,4,3)</f>
        <v/>
      </c>
    </row>
    <row r="278">
      <c r="A278" s="10">
        <f>'Pairings NB'!B1242</f>
        <v/>
      </c>
      <c r="B278" s="10">
        <f>'Pairings NB'!C1242</f>
        <v/>
      </c>
      <c r="C278" s="10">
        <f>'Pairings NB'!D1242</f>
        <v/>
      </c>
      <c r="D278" s="10">
        <f>'Pairings NB'!E1242&amp;"/"&amp;'Pairings NB'!E1243</f>
        <v/>
      </c>
      <c r="E278" s="10">
        <f>'Pairings NB'!F1242&amp;"-"&amp;'Pairings NB'!G1242&amp;"-"&amp;'Pairings NB'!F1242</f>
        <v/>
      </c>
      <c r="F278" s="10">
        <f>IFERROR(VLOOKUP('Pairings NB'!$M$1240,Instructores!$A:$C,2,FALSE),"")</f>
        <v/>
      </c>
      <c r="G278" s="10">
        <f>'Pairings NB'!$M$1240</f>
        <v/>
      </c>
      <c r="H278" s="10">
        <f>'Pairings NB'!$O$1240</f>
        <v/>
      </c>
      <c r="I278" s="10">
        <f>'Pairings NB'!J1242</f>
        <v/>
      </c>
      <c r="J278" s="10">
        <f>IFERROR(VLOOKUP('Pairings NB'!$M$1240,Instructores!$A:$C,3,FALSE),"")</f>
        <v/>
      </c>
      <c r="K278" s="10">
        <f>IF('Pairings NB'!J1242=320,4,3)</f>
        <v/>
      </c>
    </row>
    <row r="279">
      <c r="A279" s="10">
        <f>'Pairings NB'!B1247</f>
        <v/>
      </c>
      <c r="B279" s="10">
        <f>'Pairings NB'!C1247</f>
        <v/>
      </c>
      <c r="C279" s="10">
        <f>'Pairings NB'!D1247</f>
        <v/>
      </c>
      <c r="D279" s="10">
        <f>'Pairings NB'!E1247&amp;"/"&amp;'Pairings NB'!E1248</f>
        <v/>
      </c>
      <c r="E279" s="10">
        <f>'Pairings NB'!F1247&amp;"-"&amp;'Pairings NB'!G1247&amp;"-"&amp;'Pairings NB'!F1247</f>
        <v/>
      </c>
      <c r="F279" s="10">
        <f>IFERROR(VLOOKUP('Pairings NB'!$M$1247,Instructores!$A:$C,2,FALSE),"")</f>
        <v/>
      </c>
      <c r="G279" s="10">
        <f>'Pairings NB'!$M$1247</f>
        <v/>
      </c>
      <c r="H279" s="10">
        <f>'Pairings NB'!$O$1247</f>
        <v/>
      </c>
      <c r="I279" s="10">
        <f>'Pairings NB'!J1247</f>
        <v/>
      </c>
      <c r="J279" s="10">
        <f>IFERROR(VLOOKUP('Pairings NB'!$M$1247,Instructores!$A:$C,3,FALSE),"")</f>
        <v/>
      </c>
      <c r="K279" s="10">
        <f>IF('Pairings NB'!J1247=320,4,3)</f>
        <v/>
      </c>
    </row>
    <row r="280">
      <c r="A280" s="10">
        <f>'Pairings NB'!B1252</f>
        <v/>
      </c>
      <c r="B280" s="10">
        <f>'Pairings NB'!C1252</f>
        <v/>
      </c>
      <c r="C280" s="10">
        <f>'Pairings NB'!D1252</f>
        <v/>
      </c>
      <c r="D280" s="10">
        <f>'Pairings NB'!E1252&amp;"/"&amp;'Pairings NB'!E1253</f>
        <v/>
      </c>
      <c r="E280" s="10">
        <f>'Pairings NB'!F1252&amp;"-"&amp;'Pairings NB'!G1252&amp;"-"&amp;'Pairings NB'!F1252</f>
        <v/>
      </c>
      <c r="F280" s="10">
        <f>IFERROR(VLOOKUP('Pairings NB'!$M$1252,Instructores!$A:$C,2,FALSE),"")</f>
        <v/>
      </c>
      <c r="G280" s="10">
        <f>'Pairings NB'!$M$1252</f>
        <v/>
      </c>
      <c r="H280" s="10">
        <f>'Pairings NB'!$O$1252</f>
        <v/>
      </c>
      <c r="I280" s="10">
        <f>'Pairings NB'!J1252</f>
        <v/>
      </c>
      <c r="J280" s="10">
        <f>IFERROR(VLOOKUP('Pairings NB'!$M$1252,Instructores!$A:$C,3,FALSE),"")</f>
        <v/>
      </c>
      <c r="K280" s="10">
        <f>IF('Pairings NB'!J1252=320,4,3)</f>
        <v/>
      </c>
    </row>
    <row r="281">
      <c r="A281" s="10">
        <f>'Pairings NB'!B1257</f>
        <v/>
      </c>
      <c r="B281" s="10">
        <f>'Pairings NB'!C1257</f>
        <v/>
      </c>
      <c r="C281" s="10">
        <f>'Pairings NB'!D1257</f>
        <v/>
      </c>
      <c r="D281" s="10">
        <f>'Pairings NB'!E1257&amp;"/"&amp;'Pairings NB'!E1258</f>
        <v/>
      </c>
      <c r="E281" s="10">
        <f>'Pairings NB'!F1257&amp;"-"&amp;'Pairings NB'!G1257&amp;"-"&amp;'Pairings NB'!F1257</f>
        <v/>
      </c>
      <c r="F281" s="10">
        <f>IFERROR(VLOOKUP('Pairings NB'!$M$1257,Instructores!$A:$C,2,FALSE),"")</f>
        <v/>
      </c>
      <c r="G281" s="10">
        <f>'Pairings NB'!$M$1257</f>
        <v/>
      </c>
      <c r="H281" s="10">
        <f>'Pairings NB'!$O$1257</f>
        <v/>
      </c>
      <c r="I281" s="10">
        <f>'Pairings NB'!J1257</f>
        <v/>
      </c>
      <c r="J281" s="10">
        <f>IFERROR(VLOOKUP('Pairings NB'!$M$1257,Instructores!$A:$C,3,FALSE),"")</f>
        <v/>
      </c>
      <c r="K281" s="10">
        <f>IF('Pairings NB'!J1257=320,4,3)</f>
        <v/>
      </c>
    </row>
    <row r="282">
      <c r="A282" s="10">
        <f>'Pairings NB'!B1262</f>
        <v/>
      </c>
      <c r="B282" s="10">
        <f>'Pairings NB'!C1262</f>
        <v/>
      </c>
      <c r="C282" s="10">
        <f>'Pairings NB'!D1262</f>
        <v/>
      </c>
      <c r="D282" s="10">
        <f>'Pairings NB'!E1262&amp;"/"&amp;'Pairings NB'!E1263</f>
        <v/>
      </c>
      <c r="E282" s="10">
        <f>'Pairings NB'!F1262&amp;"-"&amp;'Pairings NB'!G1262&amp;"-"&amp;'Pairings NB'!F1262</f>
        <v/>
      </c>
      <c r="F282" s="10">
        <f>IFERROR(VLOOKUP('Pairings NB'!$M$1262,Instructores!$A:$C,2,FALSE),"")</f>
        <v/>
      </c>
      <c r="G282" s="10">
        <f>'Pairings NB'!$M$1262</f>
        <v/>
      </c>
      <c r="H282" s="10">
        <f>'Pairings NB'!$O$1262</f>
        <v/>
      </c>
      <c r="I282" s="10">
        <f>'Pairings NB'!J1262</f>
        <v/>
      </c>
      <c r="J282" s="10">
        <f>IFERROR(VLOOKUP('Pairings NB'!$M$1262,Instructores!$A:$C,3,FALSE),"")</f>
        <v/>
      </c>
      <c r="K282" s="10">
        <f>IF('Pairings NB'!J1262=320,4,3)</f>
        <v/>
      </c>
    </row>
    <row r="283">
      <c r="A283" s="10">
        <f>'Pairings NB'!B1267</f>
        <v/>
      </c>
      <c r="B283" s="10">
        <f>'Pairings NB'!C1267</f>
        <v/>
      </c>
      <c r="C283" s="10">
        <f>'Pairings NB'!D1267</f>
        <v/>
      </c>
      <c r="D283" s="10">
        <f>'Pairings NB'!E1267&amp;"/"&amp;'Pairings NB'!E1268</f>
        <v/>
      </c>
      <c r="E283" s="10">
        <f>'Pairings NB'!F1267&amp;"-"&amp;'Pairings NB'!G1267&amp;"-"&amp;'Pairings NB'!F1267</f>
        <v/>
      </c>
      <c r="F283" s="10">
        <f>IFERROR(VLOOKUP('Pairings NB'!$M$1267,Instructores!$A:$C,2,FALSE),"")</f>
        <v/>
      </c>
      <c r="G283" s="10">
        <f>'Pairings NB'!$M$1267</f>
        <v/>
      </c>
      <c r="H283" s="10">
        <f>'Pairings NB'!$O$1267</f>
        <v/>
      </c>
      <c r="I283" s="10">
        <f>'Pairings NB'!J1267</f>
        <v/>
      </c>
      <c r="J283" s="10">
        <f>IFERROR(VLOOKUP('Pairings NB'!$M$1267,Instructores!$A:$C,3,FALSE),"")</f>
        <v/>
      </c>
      <c r="K283" s="10">
        <f>IF('Pairings NB'!J1267=320,4,3)</f>
        <v/>
      </c>
    </row>
    <row r="284">
      <c r="A284" s="10">
        <f>'Pairings NB'!B1272</f>
        <v/>
      </c>
      <c r="B284" s="10">
        <f>'Pairings NB'!C1272</f>
        <v/>
      </c>
      <c r="C284" s="10">
        <f>'Pairings NB'!D1272</f>
        <v/>
      </c>
      <c r="D284" s="10">
        <f>'Pairings NB'!E1272&amp;"/"&amp;'Pairings NB'!E1273</f>
        <v/>
      </c>
      <c r="E284" s="10">
        <f>'Pairings NB'!F1272&amp;"-"&amp;'Pairings NB'!G1272&amp;"-"&amp;'Pairings NB'!F1272</f>
        <v/>
      </c>
      <c r="F284" s="10">
        <f>IFERROR(VLOOKUP('Pairings NB'!$M$1272,Instructores!$A:$C,2,FALSE),"")</f>
        <v/>
      </c>
      <c r="G284" s="10">
        <f>'Pairings NB'!$M$1272</f>
        <v/>
      </c>
      <c r="H284" s="10">
        <f>'Pairings NB'!$O$1272</f>
        <v/>
      </c>
      <c r="I284" s="10">
        <f>'Pairings NB'!J1272</f>
        <v/>
      </c>
      <c r="J284" s="10">
        <f>IFERROR(VLOOKUP('Pairings NB'!$M$1272,Instructores!$A:$C,3,FALSE),"")</f>
        <v/>
      </c>
      <c r="K284" s="10">
        <f>IF('Pairings NB'!J1272=320,4,3)</f>
        <v/>
      </c>
    </row>
    <row r="285">
      <c r="A285" s="10">
        <f>'Pairings NB'!B1277</f>
        <v/>
      </c>
      <c r="B285" s="10">
        <f>'Pairings NB'!C1277</f>
        <v/>
      </c>
      <c r="C285" s="10">
        <f>'Pairings NB'!D1277</f>
        <v/>
      </c>
      <c r="D285" s="10">
        <f>'Pairings NB'!E1277&amp;"/"&amp;'Pairings NB'!E1278</f>
        <v/>
      </c>
      <c r="E285" s="10">
        <f>'Pairings NB'!F1277&amp;"-"&amp;'Pairings NB'!G1277&amp;"-"&amp;'Pairings NB'!F1277</f>
        <v/>
      </c>
      <c r="F285" s="10">
        <f>IFERROR(VLOOKUP('Pairings NB'!$M$1277,Instructores!$A:$C,2,FALSE),"")</f>
        <v/>
      </c>
      <c r="G285" s="10">
        <f>'Pairings NB'!$M$1277</f>
        <v/>
      </c>
      <c r="H285" s="10">
        <f>'Pairings NB'!$O$1277</f>
        <v/>
      </c>
      <c r="I285" s="10">
        <f>'Pairings NB'!J1277</f>
        <v/>
      </c>
      <c r="J285" s="10">
        <f>IFERROR(VLOOKUP('Pairings NB'!$M$1277,Instructores!$A:$C,3,FALSE),"")</f>
        <v/>
      </c>
      <c r="K285" s="10">
        <f>IF('Pairings NB'!J1277=320,4,3)</f>
        <v/>
      </c>
    </row>
    <row r="286">
      <c r="A286" s="10">
        <f>'Pairings NB'!B1282</f>
        <v/>
      </c>
      <c r="B286" s="10">
        <f>'Pairings NB'!C1282</f>
        <v/>
      </c>
      <c r="C286" s="10">
        <f>'Pairings NB'!D1282</f>
        <v/>
      </c>
      <c r="D286" s="10">
        <f>'Pairings NB'!E1282&amp;"/"&amp;'Pairings NB'!E1283</f>
        <v/>
      </c>
      <c r="E286" s="10">
        <f>'Pairings NB'!F1282&amp;"-"&amp;'Pairings NB'!G1282&amp;"-"&amp;'Pairings NB'!F1282</f>
        <v/>
      </c>
      <c r="F286" s="10">
        <f>IFERROR(VLOOKUP('Pairings NB'!$M$1282,Instructores!$A:$C,2,FALSE),"")</f>
        <v/>
      </c>
      <c r="G286" s="10">
        <f>'Pairings NB'!$M$1282</f>
        <v/>
      </c>
      <c r="H286" s="10">
        <f>'Pairings NB'!$O$1282</f>
        <v/>
      </c>
      <c r="I286" s="10">
        <f>'Pairings NB'!J1282</f>
        <v/>
      </c>
      <c r="J286" s="10">
        <f>IFERROR(VLOOKUP('Pairings NB'!$M$1282,Instructores!$A:$C,3,FALSE),"")</f>
        <v/>
      </c>
      <c r="K286" s="10">
        <f>IF('Pairings NB'!J1282=320,4,3)</f>
        <v/>
      </c>
    </row>
    <row r="287">
      <c r="A287" s="10">
        <f>'Pairings NB'!B1287</f>
        <v/>
      </c>
      <c r="B287" s="10">
        <f>'Pairings NB'!C1287</f>
        <v/>
      </c>
      <c r="C287" s="10">
        <f>'Pairings NB'!D1287</f>
        <v/>
      </c>
      <c r="D287" s="10">
        <f>'Pairings NB'!E1287&amp;"/"&amp;'Pairings NB'!E1288</f>
        <v/>
      </c>
      <c r="E287" s="10">
        <f>'Pairings NB'!F1287&amp;"-"&amp;'Pairings NB'!G1287&amp;"-"&amp;'Pairings NB'!F1287</f>
        <v/>
      </c>
      <c r="F287" s="10">
        <f>IFERROR(VLOOKUP('Pairings NB'!$M$1287,Instructores!$A:$C,2,FALSE),"")</f>
        <v/>
      </c>
      <c r="G287" s="10">
        <f>'Pairings NB'!$M$1287</f>
        <v/>
      </c>
      <c r="H287" s="10">
        <f>'Pairings NB'!$O$1287</f>
        <v/>
      </c>
      <c r="I287" s="10">
        <f>'Pairings NB'!J1287</f>
        <v/>
      </c>
      <c r="J287" s="10">
        <f>IFERROR(VLOOKUP('Pairings NB'!$M$1287,Instructores!$A:$C,3,FALSE),"")</f>
        <v/>
      </c>
      <c r="K287" s="10">
        <f>IF('Pairings NB'!J1287=320,4,3)</f>
        <v/>
      </c>
    </row>
    <row r="288">
      <c r="A288" s="10">
        <f>'Pairings NB'!B1289</f>
        <v/>
      </c>
      <c r="B288" s="10">
        <f>'Pairings NB'!C1289</f>
        <v/>
      </c>
      <c r="C288" s="10">
        <f>'Pairings NB'!D1289</f>
        <v/>
      </c>
      <c r="D288" s="10">
        <f>'Pairings NB'!E1289&amp;"/"&amp;'Pairings NB'!E1290</f>
        <v/>
      </c>
      <c r="E288" s="10">
        <f>'Pairings NB'!F1289&amp;"-"&amp;'Pairings NB'!G1289&amp;"-"&amp;'Pairings NB'!F1289</f>
        <v/>
      </c>
      <c r="F288" s="10">
        <f>IFERROR(VLOOKUP('Pairings NB'!$M$1287,Instructores!$A:$C,2,FALSE),"")</f>
        <v/>
      </c>
      <c r="G288" s="10">
        <f>'Pairings NB'!$M$1287</f>
        <v/>
      </c>
      <c r="H288" s="10">
        <f>'Pairings NB'!$O$1287</f>
        <v/>
      </c>
      <c r="I288" s="10">
        <f>'Pairings NB'!J1289</f>
        <v/>
      </c>
      <c r="J288" s="10">
        <f>IFERROR(VLOOKUP('Pairings NB'!$M$1287,Instructores!$A:$C,3,FALSE),"")</f>
        <v/>
      </c>
      <c r="K288" s="10">
        <f>IF('Pairings NB'!J1289=320,4,3)</f>
        <v/>
      </c>
    </row>
    <row r="289">
      <c r="A289" s="10">
        <f>'Pairings NB'!B1294</f>
        <v/>
      </c>
      <c r="B289" s="10">
        <f>'Pairings NB'!C1294</f>
        <v/>
      </c>
      <c r="C289" s="10">
        <f>'Pairings NB'!D1294</f>
        <v/>
      </c>
      <c r="D289" s="10">
        <f>'Pairings NB'!E1294&amp;"/"&amp;'Pairings NB'!E1295</f>
        <v/>
      </c>
      <c r="E289" s="10">
        <f>'Pairings NB'!F1294&amp;"-"&amp;'Pairings NB'!G1294&amp;"-"&amp;'Pairings NB'!F1294</f>
        <v/>
      </c>
      <c r="F289" s="10">
        <f>IFERROR(VLOOKUP('Pairings NB'!$M$1294,Instructores!$A:$C,2,FALSE),"")</f>
        <v/>
      </c>
      <c r="G289" s="10">
        <f>'Pairings NB'!$M$1294</f>
        <v/>
      </c>
      <c r="H289" s="10">
        <f>'Pairings NB'!$O$1294</f>
        <v/>
      </c>
      <c r="I289" s="10">
        <f>'Pairings NB'!J1294</f>
        <v/>
      </c>
      <c r="J289" s="10">
        <f>IFERROR(VLOOKUP('Pairings NB'!$M$1294,Instructores!$A:$C,3,FALSE),"")</f>
        <v/>
      </c>
      <c r="K289" s="10">
        <f>IF('Pairings NB'!J1294=320,4,3)</f>
        <v/>
      </c>
    </row>
    <row r="290">
      <c r="A290" s="10">
        <f>'Pairings NB'!B1296</f>
        <v/>
      </c>
      <c r="B290" s="10">
        <f>'Pairings NB'!C1296</f>
        <v/>
      </c>
      <c r="C290" s="10">
        <f>'Pairings NB'!D1296</f>
        <v/>
      </c>
      <c r="D290" s="10">
        <f>'Pairings NB'!E1296&amp;"/"&amp;'Pairings NB'!E1297</f>
        <v/>
      </c>
      <c r="E290" s="10">
        <f>'Pairings NB'!F1296&amp;"-"&amp;'Pairings NB'!G1296&amp;"-"&amp;'Pairings NB'!F1296</f>
        <v/>
      </c>
      <c r="F290" s="10">
        <f>IFERROR(VLOOKUP('Pairings NB'!$M$1294,Instructores!$A:$C,2,FALSE),"")</f>
        <v/>
      </c>
      <c r="G290" s="10">
        <f>'Pairings NB'!$M$1294</f>
        <v/>
      </c>
      <c r="H290" s="10">
        <f>'Pairings NB'!$O$1294</f>
        <v/>
      </c>
      <c r="I290" s="10">
        <f>'Pairings NB'!J1296</f>
        <v/>
      </c>
      <c r="J290" s="10">
        <f>IFERROR(VLOOKUP('Pairings NB'!$M$1294,Instructores!$A:$C,3,FALSE),"")</f>
        <v/>
      </c>
      <c r="K290" s="10">
        <f>IF('Pairings NB'!J1296=320,4,3)</f>
        <v/>
      </c>
    </row>
    <row r="291">
      <c r="A291" s="10">
        <f>'Pairings NB'!B1301</f>
        <v/>
      </c>
      <c r="B291" s="10">
        <f>'Pairings NB'!C1301</f>
        <v/>
      </c>
      <c r="C291" s="10">
        <f>'Pairings NB'!D1301</f>
        <v/>
      </c>
      <c r="D291" s="10">
        <f>'Pairings NB'!E1301&amp;"/"&amp;'Pairings NB'!E1302</f>
        <v/>
      </c>
      <c r="E291" s="10">
        <f>'Pairings NB'!F1301&amp;"-"&amp;'Pairings NB'!G1301&amp;"-"&amp;'Pairings NB'!F1301</f>
        <v/>
      </c>
      <c r="F291" s="10">
        <f>IFERROR(VLOOKUP('Pairings NB'!$M$1301,Instructores!$A:$C,2,FALSE),"")</f>
        <v/>
      </c>
      <c r="G291" s="10">
        <f>'Pairings NB'!$M$1301</f>
        <v/>
      </c>
      <c r="H291" s="10">
        <f>'Pairings NB'!$O$1301</f>
        <v/>
      </c>
      <c r="I291" s="10">
        <f>'Pairings NB'!J1301</f>
        <v/>
      </c>
      <c r="J291" s="10">
        <f>IFERROR(VLOOKUP('Pairings NB'!$M$1301,Instructores!$A:$C,3,FALSE),"")</f>
        <v/>
      </c>
      <c r="K291" s="10">
        <f>IF('Pairings NB'!J1301=320,4,3)</f>
        <v/>
      </c>
    </row>
    <row r="292">
      <c r="A292" s="10">
        <f>'Pairings NB'!B1306</f>
        <v/>
      </c>
      <c r="B292" s="10">
        <f>'Pairings NB'!C1306</f>
        <v/>
      </c>
      <c r="C292" s="10">
        <f>'Pairings NB'!D1306</f>
        <v/>
      </c>
      <c r="D292" s="10">
        <f>'Pairings NB'!E1306&amp;"/"&amp;'Pairings NB'!E1307</f>
        <v/>
      </c>
      <c r="E292" s="10">
        <f>'Pairings NB'!F1306&amp;"-"&amp;'Pairings NB'!G1306&amp;"-"&amp;'Pairings NB'!F1306</f>
        <v/>
      </c>
      <c r="F292" s="10">
        <f>IFERROR(VLOOKUP('Pairings NB'!$M$1306,Instructores!$A:$C,2,FALSE),"")</f>
        <v/>
      </c>
      <c r="G292" s="10">
        <f>'Pairings NB'!$M$1306</f>
        <v/>
      </c>
      <c r="H292" s="10">
        <f>'Pairings NB'!$O$1306</f>
        <v/>
      </c>
      <c r="I292" s="10">
        <f>'Pairings NB'!J1306</f>
        <v/>
      </c>
      <c r="J292" s="10">
        <f>IFERROR(VLOOKUP('Pairings NB'!$M$1306,Instructores!$A:$C,3,FALSE),"")</f>
        <v/>
      </c>
      <c r="K292" s="10">
        <f>IF('Pairings NB'!J1306=320,4,3)</f>
        <v/>
      </c>
    </row>
    <row r="293">
      <c r="A293" s="10">
        <f>'Pairings NB'!B1311</f>
        <v/>
      </c>
      <c r="B293" s="10">
        <f>'Pairings NB'!C1311</f>
        <v/>
      </c>
      <c r="C293" s="10">
        <f>'Pairings NB'!D1311</f>
        <v/>
      </c>
      <c r="D293" s="10">
        <f>'Pairings NB'!E1311&amp;"/"&amp;'Pairings NB'!E1312</f>
        <v/>
      </c>
      <c r="E293" s="10">
        <f>'Pairings NB'!F1311&amp;"-"&amp;'Pairings NB'!G1311&amp;"-"&amp;'Pairings NB'!F1311</f>
        <v/>
      </c>
      <c r="F293" s="10">
        <f>IFERROR(VLOOKUP('Pairings NB'!$M$1311,Instructores!$A:$C,2,FALSE),"")</f>
        <v/>
      </c>
      <c r="G293" s="10">
        <f>'Pairings NB'!$M$1311</f>
        <v/>
      </c>
      <c r="H293" s="10">
        <f>'Pairings NB'!$O$1311</f>
        <v/>
      </c>
      <c r="I293" s="10">
        <f>'Pairings NB'!J1311</f>
        <v/>
      </c>
      <c r="J293" s="10">
        <f>IFERROR(VLOOKUP('Pairings NB'!$M$1311,Instructores!$A:$C,3,FALSE),"")</f>
        <v/>
      </c>
      <c r="K293" s="10">
        <f>IF('Pairings NB'!J1311=320,4,3)</f>
        <v/>
      </c>
    </row>
    <row r="294">
      <c r="A294" s="10">
        <f>'Pairings NB'!B1316</f>
        <v/>
      </c>
      <c r="B294" s="10">
        <f>'Pairings NB'!C1316</f>
        <v/>
      </c>
      <c r="C294" s="10">
        <f>'Pairings NB'!D1316</f>
        <v/>
      </c>
      <c r="D294" s="10">
        <f>'Pairings NB'!E1316&amp;"/"&amp;'Pairings NB'!E1317</f>
        <v/>
      </c>
      <c r="E294" s="10">
        <f>'Pairings NB'!F1316&amp;"-"&amp;'Pairings NB'!G1316&amp;"-"&amp;'Pairings NB'!F1316</f>
        <v/>
      </c>
      <c r="F294" s="10">
        <f>IFERROR(VLOOKUP('Pairings NB'!$M$1316,Instructores!$A:$C,2,FALSE),"")</f>
        <v/>
      </c>
      <c r="G294" s="10">
        <f>'Pairings NB'!$M$1316</f>
        <v/>
      </c>
      <c r="H294" s="10">
        <f>'Pairings NB'!$O$1316</f>
        <v/>
      </c>
      <c r="I294" s="10">
        <f>'Pairings NB'!J1316</f>
        <v/>
      </c>
      <c r="J294" s="10">
        <f>IFERROR(VLOOKUP('Pairings NB'!$M$1316,Instructores!$A:$C,3,FALSE),"")</f>
        <v/>
      </c>
      <c r="K294" s="10">
        <f>IF('Pairings NB'!J1316=320,4,3)</f>
        <v/>
      </c>
    </row>
    <row r="295">
      <c r="A295" s="10">
        <f>'Pairings NB'!B1321</f>
        <v/>
      </c>
      <c r="B295" s="10">
        <f>'Pairings NB'!C1321</f>
        <v/>
      </c>
      <c r="C295" s="10">
        <f>'Pairings NB'!D1321</f>
        <v/>
      </c>
      <c r="D295" s="10">
        <f>'Pairings NB'!E1321&amp;"/"&amp;'Pairings NB'!E1322</f>
        <v/>
      </c>
      <c r="E295" s="10">
        <f>'Pairings NB'!F1321&amp;"-"&amp;'Pairings NB'!G1321&amp;"-"&amp;'Pairings NB'!F1321</f>
        <v/>
      </c>
      <c r="F295" s="10">
        <f>IFERROR(VLOOKUP('Pairings NB'!$M$1321,Instructores!$A:$C,2,FALSE),"")</f>
        <v/>
      </c>
      <c r="G295" s="10">
        <f>'Pairings NB'!$M$1321</f>
        <v/>
      </c>
      <c r="H295" s="10">
        <f>'Pairings NB'!$O$1321</f>
        <v/>
      </c>
      <c r="I295" s="10">
        <f>'Pairings NB'!J1321</f>
        <v/>
      </c>
      <c r="J295" s="10">
        <f>IFERROR(VLOOKUP('Pairings NB'!$M$1321,Instructores!$A:$C,3,FALSE),"")</f>
        <v/>
      </c>
      <c r="K295" s="10">
        <f>IF('Pairings NB'!J1321=320,4,3)</f>
        <v/>
      </c>
    </row>
    <row r="296">
      <c r="A296" s="10">
        <f>'Pairings NB'!B1326</f>
        <v/>
      </c>
      <c r="B296" s="10">
        <f>'Pairings NB'!C1326</f>
        <v/>
      </c>
      <c r="C296" s="10">
        <f>'Pairings NB'!D1326</f>
        <v/>
      </c>
      <c r="D296" s="10">
        <f>'Pairings NB'!E1326&amp;"/"&amp;'Pairings NB'!E1327</f>
        <v/>
      </c>
      <c r="E296" s="10">
        <f>'Pairings NB'!F1326&amp;"-"&amp;'Pairings NB'!G1326&amp;"-"&amp;'Pairings NB'!F1326</f>
        <v/>
      </c>
      <c r="F296" s="10">
        <f>IFERROR(VLOOKUP('Pairings NB'!$M$1326,Instructores!$A:$C,2,FALSE),"")</f>
        <v/>
      </c>
      <c r="G296" s="10">
        <f>'Pairings NB'!$M$1326</f>
        <v/>
      </c>
      <c r="H296" s="10">
        <f>'Pairings NB'!$O$1326</f>
        <v/>
      </c>
      <c r="I296" s="10">
        <f>'Pairings NB'!J1326</f>
        <v/>
      </c>
      <c r="J296" s="10">
        <f>IFERROR(VLOOKUP('Pairings NB'!$M$1326,Instructores!$A:$C,3,FALSE),"")</f>
        <v/>
      </c>
      <c r="K296" s="10">
        <f>IF('Pairings NB'!J1326=320,4,3)</f>
        <v/>
      </c>
    </row>
    <row r="297">
      <c r="A297" s="10">
        <f>'Pairings NB'!B1331</f>
        <v/>
      </c>
      <c r="B297" s="10">
        <f>'Pairings NB'!C1331</f>
        <v/>
      </c>
      <c r="C297" s="10">
        <f>'Pairings NB'!D1331</f>
        <v/>
      </c>
      <c r="D297" s="10">
        <f>'Pairings NB'!E1331&amp;"/"&amp;'Pairings NB'!E1332</f>
        <v/>
      </c>
      <c r="E297" s="10">
        <f>'Pairings NB'!F1331&amp;"-"&amp;'Pairings NB'!G1331&amp;"-"&amp;'Pairings NB'!F1331</f>
        <v/>
      </c>
      <c r="F297" s="10">
        <f>IFERROR(VLOOKUP('Pairings NB'!$M$1331,Instructores!$A:$C,2,FALSE),"")</f>
        <v/>
      </c>
      <c r="G297" s="10">
        <f>'Pairings NB'!$M$1331</f>
        <v/>
      </c>
      <c r="H297" s="10">
        <f>'Pairings NB'!$O$1331</f>
        <v/>
      </c>
      <c r="I297" s="10">
        <f>'Pairings NB'!J1331</f>
        <v/>
      </c>
      <c r="J297" s="10">
        <f>IFERROR(VLOOKUP('Pairings NB'!$M$1331,Instructores!$A:$C,3,FALSE),"")</f>
        <v/>
      </c>
      <c r="K297" s="10">
        <f>IF('Pairings NB'!J1331=320,4,3)</f>
        <v/>
      </c>
    </row>
    <row r="298">
      <c r="A298" s="10">
        <f>'Pairings NB'!B1336</f>
        <v/>
      </c>
      <c r="B298" s="10">
        <f>'Pairings NB'!C1336</f>
        <v/>
      </c>
      <c r="C298" s="10">
        <f>'Pairings NB'!D1336</f>
        <v/>
      </c>
      <c r="D298" s="10">
        <f>'Pairings NB'!E1336&amp;"/"&amp;'Pairings NB'!E1337</f>
        <v/>
      </c>
      <c r="E298" s="10">
        <f>'Pairings NB'!F1336&amp;"-"&amp;'Pairings NB'!G1336&amp;"-"&amp;'Pairings NB'!F1336</f>
        <v/>
      </c>
      <c r="F298" s="10">
        <f>IFERROR(VLOOKUP('Pairings NB'!$M$1336,Instructores!$A:$C,2,FALSE),"")</f>
        <v/>
      </c>
      <c r="G298" s="10">
        <f>'Pairings NB'!$M$1336</f>
        <v/>
      </c>
      <c r="H298" s="10">
        <f>'Pairings NB'!$O$1336</f>
        <v/>
      </c>
      <c r="I298" s="10">
        <f>'Pairings NB'!J1336</f>
        <v/>
      </c>
      <c r="J298" s="10">
        <f>IFERROR(VLOOKUP('Pairings NB'!$M$1336,Instructores!$A:$C,3,FALSE),"")</f>
        <v/>
      </c>
      <c r="K298" s="10">
        <f>IF('Pairings NB'!J1336=320,4,3)</f>
        <v/>
      </c>
    </row>
    <row r="299">
      <c r="A299" s="10">
        <f>'Pairings NB'!B1341</f>
        <v/>
      </c>
      <c r="B299" s="10">
        <f>'Pairings NB'!C1341</f>
        <v/>
      </c>
      <c r="C299" s="10">
        <f>'Pairings NB'!D1341</f>
        <v/>
      </c>
      <c r="D299" s="10">
        <f>'Pairings NB'!E1341&amp;"/"&amp;'Pairings NB'!E1342</f>
        <v/>
      </c>
      <c r="E299" s="10">
        <f>'Pairings NB'!F1341&amp;"-"&amp;'Pairings NB'!G1341&amp;"-"&amp;'Pairings NB'!F1341</f>
        <v/>
      </c>
      <c r="F299" s="10">
        <f>IFERROR(VLOOKUP('Pairings NB'!$M$1341,Instructores!$A:$C,2,FALSE),"")</f>
        <v/>
      </c>
      <c r="G299" s="10">
        <f>'Pairings NB'!$M$1341</f>
        <v/>
      </c>
      <c r="H299" s="10">
        <f>'Pairings NB'!$O$1341</f>
        <v/>
      </c>
      <c r="I299" s="10">
        <f>'Pairings NB'!J1341</f>
        <v/>
      </c>
      <c r="J299" s="10">
        <f>IFERROR(VLOOKUP('Pairings NB'!$M$1341,Instructores!$A:$C,3,FALSE),"")</f>
        <v/>
      </c>
      <c r="K299" s="10">
        <f>IF('Pairings NB'!J1341=320,4,3)</f>
        <v/>
      </c>
    </row>
    <row r="300">
      <c r="A300" s="10">
        <f>'Pairings NB'!B1346</f>
        <v/>
      </c>
      <c r="B300" s="10">
        <f>'Pairings NB'!C1346</f>
        <v/>
      </c>
      <c r="C300" s="10">
        <f>'Pairings NB'!D1346</f>
        <v/>
      </c>
      <c r="D300" s="10">
        <f>'Pairings NB'!E1346&amp;"/"&amp;'Pairings NB'!E1347</f>
        <v/>
      </c>
      <c r="E300" s="10">
        <f>'Pairings NB'!F1346&amp;"-"&amp;'Pairings NB'!G1346&amp;"-"&amp;'Pairings NB'!F1346</f>
        <v/>
      </c>
      <c r="F300" s="10">
        <f>IFERROR(VLOOKUP('Pairings NB'!$M$1346,Instructores!$A:$C,2,FALSE),"")</f>
        <v/>
      </c>
      <c r="G300" s="10">
        <f>'Pairings NB'!$M$1346</f>
        <v/>
      </c>
      <c r="H300" s="10">
        <f>'Pairings NB'!$O$1346</f>
        <v/>
      </c>
      <c r="I300" s="10">
        <f>'Pairings NB'!J1346</f>
        <v/>
      </c>
      <c r="J300" s="10">
        <f>IFERROR(VLOOKUP('Pairings NB'!$M$1346,Instructores!$A:$C,3,FALSE),"")</f>
        <v/>
      </c>
      <c r="K300" s="10">
        <f>IF('Pairings NB'!J1346=320,4,3)</f>
        <v/>
      </c>
    </row>
    <row r="301">
      <c r="A301" s="10">
        <f>'Pairings NB'!B1351</f>
        <v/>
      </c>
      <c r="B301" s="10">
        <f>'Pairings NB'!C1351</f>
        <v/>
      </c>
      <c r="C301" s="10">
        <f>'Pairings NB'!D1351</f>
        <v/>
      </c>
      <c r="D301" s="10">
        <f>'Pairings NB'!E1351&amp;"/"&amp;'Pairings NB'!E1352</f>
        <v/>
      </c>
      <c r="E301" s="10">
        <f>'Pairings NB'!F1351&amp;"-"&amp;'Pairings NB'!G1351&amp;"-"&amp;'Pairings NB'!F1351</f>
        <v/>
      </c>
      <c r="F301" s="10">
        <f>IFERROR(VLOOKUP('Pairings NB'!$M$1351,Instructores!$A:$C,2,FALSE),"")</f>
        <v/>
      </c>
      <c r="G301" s="10">
        <f>'Pairings NB'!$M$1351</f>
        <v/>
      </c>
      <c r="H301" s="10">
        <f>'Pairings NB'!$O$1351</f>
        <v/>
      </c>
      <c r="I301" s="10">
        <f>'Pairings NB'!J1351</f>
        <v/>
      </c>
      <c r="J301" s="10">
        <f>IFERROR(VLOOKUP('Pairings NB'!$M$1351,Instructores!$A:$C,3,FALSE),"")</f>
        <v/>
      </c>
      <c r="K301" s="10">
        <f>IF('Pairings NB'!J1351=320,4,3)</f>
        <v/>
      </c>
    </row>
    <row r="302">
      <c r="A302" s="10">
        <f>'Pairings NB'!B1356</f>
        <v/>
      </c>
      <c r="B302" s="10">
        <f>'Pairings NB'!C1356</f>
        <v/>
      </c>
      <c r="C302" s="10">
        <f>'Pairings NB'!D1356</f>
        <v/>
      </c>
      <c r="D302" s="10">
        <f>'Pairings NB'!E1356&amp;"/"&amp;'Pairings NB'!E1357</f>
        <v/>
      </c>
      <c r="E302" s="10">
        <f>'Pairings NB'!F1356&amp;"-"&amp;'Pairings NB'!G1356&amp;"-"&amp;'Pairings NB'!F1356</f>
        <v/>
      </c>
      <c r="F302" s="10">
        <f>IFERROR(VLOOKUP('Pairings NB'!$M$1356,Instructores!$A:$C,2,FALSE),"")</f>
        <v/>
      </c>
      <c r="G302" s="10">
        <f>'Pairings NB'!$M$1356</f>
        <v/>
      </c>
      <c r="H302" s="10">
        <f>'Pairings NB'!$O$1356</f>
        <v/>
      </c>
      <c r="I302" s="10">
        <f>'Pairings NB'!J1356</f>
        <v/>
      </c>
      <c r="J302" s="10">
        <f>IFERROR(VLOOKUP('Pairings NB'!$M$1356,Instructores!$A:$C,3,FALSE),"")</f>
        <v/>
      </c>
      <c r="K302" s="10">
        <f>IF('Pairings NB'!J1356=320,4,3)</f>
        <v/>
      </c>
    </row>
    <row r="303">
      <c r="A303" s="10">
        <f>'Pairings NB'!B1358</f>
        <v/>
      </c>
      <c r="B303" s="10">
        <f>'Pairings NB'!C1358</f>
        <v/>
      </c>
      <c r="C303" s="10">
        <f>'Pairings NB'!D1358</f>
        <v/>
      </c>
      <c r="D303" s="10">
        <f>'Pairings NB'!E1358&amp;"/"&amp;'Pairings NB'!E1359</f>
        <v/>
      </c>
      <c r="E303" s="10">
        <f>'Pairings NB'!F1358&amp;"-"&amp;'Pairings NB'!G1358&amp;"-"&amp;'Pairings NB'!F1358</f>
        <v/>
      </c>
      <c r="F303" s="10">
        <f>IFERROR(VLOOKUP('Pairings NB'!$M$1356,Instructores!$A:$C,2,FALSE),"")</f>
        <v/>
      </c>
      <c r="G303" s="10">
        <f>'Pairings NB'!$M$1356</f>
        <v/>
      </c>
      <c r="H303" s="10">
        <f>'Pairings NB'!$O$1356</f>
        <v/>
      </c>
      <c r="I303" s="10">
        <f>'Pairings NB'!J1358</f>
        <v/>
      </c>
      <c r="J303" s="10">
        <f>IFERROR(VLOOKUP('Pairings NB'!$M$1356,Instructores!$A:$C,3,FALSE),"")</f>
        <v/>
      </c>
      <c r="K303" s="10">
        <f>IF('Pairings NB'!J1358=320,4,3)</f>
        <v/>
      </c>
    </row>
    <row r="304">
      <c r="A304" s="10">
        <f>'Pairings NB'!B1363</f>
        <v/>
      </c>
      <c r="B304" s="10">
        <f>'Pairings NB'!C1363</f>
        <v/>
      </c>
      <c r="C304" s="10">
        <f>'Pairings NB'!D1363</f>
        <v/>
      </c>
      <c r="D304" s="10">
        <f>'Pairings NB'!E1363&amp;"/"&amp;'Pairings NB'!E1364</f>
        <v/>
      </c>
      <c r="E304" s="10">
        <f>'Pairings NB'!F1363&amp;"-"&amp;'Pairings NB'!G1363&amp;"-"&amp;'Pairings NB'!F1363</f>
        <v/>
      </c>
      <c r="F304" s="10">
        <f>IFERROR(VLOOKUP('Pairings NB'!$M$1363,Instructores!$A:$C,2,FALSE),"")</f>
        <v/>
      </c>
      <c r="G304" s="10">
        <f>'Pairings NB'!$M$1363</f>
        <v/>
      </c>
      <c r="H304" s="10">
        <f>'Pairings NB'!$O$1363</f>
        <v/>
      </c>
      <c r="I304" s="10">
        <f>'Pairings NB'!J1363</f>
        <v/>
      </c>
      <c r="J304" s="10">
        <f>IFERROR(VLOOKUP('Pairings NB'!$M$1363,Instructores!$A:$C,3,FALSE),"")</f>
        <v/>
      </c>
      <c r="K304" s="10">
        <f>IF('Pairings NB'!J1363=320,4,3)</f>
        <v/>
      </c>
    </row>
    <row r="305">
      <c r="A305" s="10">
        <f>'Pairings NB'!B1365</f>
        <v/>
      </c>
      <c r="B305" s="10">
        <f>'Pairings NB'!C1365</f>
        <v/>
      </c>
      <c r="C305" s="10">
        <f>'Pairings NB'!D1365</f>
        <v/>
      </c>
      <c r="D305" s="10">
        <f>'Pairings NB'!E1365&amp;"/"&amp;'Pairings NB'!E1366</f>
        <v/>
      </c>
      <c r="E305" s="10">
        <f>'Pairings NB'!F1365&amp;"-"&amp;'Pairings NB'!G1365&amp;"-"&amp;'Pairings NB'!F1365</f>
        <v/>
      </c>
      <c r="F305" s="10">
        <f>IFERROR(VLOOKUP('Pairings NB'!$M$1363,Instructores!$A:$C,2,FALSE),"")</f>
        <v/>
      </c>
      <c r="G305" s="10">
        <f>'Pairings NB'!$M$1363</f>
        <v/>
      </c>
      <c r="H305" s="10">
        <f>'Pairings NB'!$O$1363</f>
        <v/>
      </c>
      <c r="I305" s="10">
        <f>'Pairings NB'!J1365</f>
        <v/>
      </c>
      <c r="J305" s="10">
        <f>IFERROR(VLOOKUP('Pairings NB'!$M$1363,Instructores!$A:$C,3,FALSE),"")</f>
        <v/>
      </c>
      <c r="K305" s="10">
        <f>IF('Pairings NB'!J1365=320,4,3)</f>
        <v/>
      </c>
    </row>
    <row r="306">
      <c r="A306" s="10">
        <f>'Pairings NB'!B1370</f>
        <v/>
      </c>
      <c r="B306" s="10">
        <f>'Pairings NB'!C1370</f>
        <v/>
      </c>
      <c r="C306" s="10">
        <f>'Pairings NB'!D1370</f>
        <v/>
      </c>
      <c r="D306" s="10">
        <f>'Pairings NB'!E1370&amp;"/"&amp;'Pairings NB'!E1371</f>
        <v/>
      </c>
      <c r="E306" s="10">
        <f>'Pairings NB'!F1370&amp;"-"&amp;'Pairings NB'!G1370&amp;"-"&amp;'Pairings NB'!F1370</f>
        <v/>
      </c>
      <c r="F306" s="10">
        <f>IFERROR(VLOOKUP('Pairings NB'!$M$1370,Instructores!$A:$C,2,FALSE),"")</f>
        <v/>
      </c>
      <c r="G306" s="10">
        <f>'Pairings NB'!$M$1370</f>
        <v/>
      </c>
      <c r="H306" s="10">
        <f>'Pairings NB'!$O$1370</f>
        <v/>
      </c>
      <c r="I306" s="10">
        <f>'Pairings NB'!J1370</f>
        <v/>
      </c>
      <c r="J306" s="10">
        <f>IFERROR(VLOOKUP('Pairings NB'!$M$1370,Instructores!$A:$C,3,FALSE),"")</f>
        <v/>
      </c>
      <c r="K306" s="10">
        <f>IF('Pairings NB'!J1370=320,4,3)</f>
        <v/>
      </c>
    </row>
    <row r="307">
      <c r="A307" s="10">
        <f>'Pairings NB'!B1375</f>
        <v/>
      </c>
      <c r="B307" s="10">
        <f>'Pairings NB'!C1375</f>
        <v/>
      </c>
      <c r="C307" s="10">
        <f>'Pairings NB'!D1375</f>
        <v/>
      </c>
      <c r="D307" s="10">
        <f>'Pairings NB'!E1375&amp;"/"&amp;'Pairings NB'!E1376</f>
        <v/>
      </c>
      <c r="E307" s="10">
        <f>'Pairings NB'!F1375&amp;"-"&amp;'Pairings NB'!G1375&amp;"-"&amp;'Pairings NB'!F1375</f>
        <v/>
      </c>
      <c r="F307" s="10">
        <f>IFERROR(VLOOKUP('Pairings NB'!$M$1375,Instructores!$A:$C,2,FALSE),"")</f>
        <v/>
      </c>
      <c r="G307" s="10">
        <f>'Pairings NB'!$M$1375</f>
        <v/>
      </c>
      <c r="H307" s="10">
        <f>'Pairings NB'!$O$1375</f>
        <v/>
      </c>
      <c r="I307" s="10">
        <f>'Pairings NB'!J1375</f>
        <v/>
      </c>
      <c r="J307" s="10">
        <f>IFERROR(VLOOKUP('Pairings NB'!$M$1375,Instructores!$A:$C,3,FALSE),"")</f>
        <v/>
      </c>
      <c r="K307" s="10">
        <f>IF('Pairings NB'!J1375=320,4,3)</f>
        <v/>
      </c>
    </row>
    <row r="308">
      <c r="A308" s="10">
        <f>'Pairings NB'!B1380</f>
        <v/>
      </c>
      <c r="B308" s="10">
        <f>'Pairings NB'!C1380</f>
        <v/>
      </c>
      <c r="C308" s="10">
        <f>'Pairings NB'!D1380</f>
        <v/>
      </c>
      <c r="D308" s="10">
        <f>'Pairings NB'!E1380&amp;"/"&amp;'Pairings NB'!E1381</f>
        <v/>
      </c>
      <c r="E308" s="10">
        <f>'Pairings NB'!F1380&amp;"-"&amp;'Pairings NB'!G1380&amp;"-"&amp;'Pairings NB'!F1380</f>
        <v/>
      </c>
      <c r="F308" s="10">
        <f>IFERROR(VLOOKUP('Pairings NB'!$M$1380,Instructores!$A:$C,2,FALSE),"")</f>
        <v/>
      </c>
      <c r="G308" s="10">
        <f>'Pairings NB'!$M$1380</f>
        <v/>
      </c>
      <c r="H308" s="10">
        <f>'Pairings NB'!$O$1380</f>
        <v/>
      </c>
      <c r="I308" s="10">
        <f>'Pairings NB'!J1380</f>
        <v/>
      </c>
      <c r="J308" s="10">
        <f>IFERROR(VLOOKUP('Pairings NB'!$M$1380,Instructores!$A:$C,3,FALSE),"")</f>
        <v/>
      </c>
      <c r="K308" s="10">
        <f>IF('Pairings NB'!J1380=320,4,3)</f>
        <v/>
      </c>
    </row>
    <row r="309">
      <c r="A309" s="10">
        <f>'Pairings NB'!B1382</f>
        <v/>
      </c>
      <c r="B309" s="10">
        <f>'Pairings NB'!C1382</f>
        <v/>
      </c>
      <c r="C309" s="10">
        <f>'Pairings NB'!D1382</f>
        <v/>
      </c>
      <c r="D309" s="10">
        <f>'Pairings NB'!E1382&amp;"/"&amp;'Pairings NB'!E1383</f>
        <v/>
      </c>
      <c r="E309" s="10">
        <f>'Pairings NB'!F1382&amp;"-"&amp;'Pairings NB'!G1382&amp;"-"&amp;'Pairings NB'!F1382</f>
        <v/>
      </c>
      <c r="F309" s="10">
        <f>IFERROR(VLOOKUP('Pairings NB'!$M$1380,Instructores!$A:$C,2,FALSE),"")</f>
        <v/>
      </c>
      <c r="G309" s="10">
        <f>'Pairings NB'!$M$1380</f>
        <v/>
      </c>
      <c r="H309" s="10">
        <f>'Pairings NB'!$O$1380</f>
        <v/>
      </c>
      <c r="I309" s="10">
        <f>'Pairings NB'!J1382</f>
        <v/>
      </c>
      <c r="J309" s="10">
        <f>IFERROR(VLOOKUP('Pairings NB'!$M$1380,Instructores!$A:$C,3,FALSE),"")</f>
        <v/>
      </c>
      <c r="K309" s="10">
        <f>IF('Pairings NB'!J1382=320,4,3)</f>
        <v/>
      </c>
    </row>
    <row r="310">
      <c r="A310" s="10">
        <f>'Pairings NB'!B1387</f>
        <v/>
      </c>
      <c r="B310" s="10">
        <f>'Pairings NB'!C1387</f>
        <v/>
      </c>
      <c r="C310" s="10">
        <f>'Pairings NB'!D1387</f>
        <v/>
      </c>
      <c r="D310" s="10">
        <f>'Pairings NB'!E1387&amp;"/"&amp;'Pairings NB'!E1388</f>
        <v/>
      </c>
      <c r="E310" s="10">
        <f>'Pairings NB'!F1387&amp;"-"&amp;'Pairings NB'!G1387&amp;"-"&amp;'Pairings NB'!F1387</f>
        <v/>
      </c>
      <c r="F310" s="10">
        <f>IFERROR(VLOOKUP('Pairings NB'!$M$1387,Instructores!$A:$C,2,FALSE),"")</f>
        <v/>
      </c>
      <c r="G310" s="10">
        <f>'Pairings NB'!$M$1387</f>
        <v/>
      </c>
      <c r="H310" s="10">
        <f>'Pairings NB'!$O$1387</f>
        <v/>
      </c>
      <c r="I310" s="10">
        <f>'Pairings NB'!J1387</f>
        <v/>
      </c>
      <c r="J310" s="10">
        <f>IFERROR(VLOOKUP('Pairings NB'!$M$1387,Instructores!$A:$C,3,FALSE),"")</f>
        <v/>
      </c>
      <c r="K310" s="10">
        <f>IF('Pairings NB'!J1387=320,4,3)</f>
        <v/>
      </c>
    </row>
    <row r="311">
      <c r="A311" s="10">
        <f>'Pairings NB'!B1392</f>
        <v/>
      </c>
      <c r="B311" s="10">
        <f>'Pairings NB'!C1392</f>
        <v/>
      </c>
      <c r="C311" s="10">
        <f>'Pairings NB'!D1392</f>
        <v/>
      </c>
      <c r="D311" s="10">
        <f>'Pairings NB'!E1392&amp;"/"&amp;'Pairings NB'!E1393</f>
        <v/>
      </c>
      <c r="E311" s="10">
        <f>'Pairings NB'!F1392&amp;"-"&amp;'Pairings NB'!G1392&amp;"-"&amp;'Pairings NB'!F1392</f>
        <v/>
      </c>
      <c r="F311" s="10">
        <f>IFERROR(VLOOKUP('Pairings NB'!$M$1392,Instructores!$A:$C,2,FALSE),"")</f>
        <v/>
      </c>
      <c r="G311" s="10">
        <f>'Pairings NB'!$M$1392</f>
        <v/>
      </c>
      <c r="H311" s="10">
        <f>'Pairings NB'!$O$1392</f>
        <v/>
      </c>
      <c r="I311" s="10">
        <f>'Pairings NB'!J1392</f>
        <v/>
      </c>
      <c r="J311" s="10">
        <f>IFERROR(VLOOKUP('Pairings NB'!$M$1392,Instructores!$A:$C,3,FALSE),"")</f>
        <v/>
      </c>
      <c r="K311" s="10">
        <f>IF('Pairings NB'!J1392=320,4,3)</f>
        <v/>
      </c>
    </row>
    <row r="312">
      <c r="A312" s="10">
        <f>'Pairings NB'!B1397</f>
        <v/>
      </c>
      <c r="B312" s="10">
        <f>'Pairings NB'!C1397</f>
        <v/>
      </c>
      <c r="C312" s="10">
        <f>'Pairings NB'!D1397</f>
        <v/>
      </c>
      <c r="D312" s="10">
        <f>'Pairings NB'!E1397&amp;"/"&amp;'Pairings NB'!E1398</f>
        <v/>
      </c>
      <c r="E312" s="10">
        <f>'Pairings NB'!F1397&amp;"-"&amp;'Pairings NB'!G1397&amp;"-"&amp;'Pairings NB'!F1397</f>
        <v/>
      </c>
      <c r="F312" s="10">
        <f>IFERROR(VLOOKUP('Pairings NB'!$M$1397,Instructores!$A:$C,2,FALSE),"")</f>
        <v/>
      </c>
      <c r="G312" s="10">
        <f>'Pairings NB'!$M$1397</f>
        <v/>
      </c>
      <c r="H312" s="10">
        <f>'Pairings NB'!$O$1397</f>
        <v/>
      </c>
      <c r="I312" s="10">
        <f>'Pairings NB'!J1397</f>
        <v/>
      </c>
      <c r="J312" s="10">
        <f>IFERROR(VLOOKUP('Pairings NB'!$M$1397,Instructores!$A:$C,3,FALSE),"")</f>
        <v/>
      </c>
      <c r="K312" s="10">
        <f>IF('Pairings NB'!J1397=320,4,3)</f>
        <v/>
      </c>
    </row>
    <row r="313">
      <c r="A313" s="10">
        <f>'Pairings NB'!B1402</f>
        <v/>
      </c>
      <c r="B313" s="10">
        <f>'Pairings NB'!C1402</f>
        <v/>
      </c>
      <c r="C313" s="10">
        <f>'Pairings NB'!D1402</f>
        <v/>
      </c>
      <c r="D313" s="10">
        <f>'Pairings NB'!E1402&amp;"/"&amp;'Pairings NB'!E1403</f>
        <v/>
      </c>
      <c r="E313" s="10">
        <f>'Pairings NB'!F1402&amp;"-"&amp;'Pairings NB'!G1402&amp;"-"&amp;'Pairings NB'!F1402</f>
        <v/>
      </c>
      <c r="F313" s="10">
        <f>IFERROR(VLOOKUP('Pairings NB'!$M$1402,Instructores!$A:$C,2,FALSE),"")</f>
        <v/>
      </c>
      <c r="G313" s="10">
        <f>'Pairings NB'!$M$1402</f>
        <v/>
      </c>
      <c r="H313" s="10">
        <f>'Pairings NB'!$O$1402</f>
        <v/>
      </c>
      <c r="I313" s="10">
        <f>'Pairings NB'!J1402</f>
        <v/>
      </c>
      <c r="J313" s="10">
        <f>IFERROR(VLOOKUP('Pairings NB'!$M$1402,Instructores!$A:$C,3,FALSE),"")</f>
        <v/>
      </c>
      <c r="K313" s="10">
        <f>IF('Pairings NB'!J1402=320,4,3)</f>
        <v/>
      </c>
    </row>
    <row r="314">
      <c r="A314" s="10">
        <f>'Pairings NB'!B1407</f>
        <v/>
      </c>
      <c r="B314" s="10">
        <f>'Pairings NB'!C1407</f>
        <v/>
      </c>
      <c r="C314" s="10">
        <f>'Pairings NB'!D1407</f>
        <v/>
      </c>
      <c r="D314" s="10">
        <f>'Pairings NB'!E1407&amp;"/"&amp;'Pairings NB'!E1408</f>
        <v/>
      </c>
      <c r="E314" s="10">
        <f>'Pairings NB'!F1407&amp;"-"&amp;'Pairings NB'!G1407&amp;"-"&amp;'Pairings NB'!F1407</f>
        <v/>
      </c>
      <c r="F314" s="10">
        <f>IFERROR(VLOOKUP('Pairings NB'!$M$1407,Instructores!$A:$C,2,FALSE),"")</f>
        <v/>
      </c>
      <c r="G314" s="10">
        <f>'Pairings NB'!$M$1407</f>
        <v/>
      </c>
      <c r="H314" s="10">
        <f>'Pairings NB'!$O$1407</f>
        <v/>
      </c>
      <c r="I314" s="10">
        <f>'Pairings NB'!J1407</f>
        <v/>
      </c>
      <c r="J314" s="10">
        <f>IFERROR(VLOOKUP('Pairings NB'!$M$1407,Instructores!$A:$C,3,FALSE),"")</f>
        <v/>
      </c>
      <c r="K314" s="10">
        <f>IF('Pairings NB'!J1407=320,4,3)</f>
        <v/>
      </c>
    </row>
    <row r="315">
      <c r="A315" s="10">
        <f>'Pairings NB'!B1412</f>
        <v/>
      </c>
      <c r="B315" s="10">
        <f>'Pairings NB'!C1412</f>
        <v/>
      </c>
      <c r="C315" s="10">
        <f>'Pairings NB'!D1412</f>
        <v/>
      </c>
      <c r="D315" s="10">
        <f>'Pairings NB'!E1412&amp;"/"&amp;'Pairings NB'!E1413</f>
        <v/>
      </c>
      <c r="E315" s="10">
        <f>'Pairings NB'!F1412&amp;"-"&amp;'Pairings NB'!G1412&amp;"-"&amp;'Pairings NB'!F1412</f>
        <v/>
      </c>
      <c r="F315" s="10">
        <f>IFERROR(VLOOKUP('Pairings NB'!$M$1412,Instructores!$A:$C,2,FALSE),"")</f>
        <v/>
      </c>
      <c r="G315" s="10">
        <f>'Pairings NB'!$M$1412</f>
        <v/>
      </c>
      <c r="H315" s="10">
        <f>'Pairings NB'!$O$1412</f>
        <v/>
      </c>
      <c r="I315" s="10">
        <f>'Pairings NB'!J1412</f>
        <v/>
      </c>
      <c r="J315" s="10">
        <f>IFERROR(VLOOKUP('Pairings NB'!$M$1412,Instructores!$A:$C,3,FALSE),"")</f>
        <v/>
      </c>
      <c r="K315" s="10">
        <f>IF('Pairings NB'!J1412=320,4,3)</f>
        <v/>
      </c>
    </row>
    <row r="316">
      <c r="A316" s="10">
        <f>'Pairings NB'!B1417</f>
        <v/>
      </c>
      <c r="B316" s="10">
        <f>'Pairings NB'!C1417</f>
        <v/>
      </c>
      <c r="C316" s="10">
        <f>'Pairings NB'!D1417</f>
        <v/>
      </c>
      <c r="D316" s="10">
        <f>'Pairings NB'!E1417&amp;"/"&amp;'Pairings NB'!E1418</f>
        <v/>
      </c>
      <c r="E316" s="10">
        <f>'Pairings NB'!F1417&amp;"-"&amp;'Pairings NB'!G1417&amp;"-"&amp;'Pairings NB'!F1417</f>
        <v/>
      </c>
      <c r="F316" s="10">
        <f>IFERROR(VLOOKUP('Pairings NB'!$M$1417,Instructores!$A:$C,2,FALSE),"")</f>
        <v/>
      </c>
      <c r="G316" s="10">
        <f>'Pairings NB'!$M$1417</f>
        <v/>
      </c>
      <c r="H316" s="10">
        <f>'Pairings NB'!$O$1417</f>
        <v/>
      </c>
      <c r="I316" s="10">
        <f>'Pairings NB'!J1417</f>
        <v/>
      </c>
      <c r="J316" s="10">
        <f>IFERROR(VLOOKUP('Pairings NB'!$M$1417,Instructores!$A:$C,3,FALSE),"")</f>
        <v/>
      </c>
      <c r="K316" s="10">
        <f>IF('Pairings NB'!J1417=320,4,3)</f>
        <v/>
      </c>
    </row>
    <row r="317">
      <c r="A317" s="10">
        <f>'Pairings NB'!B1422</f>
        <v/>
      </c>
      <c r="B317" s="10">
        <f>'Pairings NB'!C1422</f>
        <v/>
      </c>
      <c r="C317" s="10">
        <f>'Pairings NB'!D1422</f>
        <v/>
      </c>
      <c r="D317" s="10">
        <f>'Pairings NB'!E1422&amp;"/"&amp;'Pairings NB'!E1423</f>
        <v/>
      </c>
      <c r="E317" s="10">
        <f>'Pairings NB'!F1422&amp;"-"&amp;'Pairings NB'!G1422&amp;"-"&amp;'Pairings NB'!F1422</f>
        <v/>
      </c>
      <c r="F317" s="10">
        <f>IFERROR(VLOOKUP('Pairings NB'!$M$1422,Instructores!$A:$C,2,FALSE),"")</f>
        <v/>
      </c>
      <c r="G317" s="10">
        <f>'Pairings NB'!$M$1422</f>
        <v/>
      </c>
      <c r="H317" s="10">
        <f>'Pairings NB'!$O$1422</f>
        <v/>
      </c>
      <c r="I317" s="10">
        <f>'Pairings NB'!J1422</f>
        <v/>
      </c>
      <c r="J317" s="10">
        <f>IFERROR(VLOOKUP('Pairings NB'!$M$1422,Instructores!$A:$C,3,FALSE),"")</f>
        <v/>
      </c>
      <c r="K317" s="10">
        <f>IF('Pairings NB'!J1422=320,4,3)</f>
        <v/>
      </c>
    </row>
    <row r="318">
      <c r="A318" s="10">
        <f>'Pairings NB'!B1427</f>
        <v/>
      </c>
      <c r="B318" s="10">
        <f>'Pairings NB'!C1427</f>
        <v/>
      </c>
      <c r="C318" s="10">
        <f>'Pairings NB'!D1427</f>
        <v/>
      </c>
      <c r="D318" s="10">
        <f>'Pairings NB'!E1427&amp;"/"&amp;'Pairings NB'!E1428</f>
        <v/>
      </c>
      <c r="E318" s="10">
        <f>'Pairings NB'!F1427&amp;"-"&amp;'Pairings NB'!G1427&amp;"-"&amp;'Pairings NB'!F1427</f>
        <v/>
      </c>
      <c r="F318" s="10">
        <f>IFERROR(VLOOKUP('Pairings NB'!$M$1427,Instructores!$A:$C,2,FALSE),"")</f>
        <v/>
      </c>
      <c r="G318" s="10">
        <f>'Pairings NB'!$M$1427</f>
        <v/>
      </c>
      <c r="H318" s="10">
        <f>'Pairings NB'!$O$1427</f>
        <v/>
      </c>
      <c r="I318" s="10">
        <f>'Pairings NB'!J1427</f>
        <v/>
      </c>
      <c r="J318" s="10">
        <f>IFERROR(VLOOKUP('Pairings NB'!$M$1427,Instructores!$A:$C,3,FALSE),"")</f>
        <v/>
      </c>
      <c r="K318" s="10">
        <f>IF('Pairings NB'!J1427=320,4,3)</f>
        <v/>
      </c>
    </row>
    <row r="319">
      <c r="A319" s="10">
        <f>'Pairings NB'!B1432</f>
        <v/>
      </c>
      <c r="B319" s="10">
        <f>'Pairings NB'!C1432</f>
        <v/>
      </c>
      <c r="C319" s="10">
        <f>'Pairings NB'!D1432</f>
        <v/>
      </c>
      <c r="D319" s="10">
        <f>'Pairings NB'!E1432&amp;"/"&amp;'Pairings NB'!E1433</f>
        <v/>
      </c>
      <c r="E319" s="10">
        <f>'Pairings NB'!F1432&amp;"-"&amp;'Pairings NB'!G1432&amp;"-"&amp;'Pairings NB'!F1432</f>
        <v/>
      </c>
      <c r="F319" s="10">
        <f>IFERROR(VLOOKUP('Pairings NB'!$M$1432,Instructores!$A:$C,2,FALSE),"")</f>
        <v/>
      </c>
      <c r="G319" s="10">
        <f>'Pairings NB'!$M$1432</f>
        <v/>
      </c>
      <c r="H319" s="10">
        <f>'Pairings NB'!$O$1432</f>
        <v/>
      </c>
      <c r="I319" s="10">
        <f>'Pairings NB'!J1432</f>
        <v/>
      </c>
      <c r="J319" s="10">
        <f>IFERROR(VLOOKUP('Pairings NB'!$M$1432,Instructores!$A:$C,3,FALSE),"")</f>
        <v/>
      </c>
      <c r="K319" s="10">
        <f>IF('Pairings NB'!J1432=320,4,3)</f>
        <v/>
      </c>
    </row>
    <row r="320">
      <c r="A320" s="10">
        <f>'Pairings NB'!B1437</f>
        <v/>
      </c>
      <c r="B320" s="10">
        <f>'Pairings NB'!C1437</f>
        <v/>
      </c>
      <c r="C320" s="10">
        <f>'Pairings NB'!D1437</f>
        <v/>
      </c>
      <c r="D320" s="10">
        <f>'Pairings NB'!E1437&amp;"/"&amp;'Pairings NB'!E1438</f>
        <v/>
      </c>
      <c r="E320" s="10">
        <f>'Pairings NB'!F1437&amp;"-"&amp;'Pairings NB'!G1437&amp;"-"&amp;'Pairings NB'!F1437</f>
        <v/>
      </c>
      <c r="F320" s="10">
        <f>IFERROR(VLOOKUP('Pairings NB'!$M$1437,Instructores!$A:$C,2,FALSE),"")</f>
        <v/>
      </c>
      <c r="G320" s="10">
        <f>'Pairings NB'!$M$1437</f>
        <v/>
      </c>
      <c r="H320" s="10">
        <f>'Pairings NB'!$O$1437</f>
        <v/>
      </c>
      <c r="I320" s="10">
        <f>'Pairings NB'!J1437</f>
        <v/>
      </c>
      <c r="J320" s="10">
        <f>IFERROR(VLOOKUP('Pairings NB'!$M$1437,Instructores!$A:$C,3,FALSE),"")</f>
        <v/>
      </c>
      <c r="K320" s="10">
        <f>IF('Pairings NB'!J1437=320,4,3)</f>
        <v/>
      </c>
    </row>
    <row r="321">
      <c r="A321" s="10">
        <f>'Pairings NB'!B1442</f>
        <v/>
      </c>
      <c r="B321" s="10">
        <f>'Pairings NB'!C1442</f>
        <v/>
      </c>
      <c r="C321" s="10">
        <f>'Pairings NB'!D1442</f>
        <v/>
      </c>
      <c r="D321" s="10">
        <f>'Pairings NB'!E1442&amp;"/"&amp;'Pairings NB'!E1443</f>
        <v/>
      </c>
      <c r="E321" s="10">
        <f>'Pairings NB'!F1442&amp;"-"&amp;'Pairings NB'!G1442&amp;"-"&amp;'Pairings NB'!F1442</f>
        <v/>
      </c>
      <c r="F321" s="10">
        <f>IFERROR(VLOOKUP('Pairings NB'!$M$1442,Instructores!$A:$C,2,FALSE),"")</f>
        <v/>
      </c>
      <c r="G321" s="10">
        <f>'Pairings NB'!$M$1442</f>
        <v/>
      </c>
      <c r="H321" s="10">
        <f>'Pairings NB'!$O$1442</f>
        <v/>
      </c>
      <c r="I321" s="10">
        <f>'Pairings NB'!J1442</f>
        <v/>
      </c>
      <c r="J321" s="10">
        <f>IFERROR(VLOOKUP('Pairings NB'!$M$1442,Instructores!$A:$C,3,FALSE),"")</f>
        <v/>
      </c>
      <c r="K321" s="10">
        <f>IF('Pairings NB'!J1442=320,4,3)</f>
        <v/>
      </c>
    </row>
    <row r="322">
      <c r="A322" s="10">
        <f>'Pairings NB'!B1447</f>
        <v/>
      </c>
      <c r="B322" s="10">
        <f>'Pairings NB'!C1447</f>
        <v/>
      </c>
      <c r="C322" s="10">
        <f>'Pairings NB'!D1447</f>
        <v/>
      </c>
      <c r="D322" s="10">
        <f>'Pairings NB'!E1447&amp;"/"&amp;'Pairings NB'!E1448</f>
        <v/>
      </c>
      <c r="E322" s="10">
        <f>'Pairings NB'!F1447&amp;"-"&amp;'Pairings NB'!G1447&amp;"-"&amp;'Pairings NB'!F1447</f>
        <v/>
      </c>
      <c r="F322" s="10">
        <f>IFERROR(VLOOKUP('Pairings NB'!$M$1447,Instructores!$A:$C,2,FALSE),"")</f>
        <v/>
      </c>
      <c r="G322" s="10">
        <f>'Pairings NB'!$M$1447</f>
        <v/>
      </c>
      <c r="H322" s="10">
        <f>'Pairings NB'!$O$1447</f>
        <v/>
      </c>
      <c r="I322" s="10">
        <f>'Pairings NB'!J1447</f>
        <v/>
      </c>
      <c r="J322" s="10">
        <f>IFERROR(VLOOKUP('Pairings NB'!$M$1447,Instructores!$A:$C,3,FALSE),"")</f>
        <v/>
      </c>
      <c r="K322" s="10">
        <f>IF('Pairings NB'!J1447=320,4,3)</f>
        <v/>
      </c>
    </row>
    <row r="323">
      <c r="A323" s="10">
        <f>'Pairings NB'!B1452</f>
        <v/>
      </c>
      <c r="B323" s="10">
        <f>'Pairings NB'!C1452</f>
        <v/>
      </c>
      <c r="C323" s="10">
        <f>'Pairings NB'!D1452</f>
        <v/>
      </c>
      <c r="D323" s="10">
        <f>'Pairings NB'!E1452&amp;"/"&amp;'Pairings NB'!E1453</f>
        <v/>
      </c>
      <c r="E323" s="10">
        <f>'Pairings NB'!F1452&amp;"-"&amp;'Pairings NB'!G1452&amp;"-"&amp;'Pairings NB'!F1452</f>
        <v/>
      </c>
      <c r="F323" s="10">
        <f>IFERROR(VLOOKUP('Pairings NB'!$M$1452,Instructores!$A:$C,2,FALSE),"")</f>
        <v/>
      </c>
      <c r="G323" s="10">
        <f>'Pairings NB'!$M$1452</f>
        <v/>
      </c>
      <c r="H323" s="10">
        <f>'Pairings NB'!$O$1452</f>
        <v/>
      </c>
      <c r="I323" s="10">
        <f>'Pairings NB'!J1452</f>
        <v/>
      </c>
      <c r="J323" s="10">
        <f>IFERROR(VLOOKUP('Pairings NB'!$M$1452,Instructores!$A:$C,3,FALSE),"")</f>
        <v/>
      </c>
      <c r="K323" s="10">
        <f>IF('Pairings NB'!J1452=320,4,3)</f>
        <v/>
      </c>
    </row>
    <row r="324">
      <c r="A324" s="10">
        <f>'Pairings NB'!B1457</f>
        <v/>
      </c>
      <c r="B324" s="10">
        <f>'Pairings NB'!C1457</f>
        <v/>
      </c>
      <c r="C324" s="10">
        <f>'Pairings NB'!D1457</f>
        <v/>
      </c>
      <c r="D324" s="10">
        <f>'Pairings NB'!E1457&amp;"/"&amp;'Pairings NB'!E1458</f>
        <v/>
      </c>
      <c r="E324" s="10">
        <f>'Pairings NB'!F1457&amp;"-"&amp;'Pairings NB'!G1457&amp;"-"&amp;'Pairings NB'!F1457</f>
        <v/>
      </c>
      <c r="F324" s="10">
        <f>IFERROR(VLOOKUP('Pairings NB'!$M$1457,Instructores!$A:$C,2,FALSE),"")</f>
        <v/>
      </c>
      <c r="G324" s="10">
        <f>'Pairings NB'!$M$1457</f>
        <v/>
      </c>
      <c r="H324" s="10">
        <f>'Pairings NB'!$O$1457</f>
        <v/>
      </c>
      <c r="I324" s="10">
        <f>'Pairings NB'!J1457</f>
        <v/>
      </c>
      <c r="J324" s="10">
        <f>IFERROR(VLOOKUP('Pairings NB'!$M$1457,Instructores!$A:$C,3,FALSE),"")</f>
        <v/>
      </c>
      <c r="K324" s="10">
        <f>IF('Pairings NB'!J1457=320,4,3)</f>
        <v/>
      </c>
    </row>
    <row r="325">
      <c r="A325" s="10">
        <f>'Pairings NB'!B1462</f>
        <v/>
      </c>
      <c r="B325" s="10">
        <f>'Pairings NB'!C1462</f>
        <v/>
      </c>
      <c r="C325" s="10">
        <f>'Pairings NB'!D1462</f>
        <v/>
      </c>
      <c r="D325" s="10">
        <f>'Pairings NB'!E1462&amp;"/"&amp;'Pairings NB'!E1463</f>
        <v/>
      </c>
      <c r="E325" s="10">
        <f>'Pairings NB'!F1462&amp;"-"&amp;'Pairings NB'!G1462&amp;"-"&amp;'Pairings NB'!F1462</f>
        <v/>
      </c>
      <c r="F325" s="10">
        <f>IFERROR(VLOOKUP('Pairings NB'!$M$1462,Instructores!$A:$C,2,FALSE),"")</f>
        <v/>
      </c>
      <c r="G325" s="10">
        <f>'Pairings NB'!$M$1462</f>
        <v/>
      </c>
      <c r="H325" s="10">
        <f>'Pairings NB'!$O$1462</f>
        <v/>
      </c>
      <c r="I325" s="10">
        <f>'Pairings NB'!J1462</f>
        <v/>
      </c>
      <c r="J325" s="10">
        <f>IFERROR(VLOOKUP('Pairings NB'!$M$1462,Instructores!$A:$C,3,FALSE),"")</f>
        <v/>
      </c>
      <c r="K325" s="10">
        <f>IF('Pairings NB'!J1462=320,4,3)</f>
        <v/>
      </c>
    </row>
    <row r="326">
      <c r="A326" s="10">
        <f>'Pairings NB'!B1464</f>
        <v/>
      </c>
      <c r="B326" s="10">
        <f>'Pairings NB'!C1464</f>
        <v/>
      </c>
      <c r="C326" s="10">
        <f>'Pairings NB'!D1464</f>
        <v/>
      </c>
      <c r="D326" s="10">
        <f>'Pairings NB'!E1464&amp;"/"&amp;'Pairings NB'!E1465</f>
        <v/>
      </c>
      <c r="E326" s="10">
        <f>'Pairings NB'!F1464&amp;"-"&amp;'Pairings NB'!G1464&amp;"-"&amp;'Pairings NB'!F1464</f>
        <v/>
      </c>
      <c r="F326" s="10">
        <f>IFERROR(VLOOKUP('Pairings NB'!$M$1462,Instructores!$A:$C,2,FALSE),"")</f>
        <v/>
      </c>
      <c r="G326" s="10">
        <f>'Pairings NB'!$M$1462</f>
        <v/>
      </c>
      <c r="H326" s="10">
        <f>'Pairings NB'!$O$1462</f>
        <v/>
      </c>
      <c r="I326" s="10">
        <f>'Pairings NB'!J1464</f>
        <v/>
      </c>
      <c r="J326" s="10">
        <f>IFERROR(VLOOKUP('Pairings NB'!$M$1462,Instructores!$A:$C,3,FALSE),"")</f>
        <v/>
      </c>
      <c r="K326" s="10">
        <f>IF('Pairings NB'!J1464=320,4,3)</f>
        <v/>
      </c>
    </row>
    <row r="327">
      <c r="A327" s="10">
        <f>'Pairings NB'!B1469</f>
        <v/>
      </c>
      <c r="B327" s="10">
        <f>'Pairings NB'!C1469</f>
        <v/>
      </c>
      <c r="C327" s="10">
        <f>'Pairings NB'!D1469</f>
        <v/>
      </c>
      <c r="D327" s="10">
        <f>'Pairings NB'!E1469&amp;"/"&amp;'Pairings NB'!E1470</f>
        <v/>
      </c>
      <c r="E327" s="10">
        <f>'Pairings NB'!F1469&amp;"-"&amp;'Pairings NB'!G1469&amp;"-"&amp;'Pairings NB'!F1469</f>
        <v/>
      </c>
      <c r="F327" s="10">
        <f>IFERROR(VLOOKUP('Pairings NB'!$M$1469,Instructores!$A:$C,2,FALSE),"")</f>
        <v/>
      </c>
      <c r="G327" s="10">
        <f>'Pairings NB'!$M$1469</f>
        <v/>
      </c>
      <c r="H327" s="10">
        <f>'Pairings NB'!$O$1469</f>
        <v/>
      </c>
      <c r="I327" s="10">
        <f>'Pairings NB'!J1469</f>
        <v/>
      </c>
      <c r="J327" s="10">
        <f>IFERROR(VLOOKUP('Pairings NB'!$M$1469,Instructores!$A:$C,3,FALSE),"")</f>
        <v/>
      </c>
      <c r="K327" s="10">
        <f>IF('Pairings NB'!J1469=320,4,3)</f>
        <v/>
      </c>
    </row>
    <row r="328">
      <c r="A328" s="10">
        <f>'Pairings NB'!B1471</f>
        <v/>
      </c>
      <c r="B328" s="10">
        <f>'Pairings NB'!C1471</f>
        <v/>
      </c>
      <c r="C328" s="10">
        <f>'Pairings NB'!D1471</f>
        <v/>
      </c>
      <c r="D328" s="10">
        <f>'Pairings NB'!E1471&amp;"/"&amp;'Pairings NB'!E1472</f>
        <v/>
      </c>
      <c r="E328" s="10">
        <f>'Pairings NB'!F1471&amp;"-"&amp;'Pairings NB'!G1471&amp;"-"&amp;'Pairings NB'!F1471</f>
        <v/>
      </c>
      <c r="F328" s="10">
        <f>IFERROR(VLOOKUP('Pairings NB'!$M$1469,Instructores!$A:$C,2,FALSE),"")</f>
        <v/>
      </c>
      <c r="G328" s="10">
        <f>'Pairings NB'!$M$1469</f>
        <v/>
      </c>
      <c r="H328" s="10">
        <f>'Pairings NB'!$O$1469</f>
        <v/>
      </c>
      <c r="I328" s="10">
        <f>'Pairings NB'!J1471</f>
        <v/>
      </c>
      <c r="J328" s="10">
        <f>IFERROR(VLOOKUP('Pairings NB'!$M$1469,Instructores!$A:$C,3,FALSE),"")</f>
        <v/>
      </c>
      <c r="K328" s="10">
        <f>IF('Pairings NB'!J1471=320,4,3)</f>
        <v/>
      </c>
    </row>
    <row r="329">
      <c r="A329" s="10">
        <f>'Pairings NB'!B1476</f>
        <v/>
      </c>
      <c r="B329" s="10">
        <f>'Pairings NB'!C1476</f>
        <v/>
      </c>
      <c r="C329" s="10">
        <f>'Pairings NB'!D1476</f>
        <v/>
      </c>
      <c r="D329" s="10">
        <f>'Pairings NB'!E1476&amp;"/"&amp;'Pairings NB'!E1477</f>
        <v/>
      </c>
      <c r="E329" s="10">
        <f>'Pairings NB'!F1476&amp;"-"&amp;'Pairings NB'!G1476&amp;"-"&amp;'Pairings NB'!F1476</f>
        <v/>
      </c>
      <c r="F329" s="10">
        <f>IFERROR(VLOOKUP('Pairings NB'!$M$1476,Instructores!$A:$C,2,FALSE),"")</f>
        <v/>
      </c>
      <c r="G329" s="10">
        <f>'Pairings NB'!$M$1476</f>
        <v/>
      </c>
      <c r="H329" s="10">
        <f>'Pairings NB'!$O$1476</f>
        <v/>
      </c>
      <c r="I329" s="10">
        <f>'Pairings NB'!J1476</f>
        <v/>
      </c>
      <c r="J329" s="10">
        <f>IFERROR(VLOOKUP('Pairings NB'!$M$1476,Instructores!$A:$C,3,FALSE),"")</f>
        <v/>
      </c>
      <c r="K329" s="10">
        <f>IF('Pairings NB'!J1476=320,4,3)</f>
        <v/>
      </c>
    </row>
    <row r="330">
      <c r="A330" s="10">
        <f>'Pairings NB'!B1481</f>
        <v/>
      </c>
      <c r="B330" s="10">
        <f>'Pairings NB'!C1481</f>
        <v/>
      </c>
      <c r="C330" s="10">
        <f>'Pairings NB'!D1481</f>
        <v/>
      </c>
      <c r="D330" s="10">
        <f>'Pairings NB'!E1481&amp;"/"&amp;'Pairings NB'!E1482</f>
        <v/>
      </c>
      <c r="E330" s="10">
        <f>'Pairings NB'!F1481&amp;"-"&amp;'Pairings NB'!G1481&amp;"-"&amp;'Pairings NB'!F1481</f>
        <v/>
      </c>
      <c r="F330" s="10">
        <f>IFERROR(VLOOKUP('Pairings NB'!$M$1481,Instructores!$A:$C,2,FALSE),"")</f>
        <v/>
      </c>
      <c r="G330" s="10">
        <f>'Pairings NB'!$M$1481</f>
        <v/>
      </c>
      <c r="H330" s="10">
        <f>'Pairings NB'!$O$1481</f>
        <v/>
      </c>
      <c r="I330" s="10">
        <f>'Pairings NB'!J1481</f>
        <v/>
      </c>
      <c r="J330" s="10">
        <f>IFERROR(VLOOKUP('Pairings NB'!$M$1481,Instructores!$A:$C,3,FALSE),"")</f>
        <v/>
      </c>
      <c r="K330" s="10">
        <f>IF('Pairings NB'!J1481=320,4,3)</f>
        <v/>
      </c>
    </row>
    <row r="331">
      <c r="A331" s="10">
        <f>'Pairings NB'!B1486</f>
        <v/>
      </c>
      <c r="B331" s="10">
        <f>'Pairings NB'!C1486</f>
        <v/>
      </c>
      <c r="C331" s="10">
        <f>'Pairings NB'!D1486</f>
        <v/>
      </c>
      <c r="D331" s="10">
        <f>'Pairings NB'!E1486&amp;"/"&amp;'Pairings NB'!E1487</f>
        <v/>
      </c>
      <c r="E331" s="10">
        <f>'Pairings NB'!F1486&amp;"-"&amp;'Pairings NB'!G1486&amp;"-"&amp;'Pairings NB'!F1486</f>
        <v/>
      </c>
      <c r="F331" s="10">
        <f>IFERROR(VLOOKUP('Pairings NB'!$M$1486,Instructores!$A:$C,2,FALSE),"")</f>
        <v/>
      </c>
      <c r="G331" s="10">
        <f>'Pairings NB'!$M$1486</f>
        <v/>
      </c>
      <c r="H331" s="10">
        <f>'Pairings NB'!$O$1486</f>
        <v/>
      </c>
      <c r="I331" s="10">
        <f>'Pairings NB'!J1486</f>
        <v/>
      </c>
      <c r="J331" s="10">
        <f>IFERROR(VLOOKUP('Pairings NB'!$M$1486,Instructores!$A:$C,3,FALSE),"")</f>
        <v/>
      </c>
      <c r="K331" s="10">
        <f>IF('Pairings NB'!J1486=320,4,3)</f>
        <v/>
      </c>
    </row>
    <row r="332">
      <c r="A332" s="10">
        <f>'Pairings NB'!B1491</f>
        <v/>
      </c>
      <c r="B332" s="10">
        <f>'Pairings NB'!C1491</f>
        <v/>
      </c>
      <c r="C332" s="10">
        <f>'Pairings NB'!D1491</f>
        <v/>
      </c>
      <c r="D332" s="10">
        <f>'Pairings NB'!E1491&amp;"/"&amp;'Pairings NB'!E1492</f>
        <v/>
      </c>
      <c r="E332" s="10">
        <f>'Pairings NB'!F1491&amp;"-"&amp;'Pairings NB'!G1491&amp;"-"&amp;'Pairings NB'!F1491</f>
        <v/>
      </c>
      <c r="F332" s="10">
        <f>IFERROR(VLOOKUP('Pairings NB'!$M$1491,Instructores!$A:$C,2,FALSE),"")</f>
        <v/>
      </c>
      <c r="G332" s="10">
        <f>'Pairings NB'!$M$1491</f>
        <v/>
      </c>
      <c r="H332" s="10">
        <f>'Pairings NB'!$O$1491</f>
        <v/>
      </c>
      <c r="I332" s="10">
        <f>'Pairings NB'!J1491</f>
        <v/>
      </c>
      <c r="J332" s="10">
        <f>IFERROR(VLOOKUP('Pairings NB'!$M$1491,Instructores!$A:$C,3,FALSE),"")</f>
        <v/>
      </c>
      <c r="K332" s="10">
        <f>IF('Pairings NB'!J1491=320,4,3)</f>
        <v/>
      </c>
    </row>
    <row r="333">
      <c r="A333" s="10">
        <f>'Pairings NB'!B1496</f>
        <v/>
      </c>
      <c r="B333" s="10">
        <f>'Pairings NB'!C1496</f>
        <v/>
      </c>
      <c r="C333" s="10">
        <f>'Pairings NB'!D1496</f>
        <v/>
      </c>
      <c r="D333" s="10">
        <f>'Pairings NB'!E1496&amp;"/"&amp;'Pairings NB'!E1497</f>
        <v/>
      </c>
      <c r="E333" s="10">
        <f>'Pairings NB'!F1496&amp;"-"&amp;'Pairings NB'!G1496&amp;"-"&amp;'Pairings NB'!F1496</f>
        <v/>
      </c>
      <c r="F333" s="10">
        <f>IFERROR(VLOOKUP('Pairings NB'!$M$1496,Instructores!$A:$C,2,FALSE),"")</f>
        <v/>
      </c>
      <c r="G333" s="10">
        <f>'Pairings NB'!$M$1496</f>
        <v/>
      </c>
      <c r="H333" s="10">
        <f>'Pairings NB'!$O$1496</f>
        <v/>
      </c>
      <c r="I333" s="10">
        <f>'Pairings NB'!J1496</f>
        <v/>
      </c>
      <c r="J333" s="10">
        <f>IFERROR(VLOOKUP('Pairings NB'!$M$1496,Instructores!$A:$C,3,FALSE),"")</f>
        <v/>
      </c>
      <c r="K333" s="10">
        <f>IF('Pairings NB'!J1496=320,4,3)</f>
        <v/>
      </c>
    </row>
    <row r="334">
      <c r="A334" s="10">
        <f>'Pairings NB'!B1501</f>
        <v/>
      </c>
      <c r="B334" s="10">
        <f>'Pairings NB'!C1501</f>
        <v/>
      </c>
      <c r="C334" s="10">
        <f>'Pairings NB'!D1501</f>
        <v/>
      </c>
      <c r="D334" s="10">
        <f>'Pairings NB'!E1501&amp;"/"&amp;'Pairings NB'!E1502</f>
        <v/>
      </c>
      <c r="E334" s="10">
        <f>'Pairings NB'!F1501&amp;"-"&amp;'Pairings NB'!G1501&amp;"-"&amp;'Pairings NB'!F1501</f>
        <v/>
      </c>
      <c r="F334" s="10">
        <f>IFERROR(VLOOKUP('Pairings NB'!$M$1501,Instructores!$A:$C,2,FALSE),"")</f>
        <v/>
      </c>
      <c r="G334" s="10">
        <f>'Pairings NB'!$M$1501</f>
        <v/>
      </c>
      <c r="H334" s="10">
        <f>'Pairings NB'!$O$1501</f>
        <v/>
      </c>
      <c r="I334" s="10">
        <f>'Pairings NB'!J1501</f>
        <v/>
      </c>
      <c r="J334" s="10">
        <f>IFERROR(VLOOKUP('Pairings NB'!$M$1501,Instructores!$A:$C,3,FALSE),"")</f>
        <v/>
      </c>
      <c r="K334" s="10">
        <f>IF('Pairings NB'!J1501=320,4,3)</f>
        <v/>
      </c>
    </row>
    <row r="335">
      <c r="A335" s="10">
        <f>'Pairings NB'!B1506</f>
        <v/>
      </c>
      <c r="B335" s="10">
        <f>'Pairings NB'!C1506</f>
        <v/>
      </c>
      <c r="C335" s="10">
        <f>'Pairings NB'!D1506</f>
        <v/>
      </c>
      <c r="D335" s="10">
        <f>'Pairings NB'!E1506&amp;"/"&amp;'Pairings NB'!E1507</f>
        <v/>
      </c>
      <c r="E335" s="10">
        <f>'Pairings NB'!F1506&amp;"-"&amp;'Pairings NB'!G1506&amp;"-"&amp;'Pairings NB'!F1506</f>
        <v/>
      </c>
      <c r="F335" s="10">
        <f>IFERROR(VLOOKUP('Pairings NB'!$M$1506,Instructores!$A:$C,2,FALSE),"")</f>
        <v/>
      </c>
      <c r="G335" s="10">
        <f>'Pairings NB'!$M$1506</f>
        <v/>
      </c>
      <c r="H335" s="10">
        <f>'Pairings NB'!$O$1506</f>
        <v/>
      </c>
      <c r="I335" s="10">
        <f>'Pairings NB'!J1506</f>
        <v/>
      </c>
      <c r="J335" s="10">
        <f>IFERROR(VLOOKUP('Pairings NB'!$M$1506,Instructores!$A:$C,3,FALSE),"")</f>
        <v/>
      </c>
      <c r="K335" s="10">
        <f>IF('Pairings NB'!J1506=320,4,3)</f>
        <v/>
      </c>
    </row>
    <row r="336">
      <c r="A336" s="10">
        <f>'Pairings NB'!B1511</f>
        <v/>
      </c>
      <c r="B336" s="10">
        <f>'Pairings NB'!C1511</f>
        <v/>
      </c>
      <c r="C336" s="10">
        <f>'Pairings NB'!D1511</f>
        <v/>
      </c>
      <c r="D336" s="10">
        <f>'Pairings NB'!E1511&amp;"/"&amp;'Pairings NB'!E1512</f>
        <v/>
      </c>
      <c r="E336" s="10">
        <f>'Pairings NB'!F1511&amp;"-"&amp;'Pairings NB'!G1511&amp;"-"&amp;'Pairings NB'!F1511</f>
        <v/>
      </c>
      <c r="F336" s="10">
        <f>IFERROR(VLOOKUP('Pairings NB'!$M$1511,Instructores!$A:$C,2,FALSE),"")</f>
        <v/>
      </c>
      <c r="G336" s="10">
        <f>'Pairings NB'!$M$1511</f>
        <v/>
      </c>
      <c r="H336" s="10">
        <f>'Pairings NB'!$O$1511</f>
        <v/>
      </c>
      <c r="I336" s="10">
        <f>'Pairings NB'!J1511</f>
        <v/>
      </c>
      <c r="J336" s="10">
        <f>IFERROR(VLOOKUP('Pairings NB'!$M$1511,Instructores!$A:$C,3,FALSE),"")</f>
        <v/>
      </c>
      <c r="K336" s="10">
        <f>IF('Pairings NB'!J1511=320,4,3)</f>
        <v/>
      </c>
    </row>
    <row r="337">
      <c r="A337" s="10">
        <f>'Pairings NB'!B1516</f>
        <v/>
      </c>
      <c r="B337" s="10">
        <f>'Pairings NB'!C1516</f>
        <v/>
      </c>
      <c r="C337" s="10">
        <f>'Pairings NB'!D1516</f>
        <v/>
      </c>
      <c r="D337" s="10">
        <f>'Pairings NB'!E1516&amp;"/"&amp;'Pairings NB'!E1517</f>
        <v/>
      </c>
      <c r="E337" s="10">
        <f>'Pairings NB'!F1516&amp;"-"&amp;'Pairings NB'!G1516&amp;"-"&amp;'Pairings NB'!F1516</f>
        <v/>
      </c>
      <c r="F337" s="10">
        <f>IFERROR(VLOOKUP('Pairings NB'!$M$1516,Instructores!$A:$C,2,FALSE),"")</f>
        <v/>
      </c>
      <c r="G337" s="10">
        <f>'Pairings NB'!$M$1516</f>
        <v/>
      </c>
      <c r="H337" s="10">
        <f>'Pairings NB'!$O$1516</f>
        <v/>
      </c>
      <c r="I337" s="10">
        <f>'Pairings NB'!J1516</f>
        <v/>
      </c>
      <c r="J337" s="10">
        <f>IFERROR(VLOOKUP('Pairings NB'!$M$1516,Instructores!$A:$C,3,FALSE),"")</f>
        <v/>
      </c>
      <c r="K337" s="10">
        <f>IF('Pairings NB'!J1516=320,4,3)</f>
        <v/>
      </c>
    </row>
    <row r="338">
      <c r="A338" s="10">
        <f>'Pairings NB'!B1521</f>
        <v/>
      </c>
      <c r="B338" s="10">
        <f>'Pairings NB'!C1521</f>
        <v/>
      </c>
      <c r="C338" s="10">
        <f>'Pairings NB'!D1521</f>
        <v/>
      </c>
      <c r="D338" s="10">
        <f>'Pairings NB'!E1521&amp;"/"&amp;'Pairings NB'!E1522</f>
        <v/>
      </c>
      <c r="E338" s="10">
        <f>'Pairings NB'!F1521&amp;"-"&amp;'Pairings NB'!G1521&amp;"-"&amp;'Pairings NB'!F1521</f>
        <v/>
      </c>
      <c r="F338" s="10">
        <f>IFERROR(VLOOKUP('Pairings NB'!$M$1521,Instructores!$A:$C,2,FALSE),"")</f>
        <v/>
      </c>
      <c r="G338" s="10">
        <f>'Pairings NB'!$M$1521</f>
        <v/>
      </c>
      <c r="H338" s="10">
        <f>'Pairings NB'!$O$1521</f>
        <v/>
      </c>
      <c r="I338" s="10">
        <f>'Pairings NB'!J1521</f>
        <v/>
      </c>
      <c r="J338" s="10">
        <f>IFERROR(VLOOKUP('Pairings NB'!$M$1521,Instructores!$A:$C,3,FALSE),"")</f>
        <v/>
      </c>
      <c r="K338" s="10">
        <f>IF('Pairings NB'!J1521=320,4,3)</f>
        <v/>
      </c>
    </row>
    <row r="339">
      <c r="A339" s="10">
        <f>'Pairings NB'!B1523</f>
        <v/>
      </c>
      <c r="B339" s="10">
        <f>'Pairings NB'!C1523</f>
        <v/>
      </c>
      <c r="C339" s="10">
        <f>'Pairings NB'!D1523</f>
        <v/>
      </c>
      <c r="D339" s="10">
        <f>'Pairings NB'!E1523&amp;"/"&amp;'Pairings NB'!E1524</f>
        <v/>
      </c>
      <c r="E339" s="10">
        <f>'Pairings NB'!F1523&amp;"-"&amp;'Pairings NB'!G1523&amp;"-"&amp;'Pairings NB'!F1523</f>
        <v/>
      </c>
      <c r="F339" s="10">
        <f>IFERROR(VLOOKUP('Pairings NB'!$M$1521,Instructores!$A:$C,2,FALSE),"")</f>
        <v/>
      </c>
      <c r="G339" s="10">
        <f>'Pairings NB'!$M$1521</f>
        <v/>
      </c>
      <c r="H339" s="10">
        <f>'Pairings NB'!$O$1521</f>
        <v/>
      </c>
      <c r="I339" s="10">
        <f>'Pairings NB'!J1523</f>
        <v/>
      </c>
      <c r="J339" s="10">
        <f>IFERROR(VLOOKUP('Pairings NB'!$M$1521,Instructores!$A:$C,3,FALSE),"")</f>
        <v/>
      </c>
      <c r="K339" s="10">
        <f>IF('Pairings NB'!J1523=320,4,3)</f>
        <v/>
      </c>
    </row>
    <row r="340">
      <c r="A340" s="10">
        <f>'Pairings NB'!B1528</f>
        <v/>
      </c>
      <c r="B340" s="10">
        <f>'Pairings NB'!C1528</f>
        <v/>
      </c>
      <c r="C340" s="10">
        <f>'Pairings NB'!D1528</f>
        <v/>
      </c>
      <c r="D340" s="10">
        <f>'Pairings NB'!E1528&amp;"/"&amp;'Pairings NB'!E1529</f>
        <v/>
      </c>
      <c r="E340" s="10">
        <f>'Pairings NB'!F1528&amp;"-"&amp;'Pairings NB'!G1528&amp;"-"&amp;'Pairings NB'!F1528</f>
        <v/>
      </c>
      <c r="F340" s="10">
        <f>IFERROR(VLOOKUP('Pairings NB'!$M$1528,Instructores!$A:$C,2,FALSE),"")</f>
        <v/>
      </c>
      <c r="G340" s="10">
        <f>'Pairings NB'!$M$1528</f>
        <v/>
      </c>
      <c r="H340" s="10">
        <f>'Pairings NB'!$O$1528</f>
        <v/>
      </c>
      <c r="I340" s="10">
        <f>'Pairings NB'!J1528</f>
        <v/>
      </c>
      <c r="J340" s="10">
        <f>IFERROR(VLOOKUP('Pairings NB'!$M$1528,Instructores!$A:$C,3,FALSE),"")</f>
        <v/>
      </c>
      <c r="K340" s="10">
        <f>IF('Pairings NB'!J1528=320,4,3)</f>
        <v/>
      </c>
    </row>
    <row r="341">
      <c r="A341" s="10">
        <f>'Pairings NB'!B1530</f>
        <v/>
      </c>
      <c r="B341" s="10">
        <f>'Pairings NB'!C1530</f>
        <v/>
      </c>
      <c r="C341" s="10">
        <f>'Pairings NB'!D1530</f>
        <v/>
      </c>
      <c r="D341" s="10">
        <f>'Pairings NB'!E1530&amp;"/"&amp;'Pairings NB'!E1531</f>
        <v/>
      </c>
      <c r="E341" s="10">
        <f>'Pairings NB'!F1530&amp;"-"&amp;'Pairings NB'!G1530&amp;"-"&amp;'Pairings NB'!F1530</f>
        <v/>
      </c>
      <c r="F341" s="10">
        <f>IFERROR(VLOOKUP('Pairings NB'!$M$1528,Instructores!$A:$C,2,FALSE),"")</f>
        <v/>
      </c>
      <c r="G341" s="10">
        <f>'Pairings NB'!$M$1528</f>
        <v/>
      </c>
      <c r="H341" s="10">
        <f>'Pairings NB'!$O$1528</f>
        <v/>
      </c>
      <c r="I341" s="10">
        <f>'Pairings NB'!J1530</f>
        <v/>
      </c>
      <c r="J341" s="10">
        <f>IFERROR(VLOOKUP('Pairings NB'!$M$1528,Instructores!$A:$C,3,FALSE),"")</f>
        <v/>
      </c>
      <c r="K341" s="10">
        <f>IF('Pairings NB'!J1530=320,4,3)</f>
        <v/>
      </c>
    </row>
    <row r="342">
      <c r="A342" s="10">
        <f>'Pairings NB'!B1535</f>
        <v/>
      </c>
      <c r="B342" s="10">
        <f>'Pairings NB'!C1535</f>
        <v/>
      </c>
      <c r="C342" s="10">
        <f>'Pairings NB'!D1535</f>
        <v/>
      </c>
      <c r="D342" s="10">
        <f>'Pairings NB'!E1535&amp;"/"&amp;'Pairings NB'!E1536</f>
        <v/>
      </c>
      <c r="E342" s="10">
        <f>'Pairings NB'!F1535&amp;"-"&amp;'Pairings NB'!G1535&amp;"-"&amp;'Pairings NB'!F1535</f>
        <v/>
      </c>
      <c r="F342" s="10">
        <f>IFERROR(VLOOKUP('Pairings NB'!$M$1535,Instructores!$A:$C,2,FALSE),"")</f>
        <v/>
      </c>
      <c r="G342" s="10">
        <f>'Pairings NB'!$M$1535</f>
        <v/>
      </c>
      <c r="H342" s="10">
        <f>'Pairings NB'!$O$1535</f>
        <v/>
      </c>
      <c r="I342" s="10">
        <f>'Pairings NB'!J1535</f>
        <v/>
      </c>
      <c r="J342" s="10">
        <f>IFERROR(VLOOKUP('Pairings NB'!$M$1535,Instructores!$A:$C,3,FALSE),"")</f>
        <v/>
      </c>
      <c r="K342" s="10">
        <f>IF('Pairings NB'!J1535=320,4,3)</f>
        <v/>
      </c>
    </row>
    <row r="343">
      <c r="A343" s="10">
        <f>'Pairings NB'!B1537</f>
        <v/>
      </c>
      <c r="B343" s="10">
        <f>'Pairings NB'!C1537</f>
        <v/>
      </c>
      <c r="C343" s="10">
        <f>'Pairings NB'!D1537</f>
        <v/>
      </c>
      <c r="D343" s="10">
        <f>'Pairings NB'!E1537&amp;"/"&amp;'Pairings NB'!E1538</f>
        <v/>
      </c>
      <c r="E343" s="10">
        <f>'Pairings NB'!F1537&amp;"-"&amp;'Pairings NB'!G1537&amp;"-"&amp;'Pairings NB'!F1537</f>
        <v/>
      </c>
      <c r="F343" s="10">
        <f>IFERROR(VLOOKUP('Pairings NB'!$M$1535,Instructores!$A:$C,2,FALSE),"")</f>
        <v/>
      </c>
      <c r="G343" s="10">
        <f>'Pairings NB'!$M$1535</f>
        <v/>
      </c>
      <c r="H343" s="10">
        <f>'Pairings NB'!$O$1535</f>
        <v/>
      </c>
      <c r="I343" s="10">
        <f>'Pairings NB'!J1537</f>
        <v/>
      </c>
      <c r="J343" s="10">
        <f>IFERROR(VLOOKUP('Pairings NB'!$M$1535,Instructores!$A:$C,3,FALSE),"")</f>
        <v/>
      </c>
      <c r="K343" s="10">
        <f>IF('Pairings NB'!J1537=320,4,3)</f>
        <v/>
      </c>
    </row>
    <row r="344">
      <c r="A344" s="10">
        <f>'Pairings NB'!B1542</f>
        <v/>
      </c>
      <c r="B344" s="10">
        <f>'Pairings NB'!C1542</f>
        <v/>
      </c>
      <c r="C344" s="10">
        <f>'Pairings NB'!D1542</f>
        <v/>
      </c>
      <c r="D344" s="10">
        <f>'Pairings NB'!E1542&amp;"/"&amp;'Pairings NB'!E1543</f>
        <v/>
      </c>
      <c r="E344" s="10">
        <f>'Pairings NB'!F1542&amp;"-"&amp;'Pairings NB'!G1542&amp;"-"&amp;'Pairings NB'!F1542</f>
        <v/>
      </c>
      <c r="F344" s="10">
        <f>IFERROR(VLOOKUP('Pairings NB'!$M$1542,Instructores!$A:$C,2,FALSE),"")</f>
        <v/>
      </c>
      <c r="G344" s="10">
        <f>'Pairings NB'!$M$1542</f>
        <v/>
      </c>
      <c r="H344" s="10">
        <f>'Pairings NB'!$O$1542</f>
        <v/>
      </c>
      <c r="I344" s="10">
        <f>'Pairings NB'!J1542</f>
        <v/>
      </c>
      <c r="J344" s="10">
        <f>IFERROR(VLOOKUP('Pairings NB'!$M$1542,Instructores!$A:$C,3,FALSE),"")</f>
        <v/>
      </c>
      <c r="K344" s="10">
        <f>IF('Pairings NB'!J1542=320,4,3)</f>
        <v/>
      </c>
    </row>
    <row r="345">
      <c r="A345" s="10">
        <f>'Pairings NB'!B1547</f>
        <v/>
      </c>
      <c r="B345" s="10">
        <f>'Pairings NB'!C1547</f>
        <v/>
      </c>
      <c r="C345" s="10">
        <f>'Pairings NB'!D1547</f>
        <v/>
      </c>
      <c r="D345" s="10">
        <f>'Pairings NB'!E1547&amp;"/"&amp;'Pairings NB'!E1548</f>
        <v/>
      </c>
      <c r="E345" s="10">
        <f>'Pairings NB'!F1547&amp;"-"&amp;'Pairings NB'!G1547&amp;"-"&amp;'Pairings NB'!F1547</f>
        <v/>
      </c>
      <c r="F345" s="10">
        <f>IFERROR(VLOOKUP('Pairings NB'!$M$1547,Instructores!$A:$C,2,FALSE),"")</f>
        <v/>
      </c>
      <c r="G345" s="10">
        <f>'Pairings NB'!$M$1547</f>
        <v/>
      </c>
      <c r="H345" s="10">
        <f>'Pairings NB'!$O$1547</f>
        <v/>
      </c>
      <c r="I345" s="10">
        <f>'Pairings NB'!J1547</f>
        <v/>
      </c>
      <c r="J345" s="10">
        <f>IFERROR(VLOOKUP('Pairings NB'!$M$1547,Instructores!$A:$C,3,FALSE),"")</f>
        <v/>
      </c>
      <c r="K345" s="10">
        <f>IF('Pairings NB'!J1547=320,4,3)</f>
        <v/>
      </c>
    </row>
    <row r="346">
      <c r="A346" s="10">
        <f>'Pairings NB'!B1552</f>
        <v/>
      </c>
      <c r="B346" s="10">
        <f>'Pairings NB'!C1552</f>
        <v/>
      </c>
      <c r="C346" s="10">
        <f>'Pairings NB'!D1552</f>
        <v/>
      </c>
      <c r="D346" s="10">
        <f>'Pairings NB'!E1552&amp;"/"&amp;'Pairings NB'!E1553</f>
        <v/>
      </c>
      <c r="E346" s="10">
        <f>'Pairings NB'!F1552&amp;"-"&amp;'Pairings NB'!G1552&amp;"-"&amp;'Pairings NB'!F1552</f>
        <v/>
      </c>
      <c r="F346" s="10">
        <f>IFERROR(VLOOKUP('Pairings NB'!$M$1552,Instructores!$A:$C,2,FALSE),"")</f>
        <v/>
      </c>
      <c r="G346" s="10">
        <f>'Pairings NB'!$M$1552</f>
        <v/>
      </c>
      <c r="H346" s="10">
        <f>'Pairings NB'!$O$1552</f>
        <v/>
      </c>
      <c r="I346" s="10">
        <f>'Pairings NB'!J1552</f>
        <v/>
      </c>
      <c r="J346" s="10">
        <f>IFERROR(VLOOKUP('Pairings NB'!$M$1552,Instructores!$A:$C,3,FALSE),"")</f>
        <v/>
      </c>
      <c r="K346" s="10">
        <f>IF('Pairings NB'!J1552=320,4,3)</f>
        <v/>
      </c>
    </row>
    <row r="347">
      <c r="A347" s="10">
        <f>'Pairings NB'!B1557</f>
        <v/>
      </c>
      <c r="B347" s="10">
        <f>'Pairings NB'!C1557</f>
        <v/>
      </c>
      <c r="C347" s="10">
        <f>'Pairings NB'!D1557</f>
        <v/>
      </c>
      <c r="D347" s="10">
        <f>'Pairings NB'!E1557&amp;"/"&amp;'Pairings NB'!E1558</f>
        <v/>
      </c>
      <c r="E347" s="10">
        <f>'Pairings NB'!F1557&amp;"-"&amp;'Pairings NB'!G1557&amp;"-"&amp;'Pairings NB'!F1557</f>
        <v/>
      </c>
      <c r="F347" s="10">
        <f>IFERROR(VLOOKUP('Pairings NB'!$M$1557,Instructores!$A:$C,2,FALSE),"")</f>
        <v/>
      </c>
      <c r="G347" s="10">
        <f>'Pairings NB'!$M$1557</f>
        <v/>
      </c>
      <c r="H347" s="10">
        <f>'Pairings NB'!$O$1557</f>
        <v/>
      </c>
      <c r="I347" s="10">
        <f>'Pairings NB'!J1557</f>
        <v/>
      </c>
      <c r="J347" s="10">
        <f>IFERROR(VLOOKUP('Pairings NB'!$M$1557,Instructores!$A:$C,3,FALSE),"")</f>
        <v/>
      </c>
      <c r="K347" s="10">
        <f>IF('Pairings NB'!J1557=320,4,3)</f>
        <v/>
      </c>
    </row>
    <row r="348">
      <c r="A348" s="10">
        <f>'Pairings NB'!B1562</f>
        <v/>
      </c>
      <c r="B348" s="10">
        <f>'Pairings NB'!C1562</f>
        <v/>
      </c>
      <c r="C348" s="10">
        <f>'Pairings NB'!D1562</f>
        <v/>
      </c>
      <c r="D348" s="10">
        <f>'Pairings NB'!E1562&amp;"/"&amp;'Pairings NB'!E1563</f>
        <v/>
      </c>
      <c r="E348" s="10">
        <f>'Pairings NB'!F1562&amp;"-"&amp;'Pairings NB'!G1562&amp;"-"&amp;'Pairings NB'!F1562</f>
        <v/>
      </c>
      <c r="F348" s="10">
        <f>IFERROR(VLOOKUP('Pairings NB'!$M$1562,Instructores!$A:$C,2,FALSE),"")</f>
        <v/>
      </c>
      <c r="G348" s="10">
        <f>'Pairings NB'!$M$1562</f>
        <v/>
      </c>
      <c r="H348" s="10">
        <f>'Pairings NB'!$O$1562</f>
        <v/>
      </c>
      <c r="I348" s="10">
        <f>'Pairings NB'!J1562</f>
        <v/>
      </c>
      <c r="J348" s="10">
        <f>IFERROR(VLOOKUP('Pairings NB'!$M$1562,Instructores!$A:$C,3,FALSE),"")</f>
        <v/>
      </c>
      <c r="K348" s="10">
        <f>IF('Pairings NB'!J1562=320,4,3)</f>
        <v/>
      </c>
    </row>
    <row r="349">
      <c r="A349" s="10">
        <f>'Pairings NB'!B1567</f>
        <v/>
      </c>
      <c r="B349" s="10">
        <f>'Pairings NB'!C1567</f>
        <v/>
      </c>
      <c r="C349" s="10">
        <f>'Pairings NB'!D1567</f>
        <v/>
      </c>
      <c r="D349" s="10">
        <f>'Pairings NB'!E1567&amp;"/"&amp;'Pairings NB'!E1568</f>
        <v/>
      </c>
      <c r="E349" s="10">
        <f>'Pairings NB'!F1567&amp;"-"&amp;'Pairings NB'!G1567&amp;"-"&amp;'Pairings NB'!F1567</f>
        <v/>
      </c>
      <c r="F349" s="10">
        <f>IFERROR(VLOOKUP('Pairings NB'!$M$1567,Instructores!$A:$C,2,FALSE),"")</f>
        <v/>
      </c>
      <c r="G349" s="10">
        <f>'Pairings NB'!$M$1567</f>
        <v/>
      </c>
      <c r="H349" s="10">
        <f>'Pairings NB'!$O$1567</f>
        <v/>
      </c>
      <c r="I349" s="10">
        <f>'Pairings NB'!J1567</f>
        <v/>
      </c>
      <c r="J349" s="10">
        <f>IFERROR(VLOOKUP('Pairings NB'!$M$1567,Instructores!$A:$C,3,FALSE),"")</f>
        <v/>
      </c>
      <c r="K349" s="10">
        <f>IF('Pairings NB'!J1567=320,4,3)</f>
        <v/>
      </c>
    </row>
    <row r="350">
      <c r="A350" s="10">
        <f>'Pairings NB'!B1572</f>
        <v/>
      </c>
      <c r="B350" s="10">
        <f>'Pairings NB'!C1572</f>
        <v/>
      </c>
      <c r="C350" s="10">
        <f>'Pairings NB'!D1572</f>
        <v/>
      </c>
      <c r="D350" s="10">
        <f>'Pairings NB'!E1572&amp;"/"&amp;'Pairings NB'!E1573</f>
        <v/>
      </c>
      <c r="E350" s="10">
        <f>'Pairings NB'!F1572&amp;"-"&amp;'Pairings NB'!G1572&amp;"-"&amp;'Pairings NB'!F1572</f>
        <v/>
      </c>
      <c r="F350" s="10">
        <f>IFERROR(VLOOKUP('Pairings NB'!$M$1572,Instructores!$A:$C,2,FALSE),"")</f>
        <v/>
      </c>
      <c r="G350" s="10">
        <f>'Pairings NB'!$M$1572</f>
        <v/>
      </c>
      <c r="H350" s="10">
        <f>'Pairings NB'!$O$1572</f>
        <v/>
      </c>
      <c r="I350" s="10">
        <f>'Pairings NB'!J1572</f>
        <v/>
      </c>
      <c r="J350" s="10">
        <f>IFERROR(VLOOKUP('Pairings NB'!$M$1572,Instructores!$A:$C,3,FALSE),"")</f>
        <v/>
      </c>
      <c r="K350" s="10">
        <f>IF('Pairings NB'!J1572=320,4,3)</f>
        <v/>
      </c>
    </row>
    <row r="351">
      <c r="A351" s="10">
        <f>'Pairings NB'!B1577</f>
        <v/>
      </c>
      <c r="B351" s="10">
        <f>'Pairings NB'!C1577</f>
        <v/>
      </c>
      <c r="C351" s="10">
        <f>'Pairings NB'!D1577</f>
        <v/>
      </c>
      <c r="D351" s="10">
        <f>'Pairings NB'!E1577&amp;"/"&amp;'Pairings NB'!E1578</f>
        <v/>
      </c>
      <c r="E351" s="10">
        <f>'Pairings NB'!F1577&amp;"-"&amp;'Pairings NB'!G1577&amp;"-"&amp;'Pairings NB'!F1577</f>
        <v/>
      </c>
      <c r="F351" s="10">
        <f>IFERROR(VLOOKUP('Pairings NB'!$M$1577,Instructores!$A:$C,2,FALSE),"")</f>
        <v/>
      </c>
      <c r="G351" s="10">
        <f>'Pairings NB'!$M$1577</f>
        <v/>
      </c>
      <c r="H351" s="10">
        <f>'Pairings NB'!$O$1577</f>
        <v/>
      </c>
      <c r="I351" s="10">
        <f>'Pairings NB'!J1577</f>
        <v/>
      </c>
      <c r="J351" s="10">
        <f>IFERROR(VLOOKUP('Pairings NB'!$M$1577,Instructores!$A:$C,3,FALSE),"")</f>
        <v/>
      </c>
      <c r="K351" s="10">
        <f>IF('Pairings NB'!J1577=320,4,3)</f>
        <v/>
      </c>
    </row>
    <row r="352">
      <c r="A352" s="10">
        <f>'Pairings NB'!B1582</f>
        <v/>
      </c>
      <c r="B352" s="10">
        <f>'Pairings NB'!C1582</f>
        <v/>
      </c>
      <c r="C352" s="10">
        <f>'Pairings NB'!D1582</f>
        <v/>
      </c>
      <c r="D352" s="10">
        <f>'Pairings NB'!E1582&amp;"/"&amp;'Pairings NB'!E1583</f>
        <v/>
      </c>
      <c r="E352" s="10">
        <f>'Pairings NB'!F1582&amp;"-"&amp;'Pairings NB'!G1582&amp;"-"&amp;'Pairings NB'!F1582</f>
        <v/>
      </c>
      <c r="F352" s="10">
        <f>IFERROR(VLOOKUP('Pairings NB'!$M$1582,Instructores!$A:$C,2,FALSE),"")</f>
        <v/>
      </c>
      <c r="G352" s="10">
        <f>'Pairings NB'!$M$1582</f>
        <v/>
      </c>
      <c r="H352" s="10">
        <f>'Pairings NB'!$O$1582</f>
        <v/>
      </c>
      <c r="I352" s="10">
        <f>'Pairings NB'!J1582</f>
        <v/>
      </c>
      <c r="J352" s="10">
        <f>IFERROR(VLOOKUP('Pairings NB'!$M$1582,Instructores!$A:$C,3,FALSE),"")</f>
        <v/>
      </c>
      <c r="K352" s="10">
        <f>IF('Pairings NB'!J1582=320,4,3)</f>
        <v/>
      </c>
    </row>
    <row r="353">
      <c r="A353" s="10">
        <f>'Pairings NB'!B1587</f>
        <v/>
      </c>
      <c r="B353" s="10">
        <f>'Pairings NB'!C1587</f>
        <v/>
      </c>
      <c r="C353" s="10">
        <f>'Pairings NB'!D1587</f>
        <v/>
      </c>
      <c r="D353" s="10">
        <f>'Pairings NB'!E1587&amp;"/"&amp;'Pairings NB'!E1588</f>
        <v/>
      </c>
      <c r="E353" s="10">
        <f>'Pairings NB'!F1587&amp;"-"&amp;'Pairings NB'!G1587&amp;"-"&amp;'Pairings NB'!F1587</f>
        <v/>
      </c>
      <c r="F353" s="10">
        <f>IFERROR(VLOOKUP('Pairings NB'!$M$1587,Instructores!$A:$C,2,FALSE),"")</f>
        <v/>
      </c>
      <c r="G353" s="10">
        <f>'Pairings NB'!$M$1587</f>
        <v/>
      </c>
      <c r="H353" s="10">
        <f>'Pairings NB'!$O$1587</f>
        <v/>
      </c>
      <c r="I353" s="10">
        <f>'Pairings NB'!J1587</f>
        <v/>
      </c>
      <c r="J353" s="10">
        <f>IFERROR(VLOOKUP('Pairings NB'!$M$1587,Instructores!$A:$C,3,FALSE),"")</f>
        <v/>
      </c>
      <c r="K353" s="10">
        <f>IF('Pairings NB'!J1587=320,4,3)</f>
        <v/>
      </c>
    </row>
    <row r="354">
      <c r="A354" s="10">
        <f>'Pairings NB'!B1592</f>
        <v/>
      </c>
      <c r="B354" s="10">
        <f>'Pairings NB'!C1592</f>
        <v/>
      </c>
      <c r="C354" s="10">
        <f>'Pairings NB'!D1592</f>
        <v/>
      </c>
      <c r="D354" s="10">
        <f>'Pairings NB'!E1592&amp;"/"&amp;'Pairings NB'!E1593</f>
        <v/>
      </c>
      <c r="E354" s="10">
        <f>'Pairings NB'!F1592&amp;"-"&amp;'Pairings NB'!G1592&amp;"-"&amp;'Pairings NB'!F1592</f>
        <v/>
      </c>
      <c r="F354" s="10">
        <f>IFERROR(VLOOKUP('Pairings NB'!$M$1592,Instructores!$A:$C,2,FALSE),"")</f>
        <v/>
      </c>
      <c r="G354" s="10">
        <f>'Pairings NB'!$M$1592</f>
        <v/>
      </c>
      <c r="H354" s="10">
        <f>'Pairings NB'!$O$1592</f>
        <v/>
      </c>
      <c r="I354" s="10">
        <f>'Pairings NB'!J1592</f>
        <v/>
      </c>
      <c r="J354" s="10">
        <f>IFERROR(VLOOKUP('Pairings NB'!$M$1592,Instructores!$A:$C,3,FALSE),"")</f>
        <v/>
      </c>
      <c r="K354" s="10">
        <f>IF('Pairings NB'!J1592=320,4,3)</f>
        <v/>
      </c>
    </row>
    <row r="355">
      <c r="A355" s="10">
        <f>'Pairings NB'!B1597</f>
        <v/>
      </c>
      <c r="B355" s="10">
        <f>'Pairings NB'!C1597</f>
        <v/>
      </c>
      <c r="C355" s="10">
        <f>'Pairings NB'!D1597</f>
        <v/>
      </c>
      <c r="D355" s="10">
        <f>'Pairings NB'!E1597&amp;"/"&amp;'Pairings NB'!E1598</f>
        <v/>
      </c>
      <c r="E355" s="10">
        <f>'Pairings NB'!F1597&amp;"-"&amp;'Pairings NB'!G1597&amp;"-"&amp;'Pairings NB'!F1597</f>
        <v/>
      </c>
      <c r="F355" s="10">
        <f>IFERROR(VLOOKUP('Pairings NB'!$M$1597,Instructores!$A:$C,2,FALSE),"")</f>
        <v/>
      </c>
      <c r="G355" s="10">
        <f>'Pairings NB'!$M$1597</f>
        <v/>
      </c>
      <c r="H355" s="10">
        <f>'Pairings NB'!$O$1597</f>
        <v/>
      </c>
      <c r="I355" s="10">
        <f>'Pairings NB'!J1597</f>
        <v/>
      </c>
      <c r="J355" s="10">
        <f>IFERROR(VLOOKUP('Pairings NB'!$M$1597,Instructores!$A:$C,3,FALSE),"")</f>
        <v/>
      </c>
      <c r="K355" s="10">
        <f>IF('Pairings NB'!J1597=320,4,3)</f>
        <v/>
      </c>
    </row>
    <row r="356">
      <c r="A356" s="10">
        <f>'Pairings NB'!B1602</f>
        <v/>
      </c>
      <c r="B356" s="10">
        <f>'Pairings NB'!C1602</f>
        <v/>
      </c>
      <c r="C356" s="10">
        <f>'Pairings NB'!D1602</f>
        <v/>
      </c>
      <c r="D356" s="10">
        <f>'Pairings NB'!E1602&amp;"/"&amp;'Pairings NB'!E1603</f>
        <v/>
      </c>
      <c r="E356" s="10">
        <f>'Pairings NB'!F1602&amp;"-"&amp;'Pairings NB'!G1602&amp;"-"&amp;'Pairings NB'!F1602</f>
        <v/>
      </c>
      <c r="F356" s="10">
        <f>IFERROR(VLOOKUP('Pairings NB'!$M$1602,Instructores!$A:$C,2,FALSE),"")</f>
        <v/>
      </c>
      <c r="G356" s="10">
        <f>'Pairings NB'!$M$1602</f>
        <v/>
      </c>
      <c r="H356" s="10">
        <f>'Pairings NB'!$O$1602</f>
        <v/>
      </c>
      <c r="I356" s="10">
        <f>'Pairings NB'!J1602</f>
        <v/>
      </c>
      <c r="J356" s="10">
        <f>IFERROR(VLOOKUP('Pairings NB'!$M$1602,Instructores!$A:$C,3,FALSE),"")</f>
        <v/>
      </c>
      <c r="K356" s="10">
        <f>IF('Pairings NB'!J1602=320,4,3)</f>
        <v/>
      </c>
    </row>
    <row r="357">
      <c r="A357" s="10">
        <f>'Pairings NB'!B1607</f>
        <v/>
      </c>
      <c r="B357" s="10">
        <f>'Pairings NB'!C1607</f>
        <v/>
      </c>
      <c r="C357" s="10">
        <f>'Pairings NB'!D1607</f>
        <v/>
      </c>
      <c r="D357" s="10">
        <f>'Pairings NB'!E1607&amp;"/"&amp;'Pairings NB'!E1608</f>
        <v/>
      </c>
      <c r="E357" s="10">
        <f>'Pairings NB'!F1607&amp;"-"&amp;'Pairings NB'!G1607&amp;"-"&amp;'Pairings NB'!F1607</f>
        <v/>
      </c>
      <c r="F357" s="10">
        <f>IFERROR(VLOOKUP('Pairings NB'!$M$1607,Instructores!$A:$C,2,FALSE),"")</f>
        <v/>
      </c>
      <c r="G357" s="10">
        <f>'Pairings NB'!$M$1607</f>
        <v/>
      </c>
      <c r="H357" s="10">
        <f>'Pairings NB'!$O$1607</f>
        <v/>
      </c>
      <c r="I357" s="10">
        <f>'Pairings NB'!J1607</f>
        <v/>
      </c>
      <c r="J357" s="10">
        <f>IFERROR(VLOOKUP('Pairings NB'!$M$1607,Instructores!$A:$C,3,FALSE),"")</f>
        <v/>
      </c>
      <c r="K357" s="10">
        <f>IF('Pairings NB'!J1607=320,4,3)</f>
        <v/>
      </c>
    </row>
    <row r="358">
      <c r="A358" s="10">
        <f>'Pairings NB'!B1609</f>
        <v/>
      </c>
      <c r="B358" s="10">
        <f>'Pairings NB'!C1609</f>
        <v/>
      </c>
      <c r="C358" s="10">
        <f>'Pairings NB'!D1609</f>
        <v/>
      </c>
      <c r="D358" s="10">
        <f>'Pairings NB'!E1609&amp;"/"&amp;'Pairings NB'!E1610</f>
        <v/>
      </c>
      <c r="E358" s="10">
        <f>'Pairings NB'!F1609&amp;"-"&amp;'Pairings NB'!G1609&amp;"-"&amp;'Pairings NB'!F1609</f>
        <v/>
      </c>
      <c r="F358" s="10">
        <f>IFERROR(VLOOKUP('Pairings NB'!$M$1607,Instructores!$A:$C,2,FALSE),"")</f>
        <v/>
      </c>
      <c r="G358" s="10">
        <f>'Pairings NB'!$M$1607</f>
        <v/>
      </c>
      <c r="H358" s="10">
        <f>'Pairings NB'!$O$1607</f>
        <v/>
      </c>
      <c r="I358" s="10">
        <f>'Pairings NB'!J1609</f>
        <v/>
      </c>
      <c r="J358" s="10">
        <f>IFERROR(VLOOKUP('Pairings NB'!$M$1607,Instructores!$A:$C,3,FALSE),"")</f>
        <v/>
      </c>
      <c r="K358" s="10">
        <f>IF('Pairings NB'!J1609=320,4,3)</f>
        <v/>
      </c>
    </row>
    <row r="359">
      <c r="A359" s="10">
        <f>'Pairings NB'!B1614</f>
        <v/>
      </c>
      <c r="B359" s="10">
        <f>'Pairings NB'!C1614</f>
        <v/>
      </c>
      <c r="C359" s="10">
        <f>'Pairings NB'!D1614</f>
        <v/>
      </c>
      <c r="D359" s="10">
        <f>'Pairings NB'!E1614&amp;"/"&amp;'Pairings NB'!E1615</f>
        <v/>
      </c>
      <c r="E359" s="10">
        <f>'Pairings NB'!F1614&amp;"-"&amp;'Pairings NB'!G1614&amp;"-"&amp;'Pairings NB'!F1614</f>
        <v/>
      </c>
      <c r="F359" s="10">
        <f>IFERROR(VLOOKUP('Pairings NB'!$M$1614,Instructores!$A:$C,2,FALSE),"")</f>
        <v/>
      </c>
      <c r="G359" s="10">
        <f>'Pairings NB'!$M$1614</f>
        <v/>
      </c>
      <c r="H359" s="10">
        <f>'Pairings NB'!$O$1614</f>
        <v/>
      </c>
      <c r="I359" s="10">
        <f>'Pairings NB'!J1614</f>
        <v/>
      </c>
      <c r="J359" s="10">
        <f>IFERROR(VLOOKUP('Pairings NB'!$M$1614,Instructores!$A:$C,3,FALSE),"")</f>
        <v/>
      </c>
      <c r="K359" s="10">
        <f>IF('Pairings NB'!J1614=320,4,3)</f>
        <v/>
      </c>
    </row>
    <row r="360">
      <c r="A360" s="10">
        <f>'Pairings NB'!B1616</f>
        <v/>
      </c>
      <c r="B360" s="10">
        <f>'Pairings NB'!C1616</f>
        <v/>
      </c>
      <c r="C360" s="10">
        <f>'Pairings NB'!D1616</f>
        <v/>
      </c>
      <c r="D360" s="10">
        <f>'Pairings NB'!E1616&amp;"/"&amp;'Pairings NB'!E1617</f>
        <v/>
      </c>
      <c r="E360" s="10">
        <f>'Pairings NB'!F1616&amp;"-"&amp;'Pairings NB'!G1616&amp;"-"&amp;'Pairings NB'!F1616</f>
        <v/>
      </c>
      <c r="F360" s="10">
        <f>IFERROR(VLOOKUP('Pairings NB'!$M$1614,Instructores!$A:$C,2,FALSE),"")</f>
        <v/>
      </c>
      <c r="G360" s="10">
        <f>'Pairings NB'!$M$1614</f>
        <v/>
      </c>
      <c r="H360" s="10">
        <f>'Pairings NB'!$O$1614</f>
        <v/>
      </c>
      <c r="I360" s="10">
        <f>'Pairings NB'!J1616</f>
        <v/>
      </c>
      <c r="J360" s="10">
        <f>IFERROR(VLOOKUP('Pairings NB'!$M$1614,Instructores!$A:$C,3,FALSE),"")</f>
        <v/>
      </c>
      <c r="K360" s="10">
        <f>IF('Pairings NB'!J1616=320,4,3)</f>
        <v/>
      </c>
    </row>
    <row r="361">
      <c r="A361" s="10">
        <f>'Pairings NB'!B1621</f>
        <v/>
      </c>
      <c r="B361" s="10">
        <f>'Pairings NB'!C1621</f>
        <v/>
      </c>
      <c r="C361" s="10">
        <f>'Pairings NB'!D1621</f>
        <v/>
      </c>
      <c r="D361" s="10">
        <f>'Pairings NB'!E1621&amp;"/"&amp;'Pairings NB'!E1622</f>
        <v/>
      </c>
      <c r="E361" s="10">
        <f>'Pairings NB'!F1621&amp;"-"&amp;'Pairings NB'!G1621&amp;"-"&amp;'Pairings NB'!F1621</f>
        <v/>
      </c>
      <c r="F361" s="10">
        <f>IFERROR(VLOOKUP('Pairings NB'!$M$1621,Instructores!$A:$C,2,FALSE),"")</f>
        <v/>
      </c>
      <c r="G361" s="10">
        <f>'Pairings NB'!$M$1621</f>
        <v/>
      </c>
      <c r="H361" s="10">
        <f>'Pairings NB'!$O$1621</f>
        <v/>
      </c>
      <c r="I361" s="10">
        <f>'Pairings NB'!J1621</f>
        <v/>
      </c>
      <c r="J361" s="10">
        <f>IFERROR(VLOOKUP('Pairings NB'!$M$1621,Instructores!$A:$C,3,FALSE),"")</f>
        <v/>
      </c>
      <c r="K361" s="10">
        <f>IF('Pairings NB'!J1621=320,4,3)</f>
        <v/>
      </c>
    </row>
    <row r="362">
      <c r="A362" s="10">
        <f>'Pairings NB'!B1623</f>
        <v/>
      </c>
      <c r="B362" s="10">
        <f>'Pairings NB'!C1623</f>
        <v/>
      </c>
      <c r="C362" s="10">
        <f>'Pairings NB'!D1623</f>
        <v/>
      </c>
      <c r="D362" s="10">
        <f>'Pairings NB'!E1623&amp;"/"&amp;'Pairings NB'!E1624</f>
        <v/>
      </c>
      <c r="E362" s="10">
        <f>'Pairings NB'!F1623&amp;"-"&amp;'Pairings NB'!G1623&amp;"-"&amp;'Pairings NB'!F1623</f>
        <v/>
      </c>
      <c r="F362" s="10">
        <f>IFERROR(VLOOKUP('Pairings NB'!$M$1621,Instructores!$A:$C,2,FALSE),"")</f>
        <v/>
      </c>
      <c r="G362" s="10">
        <f>'Pairings NB'!$M$1621</f>
        <v/>
      </c>
      <c r="H362" s="10">
        <f>'Pairings NB'!$O$1621</f>
        <v/>
      </c>
      <c r="I362" s="10">
        <f>'Pairings NB'!J1623</f>
        <v/>
      </c>
      <c r="J362" s="10">
        <f>IFERROR(VLOOKUP('Pairings NB'!$M$1621,Instructores!$A:$C,3,FALSE),"")</f>
        <v/>
      </c>
      <c r="K362" s="10">
        <f>IF('Pairings NB'!J1623=320,4,3)</f>
        <v/>
      </c>
    </row>
    <row r="363">
      <c r="A363" s="10">
        <f>'Pairings NB'!B1628</f>
        <v/>
      </c>
      <c r="B363" s="10">
        <f>'Pairings NB'!C1628</f>
        <v/>
      </c>
      <c r="C363" s="10">
        <f>'Pairings NB'!D1628</f>
        <v/>
      </c>
      <c r="D363" s="10">
        <f>'Pairings NB'!E1628&amp;"/"&amp;'Pairings NB'!E1629</f>
        <v/>
      </c>
      <c r="E363" s="10">
        <f>'Pairings NB'!F1628&amp;"-"&amp;'Pairings NB'!G1628&amp;"-"&amp;'Pairings NB'!F1628</f>
        <v/>
      </c>
      <c r="F363" s="10">
        <f>IFERROR(VLOOKUP('Pairings NB'!$M$1628,Instructores!$A:$C,2,FALSE),"")</f>
        <v/>
      </c>
      <c r="G363" s="10">
        <f>'Pairings NB'!$M$1628</f>
        <v/>
      </c>
      <c r="H363" s="10">
        <f>'Pairings NB'!$O$1628</f>
        <v/>
      </c>
      <c r="I363" s="10">
        <f>'Pairings NB'!J1628</f>
        <v/>
      </c>
      <c r="J363" s="10">
        <f>IFERROR(VLOOKUP('Pairings NB'!$M$1628,Instructores!$A:$C,3,FALSE),"")</f>
        <v/>
      </c>
      <c r="K363" s="10">
        <f>IF('Pairings NB'!J1628=320,4,3)</f>
        <v/>
      </c>
    </row>
    <row r="364">
      <c r="A364" s="10">
        <f>'Pairings NB'!B1630</f>
        <v/>
      </c>
      <c r="B364" s="10">
        <f>'Pairings NB'!C1630</f>
        <v/>
      </c>
      <c r="C364" s="10">
        <f>'Pairings NB'!D1630</f>
        <v/>
      </c>
      <c r="D364" s="10">
        <f>'Pairings NB'!E1630&amp;"/"&amp;'Pairings NB'!E1631</f>
        <v/>
      </c>
      <c r="E364" s="10">
        <f>'Pairings NB'!F1630&amp;"-"&amp;'Pairings NB'!G1630&amp;"-"&amp;'Pairings NB'!F1630</f>
        <v/>
      </c>
      <c r="F364" s="10">
        <f>IFERROR(VLOOKUP('Pairings NB'!$M$1628,Instructores!$A:$C,2,FALSE),"")</f>
        <v/>
      </c>
      <c r="G364" s="10">
        <f>'Pairings NB'!$M$1628</f>
        <v/>
      </c>
      <c r="H364" s="10">
        <f>'Pairings NB'!$O$1628</f>
        <v/>
      </c>
      <c r="I364" s="10">
        <f>'Pairings NB'!J1630</f>
        <v/>
      </c>
      <c r="J364" s="10">
        <f>IFERROR(VLOOKUP('Pairings NB'!$M$1628,Instructores!$A:$C,3,FALSE),"")</f>
        <v/>
      </c>
      <c r="K364" s="10">
        <f>IF('Pairings NB'!J1630=320,4,3)</f>
        <v/>
      </c>
    </row>
    <row r="365">
      <c r="A365" s="10">
        <f>'Pairings NB'!B1635</f>
        <v/>
      </c>
      <c r="B365" s="10">
        <f>'Pairings NB'!C1635</f>
        <v/>
      </c>
      <c r="C365" s="10">
        <f>'Pairings NB'!D1635</f>
        <v/>
      </c>
      <c r="D365" s="10">
        <f>'Pairings NB'!E1635&amp;"/"&amp;'Pairings NB'!E1636</f>
        <v/>
      </c>
      <c r="E365" s="10">
        <f>'Pairings NB'!F1635&amp;"-"&amp;'Pairings NB'!G1635&amp;"-"&amp;'Pairings NB'!F1635</f>
        <v/>
      </c>
      <c r="F365" s="10">
        <f>IFERROR(VLOOKUP('Pairings NB'!$M$1635,Instructores!$A:$C,2,FALSE),"")</f>
        <v/>
      </c>
      <c r="G365" s="10">
        <f>'Pairings NB'!$M$1635</f>
        <v/>
      </c>
      <c r="H365" s="10">
        <f>'Pairings NB'!$O$1635</f>
        <v/>
      </c>
      <c r="I365" s="10">
        <f>'Pairings NB'!J1635</f>
        <v/>
      </c>
      <c r="J365" s="10">
        <f>IFERROR(VLOOKUP('Pairings NB'!$M$1635,Instructores!$A:$C,3,FALSE),"")</f>
        <v/>
      </c>
      <c r="K365" s="10">
        <f>IF('Pairings NB'!J1635=320,4,3)</f>
        <v/>
      </c>
    </row>
    <row r="366">
      <c r="A366" s="10">
        <f>'Pairings NB'!B1640</f>
        <v/>
      </c>
      <c r="B366" s="10">
        <f>'Pairings NB'!C1640</f>
        <v/>
      </c>
      <c r="C366" s="10">
        <f>'Pairings NB'!D1640</f>
        <v/>
      </c>
      <c r="D366" s="10">
        <f>'Pairings NB'!E1640&amp;"/"&amp;'Pairings NB'!E1641</f>
        <v/>
      </c>
      <c r="E366" s="10">
        <f>'Pairings NB'!F1640&amp;"-"&amp;'Pairings NB'!G1640&amp;"-"&amp;'Pairings NB'!F1640</f>
        <v/>
      </c>
      <c r="F366" s="10">
        <f>IFERROR(VLOOKUP('Pairings NB'!$M$1640,Instructores!$A:$C,2,FALSE),"")</f>
        <v/>
      </c>
      <c r="G366" s="10">
        <f>'Pairings NB'!$M$1640</f>
        <v/>
      </c>
      <c r="H366" s="10">
        <f>'Pairings NB'!$O$1640</f>
        <v/>
      </c>
      <c r="I366" s="10">
        <f>'Pairings NB'!J1640</f>
        <v/>
      </c>
      <c r="J366" s="10">
        <f>IFERROR(VLOOKUP('Pairings NB'!$M$1640,Instructores!$A:$C,3,FALSE),"")</f>
        <v/>
      </c>
      <c r="K366" s="10">
        <f>IF('Pairings NB'!J1640=320,4,3)</f>
        <v/>
      </c>
    </row>
    <row r="367">
      <c r="A367" s="10">
        <f>'Pairings NB'!B1645</f>
        <v/>
      </c>
      <c r="B367" s="10">
        <f>'Pairings NB'!C1645</f>
        <v/>
      </c>
      <c r="C367" s="10">
        <f>'Pairings NB'!D1645</f>
        <v/>
      </c>
      <c r="D367" s="10">
        <f>'Pairings NB'!E1645&amp;"/"&amp;'Pairings NB'!E1646</f>
        <v/>
      </c>
      <c r="E367" s="10">
        <f>'Pairings NB'!F1645&amp;"-"&amp;'Pairings NB'!G1645&amp;"-"&amp;'Pairings NB'!F1645</f>
        <v/>
      </c>
      <c r="F367" s="10">
        <f>IFERROR(VLOOKUP('Pairings NB'!$M$1645,Instructores!$A:$C,2,FALSE),"")</f>
        <v/>
      </c>
      <c r="G367" s="10">
        <f>'Pairings NB'!$M$1645</f>
        <v/>
      </c>
      <c r="H367" s="10">
        <f>'Pairings NB'!$O$1645</f>
        <v/>
      </c>
      <c r="I367" s="10">
        <f>'Pairings NB'!J1645</f>
        <v/>
      </c>
      <c r="J367" s="10">
        <f>IFERROR(VLOOKUP('Pairings NB'!$M$1645,Instructores!$A:$C,3,FALSE),"")</f>
        <v/>
      </c>
      <c r="K367" s="10">
        <f>IF('Pairings NB'!J1645=320,4,3)</f>
        <v/>
      </c>
    </row>
    <row r="368">
      <c r="A368" s="10">
        <f>'Pairings NB'!B1650</f>
        <v/>
      </c>
      <c r="B368" s="10">
        <f>'Pairings NB'!C1650</f>
        <v/>
      </c>
      <c r="C368" s="10">
        <f>'Pairings NB'!D1650</f>
        <v/>
      </c>
      <c r="D368" s="10">
        <f>'Pairings NB'!E1650&amp;"/"&amp;'Pairings NB'!E1651</f>
        <v/>
      </c>
      <c r="E368" s="10">
        <f>'Pairings NB'!F1650&amp;"-"&amp;'Pairings NB'!G1650&amp;"-"&amp;'Pairings NB'!F1650</f>
        <v/>
      </c>
      <c r="F368" s="10">
        <f>IFERROR(VLOOKUP('Pairings NB'!$M$1650,Instructores!$A:$C,2,FALSE),"")</f>
        <v/>
      </c>
      <c r="G368" s="10">
        <f>'Pairings NB'!$M$1650</f>
        <v/>
      </c>
      <c r="H368" s="10">
        <f>'Pairings NB'!$O$1650</f>
        <v/>
      </c>
      <c r="I368" s="10">
        <f>'Pairings NB'!J1650</f>
        <v/>
      </c>
      <c r="J368" s="10">
        <f>IFERROR(VLOOKUP('Pairings NB'!$M$1650,Instructores!$A:$C,3,FALSE),"")</f>
        <v/>
      </c>
      <c r="K368" s="10">
        <f>IF('Pairings NB'!J1650=320,4,3)</f>
        <v/>
      </c>
    </row>
    <row r="369">
      <c r="A369" s="10">
        <f>'Pairings NB'!B1655</f>
        <v/>
      </c>
      <c r="B369" s="10">
        <f>'Pairings NB'!C1655</f>
        <v/>
      </c>
      <c r="C369" s="10">
        <f>'Pairings NB'!D1655</f>
        <v/>
      </c>
      <c r="D369" s="10">
        <f>'Pairings NB'!E1655&amp;"/"&amp;'Pairings NB'!E1656</f>
        <v/>
      </c>
      <c r="E369" s="10">
        <f>'Pairings NB'!F1655&amp;"-"&amp;'Pairings NB'!G1655&amp;"-"&amp;'Pairings NB'!F1655</f>
        <v/>
      </c>
      <c r="F369" s="10">
        <f>IFERROR(VLOOKUP('Pairings NB'!$M$1655,Instructores!$A:$C,2,FALSE),"")</f>
        <v/>
      </c>
      <c r="G369" s="10">
        <f>'Pairings NB'!$M$1655</f>
        <v/>
      </c>
      <c r="H369" s="10">
        <f>'Pairings NB'!$O$1655</f>
        <v/>
      </c>
      <c r="I369" s="10">
        <f>'Pairings NB'!J1655</f>
        <v/>
      </c>
      <c r="J369" s="10">
        <f>IFERROR(VLOOKUP('Pairings NB'!$M$1655,Instructores!$A:$C,3,FALSE),"")</f>
        <v/>
      </c>
      <c r="K369" s="10">
        <f>IF('Pairings NB'!J1655=320,4,3)</f>
        <v/>
      </c>
    </row>
    <row r="370">
      <c r="A370" s="10">
        <f>'Pairings NB'!B1660</f>
        <v/>
      </c>
      <c r="B370" s="10">
        <f>'Pairings NB'!C1660</f>
        <v/>
      </c>
      <c r="C370" s="10">
        <f>'Pairings NB'!D1660</f>
        <v/>
      </c>
      <c r="D370" s="10">
        <f>'Pairings NB'!E1660&amp;"/"&amp;'Pairings NB'!E1661</f>
        <v/>
      </c>
      <c r="E370" s="10">
        <f>'Pairings NB'!F1660&amp;"-"&amp;'Pairings NB'!G1660&amp;"-"&amp;'Pairings NB'!F1660</f>
        <v/>
      </c>
      <c r="F370" s="10">
        <f>IFERROR(VLOOKUP('Pairings NB'!$M$1660,Instructores!$A:$C,2,FALSE),"")</f>
        <v/>
      </c>
      <c r="G370" s="10">
        <f>'Pairings NB'!$M$1660</f>
        <v/>
      </c>
      <c r="H370" s="10">
        <f>'Pairings NB'!$O$1660</f>
        <v/>
      </c>
      <c r="I370" s="10">
        <f>'Pairings NB'!J1660</f>
        <v/>
      </c>
      <c r="J370" s="10">
        <f>IFERROR(VLOOKUP('Pairings NB'!$M$1660,Instructores!$A:$C,3,FALSE),"")</f>
        <v/>
      </c>
      <c r="K370" s="10">
        <f>IF('Pairings NB'!J1660=320,4,3)</f>
        <v/>
      </c>
    </row>
    <row r="371">
      <c r="A371" s="10">
        <f>'Pairings NB'!B1665</f>
        <v/>
      </c>
      <c r="B371" s="10">
        <f>'Pairings NB'!C1665</f>
        <v/>
      </c>
      <c r="C371" s="10">
        <f>'Pairings NB'!D1665</f>
        <v/>
      </c>
      <c r="D371" s="10">
        <f>'Pairings NB'!E1665&amp;"/"&amp;'Pairings NB'!E1666</f>
        <v/>
      </c>
      <c r="E371" s="10">
        <f>'Pairings NB'!F1665&amp;"-"&amp;'Pairings NB'!G1665&amp;"-"&amp;'Pairings NB'!F1665</f>
        <v/>
      </c>
      <c r="F371" s="10">
        <f>IFERROR(VLOOKUP('Pairings NB'!$M$1665,Instructores!$A:$C,2,FALSE),"")</f>
        <v/>
      </c>
      <c r="G371" s="10">
        <f>'Pairings NB'!$M$1665</f>
        <v/>
      </c>
      <c r="H371" s="10">
        <f>'Pairings NB'!$O$1665</f>
        <v/>
      </c>
      <c r="I371" s="10">
        <f>'Pairings NB'!J1665</f>
        <v/>
      </c>
      <c r="J371" s="10">
        <f>IFERROR(VLOOKUP('Pairings NB'!$M$1665,Instructores!$A:$C,3,FALSE),"")</f>
        <v/>
      </c>
      <c r="K371" s="10">
        <f>IF('Pairings NB'!J1665=320,4,3)</f>
        <v/>
      </c>
    </row>
    <row r="372">
      <c r="A372" s="10">
        <f>'Pairings NB'!B1670</f>
        <v/>
      </c>
      <c r="B372" s="10">
        <f>'Pairings NB'!C1670</f>
        <v/>
      </c>
      <c r="C372" s="10">
        <f>'Pairings NB'!D1670</f>
        <v/>
      </c>
      <c r="D372" s="10">
        <f>'Pairings NB'!E1670&amp;"/"&amp;'Pairings NB'!E1671</f>
        <v/>
      </c>
      <c r="E372" s="10">
        <f>'Pairings NB'!F1670&amp;"-"&amp;'Pairings NB'!G1670&amp;"-"&amp;'Pairings NB'!F1670</f>
        <v/>
      </c>
      <c r="F372" s="10">
        <f>IFERROR(VLOOKUP('Pairings NB'!$M$1670,Instructores!$A:$C,2,FALSE),"")</f>
        <v/>
      </c>
      <c r="G372" s="10">
        <f>'Pairings NB'!$M$1670</f>
        <v/>
      </c>
      <c r="H372" s="10">
        <f>'Pairings NB'!$O$1670</f>
        <v/>
      </c>
      <c r="I372" s="10">
        <f>'Pairings NB'!J1670</f>
        <v/>
      </c>
      <c r="J372" s="10">
        <f>IFERROR(VLOOKUP('Pairings NB'!$M$1670,Instructores!$A:$C,3,FALSE),"")</f>
        <v/>
      </c>
      <c r="K372" s="10">
        <f>IF('Pairings NB'!J1670=320,4,3)</f>
        <v/>
      </c>
    </row>
    <row r="373">
      <c r="A373" s="10">
        <f>'Pairings NB'!B1675</f>
        <v/>
      </c>
      <c r="B373" s="10">
        <f>'Pairings NB'!C1675</f>
        <v/>
      </c>
      <c r="C373" s="10">
        <f>'Pairings NB'!D1675</f>
        <v/>
      </c>
      <c r="D373" s="10">
        <f>'Pairings NB'!E1675&amp;"/"&amp;'Pairings NB'!E1676</f>
        <v/>
      </c>
      <c r="E373" s="10">
        <f>'Pairings NB'!F1675&amp;"-"&amp;'Pairings NB'!G1675&amp;"-"&amp;'Pairings NB'!F1675</f>
        <v/>
      </c>
      <c r="F373" s="10">
        <f>IFERROR(VLOOKUP('Pairings NB'!$M$1675,Instructores!$A:$C,2,FALSE),"")</f>
        <v/>
      </c>
      <c r="G373" s="10">
        <f>'Pairings NB'!$M$1675</f>
        <v/>
      </c>
      <c r="H373" s="10">
        <f>'Pairings NB'!$O$1675</f>
        <v/>
      </c>
      <c r="I373" s="10">
        <f>'Pairings NB'!J1675</f>
        <v/>
      </c>
      <c r="J373" s="10">
        <f>IFERROR(VLOOKUP('Pairings NB'!$M$1675,Instructores!$A:$C,3,FALSE),"")</f>
        <v/>
      </c>
      <c r="K373" s="10">
        <f>IF('Pairings NB'!J1675=320,4,3)</f>
        <v/>
      </c>
    </row>
    <row r="374">
      <c r="A374" s="10">
        <f>'Pairings NB'!B1680</f>
        <v/>
      </c>
      <c r="B374" s="10">
        <f>'Pairings NB'!C1680</f>
        <v/>
      </c>
      <c r="C374" s="10">
        <f>'Pairings NB'!D1680</f>
        <v/>
      </c>
      <c r="D374" s="10">
        <f>'Pairings NB'!E1680&amp;"/"&amp;'Pairings NB'!E1681</f>
        <v/>
      </c>
      <c r="E374" s="10">
        <f>'Pairings NB'!F1680&amp;"-"&amp;'Pairings NB'!G1680&amp;"-"&amp;'Pairings NB'!F1680</f>
        <v/>
      </c>
      <c r="F374" s="10">
        <f>IFERROR(VLOOKUP('Pairings NB'!$M$1680,Instructores!$A:$C,2,FALSE),"")</f>
        <v/>
      </c>
      <c r="G374" s="10">
        <f>'Pairings NB'!$M$1680</f>
        <v/>
      </c>
      <c r="H374" s="10">
        <f>'Pairings NB'!$O$1680</f>
        <v/>
      </c>
      <c r="I374" s="10">
        <f>'Pairings NB'!J1680</f>
        <v/>
      </c>
      <c r="J374" s="10">
        <f>IFERROR(VLOOKUP('Pairings NB'!$M$1680,Instructores!$A:$C,3,FALSE),"")</f>
        <v/>
      </c>
      <c r="K374" s="10">
        <f>IF('Pairings NB'!J1680=320,4,3)</f>
        <v/>
      </c>
    </row>
    <row r="375">
      <c r="A375" s="10">
        <f>'Pairings NB'!B1682</f>
        <v/>
      </c>
      <c r="B375" s="10">
        <f>'Pairings NB'!C1682</f>
        <v/>
      </c>
      <c r="C375" s="10">
        <f>'Pairings NB'!D1682</f>
        <v/>
      </c>
      <c r="D375" s="10">
        <f>'Pairings NB'!E1682&amp;"/"&amp;'Pairings NB'!E1683</f>
        <v/>
      </c>
      <c r="E375" s="10">
        <f>'Pairings NB'!F1682&amp;"-"&amp;'Pairings NB'!G1682&amp;"-"&amp;'Pairings NB'!F1682</f>
        <v/>
      </c>
      <c r="F375" s="10">
        <f>IFERROR(VLOOKUP('Pairings NB'!$M$1680,Instructores!$A:$C,2,FALSE),"")</f>
        <v/>
      </c>
      <c r="G375" s="10">
        <f>'Pairings NB'!$M$1680</f>
        <v/>
      </c>
      <c r="H375" s="10">
        <f>'Pairings NB'!$O$1680</f>
        <v/>
      </c>
      <c r="I375" s="10">
        <f>'Pairings NB'!J1682</f>
        <v/>
      </c>
      <c r="J375" s="10">
        <f>IFERROR(VLOOKUP('Pairings NB'!$M$1680,Instructores!$A:$C,3,FALSE),"")</f>
        <v/>
      </c>
      <c r="K375" s="10">
        <f>IF('Pairings NB'!J1682=320,4,3)</f>
        <v/>
      </c>
    </row>
    <row r="376">
      <c r="A376" s="10">
        <f>'Pairings NB'!B1687</f>
        <v/>
      </c>
      <c r="B376" s="10">
        <f>'Pairings NB'!C1687</f>
        <v/>
      </c>
      <c r="C376" s="10">
        <f>'Pairings NB'!D1687</f>
        <v/>
      </c>
      <c r="D376" s="10">
        <f>'Pairings NB'!E1687&amp;"/"&amp;'Pairings NB'!E1688</f>
        <v/>
      </c>
      <c r="E376" s="10">
        <f>'Pairings NB'!F1687&amp;"-"&amp;'Pairings NB'!G1687&amp;"-"&amp;'Pairings NB'!F1687</f>
        <v/>
      </c>
      <c r="F376" s="10">
        <f>IFERROR(VLOOKUP('Pairings NB'!$M$1687,Instructores!$A:$C,2,FALSE),"")</f>
        <v/>
      </c>
      <c r="G376" s="10">
        <f>'Pairings NB'!$M$1687</f>
        <v/>
      </c>
      <c r="H376" s="10">
        <f>'Pairings NB'!$O$1687</f>
        <v/>
      </c>
      <c r="I376" s="10">
        <f>'Pairings NB'!J1687</f>
        <v/>
      </c>
      <c r="J376" s="10">
        <f>IFERROR(VLOOKUP('Pairings NB'!$M$1687,Instructores!$A:$C,3,FALSE),"")</f>
        <v/>
      </c>
      <c r="K376" s="10">
        <f>IF('Pairings NB'!J1687=320,4,3)</f>
        <v/>
      </c>
    </row>
    <row r="377">
      <c r="A377" s="10">
        <f>'Pairings NB'!B1689</f>
        <v/>
      </c>
      <c r="B377" s="10">
        <f>'Pairings NB'!C1689</f>
        <v/>
      </c>
      <c r="C377" s="10">
        <f>'Pairings NB'!D1689</f>
        <v/>
      </c>
      <c r="D377" s="10">
        <f>'Pairings NB'!E1689&amp;"/"&amp;'Pairings NB'!E1690</f>
        <v/>
      </c>
      <c r="E377" s="10">
        <f>'Pairings NB'!F1689&amp;"-"&amp;'Pairings NB'!G1689&amp;"-"&amp;'Pairings NB'!F1689</f>
        <v/>
      </c>
      <c r="F377" s="10">
        <f>IFERROR(VLOOKUP('Pairings NB'!$M$1687,Instructores!$A:$C,2,FALSE),"")</f>
        <v/>
      </c>
      <c r="G377" s="10">
        <f>'Pairings NB'!$M$1687</f>
        <v/>
      </c>
      <c r="H377" s="10">
        <f>'Pairings NB'!$O$1687</f>
        <v/>
      </c>
      <c r="I377" s="10">
        <f>'Pairings NB'!J1689</f>
        <v/>
      </c>
      <c r="J377" s="10">
        <f>IFERROR(VLOOKUP('Pairings NB'!$M$1687,Instructores!$A:$C,3,FALSE),"")</f>
        <v/>
      </c>
      <c r="K377" s="10">
        <f>IF('Pairings NB'!J1689=320,4,3)</f>
        <v/>
      </c>
    </row>
    <row r="378">
      <c r="A378" s="10">
        <f>'Pairings NB'!B1694</f>
        <v/>
      </c>
      <c r="B378" s="10">
        <f>'Pairings NB'!C1694</f>
        <v/>
      </c>
      <c r="C378" s="10">
        <f>'Pairings NB'!D1694</f>
        <v/>
      </c>
      <c r="D378" s="10">
        <f>'Pairings NB'!E1694&amp;"/"&amp;'Pairings NB'!E1695</f>
        <v/>
      </c>
      <c r="E378" s="10">
        <f>'Pairings NB'!F1694&amp;"-"&amp;'Pairings NB'!G1694&amp;"-"&amp;'Pairings NB'!F1694</f>
        <v/>
      </c>
      <c r="F378" s="10">
        <f>IFERROR(VLOOKUP('Pairings NB'!$M$1694,Instructores!$A:$C,2,FALSE),"")</f>
        <v/>
      </c>
      <c r="G378" s="10">
        <f>'Pairings NB'!$M$1694</f>
        <v/>
      </c>
      <c r="H378" s="10">
        <f>'Pairings NB'!$O$1694</f>
        <v/>
      </c>
      <c r="I378" s="10">
        <f>'Pairings NB'!J1694</f>
        <v/>
      </c>
      <c r="J378" s="10">
        <f>IFERROR(VLOOKUP('Pairings NB'!$M$1694,Instructores!$A:$C,3,FALSE),"")</f>
        <v/>
      </c>
      <c r="K378" s="10">
        <f>IF('Pairings NB'!J1694=320,4,3)</f>
        <v/>
      </c>
    </row>
    <row r="379">
      <c r="A379" s="10">
        <f>'Pairings NB'!B1696</f>
        <v/>
      </c>
      <c r="B379" s="10">
        <f>'Pairings NB'!C1696</f>
        <v/>
      </c>
      <c r="C379" s="10">
        <f>'Pairings NB'!D1696</f>
        <v/>
      </c>
      <c r="D379" s="10">
        <f>'Pairings NB'!E1696&amp;"/"&amp;'Pairings NB'!E1697</f>
        <v/>
      </c>
      <c r="E379" s="10">
        <f>'Pairings NB'!F1696&amp;"-"&amp;'Pairings NB'!G1696&amp;"-"&amp;'Pairings NB'!F1696</f>
        <v/>
      </c>
      <c r="F379" s="10">
        <f>IFERROR(VLOOKUP('Pairings NB'!$M$1694,Instructores!$A:$C,2,FALSE),"")</f>
        <v/>
      </c>
      <c r="G379" s="10">
        <f>'Pairings NB'!$M$1694</f>
        <v/>
      </c>
      <c r="H379" s="10">
        <f>'Pairings NB'!$O$1694</f>
        <v/>
      </c>
      <c r="I379" s="10">
        <f>'Pairings NB'!J1696</f>
        <v/>
      </c>
      <c r="J379" s="10">
        <f>IFERROR(VLOOKUP('Pairings NB'!$M$1694,Instructores!$A:$C,3,FALSE),"")</f>
        <v/>
      </c>
      <c r="K379" s="10">
        <f>IF('Pairings NB'!J1696=320,4,3)</f>
        <v/>
      </c>
    </row>
    <row r="380">
      <c r="A380" s="10">
        <f>'Pairings NB'!B1701</f>
        <v/>
      </c>
      <c r="B380" s="10">
        <f>'Pairings NB'!C1701</f>
        <v/>
      </c>
      <c r="C380" s="10">
        <f>'Pairings NB'!D1701</f>
        <v/>
      </c>
      <c r="D380" s="10">
        <f>'Pairings NB'!E1701&amp;"/"&amp;'Pairings NB'!E1702</f>
        <v/>
      </c>
      <c r="E380" s="10">
        <f>'Pairings NB'!F1701&amp;"-"&amp;'Pairings NB'!G1701&amp;"-"&amp;'Pairings NB'!F1701</f>
        <v/>
      </c>
      <c r="F380" s="10">
        <f>IFERROR(VLOOKUP('Pairings NB'!$M$1701,Instructores!$A:$C,2,FALSE),"")</f>
        <v/>
      </c>
      <c r="G380" s="10">
        <f>'Pairings NB'!$M$1701</f>
        <v/>
      </c>
      <c r="H380" s="10">
        <f>'Pairings NB'!$O$1701</f>
        <v/>
      </c>
      <c r="I380" s="10">
        <f>'Pairings NB'!J1701</f>
        <v/>
      </c>
      <c r="J380" s="10">
        <f>IFERROR(VLOOKUP('Pairings NB'!$M$1701,Instructores!$A:$C,3,FALSE),"")</f>
        <v/>
      </c>
      <c r="K380" s="10">
        <f>IF('Pairings NB'!J1701=320,4,3)</f>
        <v/>
      </c>
    </row>
    <row r="381">
      <c r="A381" s="10">
        <f>'Pairings NB'!B1706</f>
        <v/>
      </c>
      <c r="B381" s="10">
        <f>'Pairings NB'!C1706</f>
        <v/>
      </c>
      <c r="C381" s="10">
        <f>'Pairings NB'!D1706</f>
        <v/>
      </c>
      <c r="D381" s="10">
        <f>'Pairings NB'!E1706&amp;"/"&amp;'Pairings NB'!E1707</f>
        <v/>
      </c>
      <c r="E381" s="10">
        <f>'Pairings NB'!F1706&amp;"-"&amp;'Pairings NB'!G1706&amp;"-"&amp;'Pairings NB'!F1706</f>
        <v/>
      </c>
      <c r="F381" s="10">
        <f>IFERROR(VLOOKUP('Pairings NB'!$M$1706,Instructores!$A:$C,2,FALSE),"")</f>
        <v/>
      </c>
      <c r="G381" s="10">
        <f>'Pairings NB'!$M$1706</f>
        <v/>
      </c>
      <c r="H381" s="10">
        <f>'Pairings NB'!$O$1706</f>
        <v/>
      </c>
      <c r="I381" s="10">
        <f>'Pairings NB'!J1706</f>
        <v/>
      </c>
      <c r="J381" s="10">
        <f>IFERROR(VLOOKUP('Pairings NB'!$M$1706,Instructores!$A:$C,3,FALSE),"")</f>
        <v/>
      </c>
      <c r="K381" s="10">
        <f>IF('Pairings NB'!J1706=320,4,3)</f>
        <v/>
      </c>
    </row>
    <row r="382">
      <c r="A382" s="10">
        <f>'Pairings NB'!B1711</f>
        <v/>
      </c>
      <c r="B382" s="10">
        <f>'Pairings NB'!C1711</f>
        <v/>
      </c>
      <c r="C382" s="10">
        <f>'Pairings NB'!D1711</f>
        <v/>
      </c>
      <c r="D382" s="10">
        <f>'Pairings NB'!E1711&amp;"/"&amp;'Pairings NB'!E1712</f>
        <v/>
      </c>
      <c r="E382" s="10">
        <f>'Pairings NB'!F1711&amp;"-"&amp;'Pairings NB'!G1711&amp;"-"&amp;'Pairings NB'!F1711</f>
        <v/>
      </c>
      <c r="F382" s="10">
        <f>IFERROR(VLOOKUP('Pairings NB'!$M$1711,Instructores!$A:$C,2,FALSE),"")</f>
        <v/>
      </c>
      <c r="G382" s="10">
        <f>'Pairings NB'!$M$1711</f>
        <v/>
      </c>
      <c r="H382" s="10">
        <f>'Pairings NB'!$O$1711</f>
        <v/>
      </c>
      <c r="I382" s="10">
        <f>'Pairings NB'!J1711</f>
        <v/>
      </c>
      <c r="J382" s="10">
        <f>IFERROR(VLOOKUP('Pairings NB'!$M$1711,Instructores!$A:$C,3,FALSE),"")</f>
        <v/>
      </c>
      <c r="K382" s="10">
        <f>IF('Pairings NB'!J1711=320,4,3)</f>
        <v/>
      </c>
    </row>
    <row r="383">
      <c r="A383" s="10">
        <f>'Pairings NB'!B1716</f>
        <v/>
      </c>
      <c r="B383" s="10">
        <f>'Pairings NB'!C1716</f>
        <v/>
      </c>
      <c r="C383" s="10">
        <f>'Pairings NB'!D1716</f>
        <v/>
      </c>
      <c r="D383" s="10">
        <f>'Pairings NB'!E1716&amp;"/"&amp;'Pairings NB'!E1717</f>
        <v/>
      </c>
      <c r="E383" s="10">
        <f>'Pairings NB'!F1716&amp;"-"&amp;'Pairings NB'!G1716&amp;"-"&amp;'Pairings NB'!F1716</f>
        <v/>
      </c>
      <c r="F383" s="10">
        <f>IFERROR(VLOOKUP('Pairings NB'!$M$1716,Instructores!$A:$C,2,FALSE),"")</f>
        <v/>
      </c>
      <c r="G383" s="10">
        <f>'Pairings NB'!$M$1716</f>
        <v/>
      </c>
      <c r="H383" s="10">
        <f>'Pairings NB'!$O$1716</f>
        <v/>
      </c>
      <c r="I383" s="10">
        <f>'Pairings NB'!J1716</f>
        <v/>
      </c>
      <c r="J383" s="10">
        <f>IFERROR(VLOOKUP('Pairings NB'!$M$1716,Instructores!$A:$C,3,FALSE),"")</f>
        <v/>
      </c>
      <c r="K383" s="10">
        <f>IF('Pairings NB'!J1716=320,4,3)</f>
        <v/>
      </c>
    </row>
    <row r="384">
      <c r="A384" s="10">
        <f>'Pairings NB'!B1721</f>
        <v/>
      </c>
      <c r="B384" s="10">
        <f>'Pairings NB'!C1721</f>
        <v/>
      </c>
      <c r="C384" s="10">
        <f>'Pairings NB'!D1721</f>
        <v/>
      </c>
      <c r="D384" s="10">
        <f>'Pairings NB'!E1721&amp;"/"&amp;'Pairings NB'!E1722</f>
        <v/>
      </c>
      <c r="E384" s="10">
        <f>'Pairings NB'!F1721&amp;"-"&amp;'Pairings NB'!G1721&amp;"-"&amp;'Pairings NB'!F1721</f>
        <v/>
      </c>
      <c r="F384" s="10">
        <f>IFERROR(VLOOKUP('Pairings NB'!$M$1721,Instructores!$A:$C,2,FALSE),"")</f>
        <v/>
      </c>
      <c r="G384" s="10">
        <f>'Pairings NB'!$M$1721</f>
        <v/>
      </c>
      <c r="H384" s="10">
        <f>'Pairings NB'!$O$1721</f>
        <v/>
      </c>
      <c r="I384" s="10">
        <f>'Pairings NB'!J1721</f>
        <v/>
      </c>
      <c r="J384" s="10">
        <f>IFERROR(VLOOKUP('Pairings NB'!$M$1721,Instructores!$A:$C,3,FALSE),"")</f>
        <v/>
      </c>
      <c r="K384" s="10">
        <f>IF('Pairings NB'!J1721=320,4,3)</f>
        <v/>
      </c>
    </row>
    <row r="385">
      <c r="A385" s="10">
        <f>'Pairings NB'!B1726</f>
        <v/>
      </c>
      <c r="B385" s="10">
        <f>'Pairings NB'!C1726</f>
        <v/>
      </c>
      <c r="C385" s="10">
        <f>'Pairings NB'!D1726</f>
        <v/>
      </c>
      <c r="D385" s="10">
        <f>'Pairings NB'!E1726&amp;"/"&amp;'Pairings NB'!E1727</f>
        <v/>
      </c>
      <c r="E385" s="10">
        <f>'Pairings NB'!F1726&amp;"-"&amp;'Pairings NB'!G1726&amp;"-"&amp;'Pairings NB'!F1726</f>
        <v/>
      </c>
      <c r="F385" s="10">
        <f>IFERROR(VLOOKUP('Pairings NB'!$M$1726,Instructores!$A:$C,2,FALSE),"")</f>
        <v/>
      </c>
      <c r="G385" s="10">
        <f>'Pairings NB'!$M$1726</f>
        <v/>
      </c>
      <c r="H385" s="10">
        <f>'Pairings NB'!$O$1726</f>
        <v/>
      </c>
      <c r="I385" s="10">
        <f>'Pairings NB'!J1726</f>
        <v/>
      </c>
      <c r="J385" s="10">
        <f>IFERROR(VLOOKUP('Pairings NB'!$M$1726,Instructores!$A:$C,3,FALSE),"")</f>
        <v/>
      </c>
      <c r="K385" s="10">
        <f>IF('Pairings NB'!J1726=320,4,3)</f>
        <v/>
      </c>
    </row>
    <row r="386">
      <c r="A386" s="10">
        <f>'Pairings NB'!B1731</f>
        <v/>
      </c>
      <c r="B386" s="10">
        <f>'Pairings NB'!C1731</f>
        <v/>
      </c>
      <c r="C386" s="10">
        <f>'Pairings NB'!D1731</f>
        <v/>
      </c>
      <c r="D386" s="10">
        <f>'Pairings NB'!E1731&amp;"/"&amp;'Pairings NB'!E1732</f>
        <v/>
      </c>
      <c r="E386" s="10">
        <f>'Pairings NB'!F1731&amp;"-"&amp;'Pairings NB'!G1731&amp;"-"&amp;'Pairings NB'!F1731</f>
        <v/>
      </c>
      <c r="F386" s="10">
        <f>IFERROR(VLOOKUP('Pairings NB'!$M$1731,Instructores!$A:$C,2,FALSE),"")</f>
        <v/>
      </c>
      <c r="G386" s="10">
        <f>'Pairings NB'!$M$1731</f>
        <v/>
      </c>
      <c r="H386" s="10">
        <f>'Pairings NB'!$O$1731</f>
        <v/>
      </c>
      <c r="I386" s="10">
        <f>'Pairings NB'!J1731</f>
        <v/>
      </c>
      <c r="J386" s="10">
        <f>IFERROR(VLOOKUP('Pairings NB'!$M$1731,Instructores!$A:$C,3,FALSE),"")</f>
        <v/>
      </c>
      <c r="K386" s="10">
        <f>IF('Pairings NB'!J1731=320,4,3)</f>
        <v/>
      </c>
    </row>
    <row r="387">
      <c r="A387" s="10">
        <f>'Pairings NB'!B1736</f>
        <v/>
      </c>
      <c r="B387" s="10">
        <f>'Pairings NB'!C1736</f>
        <v/>
      </c>
      <c r="C387" s="10">
        <f>'Pairings NB'!D1736</f>
        <v/>
      </c>
      <c r="D387" s="10">
        <f>'Pairings NB'!E1736&amp;"/"&amp;'Pairings NB'!E1737</f>
        <v/>
      </c>
      <c r="E387" s="10">
        <f>'Pairings NB'!F1736&amp;"-"&amp;'Pairings NB'!G1736&amp;"-"&amp;'Pairings NB'!F1736</f>
        <v/>
      </c>
      <c r="F387" s="10">
        <f>IFERROR(VLOOKUP('Pairings NB'!$M$1736,Instructores!$A:$C,2,FALSE),"")</f>
        <v/>
      </c>
      <c r="G387" s="10">
        <f>'Pairings NB'!$M$1736</f>
        <v/>
      </c>
      <c r="H387" s="10">
        <f>'Pairings NB'!$O$1736</f>
        <v/>
      </c>
      <c r="I387" s="10">
        <f>'Pairings NB'!J1736</f>
        <v/>
      </c>
      <c r="J387" s="10">
        <f>IFERROR(VLOOKUP('Pairings NB'!$M$1736,Instructores!$A:$C,3,FALSE),"")</f>
        <v/>
      </c>
      <c r="K387" s="10">
        <f>IF('Pairings NB'!J1736=320,4,3)</f>
        <v/>
      </c>
    </row>
    <row r="388">
      <c r="A388" s="10">
        <f>'Pairings NB'!B1741</f>
        <v/>
      </c>
      <c r="B388" s="10">
        <f>'Pairings NB'!C1741</f>
        <v/>
      </c>
      <c r="C388" s="10">
        <f>'Pairings NB'!D1741</f>
        <v/>
      </c>
      <c r="D388" s="10">
        <f>'Pairings NB'!E1741&amp;"/"&amp;'Pairings NB'!E1742</f>
        <v/>
      </c>
      <c r="E388" s="10">
        <f>'Pairings NB'!F1741&amp;"-"&amp;'Pairings NB'!G1741&amp;"-"&amp;'Pairings NB'!F1741</f>
        <v/>
      </c>
      <c r="F388" s="10">
        <f>IFERROR(VLOOKUP('Pairings NB'!$M$1741,Instructores!$A:$C,2,FALSE),"")</f>
        <v/>
      </c>
      <c r="G388" s="10">
        <f>'Pairings NB'!$M$1741</f>
        <v/>
      </c>
      <c r="H388" s="10">
        <f>'Pairings NB'!$O$1741</f>
        <v/>
      </c>
      <c r="I388" s="10">
        <f>'Pairings NB'!J1741</f>
        <v/>
      </c>
      <c r="J388" s="10">
        <f>IFERROR(VLOOKUP('Pairings NB'!$M$1741,Instructores!$A:$C,3,FALSE),"")</f>
        <v/>
      </c>
      <c r="K388" s="10">
        <f>IF('Pairings NB'!J1741=320,4,3)</f>
        <v/>
      </c>
    </row>
    <row r="389">
      <c r="A389" s="10">
        <f>'Pairings NB'!B1746</f>
        <v/>
      </c>
      <c r="B389" s="10">
        <f>'Pairings NB'!C1746</f>
        <v/>
      </c>
      <c r="C389" s="10">
        <f>'Pairings NB'!D1746</f>
        <v/>
      </c>
      <c r="D389" s="10">
        <f>'Pairings NB'!E1746&amp;"/"&amp;'Pairings NB'!E1747</f>
        <v/>
      </c>
      <c r="E389" s="10">
        <f>'Pairings NB'!F1746&amp;"-"&amp;'Pairings NB'!G1746&amp;"-"&amp;'Pairings NB'!F1746</f>
        <v/>
      </c>
      <c r="F389" s="10">
        <f>IFERROR(VLOOKUP('Pairings NB'!$M$1746,Instructores!$A:$C,2,FALSE),"")</f>
        <v/>
      </c>
      <c r="G389" s="10">
        <f>'Pairings NB'!$M$1746</f>
        <v/>
      </c>
      <c r="H389" s="10">
        <f>'Pairings NB'!$O$1746</f>
        <v/>
      </c>
      <c r="I389" s="10">
        <f>'Pairings NB'!J1746</f>
        <v/>
      </c>
      <c r="J389" s="10">
        <f>IFERROR(VLOOKUP('Pairings NB'!$M$1746,Instructores!$A:$C,3,FALSE),"")</f>
        <v/>
      </c>
      <c r="K389" s="10">
        <f>IF('Pairings NB'!J1746=320,4,3)</f>
        <v/>
      </c>
    </row>
    <row r="390">
      <c r="A390" s="10">
        <f>'Pairings NB'!B1751</f>
        <v/>
      </c>
      <c r="B390" s="10">
        <f>'Pairings NB'!C1751</f>
        <v/>
      </c>
      <c r="C390" s="10">
        <f>'Pairings NB'!D1751</f>
        <v/>
      </c>
      <c r="D390" s="10">
        <f>'Pairings NB'!E1751&amp;"/"&amp;'Pairings NB'!E1752</f>
        <v/>
      </c>
      <c r="E390" s="10">
        <f>'Pairings NB'!F1751&amp;"-"&amp;'Pairings NB'!G1751&amp;"-"&amp;'Pairings NB'!F1751</f>
        <v/>
      </c>
      <c r="F390" s="10">
        <f>IFERROR(VLOOKUP('Pairings NB'!$M$1751,Instructores!$A:$C,2,FALSE),"")</f>
        <v/>
      </c>
      <c r="G390" s="10">
        <f>'Pairings NB'!$M$1751</f>
        <v/>
      </c>
      <c r="H390" s="10">
        <f>'Pairings NB'!$O$1751</f>
        <v/>
      </c>
      <c r="I390" s="10">
        <f>'Pairings NB'!J1751</f>
        <v/>
      </c>
      <c r="J390" s="10">
        <f>IFERROR(VLOOKUP('Pairings NB'!$M$1751,Instructores!$A:$C,3,FALSE),"")</f>
        <v/>
      </c>
      <c r="K390" s="10">
        <f>IF('Pairings NB'!J1751=320,4,3)</f>
        <v/>
      </c>
    </row>
    <row r="391">
      <c r="A391" s="10">
        <f>'Pairings NB'!B1753</f>
        <v/>
      </c>
      <c r="B391" s="10">
        <f>'Pairings NB'!C1753</f>
        <v/>
      </c>
      <c r="C391" s="10">
        <f>'Pairings NB'!D1753</f>
        <v/>
      </c>
      <c r="D391" s="10">
        <f>'Pairings NB'!E1753&amp;"/"&amp;'Pairings NB'!E1754</f>
        <v/>
      </c>
      <c r="E391" s="10">
        <f>'Pairings NB'!F1753&amp;"-"&amp;'Pairings NB'!G1753&amp;"-"&amp;'Pairings NB'!F1753</f>
        <v/>
      </c>
      <c r="F391" s="10">
        <f>IFERROR(VLOOKUP('Pairings NB'!$M$1751,Instructores!$A:$C,2,FALSE),"")</f>
        <v/>
      </c>
      <c r="G391" s="10">
        <f>'Pairings NB'!$M$1751</f>
        <v/>
      </c>
      <c r="H391" s="10">
        <f>'Pairings NB'!$O$1751</f>
        <v/>
      </c>
      <c r="I391" s="10">
        <f>'Pairings NB'!J1753</f>
        <v/>
      </c>
      <c r="J391" s="10">
        <f>IFERROR(VLOOKUP('Pairings NB'!$M$1751,Instructores!$A:$C,3,FALSE),"")</f>
        <v/>
      </c>
      <c r="K391" s="10">
        <f>IF('Pairings NB'!J1753=320,4,3)</f>
        <v/>
      </c>
    </row>
    <row r="392">
      <c r="A392" s="10">
        <f>'Pairings NB'!B1758</f>
        <v/>
      </c>
      <c r="B392" s="10">
        <f>'Pairings NB'!C1758</f>
        <v/>
      </c>
      <c r="C392" s="10">
        <f>'Pairings NB'!D1758</f>
        <v/>
      </c>
      <c r="D392" s="10">
        <f>'Pairings NB'!E1758&amp;"/"&amp;'Pairings NB'!E1759</f>
        <v/>
      </c>
      <c r="E392" s="10">
        <f>'Pairings NB'!F1758&amp;"-"&amp;'Pairings NB'!G1758&amp;"-"&amp;'Pairings NB'!F1758</f>
        <v/>
      </c>
      <c r="F392" s="10">
        <f>IFERROR(VLOOKUP('Pairings NB'!$M$1758,Instructores!$A:$C,2,FALSE),"")</f>
        <v/>
      </c>
      <c r="G392" s="10">
        <f>'Pairings NB'!$M$1758</f>
        <v/>
      </c>
      <c r="H392" s="10">
        <f>'Pairings NB'!$O$1758</f>
        <v/>
      </c>
      <c r="I392" s="10">
        <f>'Pairings NB'!J1758</f>
        <v/>
      </c>
      <c r="J392" s="10">
        <f>IFERROR(VLOOKUP('Pairings NB'!$M$1758,Instructores!$A:$C,3,FALSE),"")</f>
        <v/>
      </c>
      <c r="K392" s="10">
        <f>IF('Pairings NB'!J1758=320,4,3)</f>
        <v/>
      </c>
    </row>
    <row r="393">
      <c r="A393" s="10">
        <f>'Pairings NB'!B1760</f>
        <v/>
      </c>
      <c r="B393" s="10">
        <f>'Pairings NB'!C1760</f>
        <v/>
      </c>
      <c r="C393" s="10">
        <f>'Pairings NB'!D1760</f>
        <v/>
      </c>
      <c r="D393" s="10">
        <f>'Pairings NB'!E1760&amp;"/"&amp;'Pairings NB'!E1761</f>
        <v/>
      </c>
      <c r="E393" s="10">
        <f>'Pairings NB'!F1760&amp;"-"&amp;'Pairings NB'!G1760&amp;"-"&amp;'Pairings NB'!F1760</f>
        <v/>
      </c>
      <c r="F393" s="10">
        <f>IFERROR(VLOOKUP('Pairings NB'!$M$1758,Instructores!$A:$C,2,FALSE),"")</f>
        <v/>
      </c>
      <c r="G393" s="10">
        <f>'Pairings NB'!$M$1758</f>
        <v/>
      </c>
      <c r="H393" s="10">
        <f>'Pairings NB'!$O$1758</f>
        <v/>
      </c>
      <c r="I393" s="10">
        <f>'Pairings NB'!J1760</f>
        <v/>
      </c>
      <c r="J393" s="10">
        <f>IFERROR(VLOOKUP('Pairings NB'!$M$1758,Instructores!$A:$C,3,FALSE),"")</f>
        <v/>
      </c>
      <c r="K393" s="10">
        <f>IF('Pairings NB'!J1760=320,4,3)</f>
        <v/>
      </c>
    </row>
    <row r="394">
      <c r="A394" s="10">
        <f>'Pairings NB'!B1765</f>
        <v/>
      </c>
      <c r="B394" s="10">
        <f>'Pairings NB'!C1765</f>
        <v/>
      </c>
      <c r="C394" s="10">
        <f>'Pairings NB'!D1765</f>
        <v/>
      </c>
      <c r="D394" s="10">
        <f>'Pairings NB'!E1765&amp;"/"&amp;'Pairings NB'!E1766</f>
        <v/>
      </c>
      <c r="E394" s="10">
        <f>'Pairings NB'!F1765&amp;"-"&amp;'Pairings NB'!G1765&amp;"-"&amp;'Pairings NB'!F1765</f>
        <v/>
      </c>
      <c r="F394" s="10">
        <f>IFERROR(VLOOKUP('Pairings NB'!$M$1765,Instructores!$A:$C,2,FALSE),"")</f>
        <v/>
      </c>
      <c r="G394" s="10">
        <f>'Pairings NB'!$M$1765</f>
        <v/>
      </c>
      <c r="H394" s="10">
        <f>'Pairings NB'!$O$1765</f>
        <v/>
      </c>
      <c r="I394" s="10">
        <f>'Pairings NB'!J1765</f>
        <v/>
      </c>
      <c r="J394" s="10">
        <f>IFERROR(VLOOKUP('Pairings NB'!$M$1765,Instructores!$A:$C,3,FALSE),"")</f>
        <v/>
      </c>
      <c r="K394" s="10">
        <f>IF('Pairings NB'!J1765=320,4,3)</f>
        <v/>
      </c>
    </row>
    <row r="395">
      <c r="A395" s="10">
        <f>'Pairings NB'!B1767</f>
        <v/>
      </c>
      <c r="B395" s="10">
        <f>'Pairings NB'!C1767</f>
        <v/>
      </c>
      <c r="C395" s="10">
        <f>'Pairings NB'!D1767</f>
        <v/>
      </c>
      <c r="D395" s="10">
        <f>'Pairings NB'!E1767&amp;"/"&amp;'Pairings NB'!E1768</f>
        <v/>
      </c>
      <c r="E395" s="10">
        <f>'Pairings NB'!F1767&amp;"-"&amp;'Pairings NB'!G1767&amp;"-"&amp;'Pairings NB'!F1767</f>
        <v/>
      </c>
      <c r="F395" s="10">
        <f>IFERROR(VLOOKUP('Pairings NB'!$M$1765,Instructores!$A:$C,2,FALSE),"")</f>
        <v/>
      </c>
      <c r="G395" s="10">
        <f>'Pairings NB'!$M$1765</f>
        <v/>
      </c>
      <c r="H395" s="10">
        <f>'Pairings NB'!$O$1765</f>
        <v/>
      </c>
      <c r="I395" s="10">
        <f>'Pairings NB'!J1767</f>
        <v/>
      </c>
      <c r="J395" s="10">
        <f>IFERROR(VLOOKUP('Pairings NB'!$M$1765,Instructores!$A:$C,3,FALSE),"")</f>
        <v/>
      </c>
      <c r="K395" s="10">
        <f>IF('Pairings NB'!J1767=320,4,3)</f>
        <v/>
      </c>
    </row>
    <row r="396">
      <c r="A396" s="10">
        <f>'Pairings NB'!B1772</f>
        <v/>
      </c>
      <c r="B396" s="10">
        <f>'Pairings NB'!C1772</f>
        <v/>
      </c>
      <c r="C396" s="10">
        <f>'Pairings NB'!D1772</f>
        <v/>
      </c>
      <c r="D396" s="10">
        <f>'Pairings NB'!E1772&amp;"/"&amp;'Pairings NB'!E1773</f>
        <v/>
      </c>
      <c r="E396" s="10">
        <f>'Pairings NB'!F1772&amp;"-"&amp;'Pairings NB'!G1772&amp;"-"&amp;'Pairings NB'!F1772</f>
        <v/>
      </c>
      <c r="F396" s="10">
        <f>IFERROR(VLOOKUP('Pairings NB'!$M$1772,Instructores!$A:$C,2,FALSE),"")</f>
        <v/>
      </c>
      <c r="G396" s="10">
        <f>'Pairings NB'!$M$1772</f>
        <v/>
      </c>
      <c r="H396" s="10">
        <f>'Pairings NB'!$O$1772</f>
        <v/>
      </c>
      <c r="I396" s="10">
        <f>'Pairings NB'!J1772</f>
        <v/>
      </c>
      <c r="J396" s="10">
        <f>IFERROR(VLOOKUP('Pairings NB'!$M$1772,Instructores!$A:$C,3,FALSE),"")</f>
        <v/>
      </c>
      <c r="K396" s="10">
        <f>IF('Pairings NB'!J1772=320,4,3)</f>
        <v/>
      </c>
    </row>
    <row r="397">
      <c r="A397" s="10">
        <f>'Pairings NB'!B1774</f>
        <v/>
      </c>
      <c r="B397" s="10">
        <f>'Pairings NB'!C1774</f>
        <v/>
      </c>
      <c r="C397" s="10">
        <f>'Pairings NB'!D1774</f>
        <v/>
      </c>
      <c r="D397" s="10">
        <f>'Pairings NB'!E1774&amp;"/"&amp;'Pairings NB'!E1775</f>
        <v/>
      </c>
      <c r="E397" s="10">
        <f>'Pairings NB'!F1774&amp;"-"&amp;'Pairings NB'!G1774&amp;"-"&amp;'Pairings NB'!F1774</f>
        <v/>
      </c>
      <c r="F397" s="10">
        <f>IFERROR(VLOOKUP('Pairings NB'!$M$1772,Instructores!$A:$C,2,FALSE),"")</f>
        <v/>
      </c>
      <c r="G397" s="10">
        <f>'Pairings NB'!$M$1772</f>
        <v/>
      </c>
      <c r="H397" s="10">
        <f>'Pairings NB'!$O$1772</f>
        <v/>
      </c>
      <c r="I397" s="10">
        <f>'Pairings NB'!J1774</f>
        <v/>
      </c>
      <c r="J397" s="10">
        <f>IFERROR(VLOOKUP('Pairings NB'!$M$1772,Instructores!$A:$C,3,FALSE),"")</f>
        <v/>
      </c>
      <c r="K397" s="10">
        <f>IF('Pairings NB'!J1774=320,4,3)</f>
        <v/>
      </c>
    </row>
    <row r="398">
      <c r="A398" s="10">
        <f>'Pairings NB'!B1779</f>
        <v/>
      </c>
      <c r="B398" s="10">
        <f>'Pairings NB'!C1779</f>
        <v/>
      </c>
      <c r="C398" s="10">
        <f>'Pairings NB'!D1779</f>
        <v/>
      </c>
      <c r="D398" s="10">
        <f>'Pairings NB'!E1779&amp;"/"&amp;'Pairings NB'!E1780</f>
        <v/>
      </c>
      <c r="E398" s="10">
        <f>'Pairings NB'!F1779&amp;"-"&amp;'Pairings NB'!G1779&amp;"-"&amp;'Pairings NB'!F1779</f>
        <v/>
      </c>
      <c r="F398" s="10">
        <f>IFERROR(VLOOKUP('Pairings NB'!$M$1779,Instructores!$A:$C,2,FALSE),"")</f>
        <v/>
      </c>
      <c r="G398" s="10">
        <f>'Pairings NB'!$M$1779</f>
        <v/>
      </c>
      <c r="H398" s="10">
        <f>'Pairings NB'!$O$1779</f>
        <v/>
      </c>
      <c r="I398" s="10">
        <f>'Pairings NB'!J1779</f>
        <v/>
      </c>
      <c r="J398" s="10">
        <f>IFERROR(VLOOKUP('Pairings NB'!$M$1779,Instructores!$A:$C,3,FALSE),"")</f>
        <v/>
      </c>
      <c r="K398" s="10">
        <f>IF('Pairings NB'!J1779=320,4,3)</f>
        <v/>
      </c>
    </row>
    <row r="399">
      <c r="A399" s="10">
        <f>'Pairings NB'!B1781</f>
        <v/>
      </c>
      <c r="B399" s="10">
        <f>'Pairings NB'!C1781</f>
        <v/>
      </c>
      <c r="C399" s="10">
        <f>'Pairings NB'!D1781</f>
        <v/>
      </c>
      <c r="D399" s="10">
        <f>'Pairings NB'!E1781&amp;"/"&amp;'Pairings NB'!E1782</f>
        <v/>
      </c>
      <c r="E399" s="10">
        <f>'Pairings NB'!F1781&amp;"-"&amp;'Pairings NB'!G1781&amp;"-"&amp;'Pairings NB'!F1781</f>
        <v/>
      </c>
      <c r="F399" s="10">
        <f>IFERROR(VLOOKUP('Pairings NB'!$M$1779,Instructores!$A:$C,2,FALSE),"")</f>
        <v/>
      </c>
      <c r="G399" s="10">
        <f>'Pairings NB'!$M$1779</f>
        <v/>
      </c>
      <c r="H399" s="10">
        <f>'Pairings NB'!$O$1779</f>
        <v/>
      </c>
      <c r="I399" s="10">
        <f>'Pairings NB'!J1781</f>
        <v/>
      </c>
      <c r="J399" s="10">
        <f>IFERROR(VLOOKUP('Pairings NB'!$M$1779,Instructores!$A:$C,3,FALSE),"")</f>
        <v/>
      </c>
      <c r="K399" s="10">
        <f>IF('Pairings NB'!J1781=320,4,3)</f>
        <v/>
      </c>
    </row>
    <row r="400">
      <c r="A400" s="10">
        <f>'Pairings NB'!B1786</f>
        <v/>
      </c>
      <c r="B400" s="10">
        <f>'Pairings NB'!C1786</f>
        <v/>
      </c>
      <c r="C400" s="10">
        <f>'Pairings NB'!D1786</f>
        <v/>
      </c>
      <c r="D400" s="10">
        <f>'Pairings NB'!E1786&amp;"/"&amp;'Pairings NB'!E1787</f>
        <v/>
      </c>
      <c r="E400" s="10">
        <f>'Pairings NB'!F1786&amp;"-"&amp;'Pairings NB'!G1786&amp;"-"&amp;'Pairings NB'!F1786</f>
        <v/>
      </c>
      <c r="F400" s="10">
        <f>IFERROR(VLOOKUP('Pairings NB'!$M$1786,Instructores!$A:$C,2,FALSE),"")</f>
        <v/>
      </c>
      <c r="G400" s="10">
        <f>'Pairings NB'!$M$1786</f>
        <v/>
      </c>
      <c r="H400" s="10">
        <f>'Pairings NB'!$O$1786</f>
        <v/>
      </c>
      <c r="I400" s="10">
        <f>'Pairings NB'!J1786</f>
        <v/>
      </c>
      <c r="J400" s="10">
        <f>IFERROR(VLOOKUP('Pairings NB'!$M$1786,Instructores!$A:$C,3,FALSE),"")</f>
        <v/>
      </c>
      <c r="K400" s="10">
        <f>IF('Pairings NB'!J1786=320,4,3)</f>
        <v/>
      </c>
    </row>
    <row r="401">
      <c r="A401" s="10">
        <f>'Pairings NB'!B1791</f>
        <v/>
      </c>
      <c r="B401" s="10">
        <f>'Pairings NB'!C1791</f>
        <v/>
      </c>
      <c r="C401" s="10">
        <f>'Pairings NB'!D1791</f>
        <v/>
      </c>
      <c r="D401" s="10">
        <f>'Pairings NB'!E1791&amp;"/"&amp;'Pairings NB'!E1792</f>
        <v/>
      </c>
      <c r="E401" s="10">
        <f>'Pairings NB'!F1791&amp;"-"&amp;'Pairings NB'!G1791&amp;"-"&amp;'Pairings NB'!F1791</f>
        <v/>
      </c>
      <c r="F401" s="10">
        <f>IFERROR(VLOOKUP('Pairings NB'!$M$1791,Instructores!$A:$C,2,FALSE),"")</f>
        <v/>
      </c>
      <c r="G401" s="10">
        <f>'Pairings NB'!$M$1791</f>
        <v/>
      </c>
      <c r="H401" s="10">
        <f>'Pairings NB'!$O$1791</f>
        <v/>
      </c>
      <c r="I401" s="10">
        <f>'Pairings NB'!J1791</f>
        <v/>
      </c>
      <c r="J401" s="10">
        <f>IFERROR(VLOOKUP('Pairings NB'!$M$1791,Instructores!$A:$C,3,FALSE),"")</f>
        <v/>
      </c>
      <c r="K401" s="10">
        <f>IF('Pairings NB'!J1791=320,4,3)</f>
        <v/>
      </c>
    </row>
    <row r="402">
      <c r="A402" s="10">
        <f>'Pairings NB'!B1793</f>
        <v/>
      </c>
      <c r="B402" s="10">
        <f>'Pairings NB'!C1793</f>
        <v/>
      </c>
      <c r="C402" s="10">
        <f>'Pairings NB'!D1793</f>
        <v/>
      </c>
      <c r="D402" s="10">
        <f>'Pairings NB'!E1793&amp;"/"&amp;'Pairings NB'!E1794</f>
        <v/>
      </c>
      <c r="E402" s="10">
        <f>'Pairings NB'!F1793&amp;"-"&amp;'Pairings NB'!G1793&amp;"-"&amp;'Pairings NB'!F1793</f>
        <v/>
      </c>
      <c r="F402" s="10">
        <f>IFERROR(VLOOKUP('Pairings NB'!$M$1791,Instructores!$A:$C,2,FALSE),"")</f>
        <v/>
      </c>
      <c r="G402" s="10">
        <f>'Pairings NB'!$M$1791</f>
        <v/>
      </c>
      <c r="H402" s="10">
        <f>'Pairings NB'!$O$1791</f>
        <v/>
      </c>
      <c r="I402" s="10">
        <f>'Pairings NB'!J1793</f>
        <v/>
      </c>
      <c r="J402" s="10">
        <f>IFERROR(VLOOKUP('Pairings NB'!$M$1791,Instructores!$A:$C,3,FALSE),"")</f>
        <v/>
      </c>
      <c r="K402" s="10">
        <f>IF('Pairings NB'!J1793=320,4,3)</f>
        <v/>
      </c>
    </row>
    <row r="403">
      <c r="A403" s="10">
        <f>'Pairings NB'!B1798</f>
        <v/>
      </c>
      <c r="B403" s="10">
        <f>'Pairings NB'!C1798</f>
        <v/>
      </c>
      <c r="C403" s="10">
        <f>'Pairings NB'!D1798</f>
        <v/>
      </c>
      <c r="D403" s="10">
        <f>'Pairings NB'!E1798&amp;"/"&amp;'Pairings NB'!E1799</f>
        <v/>
      </c>
      <c r="E403" s="10">
        <f>'Pairings NB'!F1798&amp;"-"&amp;'Pairings NB'!G1798&amp;"-"&amp;'Pairings NB'!F1798</f>
        <v/>
      </c>
      <c r="F403" s="10">
        <f>IFERROR(VLOOKUP('Pairings NB'!$M$1798,Instructores!$A:$C,2,FALSE),"")</f>
        <v/>
      </c>
      <c r="G403" s="10">
        <f>'Pairings NB'!$M$1798</f>
        <v/>
      </c>
      <c r="H403" s="10">
        <f>'Pairings NB'!$O$1798</f>
        <v/>
      </c>
      <c r="I403" s="10">
        <f>'Pairings NB'!J1798</f>
        <v/>
      </c>
      <c r="J403" s="10">
        <f>IFERROR(VLOOKUP('Pairings NB'!$M$1798,Instructores!$A:$C,3,FALSE),"")</f>
        <v/>
      </c>
      <c r="K403" s="10">
        <f>IF('Pairings NB'!J1798=320,4,3)</f>
        <v/>
      </c>
    </row>
    <row r="404">
      <c r="A404" s="10">
        <f>'Pairings NB'!B1803</f>
        <v/>
      </c>
      <c r="B404" s="10">
        <f>'Pairings NB'!C1803</f>
        <v/>
      </c>
      <c r="C404" s="10">
        <f>'Pairings NB'!D1803</f>
        <v/>
      </c>
      <c r="D404" s="10">
        <f>'Pairings NB'!E1803&amp;"/"&amp;'Pairings NB'!E1804</f>
        <v/>
      </c>
      <c r="E404" s="10">
        <f>'Pairings NB'!F1803&amp;"-"&amp;'Pairings NB'!G1803&amp;"-"&amp;'Pairings NB'!F1803</f>
        <v/>
      </c>
      <c r="F404" s="10">
        <f>IFERROR(VLOOKUP('Pairings NB'!$M$1803,Instructores!$A:$C,2,FALSE),"")</f>
        <v/>
      </c>
      <c r="G404" s="10">
        <f>'Pairings NB'!$M$1803</f>
        <v/>
      </c>
      <c r="H404" s="10">
        <f>'Pairings NB'!$O$1803</f>
        <v/>
      </c>
      <c r="I404" s="10">
        <f>'Pairings NB'!J1803</f>
        <v/>
      </c>
      <c r="J404" s="10">
        <f>IFERROR(VLOOKUP('Pairings NB'!$M$1803,Instructores!$A:$C,3,FALSE),"")</f>
        <v/>
      </c>
      <c r="K404" s="10">
        <f>IF('Pairings NB'!J1803=320,4,3)</f>
        <v/>
      </c>
    </row>
    <row r="405">
      <c r="A405" s="10">
        <f>'Pairings NB'!B1808</f>
        <v/>
      </c>
      <c r="B405" s="10">
        <f>'Pairings NB'!C1808</f>
        <v/>
      </c>
      <c r="C405" s="10">
        <f>'Pairings NB'!D1808</f>
        <v/>
      </c>
      <c r="D405" s="10">
        <f>'Pairings NB'!E1808&amp;"/"&amp;'Pairings NB'!E1809</f>
        <v/>
      </c>
      <c r="E405" s="10">
        <f>'Pairings NB'!F1808&amp;"-"&amp;'Pairings NB'!G1808&amp;"-"&amp;'Pairings NB'!F1808</f>
        <v/>
      </c>
      <c r="F405" s="10">
        <f>IFERROR(VLOOKUP('Pairings NB'!$M$1808,Instructores!$A:$C,2,FALSE),"")</f>
        <v/>
      </c>
      <c r="G405" s="10">
        <f>'Pairings NB'!$M$1808</f>
        <v/>
      </c>
      <c r="H405" s="10">
        <f>'Pairings NB'!$O$1808</f>
        <v/>
      </c>
      <c r="I405" s="10">
        <f>'Pairings NB'!J1808</f>
        <v/>
      </c>
      <c r="J405" s="10">
        <f>IFERROR(VLOOKUP('Pairings NB'!$M$1808,Instructores!$A:$C,3,FALSE),"")</f>
        <v/>
      </c>
      <c r="K405" s="10">
        <f>IF('Pairings NB'!J1808=320,4,3)</f>
        <v/>
      </c>
    </row>
    <row r="406">
      <c r="A406" s="10">
        <f>'Pairings NB'!B1810</f>
        <v/>
      </c>
      <c r="B406" s="10">
        <f>'Pairings NB'!C1810</f>
        <v/>
      </c>
      <c r="C406" s="10">
        <f>'Pairings NB'!D1810</f>
        <v/>
      </c>
      <c r="D406" s="10">
        <f>'Pairings NB'!E1810&amp;"/"&amp;'Pairings NB'!E1811</f>
        <v/>
      </c>
      <c r="E406" s="10">
        <f>'Pairings NB'!F1810&amp;"-"&amp;'Pairings NB'!G1810&amp;"-"&amp;'Pairings NB'!F1810</f>
        <v/>
      </c>
      <c r="F406" s="10">
        <f>IFERROR(VLOOKUP('Pairings NB'!$M$1808,Instructores!$A:$C,2,FALSE),"")</f>
        <v/>
      </c>
      <c r="G406" s="10">
        <f>'Pairings NB'!$M$1808</f>
        <v/>
      </c>
      <c r="H406" s="10">
        <f>'Pairings NB'!$O$1808</f>
        <v/>
      </c>
      <c r="I406" s="10">
        <f>'Pairings NB'!J1810</f>
        <v/>
      </c>
      <c r="J406" s="10">
        <f>IFERROR(VLOOKUP('Pairings NB'!$M$1808,Instructores!$A:$C,3,FALSE),"")</f>
        <v/>
      </c>
      <c r="K406" s="10">
        <f>IF('Pairings NB'!J1810=320,4,3)</f>
        <v/>
      </c>
    </row>
    <row r="407">
      <c r="A407" s="10">
        <f>'Pairings NB'!B1815</f>
        <v/>
      </c>
      <c r="B407" s="10">
        <f>'Pairings NB'!C1815</f>
        <v/>
      </c>
      <c r="C407" s="10">
        <f>'Pairings NB'!D1815</f>
        <v/>
      </c>
      <c r="D407" s="10">
        <f>'Pairings NB'!E1815&amp;"/"&amp;'Pairings NB'!E1816</f>
        <v/>
      </c>
      <c r="E407" s="10">
        <f>'Pairings NB'!F1815&amp;"-"&amp;'Pairings NB'!G1815&amp;"-"&amp;'Pairings NB'!F1815</f>
        <v/>
      </c>
      <c r="F407" s="10">
        <f>IFERROR(VLOOKUP('Pairings NB'!$M$1815,Instructores!$A:$C,2,FALSE),"")</f>
        <v/>
      </c>
      <c r="G407" s="10">
        <f>'Pairings NB'!$M$1815</f>
        <v/>
      </c>
      <c r="H407" s="10">
        <f>'Pairings NB'!$O$1815</f>
        <v/>
      </c>
      <c r="I407" s="10">
        <f>'Pairings NB'!J1815</f>
        <v/>
      </c>
      <c r="J407" s="10">
        <f>IFERROR(VLOOKUP('Pairings NB'!$M$1815,Instructores!$A:$C,3,FALSE),"")</f>
        <v/>
      </c>
      <c r="K407" s="10">
        <f>IF('Pairings NB'!J1815=320,4,3)</f>
        <v/>
      </c>
    </row>
    <row r="408">
      <c r="A408" s="10">
        <f>'Pairings NB'!B1820</f>
        <v/>
      </c>
      <c r="B408" s="10">
        <f>'Pairings NB'!C1820</f>
        <v/>
      </c>
      <c r="C408" s="10">
        <f>'Pairings NB'!D1820</f>
        <v/>
      </c>
      <c r="D408" s="10">
        <f>'Pairings NB'!E1820&amp;"/"&amp;'Pairings NB'!E1821</f>
        <v/>
      </c>
      <c r="E408" s="10">
        <f>'Pairings NB'!F1820&amp;"-"&amp;'Pairings NB'!G1820&amp;"-"&amp;'Pairings NB'!F1820</f>
        <v/>
      </c>
      <c r="F408" s="10">
        <f>IFERROR(VLOOKUP('Pairings NB'!$M$1820,Instructores!$A:$C,2,FALSE),"")</f>
        <v/>
      </c>
      <c r="G408" s="10">
        <f>'Pairings NB'!$M$1820</f>
        <v/>
      </c>
      <c r="H408" s="10">
        <f>'Pairings NB'!$O$1820</f>
        <v/>
      </c>
      <c r="I408" s="10">
        <f>'Pairings NB'!J1820</f>
        <v/>
      </c>
      <c r="J408" s="10">
        <f>IFERROR(VLOOKUP('Pairings NB'!$M$1820,Instructores!$A:$C,3,FALSE),"")</f>
        <v/>
      </c>
      <c r="K408" s="10">
        <f>IF('Pairings NB'!J1820=320,4,3)</f>
        <v/>
      </c>
    </row>
    <row r="409">
      <c r="A409" s="10">
        <f>'Pairings NB'!B1825</f>
        <v/>
      </c>
      <c r="B409" s="10">
        <f>'Pairings NB'!C1825</f>
        <v/>
      </c>
      <c r="C409" s="10">
        <f>'Pairings NB'!D1825</f>
        <v/>
      </c>
      <c r="D409" s="10">
        <f>'Pairings NB'!E1825&amp;"/"&amp;'Pairings NB'!E1826</f>
        <v/>
      </c>
      <c r="E409" s="10">
        <f>'Pairings NB'!F1825&amp;"-"&amp;'Pairings NB'!G1825&amp;"-"&amp;'Pairings NB'!F1825</f>
        <v/>
      </c>
      <c r="F409" s="10">
        <f>IFERROR(VLOOKUP('Pairings NB'!$M$1825,Instructores!$A:$C,2,FALSE),"")</f>
        <v/>
      </c>
      <c r="G409" s="10">
        <f>'Pairings NB'!$M$1825</f>
        <v/>
      </c>
      <c r="H409" s="10">
        <f>'Pairings NB'!$O$1825</f>
        <v/>
      </c>
      <c r="I409" s="10">
        <f>'Pairings NB'!J1825</f>
        <v/>
      </c>
      <c r="J409" s="10">
        <f>IFERROR(VLOOKUP('Pairings NB'!$M$1825,Instructores!$A:$C,3,FALSE),"")</f>
        <v/>
      </c>
      <c r="K409" s="10">
        <f>IF('Pairings NB'!J1825=320,4,3)</f>
        <v/>
      </c>
    </row>
    <row r="410">
      <c r="A410" s="10">
        <f>'Pairings NB'!B1830</f>
        <v/>
      </c>
      <c r="B410" s="10">
        <f>'Pairings NB'!C1830</f>
        <v/>
      </c>
      <c r="C410" s="10">
        <f>'Pairings NB'!D1830</f>
        <v/>
      </c>
      <c r="D410" s="10">
        <f>'Pairings NB'!E1830&amp;"/"&amp;'Pairings NB'!E1831</f>
        <v/>
      </c>
      <c r="E410" s="10">
        <f>'Pairings NB'!F1830&amp;"-"&amp;'Pairings NB'!G1830&amp;"-"&amp;'Pairings NB'!F1830</f>
        <v/>
      </c>
      <c r="F410" s="10">
        <f>IFERROR(VLOOKUP('Pairings NB'!$M$1830,Instructores!$A:$C,2,FALSE),"")</f>
        <v/>
      </c>
      <c r="G410" s="10">
        <f>'Pairings NB'!$M$1830</f>
        <v/>
      </c>
      <c r="H410" s="10">
        <f>'Pairings NB'!$O$1830</f>
        <v/>
      </c>
      <c r="I410" s="10">
        <f>'Pairings NB'!J1830</f>
        <v/>
      </c>
      <c r="J410" s="10">
        <f>IFERROR(VLOOKUP('Pairings NB'!$M$1830,Instructores!$A:$C,3,FALSE),"")</f>
        <v/>
      </c>
      <c r="K410" s="10">
        <f>IF('Pairings NB'!J1830=320,4,3)</f>
        <v/>
      </c>
    </row>
    <row r="411">
      <c r="A411" s="10">
        <f>'Pairings NB'!B1835</f>
        <v/>
      </c>
      <c r="B411" s="10">
        <f>'Pairings NB'!C1835</f>
        <v/>
      </c>
      <c r="C411" s="10">
        <f>'Pairings NB'!D1835</f>
        <v/>
      </c>
      <c r="D411" s="10">
        <f>'Pairings NB'!E1835&amp;"/"&amp;'Pairings NB'!E1836</f>
        <v/>
      </c>
      <c r="E411" s="10">
        <f>'Pairings NB'!F1835&amp;"-"&amp;'Pairings NB'!G1835&amp;"-"&amp;'Pairings NB'!F1835</f>
        <v/>
      </c>
      <c r="F411" s="10">
        <f>IFERROR(VLOOKUP('Pairings NB'!$M$1835,Instructores!$A:$C,2,FALSE),"")</f>
        <v/>
      </c>
      <c r="G411" s="10">
        <f>'Pairings NB'!$M$1835</f>
        <v/>
      </c>
      <c r="H411" s="10">
        <f>'Pairings NB'!$O$1835</f>
        <v/>
      </c>
      <c r="I411" s="10">
        <f>'Pairings NB'!J1835</f>
        <v/>
      </c>
      <c r="J411" s="10">
        <f>IFERROR(VLOOKUP('Pairings NB'!$M$1835,Instructores!$A:$C,3,FALSE),"")</f>
        <v/>
      </c>
      <c r="K411" s="10">
        <f>IF('Pairings NB'!J1835=320,4,3)</f>
        <v/>
      </c>
    </row>
    <row r="412">
      <c r="A412" s="10">
        <f>'Pairings NB'!B1840</f>
        <v/>
      </c>
      <c r="B412" s="10">
        <f>'Pairings NB'!C1840</f>
        <v/>
      </c>
      <c r="C412" s="10">
        <f>'Pairings NB'!D1840</f>
        <v/>
      </c>
      <c r="D412" s="10">
        <f>'Pairings NB'!E1840&amp;"/"&amp;'Pairings NB'!E1841</f>
        <v/>
      </c>
      <c r="E412" s="10">
        <f>'Pairings NB'!F1840&amp;"-"&amp;'Pairings NB'!G1840&amp;"-"&amp;'Pairings NB'!F1840</f>
        <v/>
      </c>
      <c r="F412" s="10">
        <f>IFERROR(VLOOKUP('Pairings NB'!$M$1840,Instructores!$A:$C,2,FALSE),"")</f>
        <v/>
      </c>
      <c r="G412" s="10">
        <f>'Pairings NB'!$M$1840</f>
        <v/>
      </c>
      <c r="H412" s="10">
        <f>'Pairings NB'!$O$1840</f>
        <v/>
      </c>
      <c r="I412" s="10">
        <f>'Pairings NB'!J1840</f>
        <v/>
      </c>
      <c r="J412" s="10">
        <f>IFERROR(VLOOKUP('Pairings NB'!$M$1840,Instructores!$A:$C,3,FALSE),"")</f>
        <v/>
      </c>
      <c r="K412" s="10">
        <f>IF('Pairings NB'!J1840=320,4,3)</f>
        <v/>
      </c>
    </row>
    <row r="413">
      <c r="A413" s="10">
        <f>'Pairings NB'!B1845</f>
        <v/>
      </c>
      <c r="B413" s="10">
        <f>'Pairings NB'!C1845</f>
        <v/>
      </c>
      <c r="C413" s="10">
        <f>'Pairings NB'!D1845</f>
        <v/>
      </c>
      <c r="D413" s="10">
        <f>'Pairings NB'!E1845&amp;"/"&amp;'Pairings NB'!E1846</f>
        <v/>
      </c>
      <c r="E413" s="10">
        <f>'Pairings NB'!F1845&amp;"-"&amp;'Pairings NB'!G1845&amp;"-"&amp;'Pairings NB'!F1845</f>
        <v/>
      </c>
      <c r="F413" s="10">
        <f>IFERROR(VLOOKUP('Pairings NB'!$M$1845,Instructores!$A:$C,2,FALSE),"")</f>
        <v/>
      </c>
      <c r="G413" s="10">
        <f>'Pairings NB'!$M$1845</f>
        <v/>
      </c>
      <c r="H413" s="10">
        <f>'Pairings NB'!$O$1845</f>
        <v/>
      </c>
      <c r="I413" s="10">
        <f>'Pairings NB'!J1845</f>
        <v/>
      </c>
      <c r="J413" s="10">
        <f>IFERROR(VLOOKUP('Pairings NB'!$M$1845,Instructores!$A:$C,3,FALSE),"")</f>
        <v/>
      </c>
      <c r="K413" s="10">
        <f>IF('Pairings NB'!J1845=320,4,3)</f>
        <v/>
      </c>
    </row>
    <row r="414">
      <c r="A414" s="10">
        <f>'Pairings NB'!B1847</f>
        <v/>
      </c>
      <c r="B414" s="10">
        <f>'Pairings NB'!C1847</f>
        <v/>
      </c>
      <c r="C414" s="10">
        <f>'Pairings NB'!D1847</f>
        <v/>
      </c>
      <c r="D414" s="10">
        <f>'Pairings NB'!E1847&amp;"/"&amp;'Pairings NB'!E1848</f>
        <v/>
      </c>
      <c r="E414" s="10">
        <f>'Pairings NB'!F1847&amp;"-"&amp;'Pairings NB'!G1847&amp;"-"&amp;'Pairings NB'!F1847</f>
        <v/>
      </c>
      <c r="F414" s="10">
        <f>IFERROR(VLOOKUP('Pairings NB'!$M$1845,Instructores!$A:$C,2,FALSE),"")</f>
        <v/>
      </c>
      <c r="G414" s="10">
        <f>'Pairings NB'!$M$1845</f>
        <v/>
      </c>
      <c r="H414" s="10">
        <f>'Pairings NB'!$O$1845</f>
        <v/>
      </c>
      <c r="I414" s="10">
        <f>'Pairings NB'!J1847</f>
        <v/>
      </c>
      <c r="J414" s="10">
        <f>IFERROR(VLOOKUP('Pairings NB'!$M$1845,Instructores!$A:$C,3,FALSE),"")</f>
        <v/>
      </c>
      <c r="K414" s="10">
        <f>IF('Pairings NB'!J1847=320,4,3)</f>
        <v/>
      </c>
    </row>
    <row r="415">
      <c r="A415" s="10">
        <f>'Pairings NB'!B1852</f>
        <v/>
      </c>
      <c r="B415" s="10">
        <f>'Pairings NB'!C1852</f>
        <v/>
      </c>
      <c r="C415" s="10">
        <f>'Pairings NB'!D1852</f>
        <v/>
      </c>
      <c r="D415" s="10">
        <f>'Pairings NB'!E1852&amp;"/"&amp;'Pairings NB'!E1853</f>
        <v/>
      </c>
      <c r="E415" s="10">
        <f>'Pairings NB'!F1852&amp;"-"&amp;'Pairings NB'!G1852&amp;"-"&amp;'Pairings NB'!F1852</f>
        <v/>
      </c>
      <c r="F415" s="10">
        <f>IFERROR(VLOOKUP('Pairings NB'!$M$1852,Instructores!$A:$C,2,FALSE),"")</f>
        <v/>
      </c>
      <c r="G415" s="10">
        <f>'Pairings NB'!$M$1852</f>
        <v/>
      </c>
      <c r="H415" s="10">
        <f>'Pairings NB'!$O$1852</f>
        <v/>
      </c>
      <c r="I415" s="10">
        <f>'Pairings NB'!J1852</f>
        <v/>
      </c>
      <c r="J415" s="10">
        <f>IFERROR(VLOOKUP('Pairings NB'!$M$1852,Instructores!$A:$C,3,FALSE),"")</f>
        <v/>
      </c>
      <c r="K415" s="10">
        <f>IF('Pairings NB'!J1852=320,4,3)</f>
        <v/>
      </c>
    </row>
    <row r="416">
      <c r="A416" s="10">
        <f>'Pairings NB'!B1857</f>
        <v/>
      </c>
      <c r="B416" s="10">
        <f>'Pairings NB'!C1857</f>
        <v/>
      </c>
      <c r="C416" s="10">
        <f>'Pairings NB'!D1857</f>
        <v/>
      </c>
      <c r="D416" s="10">
        <f>'Pairings NB'!E1857&amp;"/"&amp;'Pairings NB'!E1858</f>
        <v/>
      </c>
      <c r="E416" s="10">
        <f>'Pairings NB'!F1857&amp;"-"&amp;'Pairings NB'!G1857&amp;"-"&amp;'Pairings NB'!F1857</f>
        <v/>
      </c>
      <c r="F416" s="10">
        <f>IFERROR(VLOOKUP('Pairings NB'!$M$1857,Instructores!$A:$C,2,FALSE),"")</f>
        <v/>
      </c>
      <c r="G416" s="10">
        <f>'Pairings NB'!$M$1857</f>
        <v/>
      </c>
      <c r="H416" s="10">
        <f>'Pairings NB'!$O$1857</f>
        <v/>
      </c>
      <c r="I416" s="10">
        <f>'Pairings NB'!J1857</f>
        <v/>
      </c>
      <c r="J416" s="10">
        <f>IFERROR(VLOOKUP('Pairings NB'!$M$1857,Instructores!$A:$C,3,FALSE),"")</f>
        <v/>
      </c>
      <c r="K416" s="10">
        <f>IF('Pairings NB'!J1857=320,4,3)</f>
        <v/>
      </c>
    </row>
    <row r="417">
      <c r="A417" s="10">
        <f>'Pairings NB'!B1862</f>
        <v/>
      </c>
      <c r="B417" s="10">
        <f>'Pairings NB'!C1862</f>
        <v/>
      </c>
      <c r="C417" s="10">
        <f>'Pairings NB'!D1862</f>
        <v/>
      </c>
      <c r="D417" s="10">
        <f>'Pairings NB'!E1862&amp;"/"&amp;'Pairings NB'!E1863</f>
        <v/>
      </c>
      <c r="E417" s="10">
        <f>'Pairings NB'!F1862&amp;"-"&amp;'Pairings NB'!G1862&amp;"-"&amp;'Pairings NB'!F1862</f>
        <v/>
      </c>
      <c r="F417" s="10">
        <f>IFERROR(VLOOKUP('Pairings NB'!$M$1862,Instructores!$A:$C,2,FALSE),"")</f>
        <v/>
      </c>
      <c r="G417" s="10">
        <f>'Pairings NB'!$M$1862</f>
        <v/>
      </c>
      <c r="H417" s="10">
        <f>'Pairings NB'!$O$1862</f>
        <v/>
      </c>
      <c r="I417" s="10">
        <f>'Pairings NB'!J1862</f>
        <v/>
      </c>
      <c r="J417" s="10">
        <f>IFERROR(VLOOKUP('Pairings NB'!$M$1862,Instructores!$A:$C,3,FALSE),"")</f>
        <v/>
      </c>
      <c r="K417" s="10">
        <f>IF('Pairings NB'!J1862=320,4,3)</f>
        <v/>
      </c>
    </row>
    <row r="418">
      <c r="A418" s="10">
        <f>'Pairings NB'!B1864</f>
        <v/>
      </c>
      <c r="B418" s="10">
        <f>'Pairings NB'!C1864</f>
        <v/>
      </c>
      <c r="C418" s="10">
        <f>'Pairings NB'!D1864</f>
        <v/>
      </c>
      <c r="D418" s="10">
        <f>'Pairings NB'!E1864&amp;"/"&amp;'Pairings NB'!E1865</f>
        <v/>
      </c>
      <c r="E418" s="10">
        <f>'Pairings NB'!F1864&amp;"-"&amp;'Pairings NB'!G1864&amp;"-"&amp;'Pairings NB'!F1864</f>
        <v/>
      </c>
      <c r="F418" s="10">
        <f>IFERROR(VLOOKUP('Pairings NB'!$M$1862,Instructores!$A:$C,2,FALSE),"")</f>
        <v/>
      </c>
      <c r="G418" s="10">
        <f>'Pairings NB'!$M$1862</f>
        <v/>
      </c>
      <c r="H418" s="10">
        <f>'Pairings NB'!$O$1862</f>
        <v/>
      </c>
      <c r="I418" s="10">
        <f>'Pairings NB'!J1864</f>
        <v/>
      </c>
      <c r="J418" s="10">
        <f>IFERROR(VLOOKUP('Pairings NB'!$M$1862,Instructores!$A:$C,3,FALSE),"")</f>
        <v/>
      </c>
      <c r="K418" s="10">
        <f>IF('Pairings NB'!J1864=320,4,3)</f>
        <v/>
      </c>
    </row>
    <row r="419">
      <c r="A419" s="10">
        <f>'Pairings NB'!B1869</f>
        <v/>
      </c>
      <c r="B419" s="10">
        <f>'Pairings NB'!C1869</f>
        <v/>
      </c>
      <c r="C419" s="10">
        <f>'Pairings NB'!D1869</f>
        <v/>
      </c>
      <c r="D419" s="10">
        <f>'Pairings NB'!E1869&amp;"/"&amp;'Pairings NB'!E1870</f>
        <v/>
      </c>
      <c r="E419" s="10">
        <f>'Pairings NB'!F1869&amp;"-"&amp;'Pairings NB'!G1869&amp;"-"&amp;'Pairings NB'!F1869</f>
        <v/>
      </c>
      <c r="F419" s="10">
        <f>IFERROR(VLOOKUP('Pairings NB'!$M$1869,Instructores!$A:$C,2,FALSE),"")</f>
        <v/>
      </c>
      <c r="G419" s="10">
        <f>'Pairings NB'!$M$1869</f>
        <v/>
      </c>
      <c r="H419" s="10">
        <f>'Pairings NB'!$O$1869</f>
        <v/>
      </c>
      <c r="I419" s="10">
        <f>'Pairings NB'!J1869</f>
        <v/>
      </c>
      <c r="J419" s="10">
        <f>IFERROR(VLOOKUP('Pairings NB'!$M$1869,Instructores!$A:$C,3,FALSE),"")</f>
        <v/>
      </c>
      <c r="K419" s="10">
        <f>IF('Pairings NB'!J1869=320,4,3)</f>
        <v/>
      </c>
    </row>
    <row r="420">
      <c r="A420" s="10">
        <f>'Pairings NB'!B1874</f>
        <v/>
      </c>
      <c r="B420" s="10">
        <f>'Pairings NB'!C1874</f>
        <v/>
      </c>
      <c r="C420" s="10">
        <f>'Pairings NB'!D1874</f>
        <v/>
      </c>
      <c r="D420" s="10">
        <f>'Pairings NB'!E1874&amp;"/"&amp;'Pairings NB'!E1875</f>
        <v/>
      </c>
      <c r="E420" s="10">
        <f>'Pairings NB'!F1874&amp;"-"&amp;'Pairings NB'!G1874&amp;"-"&amp;'Pairings NB'!F1874</f>
        <v/>
      </c>
      <c r="F420" s="10">
        <f>IFERROR(VLOOKUP('Pairings NB'!$M$1874,Instructores!$A:$C,2,FALSE),"")</f>
        <v/>
      </c>
      <c r="G420" s="10">
        <f>'Pairings NB'!$M$1874</f>
        <v/>
      </c>
      <c r="H420" s="10">
        <f>'Pairings NB'!$O$1874</f>
        <v/>
      </c>
      <c r="I420" s="10">
        <f>'Pairings NB'!J1874</f>
        <v/>
      </c>
      <c r="J420" s="10">
        <f>IFERROR(VLOOKUP('Pairings NB'!$M$1874,Instructores!$A:$C,3,FALSE),"")</f>
        <v/>
      </c>
      <c r="K420" s="10">
        <f>IF('Pairings NB'!J1874=320,4,3)</f>
        <v/>
      </c>
    </row>
    <row r="421">
      <c r="A421" s="10">
        <f>'Pairings NB'!B1879</f>
        <v/>
      </c>
      <c r="B421" s="10">
        <f>'Pairings NB'!C1879</f>
        <v/>
      </c>
      <c r="C421" s="10">
        <f>'Pairings NB'!D1879</f>
        <v/>
      </c>
      <c r="D421" s="10">
        <f>'Pairings NB'!E1879&amp;"/"&amp;'Pairings NB'!E1880</f>
        <v/>
      </c>
      <c r="E421" s="10">
        <f>'Pairings NB'!F1879&amp;"-"&amp;'Pairings NB'!G1879&amp;"-"&amp;'Pairings NB'!F1879</f>
        <v/>
      </c>
      <c r="F421" s="10">
        <f>IFERROR(VLOOKUP('Pairings NB'!$M$1879,Instructores!$A:$C,2,FALSE),"")</f>
        <v/>
      </c>
      <c r="G421" s="10">
        <f>'Pairings NB'!$M$1879</f>
        <v/>
      </c>
      <c r="H421" s="10">
        <f>'Pairings NB'!$O$1879</f>
        <v/>
      </c>
      <c r="I421" s="10">
        <f>'Pairings NB'!J1879</f>
        <v/>
      </c>
      <c r="J421" s="10">
        <f>IFERROR(VLOOKUP('Pairings NB'!$M$1879,Instructores!$A:$C,3,FALSE),"")</f>
        <v/>
      </c>
      <c r="K421" s="10">
        <f>IF('Pairings NB'!J1879=320,4,3)</f>
        <v/>
      </c>
    </row>
    <row r="422">
      <c r="A422" s="10">
        <f>'Pairings NB'!B1884</f>
        <v/>
      </c>
      <c r="B422" s="10">
        <f>'Pairings NB'!C1884</f>
        <v/>
      </c>
      <c r="C422" s="10">
        <f>'Pairings NB'!D1884</f>
        <v/>
      </c>
      <c r="D422" s="10">
        <f>'Pairings NB'!E1884&amp;"/"&amp;'Pairings NB'!E1885</f>
        <v/>
      </c>
      <c r="E422" s="10">
        <f>'Pairings NB'!F1884&amp;"-"&amp;'Pairings NB'!G1884&amp;"-"&amp;'Pairings NB'!F1884</f>
        <v/>
      </c>
      <c r="F422" s="10">
        <f>IFERROR(VLOOKUP('Pairings NB'!$M$1884,Instructores!$A:$C,2,FALSE),"")</f>
        <v/>
      </c>
      <c r="G422" s="10">
        <f>'Pairings NB'!$M$1884</f>
        <v/>
      </c>
      <c r="H422" s="10">
        <f>'Pairings NB'!$O$1884</f>
        <v/>
      </c>
      <c r="I422" s="10">
        <f>'Pairings NB'!J1884</f>
        <v/>
      </c>
      <c r="J422" s="10">
        <f>IFERROR(VLOOKUP('Pairings NB'!$M$1884,Instructores!$A:$C,3,FALSE),"")</f>
        <v/>
      </c>
      <c r="K422" s="10">
        <f>IF('Pairings NB'!J1884=320,4,3)</f>
        <v/>
      </c>
    </row>
    <row r="423">
      <c r="A423" s="10">
        <f>'Pairings NB'!B1889</f>
        <v/>
      </c>
      <c r="B423" s="10">
        <f>'Pairings NB'!C1889</f>
        <v/>
      </c>
      <c r="C423" s="10">
        <f>'Pairings NB'!D1889</f>
        <v/>
      </c>
      <c r="D423" s="10">
        <f>'Pairings NB'!E1889&amp;"/"&amp;'Pairings NB'!E1890</f>
        <v/>
      </c>
      <c r="E423" s="10">
        <f>'Pairings NB'!F1889&amp;"-"&amp;'Pairings NB'!G1889&amp;"-"&amp;'Pairings NB'!F1889</f>
        <v/>
      </c>
      <c r="F423" s="10">
        <f>IFERROR(VLOOKUP('Pairings NB'!$M$1889,Instructores!$A:$C,2,FALSE),"")</f>
        <v/>
      </c>
      <c r="G423" s="10">
        <f>'Pairings NB'!$M$1889</f>
        <v/>
      </c>
      <c r="H423" s="10">
        <f>'Pairings NB'!$O$1889</f>
        <v/>
      </c>
      <c r="I423" s="10">
        <f>'Pairings NB'!J1889</f>
        <v/>
      </c>
      <c r="J423" s="10">
        <f>IFERROR(VLOOKUP('Pairings NB'!$M$1889,Instructores!$A:$C,3,FALSE),"")</f>
        <v/>
      </c>
      <c r="K423" s="10">
        <f>IF('Pairings NB'!J1889=320,4,3)</f>
        <v/>
      </c>
    </row>
    <row r="424">
      <c r="A424" s="10">
        <f>'Pairings NB'!B1894</f>
        <v/>
      </c>
      <c r="B424" s="10">
        <f>'Pairings NB'!C1894</f>
        <v/>
      </c>
      <c r="C424" s="10">
        <f>'Pairings NB'!D1894</f>
        <v/>
      </c>
      <c r="D424" s="10">
        <f>'Pairings NB'!E1894&amp;"/"&amp;'Pairings NB'!E1895</f>
        <v/>
      </c>
      <c r="E424" s="10">
        <f>'Pairings NB'!F1894&amp;"-"&amp;'Pairings NB'!G1894&amp;"-"&amp;'Pairings NB'!F1894</f>
        <v/>
      </c>
      <c r="F424" s="10">
        <f>IFERROR(VLOOKUP('Pairings NB'!$M$1894,Instructores!$A:$C,2,FALSE),"")</f>
        <v/>
      </c>
      <c r="G424" s="10">
        <f>'Pairings NB'!$M$1894</f>
        <v/>
      </c>
      <c r="H424" s="10">
        <f>'Pairings NB'!$O$1894</f>
        <v/>
      </c>
      <c r="I424" s="10">
        <f>'Pairings NB'!J1894</f>
        <v/>
      </c>
      <c r="J424" s="10">
        <f>IFERROR(VLOOKUP('Pairings NB'!$M$1894,Instructores!$A:$C,3,FALSE),"")</f>
        <v/>
      </c>
      <c r="K424" s="10">
        <f>IF('Pairings NB'!J1894=320,4,3)</f>
        <v/>
      </c>
    </row>
    <row r="425">
      <c r="A425" s="10">
        <f>'Pairings NB'!B1899</f>
        <v/>
      </c>
      <c r="B425" s="10">
        <f>'Pairings NB'!C1899</f>
        <v/>
      </c>
      <c r="C425" s="10">
        <f>'Pairings NB'!D1899</f>
        <v/>
      </c>
      <c r="D425" s="10">
        <f>'Pairings NB'!E1899&amp;"/"&amp;'Pairings NB'!E1900</f>
        <v/>
      </c>
      <c r="E425" s="10">
        <f>'Pairings NB'!F1899&amp;"-"&amp;'Pairings NB'!G1899&amp;"-"&amp;'Pairings NB'!F1899</f>
        <v/>
      </c>
      <c r="F425" s="10">
        <f>IFERROR(VLOOKUP('Pairings NB'!$M$1899,Instructores!$A:$C,2,FALSE),"")</f>
        <v/>
      </c>
      <c r="G425" s="10">
        <f>'Pairings NB'!$M$1899</f>
        <v/>
      </c>
      <c r="H425" s="10">
        <f>'Pairings NB'!$O$1899</f>
        <v/>
      </c>
      <c r="I425" s="10">
        <f>'Pairings NB'!J1899</f>
        <v/>
      </c>
      <c r="J425" s="10">
        <f>IFERROR(VLOOKUP('Pairings NB'!$M$1899,Instructores!$A:$C,3,FALSE),"")</f>
        <v/>
      </c>
      <c r="K425" s="10">
        <f>IF('Pairings NB'!J1899=320,4,3)</f>
        <v/>
      </c>
    </row>
    <row r="426">
      <c r="A426" s="10">
        <f>'Pairings NB'!B1904</f>
        <v/>
      </c>
      <c r="B426" s="10">
        <f>'Pairings NB'!C1904</f>
        <v/>
      </c>
      <c r="C426" s="10">
        <f>'Pairings NB'!D1904</f>
        <v/>
      </c>
      <c r="D426" s="10">
        <f>'Pairings NB'!E1904&amp;"/"&amp;'Pairings NB'!E1905</f>
        <v/>
      </c>
      <c r="E426" s="10">
        <f>'Pairings NB'!F1904&amp;"-"&amp;'Pairings NB'!G1904&amp;"-"&amp;'Pairings NB'!F1904</f>
        <v/>
      </c>
      <c r="F426" s="10">
        <f>IFERROR(VLOOKUP('Pairings NB'!$M$1904,Instructores!$A:$C,2,FALSE),"")</f>
        <v/>
      </c>
      <c r="G426" s="10">
        <f>'Pairings NB'!$M$1904</f>
        <v/>
      </c>
      <c r="H426" s="10">
        <f>'Pairings NB'!$O$1904</f>
        <v/>
      </c>
      <c r="I426" s="10">
        <f>'Pairings NB'!J1904</f>
        <v/>
      </c>
      <c r="J426" s="10">
        <f>IFERROR(VLOOKUP('Pairings NB'!$M$1904,Instructores!$A:$C,3,FALSE),"")</f>
        <v/>
      </c>
      <c r="K426" s="10">
        <f>IF('Pairings NB'!J1904=320,4,3)</f>
        <v/>
      </c>
    </row>
    <row r="427">
      <c r="A427" s="10">
        <f>'Pairings NB'!B1909</f>
        <v/>
      </c>
      <c r="B427" s="10">
        <f>'Pairings NB'!C1909</f>
        <v/>
      </c>
      <c r="C427" s="10">
        <f>'Pairings NB'!D1909</f>
        <v/>
      </c>
      <c r="D427" s="10">
        <f>'Pairings NB'!E1909&amp;"/"&amp;'Pairings NB'!E1910</f>
        <v/>
      </c>
      <c r="E427" s="10">
        <f>'Pairings NB'!F1909&amp;"-"&amp;'Pairings NB'!G1909&amp;"-"&amp;'Pairings NB'!F1909</f>
        <v/>
      </c>
      <c r="F427" s="10">
        <f>IFERROR(VLOOKUP('Pairings NB'!$M$1909,Instructores!$A:$C,2,FALSE),"")</f>
        <v/>
      </c>
      <c r="G427" s="10">
        <f>'Pairings NB'!$M$1909</f>
        <v/>
      </c>
      <c r="H427" s="10">
        <f>'Pairings NB'!$O$1909</f>
        <v/>
      </c>
      <c r="I427" s="10">
        <f>'Pairings NB'!J1909</f>
        <v/>
      </c>
      <c r="J427" s="10">
        <f>IFERROR(VLOOKUP('Pairings NB'!$M$1909,Instructores!$A:$C,3,FALSE),"")</f>
        <v/>
      </c>
      <c r="K427" s="10">
        <f>IF('Pairings NB'!J1909=320,4,3)</f>
        <v/>
      </c>
    </row>
    <row r="428">
      <c r="A428" s="10">
        <f>'Pairings NB'!B1914</f>
        <v/>
      </c>
      <c r="B428" s="10">
        <f>'Pairings NB'!C1914</f>
        <v/>
      </c>
      <c r="C428" s="10">
        <f>'Pairings NB'!D1914</f>
        <v/>
      </c>
      <c r="D428" s="10">
        <f>'Pairings NB'!E1914&amp;"/"&amp;'Pairings NB'!E1915</f>
        <v/>
      </c>
      <c r="E428" s="10">
        <f>'Pairings NB'!F1914&amp;"-"&amp;'Pairings NB'!G1914&amp;"-"&amp;'Pairings NB'!F1914</f>
        <v/>
      </c>
      <c r="F428" s="10">
        <f>IFERROR(VLOOKUP('Pairings NB'!$M$1914,Instructores!$A:$C,2,FALSE),"")</f>
        <v/>
      </c>
      <c r="G428" s="10">
        <f>'Pairings NB'!$M$1914</f>
        <v/>
      </c>
      <c r="H428" s="10">
        <f>'Pairings NB'!$O$1914</f>
        <v/>
      </c>
      <c r="I428" s="10">
        <f>'Pairings NB'!J1914</f>
        <v/>
      </c>
      <c r="J428" s="10">
        <f>IFERROR(VLOOKUP('Pairings NB'!$M$1914,Instructores!$A:$C,3,FALSE),"")</f>
        <v/>
      </c>
      <c r="K428" s="10">
        <f>IF('Pairings NB'!J1914=320,4,3)</f>
        <v/>
      </c>
    </row>
    <row r="429">
      <c r="A429" s="10">
        <f>'Pairings NB'!B1916</f>
        <v/>
      </c>
      <c r="B429" s="10">
        <f>'Pairings NB'!C1916</f>
        <v/>
      </c>
      <c r="C429" s="10">
        <f>'Pairings NB'!D1916</f>
        <v/>
      </c>
      <c r="D429" s="10">
        <f>'Pairings NB'!E1916&amp;"/"&amp;'Pairings NB'!E1917</f>
        <v/>
      </c>
      <c r="E429" s="10">
        <f>'Pairings NB'!F1916&amp;"-"&amp;'Pairings NB'!G1916&amp;"-"&amp;'Pairings NB'!F1916</f>
        <v/>
      </c>
      <c r="F429" s="10">
        <f>IFERROR(VLOOKUP('Pairings NB'!$M$1914,Instructores!$A:$C,2,FALSE),"")</f>
        <v/>
      </c>
      <c r="G429" s="10">
        <f>'Pairings NB'!$M$1914</f>
        <v/>
      </c>
      <c r="H429" s="10">
        <f>'Pairings NB'!$O$1914</f>
        <v/>
      </c>
      <c r="I429" s="10">
        <f>'Pairings NB'!J1916</f>
        <v/>
      </c>
      <c r="J429" s="10">
        <f>IFERROR(VLOOKUP('Pairings NB'!$M$1914,Instructores!$A:$C,3,FALSE),"")</f>
        <v/>
      </c>
      <c r="K429" s="10">
        <f>IF('Pairings NB'!J1916=320,4,3)</f>
        <v/>
      </c>
    </row>
    <row r="430">
      <c r="A430" s="10">
        <f>'Pairings NB'!B1921</f>
        <v/>
      </c>
      <c r="B430" s="10">
        <f>'Pairings NB'!C1921</f>
        <v/>
      </c>
      <c r="C430" s="10">
        <f>'Pairings NB'!D1921</f>
        <v/>
      </c>
      <c r="D430" s="10">
        <f>'Pairings NB'!E1921&amp;"/"&amp;'Pairings NB'!E1922</f>
        <v/>
      </c>
      <c r="E430" s="10">
        <f>'Pairings NB'!F1921&amp;"-"&amp;'Pairings NB'!G1921&amp;"-"&amp;'Pairings NB'!F1921</f>
        <v/>
      </c>
      <c r="F430" s="10">
        <f>IFERROR(VLOOKUP('Pairings NB'!$M$1921,Instructores!$A:$C,2,FALSE),"")</f>
        <v/>
      </c>
      <c r="G430" s="10">
        <f>'Pairings NB'!$M$1921</f>
        <v/>
      </c>
      <c r="H430" s="10">
        <f>'Pairings NB'!$O$1921</f>
        <v/>
      </c>
      <c r="I430" s="10">
        <f>'Pairings NB'!J1921</f>
        <v/>
      </c>
      <c r="J430" s="10">
        <f>IFERROR(VLOOKUP('Pairings NB'!$M$1921,Instructores!$A:$C,3,FALSE),"")</f>
        <v/>
      </c>
      <c r="K430" s="10">
        <f>IF('Pairings NB'!J1921=320,4,3)</f>
        <v/>
      </c>
    </row>
    <row r="431">
      <c r="A431" s="10">
        <f>'Pairings NB'!B1923</f>
        <v/>
      </c>
      <c r="B431" s="10">
        <f>'Pairings NB'!C1923</f>
        <v/>
      </c>
      <c r="C431" s="10">
        <f>'Pairings NB'!D1923</f>
        <v/>
      </c>
      <c r="D431" s="10">
        <f>'Pairings NB'!E1923&amp;"/"&amp;'Pairings NB'!E1924</f>
        <v/>
      </c>
      <c r="E431" s="10">
        <f>'Pairings NB'!F1923&amp;"-"&amp;'Pairings NB'!G1923&amp;"-"&amp;'Pairings NB'!F1923</f>
        <v/>
      </c>
      <c r="F431" s="10">
        <f>IFERROR(VLOOKUP('Pairings NB'!$M$1921,Instructores!$A:$C,2,FALSE),"")</f>
        <v/>
      </c>
      <c r="G431" s="10">
        <f>'Pairings NB'!$M$1921</f>
        <v/>
      </c>
      <c r="H431" s="10">
        <f>'Pairings NB'!$O$1921</f>
        <v/>
      </c>
      <c r="I431" s="10">
        <f>'Pairings NB'!J1923</f>
        <v/>
      </c>
      <c r="J431" s="10">
        <f>IFERROR(VLOOKUP('Pairings NB'!$M$1921,Instructores!$A:$C,3,FALSE),"")</f>
        <v/>
      </c>
      <c r="K431" s="10">
        <f>IF('Pairings NB'!J1923=320,4,3)</f>
        <v/>
      </c>
    </row>
    <row r="432">
      <c r="A432" s="10">
        <f>'Pairings NB'!B1928</f>
        <v/>
      </c>
      <c r="B432" s="10">
        <f>'Pairings NB'!C1928</f>
        <v/>
      </c>
      <c r="C432" s="10">
        <f>'Pairings NB'!D1928</f>
        <v/>
      </c>
      <c r="D432" s="10">
        <f>'Pairings NB'!E1928&amp;"/"&amp;'Pairings NB'!E1929</f>
        <v/>
      </c>
      <c r="E432" s="10">
        <f>'Pairings NB'!F1928&amp;"-"&amp;'Pairings NB'!G1928&amp;"-"&amp;'Pairings NB'!F1928</f>
        <v/>
      </c>
      <c r="F432" s="10">
        <f>IFERROR(VLOOKUP('Pairings NB'!$M$1928,Instructores!$A:$C,2,FALSE),"")</f>
        <v/>
      </c>
      <c r="G432" s="10">
        <f>'Pairings NB'!$M$1928</f>
        <v/>
      </c>
      <c r="H432" s="10">
        <f>'Pairings NB'!$O$1928</f>
        <v/>
      </c>
      <c r="I432" s="10">
        <f>'Pairings NB'!J1928</f>
        <v/>
      </c>
      <c r="J432" s="10">
        <f>IFERROR(VLOOKUP('Pairings NB'!$M$1928,Instructores!$A:$C,3,FALSE),"")</f>
        <v/>
      </c>
      <c r="K432" s="10">
        <f>IF('Pairings NB'!J1928=320,4,3)</f>
        <v/>
      </c>
    </row>
    <row r="433">
      <c r="A433" s="10">
        <f>'Pairings NB'!B1933</f>
        <v/>
      </c>
      <c r="B433" s="10">
        <f>'Pairings NB'!C1933</f>
        <v/>
      </c>
      <c r="C433" s="10">
        <f>'Pairings NB'!D1933</f>
        <v/>
      </c>
      <c r="D433" s="10">
        <f>'Pairings NB'!E1933&amp;"/"&amp;'Pairings NB'!E1934</f>
        <v/>
      </c>
      <c r="E433" s="10">
        <f>'Pairings NB'!F1933&amp;"-"&amp;'Pairings NB'!G1933&amp;"-"&amp;'Pairings NB'!F1933</f>
        <v/>
      </c>
      <c r="F433" s="10">
        <f>IFERROR(VLOOKUP('Pairings NB'!$M$1933,Instructores!$A:$C,2,FALSE),"")</f>
        <v/>
      </c>
      <c r="G433" s="10">
        <f>'Pairings NB'!$M$1933</f>
        <v/>
      </c>
      <c r="H433" s="10">
        <f>'Pairings NB'!$O$1933</f>
        <v/>
      </c>
      <c r="I433" s="10">
        <f>'Pairings NB'!J1933</f>
        <v/>
      </c>
      <c r="J433" s="10">
        <f>IFERROR(VLOOKUP('Pairings NB'!$M$1933,Instructores!$A:$C,3,FALSE),"")</f>
        <v/>
      </c>
      <c r="K433" s="10">
        <f>IF('Pairings NB'!J1933=320,4,3)</f>
        <v/>
      </c>
    </row>
    <row r="434">
      <c r="A434" s="10">
        <f>'Pairings NB'!B1938</f>
        <v/>
      </c>
      <c r="B434" s="10">
        <f>'Pairings NB'!C1938</f>
        <v/>
      </c>
      <c r="C434" s="10">
        <f>'Pairings NB'!D1938</f>
        <v/>
      </c>
      <c r="D434" s="10">
        <f>'Pairings NB'!E1938&amp;"/"&amp;'Pairings NB'!E1939</f>
        <v/>
      </c>
      <c r="E434" s="10">
        <f>'Pairings NB'!F1938&amp;"-"&amp;'Pairings NB'!G1938&amp;"-"&amp;'Pairings NB'!F1938</f>
        <v/>
      </c>
      <c r="F434" s="10">
        <f>IFERROR(VLOOKUP('Pairings NB'!$M$1938,Instructores!$A:$C,2,FALSE),"")</f>
        <v/>
      </c>
      <c r="G434" s="10">
        <f>'Pairings NB'!$M$1938</f>
        <v/>
      </c>
      <c r="H434" s="10">
        <f>'Pairings NB'!$O$1938</f>
        <v/>
      </c>
      <c r="I434" s="10">
        <f>'Pairings NB'!J1938</f>
        <v/>
      </c>
      <c r="J434" s="10">
        <f>IFERROR(VLOOKUP('Pairings NB'!$M$1938,Instructores!$A:$C,3,FALSE),"")</f>
        <v/>
      </c>
      <c r="K434" s="10">
        <f>IF('Pairings NB'!J1938=320,4,3)</f>
        <v/>
      </c>
    </row>
    <row r="435">
      <c r="A435" s="10">
        <f>'Pairings NB'!B1943</f>
        <v/>
      </c>
      <c r="B435" s="10">
        <f>'Pairings NB'!C1943</f>
        <v/>
      </c>
      <c r="C435" s="10">
        <f>'Pairings NB'!D1943</f>
        <v/>
      </c>
      <c r="D435" s="10">
        <f>'Pairings NB'!E1943&amp;"/"&amp;'Pairings NB'!E1944</f>
        <v/>
      </c>
      <c r="E435" s="10">
        <f>'Pairings NB'!F1943&amp;"-"&amp;'Pairings NB'!G1943&amp;"-"&amp;'Pairings NB'!F1943</f>
        <v/>
      </c>
      <c r="F435" s="10">
        <f>IFERROR(VLOOKUP('Pairings NB'!$M$1943,Instructores!$A:$C,2,FALSE),"")</f>
        <v/>
      </c>
      <c r="G435" s="10">
        <f>'Pairings NB'!$M$1943</f>
        <v/>
      </c>
      <c r="H435" s="10">
        <f>'Pairings NB'!$O$1943</f>
        <v/>
      </c>
      <c r="I435" s="10">
        <f>'Pairings NB'!J1943</f>
        <v/>
      </c>
      <c r="J435" s="10">
        <f>IFERROR(VLOOKUP('Pairings NB'!$M$1943,Instructores!$A:$C,3,FALSE),"")</f>
        <v/>
      </c>
      <c r="K435" s="10">
        <f>IF('Pairings NB'!J1943=320,4,3)</f>
        <v/>
      </c>
    </row>
    <row r="436">
      <c r="A436" s="10">
        <f>'Pairings NB'!B1948</f>
        <v/>
      </c>
      <c r="B436" s="10">
        <f>'Pairings NB'!C1948</f>
        <v/>
      </c>
      <c r="C436" s="10">
        <f>'Pairings NB'!D1948</f>
        <v/>
      </c>
      <c r="D436" s="10">
        <f>'Pairings NB'!E1948&amp;"/"&amp;'Pairings NB'!E1949</f>
        <v/>
      </c>
      <c r="E436" s="10">
        <f>'Pairings NB'!F1948&amp;"-"&amp;'Pairings NB'!G1948&amp;"-"&amp;'Pairings NB'!F1948</f>
        <v/>
      </c>
      <c r="F436" s="10">
        <f>IFERROR(VLOOKUP('Pairings NB'!$M$1948,Instructores!$A:$C,2,FALSE),"")</f>
        <v/>
      </c>
      <c r="G436" s="10">
        <f>'Pairings NB'!$M$1948</f>
        <v/>
      </c>
      <c r="H436" s="10">
        <f>'Pairings NB'!$O$1948</f>
        <v/>
      </c>
      <c r="I436" s="10">
        <f>'Pairings NB'!J1948</f>
        <v/>
      </c>
      <c r="J436" s="10">
        <f>IFERROR(VLOOKUP('Pairings NB'!$M$1948,Instructores!$A:$C,3,FALSE),"")</f>
        <v/>
      </c>
      <c r="K436" s="10">
        <f>IF('Pairings NB'!J1948=320,4,3)</f>
        <v/>
      </c>
    </row>
    <row r="437">
      <c r="A437" s="10">
        <f>'Pairings NB'!B1950</f>
        <v/>
      </c>
      <c r="B437" s="10">
        <f>'Pairings NB'!C1950</f>
        <v/>
      </c>
      <c r="C437" s="10">
        <f>'Pairings NB'!D1950</f>
        <v/>
      </c>
      <c r="D437" s="10">
        <f>'Pairings NB'!E1950&amp;"/"&amp;'Pairings NB'!E1951</f>
        <v/>
      </c>
      <c r="E437" s="10">
        <f>'Pairings NB'!F1950&amp;"-"&amp;'Pairings NB'!G1950&amp;"-"&amp;'Pairings NB'!F1950</f>
        <v/>
      </c>
      <c r="F437" s="10">
        <f>IFERROR(VLOOKUP('Pairings NB'!$M$1948,Instructores!$A:$C,2,FALSE),"")</f>
        <v/>
      </c>
      <c r="G437" s="10">
        <f>'Pairings NB'!$M$1948</f>
        <v/>
      </c>
      <c r="H437" s="10">
        <f>'Pairings NB'!$O$1948</f>
        <v/>
      </c>
      <c r="I437" s="10">
        <f>'Pairings NB'!J1950</f>
        <v/>
      </c>
      <c r="J437" s="10">
        <f>IFERROR(VLOOKUP('Pairings NB'!$M$1948,Instructores!$A:$C,3,FALSE),"")</f>
        <v/>
      </c>
      <c r="K437" s="10">
        <f>IF('Pairings NB'!J1950=320,4,3)</f>
        <v/>
      </c>
    </row>
    <row r="438">
      <c r="A438" s="10">
        <f>'Pairings NB'!B1955</f>
        <v/>
      </c>
      <c r="B438" s="10">
        <f>'Pairings NB'!C1955</f>
        <v/>
      </c>
      <c r="C438" s="10">
        <f>'Pairings NB'!D1955</f>
        <v/>
      </c>
      <c r="D438" s="10">
        <f>'Pairings NB'!E1955&amp;"/"&amp;'Pairings NB'!E1956</f>
        <v/>
      </c>
      <c r="E438" s="10">
        <f>'Pairings NB'!F1955&amp;"-"&amp;'Pairings NB'!G1955&amp;"-"&amp;'Pairings NB'!F1955</f>
        <v/>
      </c>
      <c r="F438" s="10">
        <f>IFERROR(VLOOKUP('Pairings NB'!$M$1955,Instructores!$A:$C,2,FALSE),"")</f>
        <v/>
      </c>
      <c r="G438" s="10">
        <f>'Pairings NB'!$M$1955</f>
        <v/>
      </c>
      <c r="H438" s="10">
        <f>'Pairings NB'!$O$1955</f>
        <v/>
      </c>
      <c r="I438" s="10">
        <f>'Pairings NB'!J1955</f>
        <v/>
      </c>
      <c r="J438" s="10">
        <f>IFERROR(VLOOKUP('Pairings NB'!$M$1955,Instructores!$A:$C,3,FALSE),"")</f>
        <v/>
      </c>
      <c r="K438" s="10">
        <f>IF('Pairings NB'!J1955=320,4,3)</f>
        <v/>
      </c>
    </row>
    <row r="439">
      <c r="A439" s="10">
        <f>'Pairings NB'!B1960</f>
        <v/>
      </c>
      <c r="B439" s="10">
        <f>'Pairings NB'!C1960</f>
        <v/>
      </c>
      <c r="C439" s="10">
        <f>'Pairings NB'!D1960</f>
        <v/>
      </c>
      <c r="D439" s="10">
        <f>'Pairings NB'!E1960&amp;"/"&amp;'Pairings NB'!E1961</f>
        <v/>
      </c>
      <c r="E439" s="10">
        <f>'Pairings NB'!F1960&amp;"-"&amp;'Pairings NB'!G1960&amp;"-"&amp;'Pairings NB'!F1960</f>
        <v/>
      </c>
      <c r="F439" s="10">
        <f>IFERROR(VLOOKUP('Pairings NB'!$M$1960,Instructores!$A:$C,2,FALSE),"")</f>
        <v/>
      </c>
      <c r="G439" s="10">
        <f>'Pairings NB'!$M$1960</f>
        <v/>
      </c>
      <c r="H439" s="10">
        <f>'Pairings NB'!$O$1960</f>
        <v/>
      </c>
      <c r="I439" s="10">
        <f>'Pairings NB'!J1960</f>
        <v/>
      </c>
      <c r="J439" s="10">
        <f>IFERROR(VLOOKUP('Pairings NB'!$M$1960,Instructores!$A:$C,3,FALSE),"")</f>
        <v/>
      </c>
      <c r="K439" s="10">
        <f>IF('Pairings NB'!J1960=320,4,3)</f>
        <v/>
      </c>
    </row>
    <row r="440">
      <c r="A440" s="10">
        <f>'Pairings NB'!B1965</f>
        <v/>
      </c>
      <c r="B440" s="10">
        <f>'Pairings NB'!C1965</f>
        <v/>
      </c>
      <c r="C440" s="10">
        <f>'Pairings NB'!D1965</f>
        <v/>
      </c>
      <c r="D440" s="10">
        <f>'Pairings NB'!E1965&amp;"/"&amp;'Pairings NB'!E1966</f>
        <v/>
      </c>
      <c r="E440" s="10">
        <f>'Pairings NB'!F1965&amp;"-"&amp;'Pairings NB'!G1965&amp;"-"&amp;'Pairings NB'!F1965</f>
        <v/>
      </c>
      <c r="F440" s="10">
        <f>IFERROR(VLOOKUP('Pairings NB'!$M$1965,Instructores!$A:$C,2,FALSE),"")</f>
        <v/>
      </c>
      <c r="G440" s="10">
        <f>'Pairings NB'!$M$1965</f>
        <v/>
      </c>
      <c r="H440" s="10">
        <f>'Pairings NB'!$O$1965</f>
        <v/>
      </c>
      <c r="I440" s="10">
        <f>'Pairings NB'!J1965</f>
        <v/>
      </c>
      <c r="J440" s="10">
        <f>IFERROR(VLOOKUP('Pairings NB'!$M$1965,Instructores!$A:$C,3,FALSE),"")</f>
        <v/>
      </c>
      <c r="K440" s="10">
        <f>IF('Pairings NB'!J1965=320,4,3)</f>
        <v/>
      </c>
    </row>
    <row r="441">
      <c r="A441" s="10">
        <f>'Pairings NB'!B1970</f>
        <v/>
      </c>
      <c r="B441" s="10">
        <f>'Pairings NB'!C1970</f>
        <v/>
      </c>
      <c r="C441" s="10">
        <f>'Pairings NB'!D1970</f>
        <v/>
      </c>
      <c r="D441" s="10">
        <f>'Pairings NB'!E1970&amp;"/"&amp;'Pairings NB'!E1971</f>
        <v/>
      </c>
      <c r="E441" s="10">
        <f>'Pairings NB'!F1970&amp;"-"&amp;'Pairings NB'!G1970&amp;"-"&amp;'Pairings NB'!F1970</f>
        <v/>
      </c>
      <c r="F441" s="10">
        <f>IFERROR(VLOOKUP('Pairings NB'!$M$1970,Instructores!$A:$C,2,FALSE),"")</f>
        <v/>
      </c>
      <c r="G441" s="10">
        <f>'Pairings NB'!$M$1970</f>
        <v/>
      </c>
      <c r="H441" s="10">
        <f>'Pairings NB'!$O$1970</f>
        <v/>
      </c>
      <c r="I441" s="10">
        <f>'Pairings NB'!J1970</f>
        <v/>
      </c>
      <c r="J441" s="10">
        <f>IFERROR(VLOOKUP('Pairings NB'!$M$1970,Instructores!$A:$C,3,FALSE),"")</f>
        <v/>
      </c>
      <c r="K441" s="10">
        <f>IF('Pairings NB'!J1970=320,4,3)</f>
        <v/>
      </c>
    </row>
    <row r="442">
      <c r="A442" s="10">
        <f>'Pairings NB'!B1975</f>
        <v/>
      </c>
      <c r="B442" s="10">
        <f>'Pairings NB'!C1975</f>
        <v/>
      </c>
      <c r="C442" s="10">
        <f>'Pairings NB'!D1975</f>
        <v/>
      </c>
      <c r="D442" s="10">
        <f>'Pairings NB'!E1975&amp;"/"&amp;'Pairings NB'!E1976</f>
        <v/>
      </c>
      <c r="E442" s="10">
        <f>'Pairings NB'!F1975&amp;"-"&amp;'Pairings NB'!G1975&amp;"-"&amp;'Pairings NB'!F1975</f>
        <v/>
      </c>
      <c r="F442" s="10">
        <f>IFERROR(VLOOKUP('Pairings NB'!$M$1975,Instructores!$A:$C,2,FALSE),"")</f>
        <v/>
      </c>
      <c r="G442" s="10">
        <f>'Pairings NB'!$M$1975</f>
        <v/>
      </c>
      <c r="H442" s="10">
        <f>'Pairings NB'!$O$1975</f>
        <v/>
      </c>
      <c r="I442" s="10">
        <f>'Pairings NB'!J1975</f>
        <v/>
      </c>
      <c r="J442" s="10">
        <f>IFERROR(VLOOKUP('Pairings NB'!$M$1975,Instructores!$A:$C,3,FALSE),"")</f>
        <v/>
      </c>
      <c r="K442" s="10">
        <f>IF('Pairings NB'!J1975=320,4,3)</f>
        <v/>
      </c>
    </row>
    <row r="443">
      <c r="A443" s="10">
        <f>'Pairings NB'!B1980</f>
        <v/>
      </c>
      <c r="B443" s="10">
        <f>'Pairings NB'!C1980</f>
        <v/>
      </c>
      <c r="C443" s="10">
        <f>'Pairings NB'!D1980</f>
        <v/>
      </c>
      <c r="D443" s="10">
        <f>'Pairings NB'!E1980&amp;"/"&amp;'Pairings NB'!E1981</f>
        <v/>
      </c>
      <c r="E443" s="10">
        <f>'Pairings NB'!F1980&amp;"-"&amp;'Pairings NB'!G1980&amp;"-"&amp;'Pairings NB'!F1980</f>
        <v/>
      </c>
      <c r="F443" s="10">
        <f>IFERROR(VLOOKUP('Pairings NB'!$M$1980,Instructores!$A:$C,2,FALSE),"")</f>
        <v/>
      </c>
      <c r="G443" s="10">
        <f>'Pairings NB'!$M$1980</f>
        <v/>
      </c>
      <c r="H443" s="10">
        <f>'Pairings NB'!$O$1980</f>
        <v/>
      </c>
      <c r="I443" s="10">
        <f>'Pairings NB'!J1980</f>
        <v/>
      </c>
      <c r="J443" s="10">
        <f>IFERROR(VLOOKUP('Pairings NB'!$M$1980,Instructores!$A:$C,3,FALSE),"")</f>
        <v/>
      </c>
      <c r="K443" s="10">
        <f>IF('Pairings NB'!J1980=320,4,3)</f>
        <v/>
      </c>
    </row>
    <row r="444">
      <c r="A444" s="10">
        <f>'Pairings NB'!B1985</f>
        <v/>
      </c>
      <c r="B444" s="10">
        <f>'Pairings NB'!C1985</f>
        <v/>
      </c>
      <c r="C444" s="10">
        <f>'Pairings NB'!D1985</f>
        <v/>
      </c>
      <c r="D444" s="10">
        <f>'Pairings NB'!E1985&amp;"/"&amp;'Pairings NB'!E1986</f>
        <v/>
      </c>
      <c r="E444" s="10">
        <f>'Pairings NB'!F1985&amp;"-"&amp;'Pairings NB'!G1985&amp;"-"&amp;'Pairings NB'!F1985</f>
        <v/>
      </c>
      <c r="F444" s="10">
        <f>IFERROR(VLOOKUP('Pairings NB'!$M$1985,Instructores!$A:$C,2,FALSE),"")</f>
        <v/>
      </c>
      <c r="G444" s="10">
        <f>'Pairings NB'!$M$1985</f>
        <v/>
      </c>
      <c r="H444" s="10">
        <f>'Pairings NB'!$O$1985</f>
        <v/>
      </c>
      <c r="I444" s="10">
        <f>'Pairings NB'!J1985</f>
        <v/>
      </c>
      <c r="J444" s="10">
        <f>IFERROR(VLOOKUP('Pairings NB'!$M$1985,Instructores!$A:$C,3,FALSE),"")</f>
        <v/>
      </c>
      <c r="K444" s="10">
        <f>IF('Pairings NB'!J1985=320,4,3)</f>
        <v/>
      </c>
    </row>
    <row r="445">
      <c r="A445" s="10">
        <f>'Pairings NB'!B1990</f>
        <v/>
      </c>
      <c r="B445" s="10">
        <f>'Pairings NB'!C1990</f>
        <v/>
      </c>
      <c r="C445" s="10">
        <f>'Pairings NB'!D1990</f>
        <v/>
      </c>
      <c r="D445" s="10">
        <f>'Pairings NB'!E1990&amp;"/"&amp;'Pairings NB'!E1991</f>
        <v/>
      </c>
      <c r="E445" s="10">
        <f>'Pairings NB'!F1990&amp;"-"&amp;'Pairings NB'!G1990&amp;"-"&amp;'Pairings NB'!F1990</f>
        <v/>
      </c>
      <c r="F445" s="10">
        <f>IFERROR(VLOOKUP('Pairings NB'!$M$1990,Instructores!$A:$C,2,FALSE),"")</f>
        <v/>
      </c>
      <c r="G445" s="10">
        <f>'Pairings NB'!$M$1990</f>
        <v/>
      </c>
      <c r="H445" s="10">
        <f>'Pairings NB'!$O$1990</f>
        <v/>
      </c>
      <c r="I445" s="10">
        <f>'Pairings NB'!J1990</f>
        <v/>
      </c>
      <c r="J445" s="10">
        <f>IFERROR(VLOOKUP('Pairings NB'!$M$1990,Instructores!$A:$C,3,FALSE),"")</f>
        <v/>
      </c>
      <c r="K445" s="10">
        <f>IF('Pairings NB'!J1990=320,4,3)</f>
        <v/>
      </c>
    </row>
    <row r="446">
      <c r="A446" s="10">
        <f>'Pairings NB'!B1992</f>
        <v/>
      </c>
      <c r="B446" s="10">
        <f>'Pairings NB'!C1992</f>
        <v/>
      </c>
      <c r="C446" s="10">
        <f>'Pairings NB'!D1992</f>
        <v/>
      </c>
      <c r="D446" s="10">
        <f>'Pairings NB'!E1992&amp;"/"&amp;'Pairings NB'!E1993</f>
        <v/>
      </c>
      <c r="E446" s="10">
        <f>'Pairings NB'!F1992&amp;"-"&amp;'Pairings NB'!G1992&amp;"-"&amp;'Pairings NB'!F1992</f>
        <v/>
      </c>
      <c r="F446" s="10">
        <f>IFERROR(VLOOKUP('Pairings NB'!$M$1990,Instructores!$A:$C,2,FALSE),"")</f>
        <v/>
      </c>
      <c r="G446" s="10">
        <f>'Pairings NB'!$M$1990</f>
        <v/>
      </c>
      <c r="H446" s="10">
        <f>'Pairings NB'!$O$1990</f>
        <v/>
      </c>
      <c r="I446" s="10">
        <f>'Pairings NB'!J1992</f>
        <v/>
      </c>
      <c r="J446" s="10">
        <f>IFERROR(VLOOKUP('Pairings NB'!$M$1990,Instructores!$A:$C,3,FALSE),"")</f>
        <v/>
      </c>
      <c r="K446" s="10">
        <f>IF('Pairings NB'!J1992=320,4,3)</f>
        <v/>
      </c>
    </row>
    <row r="447">
      <c r="A447" s="10">
        <f>'Pairings NB'!B1997</f>
        <v/>
      </c>
      <c r="B447" s="10">
        <f>'Pairings NB'!C1997</f>
        <v/>
      </c>
      <c r="C447" s="10">
        <f>'Pairings NB'!D1997</f>
        <v/>
      </c>
      <c r="D447" s="10">
        <f>'Pairings NB'!E1997&amp;"/"&amp;'Pairings NB'!E1998</f>
        <v/>
      </c>
      <c r="E447" s="10">
        <f>'Pairings NB'!F1997&amp;"-"&amp;'Pairings NB'!G1997&amp;"-"&amp;'Pairings NB'!F1997</f>
        <v/>
      </c>
      <c r="F447" s="10">
        <f>IFERROR(VLOOKUP('Pairings NB'!$M$1997,Instructores!$A:$C,2,FALSE),"")</f>
        <v/>
      </c>
      <c r="G447" s="10">
        <f>'Pairings NB'!$M$1997</f>
        <v/>
      </c>
      <c r="H447" s="10">
        <f>'Pairings NB'!$O$1997</f>
        <v/>
      </c>
      <c r="I447" s="10">
        <f>'Pairings NB'!J1997</f>
        <v/>
      </c>
      <c r="J447" s="10">
        <f>IFERROR(VLOOKUP('Pairings NB'!$M$1997,Instructores!$A:$C,3,FALSE),"")</f>
        <v/>
      </c>
      <c r="K447" s="10">
        <f>IF('Pairings NB'!J1997=320,4,3)</f>
        <v/>
      </c>
    </row>
    <row r="448">
      <c r="A448" s="10">
        <f>'Pairings NB'!B2002</f>
        <v/>
      </c>
      <c r="B448" s="10">
        <f>'Pairings NB'!C2002</f>
        <v/>
      </c>
      <c r="C448" s="10">
        <f>'Pairings NB'!D2002</f>
        <v/>
      </c>
      <c r="D448" s="10">
        <f>'Pairings NB'!E2002&amp;"/"&amp;'Pairings NB'!E2003</f>
        <v/>
      </c>
      <c r="E448" s="10">
        <f>'Pairings NB'!F2002&amp;"-"&amp;'Pairings NB'!G2002&amp;"-"&amp;'Pairings NB'!F2002</f>
        <v/>
      </c>
      <c r="F448" s="10">
        <f>IFERROR(VLOOKUP('Pairings NB'!$M$2002,Instructores!$A:$C,2,FALSE),"")</f>
        <v/>
      </c>
      <c r="G448" s="10">
        <f>'Pairings NB'!$M$2002</f>
        <v/>
      </c>
      <c r="H448" s="10">
        <f>'Pairings NB'!$O$2002</f>
        <v/>
      </c>
      <c r="I448" s="10">
        <f>'Pairings NB'!J2002</f>
        <v/>
      </c>
      <c r="J448" s="10">
        <f>IFERROR(VLOOKUP('Pairings NB'!$M$2002,Instructores!$A:$C,3,FALSE),"")</f>
        <v/>
      </c>
      <c r="K448" s="10">
        <f>IF('Pairings NB'!J2002=320,4,3)</f>
        <v/>
      </c>
    </row>
    <row r="449">
      <c r="A449" s="10">
        <f>'Pairings NB'!B2007</f>
        <v/>
      </c>
      <c r="B449" s="10">
        <f>'Pairings NB'!C2007</f>
        <v/>
      </c>
      <c r="C449" s="10">
        <f>'Pairings NB'!D2007</f>
        <v/>
      </c>
      <c r="D449" s="10">
        <f>'Pairings NB'!E2007&amp;"/"&amp;'Pairings NB'!E2008</f>
        <v/>
      </c>
      <c r="E449" s="10">
        <f>'Pairings NB'!F2007&amp;"-"&amp;'Pairings NB'!G2007&amp;"-"&amp;'Pairings NB'!F2007</f>
        <v/>
      </c>
      <c r="F449" s="10">
        <f>IFERROR(VLOOKUP('Pairings NB'!$M$2007,Instructores!$A:$C,2,FALSE),"")</f>
        <v/>
      </c>
      <c r="G449" s="10">
        <f>'Pairings NB'!$M$2007</f>
        <v/>
      </c>
      <c r="H449" s="10">
        <f>'Pairings NB'!$O$2007</f>
        <v/>
      </c>
      <c r="I449" s="10">
        <f>'Pairings NB'!J2007</f>
        <v/>
      </c>
      <c r="J449" s="10">
        <f>IFERROR(VLOOKUP('Pairings NB'!$M$2007,Instructores!$A:$C,3,FALSE),"")</f>
        <v/>
      </c>
      <c r="K449" s="10">
        <f>IF('Pairings NB'!J2007=320,4,3)</f>
        <v/>
      </c>
    </row>
    <row r="450">
      <c r="A450" s="10">
        <f>'Pairings NB'!B2009</f>
        <v/>
      </c>
      <c r="B450" s="10">
        <f>'Pairings NB'!C2009</f>
        <v/>
      </c>
      <c r="C450" s="10">
        <f>'Pairings NB'!D2009</f>
        <v/>
      </c>
      <c r="D450" s="10">
        <f>'Pairings NB'!E2009&amp;"/"&amp;'Pairings NB'!E2010</f>
        <v/>
      </c>
      <c r="E450" s="10">
        <f>'Pairings NB'!F2009&amp;"-"&amp;'Pairings NB'!G2009&amp;"-"&amp;'Pairings NB'!F2009</f>
        <v/>
      </c>
      <c r="F450" s="10">
        <f>IFERROR(VLOOKUP('Pairings NB'!$M$2007,Instructores!$A:$C,2,FALSE),"")</f>
        <v/>
      </c>
      <c r="G450" s="10">
        <f>'Pairings NB'!$M$2007</f>
        <v/>
      </c>
      <c r="H450" s="10">
        <f>'Pairings NB'!$O$2007</f>
        <v/>
      </c>
      <c r="I450" s="10">
        <f>'Pairings NB'!J2009</f>
        <v/>
      </c>
      <c r="J450" s="10">
        <f>IFERROR(VLOOKUP('Pairings NB'!$M$2007,Instructores!$A:$C,3,FALSE),"")</f>
        <v/>
      </c>
      <c r="K450" s="10">
        <f>IF('Pairings NB'!J2009=320,4,3)</f>
        <v/>
      </c>
    </row>
    <row r="451">
      <c r="A451" s="10">
        <f>'Pairings NB'!B2014</f>
        <v/>
      </c>
      <c r="B451" s="10">
        <f>'Pairings NB'!C2014</f>
        <v/>
      </c>
      <c r="C451" s="10">
        <f>'Pairings NB'!D2014</f>
        <v/>
      </c>
      <c r="D451" s="10">
        <f>'Pairings NB'!E2014&amp;"/"&amp;'Pairings NB'!E2015</f>
        <v/>
      </c>
      <c r="E451" s="10">
        <f>'Pairings NB'!F2014&amp;"-"&amp;'Pairings NB'!G2014&amp;"-"&amp;'Pairings NB'!F2014</f>
        <v/>
      </c>
      <c r="F451" s="10">
        <f>IFERROR(VLOOKUP('Pairings NB'!$M$2014,Instructores!$A:$C,2,FALSE),"")</f>
        <v/>
      </c>
      <c r="G451" s="10">
        <f>'Pairings NB'!$M$2014</f>
        <v/>
      </c>
      <c r="H451" s="10">
        <f>'Pairings NB'!$O$2014</f>
        <v/>
      </c>
      <c r="I451" s="10">
        <f>'Pairings NB'!J2014</f>
        <v/>
      </c>
      <c r="J451" s="10">
        <f>IFERROR(VLOOKUP('Pairings NB'!$M$2014,Instructores!$A:$C,3,FALSE),"")</f>
        <v/>
      </c>
      <c r="K451" s="10">
        <f>IF('Pairings NB'!J2014=320,4,3)</f>
        <v/>
      </c>
    </row>
    <row r="452">
      <c r="A452" s="10">
        <f>'Pairings NB'!B2019</f>
        <v/>
      </c>
      <c r="B452" s="10">
        <f>'Pairings NB'!C2019</f>
        <v/>
      </c>
      <c r="C452" s="10">
        <f>'Pairings NB'!D2019</f>
        <v/>
      </c>
      <c r="D452" s="10">
        <f>'Pairings NB'!E2019&amp;"/"&amp;'Pairings NB'!E2020</f>
        <v/>
      </c>
      <c r="E452" s="10">
        <f>'Pairings NB'!F2019&amp;"-"&amp;'Pairings NB'!G2019&amp;"-"&amp;'Pairings NB'!F2019</f>
        <v/>
      </c>
      <c r="F452" s="10">
        <f>IFERROR(VLOOKUP('Pairings NB'!$M$2019,Instructores!$A:$C,2,FALSE),"")</f>
        <v/>
      </c>
      <c r="G452" s="10">
        <f>'Pairings NB'!$M$2019</f>
        <v/>
      </c>
      <c r="H452" s="10">
        <f>'Pairings NB'!$O$2019</f>
        <v/>
      </c>
      <c r="I452" s="10">
        <f>'Pairings NB'!J2019</f>
        <v/>
      </c>
      <c r="J452" s="10">
        <f>IFERROR(VLOOKUP('Pairings NB'!$M$2019,Instructores!$A:$C,3,FALSE),"")</f>
        <v/>
      </c>
      <c r="K452" s="10">
        <f>IF('Pairings NB'!J2019=320,4,3)</f>
        <v/>
      </c>
    </row>
    <row r="453">
      <c r="A453" s="10">
        <f>'Pairings NB'!B2024</f>
        <v/>
      </c>
      <c r="B453" s="10">
        <f>'Pairings NB'!C2024</f>
        <v/>
      </c>
      <c r="C453" s="10">
        <f>'Pairings NB'!D2024</f>
        <v/>
      </c>
      <c r="D453" s="10">
        <f>'Pairings NB'!E2024&amp;"/"&amp;'Pairings NB'!E2025</f>
        <v/>
      </c>
      <c r="E453" s="10">
        <f>'Pairings NB'!F2024&amp;"-"&amp;'Pairings NB'!G2024&amp;"-"&amp;'Pairings NB'!F2024</f>
        <v/>
      </c>
      <c r="F453" s="10">
        <f>IFERROR(VLOOKUP('Pairings NB'!$M$2024,Instructores!$A:$C,2,FALSE),"")</f>
        <v/>
      </c>
      <c r="G453" s="10">
        <f>'Pairings NB'!$M$2024</f>
        <v/>
      </c>
      <c r="H453" s="10">
        <f>'Pairings NB'!$O$2024</f>
        <v/>
      </c>
      <c r="I453" s="10">
        <f>'Pairings NB'!J2024</f>
        <v/>
      </c>
      <c r="J453" s="10">
        <f>IFERROR(VLOOKUP('Pairings NB'!$M$2024,Instructores!$A:$C,3,FALSE),"")</f>
        <v/>
      </c>
      <c r="K453" s="10">
        <f>IF('Pairings NB'!J2024=320,4,3)</f>
        <v/>
      </c>
    </row>
    <row r="454">
      <c r="A454" s="10">
        <f>'Pairings NB'!B2029</f>
        <v/>
      </c>
      <c r="B454" s="10">
        <f>'Pairings NB'!C2029</f>
        <v/>
      </c>
      <c r="C454" s="10">
        <f>'Pairings NB'!D2029</f>
        <v/>
      </c>
      <c r="D454" s="10">
        <f>'Pairings NB'!E2029&amp;"/"&amp;'Pairings NB'!E2030</f>
        <v/>
      </c>
      <c r="E454" s="10">
        <f>'Pairings NB'!F2029&amp;"-"&amp;'Pairings NB'!G2029&amp;"-"&amp;'Pairings NB'!F2029</f>
        <v/>
      </c>
      <c r="F454" s="10">
        <f>IFERROR(VLOOKUP('Pairings NB'!$M$2029,Instructores!$A:$C,2,FALSE),"")</f>
        <v/>
      </c>
      <c r="G454" s="10">
        <f>'Pairings NB'!$M$2029</f>
        <v/>
      </c>
      <c r="H454" s="10">
        <f>'Pairings NB'!$O$2029</f>
        <v/>
      </c>
      <c r="I454" s="10">
        <f>'Pairings NB'!J2029</f>
        <v/>
      </c>
      <c r="J454" s="10">
        <f>IFERROR(VLOOKUP('Pairings NB'!$M$2029,Instructores!$A:$C,3,FALSE),"")</f>
        <v/>
      </c>
      <c r="K454" s="10">
        <f>IF('Pairings NB'!J2029=320,4,3)</f>
        <v/>
      </c>
    </row>
    <row r="455">
      <c r="A455" s="10">
        <f>'Pairings NB'!B2034</f>
        <v/>
      </c>
      <c r="B455" s="10">
        <f>'Pairings NB'!C2034</f>
        <v/>
      </c>
      <c r="C455" s="10">
        <f>'Pairings NB'!D2034</f>
        <v/>
      </c>
      <c r="D455" s="10">
        <f>'Pairings NB'!E2034&amp;"/"&amp;'Pairings NB'!E2035</f>
        <v/>
      </c>
      <c r="E455" s="10">
        <f>'Pairings NB'!F2034&amp;"-"&amp;'Pairings NB'!G2034&amp;"-"&amp;'Pairings NB'!F2034</f>
        <v/>
      </c>
      <c r="F455" s="10">
        <f>IFERROR(VLOOKUP('Pairings NB'!$M$2034,Instructores!$A:$C,2,FALSE),"")</f>
        <v/>
      </c>
      <c r="G455" s="10">
        <f>'Pairings NB'!$M$2034</f>
        <v/>
      </c>
      <c r="H455" s="10">
        <f>'Pairings NB'!$O$2034</f>
        <v/>
      </c>
      <c r="I455" s="10">
        <f>'Pairings NB'!J2034</f>
        <v/>
      </c>
      <c r="J455" s="10">
        <f>IFERROR(VLOOKUP('Pairings NB'!$M$2034,Instructores!$A:$C,3,FALSE),"")</f>
        <v/>
      </c>
      <c r="K455" s="10">
        <f>IF('Pairings NB'!J2034=320,4,3)</f>
        <v/>
      </c>
    </row>
    <row r="456">
      <c r="A456" s="10">
        <f>'Pairings NB'!B2039</f>
        <v/>
      </c>
      <c r="B456" s="10">
        <f>'Pairings NB'!C2039</f>
        <v/>
      </c>
      <c r="C456" s="10">
        <f>'Pairings NB'!D2039</f>
        <v/>
      </c>
      <c r="D456" s="10">
        <f>'Pairings NB'!E2039&amp;"/"&amp;'Pairings NB'!E2040</f>
        <v/>
      </c>
      <c r="E456" s="10">
        <f>'Pairings NB'!F2039&amp;"-"&amp;'Pairings NB'!G2039&amp;"-"&amp;'Pairings NB'!F2039</f>
        <v/>
      </c>
      <c r="F456" s="10">
        <f>IFERROR(VLOOKUP('Pairings NB'!$M$2039,Instructores!$A:$C,2,FALSE),"")</f>
        <v/>
      </c>
      <c r="G456" s="10">
        <f>'Pairings NB'!$M$2039</f>
        <v/>
      </c>
      <c r="H456" s="10">
        <f>'Pairings NB'!$O$2039</f>
        <v/>
      </c>
      <c r="I456" s="10">
        <f>'Pairings NB'!J2039</f>
        <v/>
      </c>
      <c r="J456" s="10">
        <f>IFERROR(VLOOKUP('Pairings NB'!$M$2039,Instructores!$A:$C,3,FALSE),"")</f>
        <v/>
      </c>
      <c r="K456" s="10">
        <f>IF('Pairings NB'!J2039=320,4,3)</f>
        <v/>
      </c>
    </row>
    <row r="457">
      <c r="A457" s="10">
        <f>'Pairings NB'!B2041</f>
        <v/>
      </c>
      <c r="B457" s="10">
        <f>'Pairings NB'!C2041</f>
        <v/>
      </c>
      <c r="C457" s="10">
        <f>'Pairings NB'!D2041</f>
        <v/>
      </c>
      <c r="D457" s="10">
        <f>'Pairings NB'!E2041&amp;"/"&amp;'Pairings NB'!E2042</f>
        <v/>
      </c>
      <c r="E457" s="10">
        <f>'Pairings NB'!F2041&amp;"-"&amp;'Pairings NB'!G2041&amp;"-"&amp;'Pairings NB'!F2041</f>
        <v/>
      </c>
      <c r="F457" s="10">
        <f>IFERROR(VLOOKUP('Pairings NB'!$M$2039,Instructores!$A:$C,2,FALSE),"")</f>
        <v/>
      </c>
      <c r="G457" s="10">
        <f>'Pairings NB'!$M$2039</f>
        <v/>
      </c>
      <c r="H457" s="10">
        <f>'Pairings NB'!$O$2039</f>
        <v/>
      </c>
      <c r="I457" s="10">
        <f>'Pairings NB'!J2041</f>
        <v/>
      </c>
      <c r="J457" s="10">
        <f>IFERROR(VLOOKUP('Pairings NB'!$M$2039,Instructores!$A:$C,3,FALSE),"")</f>
        <v/>
      </c>
      <c r="K457" s="10">
        <f>IF('Pairings NB'!J2041=320,4,3)</f>
        <v/>
      </c>
    </row>
    <row r="458">
      <c r="A458" s="10">
        <f>'Pairings NB'!B2046</f>
        <v/>
      </c>
      <c r="B458" s="10">
        <f>'Pairings NB'!C2046</f>
        <v/>
      </c>
      <c r="C458" s="10">
        <f>'Pairings NB'!D2046</f>
        <v/>
      </c>
      <c r="D458" s="10">
        <f>'Pairings NB'!E2046&amp;"/"&amp;'Pairings NB'!E2047</f>
        <v/>
      </c>
      <c r="E458" s="10">
        <f>'Pairings NB'!F2046&amp;"-"&amp;'Pairings NB'!G2046&amp;"-"&amp;'Pairings NB'!F2046</f>
        <v/>
      </c>
      <c r="F458" s="10">
        <f>IFERROR(VLOOKUP('Pairings NB'!$M$2046,Instructores!$A:$C,2,FALSE),"")</f>
        <v/>
      </c>
      <c r="G458" s="10">
        <f>'Pairings NB'!$M$2046</f>
        <v/>
      </c>
      <c r="H458" s="10">
        <f>'Pairings NB'!$O$2046</f>
        <v/>
      </c>
      <c r="I458" s="10">
        <f>'Pairings NB'!J2046</f>
        <v/>
      </c>
      <c r="J458" s="10">
        <f>IFERROR(VLOOKUP('Pairings NB'!$M$2046,Instructores!$A:$C,3,FALSE),"")</f>
        <v/>
      </c>
      <c r="K458" s="10">
        <f>IF('Pairings NB'!J2046=320,4,3)</f>
        <v/>
      </c>
    </row>
    <row r="459">
      <c r="A459" s="10">
        <f>'Pairings NB'!B2048</f>
        <v/>
      </c>
      <c r="B459" s="10">
        <f>'Pairings NB'!C2048</f>
        <v/>
      </c>
      <c r="C459" s="10">
        <f>'Pairings NB'!D2048</f>
        <v/>
      </c>
      <c r="D459" s="10">
        <f>'Pairings NB'!E2048&amp;"/"&amp;'Pairings NB'!E2049</f>
        <v/>
      </c>
      <c r="E459" s="10">
        <f>'Pairings NB'!F2048&amp;"-"&amp;'Pairings NB'!G2048&amp;"-"&amp;'Pairings NB'!F2048</f>
        <v/>
      </c>
      <c r="F459" s="10">
        <f>IFERROR(VLOOKUP('Pairings NB'!$M$2046,Instructores!$A:$C,2,FALSE),"")</f>
        <v/>
      </c>
      <c r="G459" s="10">
        <f>'Pairings NB'!$M$2046</f>
        <v/>
      </c>
      <c r="H459" s="10">
        <f>'Pairings NB'!$O$2046</f>
        <v/>
      </c>
      <c r="I459" s="10">
        <f>'Pairings NB'!J2048</f>
        <v/>
      </c>
      <c r="J459" s="10">
        <f>IFERROR(VLOOKUP('Pairings NB'!$M$2046,Instructores!$A:$C,3,FALSE),"")</f>
        <v/>
      </c>
      <c r="K459" s="10">
        <f>IF('Pairings NB'!J2048=320,4,3)</f>
        <v/>
      </c>
    </row>
    <row r="460">
      <c r="A460" s="10">
        <f>'Pairings NB'!B2053</f>
        <v/>
      </c>
      <c r="B460" s="10">
        <f>'Pairings NB'!C2053</f>
        <v/>
      </c>
      <c r="C460" s="10">
        <f>'Pairings NB'!D2053</f>
        <v/>
      </c>
      <c r="D460" s="10">
        <f>'Pairings NB'!E2053&amp;"/"&amp;'Pairings NB'!E2054</f>
        <v/>
      </c>
      <c r="E460" s="10">
        <f>'Pairings NB'!F2053&amp;"-"&amp;'Pairings NB'!G2053&amp;"-"&amp;'Pairings NB'!F2053</f>
        <v/>
      </c>
      <c r="F460" s="10">
        <f>IFERROR(VLOOKUP('Pairings NB'!$M$2053,Instructores!$A:$C,2,FALSE),"")</f>
        <v/>
      </c>
      <c r="G460" s="10">
        <f>'Pairings NB'!$M$2053</f>
        <v/>
      </c>
      <c r="H460" s="10">
        <f>'Pairings NB'!$O$2053</f>
        <v/>
      </c>
      <c r="I460" s="10">
        <f>'Pairings NB'!J2053</f>
        <v/>
      </c>
      <c r="J460" s="10">
        <f>IFERROR(VLOOKUP('Pairings NB'!$M$2053,Instructores!$A:$C,3,FALSE),"")</f>
        <v/>
      </c>
      <c r="K460" s="10">
        <f>IF('Pairings NB'!J2053=320,4,3)</f>
        <v/>
      </c>
    </row>
    <row r="461">
      <c r="A461" s="10">
        <f>'Pairings NB'!B2055</f>
        <v/>
      </c>
      <c r="B461" s="10">
        <f>'Pairings NB'!C2055</f>
        <v/>
      </c>
      <c r="C461" s="10">
        <f>'Pairings NB'!D2055</f>
        <v/>
      </c>
      <c r="D461" s="10">
        <f>'Pairings NB'!E2055&amp;"/"&amp;'Pairings NB'!E2056</f>
        <v/>
      </c>
      <c r="E461" s="10">
        <f>'Pairings NB'!F2055&amp;"-"&amp;'Pairings NB'!G2055&amp;"-"&amp;'Pairings NB'!F2055</f>
        <v/>
      </c>
      <c r="F461" s="10">
        <f>IFERROR(VLOOKUP('Pairings NB'!$M$2053,Instructores!$A:$C,2,FALSE),"")</f>
        <v/>
      </c>
      <c r="G461" s="10">
        <f>'Pairings NB'!$M$2053</f>
        <v/>
      </c>
      <c r="H461" s="10">
        <f>'Pairings NB'!$O$2053</f>
        <v/>
      </c>
      <c r="I461" s="10">
        <f>'Pairings NB'!J2055</f>
        <v/>
      </c>
      <c r="J461" s="10">
        <f>IFERROR(VLOOKUP('Pairings NB'!$M$2053,Instructores!$A:$C,3,FALSE),"")</f>
        <v/>
      </c>
      <c r="K461" s="10">
        <f>IF('Pairings NB'!J2055=320,4,3)</f>
        <v/>
      </c>
    </row>
    <row r="462">
      <c r="A462" s="10">
        <f>'Pairings NB'!B2060</f>
        <v/>
      </c>
      <c r="B462" s="10">
        <f>'Pairings NB'!C2060</f>
        <v/>
      </c>
      <c r="C462" s="10">
        <f>'Pairings NB'!D2060</f>
        <v/>
      </c>
      <c r="D462" s="10">
        <f>'Pairings NB'!E2060&amp;"/"&amp;'Pairings NB'!E2061</f>
        <v/>
      </c>
      <c r="E462" s="10">
        <f>'Pairings NB'!F2060&amp;"-"&amp;'Pairings NB'!G2060&amp;"-"&amp;'Pairings NB'!F2060</f>
        <v/>
      </c>
      <c r="F462" s="10">
        <f>IFERROR(VLOOKUP('Pairings NB'!$M$2060,Instructores!$A:$C,2,FALSE),"")</f>
        <v/>
      </c>
      <c r="G462" s="10">
        <f>'Pairings NB'!$M$2060</f>
        <v/>
      </c>
      <c r="H462" s="10">
        <f>'Pairings NB'!$O$2060</f>
        <v/>
      </c>
      <c r="I462" s="10">
        <f>'Pairings NB'!J2060</f>
        <v/>
      </c>
      <c r="J462" s="10">
        <f>IFERROR(VLOOKUP('Pairings NB'!$M$2060,Instructores!$A:$C,3,FALSE),"")</f>
        <v/>
      </c>
      <c r="K462" s="10">
        <f>IF('Pairings NB'!J2060=320,4,3)</f>
        <v/>
      </c>
    </row>
    <row r="463">
      <c r="A463" s="10">
        <f>'Pairings NB'!B2065</f>
        <v/>
      </c>
      <c r="B463" s="10">
        <f>'Pairings NB'!C2065</f>
        <v/>
      </c>
      <c r="C463" s="10">
        <f>'Pairings NB'!D2065</f>
        <v/>
      </c>
      <c r="D463" s="10">
        <f>'Pairings NB'!E2065&amp;"/"&amp;'Pairings NB'!E2066</f>
        <v/>
      </c>
      <c r="E463" s="10">
        <f>'Pairings NB'!F2065&amp;"-"&amp;'Pairings NB'!G2065&amp;"-"&amp;'Pairings NB'!F2065</f>
        <v/>
      </c>
      <c r="F463" s="10">
        <f>IFERROR(VLOOKUP('Pairings NB'!$M$2065,Instructores!$A:$C,2,FALSE),"")</f>
        <v/>
      </c>
      <c r="G463" s="10">
        <f>'Pairings NB'!$M$2065</f>
        <v/>
      </c>
      <c r="H463" s="10">
        <f>'Pairings NB'!$O$2065</f>
        <v/>
      </c>
      <c r="I463" s="10">
        <f>'Pairings NB'!J2065</f>
        <v/>
      </c>
      <c r="J463" s="10">
        <f>IFERROR(VLOOKUP('Pairings NB'!$M$2065,Instructores!$A:$C,3,FALSE),"")</f>
        <v/>
      </c>
      <c r="K463" s="10">
        <f>IF('Pairings NB'!J2065=320,4,3)</f>
        <v/>
      </c>
    </row>
    <row r="464">
      <c r="A464" s="10">
        <f>'Pairings NB'!B2070</f>
        <v/>
      </c>
      <c r="B464" s="10">
        <f>'Pairings NB'!C2070</f>
        <v/>
      </c>
      <c r="C464" s="10">
        <f>'Pairings NB'!D2070</f>
        <v/>
      </c>
      <c r="D464" s="10">
        <f>'Pairings NB'!E2070&amp;"/"&amp;'Pairings NB'!E2071</f>
        <v/>
      </c>
      <c r="E464" s="10">
        <f>'Pairings NB'!F2070&amp;"-"&amp;'Pairings NB'!G2070&amp;"-"&amp;'Pairings NB'!F2070</f>
        <v/>
      </c>
      <c r="F464" s="10">
        <f>IFERROR(VLOOKUP('Pairings NB'!$M$2070,Instructores!$A:$C,2,FALSE),"")</f>
        <v/>
      </c>
      <c r="G464" s="10">
        <f>'Pairings NB'!$M$2070</f>
        <v/>
      </c>
      <c r="H464" s="10">
        <f>'Pairings NB'!$O$2070</f>
        <v/>
      </c>
      <c r="I464" s="10">
        <f>'Pairings NB'!J2070</f>
        <v/>
      </c>
      <c r="J464" s="10">
        <f>IFERROR(VLOOKUP('Pairings NB'!$M$2070,Instructores!$A:$C,3,FALSE),"")</f>
        <v/>
      </c>
      <c r="K464" s="10">
        <f>IF('Pairings NB'!J2070=320,4,3)</f>
        <v/>
      </c>
    </row>
    <row r="465">
      <c r="A465" s="10">
        <f>'Pairings NB'!B2072</f>
        <v/>
      </c>
      <c r="B465" s="10">
        <f>'Pairings NB'!C2072</f>
        <v/>
      </c>
      <c r="C465" s="10">
        <f>'Pairings NB'!D2072</f>
        <v/>
      </c>
      <c r="D465" s="10">
        <f>'Pairings NB'!E2072&amp;"/"&amp;'Pairings NB'!E2073</f>
        <v/>
      </c>
      <c r="E465" s="10">
        <f>'Pairings NB'!F2072&amp;"-"&amp;'Pairings NB'!G2072&amp;"-"&amp;'Pairings NB'!F2072</f>
        <v/>
      </c>
      <c r="F465" s="10">
        <f>IFERROR(VLOOKUP('Pairings NB'!$M$2070,Instructores!$A:$C,2,FALSE),"")</f>
        <v/>
      </c>
      <c r="G465" s="10">
        <f>'Pairings NB'!$M$2070</f>
        <v/>
      </c>
      <c r="H465" s="10">
        <f>'Pairings NB'!$O$2070</f>
        <v/>
      </c>
      <c r="I465" s="10">
        <f>'Pairings NB'!J2072</f>
        <v/>
      </c>
      <c r="J465" s="10">
        <f>IFERROR(VLOOKUP('Pairings NB'!$M$2070,Instructores!$A:$C,3,FALSE),"")</f>
        <v/>
      </c>
      <c r="K465" s="10">
        <f>IF('Pairings NB'!J2072=320,4,3)</f>
        <v/>
      </c>
    </row>
    <row r="466">
      <c r="A466" s="10">
        <f>'Pairings NB'!B2077</f>
        <v/>
      </c>
      <c r="B466" s="10">
        <f>'Pairings NB'!C2077</f>
        <v/>
      </c>
      <c r="C466" s="10">
        <f>'Pairings NB'!D2077</f>
        <v/>
      </c>
      <c r="D466" s="10">
        <f>'Pairings NB'!E2077&amp;"/"&amp;'Pairings NB'!E2078</f>
        <v/>
      </c>
      <c r="E466" s="10">
        <f>'Pairings NB'!F2077&amp;"-"&amp;'Pairings NB'!G2077&amp;"-"&amp;'Pairings NB'!F2077</f>
        <v/>
      </c>
      <c r="F466" s="10">
        <f>IFERROR(VLOOKUP('Pairings NB'!$M$2077,Instructores!$A:$C,2,FALSE),"")</f>
        <v/>
      </c>
      <c r="G466" s="10">
        <f>'Pairings NB'!$M$2077</f>
        <v/>
      </c>
      <c r="H466" s="10">
        <f>'Pairings NB'!$O$2077</f>
        <v/>
      </c>
      <c r="I466" s="10">
        <f>'Pairings NB'!J2077</f>
        <v/>
      </c>
      <c r="J466" s="10">
        <f>IFERROR(VLOOKUP('Pairings NB'!$M$2077,Instructores!$A:$C,3,FALSE),"")</f>
        <v/>
      </c>
      <c r="K466" s="10">
        <f>IF('Pairings NB'!J2077=320,4,3)</f>
        <v/>
      </c>
    </row>
    <row r="467">
      <c r="A467" s="10">
        <f>'Pairings NB'!B2082</f>
        <v/>
      </c>
      <c r="B467" s="10">
        <f>'Pairings NB'!C2082</f>
        <v/>
      </c>
      <c r="C467" s="10">
        <f>'Pairings NB'!D2082</f>
        <v/>
      </c>
      <c r="D467" s="10">
        <f>'Pairings NB'!E2082&amp;"/"&amp;'Pairings NB'!E2083</f>
        <v/>
      </c>
      <c r="E467" s="10">
        <f>'Pairings NB'!F2082&amp;"-"&amp;'Pairings NB'!G2082&amp;"-"&amp;'Pairings NB'!F2082</f>
        <v/>
      </c>
      <c r="F467" s="10">
        <f>IFERROR(VLOOKUP('Pairings NB'!$M$2082,Instructores!$A:$C,2,FALSE),"")</f>
        <v/>
      </c>
      <c r="G467" s="10">
        <f>'Pairings NB'!$M$2082</f>
        <v/>
      </c>
      <c r="H467" s="10">
        <f>'Pairings NB'!$O$2082</f>
        <v/>
      </c>
      <c r="I467" s="10">
        <f>'Pairings NB'!J2082</f>
        <v/>
      </c>
      <c r="J467" s="10">
        <f>IFERROR(VLOOKUP('Pairings NB'!$M$2082,Instructores!$A:$C,3,FALSE),"")</f>
        <v/>
      </c>
      <c r="K467" s="10">
        <f>IF('Pairings NB'!J2082=320,4,3)</f>
        <v/>
      </c>
    </row>
    <row r="468">
      <c r="A468" s="10">
        <f>'Pairings NB'!B2087</f>
        <v/>
      </c>
      <c r="B468" s="10">
        <f>'Pairings NB'!C2087</f>
        <v/>
      </c>
      <c r="C468" s="10">
        <f>'Pairings NB'!D2087</f>
        <v/>
      </c>
      <c r="D468" s="10">
        <f>'Pairings NB'!E2087&amp;"/"&amp;'Pairings NB'!E2088</f>
        <v/>
      </c>
      <c r="E468" s="10">
        <f>'Pairings NB'!F2087&amp;"-"&amp;'Pairings NB'!G2087&amp;"-"&amp;'Pairings NB'!F2087</f>
        <v/>
      </c>
      <c r="F468" s="10">
        <f>IFERROR(VLOOKUP('Pairings NB'!$M$2087,Instructores!$A:$C,2,FALSE),"")</f>
        <v/>
      </c>
      <c r="G468" s="10">
        <f>'Pairings NB'!$M$2087</f>
        <v/>
      </c>
      <c r="H468" s="10">
        <f>'Pairings NB'!$O$2087</f>
        <v/>
      </c>
      <c r="I468" s="10">
        <f>'Pairings NB'!J2087</f>
        <v/>
      </c>
      <c r="J468" s="10">
        <f>IFERROR(VLOOKUP('Pairings NB'!$M$2087,Instructores!$A:$C,3,FALSE),"")</f>
        <v/>
      </c>
      <c r="K468" s="10">
        <f>IF('Pairings NB'!J2087=320,4,3)</f>
        <v/>
      </c>
    </row>
    <row r="469">
      <c r="A469" s="10">
        <f>'Pairings NB'!B2092</f>
        <v/>
      </c>
      <c r="B469" s="10">
        <f>'Pairings NB'!C2092</f>
        <v/>
      </c>
      <c r="C469" s="10">
        <f>'Pairings NB'!D2092</f>
        <v/>
      </c>
      <c r="D469" s="10">
        <f>'Pairings NB'!E2092&amp;"/"&amp;'Pairings NB'!E2093</f>
        <v/>
      </c>
      <c r="E469" s="10">
        <f>'Pairings NB'!F2092&amp;"-"&amp;'Pairings NB'!G2092&amp;"-"&amp;'Pairings NB'!F2092</f>
        <v/>
      </c>
      <c r="F469" s="10">
        <f>IFERROR(VLOOKUP('Pairings NB'!$M$2092,Instructores!$A:$C,2,FALSE),"")</f>
        <v/>
      </c>
      <c r="G469" s="10">
        <f>'Pairings NB'!$M$2092</f>
        <v/>
      </c>
      <c r="H469" s="10">
        <f>'Pairings NB'!$O$2092</f>
        <v/>
      </c>
      <c r="I469" s="10">
        <f>'Pairings NB'!J2092</f>
        <v/>
      </c>
      <c r="J469" s="10">
        <f>IFERROR(VLOOKUP('Pairings NB'!$M$2092,Instructores!$A:$C,3,FALSE),"")</f>
        <v/>
      </c>
      <c r="K469" s="10">
        <f>IF('Pairings NB'!J2092=320,4,3)</f>
        <v/>
      </c>
    </row>
    <row r="470">
      <c r="A470" s="10">
        <f>'Pairings NB'!B2097</f>
        <v/>
      </c>
      <c r="B470" s="10">
        <f>'Pairings NB'!C2097</f>
        <v/>
      </c>
      <c r="C470" s="10">
        <f>'Pairings NB'!D2097</f>
        <v/>
      </c>
      <c r="D470" s="10">
        <f>'Pairings NB'!E2097&amp;"/"&amp;'Pairings NB'!E2098</f>
        <v/>
      </c>
      <c r="E470" s="10">
        <f>'Pairings NB'!F2097&amp;"-"&amp;'Pairings NB'!G2097&amp;"-"&amp;'Pairings NB'!F2097</f>
        <v/>
      </c>
      <c r="F470" s="10">
        <f>IFERROR(VLOOKUP('Pairings NB'!$M$2097,Instructores!$A:$C,2,FALSE),"")</f>
        <v/>
      </c>
      <c r="G470" s="10">
        <f>'Pairings NB'!$M$2097</f>
        <v/>
      </c>
      <c r="H470" s="10">
        <f>'Pairings NB'!$O$2097</f>
        <v/>
      </c>
      <c r="I470" s="10">
        <f>'Pairings NB'!J2097</f>
        <v/>
      </c>
      <c r="J470" s="10">
        <f>IFERROR(VLOOKUP('Pairings NB'!$M$2097,Instructores!$A:$C,3,FALSE),"")</f>
        <v/>
      </c>
      <c r="K470" s="10">
        <f>IF('Pairings NB'!J2097=320,4,3)</f>
        <v/>
      </c>
    </row>
    <row r="471">
      <c r="A471" s="10">
        <f>'Pairings NB'!B2102</f>
        <v/>
      </c>
      <c r="B471" s="10">
        <f>'Pairings NB'!C2102</f>
        <v/>
      </c>
      <c r="C471" s="10">
        <f>'Pairings NB'!D2102</f>
        <v/>
      </c>
      <c r="D471" s="10">
        <f>'Pairings NB'!E2102&amp;"/"&amp;'Pairings NB'!E2103</f>
        <v/>
      </c>
      <c r="E471" s="10">
        <f>'Pairings NB'!F2102&amp;"-"&amp;'Pairings NB'!G2102&amp;"-"&amp;'Pairings NB'!F2102</f>
        <v/>
      </c>
      <c r="F471" s="10">
        <f>IFERROR(VLOOKUP('Pairings NB'!$M$2102,Instructores!$A:$C,2,FALSE),"")</f>
        <v/>
      </c>
      <c r="G471" s="10">
        <f>'Pairings NB'!$M$2102</f>
        <v/>
      </c>
      <c r="H471" s="10">
        <f>'Pairings NB'!$O$2102</f>
        <v/>
      </c>
      <c r="I471" s="10">
        <f>'Pairings NB'!J2102</f>
        <v/>
      </c>
      <c r="J471" s="10">
        <f>IFERROR(VLOOKUP('Pairings NB'!$M$2102,Instructores!$A:$C,3,FALSE),"")</f>
        <v/>
      </c>
      <c r="K471" s="10">
        <f>IF('Pairings NB'!J2102=320,4,3)</f>
        <v/>
      </c>
    </row>
    <row r="472">
      <c r="A472" s="10">
        <f>'Pairings NB'!B2107</f>
        <v/>
      </c>
      <c r="B472" s="10">
        <f>'Pairings NB'!C2107</f>
        <v/>
      </c>
      <c r="C472" s="10">
        <f>'Pairings NB'!D2107</f>
        <v/>
      </c>
      <c r="D472" s="10">
        <f>'Pairings NB'!E2107&amp;"/"&amp;'Pairings NB'!E2108</f>
        <v/>
      </c>
      <c r="E472" s="10">
        <f>'Pairings NB'!F2107&amp;"-"&amp;'Pairings NB'!G2107&amp;"-"&amp;'Pairings NB'!F2107</f>
        <v/>
      </c>
      <c r="F472" s="10">
        <f>IFERROR(VLOOKUP('Pairings NB'!$M$2107,Instructores!$A:$C,2,FALSE),"")</f>
        <v/>
      </c>
      <c r="G472" s="10">
        <f>'Pairings NB'!$M$2107</f>
        <v/>
      </c>
      <c r="H472" s="10">
        <f>'Pairings NB'!$O$2107</f>
        <v/>
      </c>
      <c r="I472" s="10">
        <f>'Pairings NB'!J2107</f>
        <v/>
      </c>
      <c r="J472" s="10">
        <f>IFERROR(VLOOKUP('Pairings NB'!$M$2107,Instructores!$A:$C,3,FALSE),"")</f>
        <v/>
      </c>
      <c r="K472" s="10">
        <f>IF('Pairings NB'!J2107=320,4,3)</f>
        <v/>
      </c>
    </row>
    <row r="473">
      <c r="A473" s="10">
        <f>'Pairings NB'!B2112</f>
        <v/>
      </c>
      <c r="B473" s="10">
        <f>'Pairings NB'!C2112</f>
        <v/>
      </c>
      <c r="C473" s="10">
        <f>'Pairings NB'!D2112</f>
        <v/>
      </c>
      <c r="D473" s="10">
        <f>'Pairings NB'!E2112&amp;"/"&amp;'Pairings NB'!E2113</f>
        <v/>
      </c>
      <c r="E473" s="10">
        <f>'Pairings NB'!F2112&amp;"-"&amp;'Pairings NB'!G2112&amp;"-"&amp;'Pairings NB'!F2112</f>
        <v/>
      </c>
      <c r="F473" s="10">
        <f>IFERROR(VLOOKUP('Pairings NB'!$M$2112,Instructores!$A:$C,2,FALSE),"")</f>
        <v/>
      </c>
      <c r="G473" s="10">
        <f>'Pairings NB'!$M$2112</f>
        <v/>
      </c>
      <c r="H473" s="10">
        <f>'Pairings NB'!$O$2112</f>
        <v/>
      </c>
      <c r="I473" s="10">
        <f>'Pairings NB'!J2112</f>
        <v/>
      </c>
      <c r="J473" s="10">
        <f>IFERROR(VLOOKUP('Pairings NB'!$M$2112,Instructores!$A:$C,3,FALSE),"")</f>
        <v/>
      </c>
      <c r="K473" s="10">
        <f>IF('Pairings NB'!J2112=320,4,3)</f>
        <v/>
      </c>
    </row>
    <row r="474">
      <c r="A474" s="10">
        <f>'Pairings NB'!B2117</f>
        <v/>
      </c>
      <c r="B474" s="10">
        <f>'Pairings NB'!C2117</f>
        <v/>
      </c>
      <c r="C474" s="10">
        <f>'Pairings NB'!D2117</f>
        <v/>
      </c>
      <c r="D474" s="10">
        <f>'Pairings NB'!E2117&amp;"/"&amp;'Pairings NB'!E2118</f>
        <v/>
      </c>
      <c r="E474" s="10">
        <f>'Pairings NB'!F2117&amp;"-"&amp;'Pairings NB'!G2117&amp;"-"&amp;'Pairings NB'!F2117</f>
        <v/>
      </c>
      <c r="F474" s="10">
        <f>IFERROR(VLOOKUP('Pairings NB'!$M$2117,Instructores!$A:$C,2,FALSE),"")</f>
        <v/>
      </c>
      <c r="G474" s="10">
        <f>'Pairings NB'!$M$2117</f>
        <v/>
      </c>
      <c r="H474" s="10">
        <f>'Pairings NB'!$O$2117</f>
        <v/>
      </c>
      <c r="I474" s="10">
        <f>'Pairings NB'!J2117</f>
        <v/>
      </c>
      <c r="J474" s="10">
        <f>IFERROR(VLOOKUP('Pairings NB'!$M$2117,Instructores!$A:$C,3,FALSE),"")</f>
        <v/>
      </c>
      <c r="K474" s="10">
        <f>IF('Pairings NB'!J2117=320,4,3)</f>
        <v/>
      </c>
    </row>
    <row r="475">
      <c r="A475" s="10">
        <f>'Pairings NB'!B2119</f>
        <v/>
      </c>
      <c r="B475" s="10">
        <f>'Pairings NB'!C2119</f>
        <v/>
      </c>
      <c r="C475" s="10">
        <f>'Pairings NB'!D2119</f>
        <v/>
      </c>
      <c r="D475" s="10">
        <f>'Pairings NB'!E2119&amp;"/"&amp;'Pairings NB'!E2120</f>
        <v/>
      </c>
      <c r="E475" s="10">
        <f>'Pairings NB'!F2119&amp;"-"&amp;'Pairings NB'!G2119&amp;"-"&amp;'Pairings NB'!F2119</f>
        <v/>
      </c>
      <c r="F475" s="10">
        <f>IFERROR(VLOOKUP('Pairings NB'!$M$2117,Instructores!$A:$C,2,FALSE),"")</f>
        <v/>
      </c>
      <c r="G475" s="10">
        <f>'Pairings NB'!$M$2117</f>
        <v/>
      </c>
      <c r="H475" s="10">
        <f>'Pairings NB'!$O$2117</f>
        <v/>
      </c>
      <c r="I475" s="10">
        <f>'Pairings NB'!J2119</f>
        <v/>
      </c>
      <c r="J475" s="10">
        <f>IFERROR(VLOOKUP('Pairings NB'!$M$2117,Instructores!$A:$C,3,FALSE),"")</f>
        <v/>
      </c>
      <c r="K475" s="10">
        <f>IF('Pairings NB'!J2119=320,4,3)</f>
        <v/>
      </c>
    </row>
    <row r="476">
      <c r="A476" s="10">
        <f>'Pairings NB'!B2124</f>
        <v/>
      </c>
      <c r="B476" s="10">
        <f>'Pairings NB'!C2124</f>
        <v/>
      </c>
      <c r="C476" s="10">
        <f>'Pairings NB'!D2124</f>
        <v/>
      </c>
      <c r="D476" s="10">
        <f>'Pairings NB'!E2124&amp;"/"&amp;'Pairings NB'!E2125</f>
        <v/>
      </c>
      <c r="E476" s="10">
        <f>'Pairings NB'!F2124&amp;"-"&amp;'Pairings NB'!G2124&amp;"-"&amp;'Pairings NB'!F2124</f>
        <v/>
      </c>
      <c r="F476" s="10">
        <f>IFERROR(VLOOKUP('Pairings NB'!$M$2124,Instructores!$A:$C,2,FALSE),"")</f>
        <v/>
      </c>
      <c r="G476" s="10">
        <f>'Pairings NB'!$M$2124</f>
        <v/>
      </c>
      <c r="H476" s="10">
        <f>'Pairings NB'!$O$2124</f>
        <v/>
      </c>
      <c r="I476" s="10">
        <f>'Pairings NB'!J2124</f>
        <v/>
      </c>
      <c r="J476" s="10">
        <f>IFERROR(VLOOKUP('Pairings NB'!$M$2124,Instructores!$A:$C,3,FALSE),"")</f>
        <v/>
      </c>
      <c r="K476" s="10">
        <f>IF('Pairings NB'!J2124=320,4,3)</f>
        <v/>
      </c>
    </row>
    <row r="477">
      <c r="A477" s="10">
        <f>'Pairings NB'!B2126</f>
        <v/>
      </c>
      <c r="B477" s="10">
        <f>'Pairings NB'!C2126</f>
        <v/>
      </c>
      <c r="C477" s="10">
        <f>'Pairings NB'!D2126</f>
        <v/>
      </c>
      <c r="D477" s="10">
        <f>'Pairings NB'!E2126&amp;"/"&amp;'Pairings NB'!E2127</f>
        <v/>
      </c>
      <c r="E477" s="10">
        <f>'Pairings NB'!F2126&amp;"-"&amp;'Pairings NB'!G2126&amp;"-"&amp;'Pairings NB'!F2126</f>
        <v/>
      </c>
      <c r="F477" s="10">
        <f>IFERROR(VLOOKUP('Pairings NB'!$M$2124,Instructores!$A:$C,2,FALSE),"")</f>
        <v/>
      </c>
      <c r="G477" s="10">
        <f>'Pairings NB'!$M$2124</f>
        <v/>
      </c>
      <c r="H477" s="10">
        <f>'Pairings NB'!$O$2124</f>
        <v/>
      </c>
      <c r="I477" s="10">
        <f>'Pairings NB'!J2126</f>
        <v/>
      </c>
      <c r="J477" s="10">
        <f>IFERROR(VLOOKUP('Pairings NB'!$M$2124,Instructores!$A:$C,3,FALSE),"")</f>
        <v/>
      </c>
      <c r="K477" s="10">
        <f>IF('Pairings NB'!J2126=320,4,3)</f>
        <v/>
      </c>
    </row>
    <row r="478">
      <c r="A478" s="10">
        <f>'Pairings NB'!B2131</f>
        <v/>
      </c>
      <c r="B478" s="10">
        <f>'Pairings NB'!C2131</f>
        <v/>
      </c>
      <c r="C478" s="10">
        <f>'Pairings NB'!D2131</f>
        <v/>
      </c>
      <c r="D478" s="10">
        <f>'Pairings NB'!E2131&amp;"/"&amp;'Pairings NB'!E2132</f>
        <v/>
      </c>
      <c r="E478" s="10">
        <f>'Pairings NB'!F2131&amp;"-"&amp;'Pairings NB'!G2131&amp;"-"&amp;'Pairings NB'!F2131</f>
        <v/>
      </c>
      <c r="F478" s="10">
        <f>IFERROR(VLOOKUP('Pairings NB'!$M$2131,Instructores!$A:$C,2,FALSE),"")</f>
        <v/>
      </c>
      <c r="G478" s="10">
        <f>'Pairings NB'!$M$2131</f>
        <v/>
      </c>
      <c r="H478" s="10">
        <f>'Pairings NB'!$O$2131</f>
        <v/>
      </c>
      <c r="I478" s="10">
        <f>'Pairings NB'!J2131</f>
        <v/>
      </c>
      <c r="J478" s="10">
        <f>IFERROR(VLOOKUP('Pairings NB'!$M$2131,Instructores!$A:$C,3,FALSE),"")</f>
        <v/>
      </c>
      <c r="K478" s="10">
        <f>IF('Pairings NB'!J2131=320,4,3)</f>
        <v/>
      </c>
    </row>
    <row r="479">
      <c r="A479" s="10">
        <f>'Pairings NB'!B2133</f>
        <v/>
      </c>
      <c r="B479" s="10">
        <f>'Pairings NB'!C2133</f>
        <v/>
      </c>
      <c r="C479" s="10">
        <f>'Pairings NB'!D2133</f>
        <v/>
      </c>
      <c r="D479" s="10">
        <f>'Pairings NB'!E2133&amp;"/"&amp;'Pairings NB'!E2134</f>
        <v/>
      </c>
      <c r="E479" s="10">
        <f>'Pairings NB'!F2133&amp;"-"&amp;'Pairings NB'!G2133&amp;"-"&amp;'Pairings NB'!F2133</f>
        <v/>
      </c>
      <c r="F479" s="10">
        <f>IFERROR(VLOOKUP('Pairings NB'!$M$2131,Instructores!$A:$C,2,FALSE),"")</f>
        <v/>
      </c>
      <c r="G479" s="10">
        <f>'Pairings NB'!$M$2131</f>
        <v/>
      </c>
      <c r="H479" s="10">
        <f>'Pairings NB'!$O$2131</f>
        <v/>
      </c>
      <c r="I479" s="10">
        <f>'Pairings NB'!J2133</f>
        <v/>
      </c>
      <c r="J479" s="10">
        <f>IFERROR(VLOOKUP('Pairings NB'!$M$2131,Instructores!$A:$C,3,FALSE),"")</f>
        <v/>
      </c>
      <c r="K479" s="10">
        <f>IF('Pairings NB'!J2133=320,4,3)</f>
        <v/>
      </c>
    </row>
    <row r="480">
      <c r="A480" s="10">
        <f>'Pairings NB'!B2138</f>
        <v/>
      </c>
      <c r="B480" s="10">
        <f>'Pairings NB'!C2138</f>
        <v/>
      </c>
      <c r="C480" s="10">
        <f>'Pairings NB'!D2138</f>
        <v/>
      </c>
      <c r="D480" s="10">
        <f>'Pairings NB'!E2138&amp;"/"&amp;'Pairings NB'!E2139</f>
        <v/>
      </c>
      <c r="E480" s="10">
        <f>'Pairings NB'!F2138&amp;"-"&amp;'Pairings NB'!G2138&amp;"-"&amp;'Pairings NB'!F2138</f>
        <v/>
      </c>
      <c r="F480" s="10">
        <f>IFERROR(VLOOKUP('Pairings NB'!$M$2138,Instructores!$A:$C,2,FALSE),"")</f>
        <v/>
      </c>
      <c r="G480" s="10">
        <f>'Pairings NB'!$M$2138</f>
        <v/>
      </c>
      <c r="H480" s="10">
        <f>'Pairings NB'!$O$2138</f>
        <v/>
      </c>
      <c r="I480" s="10">
        <f>'Pairings NB'!J2138</f>
        <v/>
      </c>
      <c r="J480" s="10">
        <f>IFERROR(VLOOKUP('Pairings NB'!$M$2138,Instructores!$A:$C,3,FALSE),"")</f>
        <v/>
      </c>
      <c r="K480" s="10">
        <f>IF('Pairings NB'!J2138=320,4,3)</f>
        <v/>
      </c>
    </row>
    <row r="481">
      <c r="A481" s="10">
        <f>'Pairings NB'!B2143</f>
        <v/>
      </c>
      <c r="B481" s="10">
        <f>'Pairings NB'!C2143</f>
        <v/>
      </c>
      <c r="C481" s="10">
        <f>'Pairings NB'!D2143</f>
        <v/>
      </c>
      <c r="D481" s="10">
        <f>'Pairings NB'!E2143&amp;"/"&amp;'Pairings NB'!E2144</f>
        <v/>
      </c>
      <c r="E481" s="10">
        <f>'Pairings NB'!F2143&amp;"-"&amp;'Pairings NB'!G2143&amp;"-"&amp;'Pairings NB'!F2143</f>
        <v/>
      </c>
      <c r="F481" s="10">
        <f>IFERROR(VLOOKUP('Pairings NB'!$M$2143,Instructores!$A:$C,2,FALSE),"")</f>
        <v/>
      </c>
      <c r="G481" s="10">
        <f>'Pairings NB'!$M$2143</f>
        <v/>
      </c>
      <c r="H481" s="10">
        <f>'Pairings NB'!$O$2143</f>
        <v/>
      </c>
      <c r="I481" s="10">
        <f>'Pairings NB'!J2143</f>
        <v/>
      </c>
      <c r="J481" s="10">
        <f>IFERROR(VLOOKUP('Pairings NB'!$M$2143,Instructores!$A:$C,3,FALSE),"")</f>
        <v/>
      </c>
      <c r="K481" s="10">
        <f>IF('Pairings NB'!J2143=320,4,3)</f>
        <v/>
      </c>
    </row>
    <row r="482">
      <c r="A482" s="10">
        <f>'Pairings NB'!B2148</f>
        <v/>
      </c>
      <c r="B482" s="10">
        <f>'Pairings NB'!C2148</f>
        <v/>
      </c>
      <c r="C482" s="10">
        <f>'Pairings NB'!D2148</f>
        <v/>
      </c>
      <c r="D482" s="10">
        <f>'Pairings NB'!E2148&amp;"/"&amp;'Pairings NB'!E2149</f>
        <v/>
      </c>
      <c r="E482" s="10">
        <f>'Pairings NB'!F2148&amp;"-"&amp;'Pairings NB'!G2148&amp;"-"&amp;'Pairings NB'!F2148</f>
        <v/>
      </c>
      <c r="F482" s="10">
        <f>IFERROR(VLOOKUP('Pairings NB'!$M$2148,Instructores!$A:$C,2,FALSE),"")</f>
        <v/>
      </c>
      <c r="G482" s="10">
        <f>'Pairings NB'!$M$2148</f>
        <v/>
      </c>
      <c r="H482" s="10">
        <f>'Pairings NB'!$O$2148</f>
        <v/>
      </c>
      <c r="I482" s="10">
        <f>'Pairings NB'!J2148</f>
        <v/>
      </c>
      <c r="J482" s="10">
        <f>IFERROR(VLOOKUP('Pairings NB'!$M$2148,Instructores!$A:$C,3,FALSE),"")</f>
        <v/>
      </c>
      <c r="K482" s="10">
        <f>IF('Pairings NB'!J2148=320,4,3)</f>
        <v/>
      </c>
    </row>
    <row r="483">
      <c r="A483" s="10">
        <f>'Pairings NB'!B2153</f>
        <v/>
      </c>
      <c r="B483" s="10">
        <f>'Pairings NB'!C2153</f>
        <v/>
      </c>
      <c r="C483" s="10">
        <f>'Pairings NB'!D2153</f>
        <v/>
      </c>
      <c r="D483" s="10">
        <f>'Pairings NB'!E2153&amp;"/"&amp;'Pairings NB'!E2154</f>
        <v/>
      </c>
      <c r="E483" s="10">
        <f>'Pairings NB'!F2153&amp;"-"&amp;'Pairings NB'!G2153&amp;"-"&amp;'Pairings NB'!F2153</f>
        <v/>
      </c>
      <c r="F483" s="10">
        <f>IFERROR(VLOOKUP('Pairings NB'!$M$2153,Instructores!$A:$C,2,FALSE),"")</f>
        <v/>
      </c>
      <c r="G483" s="10">
        <f>'Pairings NB'!$M$2153</f>
        <v/>
      </c>
      <c r="H483" s="10">
        <f>'Pairings NB'!$O$2153</f>
        <v/>
      </c>
      <c r="I483" s="10">
        <f>'Pairings NB'!J2153</f>
        <v/>
      </c>
      <c r="J483" s="10">
        <f>IFERROR(VLOOKUP('Pairings NB'!$M$2153,Instructores!$A:$C,3,FALSE),"")</f>
        <v/>
      </c>
      <c r="K483" s="10">
        <f>IF('Pairings NB'!J2153=320,4,3)</f>
        <v/>
      </c>
    </row>
    <row r="484">
      <c r="A484" s="10">
        <f>'Pairings NB'!B2158</f>
        <v/>
      </c>
      <c r="B484" s="10">
        <f>'Pairings NB'!C2158</f>
        <v/>
      </c>
      <c r="C484" s="10">
        <f>'Pairings NB'!D2158</f>
        <v/>
      </c>
      <c r="D484" s="10">
        <f>'Pairings NB'!E2158&amp;"/"&amp;'Pairings NB'!E2159</f>
        <v/>
      </c>
      <c r="E484" s="10">
        <f>'Pairings NB'!F2158&amp;"-"&amp;'Pairings NB'!G2158&amp;"-"&amp;'Pairings NB'!F2158</f>
        <v/>
      </c>
      <c r="F484" s="10">
        <f>IFERROR(VLOOKUP('Pairings NB'!$M$2158,Instructores!$A:$C,2,FALSE),"")</f>
        <v/>
      </c>
      <c r="G484" s="10">
        <f>'Pairings NB'!$M$2158</f>
        <v/>
      </c>
      <c r="H484" s="10">
        <f>'Pairings NB'!$O$2158</f>
        <v/>
      </c>
      <c r="I484" s="10">
        <f>'Pairings NB'!J2158</f>
        <v/>
      </c>
      <c r="J484" s="10">
        <f>IFERROR(VLOOKUP('Pairings NB'!$M$2158,Instructores!$A:$C,3,FALSE),"")</f>
        <v/>
      </c>
      <c r="K484" s="10">
        <f>IF('Pairings NB'!J2158=320,4,3)</f>
        <v/>
      </c>
    </row>
    <row r="485">
      <c r="A485" s="10">
        <f>'Pairings NB'!B2163</f>
        <v/>
      </c>
      <c r="B485" s="10">
        <f>'Pairings NB'!C2163</f>
        <v/>
      </c>
      <c r="C485" s="10">
        <f>'Pairings NB'!D2163</f>
        <v/>
      </c>
      <c r="D485" s="10">
        <f>'Pairings NB'!E2163&amp;"/"&amp;'Pairings NB'!E2164</f>
        <v/>
      </c>
      <c r="E485" s="10">
        <f>'Pairings NB'!F2163&amp;"-"&amp;'Pairings NB'!G2163&amp;"-"&amp;'Pairings NB'!F2163</f>
        <v/>
      </c>
      <c r="F485" s="10">
        <f>IFERROR(VLOOKUP('Pairings NB'!$M$2163,Instructores!$A:$C,2,FALSE),"")</f>
        <v/>
      </c>
      <c r="G485" s="10">
        <f>'Pairings NB'!$M$2163</f>
        <v/>
      </c>
      <c r="H485" s="10">
        <f>'Pairings NB'!$O$2163</f>
        <v/>
      </c>
      <c r="I485" s="10">
        <f>'Pairings NB'!J2163</f>
        <v/>
      </c>
      <c r="J485" s="10">
        <f>IFERROR(VLOOKUP('Pairings NB'!$M$2163,Instructores!$A:$C,3,FALSE),"")</f>
        <v/>
      </c>
      <c r="K485" s="10">
        <f>IF('Pairings NB'!J2163=320,4,3)</f>
        <v/>
      </c>
    </row>
    <row r="486">
      <c r="A486" s="10">
        <f>'Pairings NB'!B2168</f>
        <v/>
      </c>
      <c r="B486" s="10">
        <f>'Pairings NB'!C2168</f>
        <v/>
      </c>
      <c r="C486" s="10">
        <f>'Pairings NB'!D2168</f>
        <v/>
      </c>
      <c r="D486" s="10">
        <f>'Pairings NB'!E2168&amp;"/"&amp;'Pairings NB'!E2169</f>
        <v/>
      </c>
      <c r="E486" s="10">
        <f>'Pairings NB'!F2168&amp;"-"&amp;'Pairings NB'!G2168&amp;"-"&amp;'Pairings NB'!F2168</f>
        <v/>
      </c>
      <c r="F486" s="10">
        <f>IFERROR(VLOOKUP('Pairings NB'!$M$2168,Instructores!$A:$C,2,FALSE),"")</f>
        <v/>
      </c>
      <c r="G486" s="10">
        <f>'Pairings NB'!$M$2168</f>
        <v/>
      </c>
      <c r="H486" s="10">
        <f>'Pairings NB'!$O$2168</f>
        <v/>
      </c>
      <c r="I486" s="10">
        <f>'Pairings NB'!J2168</f>
        <v/>
      </c>
      <c r="J486" s="10">
        <f>IFERROR(VLOOKUP('Pairings NB'!$M$2168,Instructores!$A:$C,3,FALSE),"")</f>
        <v/>
      </c>
      <c r="K486" s="10">
        <f>IF('Pairings NB'!J2168=320,4,3)</f>
        <v/>
      </c>
    </row>
    <row r="487">
      <c r="A487" s="10">
        <f>'Pairings NB'!B2173</f>
        <v/>
      </c>
      <c r="B487" s="10">
        <f>'Pairings NB'!C2173</f>
        <v/>
      </c>
      <c r="C487" s="10">
        <f>'Pairings NB'!D2173</f>
        <v/>
      </c>
      <c r="D487" s="10">
        <f>'Pairings NB'!E2173&amp;"/"&amp;'Pairings NB'!E2174</f>
        <v/>
      </c>
      <c r="E487" s="10">
        <f>'Pairings NB'!F2173&amp;"-"&amp;'Pairings NB'!G2173&amp;"-"&amp;'Pairings NB'!F2173</f>
        <v/>
      </c>
      <c r="F487" s="10">
        <f>IFERROR(VLOOKUP('Pairings NB'!$M$2173,Instructores!$A:$C,2,FALSE),"")</f>
        <v/>
      </c>
      <c r="G487" s="10">
        <f>'Pairings NB'!$M$2173</f>
        <v/>
      </c>
      <c r="H487" s="10">
        <f>'Pairings NB'!$O$2173</f>
        <v/>
      </c>
      <c r="I487" s="10">
        <f>'Pairings NB'!J2173</f>
        <v/>
      </c>
      <c r="J487" s="10">
        <f>IFERROR(VLOOKUP('Pairings NB'!$M$2173,Instructores!$A:$C,3,FALSE),"")</f>
        <v/>
      </c>
      <c r="K487" s="10">
        <f>IF('Pairings NB'!J2173=320,4,3)</f>
        <v/>
      </c>
    </row>
    <row r="488">
      <c r="A488" s="10">
        <f>'Pairings NB'!B2178</f>
        <v/>
      </c>
      <c r="B488" s="10">
        <f>'Pairings NB'!C2178</f>
        <v/>
      </c>
      <c r="C488" s="10">
        <f>'Pairings NB'!D2178</f>
        <v/>
      </c>
      <c r="D488" s="10">
        <f>'Pairings NB'!E2178&amp;"/"&amp;'Pairings NB'!E2179</f>
        <v/>
      </c>
      <c r="E488" s="10">
        <f>'Pairings NB'!F2178&amp;"-"&amp;'Pairings NB'!G2178&amp;"-"&amp;'Pairings NB'!F2178</f>
        <v/>
      </c>
      <c r="F488" s="10">
        <f>IFERROR(VLOOKUP('Pairings NB'!$M$2178,Instructores!$A:$C,2,FALSE),"")</f>
        <v/>
      </c>
      <c r="G488" s="10">
        <f>'Pairings NB'!$M$2178</f>
        <v/>
      </c>
      <c r="H488" s="10">
        <f>'Pairings NB'!$O$2178</f>
        <v/>
      </c>
      <c r="I488" s="10">
        <f>'Pairings NB'!J2178</f>
        <v/>
      </c>
      <c r="J488" s="10">
        <f>IFERROR(VLOOKUP('Pairings NB'!$M$2178,Instructores!$A:$C,3,FALSE),"")</f>
        <v/>
      </c>
      <c r="K488" s="10">
        <f>IF('Pairings NB'!J2178=320,4,3)</f>
        <v/>
      </c>
    </row>
    <row r="489">
      <c r="A489" s="10">
        <f>'Pairings NB'!B2180</f>
        <v/>
      </c>
      <c r="B489" s="10">
        <f>'Pairings NB'!C2180</f>
        <v/>
      </c>
      <c r="C489" s="10">
        <f>'Pairings NB'!D2180</f>
        <v/>
      </c>
      <c r="D489" s="10">
        <f>'Pairings NB'!E2180&amp;"/"&amp;'Pairings NB'!E2181</f>
        <v/>
      </c>
      <c r="E489" s="10">
        <f>'Pairings NB'!F2180&amp;"-"&amp;'Pairings NB'!G2180&amp;"-"&amp;'Pairings NB'!F2180</f>
        <v/>
      </c>
      <c r="F489" s="10">
        <f>IFERROR(VLOOKUP('Pairings NB'!$M$2178,Instructores!$A:$C,2,FALSE),"")</f>
        <v/>
      </c>
      <c r="G489" s="10">
        <f>'Pairings NB'!$M$2178</f>
        <v/>
      </c>
      <c r="H489" s="10">
        <f>'Pairings NB'!$O$2178</f>
        <v/>
      </c>
      <c r="I489" s="10">
        <f>'Pairings NB'!J2180</f>
        <v/>
      </c>
      <c r="J489" s="10">
        <f>IFERROR(VLOOKUP('Pairings NB'!$M$2178,Instructores!$A:$C,3,FALSE),"")</f>
        <v/>
      </c>
      <c r="K489" s="10">
        <f>IF('Pairings NB'!J2180=320,4,3)</f>
        <v/>
      </c>
    </row>
    <row r="490">
      <c r="A490" s="10">
        <f>'Pairings NB'!B2185</f>
        <v/>
      </c>
      <c r="B490" s="10">
        <f>'Pairings NB'!C2185</f>
        <v/>
      </c>
      <c r="C490" s="10">
        <f>'Pairings NB'!D2185</f>
        <v/>
      </c>
      <c r="D490" s="10">
        <f>'Pairings NB'!E2185&amp;"/"&amp;'Pairings NB'!E2186</f>
        <v/>
      </c>
      <c r="E490" s="10">
        <f>'Pairings NB'!F2185&amp;"-"&amp;'Pairings NB'!G2185&amp;"-"&amp;'Pairings NB'!F2185</f>
        <v/>
      </c>
      <c r="F490" s="10">
        <f>IFERROR(VLOOKUP('Pairings NB'!$M$2185,Instructores!$A:$C,2,FALSE),"")</f>
        <v/>
      </c>
      <c r="G490" s="10">
        <f>'Pairings NB'!$M$2185</f>
        <v/>
      </c>
      <c r="H490" s="10">
        <f>'Pairings NB'!$O$2185</f>
        <v/>
      </c>
      <c r="I490" s="10">
        <f>'Pairings NB'!J2185</f>
        <v/>
      </c>
      <c r="J490" s="10">
        <f>IFERROR(VLOOKUP('Pairings NB'!$M$2185,Instructores!$A:$C,3,FALSE),"")</f>
        <v/>
      </c>
      <c r="K490" s="10">
        <f>IF('Pairings NB'!J2185=320,4,3)</f>
        <v/>
      </c>
    </row>
    <row r="491">
      <c r="A491" s="10">
        <f>'Pairings NB'!B2190</f>
        <v/>
      </c>
      <c r="B491" s="10">
        <f>'Pairings NB'!C2190</f>
        <v/>
      </c>
      <c r="C491" s="10">
        <f>'Pairings NB'!D2190</f>
        <v/>
      </c>
      <c r="D491" s="10">
        <f>'Pairings NB'!E2190&amp;"/"&amp;'Pairings NB'!E2191</f>
        <v/>
      </c>
      <c r="E491" s="10">
        <f>'Pairings NB'!F2190&amp;"-"&amp;'Pairings NB'!G2190&amp;"-"&amp;'Pairings NB'!F2190</f>
        <v/>
      </c>
      <c r="F491" s="10">
        <f>IFERROR(VLOOKUP('Pairings NB'!$M$2190,Instructores!$A:$C,2,FALSE),"")</f>
        <v/>
      </c>
      <c r="G491" s="10">
        <f>'Pairings NB'!$M$2190</f>
        <v/>
      </c>
      <c r="H491" s="10">
        <f>'Pairings NB'!$O$2190</f>
        <v/>
      </c>
      <c r="I491" s="10">
        <f>'Pairings NB'!J2190</f>
        <v/>
      </c>
      <c r="J491" s="10">
        <f>IFERROR(VLOOKUP('Pairings NB'!$M$2190,Instructores!$A:$C,3,FALSE),"")</f>
        <v/>
      </c>
      <c r="K491" s="10">
        <f>IF('Pairings NB'!J2190=320,4,3)</f>
        <v/>
      </c>
    </row>
    <row r="492">
      <c r="A492" s="10">
        <f>'Pairings NB'!B2192</f>
        <v/>
      </c>
      <c r="B492" s="10">
        <f>'Pairings NB'!C2192</f>
        <v/>
      </c>
      <c r="C492" s="10">
        <f>'Pairings NB'!D2192</f>
        <v/>
      </c>
      <c r="D492" s="10">
        <f>'Pairings NB'!E2192&amp;"/"&amp;'Pairings NB'!E2193</f>
        <v/>
      </c>
      <c r="E492" s="10">
        <f>'Pairings NB'!F2192&amp;"-"&amp;'Pairings NB'!G2192&amp;"-"&amp;'Pairings NB'!F2192</f>
        <v/>
      </c>
      <c r="F492" s="10">
        <f>IFERROR(VLOOKUP('Pairings NB'!$M$2190,Instructores!$A:$C,2,FALSE),"")</f>
        <v/>
      </c>
      <c r="G492" s="10">
        <f>'Pairings NB'!$M$2190</f>
        <v/>
      </c>
      <c r="H492" s="10">
        <f>'Pairings NB'!$O$2190</f>
        <v/>
      </c>
      <c r="I492" s="10">
        <f>'Pairings NB'!J2192</f>
        <v/>
      </c>
      <c r="J492" s="10">
        <f>IFERROR(VLOOKUP('Pairings NB'!$M$2190,Instructores!$A:$C,3,FALSE),"")</f>
        <v/>
      </c>
      <c r="K492" s="10">
        <f>IF('Pairings NB'!J2192=320,4,3)</f>
        <v/>
      </c>
    </row>
    <row r="493">
      <c r="A493" s="10">
        <f>'Pairings NB'!B2197</f>
        <v/>
      </c>
      <c r="B493" s="10">
        <f>'Pairings NB'!C2197</f>
        <v/>
      </c>
      <c r="C493" s="10">
        <f>'Pairings NB'!D2197</f>
        <v/>
      </c>
      <c r="D493" s="10">
        <f>'Pairings NB'!E2197&amp;"/"&amp;'Pairings NB'!E2198</f>
        <v/>
      </c>
      <c r="E493" s="10">
        <f>'Pairings NB'!F2197&amp;"-"&amp;'Pairings NB'!G2197&amp;"-"&amp;'Pairings NB'!F2197</f>
        <v/>
      </c>
      <c r="F493" s="10">
        <f>IFERROR(VLOOKUP('Pairings NB'!$M$2197,Instructores!$A:$C,2,FALSE),"")</f>
        <v/>
      </c>
      <c r="G493" s="10">
        <f>'Pairings NB'!$M$2197</f>
        <v/>
      </c>
      <c r="H493" s="10">
        <f>'Pairings NB'!$O$2197</f>
        <v/>
      </c>
      <c r="I493" s="10">
        <f>'Pairings NB'!J2197</f>
        <v/>
      </c>
      <c r="J493" s="10">
        <f>IFERROR(VLOOKUP('Pairings NB'!$M$2197,Instructores!$A:$C,3,FALSE),"")</f>
        <v/>
      </c>
      <c r="K493" s="10">
        <f>IF('Pairings NB'!J2197=320,4,3)</f>
        <v/>
      </c>
    </row>
    <row r="494">
      <c r="A494" s="10">
        <f>'Pairings NB'!B2202</f>
        <v/>
      </c>
      <c r="B494" s="10">
        <f>'Pairings NB'!C2202</f>
        <v/>
      </c>
      <c r="C494" s="10">
        <f>'Pairings NB'!D2202</f>
        <v/>
      </c>
      <c r="D494" s="10">
        <f>'Pairings NB'!E2202&amp;"/"&amp;'Pairings NB'!E2203</f>
        <v/>
      </c>
      <c r="E494" s="10">
        <f>'Pairings NB'!F2202&amp;"-"&amp;'Pairings NB'!G2202&amp;"-"&amp;'Pairings NB'!F2202</f>
        <v/>
      </c>
      <c r="F494" s="10">
        <f>IFERROR(VLOOKUP('Pairings NB'!$M$2202,Instructores!$A:$C,2,FALSE),"")</f>
        <v/>
      </c>
      <c r="G494" s="10">
        <f>'Pairings NB'!$M$2202</f>
        <v/>
      </c>
      <c r="H494" s="10">
        <f>'Pairings NB'!$O$2202</f>
        <v/>
      </c>
      <c r="I494" s="10">
        <f>'Pairings NB'!J2202</f>
        <v/>
      </c>
      <c r="J494" s="10">
        <f>IFERROR(VLOOKUP('Pairings NB'!$M$2202,Instructores!$A:$C,3,FALSE),"")</f>
        <v/>
      </c>
      <c r="K494" s="10">
        <f>IF('Pairings NB'!J2202=320,4,3)</f>
        <v/>
      </c>
    </row>
    <row r="495">
      <c r="A495" s="10">
        <f>'Pairings NB'!B2207</f>
        <v/>
      </c>
      <c r="B495" s="10">
        <f>'Pairings NB'!C2207</f>
        <v/>
      </c>
      <c r="C495" s="10">
        <f>'Pairings NB'!D2207</f>
        <v/>
      </c>
      <c r="D495" s="10">
        <f>'Pairings NB'!E2207&amp;"/"&amp;'Pairings NB'!E2208</f>
        <v/>
      </c>
      <c r="E495" s="10">
        <f>'Pairings NB'!F2207&amp;"-"&amp;'Pairings NB'!G2207&amp;"-"&amp;'Pairings NB'!F2207</f>
        <v/>
      </c>
      <c r="F495" s="10">
        <f>IFERROR(VLOOKUP('Pairings NB'!$M$2207,Instructores!$A:$C,2,FALSE),"")</f>
        <v/>
      </c>
      <c r="G495" s="10">
        <f>'Pairings NB'!$M$2207</f>
        <v/>
      </c>
      <c r="H495" s="10">
        <f>'Pairings NB'!$O$2207</f>
        <v/>
      </c>
      <c r="I495" s="10">
        <f>'Pairings NB'!J2207</f>
        <v/>
      </c>
      <c r="J495" s="10">
        <f>IFERROR(VLOOKUP('Pairings NB'!$M$2207,Instructores!$A:$C,3,FALSE),"")</f>
        <v/>
      </c>
      <c r="K495" s="10">
        <f>IF('Pairings NB'!J2207=320,4,3)</f>
        <v/>
      </c>
    </row>
    <row r="496">
      <c r="A496" s="10">
        <f>'Pairings NB'!B2212</f>
        <v/>
      </c>
      <c r="B496" s="10">
        <f>'Pairings NB'!C2212</f>
        <v/>
      </c>
      <c r="C496" s="10">
        <f>'Pairings NB'!D2212</f>
        <v/>
      </c>
      <c r="D496" s="10">
        <f>'Pairings NB'!E2212&amp;"/"&amp;'Pairings NB'!E2213</f>
        <v/>
      </c>
      <c r="E496" s="10">
        <f>'Pairings NB'!F2212&amp;"-"&amp;'Pairings NB'!G2212&amp;"-"&amp;'Pairings NB'!F2212</f>
        <v/>
      </c>
      <c r="F496" s="10">
        <f>IFERROR(VLOOKUP('Pairings NB'!$M$2212,Instructores!$A:$C,2,FALSE),"")</f>
        <v/>
      </c>
      <c r="G496" s="10">
        <f>'Pairings NB'!$M$2212</f>
        <v/>
      </c>
      <c r="H496" s="10">
        <f>'Pairings NB'!$O$2212</f>
        <v/>
      </c>
      <c r="I496" s="10">
        <f>'Pairings NB'!J2212</f>
        <v/>
      </c>
      <c r="J496" s="10">
        <f>IFERROR(VLOOKUP('Pairings NB'!$M$2212,Instructores!$A:$C,3,FALSE),"")</f>
        <v/>
      </c>
      <c r="K496" s="10">
        <f>IF('Pairings NB'!J2212=320,4,3)</f>
        <v/>
      </c>
    </row>
    <row r="497">
      <c r="A497" s="10">
        <f>'Pairings NB'!B2217</f>
        <v/>
      </c>
      <c r="B497" s="10">
        <f>'Pairings NB'!C2217</f>
        <v/>
      </c>
      <c r="C497" s="10">
        <f>'Pairings NB'!D2217</f>
        <v/>
      </c>
      <c r="D497" s="10">
        <f>'Pairings NB'!E2217&amp;"/"&amp;'Pairings NB'!E2218</f>
        <v/>
      </c>
      <c r="E497" s="10">
        <f>'Pairings NB'!F2217&amp;"-"&amp;'Pairings NB'!G2217&amp;"-"&amp;'Pairings NB'!F2217</f>
        <v/>
      </c>
      <c r="F497" s="10">
        <f>IFERROR(VLOOKUP('Pairings NB'!$M$2217,Instructores!$A:$C,2,FALSE),"")</f>
        <v/>
      </c>
      <c r="G497" s="10">
        <f>'Pairings NB'!$M$2217</f>
        <v/>
      </c>
      <c r="H497" s="10">
        <f>'Pairings NB'!$O$2217</f>
        <v/>
      </c>
      <c r="I497" s="10">
        <f>'Pairings NB'!J2217</f>
        <v/>
      </c>
      <c r="J497" s="10">
        <f>IFERROR(VLOOKUP('Pairings NB'!$M$2217,Instructores!$A:$C,3,FALSE),"")</f>
        <v/>
      </c>
      <c r="K497" s="10">
        <f>IF('Pairings NB'!J2217=320,4,3)</f>
        <v/>
      </c>
    </row>
    <row r="498">
      <c r="A498" s="10">
        <f>'Pairings NB'!B2222</f>
        <v/>
      </c>
      <c r="B498" s="10">
        <f>'Pairings NB'!C2222</f>
        <v/>
      </c>
      <c r="C498" s="10">
        <f>'Pairings NB'!D2222</f>
        <v/>
      </c>
      <c r="D498" s="10">
        <f>'Pairings NB'!E2222&amp;"/"&amp;'Pairings NB'!E2223</f>
        <v/>
      </c>
      <c r="E498" s="10">
        <f>'Pairings NB'!F2222&amp;"-"&amp;'Pairings NB'!G2222&amp;"-"&amp;'Pairings NB'!F2222</f>
        <v/>
      </c>
      <c r="F498" s="10">
        <f>IFERROR(VLOOKUP('Pairings NB'!$M$2222,Instructores!$A:$C,2,FALSE),"")</f>
        <v/>
      </c>
      <c r="G498" s="10">
        <f>'Pairings NB'!$M$2222</f>
        <v/>
      </c>
      <c r="H498" s="10">
        <f>'Pairings NB'!$O$2222</f>
        <v/>
      </c>
      <c r="I498" s="10">
        <f>'Pairings NB'!J2222</f>
        <v/>
      </c>
      <c r="J498" s="10">
        <f>IFERROR(VLOOKUP('Pairings NB'!$M$2222,Instructores!$A:$C,3,FALSE),"")</f>
        <v/>
      </c>
      <c r="K498" s="10">
        <f>IF('Pairings NB'!J2222=320,4,3)</f>
        <v/>
      </c>
    </row>
    <row r="499">
      <c r="A499" s="10">
        <f>'Pairings NB'!B2227</f>
        <v/>
      </c>
      <c r="B499" s="10">
        <f>'Pairings NB'!C2227</f>
        <v/>
      </c>
      <c r="C499" s="10">
        <f>'Pairings NB'!D2227</f>
        <v/>
      </c>
      <c r="D499" s="10">
        <f>'Pairings NB'!E2227&amp;"/"&amp;'Pairings NB'!E2228</f>
        <v/>
      </c>
      <c r="E499" s="10">
        <f>'Pairings NB'!F2227&amp;"-"&amp;'Pairings NB'!G2227&amp;"-"&amp;'Pairings NB'!F2227</f>
        <v/>
      </c>
      <c r="F499" s="10">
        <f>IFERROR(VLOOKUP('Pairings NB'!$M$2227,Instructores!$A:$C,2,FALSE),"")</f>
        <v/>
      </c>
      <c r="G499" s="10">
        <f>'Pairings NB'!$M$2227</f>
        <v/>
      </c>
      <c r="H499" s="10">
        <f>'Pairings NB'!$O$2227</f>
        <v/>
      </c>
      <c r="I499" s="10">
        <f>'Pairings NB'!J2227</f>
        <v/>
      </c>
      <c r="J499" s="10">
        <f>IFERROR(VLOOKUP('Pairings NB'!$M$2227,Instructores!$A:$C,3,FALSE),"")</f>
        <v/>
      </c>
      <c r="K499" s="10">
        <f>IF('Pairings NB'!J2227=320,4,3)</f>
        <v/>
      </c>
    </row>
    <row r="500">
      <c r="A500" s="10">
        <f>'Pairings NB'!B2229</f>
        <v/>
      </c>
      <c r="B500" s="10">
        <f>'Pairings NB'!C2229</f>
        <v/>
      </c>
      <c r="C500" s="10">
        <f>'Pairings NB'!D2229</f>
        <v/>
      </c>
      <c r="D500" s="10">
        <f>'Pairings NB'!E2229&amp;"/"&amp;'Pairings NB'!E2230</f>
        <v/>
      </c>
      <c r="E500" s="10">
        <f>'Pairings NB'!F2229&amp;"-"&amp;'Pairings NB'!G2229&amp;"-"&amp;'Pairings NB'!F2229</f>
        <v/>
      </c>
      <c r="F500" s="10">
        <f>IFERROR(VLOOKUP('Pairings NB'!$M$2227,Instructores!$A:$C,2,FALSE),"")</f>
        <v/>
      </c>
      <c r="G500" s="10">
        <f>'Pairings NB'!$M$2227</f>
        <v/>
      </c>
      <c r="H500" s="10">
        <f>'Pairings NB'!$O$2227</f>
        <v/>
      </c>
      <c r="I500" s="10">
        <f>'Pairings NB'!J2229</f>
        <v/>
      </c>
      <c r="J500" s="10">
        <f>IFERROR(VLOOKUP('Pairings NB'!$M$2227,Instructores!$A:$C,3,FALSE),"")</f>
        <v/>
      </c>
      <c r="K500" s="10">
        <f>IF('Pairings NB'!J2229=320,4,3)</f>
        <v/>
      </c>
    </row>
    <row r="501">
      <c r="A501" s="10">
        <f>'Pairings NB'!B2234</f>
        <v/>
      </c>
      <c r="B501" s="10">
        <f>'Pairings NB'!C2234</f>
        <v/>
      </c>
      <c r="C501" s="10">
        <f>'Pairings NB'!D2234</f>
        <v/>
      </c>
      <c r="D501" s="10">
        <f>'Pairings NB'!E2234&amp;"/"&amp;'Pairings NB'!E2235</f>
        <v/>
      </c>
      <c r="E501" s="10">
        <f>'Pairings NB'!F2234&amp;"-"&amp;'Pairings NB'!G2234&amp;"-"&amp;'Pairings NB'!F2234</f>
        <v/>
      </c>
      <c r="F501" s="10">
        <f>IFERROR(VLOOKUP('Pairings NB'!$M$2234,Instructores!$A:$C,2,FALSE),"")</f>
        <v/>
      </c>
      <c r="G501" s="10">
        <f>'Pairings NB'!$M$2234</f>
        <v/>
      </c>
      <c r="H501" s="10">
        <f>'Pairings NB'!$O$2234</f>
        <v/>
      </c>
      <c r="I501" s="10">
        <f>'Pairings NB'!J2234</f>
        <v/>
      </c>
      <c r="J501" s="10">
        <f>IFERROR(VLOOKUP('Pairings NB'!$M$2234,Instructores!$A:$C,3,FALSE),"")</f>
        <v/>
      </c>
      <c r="K501" s="10">
        <f>IF('Pairings NB'!J2234=320,4,3)</f>
        <v/>
      </c>
    </row>
    <row r="502">
      <c r="A502" s="10">
        <f>'Pairings NB'!B2236</f>
        <v/>
      </c>
      <c r="B502" s="10">
        <f>'Pairings NB'!C2236</f>
        <v/>
      </c>
      <c r="C502" s="10">
        <f>'Pairings NB'!D2236</f>
        <v/>
      </c>
      <c r="D502" s="10">
        <f>'Pairings NB'!E2236&amp;"/"&amp;'Pairings NB'!E2237</f>
        <v/>
      </c>
      <c r="E502" s="10">
        <f>'Pairings NB'!F2236&amp;"-"&amp;'Pairings NB'!G2236&amp;"-"&amp;'Pairings NB'!F2236</f>
        <v/>
      </c>
      <c r="F502" s="10">
        <f>IFERROR(VLOOKUP('Pairings NB'!$M$2234,Instructores!$A:$C,2,FALSE),"")</f>
        <v/>
      </c>
      <c r="G502" s="10">
        <f>'Pairings NB'!$M$2234</f>
        <v/>
      </c>
      <c r="H502" s="10">
        <f>'Pairings NB'!$O$2234</f>
        <v/>
      </c>
      <c r="I502" s="10">
        <f>'Pairings NB'!J2236</f>
        <v/>
      </c>
      <c r="J502" s="10">
        <f>IFERROR(VLOOKUP('Pairings NB'!$M$2234,Instructores!$A:$C,3,FALSE),"")</f>
        <v/>
      </c>
      <c r="K502" s="10">
        <f>IF('Pairings NB'!J2236=320,4,3)</f>
        <v/>
      </c>
    </row>
    <row r="503">
      <c r="A503" s="10">
        <f>'Pairings NB'!B2241</f>
        <v/>
      </c>
      <c r="B503" s="10">
        <f>'Pairings NB'!C2241</f>
        <v/>
      </c>
      <c r="C503" s="10">
        <f>'Pairings NB'!D2241</f>
        <v/>
      </c>
      <c r="D503" s="10">
        <f>'Pairings NB'!E2241&amp;"/"&amp;'Pairings NB'!E2242</f>
        <v/>
      </c>
      <c r="E503" s="10">
        <f>'Pairings NB'!F2241&amp;"-"&amp;'Pairings NB'!G2241&amp;"-"&amp;'Pairings NB'!F2241</f>
        <v/>
      </c>
      <c r="F503" s="10">
        <f>IFERROR(VLOOKUP('Pairings NB'!$M$2241,Instructores!$A:$C,2,FALSE),"")</f>
        <v/>
      </c>
      <c r="G503" s="10">
        <f>'Pairings NB'!$M$2241</f>
        <v/>
      </c>
      <c r="H503" s="10">
        <f>'Pairings NB'!$O$2241</f>
        <v/>
      </c>
      <c r="I503" s="10">
        <f>'Pairings NB'!J2241</f>
        <v/>
      </c>
      <c r="J503" s="10">
        <f>IFERROR(VLOOKUP('Pairings NB'!$M$2241,Instructores!$A:$C,3,FALSE),"")</f>
        <v/>
      </c>
      <c r="K503" s="10">
        <f>IF('Pairings NB'!J2241=320,4,3)</f>
        <v/>
      </c>
    </row>
    <row r="504">
      <c r="A504" s="10">
        <f>'Pairings NB'!B2246</f>
        <v/>
      </c>
      <c r="B504" s="10">
        <f>'Pairings NB'!C2246</f>
        <v/>
      </c>
      <c r="C504" s="10">
        <f>'Pairings NB'!D2246</f>
        <v/>
      </c>
      <c r="D504" s="10">
        <f>'Pairings NB'!E2246&amp;"/"&amp;'Pairings NB'!E2247</f>
        <v/>
      </c>
      <c r="E504" s="10">
        <f>'Pairings NB'!F2246&amp;"-"&amp;'Pairings NB'!G2246&amp;"-"&amp;'Pairings NB'!F2246</f>
        <v/>
      </c>
      <c r="F504" s="10">
        <f>IFERROR(VLOOKUP('Pairings NB'!$M$2246,Instructores!$A:$C,2,FALSE),"")</f>
        <v/>
      </c>
      <c r="G504" s="10">
        <f>'Pairings NB'!$M$2246</f>
        <v/>
      </c>
      <c r="H504" s="10">
        <f>'Pairings NB'!$O$2246</f>
        <v/>
      </c>
      <c r="I504" s="10">
        <f>'Pairings NB'!J2246</f>
        <v/>
      </c>
      <c r="J504" s="10">
        <f>IFERROR(VLOOKUP('Pairings NB'!$M$2246,Instructores!$A:$C,3,FALSE),"")</f>
        <v/>
      </c>
      <c r="K504" s="10">
        <f>IF('Pairings NB'!J2246=320,4,3)</f>
        <v/>
      </c>
    </row>
    <row r="505">
      <c r="A505" s="10">
        <f>'Pairings NB'!B2251</f>
        <v/>
      </c>
      <c r="B505" s="10">
        <f>'Pairings NB'!C2251</f>
        <v/>
      </c>
      <c r="C505" s="10">
        <f>'Pairings NB'!D2251</f>
        <v/>
      </c>
      <c r="D505" s="10">
        <f>'Pairings NB'!E2251&amp;"/"&amp;'Pairings NB'!E2252</f>
        <v/>
      </c>
      <c r="E505" s="10">
        <f>'Pairings NB'!F2251&amp;"-"&amp;'Pairings NB'!G2251&amp;"-"&amp;'Pairings NB'!F2251</f>
        <v/>
      </c>
      <c r="F505" s="10">
        <f>IFERROR(VLOOKUP('Pairings NB'!$M$2251,Instructores!$A:$C,2,FALSE),"")</f>
        <v/>
      </c>
      <c r="G505" s="10">
        <f>'Pairings NB'!$M$2251</f>
        <v/>
      </c>
      <c r="H505" s="10">
        <f>'Pairings NB'!$O$2251</f>
        <v/>
      </c>
      <c r="I505" s="10">
        <f>'Pairings NB'!J2251</f>
        <v/>
      </c>
      <c r="J505" s="10">
        <f>IFERROR(VLOOKUP('Pairings NB'!$M$2251,Instructores!$A:$C,3,FALSE),"")</f>
        <v/>
      </c>
      <c r="K505" s="10">
        <f>IF('Pairings NB'!J2251=320,4,3)</f>
        <v/>
      </c>
    </row>
    <row r="506">
      <c r="A506" s="10">
        <f>'Pairings NB'!B2253</f>
        <v/>
      </c>
      <c r="B506" s="10">
        <f>'Pairings NB'!C2253</f>
        <v/>
      </c>
      <c r="C506" s="10">
        <f>'Pairings NB'!D2253</f>
        <v/>
      </c>
      <c r="D506" s="10">
        <f>'Pairings NB'!E2253&amp;"/"&amp;'Pairings NB'!E2254</f>
        <v/>
      </c>
      <c r="E506" s="10">
        <f>'Pairings NB'!F2253&amp;"-"&amp;'Pairings NB'!G2253&amp;"-"&amp;'Pairings NB'!F2253</f>
        <v/>
      </c>
      <c r="F506" s="10">
        <f>IFERROR(VLOOKUP('Pairings NB'!$M$2251,Instructores!$A:$C,2,FALSE),"")</f>
        <v/>
      </c>
      <c r="G506" s="10">
        <f>'Pairings NB'!$M$2251</f>
        <v/>
      </c>
      <c r="H506" s="10">
        <f>'Pairings NB'!$O$2251</f>
        <v/>
      </c>
      <c r="I506" s="10">
        <f>'Pairings NB'!J2253</f>
        <v/>
      </c>
      <c r="J506" s="10">
        <f>IFERROR(VLOOKUP('Pairings NB'!$M$2251,Instructores!$A:$C,3,FALSE),"")</f>
        <v/>
      </c>
      <c r="K506" s="10">
        <f>IF('Pairings NB'!J2253=320,4,3)</f>
        <v/>
      </c>
    </row>
    <row r="507">
      <c r="A507" s="10">
        <f>'Pairings NB'!B2258</f>
        <v/>
      </c>
      <c r="B507" s="10">
        <f>'Pairings NB'!C2258</f>
        <v/>
      </c>
      <c r="C507" s="10">
        <f>'Pairings NB'!D2258</f>
        <v/>
      </c>
      <c r="D507" s="10">
        <f>'Pairings NB'!E2258&amp;"/"&amp;'Pairings NB'!E2259</f>
        <v/>
      </c>
      <c r="E507" s="10">
        <f>'Pairings NB'!F2258&amp;"-"&amp;'Pairings NB'!G2258&amp;"-"&amp;'Pairings NB'!F2258</f>
        <v/>
      </c>
      <c r="F507" s="10">
        <f>IFERROR(VLOOKUP('Pairings NB'!$M$2258,Instructores!$A:$C,2,FALSE),"")</f>
        <v/>
      </c>
      <c r="G507" s="10">
        <f>'Pairings NB'!$M$2258</f>
        <v/>
      </c>
      <c r="H507" s="10">
        <f>'Pairings NB'!$O$2258</f>
        <v/>
      </c>
      <c r="I507" s="10">
        <f>'Pairings NB'!J2258</f>
        <v/>
      </c>
      <c r="J507" s="10">
        <f>IFERROR(VLOOKUP('Pairings NB'!$M$2258,Instructores!$A:$C,3,FALSE),"")</f>
        <v/>
      </c>
      <c r="K507" s="10">
        <f>IF('Pairings NB'!J2258=320,4,3)</f>
        <v/>
      </c>
    </row>
    <row r="508">
      <c r="A508" s="10">
        <f>'Pairings NB'!B2263</f>
        <v/>
      </c>
      <c r="B508" s="10">
        <f>'Pairings NB'!C2263</f>
        <v/>
      </c>
      <c r="C508" s="10">
        <f>'Pairings NB'!D2263</f>
        <v/>
      </c>
      <c r="D508" s="10">
        <f>'Pairings NB'!E2263&amp;"/"&amp;'Pairings NB'!E2264</f>
        <v/>
      </c>
      <c r="E508" s="10">
        <f>'Pairings NB'!F2263&amp;"-"&amp;'Pairings NB'!G2263&amp;"-"&amp;'Pairings NB'!F2263</f>
        <v/>
      </c>
      <c r="F508" s="10">
        <f>IFERROR(VLOOKUP('Pairings NB'!$M$2263,Instructores!$A:$C,2,FALSE),"")</f>
        <v/>
      </c>
      <c r="G508" s="10">
        <f>'Pairings NB'!$M$2263</f>
        <v/>
      </c>
      <c r="H508" s="10">
        <f>'Pairings NB'!$O$2263</f>
        <v/>
      </c>
      <c r="I508" s="10">
        <f>'Pairings NB'!J2263</f>
        <v/>
      </c>
      <c r="J508" s="10">
        <f>IFERROR(VLOOKUP('Pairings NB'!$M$2263,Instructores!$A:$C,3,FALSE),"")</f>
        <v/>
      </c>
      <c r="K508" s="10">
        <f>IF('Pairings NB'!J2263=320,4,3)</f>
        <v/>
      </c>
    </row>
    <row r="509">
      <c r="A509" s="10">
        <f>'Pairings NB'!B2265</f>
        <v/>
      </c>
      <c r="B509" s="10">
        <f>'Pairings NB'!C2265</f>
        <v/>
      </c>
      <c r="C509" s="10">
        <f>'Pairings NB'!D2265</f>
        <v/>
      </c>
      <c r="D509" s="10">
        <f>'Pairings NB'!E2265&amp;"/"&amp;'Pairings NB'!E2266</f>
        <v/>
      </c>
      <c r="E509" s="10">
        <f>'Pairings NB'!F2265&amp;"-"&amp;'Pairings NB'!G2265&amp;"-"&amp;'Pairings NB'!F2265</f>
        <v/>
      </c>
      <c r="F509" s="10">
        <f>IFERROR(VLOOKUP('Pairings NB'!$M$2263,Instructores!$A:$C,2,FALSE),"")</f>
        <v/>
      </c>
      <c r="G509" s="10">
        <f>'Pairings NB'!$M$2263</f>
        <v/>
      </c>
      <c r="H509" s="10">
        <f>'Pairings NB'!$O$2263</f>
        <v/>
      </c>
      <c r="I509" s="10">
        <f>'Pairings NB'!J2265</f>
        <v/>
      </c>
      <c r="J509" s="10">
        <f>IFERROR(VLOOKUP('Pairings NB'!$M$2263,Instructores!$A:$C,3,FALSE),"")</f>
        <v/>
      </c>
      <c r="K509" s="10">
        <f>IF('Pairings NB'!J2265=320,4,3)</f>
        <v/>
      </c>
    </row>
    <row r="510">
      <c r="A510" s="10">
        <f>'Pairings NB'!B2270</f>
        <v/>
      </c>
      <c r="B510" s="10">
        <f>'Pairings NB'!C2270</f>
        <v/>
      </c>
      <c r="C510" s="10">
        <f>'Pairings NB'!D2270</f>
        <v/>
      </c>
      <c r="D510" s="10">
        <f>'Pairings NB'!E2270&amp;"/"&amp;'Pairings NB'!E2271</f>
        <v/>
      </c>
      <c r="E510" s="10">
        <f>'Pairings NB'!F2270&amp;"-"&amp;'Pairings NB'!G2270&amp;"-"&amp;'Pairings NB'!F2270</f>
        <v/>
      </c>
      <c r="F510" s="10">
        <f>IFERROR(VLOOKUP('Pairings NB'!$M$2270,Instructores!$A:$C,2,FALSE),"")</f>
        <v/>
      </c>
      <c r="G510" s="10">
        <f>'Pairings NB'!$M$2270</f>
        <v/>
      </c>
      <c r="H510" s="10">
        <f>'Pairings NB'!$O$2270</f>
        <v/>
      </c>
      <c r="I510" s="10">
        <f>'Pairings NB'!J2270</f>
        <v/>
      </c>
      <c r="J510" s="10">
        <f>IFERROR(VLOOKUP('Pairings NB'!$M$2270,Instructores!$A:$C,3,FALSE),"")</f>
        <v/>
      </c>
      <c r="K510" s="10">
        <f>IF('Pairings NB'!J2270=320,4,3)</f>
        <v/>
      </c>
    </row>
    <row r="511">
      <c r="A511" s="10">
        <f>'Pairings NB'!B2275</f>
        <v/>
      </c>
      <c r="B511" s="10">
        <f>'Pairings NB'!C2275</f>
        <v/>
      </c>
      <c r="C511" s="10">
        <f>'Pairings NB'!D2275</f>
        <v/>
      </c>
      <c r="D511" s="10">
        <f>'Pairings NB'!E2275&amp;"/"&amp;'Pairings NB'!E2276</f>
        <v/>
      </c>
      <c r="E511" s="10">
        <f>'Pairings NB'!F2275&amp;"-"&amp;'Pairings NB'!G2275&amp;"-"&amp;'Pairings NB'!F2275</f>
        <v/>
      </c>
      <c r="F511" s="10">
        <f>IFERROR(VLOOKUP('Pairings NB'!$M$2275,Instructores!$A:$C,2,FALSE),"")</f>
        <v/>
      </c>
      <c r="G511" s="10">
        <f>'Pairings NB'!$M$2275</f>
        <v/>
      </c>
      <c r="H511" s="10">
        <f>'Pairings NB'!$O$2275</f>
        <v/>
      </c>
      <c r="I511" s="10">
        <f>'Pairings NB'!J2275</f>
        <v/>
      </c>
      <c r="J511" s="10">
        <f>IFERROR(VLOOKUP('Pairings NB'!$M$2275,Instructores!$A:$C,3,FALSE),"")</f>
        <v/>
      </c>
      <c r="K511" s="10">
        <f>IF('Pairings NB'!J2275=320,4,3)</f>
        <v/>
      </c>
    </row>
    <row r="512">
      <c r="A512" s="10">
        <f>'Pairings NB'!B2280</f>
        <v/>
      </c>
      <c r="B512" s="10">
        <f>'Pairings NB'!C2280</f>
        <v/>
      </c>
      <c r="C512" s="10">
        <f>'Pairings NB'!D2280</f>
        <v/>
      </c>
      <c r="D512" s="10">
        <f>'Pairings NB'!E2280&amp;"/"&amp;'Pairings NB'!E2281</f>
        <v/>
      </c>
      <c r="E512" s="10">
        <f>'Pairings NB'!F2280&amp;"-"&amp;'Pairings NB'!G2280&amp;"-"&amp;'Pairings NB'!F2280</f>
        <v/>
      </c>
      <c r="F512" s="10">
        <f>IFERROR(VLOOKUP('Pairings NB'!$M$2280,Instructores!$A:$C,2,FALSE),"")</f>
        <v/>
      </c>
      <c r="G512" s="10">
        <f>'Pairings NB'!$M$2280</f>
        <v/>
      </c>
      <c r="H512" s="10">
        <f>'Pairings NB'!$O$2280</f>
        <v/>
      </c>
      <c r="I512" s="10">
        <f>'Pairings NB'!J2280</f>
        <v/>
      </c>
      <c r="J512" s="10">
        <f>IFERROR(VLOOKUP('Pairings NB'!$M$2280,Instructores!$A:$C,3,FALSE),"")</f>
        <v/>
      </c>
      <c r="K512" s="10">
        <f>IF('Pairings NB'!J2280=320,4,3)</f>
        <v/>
      </c>
    </row>
    <row r="513">
      <c r="A513" s="10">
        <f>'Pairings NB'!B2285</f>
        <v/>
      </c>
      <c r="B513" s="10">
        <f>'Pairings NB'!C2285</f>
        <v/>
      </c>
      <c r="C513" s="10">
        <f>'Pairings NB'!D2285</f>
        <v/>
      </c>
      <c r="D513" s="10">
        <f>'Pairings NB'!E2285&amp;"/"&amp;'Pairings NB'!E2286</f>
        <v/>
      </c>
      <c r="E513" s="10">
        <f>'Pairings NB'!F2285&amp;"-"&amp;'Pairings NB'!G2285&amp;"-"&amp;'Pairings NB'!F2285</f>
        <v/>
      </c>
      <c r="F513" s="10">
        <f>IFERROR(VLOOKUP('Pairings NB'!$M$2285,Instructores!$A:$C,2,FALSE),"")</f>
        <v/>
      </c>
      <c r="G513" s="10">
        <f>'Pairings NB'!$M$2285</f>
        <v/>
      </c>
      <c r="H513" s="10">
        <f>'Pairings NB'!$O$2285</f>
        <v/>
      </c>
      <c r="I513" s="10">
        <f>'Pairings NB'!J2285</f>
        <v/>
      </c>
      <c r="J513" s="10">
        <f>IFERROR(VLOOKUP('Pairings NB'!$M$2285,Instructores!$A:$C,3,FALSE),"")</f>
        <v/>
      </c>
      <c r="K513" s="10">
        <f>IF('Pairings NB'!J2285=320,4,3)</f>
        <v/>
      </c>
    </row>
    <row r="514">
      <c r="A514" s="10">
        <f>'Pairings NB'!B2290</f>
        <v/>
      </c>
      <c r="B514" s="10">
        <f>'Pairings NB'!C2290</f>
        <v/>
      </c>
      <c r="C514" s="10">
        <f>'Pairings NB'!D2290</f>
        <v/>
      </c>
      <c r="D514" s="10">
        <f>'Pairings NB'!E2290&amp;"/"&amp;'Pairings NB'!E2291</f>
        <v/>
      </c>
      <c r="E514" s="10">
        <f>'Pairings NB'!F2290&amp;"-"&amp;'Pairings NB'!G2290&amp;"-"&amp;'Pairings NB'!F2290</f>
        <v/>
      </c>
      <c r="F514" s="10">
        <f>IFERROR(VLOOKUP('Pairings NB'!$M$2290,Instructores!$A:$C,2,FALSE),"")</f>
        <v/>
      </c>
      <c r="G514" s="10">
        <f>'Pairings NB'!$M$2290</f>
        <v/>
      </c>
      <c r="H514" s="10">
        <f>'Pairings NB'!$O$2290</f>
        <v/>
      </c>
      <c r="I514" s="10">
        <f>'Pairings NB'!J2290</f>
        <v/>
      </c>
      <c r="J514" s="10">
        <f>IFERROR(VLOOKUP('Pairings NB'!$M$2290,Instructores!$A:$C,3,FALSE),"")</f>
        <v/>
      </c>
      <c r="K514" s="10">
        <f>IF('Pairings NB'!J2290=320,4,3)</f>
        <v/>
      </c>
    </row>
    <row r="515">
      <c r="A515" s="10">
        <f>'Pairings NB'!B2295</f>
        <v/>
      </c>
      <c r="B515" s="10">
        <f>'Pairings NB'!C2295</f>
        <v/>
      </c>
      <c r="C515" s="10">
        <f>'Pairings NB'!D2295</f>
        <v/>
      </c>
      <c r="D515" s="10">
        <f>'Pairings NB'!E2295&amp;"/"&amp;'Pairings NB'!E2296</f>
        <v/>
      </c>
      <c r="E515" s="10">
        <f>'Pairings NB'!F2295&amp;"-"&amp;'Pairings NB'!G2295&amp;"-"&amp;'Pairings NB'!F2295</f>
        <v/>
      </c>
      <c r="F515" s="10">
        <f>IFERROR(VLOOKUP('Pairings NB'!$M$2295,Instructores!$A:$C,2,FALSE),"")</f>
        <v/>
      </c>
      <c r="G515" s="10">
        <f>'Pairings NB'!$M$2295</f>
        <v/>
      </c>
      <c r="H515" s="10">
        <f>'Pairings NB'!$O$2295</f>
        <v/>
      </c>
      <c r="I515" s="10">
        <f>'Pairings NB'!J2295</f>
        <v/>
      </c>
      <c r="J515" s="10">
        <f>IFERROR(VLOOKUP('Pairings NB'!$M$2295,Instructores!$A:$C,3,FALSE),"")</f>
        <v/>
      </c>
      <c r="K515" s="10">
        <f>IF('Pairings NB'!J2295=320,4,3)</f>
        <v/>
      </c>
    </row>
    <row r="516">
      <c r="A516" s="10">
        <f>'Pairings NB'!B2300</f>
        <v/>
      </c>
      <c r="B516" s="10">
        <f>'Pairings NB'!C2300</f>
        <v/>
      </c>
      <c r="C516" s="10">
        <f>'Pairings NB'!D2300</f>
        <v/>
      </c>
      <c r="D516" s="10">
        <f>'Pairings NB'!E2300&amp;"/"&amp;'Pairings NB'!E2301</f>
        <v/>
      </c>
      <c r="E516" s="10">
        <f>'Pairings NB'!F2300&amp;"-"&amp;'Pairings NB'!G2300&amp;"-"&amp;'Pairings NB'!F2300</f>
        <v/>
      </c>
      <c r="F516" s="10">
        <f>IFERROR(VLOOKUP('Pairings NB'!$M$2300,Instructores!$A:$C,2,FALSE),"")</f>
        <v/>
      </c>
      <c r="G516" s="10">
        <f>'Pairings NB'!$M$2300</f>
        <v/>
      </c>
      <c r="H516" s="10">
        <f>'Pairings NB'!$O$2300</f>
        <v/>
      </c>
      <c r="I516" s="10">
        <f>'Pairings NB'!J2300</f>
        <v/>
      </c>
      <c r="J516" s="10">
        <f>IFERROR(VLOOKUP('Pairings NB'!$M$2300,Instructores!$A:$C,3,FALSE),"")</f>
        <v/>
      </c>
      <c r="K516" s="10">
        <f>IF('Pairings NB'!J2300=320,4,3)</f>
        <v/>
      </c>
    </row>
    <row r="517">
      <c r="A517" s="10">
        <f>'Pairings NB'!B2305</f>
        <v/>
      </c>
      <c r="B517" s="10">
        <f>'Pairings NB'!C2305</f>
        <v/>
      </c>
      <c r="C517" s="10">
        <f>'Pairings NB'!D2305</f>
        <v/>
      </c>
      <c r="D517" s="10">
        <f>'Pairings NB'!E2305&amp;"/"&amp;'Pairings NB'!E2306</f>
        <v/>
      </c>
      <c r="E517" s="10">
        <f>'Pairings NB'!F2305&amp;"-"&amp;'Pairings NB'!G2305&amp;"-"&amp;'Pairings NB'!F2305</f>
        <v/>
      </c>
      <c r="F517" s="10">
        <f>IFERROR(VLOOKUP('Pairings NB'!$M$2305,Instructores!$A:$C,2,FALSE),"")</f>
        <v/>
      </c>
      <c r="G517" s="10">
        <f>'Pairings NB'!$M$2305</f>
        <v/>
      </c>
      <c r="H517" s="10">
        <f>'Pairings NB'!$O$2305</f>
        <v/>
      </c>
      <c r="I517" s="10">
        <f>'Pairings NB'!J2305</f>
        <v/>
      </c>
      <c r="J517" s="10">
        <f>IFERROR(VLOOKUP('Pairings NB'!$M$2305,Instructores!$A:$C,3,FALSE),"")</f>
        <v/>
      </c>
      <c r="K517" s="10">
        <f>IF('Pairings NB'!J2305=320,4,3)</f>
        <v/>
      </c>
    </row>
    <row r="518">
      <c r="A518" s="10">
        <f>'Pairings NB'!B2310</f>
        <v/>
      </c>
      <c r="B518" s="10">
        <f>'Pairings NB'!C2310</f>
        <v/>
      </c>
      <c r="C518" s="10">
        <f>'Pairings NB'!D2310</f>
        <v/>
      </c>
      <c r="D518" s="10">
        <f>'Pairings NB'!E2310&amp;"/"&amp;'Pairings NB'!E2311</f>
        <v/>
      </c>
      <c r="E518" s="10">
        <f>'Pairings NB'!F2310&amp;"-"&amp;'Pairings NB'!G2310&amp;"-"&amp;'Pairings NB'!F2310</f>
        <v/>
      </c>
      <c r="F518" s="10">
        <f>IFERROR(VLOOKUP('Pairings NB'!$M$2310,Instructores!$A:$C,2,FALSE),"")</f>
        <v/>
      </c>
      <c r="G518" s="10">
        <f>'Pairings NB'!$M$2310</f>
        <v/>
      </c>
      <c r="H518" s="10">
        <f>'Pairings NB'!$O$2310</f>
        <v/>
      </c>
      <c r="I518" s="10">
        <f>'Pairings NB'!J2310</f>
        <v/>
      </c>
      <c r="J518" s="10">
        <f>IFERROR(VLOOKUP('Pairings NB'!$M$2310,Instructores!$A:$C,3,FALSE),"")</f>
        <v/>
      </c>
      <c r="K518" s="10">
        <f>IF('Pairings NB'!J2310=320,4,3)</f>
        <v/>
      </c>
    </row>
    <row r="519">
      <c r="A519" s="10">
        <f>'Pairings NB'!B2315</f>
        <v/>
      </c>
      <c r="B519" s="10">
        <f>'Pairings NB'!C2315</f>
        <v/>
      </c>
      <c r="C519" s="10">
        <f>'Pairings NB'!D2315</f>
        <v/>
      </c>
      <c r="D519" s="10">
        <f>'Pairings NB'!E2315&amp;"/"&amp;'Pairings NB'!E2316</f>
        <v/>
      </c>
      <c r="E519" s="10">
        <f>'Pairings NB'!F2315&amp;"-"&amp;'Pairings NB'!G2315&amp;"-"&amp;'Pairings NB'!F2315</f>
        <v/>
      </c>
      <c r="F519" s="10">
        <f>IFERROR(VLOOKUP('Pairings NB'!$M$2315,Instructores!$A:$C,2,FALSE),"")</f>
        <v/>
      </c>
      <c r="G519" s="10">
        <f>'Pairings NB'!$M$2315</f>
        <v/>
      </c>
      <c r="H519" s="10">
        <f>'Pairings NB'!$O$2315</f>
        <v/>
      </c>
      <c r="I519" s="10">
        <f>'Pairings NB'!J2315</f>
        <v/>
      </c>
      <c r="J519" s="10">
        <f>IFERROR(VLOOKUP('Pairings NB'!$M$2315,Instructores!$A:$C,3,FALSE),"")</f>
        <v/>
      </c>
      <c r="K519" s="10">
        <f>IF('Pairings NB'!J2315=320,4,3)</f>
        <v/>
      </c>
    </row>
    <row r="520">
      <c r="A520" s="10">
        <f>'Pairings NB'!B2320</f>
        <v/>
      </c>
      <c r="B520" s="10">
        <f>'Pairings NB'!C2320</f>
        <v/>
      </c>
      <c r="C520" s="10">
        <f>'Pairings NB'!D2320</f>
        <v/>
      </c>
      <c r="D520" s="10">
        <f>'Pairings NB'!E2320&amp;"/"&amp;'Pairings NB'!E2321</f>
        <v/>
      </c>
      <c r="E520" s="10">
        <f>'Pairings NB'!F2320&amp;"-"&amp;'Pairings NB'!G2320&amp;"-"&amp;'Pairings NB'!F2320</f>
        <v/>
      </c>
      <c r="F520" s="10">
        <f>IFERROR(VLOOKUP('Pairings NB'!$M$2320,Instructores!$A:$C,2,FALSE),"")</f>
        <v/>
      </c>
      <c r="G520" s="10">
        <f>'Pairings NB'!$M$2320</f>
        <v/>
      </c>
      <c r="H520" s="10">
        <f>'Pairings NB'!$O$2320</f>
        <v/>
      </c>
      <c r="I520" s="10">
        <f>'Pairings NB'!J2320</f>
        <v/>
      </c>
      <c r="J520" s="10">
        <f>IFERROR(VLOOKUP('Pairings NB'!$M$2320,Instructores!$A:$C,3,FALSE),"")</f>
        <v/>
      </c>
      <c r="K520" s="10">
        <f>IF('Pairings NB'!J2320=320,4,3)</f>
        <v/>
      </c>
    </row>
    <row r="521">
      <c r="A521" s="10">
        <f>'Pairings NB'!B2325</f>
        <v/>
      </c>
      <c r="B521" s="10">
        <f>'Pairings NB'!C2325</f>
        <v/>
      </c>
      <c r="C521" s="10">
        <f>'Pairings NB'!D2325</f>
        <v/>
      </c>
      <c r="D521" s="10">
        <f>'Pairings NB'!E2325&amp;"/"&amp;'Pairings NB'!E2326</f>
        <v/>
      </c>
      <c r="E521" s="10">
        <f>'Pairings NB'!F2325&amp;"-"&amp;'Pairings NB'!G2325&amp;"-"&amp;'Pairings NB'!F2325</f>
        <v/>
      </c>
      <c r="F521" s="10">
        <f>IFERROR(VLOOKUP('Pairings NB'!$M$2325,Instructores!$A:$C,2,FALSE),"")</f>
        <v/>
      </c>
      <c r="G521" s="10">
        <f>'Pairings NB'!$M$2325</f>
        <v/>
      </c>
      <c r="H521" s="10">
        <f>'Pairings NB'!$O$2325</f>
        <v/>
      </c>
      <c r="I521" s="10">
        <f>'Pairings NB'!J2325</f>
        <v/>
      </c>
      <c r="J521" s="10">
        <f>IFERROR(VLOOKUP('Pairings NB'!$M$2325,Instructores!$A:$C,3,FALSE),"")</f>
        <v/>
      </c>
      <c r="K521" s="10">
        <f>IF('Pairings NB'!J2325=320,4,3)</f>
        <v/>
      </c>
    </row>
    <row r="522">
      <c r="A522" s="10">
        <f>'Pairings NB'!B2330</f>
        <v/>
      </c>
      <c r="B522" s="10">
        <f>'Pairings NB'!C2330</f>
        <v/>
      </c>
      <c r="C522" s="10">
        <f>'Pairings NB'!D2330</f>
        <v/>
      </c>
      <c r="D522" s="10">
        <f>'Pairings NB'!E2330&amp;"/"&amp;'Pairings NB'!E2331</f>
        <v/>
      </c>
      <c r="E522" s="10">
        <f>'Pairings NB'!F2330&amp;"-"&amp;'Pairings NB'!G2330&amp;"-"&amp;'Pairings NB'!F2330</f>
        <v/>
      </c>
      <c r="F522" s="10">
        <f>IFERROR(VLOOKUP('Pairings NB'!$M$2330,Instructores!$A:$C,2,FALSE),"")</f>
        <v/>
      </c>
      <c r="G522" s="10">
        <f>'Pairings NB'!$M$2330</f>
        <v/>
      </c>
      <c r="H522" s="10">
        <f>'Pairings NB'!$O$2330</f>
        <v/>
      </c>
      <c r="I522" s="10">
        <f>'Pairings NB'!J2330</f>
        <v/>
      </c>
      <c r="J522" s="10">
        <f>IFERROR(VLOOKUP('Pairings NB'!$M$2330,Instructores!$A:$C,3,FALSE),"")</f>
        <v/>
      </c>
      <c r="K522" s="10">
        <f>IF('Pairings NB'!J2330=320,4,3)</f>
        <v/>
      </c>
    </row>
    <row r="523">
      <c r="A523" s="10">
        <f>'Pairings NB'!B2335</f>
        <v/>
      </c>
      <c r="B523" s="10">
        <f>'Pairings NB'!C2335</f>
        <v/>
      </c>
      <c r="C523" s="10">
        <f>'Pairings NB'!D2335</f>
        <v/>
      </c>
      <c r="D523" s="10">
        <f>'Pairings NB'!E2335&amp;"/"&amp;'Pairings NB'!E2336</f>
        <v/>
      </c>
      <c r="E523" s="10">
        <f>'Pairings NB'!F2335&amp;"-"&amp;'Pairings NB'!G2335&amp;"-"&amp;'Pairings NB'!F2335</f>
        <v/>
      </c>
      <c r="F523" s="10">
        <f>IFERROR(VLOOKUP('Pairings NB'!$M$2335,Instructores!$A:$C,2,FALSE),"")</f>
        <v/>
      </c>
      <c r="G523" s="10">
        <f>'Pairings NB'!$M$2335</f>
        <v/>
      </c>
      <c r="H523" s="10">
        <f>'Pairings NB'!$O$2335</f>
        <v/>
      </c>
      <c r="I523" s="10">
        <f>'Pairings NB'!J2335</f>
        <v/>
      </c>
      <c r="J523" s="10">
        <f>IFERROR(VLOOKUP('Pairings NB'!$M$2335,Instructores!$A:$C,3,FALSE),"")</f>
        <v/>
      </c>
      <c r="K523" s="10">
        <f>IF('Pairings NB'!J2335=320,4,3)</f>
        <v/>
      </c>
    </row>
    <row r="524">
      <c r="A524" s="10">
        <f>'Pairings NB'!B2340</f>
        <v/>
      </c>
      <c r="B524" s="10">
        <f>'Pairings NB'!C2340</f>
        <v/>
      </c>
      <c r="C524" s="10">
        <f>'Pairings NB'!D2340</f>
        <v/>
      </c>
      <c r="D524" s="10">
        <f>'Pairings NB'!E2340&amp;"/"&amp;'Pairings NB'!E2341</f>
        <v/>
      </c>
      <c r="E524" s="10">
        <f>'Pairings NB'!F2340&amp;"-"&amp;'Pairings NB'!G2340&amp;"-"&amp;'Pairings NB'!F2340</f>
        <v/>
      </c>
      <c r="F524" s="10">
        <f>IFERROR(VLOOKUP('Pairings NB'!$M$2340,Instructores!$A:$C,2,FALSE),"")</f>
        <v/>
      </c>
      <c r="G524" s="10">
        <f>'Pairings NB'!$M$2340</f>
        <v/>
      </c>
      <c r="H524" s="10">
        <f>'Pairings NB'!$O$2340</f>
        <v/>
      </c>
      <c r="I524" s="10">
        <f>'Pairings NB'!J2340</f>
        <v/>
      </c>
      <c r="J524" s="10">
        <f>IFERROR(VLOOKUP('Pairings NB'!$M$2340,Instructores!$A:$C,3,FALSE),"")</f>
        <v/>
      </c>
      <c r="K524" s="10">
        <f>IF('Pairings NB'!J2340=320,4,3)</f>
        <v/>
      </c>
    </row>
    <row r="525">
      <c r="A525" s="10">
        <f>'Pairings NB'!B2342</f>
        <v/>
      </c>
      <c r="B525" s="10">
        <f>'Pairings NB'!C2342</f>
        <v/>
      </c>
      <c r="C525" s="10">
        <f>'Pairings NB'!D2342</f>
        <v/>
      </c>
      <c r="D525" s="10">
        <f>'Pairings NB'!E2342&amp;"/"&amp;'Pairings NB'!E2343</f>
        <v/>
      </c>
      <c r="E525" s="10">
        <f>'Pairings NB'!F2342&amp;"-"&amp;'Pairings NB'!G2342&amp;"-"&amp;'Pairings NB'!F2342</f>
        <v/>
      </c>
      <c r="F525" s="10">
        <f>IFERROR(VLOOKUP('Pairings NB'!$M$2340,Instructores!$A:$C,2,FALSE),"")</f>
        <v/>
      </c>
      <c r="G525" s="10">
        <f>'Pairings NB'!$M$2340</f>
        <v/>
      </c>
      <c r="H525" s="10">
        <f>'Pairings NB'!$O$2340</f>
        <v/>
      </c>
      <c r="I525" s="10">
        <f>'Pairings NB'!J2342</f>
        <v/>
      </c>
      <c r="J525" s="10">
        <f>IFERROR(VLOOKUP('Pairings NB'!$M$2340,Instructores!$A:$C,3,FALSE),"")</f>
        <v/>
      </c>
      <c r="K525" s="10">
        <f>IF('Pairings NB'!J2342=320,4,3)</f>
        <v/>
      </c>
    </row>
    <row r="526">
      <c r="A526" s="10">
        <f>'Pairings NB'!B2347</f>
        <v/>
      </c>
      <c r="B526" s="10">
        <f>'Pairings NB'!C2347</f>
        <v/>
      </c>
      <c r="C526" s="10">
        <f>'Pairings NB'!D2347</f>
        <v/>
      </c>
      <c r="D526" s="10">
        <f>'Pairings NB'!E2347&amp;"/"&amp;'Pairings NB'!E2348</f>
        <v/>
      </c>
      <c r="E526" s="10">
        <f>'Pairings NB'!F2347&amp;"-"&amp;'Pairings NB'!G2347&amp;"-"&amp;'Pairings NB'!F2347</f>
        <v/>
      </c>
      <c r="F526" s="10">
        <f>IFERROR(VLOOKUP('Pairings NB'!$M$2347,Instructores!$A:$C,2,FALSE),"")</f>
        <v/>
      </c>
      <c r="G526" s="10">
        <f>'Pairings NB'!$M$2347</f>
        <v/>
      </c>
      <c r="H526" s="10">
        <f>'Pairings NB'!$O$2347</f>
        <v/>
      </c>
      <c r="I526" s="10">
        <f>'Pairings NB'!J2347</f>
        <v/>
      </c>
      <c r="J526" s="10">
        <f>IFERROR(VLOOKUP('Pairings NB'!$M$2347,Instructores!$A:$C,3,FALSE),"")</f>
        <v/>
      </c>
      <c r="K526" s="10">
        <f>IF('Pairings NB'!J2347=320,4,3)</f>
        <v/>
      </c>
    </row>
    <row r="527">
      <c r="A527" s="10">
        <f>'Pairings NB'!B2352</f>
        <v/>
      </c>
      <c r="B527" s="10">
        <f>'Pairings NB'!C2352</f>
        <v/>
      </c>
      <c r="C527" s="10">
        <f>'Pairings NB'!D2352</f>
        <v/>
      </c>
      <c r="D527" s="10">
        <f>'Pairings NB'!E2352&amp;"/"&amp;'Pairings NB'!E2353</f>
        <v/>
      </c>
      <c r="E527" s="10">
        <f>'Pairings NB'!F2352&amp;"-"&amp;'Pairings NB'!G2352&amp;"-"&amp;'Pairings NB'!F2352</f>
        <v/>
      </c>
      <c r="F527" s="10">
        <f>IFERROR(VLOOKUP('Pairings NB'!$M$2352,Instructores!$A:$C,2,FALSE),"")</f>
        <v/>
      </c>
      <c r="G527" s="10">
        <f>'Pairings NB'!$M$2352</f>
        <v/>
      </c>
      <c r="H527" s="10">
        <f>'Pairings NB'!$O$2352</f>
        <v/>
      </c>
      <c r="I527" s="10">
        <f>'Pairings NB'!J2352</f>
        <v/>
      </c>
      <c r="J527" s="10">
        <f>IFERROR(VLOOKUP('Pairings NB'!$M$2352,Instructores!$A:$C,3,FALSE),"")</f>
        <v/>
      </c>
      <c r="K527" s="10">
        <f>IF('Pairings NB'!J2352=320,4,3)</f>
        <v/>
      </c>
    </row>
    <row r="528">
      <c r="A528" s="10">
        <f>'Pairings NB'!B2357</f>
        <v/>
      </c>
      <c r="B528" s="10">
        <f>'Pairings NB'!C2357</f>
        <v/>
      </c>
      <c r="C528" s="10">
        <f>'Pairings NB'!D2357</f>
        <v/>
      </c>
      <c r="D528" s="10">
        <f>'Pairings NB'!E2357&amp;"/"&amp;'Pairings NB'!E2358</f>
        <v/>
      </c>
      <c r="E528" s="10">
        <f>'Pairings NB'!F2357&amp;"-"&amp;'Pairings NB'!G2357&amp;"-"&amp;'Pairings NB'!F2357</f>
        <v/>
      </c>
      <c r="F528" s="10">
        <f>IFERROR(VLOOKUP('Pairings NB'!$M$2357,Instructores!$A:$C,2,FALSE),"")</f>
        <v/>
      </c>
      <c r="G528" s="10">
        <f>'Pairings NB'!$M$2357</f>
        <v/>
      </c>
      <c r="H528" s="10">
        <f>'Pairings NB'!$O$2357</f>
        <v/>
      </c>
      <c r="I528" s="10">
        <f>'Pairings NB'!J2357</f>
        <v/>
      </c>
      <c r="J528" s="10">
        <f>IFERROR(VLOOKUP('Pairings NB'!$M$2357,Instructores!$A:$C,3,FALSE),"")</f>
        <v/>
      </c>
      <c r="K528" s="10">
        <f>IF('Pairings NB'!J2357=320,4,3)</f>
        <v/>
      </c>
    </row>
    <row r="529">
      <c r="A529" s="10">
        <f>'Pairings NB'!B2362</f>
        <v/>
      </c>
      <c r="B529" s="10">
        <f>'Pairings NB'!C2362</f>
        <v/>
      </c>
      <c r="C529" s="10">
        <f>'Pairings NB'!D2362</f>
        <v/>
      </c>
      <c r="D529" s="10">
        <f>'Pairings NB'!E2362&amp;"/"&amp;'Pairings NB'!E2363</f>
        <v/>
      </c>
      <c r="E529" s="10">
        <f>'Pairings NB'!F2362&amp;"-"&amp;'Pairings NB'!G2362&amp;"-"&amp;'Pairings NB'!F2362</f>
        <v/>
      </c>
      <c r="F529" s="10">
        <f>IFERROR(VLOOKUP('Pairings NB'!$M$2362,Instructores!$A:$C,2,FALSE),"")</f>
        <v/>
      </c>
      <c r="G529" s="10">
        <f>'Pairings NB'!$M$2362</f>
        <v/>
      </c>
      <c r="H529" s="10">
        <f>'Pairings NB'!$O$2362</f>
        <v/>
      </c>
      <c r="I529" s="10">
        <f>'Pairings NB'!J2362</f>
        <v/>
      </c>
      <c r="J529" s="10">
        <f>IFERROR(VLOOKUP('Pairings NB'!$M$2362,Instructores!$A:$C,3,FALSE),"")</f>
        <v/>
      </c>
      <c r="K529" s="10">
        <f>IF('Pairings NB'!J2362=320,4,3)</f>
        <v/>
      </c>
    </row>
    <row r="530">
      <c r="A530" s="10">
        <f>'Pairings NB'!B2364</f>
        <v/>
      </c>
      <c r="B530" s="10">
        <f>'Pairings NB'!C2364</f>
        <v/>
      </c>
      <c r="C530" s="10">
        <f>'Pairings NB'!D2364</f>
        <v/>
      </c>
      <c r="D530" s="10">
        <f>'Pairings NB'!E2364&amp;"/"&amp;'Pairings NB'!E2365</f>
        <v/>
      </c>
      <c r="E530" s="10">
        <f>'Pairings NB'!F2364&amp;"-"&amp;'Pairings NB'!G2364&amp;"-"&amp;'Pairings NB'!F2364</f>
        <v/>
      </c>
      <c r="F530" s="10">
        <f>IFERROR(VLOOKUP('Pairings NB'!$M$2362,Instructores!$A:$C,2,FALSE),"")</f>
        <v/>
      </c>
      <c r="G530" s="10">
        <f>'Pairings NB'!$M$2362</f>
        <v/>
      </c>
      <c r="H530" s="10">
        <f>'Pairings NB'!$O$2362</f>
        <v/>
      </c>
      <c r="I530" s="10">
        <f>'Pairings NB'!J2364</f>
        <v/>
      </c>
      <c r="J530" s="10">
        <f>IFERROR(VLOOKUP('Pairings NB'!$M$2362,Instructores!$A:$C,3,FALSE),"")</f>
        <v/>
      </c>
      <c r="K530" s="10">
        <f>IF('Pairings NB'!J2364=320,4,3)</f>
        <v/>
      </c>
    </row>
    <row r="531">
      <c r="A531" s="10">
        <f>'Pairings NB'!B2369</f>
        <v/>
      </c>
      <c r="B531" s="10">
        <f>'Pairings NB'!C2369</f>
        <v/>
      </c>
      <c r="C531" s="10">
        <f>'Pairings NB'!D2369</f>
        <v/>
      </c>
      <c r="D531" s="10">
        <f>'Pairings NB'!E2369&amp;"/"&amp;'Pairings NB'!E2370</f>
        <v/>
      </c>
      <c r="E531" s="10">
        <f>'Pairings NB'!F2369&amp;"-"&amp;'Pairings NB'!G2369&amp;"-"&amp;'Pairings NB'!F2369</f>
        <v/>
      </c>
      <c r="F531" s="10">
        <f>IFERROR(VLOOKUP('Pairings NB'!$M$2369,Instructores!$A:$C,2,FALSE),"")</f>
        <v/>
      </c>
      <c r="G531" s="10">
        <f>'Pairings NB'!$M$2369</f>
        <v/>
      </c>
      <c r="H531" s="10">
        <f>'Pairings NB'!$O$2369</f>
        <v/>
      </c>
      <c r="I531" s="10">
        <f>'Pairings NB'!J2369</f>
        <v/>
      </c>
      <c r="J531" s="10">
        <f>IFERROR(VLOOKUP('Pairings NB'!$M$2369,Instructores!$A:$C,3,FALSE),"")</f>
        <v/>
      </c>
      <c r="K531" s="10">
        <f>IF('Pairings NB'!J2369=320,4,3)</f>
        <v/>
      </c>
    </row>
    <row r="532">
      <c r="A532" s="10">
        <f>'Pairings NB'!B2374</f>
        <v/>
      </c>
      <c r="B532" s="10">
        <f>'Pairings NB'!C2374</f>
        <v/>
      </c>
      <c r="C532" s="10">
        <f>'Pairings NB'!D2374</f>
        <v/>
      </c>
      <c r="D532" s="10">
        <f>'Pairings NB'!E2374&amp;"/"&amp;'Pairings NB'!E2375</f>
        <v/>
      </c>
      <c r="E532" s="10">
        <f>'Pairings NB'!F2374&amp;"-"&amp;'Pairings NB'!G2374&amp;"-"&amp;'Pairings NB'!F2374</f>
        <v/>
      </c>
      <c r="F532" s="10">
        <f>IFERROR(VLOOKUP('Pairings NB'!$M$2374,Instructores!$A:$C,2,FALSE),"")</f>
        <v/>
      </c>
      <c r="G532" s="10">
        <f>'Pairings NB'!$M$2374</f>
        <v/>
      </c>
      <c r="H532" s="10">
        <f>'Pairings NB'!$O$2374</f>
        <v/>
      </c>
      <c r="I532" s="10">
        <f>'Pairings NB'!J2374</f>
        <v/>
      </c>
      <c r="J532" s="10">
        <f>IFERROR(VLOOKUP('Pairings NB'!$M$2374,Instructores!$A:$C,3,FALSE),"")</f>
        <v/>
      </c>
      <c r="K532" s="10">
        <f>IF('Pairings NB'!J2374=320,4,3)</f>
        <v/>
      </c>
    </row>
    <row r="533">
      <c r="A533" s="10">
        <f>'Pairings NB'!B2379</f>
        <v/>
      </c>
      <c r="B533" s="10">
        <f>'Pairings NB'!C2379</f>
        <v/>
      </c>
      <c r="C533" s="10">
        <f>'Pairings NB'!D2379</f>
        <v/>
      </c>
      <c r="D533" s="10">
        <f>'Pairings NB'!E2379&amp;"/"&amp;'Pairings NB'!E2380</f>
        <v/>
      </c>
      <c r="E533" s="10">
        <f>'Pairings NB'!F2379&amp;"-"&amp;'Pairings NB'!G2379&amp;"-"&amp;'Pairings NB'!F2379</f>
        <v/>
      </c>
      <c r="F533" s="10">
        <f>IFERROR(VLOOKUP('Pairings NB'!$M$2379,Instructores!$A:$C,2,FALSE),"")</f>
        <v/>
      </c>
      <c r="G533" s="10">
        <f>'Pairings NB'!$M$2379</f>
        <v/>
      </c>
      <c r="H533" s="10">
        <f>'Pairings NB'!$O$2379</f>
        <v/>
      </c>
      <c r="I533" s="10">
        <f>'Pairings NB'!J2379</f>
        <v/>
      </c>
      <c r="J533" s="10">
        <f>IFERROR(VLOOKUP('Pairings NB'!$M$2379,Instructores!$A:$C,3,FALSE),"")</f>
        <v/>
      </c>
      <c r="K533" s="10">
        <f>IF('Pairings NB'!J2379=320,4,3)</f>
        <v/>
      </c>
    </row>
    <row r="534">
      <c r="A534" s="10">
        <f>'Pairings NB'!B2384</f>
        <v/>
      </c>
      <c r="B534" s="10">
        <f>'Pairings NB'!C2384</f>
        <v/>
      </c>
      <c r="C534" s="10">
        <f>'Pairings NB'!D2384</f>
        <v/>
      </c>
      <c r="D534" s="10">
        <f>'Pairings NB'!E2384&amp;"/"&amp;'Pairings NB'!E2385</f>
        <v/>
      </c>
      <c r="E534" s="10">
        <f>'Pairings NB'!F2384&amp;"-"&amp;'Pairings NB'!G2384&amp;"-"&amp;'Pairings NB'!F2384</f>
        <v/>
      </c>
      <c r="F534" s="10">
        <f>IFERROR(VLOOKUP('Pairings NB'!$M$2384,Instructores!$A:$C,2,FALSE),"")</f>
        <v/>
      </c>
      <c r="G534" s="10">
        <f>'Pairings NB'!$M$2384</f>
        <v/>
      </c>
      <c r="H534" s="10">
        <f>'Pairings NB'!$O$2384</f>
        <v/>
      </c>
      <c r="I534" s="10">
        <f>'Pairings NB'!J2384</f>
        <v/>
      </c>
      <c r="J534" s="10">
        <f>IFERROR(VLOOKUP('Pairings NB'!$M$2384,Instructores!$A:$C,3,FALSE),"")</f>
        <v/>
      </c>
      <c r="K534" s="10">
        <f>IF('Pairings NB'!J2384=320,4,3)</f>
        <v/>
      </c>
    </row>
    <row r="535">
      <c r="A535" s="10">
        <f>'Pairings NB'!B2389</f>
        <v/>
      </c>
      <c r="B535" s="10">
        <f>'Pairings NB'!C2389</f>
        <v/>
      </c>
      <c r="C535" s="10">
        <f>'Pairings NB'!D2389</f>
        <v/>
      </c>
      <c r="D535" s="10">
        <f>'Pairings NB'!E2389&amp;"/"&amp;'Pairings NB'!E2390</f>
        <v/>
      </c>
      <c r="E535" s="10">
        <f>'Pairings NB'!F2389&amp;"-"&amp;'Pairings NB'!G2389&amp;"-"&amp;'Pairings NB'!F2389</f>
        <v/>
      </c>
      <c r="F535" s="10">
        <f>IFERROR(VLOOKUP('Pairings NB'!$M$2389,Instructores!$A:$C,2,FALSE),"")</f>
        <v/>
      </c>
      <c r="G535" s="10">
        <f>'Pairings NB'!$M$2389</f>
        <v/>
      </c>
      <c r="H535" s="10">
        <f>'Pairings NB'!$O$2389</f>
        <v/>
      </c>
      <c r="I535" s="10">
        <f>'Pairings NB'!J2389</f>
        <v/>
      </c>
      <c r="J535" s="10">
        <f>IFERROR(VLOOKUP('Pairings NB'!$M$2389,Instructores!$A:$C,3,FALSE),"")</f>
        <v/>
      </c>
      <c r="K535" s="10">
        <f>IF('Pairings NB'!J2389=320,4,3)</f>
        <v/>
      </c>
    </row>
    <row r="536">
      <c r="A536" s="10">
        <f>'Pairings NB'!B2394</f>
        <v/>
      </c>
      <c r="B536" s="10">
        <f>'Pairings NB'!C2394</f>
        <v/>
      </c>
      <c r="C536" s="10">
        <f>'Pairings NB'!D2394</f>
        <v/>
      </c>
      <c r="D536" s="10">
        <f>'Pairings NB'!E2394&amp;"/"&amp;'Pairings NB'!E2395</f>
        <v/>
      </c>
      <c r="E536" s="10">
        <f>'Pairings NB'!F2394&amp;"-"&amp;'Pairings NB'!G2394&amp;"-"&amp;'Pairings NB'!F2394</f>
        <v/>
      </c>
      <c r="F536" s="10">
        <f>IFERROR(VLOOKUP('Pairings NB'!$M$2394,Instructores!$A:$C,2,FALSE),"")</f>
        <v/>
      </c>
      <c r="G536" s="10">
        <f>'Pairings NB'!$M$2394</f>
        <v/>
      </c>
      <c r="H536" s="10">
        <f>'Pairings NB'!$O$2394</f>
        <v/>
      </c>
      <c r="I536" s="10">
        <f>'Pairings NB'!J2394</f>
        <v/>
      </c>
      <c r="J536" s="10">
        <f>IFERROR(VLOOKUP('Pairings NB'!$M$2394,Instructores!$A:$C,3,FALSE),"")</f>
        <v/>
      </c>
      <c r="K536" s="10">
        <f>IF('Pairings NB'!J2394=320,4,3)</f>
        <v/>
      </c>
    </row>
    <row r="537">
      <c r="A537" s="10">
        <f>'Pairings NB'!B2399</f>
        <v/>
      </c>
      <c r="B537" s="10">
        <f>'Pairings NB'!C2399</f>
        <v/>
      </c>
      <c r="C537" s="10">
        <f>'Pairings NB'!D2399</f>
        <v/>
      </c>
      <c r="D537" s="10">
        <f>'Pairings NB'!E2399&amp;"/"&amp;'Pairings NB'!E2400</f>
        <v/>
      </c>
      <c r="E537" s="10">
        <f>'Pairings NB'!F2399&amp;"-"&amp;'Pairings NB'!G2399&amp;"-"&amp;'Pairings NB'!F2399</f>
        <v/>
      </c>
      <c r="F537" s="10">
        <f>IFERROR(VLOOKUP('Pairings NB'!$M$2399,Instructores!$A:$C,2,FALSE),"")</f>
        <v/>
      </c>
      <c r="G537" s="10">
        <f>'Pairings NB'!$M$2399</f>
        <v/>
      </c>
      <c r="H537" s="10">
        <f>'Pairings NB'!$O$2399</f>
        <v/>
      </c>
      <c r="I537" s="10">
        <f>'Pairings NB'!J2399</f>
        <v/>
      </c>
      <c r="J537" s="10">
        <f>IFERROR(VLOOKUP('Pairings NB'!$M$2399,Instructores!$A:$C,3,FALSE),"")</f>
        <v/>
      </c>
      <c r="K537" s="10">
        <f>IF('Pairings NB'!J2399=320,4,3)</f>
        <v/>
      </c>
    </row>
    <row r="538">
      <c r="A538" s="10">
        <f>'Pairings NB'!B2404</f>
        <v/>
      </c>
      <c r="B538" s="10">
        <f>'Pairings NB'!C2404</f>
        <v/>
      </c>
      <c r="C538" s="10">
        <f>'Pairings NB'!D2404</f>
        <v/>
      </c>
      <c r="D538" s="10">
        <f>'Pairings NB'!E2404&amp;"/"&amp;'Pairings NB'!E2405</f>
        <v/>
      </c>
      <c r="E538" s="10">
        <f>'Pairings NB'!F2404&amp;"-"&amp;'Pairings NB'!G2404&amp;"-"&amp;'Pairings NB'!F2404</f>
        <v/>
      </c>
      <c r="F538" s="10">
        <f>IFERROR(VLOOKUP('Pairings NB'!$M$2404,Instructores!$A:$C,2,FALSE),"")</f>
        <v/>
      </c>
      <c r="G538" s="10">
        <f>'Pairings NB'!$M$2404</f>
        <v/>
      </c>
      <c r="H538" s="10">
        <f>'Pairings NB'!$O$2404</f>
        <v/>
      </c>
      <c r="I538" s="10">
        <f>'Pairings NB'!J2404</f>
        <v/>
      </c>
      <c r="J538" s="10">
        <f>IFERROR(VLOOKUP('Pairings NB'!$M$2404,Instructores!$A:$C,3,FALSE),"")</f>
        <v/>
      </c>
      <c r="K538" s="10">
        <f>IF('Pairings NB'!J2404=320,4,3)</f>
        <v/>
      </c>
    </row>
    <row r="539">
      <c r="A539" s="10">
        <f>'Pairings NB'!B2409</f>
        <v/>
      </c>
      <c r="B539" s="10">
        <f>'Pairings NB'!C2409</f>
        <v/>
      </c>
      <c r="C539" s="10">
        <f>'Pairings NB'!D2409</f>
        <v/>
      </c>
      <c r="D539" s="10">
        <f>'Pairings NB'!E2409&amp;"/"&amp;'Pairings NB'!E2410</f>
        <v/>
      </c>
      <c r="E539" s="10">
        <f>'Pairings NB'!F2409&amp;"-"&amp;'Pairings NB'!G2409&amp;"-"&amp;'Pairings NB'!F2409</f>
        <v/>
      </c>
      <c r="F539" s="10">
        <f>IFERROR(VLOOKUP('Pairings NB'!$M$2409,Instructores!$A:$C,2,FALSE),"")</f>
        <v/>
      </c>
      <c r="G539" s="10">
        <f>'Pairings NB'!$M$2409</f>
        <v/>
      </c>
      <c r="H539" s="10">
        <f>'Pairings NB'!$O$2409</f>
        <v/>
      </c>
      <c r="I539" s="10">
        <f>'Pairings NB'!J2409</f>
        <v/>
      </c>
      <c r="J539" s="10">
        <f>IFERROR(VLOOKUP('Pairings NB'!$M$2409,Instructores!$A:$C,3,FALSE),"")</f>
        <v/>
      </c>
      <c r="K539" s="10">
        <f>IF('Pairings NB'!J2409=320,4,3)</f>
        <v/>
      </c>
    </row>
    <row r="540">
      <c r="A540" s="10">
        <f>'Pairings NB'!B2414</f>
        <v/>
      </c>
      <c r="B540" s="10">
        <f>'Pairings NB'!C2414</f>
        <v/>
      </c>
      <c r="C540" s="10">
        <f>'Pairings NB'!D2414</f>
        <v/>
      </c>
      <c r="D540" s="10">
        <f>'Pairings NB'!E2414&amp;"/"&amp;'Pairings NB'!E2415</f>
        <v/>
      </c>
      <c r="E540" s="10">
        <f>'Pairings NB'!F2414&amp;"-"&amp;'Pairings NB'!G2414&amp;"-"&amp;'Pairings NB'!F2414</f>
        <v/>
      </c>
      <c r="F540" s="10">
        <f>IFERROR(VLOOKUP('Pairings NB'!$M$2414,Instructores!$A:$C,2,FALSE),"")</f>
        <v/>
      </c>
      <c r="G540" s="10">
        <f>'Pairings NB'!$M$2414</f>
        <v/>
      </c>
      <c r="H540" s="10">
        <f>'Pairings NB'!$O$2414</f>
        <v/>
      </c>
      <c r="I540" s="10">
        <f>'Pairings NB'!J2414</f>
        <v/>
      </c>
      <c r="J540" s="10">
        <f>IFERROR(VLOOKUP('Pairings NB'!$M$2414,Instructores!$A:$C,3,FALSE),"")</f>
        <v/>
      </c>
      <c r="K540" s="10">
        <f>IF('Pairings NB'!J2414=320,4,3)</f>
        <v/>
      </c>
    </row>
    <row r="541">
      <c r="A541" s="10">
        <f>'Pairings NB'!B2419</f>
        <v/>
      </c>
      <c r="B541" s="10">
        <f>'Pairings NB'!C2419</f>
        <v/>
      </c>
      <c r="C541" s="10">
        <f>'Pairings NB'!D2419</f>
        <v/>
      </c>
      <c r="D541" s="10">
        <f>'Pairings NB'!E2419&amp;"/"&amp;'Pairings NB'!E2420</f>
        <v/>
      </c>
      <c r="E541" s="10">
        <f>'Pairings NB'!F2419&amp;"-"&amp;'Pairings NB'!G2419&amp;"-"&amp;'Pairings NB'!F2419</f>
        <v/>
      </c>
      <c r="F541" s="10">
        <f>IFERROR(VLOOKUP('Pairings NB'!$M$2419,Instructores!$A:$C,2,FALSE),"")</f>
        <v/>
      </c>
      <c r="G541" s="10">
        <f>'Pairings NB'!$M$2419</f>
        <v/>
      </c>
      <c r="H541" s="10">
        <f>'Pairings NB'!$O$2419</f>
        <v/>
      </c>
      <c r="I541" s="10">
        <f>'Pairings NB'!J2419</f>
        <v/>
      </c>
      <c r="J541" s="10">
        <f>IFERROR(VLOOKUP('Pairings NB'!$M$2419,Instructores!$A:$C,3,FALSE),"")</f>
        <v/>
      </c>
      <c r="K541" s="10">
        <f>IF('Pairings NB'!J2419=320,4,3)</f>
        <v/>
      </c>
    </row>
    <row r="542">
      <c r="A542" s="10">
        <f>'Pairings NB'!B2424</f>
        <v/>
      </c>
      <c r="B542" s="10">
        <f>'Pairings NB'!C2424</f>
        <v/>
      </c>
      <c r="C542" s="10">
        <f>'Pairings NB'!D2424</f>
        <v/>
      </c>
      <c r="D542" s="10">
        <f>'Pairings NB'!E2424&amp;"/"&amp;'Pairings NB'!E2425</f>
        <v/>
      </c>
      <c r="E542" s="10">
        <f>'Pairings NB'!F2424&amp;"-"&amp;'Pairings NB'!G2424&amp;"-"&amp;'Pairings NB'!F2424</f>
        <v/>
      </c>
      <c r="F542" s="10">
        <f>IFERROR(VLOOKUP('Pairings NB'!$M$2424,Instructores!$A:$C,2,FALSE),"")</f>
        <v/>
      </c>
      <c r="G542" s="10">
        <f>'Pairings NB'!$M$2424</f>
        <v/>
      </c>
      <c r="H542" s="10">
        <f>'Pairings NB'!$O$2424</f>
        <v/>
      </c>
      <c r="I542" s="10">
        <f>'Pairings NB'!J2424</f>
        <v/>
      </c>
      <c r="J542" s="10">
        <f>IFERROR(VLOOKUP('Pairings NB'!$M$2424,Instructores!$A:$C,3,FALSE),"")</f>
        <v/>
      </c>
      <c r="K542" s="10">
        <f>IF('Pairings NB'!J2424=320,4,3)</f>
        <v/>
      </c>
    </row>
    <row r="543">
      <c r="A543" s="10">
        <f>'Pairings NB'!B2429</f>
        <v/>
      </c>
      <c r="B543" s="10">
        <f>'Pairings NB'!C2429</f>
        <v/>
      </c>
      <c r="C543" s="10">
        <f>'Pairings NB'!D2429</f>
        <v/>
      </c>
      <c r="D543" s="10">
        <f>'Pairings NB'!E2429&amp;"/"&amp;'Pairings NB'!E2430</f>
        <v/>
      </c>
      <c r="E543" s="10">
        <f>'Pairings NB'!F2429&amp;"-"&amp;'Pairings NB'!G2429&amp;"-"&amp;'Pairings NB'!F2429</f>
        <v/>
      </c>
      <c r="F543" s="10">
        <f>IFERROR(VLOOKUP('Pairings NB'!$M$2429,Instructores!$A:$C,2,FALSE),"")</f>
        <v/>
      </c>
      <c r="G543" s="10">
        <f>'Pairings NB'!$M$2429</f>
        <v/>
      </c>
      <c r="H543" s="10">
        <f>'Pairings NB'!$O$2429</f>
        <v/>
      </c>
      <c r="I543" s="10">
        <f>'Pairings NB'!J2429</f>
        <v/>
      </c>
      <c r="J543" s="10">
        <f>IFERROR(VLOOKUP('Pairings NB'!$M$2429,Instructores!$A:$C,3,FALSE),"")</f>
        <v/>
      </c>
      <c r="K543" s="10">
        <f>IF('Pairings NB'!J2429=320,4,3)</f>
        <v/>
      </c>
    </row>
    <row r="544">
      <c r="A544" s="10">
        <f>'Pairings NB'!B2434</f>
        <v/>
      </c>
      <c r="B544" s="10">
        <f>'Pairings NB'!C2434</f>
        <v/>
      </c>
      <c r="C544" s="10">
        <f>'Pairings NB'!D2434</f>
        <v/>
      </c>
      <c r="D544" s="10">
        <f>'Pairings NB'!E2434&amp;"/"&amp;'Pairings NB'!E2435</f>
        <v/>
      </c>
      <c r="E544" s="10">
        <f>'Pairings NB'!F2434&amp;"-"&amp;'Pairings NB'!G2434&amp;"-"&amp;'Pairings NB'!F2434</f>
        <v/>
      </c>
      <c r="F544" s="10">
        <f>IFERROR(VLOOKUP('Pairings NB'!$M$2434,Instructores!$A:$C,2,FALSE),"")</f>
        <v/>
      </c>
      <c r="G544" s="10">
        <f>'Pairings NB'!$M$2434</f>
        <v/>
      </c>
      <c r="H544" s="10">
        <f>'Pairings NB'!$O$2434</f>
        <v/>
      </c>
      <c r="I544" s="10">
        <f>'Pairings NB'!J2434</f>
        <v/>
      </c>
      <c r="J544" s="10">
        <f>IFERROR(VLOOKUP('Pairings NB'!$M$2434,Instructores!$A:$C,3,FALSE),"")</f>
        <v/>
      </c>
      <c r="K544" s="10">
        <f>IF('Pairings NB'!J2434=320,4,3)</f>
        <v/>
      </c>
    </row>
    <row r="545">
      <c r="A545" s="10">
        <f>'Pairings NB'!B2439</f>
        <v/>
      </c>
      <c r="B545" s="10">
        <f>'Pairings NB'!C2439</f>
        <v/>
      </c>
      <c r="C545" s="10">
        <f>'Pairings NB'!D2439</f>
        <v/>
      </c>
      <c r="D545" s="10">
        <f>'Pairings NB'!E2439&amp;"/"&amp;'Pairings NB'!E2440</f>
        <v/>
      </c>
      <c r="E545" s="10">
        <f>'Pairings NB'!F2439&amp;"-"&amp;'Pairings NB'!G2439&amp;"-"&amp;'Pairings NB'!F2439</f>
        <v/>
      </c>
      <c r="F545" s="10">
        <f>IFERROR(VLOOKUP('Pairings NB'!$M$2439,Instructores!$A:$C,2,FALSE),"")</f>
        <v/>
      </c>
      <c r="G545" s="10">
        <f>'Pairings NB'!$M$2439</f>
        <v/>
      </c>
      <c r="H545" s="10">
        <f>'Pairings NB'!$O$2439</f>
        <v/>
      </c>
      <c r="I545" s="10">
        <f>'Pairings NB'!J2439</f>
        <v/>
      </c>
      <c r="J545" s="10">
        <f>IFERROR(VLOOKUP('Pairings NB'!$M$2439,Instructores!$A:$C,3,FALSE),"")</f>
        <v/>
      </c>
      <c r="K545" s="10">
        <f>IF('Pairings NB'!J2439=320,4,3)</f>
        <v/>
      </c>
    </row>
    <row r="546">
      <c r="A546" s="10">
        <f>'Pairings NB'!B2444</f>
        <v/>
      </c>
      <c r="B546" s="10">
        <f>'Pairings NB'!C2444</f>
        <v/>
      </c>
      <c r="C546" s="10">
        <f>'Pairings NB'!D2444</f>
        <v/>
      </c>
      <c r="D546" s="10">
        <f>'Pairings NB'!E2444&amp;"/"&amp;'Pairings NB'!E2445</f>
        <v/>
      </c>
      <c r="E546" s="10">
        <f>'Pairings NB'!F2444&amp;"-"&amp;'Pairings NB'!G2444&amp;"-"&amp;'Pairings NB'!F2444</f>
        <v/>
      </c>
      <c r="F546" s="10">
        <f>IFERROR(VLOOKUP('Pairings NB'!$M$2444,Instructores!$A:$C,2,FALSE),"")</f>
        <v/>
      </c>
      <c r="G546" s="10">
        <f>'Pairings NB'!$M$2444</f>
        <v/>
      </c>
      <c r="H546" s="10">
        <f>'Pairings NB'!$O$2444</f>
        <v/>
      </c>
      <c r="I546" s="10">
        <f>'Pairings NB'!J2444</f>
        <v/>
      </c>
      <c r="J546" s="10">
        <f>IFERROR(VLOOKUP('Pairings NB'!$M$2444,Instructores!$A:$C,3,FALSE),"")</f>
        <v/>
      </c>
      <c r="K546" s="10">
        <f>IF('Pairings NB'!J2444=320,4,3)</f>
        <v/>
      </c>
    </row>
    <row r="547">
      <c r="A547" s="10">
        <f>'Pairings NB'!B2449</f>
        <v/>
      </c>
      <c r="B547" s="10">
        <f>'Pairings NB'!C2449</f>
        <v/>
      </c>
      <c r="C547" s="10">
        <f>'Pairings NB'!D2449</f>
        <v/>
      </c>
      <c r="D547" s="10">
        <f>'Pairings NB'!E2449&amp;"/"&amp;'Pairings NB'!E2450</f>
        <v/>
      </c>
      <c r="E547" s="10">
        <f>'Pairings NB'!F2449&amp;"-"&amp;'Pairings NB'!G2449&amp;"-"&amp;'Pairings NB'!F2449</f>
        <v/>
      </c>
      <c r="F547" s="10">
        <f>IFERROR(VLOOKUP('Pairings NB'!$M$2449,Instructores!$A:$C,2,FALSE),"")</f>
        <v/>
      </c>
      <c r="G547" s="10">
        <f>'Pairings NB'!$M$2449</f>
        <v/>
      </c>
      <c r="H547" s="10">
        <f>'Pairings NB'!$O$2449</f>
        <v/>
      </c>
      <c r="I547" s="10">
        <f>'Pairings NB'!J2449</f>
        <v/>
      </c>
      <c r="J547" s="10">
        <f>IFERROR(VLOOKUP('Pairings NB'!$M$2449,Instructores!$A:$C,3,FALSE),"")</f>
        <v/>
      </c>
      <c r="K547" s="10">
        <f>IF('Pairings NB'!J2449=320,4,3)</f>
        <v/>
      </c>
    </row>
    <row r="548">
      <c r="A548" s="10">
        <f>'Pairings NB'!B2454</f>
        <v/>
      </c>
      <c r="B548" s="10">
        <f>'Pairings NB'!C2454</f>
        <v/>
      </c>
      <c r="C548" s="10">
        <f>'Pairings NB'!D2454</f>
        <v/>
      </c>
      <c r="D548" s="10">
        <f>'Pairings NB'!E2454&amp;"/"&amp;'Pairings NB'!E2455</f>
        <v/>
      </c>
      <c r="E548" s="10">
        <f>'Pairings NB'!F2454&amp;"-"&amp;'Pairings NB'!G2454&amp;"-"&amp;'Pairings NB'!F2454</f>
        <v/>
      </c>
      <c r="F548" s="10">
        <f>IFERROR(VLOOKUP('Pairings NB'!$M$2454,Instructores!$A:$C,2,FALSE),"")</f>
        <v/>
      </c>
      <c r="G548" s="10">
        <f>'Pairings NB'!$M$2454</f>
        <v/>
      </c>
      <c r="H548" s="10">
        <f>'Pairings NB'!$O$2454</f>
        <v/>
      </c>
      <c r="I548" s="10">
        <f>'Pairings NB'!J2454</f>
        <v/>
      </c>
      <c r="J548" s="10">
        <f>IFERROR(VLOOKUP('Pairings NB'!$M$2454,Instructores!$A:$C,3,FALSE),"")</f>
        <v/>
      </c>
      <c r="K548" s="10">
        <f>IF('Pairings NB'!J2454=320,4,3)</f>
        <v/>
      </c>
    </row>
    <row r="549">
      <c r="A549" s="10">
        <f>'Pairings NB'!B2459</f>
        <v/>
      </c>
      <c r="B549" s="10">
        <f>'Pairings NB'!C2459</f>
        <v/>
      </c>
      <c r="C549" s="10">
        <f>'Pairings NB'!D2459</f>
        <v/>
      </c>
      <c r="D549" s="10">
        <f>'Pairings NB'!E2459&amp;"/"&amp;'Pairings NB'!E2460</f>
        <v/>
      </c>
      <c r="E549" s="10">
        <f>'Pairings NB'!F2459&amp;"-"&amp;'Pairings NB'!G2459&amp;"-"&amp;'Pairings NB'!F2459</f>
        <v/>
      </c>
      <c r="F549" s="10">
        <f>IFERROR(VLOOKUP('Pairings NB'!$M$2459,Instructores!$A:$C,2,FALSE),"")</f>
        <v/>
      </c>
      <c r="G549" s="10">
        <f>'Pairings NB'!$M$2459</f>
        <v/>
      </c>
      <c r="H549" s="10">
        <f>'Pairings NB'!$O$2459</f>
        <v/>
      </c>
      <c r="I549" s="10">
        <f>'Pairings NB'!J2459</f>
        <v/>
      </c>
      <c r="J549" s="10">
        <f>IFERROR(VLOOKUP('Pairings NB'!$M$2459,Instructores!$A:$C,3,FALSE),"")</f>
        <v/>
      </c>
      <c r="K549" s="10">
        <f>IF('Pairings NB'!J2459=320,4,3)</f>
        <v/>
      </c>
    </row>
    <row r="550">
      <c r="A550" s="10">
        <f>'Pairings NB'!B2464</f>
        <v/>
      </c>
      <c r="B550" s="10">
        <f>'Pairings NB'!C2464</f>
        <v/>
      </c>
      <c r="C550" s="10">
        <f>'Pairings NB'!D2464</f>
        <v/>
      </c>
      <c r="D550" s="10">
        <f>'Pairings NB'!E2464&amp;"/"&amp;'Pairings NB'!E2465</f>
        <v/>
      </c>
      <c r="E550" s="10">
        <f>'Pairings NB'!F2464&amp;"-"&amp;'Pairings NB'!G2464&amp;"-"&amp;'Pairings NB'!F2464</f>
        <v/>
      </c>
      <c r="F550" s="10">
        <f>IFERROR(VLOOKUP('Pairings NB'!$M$2464,Instructores!$A:$C,2,FALSE),"")</f>
        <v/>
      </c>
      <c r="G550" s="10">
        <f>'Pairings NB'!$M$2464</f>
        <v/>
      </c>
      <c r="H550" s="10">
        <f>'Pairings NB'!$O$2464</f>
        <v/>
      </c>
      <c r="I550" s="10">
        <f>'Pairings NB'!J2464</f>
        <v/>
      </c>
      <c r="J550" s="10">
        <f>IFERROR(VLOOKUP('Pairings NB'!$M$2464,Instructores!$A:$C,3,FALSE),"")</f>
        <v/>
      </c>
      <c r="K550" s="10">
        <f>IF('Pairings NB'!J2464=320,4,3)</f>
        <v/>
      </c>
    </row>
    <row r="551">
      <c r="A551" s="10">
        <f>'Pairings NB'!B2469</f>
        <v/>
      </c>
      <c r="B551" s="10">
        <f>'Pairings NB'!C2469</f>
        <v/>
      </c>
      <c r="C551" s="10">
        <f>'Pairings NB'!D2469</f>
        <v/>
      </c>
      <c r="D551" s="10">
        <f>'Pairings NB'!E2469&amp;"/"&amp;'Pairings NB'!E2470</f>
        <v/>
      </c>
      <c r="E551" s="10">
        <f>'Pairings NB'!F2469&amp;"-"&amp;'Pairings NB'!G2469&amp;"-"&amp;'Pairings NB'!F2469</f>
        <v/>
      </c>
      <c r="F551" s="10">
        <f>IFERROR(VLOOKUP('Pairings NB'!$M$2469,Instructores!$A:$C,2,FALSE),"")</f>
        <v/>
      </c>
      <c r="G551" s="10">
        <f>'Pairings NB'!$M$2469</f>
        <v/>
      </c>
      <c r="H551" s="10">
        <f>'Pairings NB'!$O$2469</f>
        <v/>
      </c>
      <c r="I551" s="10">
        <f>'Pairings NB'!J2469</f>
        <v/>
      </c>
      <c r="J551" s="10">
        <f>IFERROR(VLOOKUP('Pairings NB'!$M$2469,Instructores!$A:$C,3,FALSE),"")</f>
        <v/>
      </c>
      <c r="K551" s="10">
        <f>IF('Pairings NB'!J2469=320,4,3)</f>
        <v/>
      </c>
    </row>
    <row r="552">
      <c r="A552" s="10">
        <f>'Pairings NB'!B2474</f>
        <v/>
      </c>
      <c r="B552" s="10">
        <f>'Pairings NB'!C2474</f>
        <v/>
      </c>
      <c r="C552" s="10">
        <f>'Pairings NB'!D2474</f>
        <v/>
      </c>
      <c r="D552" s="10">
        <f>'Pairings NB'!E2474&amp;"/"&amp;'Pairings NB'!E2475</f>
        <v/>
      </c>
      <c r="E552" s="10">
        <f>'Pairings NB'!F2474&amp;"-"&amp;'Pairings NB'!G2474&amp;"-"&amp;'Pairings NB'!F2474</f>
        <v/>
      </c>
      <c r="F552" s="10">
        <f>IFERROR(VLOOKUP('Pairings NB'!$M$2474,Instructores!$A:$C,2,FALSE),"")</f>
        <v/>
      </c>
      <c r="G552" s="10">
        <f>'Pairings NB'!$M$2474</f>
        <v/>
      </c>
      <c r="H552" s="10">
        <f>'Pairings NB'!$O$2474</f>
        <v/>
      </c>
      <c r="I552" s="10">
        <f>'Pairings NB'!J2474</f>
        <v/>
      </c>
      <c r="J552" s="10">
        <f>IFERROR(VLOOKUP('Pairings NB'!$M$2474,Instructores!$A:$C,3,FALSE),"")</f>
        <v/>
      </c>
      <c r="K552" s="10">
        <f>IF('Pairings NB'!J2474=320,4,3)</f>
        <v/>
      </c>
    </row>
    <row r="553">
      <c r="A553" s="10">
        <f>'Pairings NB'!B2479</f>
        <v/>
      </c>
      <c r="B553" s="10">
        <f>'Pairings NB'!C2479</f>
        <v/>
      </c>
      <c r="C553" s="10">
        <f>'Pairings NB'!D2479</f>
        <v/>
      </c>
      <c r="D553" s="10">
        <f>'Pairings NB'!E2479&amp;"/"&amp;'Pairings NB'!E2480</f>
        <v/>
      </c>
      <c r="E553" s="10">
        <f>'Pairings NB'!F2479&amp;"-"&amp;'Pairings NB'!G2479&amp;"-"&amp;'Pairings NB'!F2479</f>
        <v/>
      </c>
      <c r="F553" s="10">
        <f>IFERROR(VLOOKUP('Pairings NB'!$M$2479,Instructores!$A:$C,2,FALSE),"")</f>
        <v/>
      </c>
      <c r="G553" s="10">
        <f>'Pairings NB'!$M$2479</f>
        <v/>
      </c>
      <c r="H553" s="10">
        <f>'Pairings NB'!$O$2479</f>
        <v/>
      </c>
      <c r="I553" s="10">
        <f>'Pairings NB'!J2479</f>
        <v/>
      </c>
      <c r="J553" s="10">
        <f>IFERROR(VLOOKUP('Pairings NB'!$M$2479,Instructores!$A:$C,3,FALSE),"")</f>
        <v/>
      </c>
      <c r="K553" s="10">
        <f>IF('Pairings NB'!J2479=320,4,3)</f>
        <v/>
      </c>
    </row>
    <row r="554">
      <c r="A554" s="10">
        <f>'Pairings NB'!B2484</f>
        <v/>
      </c>
      <c r="B554" s="10">
        <f>'Pairings NB'!C2484</f>
        <v/>
      </c>
      <c r="C554" s="10">
        <f>'Pairings NB'!D2484</f>
        <v/>
      </c>
      <c r="D554" s="10">
        <f>'Pairings NB'!E2484&amp;"/"&amp;'Pairings NB'!E2485</f>
        <v/>
      </c>
      <c r="E554" s="10">
        <f>'Pairings NB'!F2484&amp;"-"&amp;'Pairings NB'!G2484&amp;"-"&amp;'Pairings NB'!F2484</f>
        <v/>
      </c>
      <c r="F554" s="10">
        <f>IFERROR(VLOOKUP('Pairings NB'!$M$2484,Instructores!$A:$C,2,FALSE),"")</f>
        <v/>
      </c>
      <c r="G554" s="10">
        <f>'Pairings NB'!$M$2484</f>
        <v/>
      </c>
      <c r="H554" s="10">
        <f>'Pairings NB'!$O$2484</f>
        <v/>
      </c>
      <c r="I554" s="10">
        <f>'Pairings NB'!J2484</f>
        <v/>
      </c>
      <c r="J554" s="10">
        <f>IFERROR(VLOOKUP('Pairings NB'!$M$2484,Instructores!$A:$C,3,FALSE),"")</f>
        <v/>
      </c>
      <c r="K554" s="10">
        <f>IF('Pairings NB'!J2484=320,4,3)</f>
        <v/>
      </c>
    </row>
    <row r="555">
      <c r="A555" s="10">
        <f>'Pairings NB'!B2489</f>
        <v/>
      </c>
      <c r="B555" s="10">
        <f>'Pairings NB'!C2489</f>
        <v/>
      </c>
      <c r="C555" s="10">
        <f>'Pairings NB'!D2489</f>
        <v/>
      </c>
      <c r="D555" s="10">
        <f>'Pairings NB'!E2489&amp;"/"&amp;'Pairings NB'!E2490</f>
        <v/>
      </c>
      <c r="E555" s="10">
        <f>'Pairings NB'!F2489&amp;"-"&amp;'Pairings NB'!G2489&amp;"-"&amp;'Pairings NB'!F2489</f>
        <v/>
      </c>
      <c r="F555" s="10">
        <f>IFERROR(VLOOKUP('Pairings NB'!$M$2489,Instructores!$A:$C,2,FALSE),"")</f>
        <v/>
      </c>
      <c r="G555" s="10">
        <f>'Pairings NB'!$M$2489</f>
        <v/>
      </c>
      <c r="H555" s="10">
        <f>'Pairings NB'!$O$2489</f>
        <v/>
      </c>
      <c r="I555" s="10">
        <f>'Pairings NB'!J2489</f>
        <v/>
      </c>
      <c r="J555" s="10">
        <f>IFERROR(VLOOKUP('Pairings NB'!$M$2489,Instructores!$A:$C,3,FALSE),"")</f>
        <v/>
      </c>
      <c r="K555" s="10">
        <f>IF('Pairings NB'!J2489=320,4,3)</f>
        <v/>
      </c>
    </row>
    <row r="556">
      <c r="A556" s="10">
        <f>'Pairings NB'!B2494</f>
        <v/>
      </c>
      <c r="B556" s="10">
        <f>'Pairings NB'!C2494</f>
        <v/>
      </c>
      <c r="C556" s="10">
        <f>'Pairings NB'!D2494</f>
        <v/>
      </c>
      <c r="D556" s="10">
        <f>'Pairings NB'!E2494&amp;"/"&amp;'Pairings NB'!E2495</f>
        <v/>
      </c>
      <c r="E556" s="10">
        <f>'Pairings NB'!F2494&amp;"-"&amp;'Pairings NB'!G2494&amp;"-"&amp;'Pairings NB'!F2494</f>
        <v/>
      </c>
      <c r="F556" s="10">
        <f>IFERROR(VLOOKUP('Pairings NB'!$M$2494,Instructores!$A:$C,2,FALSE),"")</f>
        <v/>
      </c>
      <c r="G556" s="10">
        <f>'Pairings NB'!$M$2494</f>
        <v/>
      </c>
      <c r="H556" s="10">
        <f>'Pairings NB'!$O$2494</f>
        <v/>
      </c>
      <c r="I556" s="10">
        <f>'Pairings NB'!J2494</f>
        <v/>
      </c>
      <c r="J556" s="10">
        <f>IFERROR(VLOOKUP('Pairings NB'!$M$2494,Instructores!$A:$C,3,FALSE),"")</f>
        <v/>
      </c>
      <c r="K556" s="10">
        <f>IF('Pairings NB'!J2494=320,4,3)</f>
        <v/>
      </c>
    </row>
  </sheetData>
  <autoFilter ref="A1:K5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2026-09-23T13:07:25Z</dcterms:created>
  <dcterms:modified xsi:type="dcterms:W3CDTF">2026-09-23T13:07:25Z</dcterms:modified>
</cp:coreProperties>
</file>