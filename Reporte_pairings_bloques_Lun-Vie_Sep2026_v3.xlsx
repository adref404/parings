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nando\Documents\002.CHAMBA\LATAM\parings\"/>
    </mc:Choice>
  </mc:AlternateContent>
  <xr:revisionPtr revIDLastSave="0" documentId="13_ncr:1_{E90F0485-2DAB-4A8B-8C85-4A5A7B5120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irings" sheetId="1" r:id="rId1"/>
    <sheet name="Resumen" sheetId="2" r:id="rId2"/>
  </sheets>
  <definedNames>
    <definedName name="_xlnm._FilterDatabase" localSheetId="1" hidden="1">Resumen!$A$1:$I$27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  <c r="R5" i="1"/>
  <c r="Q5" i="1"/>
  <c r="I27" i="2"/>
  <c r="H27" i="2"/>
  <c r="G27" i="2"/>
  <c r="F27" i="2"/>
  <c r="E27" i="2"/>
  <c r="D27" i="2"/>
  <c r="C27" i="2"/>
  <c r="B27" i="2"/>
  <c r="A27" i="2"/>
  <c r="I26" i="2"/>
  <c r="H26" i="2"/>
  <c r="G26" i="2"/>
  <c r="F26" i="2"/>
  <c r="E26" i="2"/>
  <c r="D26" i="2"/>
  <c r="C26" i="2"/>
  <c r="B26" i="2"/>
  <c r="A26" i="2"/>
  <c r="I25" i="2"/>
  <c r="H25" i="2"/>
  <c r="G25" i="2"/>
  <c r="F25" i="2"/>
  <c r="E25" i="2"/>
  <c r="D25" i="2"/>
  <c r="C25" i="2"/>
  <c r="B25" i="2"/>
  <c r="A25" i="2"/>
  <c r="I24" i="2"/>
  <c r="H24" i="2"/>
  <c r="G24" i="2"/>
  <c r="F24" i="2"/>
  <c r="E24" i="2"/>
  <c r="D24" i="2"/>
  <c r="C24" i="2"/>
  <c r="B24" i="2"/>
  <c r="A24" i="2"/>
  <c r="I23" i="2"/>
  <c r="H23" i="2"/>
  <c r="G23" i="2"/>
  <c r="F23" i="2"/>
  <c r="E23" i="2"/>
  <c r="D23" i="2"/>
  <c r="C23" i="2"/>
  <c r="B23" i="2"/>
  <c r="A23" i="2"/>
  <c r="I22" i="2"/>
  <c r="H22" i="2"/>
  <c r="G22" i="2"/>
  <c r="F22" i="2"/>
  <c r="E22" i="2"/>
  <c r="D22" i="2"/>
  <c r="C22" i="2"/>
  <c r="B22" i="2"/>
  <c r="A22" i="2"/>
  <c r="I21" i="2"/>
  <c r="H21" i="2"/>
  <c r="G21" i="2"/>
  <c r="F21" i="2"/>
  <c r="E21" i="2"/>
  <c r="D21" i="2"/>
  <c r="C21" i="2"/>
  <c r="B21" i="2"/>
  <c r="A21" i="2"/>
  <c r="I20" i="2"/>
  <c r="H20" i="2"/>
  <c r="G20" i="2"/>
  <c r="F20" i="2"/>
  <c r="E20" i="2"/>
  <c r="D20" i="2"/>
  <c r="C20" i="2"/>
  <c r="B20" i="2"/>
  <c r="A20" i="2"/>
  <c r="I19" i="2"/>
  <c r="H19" i="2"/>
  <c r="G19" i="2"/>
  <c r="F19" i="2"/>
  <c r="E19" i="2"/>
  <c r="D19" i="2"/>
  <c r="C19" i="2"/>
  <c r="B19" i="2"/>
  <c r="A19" i="2"/>
  <c r="I18" i="2"/>
  <c r="H18" i="2"/>
  <c r="G18" i="2"/>
  <c r="F18" i="2"/>
  <c r="E18" i="2"/>
  <c r="D18" i="2"/>
  <c r="C18" i="2"/>
  <c r="B18" i="2"/>
  <c r="A18" i="2"/>
  <c r="I17" i="2"/>
  <c r="H17" i="2"/>
  <c r="G17" i="2"/>
  <c r="F17" i="2"/>
  <c r="E17" i="2"/>
  <c r="D17" i="2"/>
  <c r="C17" i="2"/>
  <c r="B17" i="2"/>
  <c r="A17" i="2"/>
  <c r="I16" i="2"/>
  <c r="H16" i="2"/>
  <c r="G16" i="2"/>
  <c r="F16" i="2"/>
  <c r="E16" i="2"/>
  <c r="D16" i="2"/>
  <c r="C16" i="2"/>
  <c r="B16" i="2"/>
  <c r="A16" i="2"/>
  <c r="I15" i="2"/>
  <c r="H15" i="2"/>
  <c r="G15" i="2"/>
  <c r="F15" i="2"/>
  <c r="E15" i="2"/>
  <c r="D15" i="2"/>
  <c r="C15" i="2"/>
  <c r="B15" i="2"/>
  <c r="A15" i="2"/>
  <c r="I14" i="2"/>
  <c r="H14" i="2"/>
  <c r="G14" i="2"/>
  <c r="F14" i="2"/>
  <c r="E14" i="2"/>
  <c r="D14" i="2"/>
  <c r="C14" i="2"/>
  <c r="B14" i="2"/>
  <c r="A14" i="2"/>
  <c r="I13" i="2"/>
  <c r="H13" i="2"/>
  <c r="G13" i="2"/>
  <c r="F13" i="2"/>
  <c r="E13" i="2"/>
  <c r="D13" i="2"/>
  <c r="C13" i="2"/>
  <c r="B13" i="2"/>
  <c r="A13" i="2"/>
  <c r="I12" i="2"/>
  <c r="H12" i="2"/>
  <c r="G12" i="2"/>
  <c r="F12" i="2"/>
  <c r="E12" i="2"/>
  <c r="D12" i="2"/>
  <c r="C12" i="2"/>
  <c r="B12" i="2"/>
  <c r="A12" i="2"/>
  <c r="I11" i="2"/>
  <c r="H11" i="2"/>
  <c r="G11" i="2"/>
  <c r="F11" i="2"/>
  <c r="E11" i="2"/>
  <c r="D11" i="2"/>
  <c r="C11" i="2"/>
  <c r="B11" i="2"/>
  <c r="A11" i="2"/>
  <c r="I10" i="2"/>
  <c r="H10" i="2"/>
  <c r="G10" i="2"/>
  <c r="F10" i="2"/>
  <c r="E10" i="2"/>
  <c r="D10" i="2"/>
  <c r="C10" i="2"/>
  <c r="B10" i="2"/>
  <c r="A10" i="2"/>
  <c r="I9" i="2"/>
  <c r="H9" i="2"/>
  <c r="G9" i="2"/>
  <c r="F9" i="2"/>
  <c r="E9" i="2"/>
  <c r="D9" i="2"/>
  <c r="C9" i="2"/>
  <c r="B9" i="2"/>
  <c r="A9" i="2"/>
  <c r="I8" i="2"/>
  <c r="H8" i="2"/>
  <c r="G8" i="2"/>
  <c r="F8" i="2"/>
  <c r="E8" i="2"/>
  <c r="D8" i="2"/>
  <c r="C8" i="2"/>
  <c r="B8" i="2"/>
  <c r="A8" i="2"/>
  <c r="I7" i="2"/>
  <c r="H7" i="2"/>
  <c r="G7" i="2"/>
  <c r="F7" i="2"/>
  <c r="E7" i="2"/>
  <c r="D7" i="2"/>
  <c r="C7" i="2"/>
  <c r="B7" i="2"/>
  <c r="A7" i="2"/>
  <c r="I6" i="2"/>
  <c r="H6" i="2"/>
  <c r="G6" i="2"/>
  <c r="F6" i="2"/>
  <c r="E6" i="2"/>
  <c r="D6" i="2"/>
  <c r="C6" i="2"/>
  <c r="B6" i="2"/>
  <c r="A6" i="2"/>
  <c r="I5" i="2"/>
  <c r="H5" i="2"/>
  <c r="G5" i="2"/>
  <c r="F5" i="2"/>
  <c r="E5" i="2"/>
  <c r="D5" i="2"/>
  <c r="C5" i="2"/>
  <c r="B5" i="2"/>
  <c r="A5" i="2"/>
  <c r="I4" i="2"/>
  <c r="H4" i="2"/>
  <c r="G4" i="2"/>
  <c r="F4" i="2"/>
  <c r="E4" i="2"/>
  <c r="D4" i="2"/>
  <c r="C4" i="2"/>
  <c r="B4" i="2"/>
  <c r="A4" i="2"/>
  <c r="I3" i="2"/>
  <c r="H3" i="2"/>
  <c r="G3" i="2"/>
  <c r="F3" i="2"/>
  <c r="E3" i="2"/>
  <c r="D3" i="2"/>
  <c r="C3" i="2"/>
  <c r="B3" i="2"/>
  <c r="A3" i="2"/>
  <c r="I2" i="2"/>
  <c r="H2" i="2"/>
  <c r="G2" i="2"/>
  <c r="F2" i="2"/>
  <c r="E2" i="2"/>
  <c r="D2" i="2"/>
  <c r="C2" i="2"/>
  <c r="B2" i="2"/>
  <c r="A2" i="2"/>
  <c r="R131" i="1"/>
  <c r="Q131" i="1"/>
  <c r="O131" i="1"/>
  <c r="R130" i="1"/>
  <c r="Q130" i="1"/>
  <c r="R126" i="1"/>
  <c r="Q126" i="1"/>
  <c r="O126" i="1"/>
  <c r="R125" i="1"/>
  <c r="Q125" i="1"/>
  <c r="R121" i="1"/>
  <c r="Q121" i="1"/>
  <c r="O121" i="1"/>
  <c r="R120" i="1"/>
  <c r="Q120" i="1"/>
  <c r="R116" i="1"/>
  <c r="Q116" i="1"/>
  <c r="O116" i="1"/>
  <c r="R115" i="1"/>
  <c r="Q115" i="1"/>
  <c r="R111" i="1"/>
  <c r="Q111" i="1"/>
  <c r="O111" i="1"/>
  <c r="R110" i="1"/>
  <c r="Q110" i="1"/>
  <c r="R106" i="1"/>
  <c r="Q106" i="1"/>
  <c r="O106" i="1"/>
  <c r="R105" i="1"/>
  <c r="Q105" i="1"/>
  <c r="R101" i="1"/>
  <c r="Q101" i="1"/>
  <c r="O101" i="1"/>
  <c r="R100" i="1"/>
  <c r="Q100" i="1"/>
  <c r="R96" i="1"/>
  <c r="Q96" i="1"/>
  <c r="O96" i="1"/>
  <c r="R95" i="1"/>
  <c r="Q95" i="1"/>
  <c r="R91" i="1"/>
  <c r="Q91" i="1"/>
  <c r="O91" i="1"/>
  <c r="R90" i="1"/>
  <c r="Q90" i="1"/>
  <c r="R86" i="1"/>
  <c r="Q86" i="1"/>
  <c r="O86" i="1"/>
  <c r="R85" i="1"/>
  <c r="Q85" i="1"/>
  <c r="R81" i="1"/>
  <c r="Q81" i="1"/>
  <c r="O81" i="1"/>
  <c r="R80" i="1"/>
  <c r="Q80" i="1"/>
  <c r="R76" i="1"/>
  <c r="Q76" i="1"/>
  <c r="O76" i="1"/>
  <c r="R75" i="1"/>
  <c r="Q75" i="1"/>
  <c r="R71" i="1"/>
  <c r="Q71" i="1"/>
  <c r="O71" i="1"/>
  <c r="R70" i="1"/>
  <c r="Q70" i="1"/>
  <c r="R66" i="1"/>
  <c r="Q66" i="1"/>
  <c r="O66" i="1"/>
  <c r="R65" i="1"/>
  <c r="Q65" i="1"/>
  <c r="R61" i="1"/>
  <c r="Q61" i="1"/>
  <c r="O61" i="1"/>
  <c r="R60" i="1"/>
  <c r="Q60" i="1"/>
  <c r="R56" i="1"/>
  <c r="Q56" i="1"/>
  <c r="O56" i="1"/>
  <c r="R55" i="1"/>
  <c r="Q55" i="1"/>
  <c r="R51" i="1"/>
  <c r="Q51" i="1"/>
  <c r="O51" i="1"/>
  <c r="R50" i="1"/>
  <c r="Q50" i="1"/>
  <c r="R46" i="1"/>
  <c r="Q46" i="1"/>
  <c r="O46" i="1"/>
  <c r="R45" i="1"/>
  <c r="Q45" i="1"/>
  <c r="R41" i="1"/>
  <c r="Q41" i="1"/>
  <c r="O41" i="1"/>
  <c r="R40" i="1"/>
  <c r="Q40" i="1"/>
  <c r="R36" i="1"/>
  <c r="Q36" i="1"/>
  <c r="O36" i="1"/>
  <c r="R35" i="1"/>
  <c r="Q35" i="1"/>
  <c r="R31" i="1"/>
  <c r="Q31" i="1"/>
  <c r="O31" i="1"/>
  <c r="R30" i="1"/>
  <c r="Q30" i="1"/>
  <c r="R26" i="1"/>
  <c r="Q26" i="1"/>
  <c r="O26" i="1"/>
  <c r="R25" i="1"/>
  <c r="Q25" i="1"/>
  <c r="R21" i="1"/>
  <c r="Q21" i="1"/>
  <c r="O21" i="1"/>
  <c r="R20" i="1"/>
  <c r="Q20" i="1"/>
  <c r="R16" i="1"/>
  <c r="Q16" i="1"/>
  <c r="O16" i="1"/>
  <c r="R15" i="1"/>
  <c r="Q15" i="1"/>
  <c r="R11" i="1"/>
  <c r="Q11" i="1"/>
  <c r="O11" i="1"/>
  <c r="R10" i="1"/>
  <c r="Q10" i="1"/>
  <c r="R6" i="1"/>
  <c r="Q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generar_reporte_pairings.py</author>
  </authors>
  <commentList>
    <comment ref="O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1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1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1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1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2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2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2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2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3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3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3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3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4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4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4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4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5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5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5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5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6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64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6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69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7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7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79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79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84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8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8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89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9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94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99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99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10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10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109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109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114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114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119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119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124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12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  <comment ref="O12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Escribir aquí el nombre del instructor</t>
        </r>
      </text>
    </comment>
    <comment ref="P12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Tipo de actividad (editable). Por defecto LCK B767; cambiar a Reentrenamiento B767, CHEQUEO BI ANUAL INST B767, etc. si corresponde.</t>
        </r>
      </text>
    </comment>
  </commentList>
</comments>
</file>

<file path=xl/sharedStrings.xml><?xml version="1.0" encoding="utf-8"?>
<sst xmlns="http://schemas.openxmlformats.org/spreadsheetml/2006/main" count="843" uniqueCount="79">
  <si>
    <t>Comenzar asignando vuelos los Jueves y Viernes (porque el SAB es DO)</t>
  </si>
  <si>
    <t>LCK de ida (porque va OP) y de retorno DGAC o RECA</t>
  </si>
  <si>
    <t>Pairing ID</t>
  </si>
  <si>
    <t>FECHA REAL</t>
  </si>
  <si>
    <t>MES</t>
  </si>
  <si>
    <t>Day of Week</t>
  </si>
  <si>
    <t>Flight No</t>
  </si>
  <si>
    <t>Dep Stn</t>
  </si>
  <si>
    <t>Arr Stn</t>
  </si>
  <si>
    <t>STD</t>
  </si>
  <si>
    <t>STA</t>
  </si>
  <si>
    <t>DAY</t>
  </si>
  <si>
    <t>AC Type</t>
  </si>
  <si>
    <t>HBT</t>
  </si>
  <si>
    <t>DIA_DUTY</t>
  </si>
  <si>
    <t>LCK B767</t>
  </si>
  <si>
    <t>01/09/2026</t>
  </si>
  <si>
    <t>Sep-2026</t>
  </si>
  <si>
    <t>martes</t>
  </si>
  <si>
    <t>LIM</t>
  </si>
  <si>
    <t>MIA</t>
  </si>
  <si>
    <t>00:15:00</t>
  </si>
  <si>
    <t>06:20:00</t>
  </si>
  <si>
    <t>NO</t>
  </si>
  <si>
    <t>06:05:00</t>
  </si>
  <si>
    <t>02/09/2026</t>
  </si>
  <si>
    <t>miércoles</t>
  </si>
  <si>
    <t>15:55:00</t>
  </si>
  <si>
    <t>21:40:00</t>
  </si>
  <si>
    <t>05:45:00</t>
  </si>
  <si>
    <t>03/09/2026</t>
  </si>
  <si>
    <t>jueves</t>
  </si>
  <si>
    <t>16:10:00</t>
  </si>
  <si>
    <t>22:00:00</t>
  </si>
  <si>
    <t>05:50:00</t>
  </si>
  <si>
    <t>04/09/2026</t>
  </si>
  <si>
    <t>viernes</t>
  </si>
  <si>
    <t>SCL</t>
  </si>
  <si>
    <t>12:05:00</t>
  </si>
  <si>
    <t>15:45:00</t>
  </si>
  <si>
    <t>03:40:00</t>
  </si>
  <si>
    <t>17:10:00</t>
  </si>
  <si>
    <t>21:00:00</t>
  </si>
  <si>
    <t>03:50:00</t>
  </si>
  <si>
    <t>07/09/2026</t>
  </si>
  <si>
    <t>lunes</t>
  </si>
  <si>
    <t>13:30:00</t>
  </si>
  <si>
    <t>19:35:00</t>
  </si>
  <si>
    <t>09/09/2026</t>
  </si>
  <si>
    <t>23:15:00</t>
  </si>
  <si>
    <t>05:00:00</t>
  </si>
  <si>
    <t>08/09/2026</t>
  </si>
  <si>
    <t>10/09/2026</t>
  </si>
  <si>
    <t>11/09/2026</t>
  </si>
  <si>
    <t>14/09/2026</t>
  </si>
  <si>
    <t>16/09/2026</t>
  </si>
  <si>
    <t>15/09/2026</t>
  </si>
  <si>
    <t>17/09/2026</t>
  </si>
  <si>
    <t>18/09/2026</t>
  </si>
  <si>
    <t>21/09/2026</t>
  </si>
  <si>
    <t>23/09/2026</t>
  </si>
  <si>
    <t>22/09/2026</t>
  </si>
  <si>
    <t>24/09/2026</t>
  </si>
  <si>
    <t>25/09/2026</t>
  </si>
  <si>
    <t>28/09/2026</t>
  </si>
  <si>
    <t>08:15:00</t>
  </si>
  <si>
    <t>14:20:00</t>
  </si>
  <si>
    <t>30/09/2026</t>
  </si>
  <si>
    <t>29/09/2026</t>
  </si>
  <si>
    <t>01/10/2026</t>
  </si>
  <si>
    <t>Oct-2026</t>
  </si>
  <si>
    <t>Fecha Inicio</t>
  </si>
  <si>
    <t>Día Sem</t>
  </si>
  <si>
    <t>Vuelo</t>
  </si>
  <si>
    <t>Ruta</t>
  </si>
  <si>
    <t>Instructor</t>
  </si>
  <si>
    <t>Actividad</t>
  </si>
  <si>
    <t>Inicio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</si>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</sst>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31"/>
  <sheetViews>
    <sheetView tabSelected="1" workbookViewId="0">
      <pane xSplit="1" ySplit="3" topLeftCell="B7" activePane="bottomRight" state="frozen"/>
      <selection pane="topRight"/>
      <selection pane="bottomLeft"/>
      <selection pane="bottomRight" activeCell="T19" sqref="T19"/>
    </sheetView>
  </sheetViews>
  <sheetFormatPr baseColWidth="10" defaultColWidth="9.140625" defaultRowHeight="15" x14ac:dyDescent="0.25"/>
  <cols>
    <col min="2" max="2" width="10" customWidth="1"/>
    <col min="3" max="3" width="12" customWidth="1"/>
    <col min="4" max="4" width="10" customWidth="1"/>
    <col min="5" max="5" width="12" customWidth="1"/>
    <col min="6" max="6" width="10" customWidth="1"/>
    <col min="7" max="8" width="9" customWidth="1"/>
    <col min="9" max="10" width="10" customWidth="1"/>
    <col min="11" max="11" width="6" customWidth="1"/>
    <col min="12" max="13" width="9" customWidth="1"/>
    <col min="14" max="14" width="10" customWidth="1"/>
    <col min="15" max="15" width="18" customWidth="1"/>
    <col min="16" max="16" width="26" customWidth="1"/>
    <col min="17" max="17" width="12" customWidth="1"/>
    <col min="18" max="18" width="24" customWidth="1"/>
  </cols>
  <sheetData>
    <row r="1" spans="2:18" x14ac:dyDescent="0.25">
      <c r="B1" s="1" t="s">
        <v>0</v>
      </c>
    </row>
    <row r="2" spans="2:18" x14ac:dyDescent="0.25">
      <c r="B2" s="1" t="s">
        <v>1</v>
      </c>
    </row>
    <row r="4" spans="2:18" x14ac:dyDescent="0.25">
      <c r="B4" s="2" t="s">
        <v>2</v>
      </c>
      <c r="C4" s="2" t="s">
        <v>3</v>
      </c>
      <c r="D4" s="3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4" t="s">
        <v>14</v>
      </c>
      <c r="O4" s="5"/>
      <c r="P4" s="5" t="s">
        <v>15</v>
      </c>
    </row>
    <row r="5" spans="2:18" x14ac:dyDescent="0.25">
      <c r="B5" s="6">
        <v>20</v>
      </c>
      <c r="C5" s="6" t="s">
        <v>16</v>
      </c>
      <c r="D5" s="6" t="s">
        <v>17</v>
      </c>
      <c r="E5" s="6" t="s">
        <v>18</v>
      </c>
      <c r="F5" s="6">
        <v>2480</v>
      </c>
      <c r="G5" s="6" t="s">
        <v>19</v>
      </c>
      <c r="H5" s="6" t="s">
        <v>20</v>
      </c>
      <c r="I5" s="6" t="s">
        <v>21</v>
      </c>
      <c r="J5" s="6" t="s">
        <v>22</v>
      </c>
      <c r="K5" s="6" t="s">
        <v>23</v>
      </c>
      <c r="L5" s="6">
        <v>763</v>
      </c>
      <c r="M5" s="6" t="s">
        <v>24</v>
      </c>
      <c r="N5" s="6">
        <v>2</v>
      </c>
      <c r="Q5" t="str">
        <f>"- "&amp;G5&amp;"-"&amp;H5</f>
        <v>- LIM-MIA</v>
      </c>
      <c r="R5" t="str">
        <f>"- LA "&amp;F5&amp;" ("&amp;LEFT(I5,5)&amp;"-"&amp;LEFT(J5,5)&amp;" hrs)"</f>
        <v>- LA 2480 (00:15-06:20 hrs)</v>
      </c>
    </row>
    <row r="6" spans="2:18" x14ac:dyDescent="0.25">
      <c r="B6" s="6">
        <v>20</v>
      </c>
      <c r="C6" s="6" t="s">
        <v>25</v>
      </c>
      <c r="D6" s="6" t="s">
        <v>17</v>
      </c>
      <c r="E6" s="6" t="s">
        <v>26</v>
      </c>
      <c r="F6" s="6">
        <v>2481</v>
      </c>
      <c r="G6" s="6" t="s">
        <v>20</v>
      </c>
      <c r="H6" s="6" t="s">
        <v>19</v>
      </c>
      <c r="I6" s="6" t="s">
        <v>27</v>
      </c>
      <c r="J6" s="6" t="s">
        <v>28</v>
      </c>
      <c r="K6" s="6" t="s">
        <v>23</v>
      </c>
      <c r="L6" s="6">
        <v>763</v>
      </c>
      <c r="M6" s="6" t="s">
        <v>29</v>
      </c>
      <c r="N6" s="6">
        <v>3</v>
      </c>
      <c r="O6">
        <f>O4</f>
        <v>0</v>
      </c>
      <c r="Q6" t="str">
        <f>"- "&amp;G6&amp;"-"&amp;H6</f>
        <v>- MIA-LIM</v>
      </c>
      <c r="R6" t="str">
        <f>"- LA "&amp;F6&amp;" ("&amp;LEFT(I6,5)&amp;"-"&amp;LEFT(J6,5)&amp;" hrs)"</f>
        <v>- LA 2481 (15:55-21:40 hrs)</v>
      </c>
    </row>
    <row r="9" spans="2:18" x14ac:dyDescent="0.25">
      <c r="B9" s="2" t="s">
        <v>2</v>
      </c>
      <c r="C9" s="2" t="s">
        <v>3</v>
      </c>
      <c r="D9" s="3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4" t="s">
        <v>14</v>
      </c>
      <c r="O9" s="5"/>
      <c r="P9" s="5" t="s">
        <v>15</v>
      </c>
    </row>
    <row r="10" spans="2:18" x14ac:dyDescent="0.25">
      <c r="B10" s="6">
        <v>29</v>
      </c>
      <c r="C10" s="6" t="s">
        <v>25</v>
      </c>
      <c r="D10" s="6" t="s">
        <v>17</v>
      </c>
      <c r="E10" s="6" t="s">
        <v>26</v>
      </c>
      <c r="F10" s="6">
        <v>2480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>
        <v>763</v>
      </c>
      <c r="M10" s="6" t="s">
        <v>24</v>
      </c>
      <c r="N10" s="6">
        <v>2</v>
      </c>
      <c r="Q10" t="str">
        <f>"- "&amp;G10&amp;"-"&amp;H10</f>
        <v>- LIM-MIA</v>
      </c>
      <c r="R10" t="str">
        <f>"- LA "&amp;F10&amp;" ("&amp;LEFT(I10,5)&amp;"-"&amp;LEFT(J10,5)&amp;" hrs)"</f>
        <v>- LA 2480 (00:15-06:20 hrs)</v>
      </c>
    </row>
    <row r="11" spans="2:18" x14ac:dyDescent="0.25">
      <c r="B11" s="6">
        <v>29</v>
      </c>
      <c r="C11" s="6" t="s">
        <v>30</v>
      </c>
      <c r="D11" s="6" t="s">
        <v>17</v>
      </c>
      <c r="E11" s="6" t="s">
        <v>31</v>
      </c>
      <c r="F11" s="6">
        <v>2695</v>
      </c>
      <c r="G11" s="6" t="s">
        <v>20</v>
      </c>
      <c r="H11" s="6" t="s">
        <v>19</v>
      </c>
      <c r="I11" s="6" t="s">
        <v>32</v>
      </c>
      <c r="J11" s="6" t="s">
        <v>33</v>
      </c>
      <c r="K11" s="6" t="s">
        <v>23</v>
      </c>
      <c r="L11" s="6">
        <v>763</v>
      </c>
      <c r="M11" s="6" t="s">
        <v>34</v>
      </c>
      <c r="N11" s="6">
        <v>3</v>
      </c>
      <c r="O11">
        <f>O9</f>
        <v>0</v>
      </c>
      <c r="Q11" t="str">
        <f>"- "&amp;G11&amp;"-"&amp;H11</f>
        <v>- MIA-LIM</v>
      </c>
      <c r="R11" t="str">
        <f>"- LA "&amp;F11&amp;" ("&amp;LEFT(I11,5)&amp;"-"&amp;LEFT(J11,5)&amp;" hrs)"</f>
        <v>- LA 2695 (16:10-22:00 hrs)</v>
      </c>
    </row>
    <row r="14" spans="2:18" x14ac:dyDescent="0.25">
      <c r="B14" s="2" t="s">
        <v>2</v>
      </c>
      <c r="C14" s="2" t="s">
        <v>3</v>
      </c>
      <c r="D14" s="3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10</v>
      </c>
      <c r="K14" s="2" t="s">
        <v>11</v>
      </c>
      <c r="L14" s="2" t="s">
        <v>12</v>
      </c>
      <c r="M14" s="2" t="s">
        <v>13</v>
      </c>
      <c r="N14" s="4" t="s">
        <v>14</v>
      </c>
      <c r="O14" s="5"/>
      <c r="P14" s="5" t="s">
        <v>15</v>
      </c>
    </row>
    <row r="15" spans="2:18" x14ac:dyDescent="0.25">
      <c r="B15" s="6">
        <v>39</v>
      </c>
      <c r="C15" s="6" t="s">
        <v>30</v>
      </c>
      <c r="D15" s="6" t="s">
        <v>17</v>
      </c>
      <c r="E15" s="6" t="s">
        <v>31</v>
      </c>
      <c r="F15" s="6">
        <v>2480</v>
      </c>
      <c r="G15" s="6" t="s">
        <v>19</v>
      </c>
      <c r="H15" s="6" t="s">
        <v>20</v>
      </c>
      <c r="I15" s="6" t="s">
        <v>21</v>
      </c>
      <c r="J15" s="6" t="s">
        <v>22</v>
      </c>
      <c r="K15" s="6" t="s">
        <v>23</v>
      </c>
      <c r="L15" s="6">
        <v>763</v>
      </c>
      <c r="M15" s="6" t="s">
        <v>24</v>
      </c>
      <c r="N15" s="6">
        <v>2</v>
      </c>
      <c r="Q15" t="str">
        <f>"- "&amp;G15&amp;"-"&amp;H15</f>
        <v>- LIM-MIA</v>
      </c>
      <c r="R15" t="str">
        <f>"- LA "&amp;F15&amp;" ("&amp;LEFT(I15,5)&amp;"-"&amp;LEFT(J15,5)&amp;" hrs)"</f>
        <v>- LA 2480 (00:15-06:20 hrs)</v>
      </c>
    </row>
    <row r="16" spans="2:18" x14ac:dyDescent="0.25">
      <c r="B16" s="6">
        <v>39</v>
      </c>
      <c r="C16" s="6" t="s">
        <v>35</v>
      </c>
      <c r="D16" s="6" t="s">
        <v>17</v>
      </c>
      <c r="E16" s="6" t="s">
        <v>36</v>
      </c>
      <c r="F16" s="6">
        <v>2481</v>
      </c>
      <c r="G16" s="6" t="s">
        <v>20</v>
      </c>
      <c r="H16" s="6" t="s">
        <v>19</v>
      </c>
      <c r="I16" s="6" t="s">
        <v>27</v>
      </c>
      <c r="J16" s="6" t="s">
        <v>28</v>
      </c>
      <c r="K16" s="6" t="s">
        <v>23</v>
      </c>
      <c r="L16" s="6">
        <v>763</v>
      </c>
      <c r="M16" s="6" t="s">
        <v>29</v>
      </c>
      <c r="N16" s="6">
        <v>3</v>
      </c>
      <c r="O16">
        <f>O14</f>
        <v>0</v>
      </c>
      <c r="Q16" t="str">
        <f>"- "&amp;G16&amp;"-"&amp;H16</f>
        <v>- MIA-LIM</v>
      </c>
      <c r="R16" t="str">
        <f>"- LA "&amp;F16&amp;" ("&amp;LEFT(I16,5)&amp;"-"&amp;LEFT(J16,5)&amp;" hrs)"</f>
        <v>- LA 2481 (15:55-21:40 hrs)</v>
      </c>
    </row>
    <row r="19" spans="2:18" x14ac:dyDescent="0.25">
      <c r="B19" s="2" t="s">
        <v>2</v>
      </c>
      <c r="C19" s="2" t="s">
        <v>3</v>
      </c>
      <c r="D19" s="3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4" t="s">
        <v>14</v>
      </c>
      <c r="O19" s="5"/>
      <c r="P19" s="5" t="s">
        <v>15</v>
      </c>
    </row>
    <row r="20" spans="2:18" x14ac:dyDescent="0.25">
      <c r="B20" s="6">
        <v>44</v>
      </c>
      <c r="C20" s="6" t="s">
        <v>30</v>
      </c>
      <c r="D20" s="6" t="s">
        <v>17</v>
      </c>
      <c r="E20" s="6" t="s">
        <v>31</v>
      </c>
      <c r="F20" s="6">
        <v>2413</v>
      </c>
      <c r="G20" s="6" t="s">
        <v>19</v>
      </c>
      <c r="H20" s="6" t="s">
        <v>37</v>
      </c>
      <c r="I20" s="6" t="s">
        <v>38</v>
      </c>
      <c r="J20" s="6" t="s">
        <v>39</v>
      </c>
      <c r="K20" s="6" t="s">
        <v>23</v>
      </c>
      <c r="L20" s="6">
        <v>763</v>
      </c>
      <c r="M20" s="6" t="s">
        <v>40</v>
      </c>
      <c r="N20" s="6">
        <v>1</v>
      </c>
      <c r="Q20" t="str">
        <f>"- "&amp;G20&amp;"-"&amp;H20</f>
        <v>- LIM-SCL</v>
      </c>
      <c r="R20" t="str">
        <f>"- LA "&amp;F20&amp;" ("&amp;LEFT(I20,5)&amp;"-"&amp;LEFT(J20,5)&amp;" hrs)"</f>
        <v>- LA 2413 (12:05-15:45 hrs)</v>
      </c>
    </row>
    <row r="21" spans="2:18" x14ac:dyDescent="0.25">
      <c r="B21" s="6">
        <v>44</v>
      </c>
      <c r="C21" s="6" t="s">
        <v>30</v>
      </c>
      <c r="D21" s="6" t="s">
        <v>17</v>
      </c>
      <c r="E21" s="6" t="s">
        <v>31</v>
      </c>
      <c r="F21" s="6">
        <v>2412</v>
      </c>
      <c r="G21" s="6" t="s">
        <v>37</v>
      </c>
      <c r="H21" s="6" t="s">
        <v>19</v>
      </c>
      <c r="I21" s="6" t="s">
        <v>41</v>
      </c>
      <c r="J21" s="6" t="s">
        <v>42</v>
      </c>
      <c r="K21" s="6" t="s">
        <v>23</v>
      </c>
      <c r="L21" s="6">
        <v>763</v>
      </c>
      <c r="M21" s="6" t="s">
        <v>43</v>
      </c>
      <c r="N21" s="6">
        <v>1</v>
      </c>
      <c r="O21">
        <f>O19</f>
        <v>0</v>
      </c>
      <c r="Q21" t="str">
        <f>"- "&amp;G21&amp;"-"&amp;H21</f>
        <v>- SCL-LIM</v>
      </c>
      <c r="R21" t="str">
        <f>"- LA "&amp;F21&amp;" ("&amp;LEFT(I21,5)&amp;"-"&amp;LEFT(J21,5)&amp;" hrs)"</f>
        <v>- LA 2412 (17:10-21:00 hrs)</v>
      </c>
    </row>
    <row r="24" spans="2:18" x14ac:dyDescent="0.25">
      <c r="B24" s="2" t="s">
        <v>2</v>
      </c>
      <c r="C24" s="2" t="s">
        <v>3</v>
      </c>
      <c r="D24" s="3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  <c r="N24" s="4" t="s">
        <v>14</v>
      </c>
      <c r="O24" s="5"/>
      <c r="P24" s="5" t="s">
        <v>15</v>
      </c>
    </row>
    <row r="25" spans="2:18" x14ac:dyDescent="0.25">
      <c r="B25" s="6">
        <v>54</v>
      </c>
      <c r="C25" s="6" t="s">
        <v>35</v>
      </c>
      <c r="D25" s="6" t="s">
        <v>17</v>
      </c>
      <c r="E25" s="6" t="s">
        <v>36</v>
      </c>
      <c r="F25" s="6">
        <v>2413</v>
      </c>
      <c r="G25" s="6" t="s">
        <v>19</v>
      </c>
      <c r="H25" s="6" t="s">
        <v>37</v>
      </c>
      <c r="I25" s="6" t="s">
        <v>38</v>
      </c>
      <c r="J25" s="6" t="s">
        <v>39</v>
      </c>
      <c r="K25" s="6" t="s">
        <v>23</v>
      </c>
      <c r="L25" s="6">
        <v>763</v>
      </c>
      <c r="M25" s="6" t="s">
        <v>40</v>
      </c>
      <c r="N25" s="6">
        <v>1</v>
      </c>
      <c r="Q25" t="str">
        <f>"- "&amp;G25&amp;"-"&amp;H25</f>
        <v>- LIM-SCL</v>
      </c>
      <c r="R25" t="str">
        <f>"- LA "&amp;F25&amp;" ("&amp;LEFT(I25,5)&amp;"-"&amp;LEFT(J25,5)&amp;" hrs)"</f>
        <v>- LA 2413 (12:05-15:45 hrs)</v>
      </c>
    </row>
    <row r="26" spans="2:18" x14ac:dyDescent="0.25">
      <c r="B26" s="6">
        <v>54</v>
      </c>
      <c r="C26" s="6" t="s">
        <v>35</v>
      </c>
      <c r="D26" s="6" t="s">
        <v>17</v>
      </c>
      <c r="E26" s="6" t="s">
        <v>36</v>
      </c>
      <c r="F26" s="6">
        <v>2412</v>
      </c>
      <c r="G26" s="6" t="s">
        <v>37</v>
      </c>
      <c r="H26" s="6" t="s">
        <v>19</v>
      </c>
      <c r="I26" s="6" t="s">
        <v>41</v>
      </c>
      <c r="J26" s="6" t="s">
        <v>42</v>
      </c>
      <c r="K26" s="6" t="s">
        <v>23</v>
      </c>
      <c r="L26" s="6">
        <v>763</v>
      </c>
      <c r="M26" s="6" t="s">
        <v>43</v>
      </c>
      <c r="N26" s="6">
        <v>1</v>
      </c>
      <c r="O26">
        <f>O24</f>
        <v>0</v>
      </c>
      <c r="Q26" t="str">
        <f>"- "&amp;G26&amp;"-"&amp;H26</f>
        <v>- SCL-LIM</v>
      </c>
      <c r="R26" t="str">
        <f>"- LA "&amp;F26&amp;" ("&amp;LEFT(I26,5)&amp;"-"&amp;LEFT(J26,5)&amp;" hrs)"</f>
        <v>- LA 2412 (17:10-21:00 hrs)</v>
      </c>
    </row>
    <row r="29" spans="2:18" x14ac:dyDescent="0.25">
      <c r="B29" s="2" t="s">
        <v>2</v>
      </c>
      <c r="C29" s="2" t="s">
        <v>3</v>
      </c>
      <c r="D29" s="3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11</v>
      </c>
      <c r="L29" s="2" t="s">
        <v>12</v>
      </c>
      <c r="M29" s="2" t="s">
        <v>13</v>
      </c>
      <c r="N29" s="4" t="s">
        <v>14</v>
      </c>
      <c r="O29" s="5"/>
      <c r="P29" s="5" t="s">
        <v>15</v>
      </c>
    </row>
    <row r="30" spans="2:18" x14ac:dyDescent="0.25">
      <c r="B30" s="6">
        <v>88</v>
      </c>
      <c r="C30" s="6" t="s">
        <v>44</v>
      </c>
      <c r="D30" s="6" t="s">
        <v>17</v>
      </c>
      <c r="E30" s="6" t="s">
        <v>45</v>
      </c>
      <c r="F30" s="6">
        <v>2694</v>
      </c>
      <c r="G30" s="6" t="s">
        <v>19</v>
      </c>
      <c r="H30" s="6" t="s">
        <v>20</v>
      </c>
      <c r="I30" s="6" t="s">
        <v>46</v>
      </c>
      <c r="J30" s="6" t="s">
        <v>47</v>
      </c>
      <c r="K30" s="6" t="s">
        <v>23</v>
      </c>
      <c r="L30" s="6">
        <v>763</v>
      </c>
      <c r="M30" s="6" t="s">
        <v>24</v>
      </c>
      <c r="N30" s="6">
        <v>1</v>
      </c>
      <c r="Q30" t="str">
        <f>"- "&amp;G30&amp;"-"&amp;H30</f>
        <v>- LIM-MIA</v>
      </c>
      <c r="R30" t="str">
        <f>"- LA "&amp;F30&amp;" ("&amp;LEFT(I30,5)&amp;"-"&amp;LEFT(J30,5)&amp;" hrs)"</f>
        <v>- LA 2694 (13:30-19:35 hrs)</v>
      </c>
    </row>
    <row r="31" spans="2:18" x14ac:dyDescent="0.25">
      <c r="B31" s="6">
        <v>88</v>
      </c>
      <c r="C31" s="6" t="s">
        <v>48</v>
      </c>
      <c r="D31" s="6" t="s">
        <v>17</v>
      </c>
      <c r="E31" s="6" t="s">
        <v>26</v>
      </c>
      <c r="F31" s="6">
        <v>2699</v>
      </c>
      <c r="G31" s="6" t="s">
        <v>20</v>
      </c>
      <c r="H31" s="6" t="s">
        <v>19</v>
      </c>
      <c r="I31" s="6" t="s">
        <v>49</v>
      </c>
      <c r="J31" s="6" t="s">
        <v>50</v>
      </c>
      <c r="K31" s="6" t="s">
        <v>23</v>
      </c>
      <c r="L31" s="6">
        <v>763</v>
      </c>
      <c r="M31" s="6" t="s">
        <v>29</v>
      </c>
      <c r="N31" s="6">
        <v>2</v>
      </c>
      <c r="O31">
        <f>O29</f>
        <v>0</v>
      </c>
      <c r="Q31" t="str">
        <f>"- "&amp;G31&amp;"-"&amp;H31</f>
        <v>- MIA-LIM</v>
      </c>
      <c r="R31" t="str">
        <f>"- LA "&amp;F31&amp;" ("&amp;LEFT(I31,5)&amp;"-"&amp;LEFT(J31,5)&amp;" hrs)"</f>
        <v>- LA 2699 (23:15-05:00 hrs)</v>
      </c>
    </row>
    <row r="34" spans="2:18" x14ac:dyDescent="0.25">
      <c r="B34" s="2" t="s">
        <v>2</v>
      </c>
      <c r="C34" s="2" t="s">
        <v>3</v>
      </c>
      <c r="D34" s="3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4" t="s">
        <v>14</v>
      </c>
      <c r="O34" s="5"/>
      <c r="P34" s="5" t="s">
        <v>15</v>
      </c>
    </row>
    <row r="35" spans="2:18" x14ac:dyDescent="0.25">
      <c r="B35" s="6">
        <v>91</v>
      </c>
      <c r="C35" s="6" t="s">
        <v>51</v>
      </c>
      <c r="D35" s="6" t="s">
        <v>17</v>
      </c>
      <c r="E35" s="6" t="s">
        <v>18</v>
      </c>
      <c r="F35" s="6">
        <v>2480</v>
      </c>
      <c r="G35" s="6" t="s">
        <v>19</v>
      </c>
      <c r="H35" s="6" t="s">
        <v>20</v>
      </c>
      <c r="I35" s="6" t="s">
        <v>21</v>
      </c>
      <c r="J35" s="6" t="s">
        <v>22</v>
      </c>
      <c r="K35" s="6" t="s">
        <v>23</v>
      </c>
      <c r="L35" s="6">
        <v>763</v>
      </c>
      <c r="M35" s="6" t="s">
        <v>24</v>
      </c>
      <c r="N35" s="6">
        <v>2</v>
      </c>
      <c r="Q35" t="str">
        <f>"- "&amp;G35&amp;"-"&amp;H35</f>
        <v>- LIM-MIA</v>
      </c>
      <c r="R35" t="str">
        <f>"- LA "&amp;F35&amp;" ("&amp;LEFT(I35,5)&amp;"-"&amp;LEFT(J35,5)&amp;" hrs)"</f>
        <v>- LA 2480 (00:15-06:20 hrs)</v>
      </c>
    </row>
    <row r="36" spans="2:18" x14ac:dyDescent="0.25">
      <c r="B36" s="6">
        <v>91</v>
      </c>
      <c r="C36" s="6" t="s">
        <v>48</v>
      </c>
      <c r="D36" s="6" t="s">
        <v>17</v>
      </c>
      <c r="E36" s="6" t="s">
        <v>26</v>
      </c>
      <c r="F36" s="6">
        <v>2481</v>
      </c>
      <c r="G36" s="6" t="s">
        <v>20</v>
      </c>
      <c r="H36" s="6" t="s">
        <v>19</v>
      </c>
      <c r="I36" s="6" t="s">
        <v>27</v>
      </c>
      <c r="J36" s="6" t="s">
        <v>28</v>
      </c>
      <c r="K36" s="6" t="s">
        <v>23</v>
      </c>
      <c r="L36" s="6">
        <v>763</v>
      </c>
      <c r="M36" s="6" t="s">
        <v>29</v>
      </c>
      <c r="N36" s="6">
        <v>3</v>
      </c>
      <c r="O36">
        <f>O34</f>
        <v>0</v>
      </c>
      <c r="Q36" t="str">
        <f>"- "&amp;G36&amp;"-"&amp;H36</f>
        <v>- MIA-LIM</v>
      </c>
      <c r="R36" t="str">
        <f>"- LA "&amp;F36&amp;" ("&amp;LEFT(I36,5)&amp;"-"&amp;LEFT(J36,5)&amp;" hrs)"</f>
        <v>- LA 2481 (15:55-21:40 hrs)</v>
      </c>
    </row>
    <row r="39" spans="2:18" x14ac:dyDescent="0.25">
      <c r="B39" s="2" t="s">
        <v>2</v>
      </c>
      <c r="C39" s="2" t="s">
        <v>3</v>
      </c>
      <c r="D39" s="3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4" t="s">
        <v>14</v>
      </c>
      <c r="O39" s="5"/>
      <c r="P39" s="5" t="s">
        <v>15</v>
      </c>
    </row>
    <row r="40" spans="2:18" x14ac:dyDescent="0.25">
      <c r="B40" s="6">
        <v>100</v>
      </c>
      <c r="C40" s="6" t="s">
        <v>48</v>
      </c>
      <c r="D40" s="6" t="s">
        <v>17</v>
      </c>
      <c r="E40" s="6" t="s">
        <v>26</v>
      </c>
      <c r="F40" s="6">
        <v>2480</v>
      </c>
      <c r="G40" s="6" t="s">
        <v>19</v>
      </c>
      <c r="H40" s="6" t="s">
        <v>20</v>
      </c>
      <c r="I40" s="6" t="s">
        <v>21</v>
      </c>
      <c r="J40" s="6" t="s">
        <v>22</v>
      </c>
      <c r="K40" s="6" t="s">
        <v>23</v>
      </c>
      <c r="L40" s="6">
        <v>763</v>
      </c>
      <c r="M40" s="6" t="s">
        <v>24</v>
      </c>
      <c r="N40" s="6">
        <v>2</v>
      </c>
      <c r="Q40" t="str">
        <f>"- "&amp;G40&amp;"-"&amp;H40</f>
        <v>- LIM-MIA</v>
      </c>
      <c r="R40" t="str">
        <f>"- LA "&amp;F40&amp;" ("&amp;LEFT(I40,5)&amp;"-"&amp;LEFT(J40,5)&amp;" hrs)"</f>
        <v>- LA 2480 (00:15-06:20 hrs)</v>
      </c>
    </row>
    <row r="41" spans="2:18" x14ac:dyDescent="0.25">
      <c r="B41" s="6">
        <v>100</v>
      </c>
      <c r="C41" s="6" t="s">
        <v>52</v>
      </c>
      <c r="D41" s="6" t="s">
        <v>17</v>
      </c>
      <c r="E41" s="6" t="s">
        <v>31</v>
      </c>
      <c r="F41" s="6">
        <v>2695</v>
      </c>
      <c r="G41" s="6" t="s">
        <v>20</v>
      </c>
      <c r="H41" s="6" t="s">
        <v>19</v>
      </c>
      <c r="I41" s="6" t="s">
        <v>32</v>
      </c>
      <c r="J41" s="6" t="s">
        <v>33</v>
      </c>
      <c r="K41" s="6" t="s">
        <v>23</v>
      </c>
      <c r="L41" s="6">
        <v>763</v>
      </c>
      <c r="M41" s="6" t="s">
        <v>34</v>
      </c>
      <c r="N41" s="6">
        <v>3</v>
      </c>
      <c r="O41">
        <f>O39</f>
        <v>0</v>
      </c>
      <c r="Q41" t="str">
        <f>"- "&amp;G41&amp;"-"&amp;H41</f>
        <v>- MIA-LIM</v>
      </c>
      <c r="R41" t="str">
        <f>"- LA "&amp;F41&amp;" ("&amp;LEFT(I41,5)&amp;"-"&amp;LEFT(J41,5)&amp;" hrs)"</f>
        <v>- LA 2695 (16:10-22:00 hrs)</v>
      </c>
    </row>
    <row r="44" spans="2:18" x14ac:dyDescent="0.25">
      <c r="B44" s="2" t="s">
        <v>2</v>
      </c>
      <c r="C44" s="2" t="s">
        <v>3</v>
      </c>
      <c r="D44" s="3" t="s">
        <v>4</v>
      </c>
      <c r="E44" s="2" t="s">
        <v>5</v>
      </c>
      <c r="F44" s="2" t="s">
        <v>6</v>
      </c>
      <c r="G44" s="2" t="s">
        <v>7</v>
      </c>
      <c r="H44" s="2" t="s">
        <v>8</v>
      </c>
      <c r="I44" s="2" t="s">
        <v>9</v>
      </c>
      <c r="J44" s="2" t="s">
        <v>10</v>
      </c>
      <c r="K44" s="2" t="s">
        <v>11</v>
      </c>
      <c r="L44" s="2" t="s">
        <v>12</v>
      </c>
      <c r="M44" s="2" t="s">
        <v>13</v>
      </c>
      <c r="N44" s="4" t="s">
        <v>14</v>
      </c>
      <c r="O44" s="5"/>
      <c r="P44" s="5" t="s">
        <v>15</v>
      </c>
    </row>
    <row r="45" spans="2:18" x14ac:dyDescent="0.25">
      <c r="B45" s="6">
        <v>110</v>
      </c>
      <c r="C45" s="6" t="s">
        <v>52</v>
      </c>
      <c r="D45" s="6" t="s">
        <v>17</v>
      </c>
      <c r="E45" s="6" t="s">
        <v>31</v>
      </c>
      <c r="F45" s="6">
        <v>2480</v>
      </c>
      <c r="G45" s="6" t="s">
        <v>19</v>
      </c>
      <c r="H45" s="6" t="s">
        <v>20</v>
      </c>
      <c r="I45" s="6" t="s">
        <v>21</v>
      </c>
      <c r="J45" s="6" t="s">
        <v>22</v>
      </c>
      <c r="K45" s="6" t="s">
        <v>23</v>
      </c>
      <c r="L45" s="6">
        <v>763</v>
      </c>
      <c r="M45" s="6" t="s">
        <v>24</v>
      </c>
      <c r="N45" s="6">
        <v>2</v>
      </c>
      <c r="Q45" t="str">
        <f>"- "&amp;G45&amp;"-"&amp;H45</f>
        <v>- LIM-MIA</v>
      </c>
      <c r="R45" t="str">
        <f>"- LA "&amp;F45&amp;" ("&amp;LEFT(I45,5)&amp;"-"&amp;LEFT(J45,5)&amp;" hrs)"</f>
        <v>- LA 2480 (00:15-06:20 hrs)</v>
      </c>
    </row>
    <row r="46" spans="2:18" x14ac:dyDescent="0.25">
      <c r="B46" s="6">
        <v>110</v>
      </c>
      <c r="C46" s="6" t="s">
        <v>53</v>
      </c>
      <c r="D46" s="6" t="s">
        <v>17</v>
      </c>
      <c r="E46" s="6" t="s">
        <v>36</v>
      </c>
      <c r="F46" s="6">
        <v>2481</v>
      </c>
      <c r="G46" s="6" t="s">
        <v>20</v>
      </c>
      <c r="H46" s="6" t="s">
        <v>19</v>
      </c>
      <c r="I46" s="6" t="s">
        <v>27</v>
      </c>
      <c r="J46" s="6" t="s">
        <v>28</v>
      </c>
      <c r="K46" s="6" t="s">
        <v>23</v>
      </c>
      <c r="L46" s="6">
        <v>763</v>
      </c>
      <c r="M46" s="6" t="s">
        <v>29</v>
      </c>
      <c r="N46" s="6">
        <v>3</v>
      </c>
      <c r="O46">
        <f>O44</f>
        <v>0</v>
      </c>
      <c r="Q46" t="str">
        <f>"- "&amp;G46&amp;"-"&amp;H46</f>
        <v>- MIA-LIM</v>
      </c>
      <c r="R46" t="str">
        <f>"- LA "&amp;F46&amp;" ("&amp;LEFT(I46,5)&amp;"-"&amp;LEFT(J46,5)&amp;" hrs)"</f>
        <v>- LA 2481 (15:55-21:40 hrs)</v>
      </c>
    </row>
    <row r="49" spans="2:18" x14ac:dyDescent="0.25">
      <c r="B49" s="2" t="s">
        <v>2</v>
      </c>
      <c r="C49" s="2" t="s">
        <v>3</v>
      </c>
      <c r="D49" s="3" t="s">
        <v>4</v>
      </c>
      <c r="E49" s="2" t="s">
        <v>5</v>
      </c>
      <c r="F49" s="2" t="s">
        <v>6</v>
      </c>
      <c r="G49" s="2" t="s">
        <v>7</v>
      </c>
      <c r="H49" s="2" t="s">
        <v>8</v>
      </c>
      <c r="I49" s="2" t="s">
        <v>9</v>
      </c>
      <c r="J49" s="2" t="s">
        <v>10</v>
      </c>
      <c r="K49" s="2" t="s">
        <v>11</v>
      </c>
      <c r="L49" s="2" t="s">
        <v>12</v>
      </c>
      <c r="M49" s="2" t="s">
        <v>13</v>
      </c>
      <c r="N49" s="4" t="s">
        <v>14</v>
      </c>
      <c r="O49" s="5"/>
      <c r="P49" s="5" t="s">
        <v>15</v>
      </c>
    </row>
    <row r="50" spans="2:18" x14ac:dyDescent="0.25">
      <c r="B50" s="6">
        <v>115</v>
      </c>
      <c r="C50" s="6" t="s">
        <v>52</v>
      </c>
      <c r="D50" s="6" t="s">
        <v>17</v>
      </c>
      <c r="E50" s="6" t="s">
        <v>31</v>
      </c>
      <c r="F50" s="6">
        <v>2413</v>
      </c>
      <c r="G50" s="6" t="s">
        <v>19</v>
      </c>
      <c r="H50" s="6" t="s">
        <v>37</v>
      </c>
      <c r="I50" s="6" t="s">
        <v>38</v>
      </c>
      <c r="J50" s="6" t="s">
        <v>39</v>
      </c>
      <c r="K50" s="6" t="s">
        <v>23</v>
      </c>
      <c r="L50" s="6">
        <v>763</v>
      </c>
      <c r="M50" s="6" t="s">
        <v>40</v>
      </c>
      <c r="N50" s="6">
        <v>1</v>
      </c>
      <c r="Q50" t="str">
        <f>"- "&amp;G50&amp;"-"&amp;H50</f>
        <v>- LIM-SCL</v>
      </c>
      <c r="R50" t="str">
        <f>"- LA "&amp;F50&amp;" ("&amp;LEFT(I50,5)&amp;"-"&amp;LEFT(J50,5)&amp;" hrs)"</f>
        <v>- LA 2413 (12:05-15:45 hrs)</v>
      </c>
    </row>
    <row r="51" spans="2:18" x14ac:dyDescent="0.25">
      <c r="B51" s="6">
        <v>115</v>
      </c>
      <c r="C51" s="6" t="s">
        <v>52</v>
      </c>
      <c r="D51" s="6" t="s">
        <v>17</v>
      </c>
      <c r="E51" s="6" t="s">
        <v>31</v>
      </c>
      <c r="F51" s="6">
        <v>2412</v>
      </c>
      <c r="G51" s="6" t="s">
        <v>37</v>
      </c>
      <c r="H51" s="6" t="s">
        <v>19</v>
      </c>
      <c r="I51" s="6" t="s">
        <v>41</v>
      </c>
      <c r="J51" s="6" t="s">
        <v>42</v>
      </c>
      <c r="K51" s="6" t="s">
        <v>23</v>
      </c>
      <c r="L51" s="6">
        <v>763</v>
      </c>
      <c r="M51" s="6" t="s">
        <v>43</v>
      </c>
      <c r="N51" s="6">
        <v>1</v>
      </c>
      <c r="O51">
        <f>O49</f>
        <v>0</v>
      </c>
      <c r="Q51" t="str">
        <f>"- "&amp;G51&amp;"-"&amp;H51</f>
        <v>- SCL-LIM</v>
      </c>
      <c r="R51" t="str">
        <f>"- LA "&amp;F51&amp;" ("&amp;LEFT(I51,5)&amp;"-"&amp;LEFT(J51,5)&amp;" hrs)"</f>
        <v>- LA 2412 (17:10-21:00 hrs)</v>
      </c>
    </row>
    <row r="54" spans="2:18" x14ac:dyDescent="0.25">
      <c r="B54" s="2" t="s">
        <v>2</v>
      </c>
      <c r="C54" s="2" t="s">
        <v>3</v>
      </c>
      <c r="D54" s="3" t="s">
        <v>4</v>
      </c>
      <c r="E54" s="2" t="s">
        <v>5</v>
      </c>
      <c r="F54" s="2" t="s">
        <v>6</v>
      </c>
      <c r="G54" s="2" t="s">
        <v>7</v>
      </c>
      <c r="H54" s="2" t="s">
        <v>8</v>
      </c>
      <c r="I54" s="2" t="s">
        <v>9</v>
      </c>
      <c r="J54" s="2" t="s">
        <v>10</v>
      </c>
      <c r="K54" s="2" t="s">
        <v>11</v>
      </c>
      <c r="L54" s="2" t="s">
        <v>12</v>
      </c>
      <c r="M54" s="2" t="s">
        <v>13</v>
      </c>
      <c r="N54" s="4" t="s">
        <v>14</v>
      </c>
      <c r="O54" s="5"/>
      <c r="P54" s="5" t="s">
        <v>15</v>
      </c>
    </row>
    <row r="55" spans="2:18" x14ac:dyDescent="0.25">
      <c r="B55" s="6">
        <v>125</v>
      </c>
      <c r="C55" s="6" t="s">
        <v>53</v>
      </c>
      <c r="D55" s="6" t="s">
        <v>17</v>
      </c>
      <c r="E55" s="6" t="s">
        <v>36</v>
      </c>
      <c r="F55" s="6">
        <v>2413</v>
      </c>
      <c r="G55" s="6" t="s">
        <v>19</v>
      </c>
      <c r="H55" s="6" t="s">
        <v>37</v>
      </c>
      <c r="I55" s="6" t="s">
        <v>38</v>
      </c>
      <c r="J55" s="6" t="s">
        <v>39</v>
      </c>
      <c r="K55" s="6" t="s">
        <v>23</v>
      </c>
      <c r="L55" s="6">
        <v>763</v>
      </c>
      <c r="M55" s="6" t="s">
        <v>40</v>
      </c>
      <c r="N55" s="6">
        <v>1</v>
      </c>
      <c r="Q55" t="str">
        <f>"- "&amp;G55&amp;"-"&amp;H55</f>
        <v>- LIM-SCL</v>
      </c>
      <c r="R55" t="str">
        <f>"- LA "&amp;F55&amp;" ("&amp;LEFT(I55,5)&amp;"-"&amp;LEFT(J55,5)&amp;" hrs)"</f>
        <v>- LA 2413 (12:05-15:45 hrs)</v>
      </c>
    </row>
    <row r="56" spans="2:18" x14ac:dyDescent="0.25">
      <c r="B56" s="6">
        <v>125</v>
      </c>
      <c r="C56" s="6" t="s">
        <v>53</v>
      </c>
      <c r="D56" s="6" t="s">
        <v>17</v>
      </c>
      <c r="E56" s="6" t="s">
        <v>36</v>
      </c>
      <c r="F56" s="6">
        <v>2412</v>
      </c>
      <c r="G56" s="6" t="s">
        <v>37</v>
      </c>
      <c r="H56" s="6" t="s">
        <v>19</v>
      </c>
      <c r="I56" s="6" t="s">
        <v>41</v>
      </c>
      <c r="J56" s="6" t="s">
        <v>42</v>
      </c>
      <c r="K56" s="6" t="s">
        <v>23</v>
      </c>
      <c r="L56" s="6">
        <v>763</v>
      </c>
      <c r="M56" s="6" t="s">
        <v>43</v>
      </c>
      <c r="N56" s="6">
        <v>1</v>
      </c>
      <c r="O56">
        <f>O54</f>
        <v>0</v>
      </c>
      <c r="Q56" t="str">
        <f>"- "&amp;G56&amp;"-"&amp;H56</f>
        <v>- SCL-LIM</v>
      </c>
      <c r="R56" t="str">
        <f>"- LA "&amp;F56&amp;" ("&amp;LEFT(I56,5)&amp;"-"&amp;LEFT(J56,5)&amp;" hrs)"</f>
        <v>- LA 2412 (17:10-21:00 hrs)</v>
      </c>
    </row>
    <row r="59" spans="2:18" x14ac:dyDescent="0.25">
      <c r="B59" s="2" t="s">
        <v>2</v>
      </c>
      <c r="C59" s="2" t="s">
        <v>3</v>
      </c>
      <c r="D59" s="3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  <c r="N59" s="4" t="s">
        <v>14</v>
      </c>
      <c r="O59" s="5"/>
      <c r="P59" s="5" t="s">
        <v>15</v>
      </c>
    </row>
    <row r="60" spans="2:18" x14ac:dyDescent="0.25">
      <c r="B60" s="6">
        <v>159</v>
      </c>
      <c r="C60" s="6" t="s">
        <v>54</v>
      </c>
      <c r="D60" s="6" t="s">
        <v>17</v>
      </c>
      <c r="E60" s="6" t="s">
        <v>45</v>
      </c>
      <c r="F60" s="6">
        <v>2694</v>
      </c>
      <c r="G60" s="6" t="s">
        <v>19</v>
      </c>
      <c r="H60" s="6" t="s">
        <v>20</v>
      </c>
      <c r="I60" s="6" t="s">
        <v>46</v>
      </c>
      <c r="J60" s="6" t="s">
        <v>47</v>
      </c>
      <c r="K60" s="6" t="s">
        <v>23</v>
      </c>
      <c r="L60" s="6">
        <v>763</v>
      </c>
      <c r="M60" s="6" t="s">
        <v>24</v>
      </c>
      <c r="N60" s="6">
        <v>1</v>
      </c>
      <c r="Q60" t="str">
        <f>"- "&amp;G60&amp;"-"&amp;H60</f>
        <v>- LIM-MIA</v>
      </c>
      <c r="R60" t="str">
        <f>"- LA "&amp;F60&amp;" ("&amp;LEFT(I60,5)&amp;"-"&amp;LEFT(J60,5)&amp;" hrs)"</f>
        <v>- LA 2694 (13:30-19:35 hrs)</v>
      </c>
    </row>
    <row r="61" spans="2:18" x14ac:dyDescent="0.25">
      <c r="B61" s="6">
        <v>159</v>
      </c>
      <c r="C61" s="6" t="s">
        <v>55</v>
      </c>
      <c r="D61" s="6" t="s">
        <v>17</v>
      </c>
      <c r="E61" s="6" t="s">
        <v>26</v>
      </c>
      <c r="F61" s="6">
        <v>2699</v>
      </c>
      <c r="G61" s="6" t="s">
        <v>20</v>
      </c>
      <c r="H61" s="6" t="s">
        <v>19</v>
      </c>
      <c r="I61" s="6" t="s">
        <v>49</v>
      </c>
      <c r="J61" s="6" t="s">
        <v>50</v>
      </c>
      <c r="K61" s="6" t="s">
        <v>23</v>
      </c>
      <c r="L61" s="6">
        <v>763</v>
      </c>
      <c r="M61" s="6" t="s">
        <v>29</v>
      </c>
      <c r="N61" s="6">
        <v>2</v>
      </c>
      <c r="O61">
        <f>O59</f>
        <v>0</v>
      </c>
      <c r="Q61" t="str">
        <f>"- "&amp;G61&amp;"-"&amp;H61</f>
        <v>- MIA-LIM</v>
      </c>
      <c r="R61" t="str">
        <f>"- LA "&amp;F61&amp;" ("&amp;LEFT(I61,5)&amp;"-"&amp;LEFT(J61,5)&amp;" hrs)"</f>
        <v>- LA 2699 (23:15-05:00 hrs)</v>
      </c>
    </row>
    <row r="64" spans="2:18" x14ac:dyDescent="0.25">
      <c r="B64" s="2" t="s">
        <v>2</v>
      </c>
      <c r="C64" s="2" t="s">
        <v>3</v>
      </c>
      <c r="D64" s="3" t="s">
        <v>4</v>
      </c>
      <c r="E64" s="2" t="s">
        <v>5</v>
      </c>
      <c r="F64" s="2" t="s">
        <v>6</v>
      </c>
      <c r="G64" s="2" t="s">
        <v>7</v>
      </c>
      <c r="H64" s="2" t="s">
        <v>8</v>
      </c>
      <c r="I64" s="2" t="s">
        <v>9</v>
      </c>
      <c r="J64" s="2" t="s">
        <v>10</v>
      </c>
      <c r="K64" s="2" t="s">
        <v>11</v>
      </c>
      <c r="L64" s="2" t="s">
        <v>12</v>
      </c>
      <c r="M64" s="2" t="s">
        <v>13</v>
      </c>
      <c r="N64" s="4" t="s">
        <v>14</v>
      </c>
      <c r="O64" s="5"/>
      <c r="P64" s="5" t="s">
        <v>15</v>
      </c>
    </row>
    <row r="65" spans="2:18" x14ac:dyDescent="0.25">
      <c r="B65" s="6">
        <v>162</v>
      </c>
      <c r="C65" s="6" t="s">
        <v>56</v>
      </c>
      <c r="D65" s="6" t="s">
        <v>17</v>
      </c>
      <c r="E65" s="6" t="s">
        <v>18</v>
      </c>
      <c r="F65" s="6">
        <v>2480</v>
      </c>
      <c r="G65" s="6" t="s">
        <v>19</v>
      </c>
      <c r="H65" s="6" t="s">
        <v>20</v>
      </c>
      <c r="I65" s="6" t="s">
        <v>21</v>
      </c>
      <c r="J65" s="6" t="s">
        <v>22</v>
      </c>
      <c r="K65" s="6" t="s">
        <v>23</v>
      </c>
      <c r="L65" s="6">
        <v>763</v>
      </c>
      <c r="M65" s="6" t="s">
        <v>24</v>
      </c>
      <c r="N65" s="6">
        <v>2</v>
      </c>
      <c r="Q65" t="str">
        <f>"- "&amp;G65&amp;"-"&amp;H65</f>
        <v>- LIM-MIA</v>
      </c>
      <c r="R65" t="str">
        <f>"- LA "&amp;F65&amp;" ("&amp;LEFT(I65,5)&amp;"-"&amp;LEFT(J65,5)&amp;" hrs)"</f>
        <v>- LA 2480 (00:15-06:20 hrs)</v>
      </c>
    </row>
    <row r="66" spans="2:18" x14ac:dyDescent="0.25">
      <c r="B66" s="6">
        <v>162</v>
      </c>
      <c r="C66" s="6" t="s">
        <v>55</v>
      </c>
      <c r="D66" s="6" t="s">
        <v>17</v>
      </c>
      <c r="E66" s="6" t="s">
        <v>26</v>
      </c>
      <c r="F66" s="6">
        <v>2481</v>
      </c>
      <c r="G66" s="6" t="s">
        <v>20</v>
      </c>
      <c r="H66" s="6" t="s">
        <v>19</v>
      </c>
      <c r="I66" s="6" t="s">
        <v>27</v>
      </c>
      <c r="J66" s="6" t="s">
        <v>28</v>
      </c>
      <c r="K66" s="6" t="s">
        <v>23</v>
      </c>
      <c r="L66" s="6">
        <v>763</v>
      </c>
      <c r="M66" s="6" t="s">
        <v>29</v>
      </c>
      <c r="N66" s="6">
        <v>3</v>
      </c>
      <c r="O66">
        <f>O64</f>
        <v>0</v>
      </c>
      <c r="Q66" t="str">
        <f>"- "&amp;G66&amp;"-"&amp;H66</f>
        <v>- MIA-LIM</v>
      </c>
      <c r="R66" t="str">
        <f>"- LA "&amp;F66&amp;" ("&amp;LEFT(I66,5)&amp;"-"&amp;LEFT(J66,5)&amp;" hrs)"</f>
        <v>- LA 2481 (15:55-21:40 hrs)</v>
      </c>
    </row>
    <row r="69" spans="2:18" x14ac:dyDescent="0.25">
      <c r="B69" s="2" t="s">
        <v>2</v>
      </c>
      <c r="C69" s="2" t="s">
        <v>3</v>
      </c>
      <c r="D69" s="3" t="s">
        <v>4</v>
      </c>
      <c r="E69" s="2" t="s">
        <v>5</v>
      </c>
      <c r="F69" s="2" t="s">
        <v>6</v>
      </c>
      <c r="G69" s="2" t="s">
        <v>7</v>
      </c>
      <c r="H69" s="2" t="s">
        <v>8</v>
      </c>
      <c r="I69" s="2" t="s">
        <v>9</v>
      </c>
      <c r="J69" s="2" t="s">
        <v>10</v>
      </c>
      <c r="K69" s="2" t="s">
        <v>11</v>
      </c>
      <c r="L69" s="2" t="s">
        <v>12</v>
      </c>
      <c r="M69" s="2" t="s">
        <v>13</v>
      </c>
      <c r="N69" s="4" t="s">
        <v>14</v>
      </c>
      <c r="O69" s="5"/>
      <c r="P69" s="5" t="s">
        <v>15</v>
      </c>
    </row>
    <row r="70" spans="2:18" x14ac:dyDescent="0.25">
      <c r="B70" s="6">
        <v>171</v>
      </c>
      <c r="C70" s="6" t="s">
        <v>55</v>
      </c>
      <c r="D70" s="6" t="s">
        <v>17</v>
      </c>
      <c r="E70" s="6" t="s">
        <v>26</v>
      </c>
      <c r="F70" s="6">
        <v>2480</v>
      </c>
      <c r="G70" s="6" t="s">
        <v>19</v>
      </c>
      <c r="H70" s="6" t="s">
        <v>20</v>
      </c>
      <c r="I70" s="6" t="s">
        <v>21</v>
      </c>
      <c r="J70" s="6" t="s">
        <v>22</v>
      </c>
      <c r="K70" s="6" t="s">
        <v>23</v>
      </c>
      <c r="L70" s="6">
        <v>763</v>
      </c>
      <c r="M70" s="6" t="s">
        <v>24</v>
      </c>
      <c r="N70" s="6">
        <v>2</v>
      </c>
      <c r="Q70" t="str">
        <f>"- "&amp;G70&amp;"-"&amp;H70</f>
        <v>- LIM-MIA</v>
      </c>
      <c r="R70" t="str">
        <f>"- LA "&amp;F70&amp;" ("&amp;LEFT(I70,5)&amp;"-"&amp;LEFT(J70,5)&amp;" hrs)"</f>
        <v>- LA 2480 (00:15-06:20 hrs)</v>
      </c>
    </row>
    <row r="71" spans="2:18" x14ac:dyDescent="0.25">
      <c r="B71" s="6">
        <v>171</v>
      </c>
      <c r="C71" s="6" t="s">
        <v>57</v>
      </c>
      <c r="D71" s="6" t="s">
        <v>17</v>
      </c>
      <c r="E71" s="6" t="s">
        <v>31</v>
      </c>
      <c r="F71" s="6">
        <v>2695</v>
      </c>
      <c r="G71" s="6" t="s">
        <v>20</v>
      </c>
      <c r="H71" s="6" t="s">
        <v>19</v>
      </c>
      <c r="I71" s="6" t="s">
        <v>32</v>
      </c>
      <c r="J71" s="6" t="s">
        <v>33</v>
      </c>
      <c r="K71" s="6" t="s">
        <v>23</v>
      </c>
      <c r="L71" s="6">
        <v>763</v>
      </c>
      <c r="M71" s="6" t="s">
        <v>34</v>
      </c>
      <c r="N71" s="6">
        <v>3</v>
      </c>
      <c r="O71">
        <f>O69</f>
        <v>0</v>
      </c>
      <c r="Q71" t="str">
        <f>"- "&amp;G71&amp;"-"&amp;H71</f>
        <v>- MIA-LIM</v>
      </c>
      <c r="R71" t="str">
        <f>"- LA "&amp;F71&amp;" ("&amp;LEFT(I71,5)&amp;"-"&amp;LEFT(J71,5)&amp;" hrs)"</f>
        <v>- LA 2695 (16:10-22:00 hrs)</v>
      </c>
    </row>
    <row r="74" spans="2:18" x14ac:dyDescent="0.25">
      <c r="B74" s="2" t="s">
        <v>2</v>
      </c>
      <c r="C74" s="2" t="s">
        <v>3</v>
      </c>
      <c r="D74" s="3" t="s">
        <v>4</v>
      </c>
      <c r="E74" s="2" t="s">
        <v>5</v>
      </c>
      <c r="F74" s="2" t="s">
        <v>6</v>
      </c>
      <c r="G74" s="2" t="s">
        <v>7</v>
      </c>
      <c r="H74" s="2" t="s">
        <v>8</v>
      </c>
      <c r="I74" s="2" t="s">
        <v>9</v>
      </c>
      <c r="J74" s="2" t="s">
        <v>10</v>
      </c>
      <c r="K74" s="2" t="s">
        <v>11</v>
      </c>
      <c r="L74" s="2" t="s">
        <v>12</v>
      </c>
      <c r="M74" s="2" t="s">
        <v>13</v>
      </c>
      <c r="N74" s="4" t="s">
        <v>14</v>
      </c>
      <c r="O74" s="5"/>
      <c r="P74" s="5" t="s">
        <v>15</v>
      </c>
    </row>
    <row r="75" spans="2:18" x14ac:dyDescent="0.25">
      <c r="B75" s="6">
        <v>181</v>
      </c>
      <c r="C75" s="6" t="s">
        <v>57</v>
      </c>
      <c r="D75" s="6" t="s">
        <v>17</v>
      </c>
      <c r="E75" s="6" t="s">
        <v>31</v>
      </c>
      <c r="F75" s="6">
        <v>2480</v>
      </c>
      <c r="G75" s="6" t="s">
        <v>19</v>
      </c>
      <c r="H75" s="6" t="s">
        <v>20</v>
      </c>
      <c r="I75" s="6" t="s">
        <v>21</v>
      </c>
      <c r="J75" s="6" t="s">
        <v>22</v>
      </c>
      <c r="K75" s="6" t="s">
        <v>23</v>
      </c>
      <c r="L75" s="6">
        <v>763</v>
      </c>
      <c r="M75" s="6" t="s">
        <v>24</v>
      </c>
      <c r="N75" s="6">
        <v>2</v>
      </c>
      <c r="Q75" t="str">
        <f>"- "&amp;G75&amp;"-"&amp;H75</f>
        <v>- LIM-MIA</v>
      </c>
      <c r="R75" t="str">
        <f>"- LA "&amp;F75&amp;" ("&amp;LEFT(I75,5)&amp;"-"&amp;LEFT(J75,5)&amp;" hrs)"</f>
        <v>- LA 2480 (00:15-06:20 hrs)</v>
      </c>
    </row>
    <row r="76" spans="2:18" x14ac:dyDescent="0.25">
      <c r="B76" s="6">
        <v>181</v>
      </c>
      <c r="C76" s="6" t="s">
        <v>58</v>
      </c>
      <c r="D76" s="6" t="s">
        <v>17</v>
      </c>
      <c r="E76" s="6" t="s">
        <v>36</v>
      </c>
      <c r="F76" s="6">
        <v>2481</v>
      </c>
      <c r="G76" s="6" t="s">
        <v>20</v>
      </c>
      <c r="H76" s="6" t="s">
        <v>19</v>
      </c>
      <c r="I76" s="6" t="s">
        <v>27</v>
      </c>
      <c r="J76" s="6" t="s">
        <v>28</v>
      </c>
      <c r="K76" s="6" t="s">
        <v>23</v>
      </c>
      <c r="L76" s="6">
        <v>763</v>
      </c>
      <c r="M76" s="6" t="s">
        <v>29</v>
      </c>
      <c r="N76" s="6">
        <v>3</v>
      </c>
      <c r="O76">
        <f>O74</f>
        <v>0</v>
      </c>
      <c r="Q76" t="str">
        <f>"- "&amp;G76&amp;"-"&amp;H76</f>
        <v>- MIA-LIM</v>
      </c>
      <c r="R76" t="str">
        <f>"- LA "&amp;F76&amp;" ("&amp;LEFT(I76,5)&amp;"-"&amp;LEFT(J76,5)&amp;" hrs)"</f>
        <v>- LA 2481 (15:55-21:40 hrs)</v>
      </c>
    </row>
    <row r="79" spans="2:18" x14ac:dyDescent="0.25">
      <c r="B79" s="2" t="s">
        <v>2</v>
      </c>
      <c r="C79" s="2" t="s">
        <v>3</v>
      </c>
      <c r="D79" s="3" t="s">
        <v>4</v>
      </c>
      <c r="E79" s="2" t="s">
        <v>5</v>
      </c>
      <c r="F79" s="2" t="s">
        <v>6</v>
      </c>
      <c r="G79" s="2" t="s">
        <v>7</v>
      </c>
      <c r="H79" s="2" t="s">
        <v>8</v>
      </c>
      <c r="I79" s="2" t="s">
        <v>9</v>
      </c>
      <c r="J79" s="2" t="s">
        <v>10</v>
      </c>
      <c r="K79" s="2" t="s">
        <v>11</v>
      </c>
      <c r="L79" s="2" t="s">
        <v>12</v>
      </c>
      <c r="M79" s="2" t="s">
        <v>13</v>
      </c>
      <c r="N79" s="4" t="s">
        <v>14</v>
      </c>
      <c r="O79" s="5"/>
      <c r="P79" s="5" t="s">
        <v>15</v>
      </c>
    </row>
    <row r="80" spans="2:18" x14ac:dyDescent="0.25">
      <c r="B80" s="6">
        <v>186</v>
      </c>
      <c r="C80" s="6" t="s">
        <v>57</v>
      </c>
      <c r="D80" s="6" t="s">
        <v>17</v>
      </c>
      <c r="E80" s="6" t="s">
        <v>31</v>
      </c>
      <c r="F80" s="6">
        <v>2413</v>
      </c>
      <c r="G80" s="6" t="s">
        <v>19</v>
      </c>
      <c r="H80" s="6" t="s">
        <v>37</v>
      </c>
      <c r="I80" s="6" t="s">
        <v>38</v>
      </c>
      <c r="J80" s="6" t="s">
        <v>39</v>
      </c>
      <c r="K80" s="6" t="s">
        <v>23</v>
      </c>
      <c r="L80" s="6">
        <v>763</v>
      </c>
      <c r="M80" s="6" t="s">
        <v>40</v>
      </c>
      <c r="N80" s="6">
        <v>1</v>
      </c>
      <c r="Q80" t="str">
        <f>"- "&amp;G80&amp;"-"&amp;H80</f>
        <v>- LIM-SCL</v>
      </c>
      <c r="R80" t="str">
        <f>"- LA "&amp;F80&amp;" ("&amp;LEFT(I80,5)&amp;"-"&amp;LEFT(J80,5)&amp;" hrs)"</f>
        <v>- LA 2413 (12:05-15:45 hrs)</v>
      </c>
    </row>
    <row r="81" spans="2:18" x14ac:dyDescent="0.25">
      <c r="B81" s="6">
        <v>186</v>
      </c>
      <c r="C81" s="6" t="s">
        <v>57</v>
      </c>
      <c r="D81" s="6" t="s">
        <v>17</v>
      </c>
      <c r="E81" s="6" t="s">
        <v>31</v>
      </c>
      <c r="F81" s="6">
        <v>2412</v>
      </c>
      <c r="G81" s="6" t="s">
        <v>37</v>
      </c>
      <c r="H81" s="6" t="s">
        <v>19</v>
      </c>
      <c r="I81" s="6" t="s">
        <v>41</v>
      </c>
      <c r="J81" s="6" t="s">
        <v>42</v>
      </c>
      <c r="K81" s="6" t="s">
        <v>23</v>
      </c>
      <c r="L81" s="6">
        <v>763</v>
      </c>
      <c r="M81" s="6" t="s">
        <v>43</v>
      </c>
      <c r="N81" s="6">
        <v>1</v>
      </c>
      <c r="O81">
        <f>O79</f>
        <v>0</v>
      </c>
      <c r="Q81" t="str">
        <f>"- "&amp;G81&amp;"-"&amp;H81</f>
        <v>- SCL-LIM</v>
      </c>
      <c r="R81" t="str">
        <f>"- LA "&amp;F81&amp;" ("&amp;LEFT(I81,5)&amp;"-"&amp;LEFT(J81,5)&amp;" hrs)"</f>
        <v>- LA 2412 (17:10-21:00 hrs)</v>
      </c>
    </row>
    <row r="84" spans="2:18" x14ac:dyDescent="0.25">
      <c r="B84" s="2" t="s">
        <v>2</v>
      </c>
      <c r="C84" s="2" t="s">
        <v>3</v>
      </c>
      <c r="D84" s="3" t="s">
        <v>4</v>
      </c>
      <c r="E84" s="2" t="s">
        <v>5</v>
      </c>
      <c r="F84" s="2" t="s">
        <v>6</v>
      </c>
      <c r="G84" s="2" t="s">
        <v>7</v>
      </c>
      <c r="H84" s="2" t="s">
        <v>8</v>
      </c>
      <c r="I84" s="2" t="s">
        <v>9</v>
      </c>
      <c r="J84" s="2" t="s">
        <v>10</v>
      </c>
      <c r="K84" s="2" t="s">
        <v>11</v>
      </c>
      <c r="L84" s="2" t="s">
        <v>12</v>
      </c>
      <c r="M84" s="2" t="s">
        <v>13</v>
      </c>
      <c r="N84" s="4" t="s">
        <v>14</v>
      </c>
      <c r="O84" s="5"/>
      <c r="P84" s="5" t="s">
        <v>15</v>
      </c>
    </row>
    <row r="85" spans="2:18" x14ac:dyDescent="0.25">
      <c r="B85" s="6">
        <v>196</v>
      </c>
      <c r="C85" s="6" t="s">
        <v>58</v>
      </c>
      <c r="D85" s="6" t="s">
        <v>17</v>
      </c>
      <c r="E85" s="6" t="s">
        <v>36</v>
      </c>
      <c r="F85" s="6">
        <v>2413</v>
      </c>
      <c r="G85" s="6" t="s">
        <v>19</v>
      </c>
      <c r="H85" s="6" t="s">
        <v>37</v>
      </c>
      <c r="I85" s="6" t="s">
        <v>38</v>
      </c>
      <c r="J85" s="6" t="s">
        <v>39</v>
      </c>
      <c r="K85" s="6" t="s">
        <v>23</v>
      </c>
      <c r="L85" s="6">
        <v>763</v>
      </c>
      <c r="M85" s="6" t="s">
        <v>40</v>
      </c>
      <c r="N85" s="6">
        <v>1</v>
      </c>
      <c r="Q85" t="str">
        <f>"- "&amp;G85&amp;"-"&amp;H85</f>
        <v>- LIM-SCL</v>
      </c>
      <c r="R85" t="str">
        <f>"- LA "&amp;F85&amp;" ("&amp;LEFT(I85,5)&amp;"-"&amp;LEFT(J85,5)&amp;" hrs)"</f>
        <v>- LA 2413 (12:05-15:45 hrs)</v>
      </c>
    </row>
    <row r="86" spans="2:18" x14ac:dyDescent="0.25">
      <c r="B86" s="6">
        <v>196</v>
      </c>
      <c r="C86" s="6" t="s">
        <v>58</v>
      </c>
      <c r="D86" s="6" t="s">
        <v>17</v>
      </c>
      <c r="E86" s="6" t="s">
        <v>36</v>
      </c>
      <c r="F86" s="6">
        <v>2412</v>
      </c>
      <c r="G86" s="6" t="s">
        <v>37</v>
      </c>
      <c r="H86" s="6" t="s">
        <v>19</v>
      </c>
      <c r="I86" s="6" t="s">
        <v>41</v>
      </c>
      <c r="J86" s="6" t="s">
        <v>42</v>
      </c>
      <c r="K86" s="6" t="s">
        <v>23</v>
      </c>
      <c r="L86" s="6">
        <v>763</v>
      </c>
      <c r="M86" s="6" t="s">
        <v>43</v>
      </c>
      <c r="N86" s="6">
        <v>1</v>
      </c>
      <c r="O86">
        <f>O84</f>
        <v>0</v>
      </c>
      <c r="Q86" t="str">
        <f>"- "&amp;G86&amp;"-"&amp;H86</f>
        <v>- SCL-LIM</v>
      </c>
      <c r="R86" t="str">
        <f>"- LA "&amp;F86&amp;" ("&amp;LEFT(I86,5)&amp;"-"&amp;LEFT(J86,5)&amp;" hrs)"</f>
        <v>- LA 2412 (17:10-21:00 hrs)</v>
      </c>
    </row>
    <row r="89" spans="2:18" x14ac:dyDescent="0.25">
      <c r="B89" s="2" t="s">
        <v>2</v>
      </c>
      <c r="C89" s="2" t="s">
        <v>3</v>
      </c>
      <c r="D89" s="3" t="s">
        <v>4</v>
      </c>
      <c r="E89" s="2" t="s">
        <v>5</v>
      </c>
      <c r="F89" s="2" t="s">
        <v>6</v>
      </c>
      <c r="G89" s="2" t="s">
        <v>7</v>
      </c>
      <c r="H89" s="2" t="s">
        <v>8</v>
      </c>
      <c r="I89" s="2" t="s">
        <v>9</v>
      </c>
      <c r="J89" s="2" t="s">
        <v>10</v>
      </c>
      <c r="K89" s="2" t="s">
        <v>11</v>
      </c>
      <c r="L89" s="2" t="s">
        <v>12</v>
      </c>
      <c r="M89" s="2" t="s">
        <v>13</v>
      </c>
      <c r="N89" s="4" t="s">
        <v>14</v>
      </c>
      <c r="O89" s="5"/>
      <c r="P89" s="5" t="s">
        <v>15</v>
      </c>
    </row>
    <row r="90" spans="2:18" x14ac:dyDescent="0.25">
      <c r="B90" s="6">
        <v>230</v>
      </c>
      <c r="C90" s="6" t="s">
        <v>59</v>
      </c>
      <c r="D90" s="6" t="s">
        <v>17</v>
      </c>
      <c r="E90" s="6" t="s">
        <v>45</v>
      </c>
      <c r="F90" s="6">
        <v>2694</v>
      </c>
      <c r="G90" s="6" t="s">
        <v>19</v>
      </c>
      <c r="H90" s="6" t="s">
        <v>20</v>
      </c>
      <c r="I90" s="6" t="s">
        <v>46</v>
      </c>
      <c r="J90" s="6" t="s">
        <v>47</v>
      </c>
      <c r="K90" s="6" t="s">
        <v>23</v>
      </c>
      <c r="L90" s="6">
        <v>763</v>
      </c>
      <c r="M90" s="6" t="s">
        <v>24</v>
      </c>
      <c r="N90" s="6">
        <v>1</v>
      </c>
      <c r="Q90" t="str">
        <f>"- "&amp;G90&amp;"-"&amp;H90</f>
        <v>- LIM-MIA</v>
      </c>
      <c r="R90" t="str">
        <f>"- LA "&amp;F90&amp;" ("&amp;LEFT(I90,5)&amp;"-"&amp;LEFT(J90,5)&amp;" hrs)"</f>
        <v>- LA 2694 (13:30-19:35 hrs)</v>
      </c>
    </row>
    <row r="91" spans="2:18" x14ac:dyDescent="0.25">
      <c r="B91" s="6">
        <v>230</v>
      </c>
      <c r="C91" s="6" t="s">
        <v>60</v>
      </c>
      <c r="D91" s="6" t="s">
        <v>17</v>
      </c>
      <c r="E91" s="6" t="s">
        <v>26</v>
      </c>
      <c r="F91" s="6">
        <v>2699</v>
      </c>
      <c r="G91" s="6" t="s">
        <v>20</v>
      </c>
      <c r="H91" s="6" t="s">
        <v>19</v>
      </c>
      <c r="I91" s="6" t="s">
        <v>49</v>
      </c>
      <c r="J91" s="6" t="s">
        <v>50</v>
      </c>
      <c r="K91" s="6" t="s">
        <v>23</v>
      </c>
      <c r="L91" s="6">
        <v>763</v>
      </c>
      <c r="M91" s="6" t="s">
        <v>29</v>
      </c>
      <c r="N91" s="6">
        <v>2</v>
      </c>
      <c r="O91">
        <f>O89</f>
        <v>0</v>
      </c>
      <c r="Q91" t="str">
        <f>"- "&amp;G91&amp;"-"&amp;H91</f>
        <v>- MIA-LIM</v>
      </c>
      <c r="R91" t="str">
        <f>"- LA "&amp;F91&amp;" ("&amp;LEFT(I91,5)&amp;"-"&amp;LEFT(J91,5)&amp;" hrs)"</f>
        <v>- LA 2699 (23:15-05:00 hrs)</v>
      </c>
    </row>
    <row r="94" spans="2:18" x14ac:dyDescent="0.25">
      <c r="B94" s="2" t="s">
        <v>2</v>
      </c>
      <c r="C94" s="2" t="s">
        <v>3</v>
      </c>
      <c r="D94" s="3" t="s">
        <v>4</v>
      </c>
      <c r="E94" s="2" t="s">
        <v>5</v>
      </c>
      <c r="F94" s="2" t="s">
        <v>6</v>
      </c>
      <c r="G94" s="2" t="s">
        <v>7</v>
      </c>
      <c r="H94" s="2" t="s">
        <v>8</v>
      </c>
      <c r="I94" s="2" t="s">
        <v>9</v>
      </c>
      <c r="J94" s="2" t="s">
        <v>10</v>
      </c>
      <c r="K94" s="2" t="s">
        <v>11</v>
      </c>
      <c r="L94" s="2" t="s">
        <v>12</v>
      </c>
      <c r="M94" s="2" t="s">
        <v>13</v>
      </c>
      <c r="N94" s="4" t="s">
        <v>14</v>
      </c>
      <c r="O94" s="5"/>
      <c r="P94" s="5" t="s">
        <v>15</v>
      </c>
    </row>
    <row r="95" spans="2:18" x14ac:dyDescent="0.25">
      <c r="B95" s="6">
        <v>233</v>
      </c>
      <c r="C95" s="6" t="s">
        <v>61</v>
      </c>
      <c r="D95" s="6" t="s">
        <v>17</v>
      </c>
      <c r="E95" s="6" t="s">
        <v>18</v>
      </c>
      <c r="F95" s="6">
        <v>2480</v>
      </c>
      <c r="G95" s="6" t="s">
        <v>19</v>
      </c>
      <c r="H95" s="6" t="s">
        <v>20</v>
      </c>
      <c r="I95" s="6" t="s">
        <v>21</v>
      </c>
      <c r="J95" s="6" t="s">
        <v>22</v>
      </c>
      <c r="K95" s="6" t="s">
        <v>23</v>
      </c>
      <c r="L95" s="6">
        <v>763</v>
      </c>
      <c r="M95" s="6" t="s">
        <v>24</v>
      </c>
      <c r="N95" s="6">
        <v>2</v>
      </c>
      <c r="Q95" t="str">
        <f>"- "&amp;G95&amp;"-"&amp;H95</f>
        <v>- LIM-MIA</v>
      </c>
      <c r="R95" t="str">
        <f>"- LA "&amp;F95&amp;" ("&amp;LEFT(I95,5)&amp;"-"&amp;LEFT(J95,5)&amp;" hrs)"</f>
        <v>- LA 2480 (00:15-06:20 hrs)</v>
      </c>
    </row>
    <row r="96" spans="2:18" x14ac:dyDescent="0.25">
      <c r="B96" s="6">
        <v>233</v>
      </c>
      <c r="C96" s="6" t="s">
        <v>60</v>
      </c>
      <c r="D96" s="6" t="s">
        <v>17</v>
      </c>
      <c r="E96" s="6" t="s">
        <v>26</v>
      </c>
      <c r="F96" s="6">
        <v>2481</v>
      </c>
      <c r="G96" s="6" t="s">
        <v>20</v>
      </c>
      <c r="H96" s="6" t="s">
        <v>19</v>
      </c>
      <c r="I96" s="6" t="s">
        <v>27</v>
      </c>
      <c r="J96" s="6" t="s">
        <v>28</v>
      </c>
      <c r="K96" s="6" t="s">
        <v>23</v>
      </c>
      <c r="L96" s="6">
        <v>763</v>
      </c>
      <c r="M96" s="6" t="s">
        <v>29</v>
      </c>
      <c r="N96" s="6">
        <v>3</v>
      </c>
      <c r="O96">
        <f>O94</f>
        <v>0</v>
      </c>
      <c r="Q96" t="str">
        <f>"- "&amp;G96&amp;"-"&amp;H96</f>
        <v>- MIA-LIM</v>
      </c>
      <c r="R96" t="str">
        <f>"- LA "&amp;F96&amp;" ("&amp;LEFT(I96,5)&amp;"-"&amp;LEFT(J96,5)&amp;" hrs)"</f>
        <v>- LA 2481 (15:55-21:40 hrs)</v>
      </c>
    </row>
    <row r="99" spans="2:18" x14ac:dyDescent="0.25">
      <c r="B99" s="2" t="s">
        <v>2</v>
      </c>
      <c r="C99" s="2" t="s">
        <v>3</v>
      </c>
      <c r="D99" s="3" t="s">
        <v>4</v>
      </c>
      <c r="E99" s="2" t="s">
        <v>5</v>
      </c>
      <c r="F99" s="2" t="s">
        <v>6</v>
      </c>
      <c r="G99" s="2" t="s">
        <v>7</v>
      </c>
      <c r="H99" s="2" t="s">
        <v>8</v>
      </c>
      <c r="I99" s="2" t="s">
        <v>9</v>
      </c>
      <c r="J99" s="2" t="s">
        <v>10</v>
      </c>
      <c r="K99" s="2" t="s">
        <v>11</v>
      </c>
      <c r="L99" s="2" t="s">
        <v>12</v>
      </c>
      <c r="M99" s="2" t="s">
        <v>13</v>
      </c>
      <c r="N99" s="4" t="s">
        <v>14</v>
      </c>
      <c r="O99" s="5"/>
      <c r="P99" s="5" t="s">
        <v>15</v>
      </c>
    </row>
    <row r="100" spans="2:18" x14ac:dyDescent="0.25">
      <c r="B100" s="6">
        <v>242</v>
      </c>
      <c r="C100" s="6" t="s">
        <v>60</v>
      </c>
      <c r="D100" s="6" t="s">
        <v>17</v>
      </c>
      <c r="E100" s="6" t="s">
        <v>26</v>
      </c>
      <c r="F100" s="6">
        <v>2480</v>
      </c>
      <c r="G100" s="6" t="s">
        <v>19</v>
      </c>
      <c r="H100" s="6" t="s">
        <v>20</v>
      </c>
      <c r="I100" s="6" t="s">
        <v>21</v>
      </c>
      <c r="J100" s="6" t="s">
        <v>22</v>
      </c>
      <c r="K100" s="6" t="s">
        <v>23</v>
      </c>
      <c r="L100" s="6">
        <v>763</v>
      </c>
      <c r="M100" s="6" t="s">
        <v>24</v>
      </c>
      <c r="N100" s="6">
        <v>2</v>
      </c>
      <c r="Q100" t="str">
        <f>"- "&amp;G100&amp;"-"&amp;H100</f>
        <v>- LIM-MIA</v>
      </c>
      <c r="R100" t="str">
        <f>"- LA "&amp;F100&amp;" ("&amp;LEFT(I100,5)&amp;"-"&amp;LEFT(J100,5)&amp;" hrs)"</f>
        <v>- LA 2480 (00:15-06:20 hrs)</v>
      </c>
    </row>
    <row r="101" spans="2:18" x14ac:dyDescent="0.25">
      <c r="B101" s="6">
        <v>242</v>
      </c>
      <c r="C101" s="6" t="s">
        <v>62</v>
      </c>
      <c r="D101" s="6" t="s">
        <v>17</v>
      </c>
      <c r="E101" s="6" t="s">
        <v>31</v>
      </c>
      <c r="F101" s="6">
        <v>2695</v>
      </c>
      <c r="G101" s="6" t="s">
        <v>20</v>
      </c>
      <c r="H101" s="6" t="s">
        <v>19</v>
      </c>
      <c r="I101" s="6" t="s">
        <v>32</v>
      </c>
      <c r="J101" s="6" t="s">
        <v>33</v>
      </c>
      <c r="K101" s="6" t="s">
        <v>23</v>
      </c>
      <c r="L101" s="6">
        <v>763</v>
      </c>
      <c r="M101" s="6" t="s">
        <v>34</v>
      </c>
      <c r="N101" s="6">
        <v>3</v>
      </c>
      <c r="O101">
        <f>O99</f>
        <v>0</v>
      </c>
      <c r="Q101" t="str">
        <f>"- "&amp;G101&amp;"-"&amp;H101</f>
        <v>- MIA-LIM</v>
      </c>
      <c r="R101" t="str">
        <f>"- LA "&amp;F101&amp;" ("&amp;LEFT(I101,5)&amp;"-"&amp;LEFT(J101,5)&amp;" hrs)"</f>
        <v>- LA 2695 (16:10-22:00 hrs)</v>
      </c>
    </row>
    <row r="104" spans="2:18" x14ac:dyDescent="0.25">
      <c r="B104" s="2" t="s">
        <v>2</v>
      </c>
      <c r="C104" s="2" t="s">
        <v>3</v>
      </c>
      <c r="D104" s="3" t="s">
        <v>4</v>
      </c>
      <c r="E104" s="2" t="s">
        <v>5</v>
      </c>
      <c r="F104" s="2" t="s">
        <v>6</v>
      </c>
      <c r="G104" s="2" t="s">
        <v>7</v>
      </c>
      <c r="H104" s="2" t="s">
        <v>8</v>
      </c>
      <c r="I104" s="2" t="s">
        <v>9</v>
      </c>
      <c r="J104" s="2" t="s">
        <v>10</v>
      </c>
      <c r="K104" s="2" t="s">
        <v>11</v>
      </c>
      <c r="L104" s="2" t="s">
        <v>12</v>
      </c>
      <c r="M104" s="2" t="s">
        <v>13</v>
      </c>
      <c r="N104" s="4" t="s">
        <v>14</v>
      </c>
      <c r="O104" s="5"/>
      <c r="P104" s="5" t="s">
        <v>15</v>
      </c>
    </row>
    <row r="105" spans="2:18" x14ac:dyDescent="0.25">
      <c r="B105" s="6">
        <v>252</v>
      </c>
      <c r="C105" s="6" t="s">
        <v>62</v>
      </c>
      <c r="D105" s="6" t="s">
        <v>17</v>
      </c>
      <c r="E105" s="6" t="s">
        <v>31</v>
      </c>
      <c r="F105" s="6">
        <v>2480</v>
      </c>
      <c r="G105" s="6" t="s">
        <v>19</v>
      </c>
      <c r="H105" s="6" t="s">
        <v>20</v>
      </c>
      <c r="I105" s="6" t="s">
        <v>21</v>
      </c>
      <c r="J105" s="6" t="s">
        <v>22</v>
      </c>
      <c r="K105" s="6" t="s">
        <v>23</v>
      </c>
      <c r="L105" s="6">
        <v>763</v>
      </c>
      <c r="M105" s="6" t="s">
        <v>24</v>
      </c>
      <c r="N105" s="6">
        <v>2</v>
      </c>
      <c r="Q105" t="str">
        <f>"- "&amp;G105&amp;"-"&amp;H105</f>
        <v>- LIM-MIA</v>
      </c>
      <c r="R105" t="str">
        <f>"- LA "&amp;F105&amp;" ("&amp;LEFT(I105,5)&amp;"-"&amp;LEFT(J105,5)&amp;" hrs)"</f>
        <v>- LA 2480 (00:15-06:20 hrs)</v>
      </c>
    </row>
    <row r="106" spans="2:18" x14ac:dyDescent="0.25">
      <c r="B106" s="6">
        <v>252</v>
      </c>
      <c r="C106" s="6" t="s">
        <v>63</v>
      </c>
      <c r="D106" s="6" t="s">
        <v>17</v>
      </c>
      <c r="E106" s="6" t="s">
        <v>36</v>
      </c>
      <c r="F106" s="6">
        <v>2481</v>
      </c>
      <c r="G106" s="6" t="s">
        <v>20</v>
      </c>
      <c r="H106" s="6" t="s">
        <v>19</v>
      </c>
      <c r="I106" s="6" t="s">
        <v>27</v>
      </c>
      <c r="J106" s="6" t="s">
        <v>28</v>
      </c>
      <c r="K106" s="6" t="s">
        <v>23</v>
      </c>
      <c r="L106" s="6">
        <v>763</v>
      </c>
      <c r="M106" s="6" t="s">
        <v>29</v>
      </c>
      <c r="N106" s="6">
        <v>3</v>
      </c>
      <c r="O106">
        <f>O104</f>
        <v>0</v>
      </c>
      <c r="Q106" t="str">
        <f>"- "&amp;G106&amp;"-"&amp;H106</f>
        <v>- MIA-LIM</v>
      </c>
      <c r="R106" t="str">
        <f>"- LA "&amp;F106&amp;" ("&amp;LEFT(I106,5)&amp;"-"&amp;LEFT(J106,5)&amp;" hrs)"</f>
        <v>- LA 2481 (15:55-21:40 hrs)</v>
      </c>
    </row>
    <row r="109" spans="2:18" x14ac:dyDescent="0.25">
      <c r="B109" s="2" t="s">
        <v>2</v>
      </c>
      <c r="C109" s="2" t="s">
        <v>3</v>
      </c>
      <c r="D109" s="3" t="s">
        <v>4</v>
      </c>
      <c r="E109" s="2" t="s">
        <v>5</v>
      </c>
      <c r="F109" s="2" t="s">
        <v>6</v>
      </c>
      <c r="G109" s="2" t="s">
        <v>7</v>
      </c>
      <c r="H109" s="2" t="s">
        <v>8</v>
      </c>
      <c r="I109" s="2" t="s">
        <v>9</v>
      </c>
      <c r="J109" s="2" t="s">
        <v>10</v>
      </c>
      <c r="K109" s="2" t="s">
        <v>11</v>
      </c>
      <c r="L109" s="2" t="s">
        <v>12</v>
      </c>
      <c r="M109" s="2" t="s">
        <v>13</v>
      </c>
      <c r="N109" s="4" t="s">
        <v>14</v>
      </c>
      <c r="O109" s="5"/>
      <c r="P109" s="5" t="s">
        <v>15</v>
      </c>
    </row>
    <row r="110" spans="2:18" x14ac:dyDescent="0.25">
      <c r="B110" s="6">
        <v>257</v>
      </c>
      <c r="C110" s="6" t="s">
        <v>62</v>
      </c>
      <c r="D110" s="6" t="s">
        <v>17</v>
      </c>
      <c r="E110" s="6" t="s">
        <v>31</v>
      </c>
      <c r="F110" s="6">
        <v>2413</v>
      </c>
      <c r="G110" s="6" t="s">
        <v>19</v>
      </c>
      <c r="H110" s="6" t="s">
        <v>37</v>
      </c>
      <c r="I110" s="6" t="s">
        <v>38</v>
      </c>
      <c r="J110" s="6" t="s">
        <v>39</v>
      </c>
      <c r="K110" s="6" t="s">
        <v>23</v>
      </c>
      <c r="L110" s="6">
        <v>763</v>
      </c>
      <c r="M110" s="6" t="s">
        <v>40</v>
      </c>
      <c r="N110" s="6">
        <v>1</v>
      </c>
      <c r="Q110" t="str">
        <f>"- "&amp;G110&amp;"-"&amp;H110</f>
        <v>- LIM-SCL</v>
      </c>
      <c r="R110" t="str">
        <f>"- LA "&amp;F110&amp;" ("&amp;LEFT(I110,5)&amp;"-"&amp;LEFT(J110,5)&amp;" hrs)"</f>
        <v>- LA 2413 (12:05-15:45 hrs)</v>
      </c>
    </row>
    <row r="111" spans="2:18" x14ac:dyDescent="0.25">
      <c r="B111" s="6">
        <v>257</v>
      </c>
      <c r="C111" s="6" t="s">
        <v>62</v>
      </c>
      <c r="D111" s="6" t="s">
        <v>17</v>
      </c>
      <c r="E111" s="6" t="s">
        <v>31</v>
      </c>
      <c r="F111" s="6">
        <v>2412</v>
      </c>
      <c r="G111" s="6" t="s">
        <v>37</v>
      </c>
      <c r="H111" s="6" t="s">
        <v>19</v>
      </c>
      <c r="I111" s="6" t="s">
        <v>41</v>
      </c>
      <c r="J111" s="6" t="s">
        <v>42</v>
      </c>
      <c r="K111" s="6" t="s">
        <v>23</v>
      </c>
      <c r="L111" s="6">
        <v>763</v>
      </c>
      <c r="M111" s="6" t="s">
        <v>43</v>
      </c>
      <c r="N111" s="6">
        <v>1</v>
      </c>
      <c r="O111">
        <f>O109</f>
        <v>0</v>
      </c>
      <c r="Q111" t="str">
        <f>"- "&amp;G111&amp;"-"&amp;H111</f>
        <v>- SCL-LIM</v>
      </c>
      <c r="R111" t="str">
        <f>"- LA "&amp;F111&amp;" ("&amp;LEFT(I111,5)&amp;"-"&amp;LEFT(J111,5)&amp;" hrs)"</f>
        <v>- LA 2412 (17:10-21:00 hrs)</v>
      </c>
    </row>
    <row r="114" spans="2:18" x14ac:dyDescent="0.25">
      <c r="B114" s="2" t="s">
        <v>2</v>
      </c>
      <c r="C114" s="2" t="s">
        <v>3</v>
      </c>
      <c r="D114" s="3" t="s">
        <v>4</v>
      </c>
      <c r="E114" s="2" t="s">
        <v>5</v>
      </c>
      <c r="F114" s="2" t="s">
        <v>6</v>
      </c>
      <c r="G114" s="2" t="s">
        <v>7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4" t="s">
        <v>14</v>
      </c>
      <c r="O114" s="5"/>
      <c r="P114" s="5" t="s">
        <v>15</v>
      </c>
    </row>
    <row r="115" spans="2:18" x14ac:dyDescent="0.25">
      <c r="B115" s="6">
        <v>267</v>
      </c>
      <c r="C115" s="6" t="s">
        <v>63</v>
      </c>
      <c r="D115" s="6" t="s">
        <v>17</v>
      </c>
      <c r="E115" s="6" t="s">
        <v>36</v>
      </c>
      <c r="F115" s="6">
        <v>2413</v>
      </c>
      <c r="G115" s="6" t="s">
        <v>19</v>
      </c>
      <c r="H115" s="6" t="s">
        <v>37</v>
      </c>
      <c r="I115" s="6" t="s">
        <v>38</v>
      </c>
      <c r="J115" s="6" t="s">
        <v>39</v>
      </c>
      <c r="K115" s="6" t="s">
        <v>23</v>
      </c>
      <c r="L115" s="6">
        <v>763</v>
      </c>
      <c r="M115" s="6" t="s">
        <v>40</v>
      </c>
      <c r="N115" s="6">
        <v>1</v>
      </c>
      <c r="Q115" t="str">
        <f>"- "&amp;G115&amp;"-"&amp;H115</f>
        <v>- LIM-SCL</v>
      </c>
      <c r="R115" t="str">
        <f>"- LA "&amp;F115&amp;" ("&amp;LEFT(I115,5)&amp;"-"&amp;LEFT(J115,5)&amp;" hrs)"</f>
        <v>- LA 2413 (12:05-15:45 hrs)</v>
      </c>
    </row>
    <row r="116" spans="2:18" x14ac:dyDescent="0.25">
      <c r="B116" s="6">
        <v>267</v>
      </c>
      <c r="C116" s="6" t="s">
        <v>63</v>
      </c>
      <c r="D116" s="6" t="s">
        <v>17</v>
      </c>
      <c r="E116" s="6" t="s">
        <v>36</v>
      </c>
      <c r="F116" s="6">
        <v>2412</v>
      </c>
      <c r="G116" s="6" t="s">
        <v>37</v>
      </c>
      <c r="H116" s="6" t="s">
        <v>19</v>
      </c>
      <c r="I116" s="6" t="s">
        <v>41</v>
      </c>
      <c r="J116" s="6" t="s">
        <v>42</v>
      </c>
      <c r="K116" s="6" t="s">
        <v>23</v>
      </c>
      <c r="L116" s="6">
        <v>763</v>
      </c>
      <c r="M116" s="6" t="s">
        <v>43</v>
      </c>
      <c r="N116" s="6">
        <v>1</v>
      </c>
      <c r="O116">
        <f>O114</f>
        <v>0</v>
      </c>
      <c r="Q116" t="str">
        <f>"- "&amp;G116&amp;"-"&amp;H116</f>
        <v>- SCL-LIM</v>
      </c>
      <c r="R116" t="str">
        <f>"- LA "&amp;F116&amp;" ("&amp;LEFT(I116,5)&amp;"-"&amp;LEFT(J116,5)&amp;" hrs)"</f>
        <v>- LA 2412 (17:10-21:00 hrs)</v>
      </c>
    </row>
    <row r="119" spans="2:18" x14ac:dyDescent="0.25">
      <c r="B119" s="2" t="s">
        <v>2</v>
      </c>
      <c r="C119" s="2" t="s">
        <v>3</v>
      </c>
      <c r="D119" s="3" t="s">
        <v>4</v>
      </c>
      <c r="E119" s="2" t="s">
        <v>5</v>
      </c>
      <c r="F119" s="2" t="s">
        <v>6</v>
      </c>
      <c r="G119" s="2" t="s">
        <v>7</v>
      </c>
      <c r="H119" s="2" t="s">
        <v>8</v>
      </c>
      <c r="I119" s="2" t="s">
        <v>9</v>
      </c>
      <c r="J119" s="2" t="s">
        <v>10</v>
      </c>
      <c r="K119" s="2" t="s">
        <v>11</v>
      </c>
      <c r="L119" s="2" t="s">
        <v>12</v>
      </c>
      <c r="M119" s="2" t="s">
        <v>13</v>
      </c>
      <c r="N119" s="4" t="s">
        <v>14</v>
      </c>
      <c r="O119" s="5"/>
      <c r="P119" s="5" t="s">
        <v>15</v>
      </c>
    </row>
    <row r="120" spans="2:18" x14ac:dyDescent="0.25">
      <c r="B120" s="6">
        <v>297</v>
      </c>
      <c r="C120" s="6" t="s">
        <v>64</v>
      </c>
      <c r="D120" s="6" t="s">
        <v>17</v>
      </c>
      <c r="E120" s="6" t="s">
        <v>45</v>
      </c>
      <c r="F120" s="6">
        <v>2698</v>
      </c>
      <c r="G120" s="6" t="s">
        <v>19</v>
      </c>
      <c r="H120" s="6" t="s">
        <v>20</v>
      </c>
      <c r="I120" s="6" t="s">
        <v>65</v>
      </c>
      <c r="J120" s="6" t="s">
        <v>66</v>
      </c>
      <c r="K120" s="6" t="s">
        <v>23</v>
      </c>
      <c r="L120" s="6">
        <v>763</v>
      </c>
      <c r="M120" s="6" t="s">
        <v>24</v>
      </c>
      <c r="N120" s="6">
        <v>1</v>
      </c>
      <c r="Q120" t="str">
        <f>"- "&amp;G120&amp;"-"&amp;H120</f>
        <v>- LIM-MIA</v>
      </c>
      <c r="R120" t="str">
        <f>"- LA "&amp;F120&amp;" ("&amp;LEFT(I120,5)&amp;"-"&amp;LEFT(J120,5)&amp;" hrs)"</f>
        <v>- LA 2698 (08:15-14:20 hrs)</v>
      </c>
    </row>
    <row r="121" spans="2:18" x14ac:dyDescent="0.25">
      <c r="B121" s="6">
        <v>297</v>
      </c>
      <c r="C121" s="6" t="s">
        <v>67</v>
      </c>
      <c r="D121" s="6" t="s">
        <v>17</v>
      </c>
      <c r="E121" s="6" t="s">
        <v>26</v>
      </c>
      <c r="F121" s="6">
        <v>2699</v>
      </c>
      <c r="G121" s="6" t="s">
        <v>20</v>
      </c>
      <c r="H121" s="6" t="s">
        <v>19</v>
      </c>
      <c r="I121" s="6" t="s">
        <v>49</v>
      </c>
      <c r="J121" s="6" t="s">
        <v>50</v>
      </c>
      <c r="K121" s="6" t="s">
        <v>23</v>
      </c>
      <c r="L121" s="6">
        <v>763</v>
      </c>
      <c r="M121" s="6" t="s">
        <v>29</v>
      </c>
      <c r="N121" s="6">
        <v>2</v>
      </c>
      <c r="O121">
        <f>O119</f>
        <v>0</v>
      </c>
      <c r="Q121" t="str">
        <f>"- "&amp;G121&amp;"-"&amp;H121</f>
        <v>- MIA-LIM</v>
      </c>
      <c r="R121" t="str">
        <f>"- LA "&amp;F121&amp;" ("&amp;LEFT(I121,5)&amp;"-"&amp;LEFT(J121,5)&amp;" hrs)"</f>
        <v>- LA 2699 (23:15-05:00 hrs)</v>
      </c>
    </row>
    <row r="124" spans="2:18" x14ac:dyDescent="0.25">
      <c r="B124" s="2" t="s">
        <v>2</v>
      </c>
      <c r="C124" s="2" t="s">
        <v>3</v>
      </c>
      <c r="D124" s="3" t="s">
        <v>4</v>
      </c>
      <c r="E124" s="2" t="s">
        <v>5</v>
      </c>
      <c r="F124" s="2" t="s">
        <v>6</v>
      </c>
      <c r="G124" s="2" t="s">
        <v>7</v>
      </c>
      <c r="H124" s="2" t="s">
        <v>8</v>
      </c>
      <c r="I124" s="2" t="s">
        <v>9</v>
      </c>
      <c r="J124" s="2" t="s">
        <v>10</v>
      </c>
      <c r="K124" s="2" t="s">
        <v>11</v>
      </c>
      <c r="L124" s="2" t="s">
        <v>12</v>
      </c>
      <c r="M124" s="2" t="s">
        <v>13</v>
      </c>
      <c r="N124" s="4" t="s">
        <v>14</v>
      </c>
      <c r="O124" s="5"/>
      <c r="P124" s="5" t="s">
        <v>15</v>
      </c>
    </row>
    <row r="125" spans="2:18" x14ac:dyDescent="0.25">
      <c r="B125" s="6">
        <v>304</v>
      </c>
      <c r="C125" s="6" t="s">
        <v>68</v>
      </c>
      <c r="D125" s="6" t="s">
        <v>17</v>
      </c>
      <c r="E125" s="6" t="s">
        <v>18</v>
      </c>
      <c r="F125" s="6">
        <v>2480</v>
      </c>
      <c r="G125" s="6" t="s">
        <v>19</v>
      </c>
      <c r="H125" s="6" t="s">
        <v>20</v>
      </c>
      <c r="I125" s="6" t="s">
        <v>21</v>
      </c>
      <c r="J125" s="6" t="s">
        <v>22</v>
      </c>
      <c r="K125" s="6" t="s">
        <v>23</v>
      </c>
      <c r="L125" s="6">
        <v>763</v>
      </c>
      <c r="M125" s="6" t="s">
        <v>24</v>
      </c>
      <c r="N125" s="6">
        <v>2</v>
      </c>
      <c r="Q125" t="str">
        <f>"- "&amp;G125&amp;"-"&amp;H125</f>
        <v>- LIM-MIA</v>
      </c>
      <c r="R125" t="str">
        <f>"- LA "&amp;F125&amp;" ("&amp;LEFT(I125,5)&amp;"-"&amp;LEFT(J125,5)&amp;" hrs)"</f>
        <v>- LA 2480 (00:15-06:20 hrs)</v>
      </c>
    </row>
    <row r="126" spans="2:18" x14ac:dyDescent="0.25">
      <c r="B126" s="6">
        <v>304</v>
      </c>
      <c r="C126" s="6" t="s">
        <v>67</v>
      </c>
      <c r="D126" s="6" t="s">
        <v>17</v>
      </c>
      <c r="E126" s="6" t="s">
        <v>26</v>
      </c>
      <c r="F126" s="6">
        <v>2481</v>
      </c>
      <c r="G126" s="6" t="s">
        <v>20</v>
      </c>
      <c r="H126" s="6" t="s">
        <v>19</v>
      </c>
      <c r="I126" s="6" t="s">
        <v>27</v>
      </c>
      <c r="J126" s="6" t="s">
        <v>28</v>
      </c>
      <c r="K126" s="6" t="s">
        <v>23</v>
      </c>
      <c r="L126" s="6">
        <v>763</v>
      </c>
      <c r="M126" s="6" t="s">
        <v>29</v>
      </c>
      <c r="N126" s="6">
        <v>3</v>
      </c>
      <c r="O126">
        <f>O124</f>
        <v>0</v>
      </c>
      <c r="Q126" t="str">
        <f>"- "&amp;G126&amp;"-"&amp;H126</f>
        <v>- MIA-LIM</v>
      </c>
      <c r="R126" t="str">
        <f>"- LA "&amp;F126&amp;" ("&amp;LEFT(I126,5)&amp;"-"&amp;LEFT(J126,5)&amp;" hrs)"</f>
        <v>- LA 2481 (15:55-21:40 hrs)</v>
      </c>
    </row>
    <row r="129" spans="2:18" x14ac:dyDescent="0.25">
      <c r="B129" s="2" t="s">
        <v>2</v>
      </c>
      <c r="C129" s="2" t="s">
        <v>3</v>
      </c>
      <c r="D129" s="3" t="s">
        <v>4</v>
      </c>
      <c r="E129" s="2" t="s">
        <v>5</v>
      </c>
      <c r="F129" s="2" t="s">
        <v>6</v>
      </c>
      <c r="G129" s="2" t="s">
        <v>7</v>
      </c>
      <c r="H129" s="2" t="s">
        <v>8</v>
      </c>
      <c r="I129" s="2" t="s">
        <v>9</v>
      </c>
      <c r="J129" s="2" t="s">
        <v>10</v>
      </c>
      <c r="K129" s="2" t="s">
        <v>11</v>
      </c>
      <c r="L129" s="2" t="s">
        <v>12</v>
      </c>
      <c r="M129" s="2" t="s">
        <v>13</v>
      </c>
      <c r="N129" s="4" t="s">
        <v>14</v>
      </c>
      <c r="O129" s="5"/>
      <c r="P129" s="5" t="s">
        <v>15</v>
      </c>
    </row>
    <row r="130" spans="2:18" x14ac:dyDescent="0.25">
      <c r="B130" s="6">
        <v>313</v>
      </c>
      <c r="C130" s="6" t="s">
        <v>67</v>
      </c>
      <c r="D130" s="6" t="s">
        <v>17</v>
      </c>
      <c r="E130" s="6" t="s">
        <v>26</v>
      </c>
      <c r="F130" s="6">
        <v>2480</v>
      </c>
      <c r="G130" s="6" t="s">
        <v>19</v>
      </c>
      <c r="H130" s="6" t="s">
        <v>20</v>
      </c>
      <c r="I130" s="6" t="s">
        <v>21</v>
      </c>
      <c r="J130" s="6" t="s">
        <v>22</v>
      </c>
      <c r="K130" s="6" t="s">
        <v>23</v>
      </c>
      <c r="L130" s="6">
        <v>763</v>
      </c>
      <c r="M130" s="6" t="s">
        <v>24</v>
      </c>
      <c r="N130" s="6">
        <v>2</v>
      </c>
      <c r="Q130" t="str">
        <f>"- "&amp;G130&amp;"-"&amp;H130</f>
        <v>- LIM-MIA</v>
      </c>
      <c r="R130" t="str">
        <f>"- LA "&amp;F130&amp;" ("&amp;LEFT(I130,5)&amp;"-"&amp;LEFT(J130,5)&amp;" hrs)"</f>
        <v>- LA 2480 (00:15-06:20 hrs)</v>
      </c>
    </row>
    <row r="131" spans="2:18" x14ac:dyDescent="0.25">
      <c r="B131" s="6">
        <v>313</v>
      </c>
      <c r="C131" s="6" t="s">
        <v>69</v>
      </c>
      <c r="D131" s="6" t="s">
        <v>70</v>
      </c>
      <c r="E131" s="6" t="s">
        <v>31</v>
      </c>
      <c r="F131" s="6">
        <v>2695</v>
      </c>
      <c r="G131" s="6" t="s">
        <v>20</v>
      </c>
      <c r="H131" s="6" t="s">
        <v>19</v>
      </c>
      <c r="I131" s="6" t="s">
        <v>32</v>
      </c>
      <c r="J131" s="6" t="s">
        <v>33</v>
      </c>
      <c r="K131" s="6" t="s">
        <v>23</v>
      </c>
      <c r="L131" s="6">
        <v>763</v>
      </c>
      <c r="M131" s="6" t="s">
        <v>34</v>
      </c>
      <c r="N131" s="6">
        <v>3</v>
      </c>
      <c r="O131">
        <f>O129</f>
        <v>0</v>
      </c>
      <c r="Q131" t="str">
        <f>"- "&amp;G131&amp;"-"&amp;H131</f>
        <v>- MIA-LIM</v>
      </c>
      <c r="R131" t="str">
        <f>"- LA "&amp;F131&amp;" ("&amp;LEFT(I131,5)&amp;"-"&amp;LEFT(J131,5)&amp;" hrs)"</f>
        <v>- LA 2695 (16:10-22:00 hrs)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0" customWidth="1"/>
    <col min="4" max="4" width="12" customWidth="1"/>
    <col min="5" max="5" width="16" customWidth="1"/>
    <col min="6" max="6" width="20" customWidth="1"/>
    <col min="7" max="7" width="26" customWidth="1"/>
    <col min="8" max="9" width="12" customWidth="1"/>
  </cols>
  <sheetData>
    <row r="1" spans="1:9" x14ac:dyDescent="0.25">
      <c r="A1" s="2" t="s">
        <v>2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</row>
    <row r="2" spans="1:9" x14ac:dyDescent="0.25">
      <c r="A2" s="6">
        <f>Pairings!B5</f>
        <v>20</v>
      </c>
      <c r="B2" s="6" t="str">
        <f>Pairings!C5</f>
        <v>01/09/2026</v>
      </c>
      <c r="C2" s="6" t="str">
        <f>Pairings!D5</f>
        <v>Sep-2026</v>
      </c>
      <c r="D2" s="6" t="str">
        <f>Pairings!F5&amp;"/"&amp;Pairings!F6</f>
        <v>2480/2481</v>
      </c>
      <c r="E2" s="6" t="str">
        <f>Pairings!G5&amp;"-"&amp;Pairings!H5&amp;"-"&amp;Pairings!G5</f>
        <v>LIM-MIA-LIM</v>
      </c>
      <c r="F2" s="6">
        <f>Pairings!O4</f>
        <v>0</v>
      </c>
      <c r="G2" s="6" t="str">
        <f>Pairings!P4</f>
        <v>LCK B767</v>
      </c>
      <c r="H2" s="6" t="str">
        <f>Pairings!C5</f>
        <v>01/09/2026</v>
      </c>
      <c r="I2" s="6" t="str">
        <f>Pairings!C6</f>
        <v>02/09/2026</v>
      </c>
    </row>
    <row r="3" spans="1:9" x14ac:dyDescent="0.25">
      <c r="A3" s="6">
        <f>Pairings!B10</f>
        <v>29</v>
      </c>
      <c r="B3" s="6" t="str">
        <f>Pairings!C10</f>
        <v>02/09/2026</v>
      </c>
      <c r="C3" s="6" t="str">
        <f>Pairings!D10</f>
        <v>Sep-2026</v>
      </c>
      <c r="D3" s="6" t="str">
        <f>Pairings!F10&amp;"/"&amp;Pairings!F11</f>
        <v>2480/2695</v>
      </c>
      <c r="E3" s="6" t="str">
        <f>Pairings!G10&amp;"-"&amp;Pairings!H10&amp;"-"&amp;Pairings!G10</f>
        <v>LIM-MIA-LIM</v>
      </c>
      <c r="F3" s="6">
        <f>Pairings!O9</f>
        <v>0</v>
      </c>
      <c r="G3" s="6" t="str">
        <f>Pairings!P9</f>
        <v>LCK B767</v>
      </c>
      <c r="H3" s="6" t="str">
        <f>Pairings!C10</f>
        <v>02/09/2026</v>
      </c>
      <c r="I3" s="6" t="str">
        <f>Pairings!C11</f>
        <v>03/09/2026</v>
      </c>
    </row>
    <row r="4" spans="1:9" x14ac:dyDescent="0.25">
      <c r="A4" s="6">
        <f>Pairings!B15</f>
        <v>39</v>
      </c>
      <c r="B4" s="6" t="str">
        <f>Pairings!C15</f>
        <v>03/09/2026</v>
      </c>
      <c r="C4" s="6" t="str">
        <f>Pairings!D15</f>
        <v>Sep-2026</v>
      </c>
      <c r="D4" s="6" t="str">
        <f>Pairings!F15&amp;"/"&amp;Pairings!F16</f>
        <v>2480/2481</v>
      </c>
      <c r="E4" s="6" t="str">
        <f>Pairings!G15&amp;"-"&amp;Pairings!H15&amp;"-"&amp;Pairings!G15</f>
        <v>LIM-MIA-LIM</v>
      </c>
      <c r="F4" s="6">
        <f>Pairings!O14</f>
        <v>0</v>
      </c>
      <c r="G4" s="6" t="str">
        <f>Pairings!P14</f>
        <v>LCK B767</v>
      </c>
      <c r="H4" s="6" t="str">
        <f>Pairings!C15</f>
        <v>03/09/2026</v>
      </c>
      <c r="I4" s="6" t="str">
        <f>Pairings!C16</f>
        <v>04/09/2026</v>
      </c>
    </row>
    <row r="5" spans="1:9" x14ac:dyDescent="0.25">
      <c r="A5" s="6">
        <f>Pairings!B20</f>
        <v>44</v>
      </c>
      <c r="B5" s="6" t="str">
        <f>Pairings!C20</f>
        <v>03/09/2026</v>
      </c>
      <c r="C5" s="6" t="str">
        <f>Pairings!D20</f>
        <v>Sep-2026</v>
      </c>
      <c r="D5" s="6" t="str">
        <f>Pairings!F20&amp;"/"&amp;Pairings!F21</f>
        <v>2413/2412</v>
      </c>
      <c r="E5" s="6" t="str">
        <f>Pairings!G20&amp;"-"&amp;Pairings!H20&amp;"-"&amp;Pairings!G20</f>
        <v>LIM-SCL-LIM</v>
      </c>
      <c r="F5" s="6">
        <f>Pairings!O19</f>
        <v>0</v>
      </c>
      <c r="G5" s="6" t="str">
        <f>Pairings!P19</f>
        <v>LCK B767</v>
      </c>
      <c r="H5" s="6" t="str">
        <f>Pairings!C20</f>
        <v>03/09/2026</v>
      </c>
      <c r="I5" s="6" t="str">
        <f>Pairings!C21</f>
        <v>03/09/2026</v>
      </c>
    </row>
    <row r="6" spans="1:9" x14ac:dyDescent="0.25">
      <c r="A6" s="6">
        <f>Pairings!B25</f>
        <v>54</v>
      </c>
      <c r="B6" s="6" t="str">
        <f>Pairings!C25</f>
        <v>04/09/2026</v>
      </c>
      <c r="C6" s="6" t="str">
        <f>Pairings!D25</f>
        <v>Sep-2026</v>
      </c>
      <c r="D6" s="6" t="str">
        <f>Pairings!F25&amp;"/"&amp;Pairings!F26</f>
        <v>2413/2412</v>
      </c>
      <c r="E6" s="6" t="str">
        <f>Pairings!G25&amp;"-"&amp;Pairings!H25&amp;"-"&amp;Pairings!G25</f>
        <v>LIM-SCL-LIM</v>
      </c>
      <c r="F6" s="6">
        <f>Pairings!O24</f>
        <v>0</v>
      </c>
      <c r="G6" s="6" t="str">
        <f>Pairings!P24</f>
        <v>LCK B767</v>
      </c>
      <c r="H6" s="6" t="str">
        <f>Pairings!C25</f>
        <v>04/09/2026</v>
      </c>
      <c r="I6" s="6" t="str">
        <f>Pairings!C26</f>
        <v>04/09/2026</v>
      </c>
    </row>
    <row r="7" spans="1:9" x14ac:dyDescent="0.25">
      <c r="A7" s="6">
        <f>Pairings!B30</f>
        <v>88</v>
      </c>
      <c r="B7" s="6" t="str">
        <f>Pairings!C30</f>
        <v>07/09/2026</v>
      </c>
      <c r="C7" s="6" t="str">
        <f>Pairings!D30</f>
        <v>Sep-2026</v>
      </c>
      <c r="D7" s="6" t="str">
        <f>Pairings!F30&amp;"/"&amp;Pairings!F31</f>
        <v>2694/2699</v>
      </c>
      <c r="E7" s="6" t="str">
        <f>Pairings!G30&amp;"-"&amp;Pairings!H30&amp;"-"&amp;Pairings!G30</f>
        <v>LIM-MIA-LIM</v>
      </c>
      <c r="F7" s="6">
        <f>Pairings!O29</f>
        <v>0</v>
      </c>
      <c r="G7" s="6" t="str">
        <f>Pairings!P29</f>
        <v>LCK B767</v>
      </c>
      <c r="H7" s="6" t="str">
        <f>Pairings!C30</f>
        <v>07/09/2026</v>
      </c>
      <c r="I7" s="6" t="str">
        <f>Pairings!C31</f>
        <v>09/09/2026</v>
      </c>
    </row>
    <row r="8" spans="1:9" x14ac:dyDescent="0.25">
      <c r="A8" s="6">
        <f>Pairings!B35</f>
        <v>91</v>
      </c>
      <c r="B8" s="6" t="str">
        <f>Pairings!C35</f>
        <v>08/09/2026</v>
      </c>
      <c r="C8" s="6" t="str">
        <f>Pairings!D35</f>
        <v>Sep-2026</v>
      </c>
      <c r="D8" s="6" t="str">
        <f>Pairings!F35&amp;"/"&amp;Pairings!F36</f>
        <v>2480/2481</v>
      </c>
      <c r="E8" s="6" t="str">
        <f>Pairings!G35&amp;"-"&amp;Pairings!H35&amp;"-"&amp;Pairings!G35</f>
        <v>LIM-MIA-LIM</v>
      </c>
      <c r="F8" s="6">
        <f>Pairings!O34</f>
        <v>0</v>
      </c>
      <c r="G8" s="6" t="str">
        <f>Pairings!P34</f>
        <v>LCK B767</v>
      </c>
      <c r="H8" s="6" t="str">
        <f>Pairings!C35</f>
        <v>08/09/2026</v>
      </c>
      <c r="I8" s="6" t="str">
        <f>Pairings!C36</f>
        <v>09/09/2026</v>
      </c>
    </row>
    <row r="9" spans="1:9" x14ac:dyDescent="0.25">
      <c r="A9" s="6">
        <f>Pairings!B40</f>
        <v>100</v>
      </c>
      <c r="B9" s="6" t="str">
        <f>Pairings!C40</f>
        <v>09/09/2026</v>
      </c>
      <c r="C9" s="6" t="str">
        <f>Pairings!D40</f>
        <v>Sep-2026</v>
      </c>
      <c r="D9" s="6" t="str">
        <f>Pairings!F40&amp;"/"&amp;Pairings!F41</f>
        <v>2480/2695</v>
      </c>
      <c r="E9" s="6" t="str">
        <f>Pairings!G40&amp;"-"&amp;Pairings!H40&amp;"-"&amp;Pairings!G40</f>
        <v>LIM-MIA-LIM</v>
      </c>
      <c r="F9" s="6">
        <f>Pairings!O39</f>
        <v>0</v>
      </c>
      <c r="G9" s="6" t="str">
        <f>Pairings!P39</f>
        <v>LCK B767</v>
      </c>
      <c r="H9" s="6" t="str">
        <f>Pairings!C40</f>
        <v>09/09/2026</v>
      </c>
      <c r="I9" s="6" t="str">
        <f>Pairings!C41</f>
        <v>10/09/2026</v>
      </c>
    </row>
    <row r="10" spans="1:9" x14ac:dyDescent="0.25">
      <c r="A10" s="6">
        <f>Pairings!B45</f>
        <v>110</v>
      </c>
      <c r="B10" s="6" t="str">
        <f>Pairings!C45</f>
        <v>10/09/2026</v>
      </c>
      <c r="C10" s="6" t="str">
        <f>Pairings!D45</f>
        <v>Sep-2026</v>
      </c>
      <c r="D10" s="6" t="str">
        <f>Pairings!F45&amp;"/"&amp;Pairings!F46</f>
        <v>2480/2481</v>
      </c>
      <c r="E10" s="6" t="str">
        <f>Pairings!G45&amp;"-"&amp;Pairings!H45&amp;"-"&amp;Pairings!G45</f>
        <v>LIM-MIA-LIM</v>
      </c>
      <c r="F10" s="6">
        <f>Pairings!O44</f>
        <v>0</v>
      </c>
      <c r="G10" s="6" t="str">
        <f>Pairings!P44</f>
        <v>LCK B767</v>
      </c>
      <c r="H10" s="6" t="str">
        <f>Pairings!C45</f>
        <v>10/09/2026</v>
      </c>
      <c r="I10" s="6" t="str">
        <f>Pairings!C46</f>
        <v>11/09/2026</v>
      </c>
    </row>
    <row r="11" spans="1:9" x14ac:dyDescent="0.25">
      <c r="A11" s="6">
        <f>Pairings!B50</f>
        <v>115</v>
      </c>
      <c r="B11" s="6" t="str">
        <f>Pairings!C50</f>
        <v>10/09/2026</v>
      </c>
      <c r="C11" s="6" t="str">
        <f>Pairings!D50</f>
        <v>Sep-2026</v>
      </c>
      <c r="D11" s="6" t="str">
        <f>Pairings!F50&amp;"/"&amp;Pairings!F51</f>
        <v>2413/2412</v>
      </c>
      <c r="E11" s="6" t="str">
        <f>Pairings!G50&amp;"-"&amp;Pairings!H50&amp;"-"&amp;Pairings!G50</f>
        <v>LIM-SCL-LIM</v>
      </c>
      <c r="F11" s="6">
        <f>Pairings!O49</f>
        <v>0</v>
      </c>
      <c r="G11" s="6" t="str">
        <f>Pairings!P49</f>
        <v>LCK B767</v>
      </c>
      <c r="H11" s="6" t="str">
        <f>Pairings!C50</f>
        <v>10/09/2026</v>
      </c>
      <c r="I11" s="6" t="str">
        <f>Pairings!C51</f>
        <v>10/09/2026</v>
      </c>
    </row>
    <row r="12" spans="1:9" x14ac:dyDescent="0.25">
      <c r="A12" s="6">
        <f>Pairings!B55</f>
        <v>125</v>
      </c>
      <c r="B12" s="6" t="str">
        <f>Pairings!C55</f>
        <v>11/09/2026</v>
      </c>
      <c r="C12" s="6" t="str">
        <f>Pairings!D55</f>
        <v>Sep-2026</v>
      </c>
      <c r="D12" s="6" t="str">
        <f>Pairings!F55&amp;"/"&amp;Pairings!F56</f>
        <v>2413/2412</v>
      </c>
      <c r="E12" s="6" t="str">
        <f>Pairings!G55&amp;"-"&amp;Pairings!H55&amp;"-"&amp;Pairings!G55</f>
        <v>LIM-SCL-LIM</v>
      </c>
      <c r="F12" s="6">
        <f>Pairings!O54</f>
        <v>0</v>
      </c>
      <c r="G12" s="6" t="str">
        <f>Pairings!P54</f>
        <v>LCK B767</v>
      </c>
      <c r="H12" s="6" t="str">
        <f>Pairings!C55</f>
        <v>11/09/2026</v>
      </c>
      <c r="I12" s="6" t="str">
        <f>Pairings!C56</f>
        <v>11/09/2026</v>
      </c>
    </row>
    <row r="13" spans="1:9" x14ac:dyDescent="0.25">
      <c r="A13" s="6">
        <f>Pairings!B60</f>
        <v>159</v>
      </c>
      <c r="B13" s="6" t="str">
        <f>Pairings!C60</f>
        <v>14/09/2026</v>
      </c>
      <c r="C13" s="6" t="str">
        <f>Pairings!D60</f>
        <v>Sep-2026</v>
      </c>
      <c r="D13" s="6" t="str">
        <f>Pairings!F60&amp;"/"&amp;Pairings!F61</f>
        <v>2694/2699</v>
      </c>
      <c r="E13" s="6" t="str">
        <f>Pairings!G60&amp;"-"&amp;Pairings!H60&amp;"-"&amp;Pairings!G60</f>
        <v>LIM-MIA-LIM</v>
      </c>
      <c r="F13" s="6">
        <f>Pairings!O59</f>
        <v>0</v>
      </c>
      <c r="G13" s="6" t="str">
        <f>Pairings!P59</f>
        <v>LCK B767</v>
      </c>
      <c r="H13" s="6" t="str">
        <f>Pairings!C60</f>
        <v>14/09/2026</v>
      </c>
      <c r="I13" s="6" t="str">
        <f>Pairings!C61</f>
        <v>16/09/2026</v>
      </c>
    </row>
    <row r="14" spans="1:9" x14ac:dyDescent="0.25">
      <c r="A14" s="6">
        <f>Pairings!B65</f>
        <v>162</v>
      </c>
      <c r="B14" s="6" t="str">
        <f>Pairings!C65</f>
        <v>15/09/2026</v>
      </c>
      <c r="C14" s="6" t="str">
        <f>Pairings!D65</f>
        <v>Sep-2026</v>
      </c>
      <c r="D14" s="6" t="str">
        <f>Pairings!F65&amp;"/"&amp;Pairings!F66</f>
        <v>2480/2481</v>
      </c>
      <c r="E14" s="6" t="str">
        <f>Pairings!G65&amp;"-"&amp;Pairings!H65&amp;"-"&amp;Pairings!G65</f>
        <v>LIM-MIA-LIM</v>
      </c>
      <c r="F14" s="6">
        <f>Pairings!O64</f>
        <v>0</v>
      </c>
      <c r="G14" s="6" t="str">
        <f>Pairings!P64</f>
        <v>LCK B767</v>
      </c>
      <c r="H14" s="6" t="str">
        <f>Pairings!C65</f>
        <v>15/09/2026</v>
      </c>
      <c r="I14" s="6" t="str">
        <f>Pairings!C66</f>
        <v>16/09/2026</v>
      </c>
    </row>
    <row r="15" spans="1:9" x14ac:dyDescent="0.25">
      <c r="A15" s="6">
        <f>Pairings!B70</f>
        <v>171</v>
      </c>
      <c r="B15" s="6" t="str">
        <f>Pairings!C70</f>
        <v>16/09/2026</v>
      </c>
      <c r="C15" s="6" t="str">
        <f>Pairings!D70</f>
        <v>Sep-2026</v>
      </c>
      <c r="D15" s="6" t="str">
        <f>Pairings!F70&amp;"/"&amp;Pairings!F71</f>
        <v>2480/2695</v>
      </c>
      <c r="E15" s="6" t="str">
        <f>Pairings!G70&amp;"-"&amp;Pairings!H70&amp;"-"&amp;Pairings!G70</f>
        <v>LIM-MIA-LIM</v>
      </c>
      <c r="F15" s="6">
        <f>Pairings!O69</f>
        <v>0</v>
      </c>
      <c r="G15" s="6" t="str">
        <f>Pairings!P69</f>
        <v>LCK B767</v>
      </c>
      <c r="H15" s="6" t="str">
        <f>Pairings!C70</f>
        <v>16/09/2026</v>
      </c>
      <c r="I15" s="6" t="str">
        <f>Pairings!C71</f>
        <v>17/09/2026</v>
      </c>
    </row>
    <row r="16" spans="1:9" x14ac:dyDescent="0.25">
      <c r="A16" s="6">
        <f>Pairings!B75</f>
        <v>181</v>
      </c>
      <c r="B16" s="6" t="str">
        <f>Pairings!C75</f>
        <v>17/09/2026</v>
      </c>
      <c r="C16" s="6" t="str">
        <f>Pairings!D75</f>
        <v>Sep-2026</v>
      </c>
      <c r="D16" s="6" t="str">
        <f>Pairings!F75&amp;"/"&amp;Pairings!F76</f>
        <v>2480/2481</v>
      </c>
      <c r="E16" s="6" t="str">
        <f>Pairings!G75&amp;"-"&amp;Pairings!H75&amp;"-"&amp;Pairings!G75</f>
        <v>LIM-MIA-LIM</v>
      </c>
      <c r="F16" s="6">
        <f>Pairings!O74</f>
        <v>0</v>
      </c>
      <c r="G16" s="6" t="str">
        <f>Pairings!P74</f>
        <v>LCK B767</v>
      </c>
      <c r="H16" s="6" t="str">
        <f>Pairings!C75</f>
        <v>17/09/2026</v>
      </c>
      <c r="I16" s="6" t="str">
        <f>Pairings!C76</f>
        <v>18/09/2026</v>
      </c>
    </row>
    <row r="17" spans="1:9" x14ac:dyDescent="0.25">
      <c r="A17" s="6">
        <f>Pairings!B80</f>
        <v>186</v>
      </c>
      <c r="B17" s="6" t="str">
        <f>Pairings!C80</f>
        <v>17/09/2026</v>
      </c>
      <c r="C17" s="6" t="str">
        <f>Pairings!D80</f>
        <v>Sep-2026</v>
      </c>
      <c r="D17" s="6" t="str">
        <f>Pairings!F80&amp;"/"&amp;Pairings!F81</f>
        <v>2413/2412</v>
      </c>
      <c r="E17" s="6" t="str">
        <f>Pairings!G80&amp;"-"&amp;Pairings!H80&amp;"-"&amp;Pairings!G80</f>
        <v>LIM-SCL-LIM</v>
      </c>
      <c r="F17" s="6">
        <f>Pairings!O79</f>
        <v>0</v>
      </c>
      <c r="G17" s="6" t="str">
        <f>Pairings!P79</f>
        <v>LCK B767</v>
      </c>
      <c r="H17" s="6" t="str">
        <f>Pairings!C80</f>
        <v>17/09/2026</v>
      </c>
      <c r="I17" s="6" t="str">
        <f>Pairings!C81</f>
        <v>17/09/2026</v>
      </c>
    </row>
    <row r="18" spans="1:9" x14ac:dyDescent="0.25">
      <c r="A18" s="6">
        <f>Pairings!B85</f>
        <v>196</v>
      </c>
      <c r="B18" s="6" t="str">
        <f>Pairings!C85</f>
        <v>18/09/2026</v>
      </c>
      <c r="C18" s="6" t="str">
        <f>Pairings!D85</f>
        <v>Sep-2026</v>
      </c>
      <c r="D18" s="6" t="str">
        <f>Pairings!F85&amp;"/"&amp;Pairings!F86</f>
        <v>2413/2412</v>
      </c>
      <c r="E18" s="6" t="str">
        <f>Pairings!G85&amp;"-"&amp;Pairings!H85&amp;"-"&amp;Pairings!G85</f>
        <v>LIM-SCL-LIM</v>
      </c>
      <c r="F18" s="6">
        <f>Pairings!O84</f>
        <v>0</v>
      </c>
      <c r="G18" s="6" t="str">
        <f>Pairings!P84</f>
        <v>LCK B767</v>
      </c>
      <c r="H18" s="6" t="str">
        <f>Pairings!C85</f>
        <v>18/09/2026</v>
      </c>
      <c r="I18" s="6" t="str">
        <f>Pairings!C86</f>
        <v>18/09/2026</v>
      </c>
    </row>
    <row r="19" spans="1:9" x14ac:dyDescent="0.25">
      <c r="A19" s="6">
        <f>Pairings!B90</f>
        <v>230</v>
      </c>
      <c r="B19" s="6" t="str">
        <f>Pairings!C90</f>
        <v>21/09/2026</v>
      </c>
      <c r="C19" s="6" t="str">
        <f>Pairings!D90</f>
        <v>Sep-2026</v>
      </c>
      <c r="D19" s="6" t="str">
        <f>Pairings!F90&amp;"/"&amp;Pairings!F91</f>
        <v>2694/2699</v>
      </c>
      <c r="E19" s="6" t="str">
        <f>Pairings!G90&amp;"-"&amp;Pairings!H90&amp;"-"&amp;Pairings!G90</f>
        <v>LIM-MIA-LIM</v>
      </c>
      <c r="F19" s="6">
        <f>Pairings!O89</f>
        <v>0</v>
      </c>
      <c r="G19" s="6" t="str">
        <f>Pairings!P89</f>
        <v>LCK B767</v>
      </c>
      <c r="H19" s="6" t="str">
        <f>Pairings!C90</f>
        <v>21/09/2026</v>
      </c>
      <c r="I19" s="6" t="str">
        <f>Pairings!C91</f>
        <v>23/09/2026</v>
      </c>
    </row>
    <row r="20" spans="1:9" x14ac:dyDescent="0.25">
      <c r="A20" s="6">
        <f>Pairings!B95</f>
        <v>233</v>
      </c>
      <c r="B20" s="6" t="str">
        <f>Pairings!C95</f>
        <v>22/09/2026</v>
      </c>
      <c r="C20" s="6" t="str">
        <f>Pairings!D95</f>
        <v>Sep-2026</v>
      </c>
      <c r="D20" s="6" t="str">
        <f>Pairings!F95&amp;"/"&amp;Pairings!F96</f>
        <v>2480/2481</v>
      </c>
      <c r="E20" s="6" t="str">
        <f>Pairings!G95&amp;"-"&amp;Pairings!H95&amp;"-"&amp;Pairings!G95</f>
        <v>LIM-MIA-LIM</v>
      </c>
      <c r="F20" s="6">
        <f>Pairings!O94</f>
        <v>0</v>
      </c>
      <c r="G20" s="6" t="str">
        <f>Pairings!P94</f>
        <v>LCK B767</v>
      </c>
      <c r="H20" s="6" t="str">
        <f>Pairings!C95</f>
        <v>22/09/2026</v>
      </c>
      <c r="I20" s="6" t="str">
        <f>Pairings!C96</f>
        <v>23/09/2026</v>
      </c>
    </row>
    <row r="21" spans="1:9" x14ac:dyDescent="0.25">
      <c r="A21" s="6">
        <f>Pairings!B100</f>
        <v>242</v>
      </c>
      <c r="B21" s="6" t="str">
        <f>Pairings!C100</f>
        <v>23/09/2026</v>
      </c>
      <c r="C21" s="6" t="str">
        <f>Pairings!D100</f>
        <v>Sep-2026</v>
      </c>
      <c r="D21" s="6" t="str">
        <f>Pairings!F100&amp;"/"&amp;Pairings!F101</f>
        <v>2480/2695</v>
      </c>
      <c r="E21" s="6" t="str">
        <f>Pairings!G100&amp;"-"&amp;Pairings!H100&amp;"-"&amp;Pairings!G100</f>
        <v>LIM-MIA-LIM</v>
      </c>
      <c r="F21" s="6">
        <f>Pairings!O99</f>
        <v>0</v>
      </c>
      <c r="G21" s="6" t="str">
        <f>Pairings!P99</f>
        <v>LCK B767</v>
      </c>
      <c r="H21" s="6" t="str">
        <f>Pairings!C100</f>
        <v>23/09/2026</v>
      </c>
      <c r="I21" s="6" t="str">
        <f>Pairings!C101</f>
        <v>24/09/2026</v>
      </c>
    </row>
    <row r="22" spans="1:9" x14ac:dyDescent="0.25">
      <c r="A22" s="6">
        <f>Pairings!B105</f>
        <v>252</v>
      </c>
      <c r="B22" s="6" t="str">
        <f>Pairings!C105</f>
        <v>24/09/2026</v>
      </c>
      <c r="C22" s="6" t="str">
        <f>Pairings!D105</f>
        <v>Sep-2026</v>
      </c>
      <c r="D22" s="6" t="str">
        <f>Pairings!F105&amp;"/"&amp;Pairings!F106</f>
        <v>2480/2481</v>
      </c>
      <c r="E22" s="6" t="str">
        <f>Pairings!G105&amp;"-"&amp;Pairings!H105&amp;"-"&amp;Pairings!G105</f>
        <v>LIM-MIA-LIM</v>
      </c>
      <c r="F22" s="6">
        <f>Pairings!O104</f>
        <v>0</v>
      </c>
      <c r="G22" s="6" t="str">
        <f>Pairings!P104</f>
        <v>LCK B767</v>
      </c>
      <c r="H22" s="6" t="str">
        <f>Pairings!C105</f>
        <v>24/09/2026</v>
      </c>
      <c r="I22" s="6" t="str">
        <f>Pairings!C106</f>
        <v>25/09/2026</v>
      </c>
    </row>
    <row r="23" spans="1:9" x14ac:dyDescent="0.25">
      <c r="A23" s="6">
        <f>Pairings!B110</f>
        <v>257</v>
      </c>
      <c r="B23" s="6" t="str">
        <f>Pairings!C110</f>
        <v>24/09/2026</v>
      </c>
      <c r="C23" s="6" t="str">
        <f>Pairings!D110</f>
        <v>Sep-2026</v>
      </c>
      <c r="D23" s="6" t="str">
        <f>Pairings!F110&amp;"/"&amp;Pairings!F111</f>
        <v>2413/2412</v>
      </c>
      <c r="E23" s="6" t="str">
        <f>Pairings!G110&amp;"-"&amp;Pairings!H110&amp;"-"&amp;Pairings!G110</f>
        <v>LIM-SCL-LIM</v>
      </c>
      <c r="F23" s="6">
        <f>Pairings!O109</f>
        <v>0</v>
      </c>
      <c r="G23" s="6" t="str">
        <f>Pairings!P109</f>
        <v>LCK B767</v>
      </c>
      <c r="H23" s="6" t="str">
        <f>Pairings!C110</f>
        <v>24/09/2026</v>
      </c>
      <c r="I23" s="6" t="str">
        <f>Pairings!C111</f>
        <v>24/09/2026</v>
      </c>
    </row>
    <row r="24" spans="1:9" x14ac:dyDescent="0.25">
      <c r="A24" s="6">
        <f>Pairings!B115</f>
        <v>267</v>
      </c>
      <c r="B24" s="6" t="str">
        <f>Pairings!C115</f>
        <v>25/09/2026</v>
      </c>
      <c r="C24" s="6" t="str">
        <f>Pairings!D115</f>
        <v>Sep-2026</v>
      </c>
      <c r="D24" s="6" t="str">
        <f>Pairings!F115&amp;"/"&amp;Pairings!F116</f>
        <v>2413/2412</v>
      </c>
      <c r="E24" s="6" t="str">
        <f>Pairings!G115&amp;"-"&amp;Pairings!H115&amp;"-"&amp;Pairings!G115</f>
        <v>LIM-SCL-LIM</v>
      </c>
      <c r="F24" s="6">
        <f>Pairings!O114</f>
        <v>0</v>
      </c>
      <c r="G24" s="6" t="str">
        <f>Pairings!P114</f>
        <v>LCK B767</v>
      </c>
      <c r="H24" s="6" t="str">
        <f>Pairings!C115</f>
        <v>25/09/2026</v>
      </c>
      <c r="I24" s="6" t="str">
        <f>Pairings!C116</f>
        <v>25/09/2026</v>
      </c>
    </row>
    <row r="25" spans="1:9" x14ac:dyDescent="0.25">
      <c r="A25" s="6">
        <f>Pairings!B120</f>
        <v>297</v>
      </c>
      <c r="B25" s="6" t="str">
        <f>Pairings!C120</f>
        <v>28/09/2026</v>
      </c>
      <c r="C25" s="6" t="str">
        <f>Pairings!D120</f>
        <v>Sep-2026</v>
      </c>
      <c r="D25" s="6" t="str">
        <f>Pairings!F120&amp;"/"&amp;Pairings!F121</f>
        <v>2698/2699</v>
      </c>
      <c r="E25" s="6" t="str">
        <f>Pairings!G120&amp;"-"&amp;Pairings!H120&amp;"-"&amp;Pairings!G120</f>
        <v>LIM-MIA-LIM</v>
      </c>
      <c r="F25" s="6">
        <f>Pairings!O119</f>
        <v>0</v>
      </c>
      <c r="G25" s="6" t="str">
        <f>Pairings!P119</f>
        <v>LCK B767</v>
      </c>
      <c r="H25" s="6" t="str">
        <f>Pairings!C120</f>
        <v>28/09/2026</v>
      </c>
      <c r="I25" s="6" t="str">
        <f>Pairings!C121</f>
        <v>30/09/2026</v>
      </c>
    </row>
    <row r="26" spans="1:9" x14ac:dyDescent="0.25">
      <c r="A26" s="6">
        <f>Pairings!B125</f>
        <v>304</v>
      </c>
      <c r="B26" s="6" t="str">
        <f>Pairings!C125</f>
        <v>29/09/2026</v>
      </c>
      <c r="C26" s="6" t="str">
        <f>Pairings!D125</f>
        <v>Sep-2026</v>
      </c>
      <c r="D26" s="6" t="str">
        <f>Pairings!F125&amp;"/"&amp;Pairings!F126</f>
        <v>2480/2481</v>
      </c>
      <c r="E26" s="6" t="str">
        <f>Pairings!G125&amp;"-"&amp;Pairings!H125&amp;"-"&amp;Pairings!G125</f>
        <v>LIM-MIA-LIM</v>
      </c>
      <c r="F26" s="6">
        <f>Pairings!O124</f>
        <v>0</v>
      </c>
      <c r="G26" s="6" t="str">
        <f>Pairings!P124</f>
        <v>LCK B767</v>
      </c>
      <c r="H26" s="6" t="str">
        <f>Pairings!C125</f>
        <v>29/09/2026</v>
      </c>
      <c r="I26" s="6" t="str">
        <f>Pairings!C126</f>
        <v>30/09/2026</v>
      </c>
    </row>
    <row r="27" spans="1:9" x14ac:dyDescent="0.25">
      <c r="A27" s="6">
        <f>Pairings!B130</f>
        <v>313</v>
      </c>
      <c r="B27" s="6" t="str">
        <f>Pairings!C130</f>
        <v>30/09/2026</v>
      </c>
      <c r="C27" s="6" t="str">
        <f>Pairings!D130</f>
        <v>Sep-2026</v>
      </c>
      <c r="D27" s="6" t="str">
        <f>Pairings!F130&amp;"/"&amp;Pairings!F131</f>
        <v>2480/2695</v>
      </c>
      <c r="E27" s="6" t="str">
        <f>Pairings!G130&amp;"-"&amp;Pairings!H130&amp;"-"&amp;Pairings!G130</f>
        <v>LIM-MIA-LIM</v>
      </c>
      <c r="F27" s="6">
        <f>Pairings!O129</f>
        <v>0</v>
      </c>
      <c r="G27" s="6" t="str">
        <f>Pairings!P129</f>
        <v>LCK B767</v>
      </c>
      <c r="H27" s="6" t="str">
        <f>Pairings!C130</f>
        <v>30/09/2026</v>
      </c>
      <c r="I27" s="6" t="str">
        <f>Pairings!C131</f>
        <v>01/10/2026</v>
      </c>
    </row>
  </sheetData>
  <autoFilter ref="A1:I2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Pairings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David Celadita Gaspar</cp:lastModifiedBy>
  <dcterms:created xsi:type="dcterms:W3CDTF">2026-09-03T00:44:17Z</dcterms:created>
  <dcterms:modified xsi:type="dcterms:W3CDTF">2026-09-03T01:06:43Z</dcterms:modified>
</cp:coreProperties>
</file>